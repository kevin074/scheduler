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辦公室第一台電腦資料\第一台電腦D碟\0.110年勤務表\二大一中110年10月份勤務表\"/>
    </mc:Choice>
  </mc:AlternateContent>
  <bookViews>
    <workbookView xWindow="0" yWindow="0" windowWidth="28800" windowHeight="10740" tabRatio="686" activeTab="4"/>
  </bookViews>
  <sheets>
    <sheet name="日期輸入" sheetId="9" r:id="rId1"/>
    <sheet name="役男大表" sheetId="11" r:id="rId2"/>
    <sheet name="警職大表" sheetId="15" r:id="rId3"/>
    <sheet name="役男值班" sheetId="14" r:id="rId4"/>
    <sheet name="勤務分配表" sheetId="1" r:id="rId5"/>
    <sheet name="警力狀況表" sheetId="2" r:id="rId6"/>
    <sheet name="使用說明" sheetId="8" r:id="rId7"/>
    <sheet name="勤務定義" sheetId="4" r:id="rId8"/>
    <sheet name="勤務分配" sheetId="5" r:id="rId9"/>
    <sheet name="役男人力" sheetId="7" r:id="rId10"/>
    <sheet name="靶場 " sheetId="13" r:id="rId11"/>
    <sheet name="每日在營警力" sheetId="3" r:id="rId12"/>
    <sheet name="警職公式" sheetId="16" r:id="rId13"/>
    <sheet name=" 役男公式" sheetId="12" r:id="rId14"/>
    <sheet name="暫1" sheetId="10" r:id="rId15"/>
  </sheets>
  <functionGroups builtInGroupCount="18"/>
  <externalReferences>
    <externalReference r:id="rId16"/>
  </externalReferences>
  <definedNames>
    <definedName name="_xlnm._FilterDatabase" localSheetId="9" hidden="1">役男人力!$A$1:$J$26</definedName>
    <definedName name="_xlnm.Print_Area" localSheetId="1">役男大表!$A$1:$AL$42</definedName>
    <definedName name="_xlnm.Print_Area" localSheetId="3">役男值班!$A$1:$O$46</definedName>
    <definedName name="_xlnm.Print_Area" localSheetId="11">每日在營警力!$A$1:$O$42</definedName>
    <definedName name="_xlnm.Print_Area" localSheetId="4">勤務分配表!$A$1:$AW$132</definedName>
    <definedName name="_xlnm.Print_Area" localSheetId="5">警力狀況表!$A$1:$AC$42</definedName>
    <definedName name="rank">警力狀況表!$F$11</definedName>
  </definedNames>
  <calcPr calcId="152511"/>
</workbook>
</file>

<file path=xl/calcChain.xml><?xml version="1.0" encoding="utf-8"?>
<calcChain xmlns="http://schemas.openxmlformats.org/spreadsheetml/2006/main">
  <c r="R15" i="7" l="1"/>
  <c r="Q15" i="7"/>
  <c r="P15" i="7"/>
  <c r="O15" i="7"/>
  <c r="N15" i="7"/>
  <c r="R14" i="7" l="1"/>
  <c r="Q14" i="7"/>
  <c r="P14" i="7"/>
  <c r="O14" i="7"/>
  <c r="N14" i="7"/>
  <c r="R13" i="7" l="1"/>
  <c r="Q13" i="7"/>
  <c r="P13" i="7"/>
  <c r="O13" i="7"/>
  <c r="N13" i="7"/>
  <c r="R12" i="7" l="1"/>
  <c r="Q12" i="7"/>
  <c r="P12" i="7"/>
  <c r="O12" i="7"/>
  <c r="N12" i="7"/>
  <c r="F33" i="7" l="1"/>
  <c r="K33" i="7"/>
  <c r="J19" i="7"/>
  <c r="I19" i="7"/>
  <c r="G19" i="7"/>
  <c r="F9" i="7"/>
  <c r="B37" i="12" l="1"/>
  <c r="AN37" i="12" s="1"/>
  <c r="AU25" i="1" s="1"/>
  <c r="B38" i="12"/>
  <c r="AM37" i="12"/>
  <c r="B13" i="12"/>
  <c r="B14" i="12"/>
  <c r="B15" i="12"/>
  <c r="B16" i="12"/>
  <c r="B17" i="12"/>
  <c r="B18" i="12"/>
  <c r="B19" i="12"/>
  <c r="B20" i="12"/>
  <c r="B23" i="12"/>
  <c r="B24" i="12"/>
  <c r="B29" i="12"/>
  <c r="B30" i="12"/>
  <c r="B28" i="12" l="1"/>
  <c r="B27" i="12"/>
  <c r="B25" i="12"/>
  <c r="B26" i="12"/>
  <c r="B22" i="12"/>
  <c r="B21" i="12"/>
  <c r="K28" i="7"/>
  <c r="K27" i="7"/>
  <c r="J27" i="7"/>
  <c r="I27" i="7"/>
  <c r="H27" i="7"/>
  <c r="G27" i="7"/>
  <c r="K25" i="7"/>
  <c r="F25" i="7"/>
  <c r="K23" i="7"/>
  <c r="K22" i="7"/>
  <c r="K21" i="7"/>
  <c r="AJ34" i="11" l="1"/>
  <c r="AL34" i="11" s="1"/>
  <c r="AJ33" i="11"/>
  <c r="AL33" i="11" s="1"/>
  <c r="AJ32" i="11"/>
  <c r="AL32" i="11" s="1"/>
  <c r="AJ31" i="11"/>
  <c r="AL31" i="11" s="1"/>
  <c r="AJ30" i="11"/>
  <c r="AL30" i="11" s="1"/>
  <c r="AL29" i="11"/>
  <c r="AL28" i="11"/>
  <c r="AL27" i="11"/>
  <c r="AJ26" i="11"/>
  <c r="AL26" i="11" s="1"/>
  <c r="AJ25" i="11"/>
  <c r="AL25" i="11" s="1"/>
  <c r="AJ24" i="11"/>
  <c r="AL24" i="11" s="1"/>
  <c r="Z4" i="1" l="1"/>
  <c r="V4" i="1"/>
  <c r="G3" i="10" l="1"/>
  <c r="D3" i="10"/>
  <c r="C3" i="10"/>
  <c r="B3" i="10"/>
  <c r="E3" i="10"/>
  <c r="AJ38" i="11" l="1"/>
  <c r="B36" i="14" l="1"/>
  <c r="C35" i="14"/>
  <c r="D35" i="14" s="1"/>
  <c r="B37" i="14"/>
  <c r="B38" i="14" s="1"/>
  <c r="B45" i="14"/>
  <c r="B46" i="14" s="1"/>
  <c r="D36" i="14" l="1"/>
  <c r="E35" i="14"/>
  <c r="C36" i="14"/>
  <c r="K18" i="10"/>
  <c r="AL38" i="11"/>
  <c r="AL39" i="11"/>
  <c r="F35" i="14" l="1"/>
  <c r="E36" i="14"/>
  <c r="G35" i="14" l="1"/>
  <c r="F36" i="14"/>
  <c r="H35" i="14" l="1"/>
  <c r="G36" i="14"/>
  <c r="I35" i="14" l="1"/>
  <c r="H36" i="14"/>
  <c r="J35" i="14" l="1"/>
  <c r="I36" i="14"/>
  <c r="K35" i="14" l="1"/>
  <c r="J36" i="14"/>
  <c r="AM21" i="15"/>
  <c r="AO21" i="15"/>
  <c r="AP21" i="15"/>
  <c r="L35" i="14" l="1"/>
  <c r="K36" i="14"/>
  <c r="B52" i="1"/>
  <c r="M35" i="14" l="1"/>
  <c r="L36" i="14"/>
  <c r="B34" i="14"/>
  <c r="N35" i="14" l="1"/>
  <c r="N37" i="14" s="1"/>
  <c r="N38" i="14" s="1"/>
  <c r="M36" i="14"/>
  <c r="I45" i="14"/>
  <c r="I46" i="14" s="1"/>
  <c r="H45" i="14"/>
  <c r="H46" i="14" s="1"/>
  <c r="F45" i="14"/>
  <c r="F46" i="14" s="1"/>
  <c r="E45" i="14"/>
  <c r="E46" i="14" s="1"/>
  <c r="D45" i="14"/>
  <c r="D46" i="14" s="1"/>
  <c r="C45" i="14"/>
  <c r="C46" i="14" s="1"/>
  <c r="M37" i="14"/>
  <c r="M38" i="14" s="1"/>
  <c r="L37" i="14"/>
  <c r="L38" i="14" s="1"/>
  <c r="K37" i="14"/>
  <c r="K38" i="14" s="1"/>
  <c r="J37" i="14"/>
  <c r="J38" i="14" s="1"/>
  <c r="I37" i="14"/>
  <c r="I38" i="14" s="1"/>
  <c r="H37" i="14"/>
  <c r="H38" i="14" s="1"/>
  <c r="G37" i="14"/>
  <c r="G38" i="14" s="1"/>
  <c r="F37" i="14"/>
  <c r="F38" i="14" s="1"/>
  <c r="E37" i="14"/>
  <c r="E38" i="14" s="1"/>
  <c r="D37" i="14"/>
  <c r="D38" i="14" s="1"/>
  <c r="C37" i="14"/>
  <c r="C38" i="14" s="1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O35" i="14" l="1"/>
  <c r="N36" i="14"/>
  <c r="B39" i="14" l="1"/>
  <c r="O36" i="14"/>
  <c r="O37" i="14"/>
  <c r="O38" i="14" s="1"/>
  <c r="B2" i="10"/>
  <c r="C1" i="12"/>
  <c r="D1" i="12"/>
  <c r="F3" i="10"/>
  <c r="H3" i="10"/>
  <c r="I3" i="10"/>
  <c r="J3" i="10"/>
  <c r="K3" i="10"/>
  <c r="L3" i="10"/>
  <c r="M3" i="10"/>
  <c r="N3" i="10"/>
  <c r="O3" i="10"/>
  <c r="P3" i="10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U1" i="12"/>
  <c r="V1" i="12"/>
  <c r="W1" i="12"/>
  <c r="X1" i="12"/>
  <c r="Y1" i="12"/>
  <c r="Z1" i="12"/>
  <c r="AA1" i="12"/>
  <c r="AB1" i="12"/>
  <c r="AC1" i="12"/>
  <c r="AD1" i="12"/>
  <c r="AE1" i="12"/>
  <c r="AF1" i="12"/>
  <c r="AG1" i="12"/>
  <c r="AH1" i="12"/>
  <c r="AI1" i="12"/>
  <c r="AJ1" i="12"/>
  <c r="O11" i="7"/>
  <c r="P11" i="7"/>
  <c r="Q11" i="7"/>
  <c r="R11" i="7"/>
  <c r="N11" i="7"/>
  <c r="R6" i="7"/>
  <c r="R7" i="7"/>
  <c r="R8" i="7"/>
  <c r="R9" i="7"/>
  <c r="R10" i="7"/>
  <c r="AL37" i="11"/>
  <c r="B19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A19" i="10"/>
  <c r="AO21" i="16"/>
  <c r="AP21" i="16"/>
  <c r="AQ21" i="16"/>
  <c r="AO22" i="16"/>
  <c r="AP22" i="16"/>
  <c r="AQ22" i="16"/>
  <c r="AO23" i="16"/>
  <c r="AP23" i="16"/>
  <c r="AQ23" i="16"/>
  <c r="AO24" i="16"/>
  <c r="AP24" i="16"/>
  <c r="AQ24" i="16"/>
  <c r="AO25" i="16"/>
  <c r="AP25" i="16"/>
  <c r="AQ25" i="16"/>
  <c r="AO26" i="16"/>
  <c r="AP26" i="16"/>
  <c r="AQ26" i="16"/>
  <c r="AO27" i="16"/>
  <c r="AP27" i="16"/>
  <c r="AQ27" i="16"/>
  <c r="AO28" i="16"/>
  <c r="AP28" i="16"/>
  <c r="AQ28" i="16"/>
  <c r="AO29" i="16"/>
  <c r="AP29" i="16"/>
  <c r="AQ29" i="16"/>
  <c r="AO30" i="16"/>
  <c r="AP30" i="16"/>
  <c r="AQ30" i="16"/>
  <c r="AO31" i="16"/>
  <c r="AP31" i="16"/>
  <c r="AQ31" i="16"/>
  <c r="AO32" i="16"/>
  <c r="AP32" i="16"/>
  <c r="AQ32" i="16"/>
  <c r="AO33" i="16"/>
  <c r="AP33" i="16"/>
  <c r="AQ33" i="16"/>
  <c r="AO34" i="16"/>
  <c r="AP34" i="16"/>
  <c r="AQ34" i="16"/>
  <c r="AO35" i="16"/>
  <c r="AP35" i="16"/>
  <c r="AQ35" i="16"/>
  <c r="AO36" i="16"/>
  <c r="AP36" i="16"/>
  <c r="AQ36" i="16"/>
  <c r="AO37" i="16"/>
  <c r="AP37" i="16"/>
  <c r="AQ37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C17" i="16" s="1"/>
  <c r="D17" i="16" s="1"/>
  <c r="E17" i="16" s="1"/>
  <c r="F17" i="16" s="1"/>
  <c r="G17" i="16" s="1"/>
  <c r="H17" i="16" s="1"/>
  <c r="I17" i="16" s="1"/>
  <c r="J17" i="16" s="1"/>
  <c r="K17" i="16" s="1"/>
  <c r="L17" i="16" s="1"/>
  <c r="M17" i="16" s="1"/>
  <c r="N17" i="16" s="1"/>
  <c r="O17" i="16" s="1"/>
  <c r="P17" i="16" s="1"/>
  <c r="Q17" i="16" s="1"/>
  <c r="R17" i="16" s="1"/>
  <c r="S17" i="16" s="1"/>
  <c r="T17" i="16" s="1"/>
  <c r="U17" i="16" s="1"/>
  <c r="V17" i="16" s="1"/>
  <c r="W17" i="16" s="1"/>
  <c r="X17" i="16" s="1"/>
  <c r="Y17" i="16" s="1"/>
  <c r="Z17" i="16" s="1"/>
  <c r="AA17" i="16" s="1"/>
  <c r="AB17" i="16" s="1"/>
  <c r="AC17" i="16" s="1"/>
  <c r="AD17" i="16" s="1"/>
  <c r="AE17" i="16" s="1"/>
  <c r="AF17" i="16" s="1"/>
  <c r="AG17" i="16" s="1"/>
  <c r="A18" i="16"/>
  <c r="A19" i="16"/>
  <c r="A20" i="16"/>
  <c r="C20" i="16" s="1"/>
  <c r="D20" i="16" s="1"/>
  <c r="E20" i="16" s="1"/>
  <c r="F20" i="16" s="1"/>
  <c r="G20" i="16" s="1"/>
  <c r="H20" i="16" s="1"/>
  <c r="I20" i="16" s="1"/>
  <c r="J20" i="16" s="1"/>
  <c r="K20" i="16" s="1"/>
  <c r="L20" i="16" s="1"/>
  <c r="M20" i="16" s="1"/>
  <c r="N20" i="16" s="1"/>
  <c r="O20" i="16" s="1"/>
  <c r="P20" i="16" s="1"/>
  <c r="Q20" i="16" s="1"/>
  <c r="R20" i="16" s="1"/>
  <c r="S20" i="16" s="1"/>
  <c r="T20" i="16" s="1"/>
  <c r="U20" i="16" s="1"/>
  <c r="V20" i="16" s="1"/>
  <c r="W20" i="16" s="1"/>
  <c r="X20" i="16" s="1"/>
  <c r="Y20" i="16" s="1"/>
  <c r="Z20" i="16" s="1"/>
  <c r="AA20" i="16" s="1"/>
  <c r="AB20" i="16" s="1"/>
  <c r="AC20" i="16" s="1"/>
  <c r="AD20" i="16" s="1"/>
  <c r="AE20" i="16" s="1"/>
  <c r="AF20" i="16" s="1"/>
  <c r="AG20" i="16" s="1"/>
  <c r="A21" i="16"/>
  <c r="A22" i="16"/>
  <c r="AL22" i="16" s="1"/>
  <c r="A23" i="16"/>
  <c r="AL23" i="16" s="1"/>
  <c r="A24" i="16"/>
  <c r="AL24" i="16" s="1"/>
  <c r="A25" i="16"/>
  <c r="AL25" i="16" s="1"/>
  <c r="A26" i="16"/>
  <c r="A66" i="16" s="1"/>
  <c r="A27" i="16"/>
  <c r="AL27" i="16" s="1"/>
  <c r="A28" i="16"/>
  <c r="AL28" i="16" s="1"/>
  <c r="A29" i="16"/>
  <c r="A30" i="16"/>
  <c r="A70" i="16" s="1"/>
  <c r="A31" i="16"/>
  <c r="AL31" i="16" s="1"/>
  <c r="A32" i="16"/>
  <c r="A33" i="16"/>
  <c r="A34" i="16"/>
  <c r="B34" i="16" s="1"/>
  <c r="A35" i="16"/>
  <c r="A36" i="16"/>
  <c r="B36" i="16" s="1"/>
  <c r="A37" i="16"/>
  <c r="B37" i="16" s="1"/>
  <c r="AM37" i="16" s="1"/>
  <c r="A2" i="16"/>
  <c r="N21" i="1"/>
  <c r="R21" i="1" s="1"/>
  <c r="V21" i="1" s="1"/>
  <c r="F21" i="1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AC31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AQ29" i="15"/>
  <c r="AN29" i="15"/>
  <c r="AL29" i="15"/>
  <c r="AK29" i="15"/>
  <c r="AJ29" i="15"/>
  <c r="AI29" i="15"/>
  <c r="AQ28" i="15"/>
  <c r="AN28" i="15"/>
  <c r="AL28" i="15"/>
  <c r="AJ28" i="15"/>
  <c r="AI28" i="15"/>
  <c r="AQ27" i="15"/>
  <c r="AN27" i="15"/>
  <c r="AL27" i="15"/>
  <c r="AK27" i="15"/>
  <c r="AJ27" i="15"/>
  <c r="AI27" i="15"/>
  <c r="AQ26" i="15"/>
  <c r="AN26" i="15"/>
  <c r="AL26" i="15"/>
  <c r="AK26" i="15"/>
  <c r="AJ26" i="15"/>
  <c r="AI26" i="15"/>
  <c r="AQ25" i="15"/>
  <c r="AN25" i="15"/>
  <c r="AL25" i="15"/>
  <c r="AK25" i="15"/>
  <c r="AJ25" i="15"/>
  <c r="AI25" i="15"/>
  <c r="AQ24" i="15"/>
  <c r="AN24" i="15"/>
  <c r="AL24" i="15"/>
  <c r="AJ24" i="15"/>
  <c r="AI24" i="15"/>
  <c r="AQ23" i="15"/>
  <c r="AN23" i="15"/>
  <c r="AL23" i="15"/>
  <c r="AK23" i="15"/>
  <c r="AJ23" i="15"/>
  <c r="AI23" i="15"/>
  <c r="AQ22" i="15"/>
  <c r="AN22" i="15"/>
  <c r="AL22" i="15"/>
  <c r="AJ22" i="15"/>
  <c r="AI22" i="15"/>
  <c r="AQ21" i="15"/>
  <c r="AN21" i="15"/>
  <c r="AL21" i="15"/>
  <c r="AK21" i="15"/>
  <c r="AJ21" i="15"/>
  <c r="AI21" i="15"/>
  <c r="AQ20" i="15"/>
  <c r="AP20" i="15"/>
  <c r="AO20" i="15"/>
  <c r="AM20" i="15"/>
  <c r="AL20" i="15"/>
  <c r="AK20" i="15"/>
  <c r="AJ20" i="15"/>
  <c r="AI20" i="15"/>
  <c r="AQ19" i="15"/>
  <c r="AP19" i="15"/>
  <c r="AO19" i="15"/>
  <c r="AN19" i="15"/>
  <c r="AM19" i="15"/>
  <c r="AL19" i="15"/>
  <c r="AK19" i="15"/>
  <c r="AJ19" i="15"/>
  <c r="AI19" i="15"/>
  <c r="AQ18" i="15"/>
  <c r="AP18" i="15"/>
  <c r="AO18" i="15"/>
  <c r="AN18" i="15"/>
  <c r="AM18" i="15"/>
  <c r="AL18" i="15"/>
  <c r="AK18" i="15"/>
  <c r="AJ18" i="15"/>
  <c r="AI18" i="15"/>
  <c r="AQ17" i="15"/>
  <c r="AP17" i="15"/>
  <c r="AO17" i="15"/>
  <c r="AN17" i="15"/>
  <c r="AM17" i="15"/>
  <c r="AL17" i="15"/>
  <c r="AK17" i="15"/>
  <c r="AJ17" i="15"/>
  <c r="AI17" i="15"/>
  <c r="AQ16" i="15"/>
  <c r="AP16" i="15"/>
  <c r="AO16" i="15"/>
  <c r="AN16" i="15"/>
  <c r="AM16" i="15"/>
  <c r="AL16" i="15"/>
  <c r="AK16" i="15"/>
  <c r="AJ16" i="15"/>
  <c r="AI16" i="15"/>
  <c r="AQ15" i="15"/>
  <c r="AP15" i="15"/>
  <c r="AO15" i="15"/>
  <c r="AN15" i="15"/>
  <c r="AM15" i="15"/>
  <c r="AL15" i="15"/>
  <c r="AK15" i="15"/>
  <c r="AJ15" i="15"/>
  <c r="AI15" i="15"/>
  <c r="AQ14" i="15"/>
  <c r="AP14" i="15"/>
  <c r="AO14" i="15"/>
  <c r="AN14" i="15"/>
  <c r="AM14" i="15"/>
  <c r="AL14" i="15"/>
  <c r="AK14" i="15"/>
  <c r="AJ14" i="15"/>
  <c r="AI14" i="15"/>
  <c r="AQ13" i="15"/>
  <c r="AP13" i="15"/>
  <c r="AO13" i="15"/>
  <c r="AN13" i="15"/>
  <c r="AM13" i="15"/>
  <c r="AL13" i="15"/>
  <c r="AK13" i="15"/>
  <c r="AJ13" i="15"/>
  <c r="AI13" i="15"/>
  <c r="AQ12" i="15"/>
  <c r="AP12" i="15"/>
  <c r="AO12" i="15"/>
  <c r="AN12" i="15"/>
  <c r="AM12" i="15"/>
  <c r="AL12" i="15"/>
  <c r="AK12" i="15"/>
  <c r="AJ12" i="15"/>
  <c r="AI12" i="15"/>
  <c r="AQ11" i="15"/>
  <c r="AP11" i="15"/>
  <c r="AO11" i="15"/>
  <c r="AN11" i="15"/>
  <c r="AM11" i="15"/>
  <c r="AL11" i="15"/>
  <c r="AK11" i="15"/>
  <c r="AJ11" i="15"/>
  <c r="AI11" i="15"/>
  <c r="AQ10" i="15"/>
  <c r="AP10" i="15"/>
  <c r="AO10" i="15"/>
  <c r="AN10" i="15"/>
  <c r="AM10" i="15"/>
  <c r="AL10" i="15"/>
  <c r="AK10" i="15"/>
  <c r="AJ10" i="15"/>
  <c r="AI10" i="15"/>
  <c r="AQ9" i="15"/>
  <c r="AP9" i="15"/>
  <c r="AO9" i="15"/>
  <c r="AN9" i="15"/>
  <c r="AM9" i="15"/>
  <c r="AL9" i="15"/>
  <c r="AK9" i="15"/>
  <c r="AJ9" i="15"/>
  <c r="AI9" i="15"/>
  <c r="AQ8" i="15"/>
  <c r="AP8" i="15"/>
  <c r="AO8" i="15"/>
  <c r="AN8" i="15"/>
  <c r="AM8" i="15"/>
  <c r="AL8" i="15"/>
  <c r="AK8" i="15"/>
  <c r="AJ8" i="15"/>
  <c r="AI8" i="15"/>
  <c r="AK7" i="15"/>
  <c r="AJ7" i="15"/>
  <c r="AI7" i="15"/>
  <c r="AK6" i="15"/>
  <c r="AJ6" i="15"/>
  <c r="AI6" i="15"/>
  <c r="N7" i="7"/>
  <c r="B4" i="1"/>
  <c r="F4" i="1"/>
  <c r="J4" i="1"/>
  <c r="N4" i="1"/>
  <c r="R4" i="1"/>
  <c r="AS1" i="12"/>
  <c r="AR1" i="12"/>
  <c r="AQ1" i="12"/>
  <c r="AO1" i="12" s="1"/>
  <c r="J18" i="10"/>
  <c r="I18" i="10"/>
  <c r="H18" i="10"/>
  <c r="G18" i="10"/>
  <c r="F18" i="10"/>
  <c r="E18" i="10"/>
  <c r="D18" i="10"/>
  <c r="C18" i="10"/>
  <c r="B18" i="10"/>
  <c r="A18" i="10"/>
  <c r="D39" i="13"/>
  <c r="D41" i="13" s="1"/>
  <c r="E39" i="13"/>
  <c r="E41" i="13" s="1"/>
  <c r="F39" i="13"/>
  <c r="F41" i="13" s="1"/>
  <c r="G39" i="13"/>
  <c r="G41" i="13" s="1"/>
  <c r="C39" i="13"/>
  <c r="C41" i="13" s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4" i="13"/>
  <c r="P6" i="7"/>
  <c r="B42" i="12"/>
  <c r="B82" i="12" s="1"/>
  <c r="B122" i="12" s="1"/>
  <c r="B162" i="12" s="1"/>
  <c r="B202" i="12" s="1"/>
  <c r="B242" i="12" s="1"/>
  <c r="B282" i="12" s="1"/>
  <c r="B322" i="12" s="1"/>
  <c r="B362" i="12" s="1"/>
  <c r="B402" i="12" s="1"/>
  <c r="B442" i="12" s="1"/>
  <c r="B482" i="12" s="1"/>
  <c r="B522" i="12" s="1"/>
  <c r="A42" i="12"/>
  <c r="A82" i="12" s="1"/>
  <c r="A122" i="12" s="1"/>
  <c r="A162" i="12" s="1"/>
  <c r="A202" i="12" s="1"/>
  <c r="A242" i="12" s="1"/>
  <c r="A282" i="12" s="1"/>
  <c r="A322" i="12" s="1"/>
  <c r="A362" i="12" s="1"/>
  <c r="A402" i="12" s="1"/>
  <c r="A442" i="12" s="1"/>
  <c r="A482" i="12" s="1"/>
  <c r="A522" i="12" s="1"/>
  <c r="AN39" i="12"/>
  <c r="G26" i="1" s="1"/>
  <c r="AM39" i="12"/>
  <c r="P10" i="7"/>
  <c r="Q9" i="7"/>
  <c r="P9" i="7"/>
  <c r="O9" i="7"/>
  <c r="Q8" i="7"/>
  <c r="P8" i="7"/>
  <c r="O8" i="7"/>
  <c r="AT14" i="1"/>
  <c r="N4" i="7"/>
  <c r="P5" i="7"/>
  <c r="Q5" i="7"/>
  <c r="R5" i="7"/>
  <c r="O5" i="7"/>
  <c r="R3" i="7"/>
  <c r="J23" i="7" s="1"/>
  <c r="Q3" i="7"/>
  <c r="I23" i="7" s="1"/>
  <c r="O3" i="7"/>
  <c r="G23" i="7" s="1"/>
  <c r="P2" i="7"/>
  <c r="A11" i="1"/>
  <c r="A12" i="1"/>
  <c r="AN1" i="1"/>
  <c r="O41" i="3"/>
  <c r="N41" i="3"/>
  <c r="O40" i="3"/>
  <c r="N40" i="3"/>
  <c r="O34" i="3"/>
  <c r="N34" i="3"/>
  <c r="X31" i="2"/>
  <c r="X19" i="2"/>
  <c r="AD43" i="1"/>
  <c r="J43" i="1"/>
  <c r="Y43" i="1"/>
  <c r="O43" i="1"/>
  <c r="AI43" i="1"/>
  <c r="E43" i="1"/>
  <c r="T43" i="1"/>
  <c r="AN43" i="1"/>
  <c r="G33" i="7" l="1"/>
  <c r="H33" i="7"/>
  <c r="I33" i="7"/>
  <c r="J33" i="7"/>
  <c r="G28" i="7"/>
  <c r="G21" i="7"/>
  <c r="G22" i="7"/>
  <c r="J22" i="7"/>
  <c r="J28" i="7"/>
  <c r="J21" i="7"/>
  <c r="I21" i="7"/>
  <c r="I22" i="7"/>
  <c r="I28" i="7"/>
  <c r="I25" i="7"/>
  <c r="G25" i="7"/>
  <c r="J25" i="7"/>
  <c r="H25" i="7"/>
  <c r="H22" i="7"/>
  <c r="H23" i="7"/>
  <c r="H28" i="7"/>
  <c r="H21" i="7"/>
  <c r="AJ42" i="12"/>
  <c r="AJ82" i="12" s="1"/>
  <c r="AJ122" i="12" s="1"/>
  <c r="AJ162" i="12" s="1"/>
  <c r="AJ202" i="12" s="1"/>
  <c r="AJ242" i="12" s="1"/>
  <c r="AJ282" i="12" s="1"/>
  <c r="AJ322" i="12" s="1"/>
  <c r="AJ362" i="12" s="1"/>
  <c r="AJ402" i="12" s="1"/>
  <c r="AJ442" i="12" s="1"/>
  <c r="AJ482" i="12" s="1"/>
  <c r="AJ522" i="12" s="1"/>
  <c r="AJ16" i="12"/>
  <c r="AJ28" i="12"/>
  <c r="AJ13" i="12"/>
  <c r="AJ15" i="12"/>
  <c r="AJ38" i="12"/>
  <c r="AJ14" i="12"/>
  <c r="AJ30" i="12"/>
  <c r="AJ37" i="12"/>
  <c r="AJ29" i="12"/>
  <c r="AJ510" i="12" s="1"/>
  <c r="AJ24" i="12"/>
  <c r="AJ23" i="12"/>
  <c r="AJ19" i="12"/>
  <c r="AJ26" i="12"/>
  <c r="AJ18" i="12"/>
  <c r="AJ25" i="12"/>
  <c r="AJ27" i="12"/>
  <c r="AJ21" i="12"/>
  <c r="AJ22" i="12"/>
  <c r="AJ17" i="12"/>
  <c r="AJ20" i="12"/>
  <c r="AD42" i="12"/>
  <c r="AD82" i="12" s="1"/>
  <c r="AD122" i="12" s="1"/>
  <c r="AD162" i="12" s="1"/>
  <c r="AD202" i="12" s="1"/>
  <c r="AD242" i="12" s="1"/>
  <c r="AD282" i="12" s="1"/>
  <c r="AD322" i="12" s="1"/>
  <c r="AD362" i="12" s="1"/>
  <c r="AD402" i="12" s="1"/>
  <c r="AD442" i="12" s="1"/>
  <c r="AD482" i="12" s="1"/>
  <c r="AD522" i="12" s="1"/>
  <c r="AD17" i="12"/>
  <c r="AD24" i="12"/>
  <c r="AD23" i="12"/>
  <c r="AD13" i="12"/>
  <c r="AD16" i="12"/>
  <c r="AD38" i="12"/>
  <c r="AD14" i="12"/>
  <c r="AD15" i="12"/>
  <c r="AD18" i="12"/>
  <c r="AD30" i="12"/>
  <c r="AD37" i="12"/>
  <c r="AD21" i="12"/>
  <c r="AD27" i="12"/>
  <c r="AD19" i="12"/>
  <c r="AD22" i="12"/>
  <c r="AD25" i="12"/>
  <c r="AD29" i="12"/>
  <c r="AD28" i="12"/>
  <c r="AD20" i="12"/>
  <c r="AD26" i="12"/>
  <c r="X42" i="12"/>
  <c r="X82" i="12" s="1"/>
  <c r="X122" i="12" s="1"/>
  <c r="X162" i="12" s="1"/>
  <c r="X202" i="12" s="1"/>
  <c r="X242" i="12" s="1"/>
  <c r="X282" i="12" s="1"/>
  <c r="X322" i="12" s="1"/>
  <c r="X362" i="12" s="1"/>
  <c r="X402" i="12" s="1"/>
  <c r="X442" i="12" s="1"/>
  <c r="X482" i="12" s="1"/>
  <c r="X522" i="12" s="1"/>
  <c r="X13" i="12"/>
  <c r="X38" i="12"/>
  <c r="X14" i="12"/>
  <c r="X16" i="12"/>
  <c r="X30" i="12"/>
  <c r="X37" i="12"/>
  <c r="X15" i="12"/>
  <c r="X29" i="12"/>
  <c r="X26" i="12"/>
  <c r="X22" i="12"/>
  <c r="X18" i="12"/>
  <c r="X20" i="12"/>
  <c r="X25" i="12"/>
  <c r="X28" i="12"/>
  <c r="X23" i="12"/>
  <c r="X19" i="12"/>
  <c r="X27" i="12"/>
  <c r="X21" i="12"/>
  <c r="X24" i="12"/>
  <c r="X17" i="12"/>
  <c r="R42" i="12"/>
  <c r="R82" i="12" s="1"/>
  <c r="R122" i="12" s="1"/>
  <c r="R162" i="12" s="1"/>
  <c r="R202" i="12" s="1"/>
  <c r="R242" i="12" s="1"/>
  <c r="R282" i="12" s="1"/>
  <c r="R322" i="12" s="1"/>
  <c r="R362" i="12" s="1"/>
  <c r="R402" i="12" s="1"/>
  <c r="R442" i="12" s="1"/>
  <c r="R482" i="12" s="1"/>
  <c r="R522" i="12" s="1"/>
  <c r="R23" i="12"/>
  <c r="R27" i="12"/>
  <c r="R19" i="12"/>
  <c r="R13" i="12"/>
  <c r="R17" i="12"/>
  <c r="R24" i="12"/>
  <c r="R25" i="12"/>
  <c r="R20" i="12"/>
  <c r="R38" i="12"/>
  <c r="R30" i="12"/>
  <c r="R37" i="12"/>
  <c r="R14" i="12"/>
  <c r="R16" i="12"/>
  <c r="R18" i="12"/>
  <c r="R15" i="12"/>
  <c r="R21" i="12"/>
  <c r="R29" i="12"/>
  <c r="R22" i="12"/>
  <c r="R26" i="12"/>
  <c r="R28" i="12"/>
  <c r="L42" i="12"/>
  <c r="L82" i="12" s="1"/>
  <c r="L122" i="12" s="1"/>
  <c r="L162" i="12" s="1"/>
  <c r="L202" i="12" s="1"/>
  <c r="L242" i="12" s="1"/>
  <c r="L282" i="12" s="1"/>
  <c r="L322" i="12" s="1"/>
  <c r="L362" i="12" s="1"/>
  <c r="L402" i="12" s="1"/>
  <c r="L442" i="12" s="1"/>
  <c r="L482" i="12" s="1"/>
  <c r="L522" i="12" s="1"/>
  <c r="L17" i="12"/>
  <c r="L13" i="12"/>
  <c r="L18" i="12"/>
  <c r="L24" i="12"/>
  <c r="L38" i="12"/>
  <c r="L21" i="12"/>
  <c r="L30" i="12"/>
  <c r="L37" i="12"/>
  <c r="L19" i="12"/>
  <c r="L22" i="12"/>
  <c r="L14" i="12"/>
  <c r="L16" i="12"/>
  <c r="L20" i="12"/>
  <c r="L23" i="12"/>
  <c r="L29" i="12"/>
  <c r="L15" i="12"/>
  <c r="L26" i="12"/>
  <c r="L28" i="12"/>
  <c r="L25" i="12"/>
  <c r="L27" i="12"/>
  <c r="F42" i="12"/>
  <c r="F82" i="12" s="1"/>
  <c r="F122" i="12" s="1"/>
  <c r="F162" i="12" s="1"/>
  <c r="F202" i="12" s="1"/>
  <c r="F242" i="12" s="1"/>
  <c r="F282" i="12" s="1"/>
  <c r="F322" i="12" s="1"/>
  <c r="F362" i="12" s="1"/>
  <c r="F402" i="12" s="1"/>
  <c r="F442" i="12" s="1"/>
  <c r="F482" i="12" s="1"/>
  <c r="F522" i="12" s="1"/>
  <c r="F15" i="12"/>
  <c r="F13" i="12"/>
  <c r="F38" i="12"/>
  <c r="F30" i="12"/>
  <c r="F14" i="12"/>
  <c r="F37" i="12"/>
  <c r="F29" i="12"/>
  <c r="F510" i="12" s="1"/>
  <c r="F16" i="12"/>
  <c r="F21" i="12"/>
  <c r="F19" i="12"/>
  <c r="F28" i="12"/>
  <c r="F26" i="12"/>
  <c r="F23" i="12"/>
  <c r="F17" i="12"/>
  <c r="F25" i="12"/>
  <c r="F24" i="12"/>
  <c r="F18" i="12"/>
  <c r="F27" i="12"/>
  <c r="F20" i="12"/>
  <c r="F22" i="12"/>
  <c r="D42" i="12"/>
  <c r="D82" i="12" s="1"/>
  <c r="D122" i="12" s="1"/>
  <c r="D162" i="12" s="1"/>
  <c r="D202" i="12" s="1"/>
  <c r="D242" i="12" s="1"/>
  <c r="D282" i="12" s="1"/>
  <c r="D322" i="12" s="1"/>
  <c r="D362" i="12" s="1"/>
  <c r="D402" i="12" s="1"/>
  <c r="D442" i="12" s="1"/>
  <c r="D482" i="12" s="1"/>
  <c r="D522" i="12" s="1"/>
  <c r="D38" i="12"/>
  <c r="D13" i="12"/>
  <c r="D19" i="12"/>
  <c r="D22" i="12"/>
  <c r="D30" i="12"/>
  <c r="D37" i="12"/>
  <c r="D15" i="12"/>
  <c r="D17" i="12"/>
  <c r="D20" i="12"/>
  <c r="D23" i="12"/>
  <c r="D29" i="12"/>
  <c r="D24" i="12"/>
  <c r="D27" i="12"/>
  <c r="D21" i="12"/>
  <c r="D14" i="12"/>
  <c r="D16" i="12"/>
  <c r="D18" i="12"/>
  <c r="D25" i="12"/>
  <c r="D26" i="12"/>
  <c r="D28" i="12"/>
  <c r="AI42" i="12"/>
  <c r="AI82" i="12" s="1"/>
  <c r="AI122" i="12" s="1"/>
  <c r="AI162" i="12" s="1"/>
  <c r="AI202" i="12" s="1"/>
  <c r="AI242" i="12" s="1"/>
  <c r="AI282" i="12" s="1"/>
  <c r="AI322" i="12" s="1"/>
  <c r="AI362" i="12" s="1"/>
  <c r="AI402" i="12" s="1"/>
  <c r="AI442" i="12" s="1"/>
  <c r="AI482" i="12" s="1"/>
  <c r="AI522" i="12" s="1"/>
  <c r="AI13" i="12"/>
  <c r="AI38" i="12"/>
  <c r="AI14" i="12"/>
  <c r="AI30" i="12"/>
  <c r="AI37" i="12"/>
  <c r="AI29" i="12"/>
  <c r="AI26" i="12"/>
  <c r="AI18" i="12"/>
  <c r="AI24" i="12"/>
  <c r="AI20" i="12"/>
  <c r="AI21" i="12"/>
  <c r="AI25" i="12"/>
  <c r="AI22" i="12"/>
  <c r="AI28" i="12"/>
  <c r="AI27" i="12"/>
  <c r="AI15" i="12"/>
  <c r="AI19" i="12"/>
  <c r="AI17" i="12"/>
  <c r="AI23" i="12"/>
  <c r="AI16" i="12"/>
  <c r="AC42" i="12"/>
  <c r="AC82" i="12" s="1"/>
  <c r="AC122" i="12" s="1"/>
  <c r="AC162" i="12" s="1"/>
  <c r="AC202" i="12" s="1"/>
  <c r="AC242" i="12" s="1"/>
  <c r="AC282" i="12" s="1"/>
  <c r="AC322" i="12" s="1"/>
  <c r="AC362" i="12" s="1"/>
  <c r="AC402" i="12" s="1"/>
  <c r="AC442" i="12" s="1"/>
  <c r="AC482" i="12" s="1"/>
  <c r="AC522" i="12" s="1"/>
  <c r="AC13" i="12"/>
  <c r="AC38" i="12"/>
  <c r="AC14" i="12"/>
  <c r="AC30" i="12"/>
  <c r="AC37" i="12"/>
  <c r="AC29" i="12"/>
  <c r="AC25" i="12"/>
  <c r="AC22" i="12"/>
  <c r="AC21" i="12"/>
  <c r="AC15" i="12"/>
  <c r="AC16" i="12"/>
  <c r="AC27" i="12"/>
  <c r="AC28" i="12"/>
  <c r="AC509" i="12" s="1"/>
  <c r="AC26" i="12"/>
  <c r="AC19" i="12"/>
  <c r="AC18" i="12"/>
  <c r="AC17" i="12"/>
  <c r="AC24" i="12"/>
  <c r="AC23" i="12"/>
  <c r="AC20" i="12"/>
  <c r="W42" i="12"/>
  <c r="W82" i="12" s="1"/>
  <c r="W122" i="12" s="1"/>
  <c r="W162" i="12" s="1"/>
  <c r="W202" i="12" s="1"/>
  <c r="W242" i="12" s="1"/>
  <c r="W282" i="12" s="1"/>
  <c r="W322" i="12" s="1"/>
  <c r="W362" i="12" s="1"/>
  <c r="W402" i="12" s="1"/>
  <c r="W442" i="12" s="1"/>
  <c r="W482" i="12" s="1"/>
  <c r="W522" i="12" s="1"/>
  <c r="W13" i="12"/>
  <c r="W38" i="12"/>
  <c r="W30" i="12"/>
  <c r="W37" i="12"/>
  <c r="W29" i="12"/>
  <c r="W16" i="12"/>
  <c r="W26" i="12"/>
  <c r="W17" i="12"/>
  <c r="W27" i="12"/>
  <c r="W15" i="12"/>
  <c r="W19" i="12"/>
  <c r="W28" i="12"/>
  <c r="W18" i="12"/>
  <c r="W25" i="12"/>
  <c r="W22" i="12"/>
  <c r="W21" i="12"/>
  <c r="W24" i="12"/>
  <c r="W23" i="12"/>
  <c r="W20" i="12"/>
  <c r="W14" i="12"/>
  <c r="Q42" i="12"/>
  <c r="Q82" i="12" s="1"/>
  <c r="Q122" i="12" s="1"/>
  <c r="Q162" i="12" s="1"/>
  <c r="Q202" i="12" s="1"/>
  <c r="Q242" i="12" s="1"/>
  <c r="Q282" i="12" s="1"/>
  <c r="Q322" i="12" s="1"/>
  <c r="Q362" i="12" s="1"/>
  <c r="Q402" i="12" s="1"/>
  <c r="Q442" i="12" s="1"/>
  <c r="Q482" i="12" s="1"/>
  <c r="Q522" i="12" s="1"/>
  <c r="Q13" i="12"/>
  <c r="Q38" i="12"/>
  <c r="Q30" i="12"/>
  <c r="Q37" i="12"/>
  <c r="Q29" i="12"/>
  <c r="Q27" i="12"/>
  <c r="Q28" i="12"/>
  <c r="Q22" i="12"/>
  <c r="Q26" i="12"/>
  <c r="Q19" i="12"/>
  <c r="Q18" i="12"/>
  <c r="Q17" i="12"/>
  <c r="Q24" i="12"/>
  <c r="Q23" i="12"/>
  <c r="Q20" i="12"/>
  <c r="Q14" i="12"/>
  <c r="Q15" i="12"/>
  <c r="Q16" i="12"/>
  <c r="Q25" i="12"/>
  <c r="Q21" i="12"/>
  <c r="K42" i="12"/>
  <c r="K82" i="12" s="1"/>
  <c r="K122" i="12" s="1"/>
  <c r="K162" i="12" s="1"/>
  <c r="K202" i="12" s="1"/>
  <c r="K242" i="12" s="1"/>
  <c r="K282" i="12" s="1"/>
  <c r="K322" i="12" s="1"/>
  <c r="K362" i="12" s="1"/>
  <c r="K402" i="12" s="1"/>
  <c r="K442" i="12" s="1"/>
  <c r="K482" i="12" s="1"/>
  <c r="K522" i="12" s="1"/>
  <c r="K13" i="12"/>
  <c r="K38" i="12"/>
  <c r="K30" i="12"/>
  <c r="K511" i="12" s="1"/>
  <c r="K37" i="12"/>
  <c r="K29" i="12"/>
  <c r="K19" i="12"/>
  <c r="K20" i="12"/>
  <c r="K15" i="12"/>
  <c r="K26" i="12"/>
  <c r="K18" i="12"/>
  <c r="K24" i="12"/>
  <c r="K25" i="12"/>
  <c r="K22" i="12"/>
  <c r="K21" i="12"/>
  <c r="K28" i="12"/>
  <c r="K27" i="12"/>
  <c r="K14" i="12"/>
  <c r="K17" i="12"/>
  <c r="K23" i="12"/>
  <c r="K16" i="12"/>
  <c r="E38" i="12"/>
  <c r="E518" i="12" s="1"/>
  <c r="E30" i="12"/>
  <c r="E37" i="12"/>
  <c r="E14" i="12"/>
  <c r="E16" i="12"/>
  <c r="E15" i="12"/>
  <c r="E29" i="12"/>
  <c r="E13" i="12"/>
  <c r="E18" i="12"/>
  <c r="E23" i="12"/>
  <c r="E27" i="12"/>
  <c r="E26" i="12"/>
  <c r="E507" i="12" s="1"/>
  <c r="E17" i="12"/>
  <c r="E25" i="12"/>
  <c r="E22" i="12"/>
  <c r="E21" i="12"/>
  <c r="E28" i="12"/>
  <c r="E19" i="12"/>
  <c r="E24" i="12"/>
  <c r="E20" i="12"/>
  <c r="C37" i="12"/>
  <c r="C38" i="12"/>
  <c r="AH42" i="12"/>
  <c r="AH82" i="12" s="1"/>
  <c r="AH122" i="12" s="1"/>
  <c r="AH162" i="12" s="1"/>
  <c r="AH202" i="12" s="1"/>
  <c r="AH242" i="12" s="1"/>
  <c r="AH282" i="12" s="1"/>
  <c r="AH322" i="12" s="1"/>
  <c r="AH362" i="12" s="1"/>
  <c r="AH402" i="12" s="1"/>
  <c r="AH442" i="12" s="1"/>
  <c r="AH482" i="12" s="1"/>
  <c r="AH522" i="12" s="1"/>
  <c r="AH38" i="12"/>
  <c r="AH14" i="12"/>
  <c r="AH15" i="12"/>
  <c r="AH30" i="12"/>
  <c r="AH13" i="12"/>
  <c r="AH37" i="12"/>
  <c r="AH29" i="12"/>
  <c r="AH510" i="12" s="1"/>
  <c r="AH16" i="12"/>
  <c r="AH28" i="12"/>
  <c r="AH26" i="12"/>
  <c r="AH19" i="12"/>
  <c r="AH20" i="12"/>
  <c r="AH25" i="12"/>
  <c r="AH21" i="12"/>
  <c r="AH27" i="12"/>
  <c r="AH22" i="12"/>
  <c r="AH23" i="12"/>
  <c r="AH17" i="12"/>
  <c r="AH24" i="12"/>
  <c r="AH18" i="12"/>
  <c r="AB38" i="12"/>
  <c r="AB14" i="12"/>
  <c r="AB16" i="12"/>
  <c r="AB30" i="12"/>
  <c r="AB37" i="12"/>
  <c r="AB15" i="12"/>
  <c r="AB29" i="12"/>
  <c r="AB13" i="12"/>
  <c r="AB27" i="12"/>
  <c r="AB21" i="12"/>
  <c r="AB18" i="12"/>
  <c r="AB24" i="12"/>
  <c r="AB505" i="12" s="1"/>
  <c r="AB25" i="12"/>
  <c r="AB26" i="12"/>
  <c r="AB23" i="12"/>
  <c r="AB28" i="12"/>
  <c r="AB20" i="12"/>
  <c r="AB22" i="12"/>
  <c r="AB17" i="12"/>
  <c r="AB19" i="12"/>
  <c r="V42" i="12"/>
  <c r="V82" i="12" s="1"/>
  <c r="V122" i="12" s="1"/>
  <c r="V162" i="12" s="1"/>
  <c r="V202" i="12" s="1"/>
  <c r="V242" i="12" s="1"/>
  <c r="V282" i="12" s="1"/>
  <c r="V322" i="12" s="1"/>
  <c r="V362" i="12" s="1"/>
  <c r="V402" i="12" s="1"/>
  <c r="V442" i="12" s="1"/>
  <c r="V482" i="12" s="1"/>
  <c r="V522" i="12" s="1"/>
  <c r="V38" i="12"/>
  <c r="V21" i="12"/>
  <c r="V30" i="12"/>
  <c r="V37" i="12"/>
  <c r="V14" i="12"/>
  <c r="V16" i="12"/>
  <c r="V19" i="12"/>
  <c r="V22" i="12"/>
  <c r="V15" i="12"/>
  <c r="V23" i="12"/>
  <c r="V504" i="12" s="1"/>
  <c r="V27" i="12"/>
  <c r="V29" i="12"/>
  <c r="V17" i="12"/>
  <c r="V24" i="12"/>
  <c r="V25" i="12"/>
  <c r="V13" i="12"/>
  <c r="V18" i="12"/>
  <c r="V28" i="12"/>
  <c r="V26" i="12"/>
  <c r="V20" i="12"/>
  <c r="P42" i="12"/>
  <c r="P82" i="12" s="1"/>
  <c r="P122" i="12" s="1"/>
  <c r="P162" i="12" s="1"/>
  <c r="P202" i="12" s="1"/>
  <c r="P242" i="12" s="1"/>
  <c r="P282" i="12" s="1"/>
  <c r="P322" i="12" s="1"/>
  <c r="P362" i="12" s="1"/>
  <c r="P402" i="12" s="1"/>
  <c r="P442" i="12" s="1"/>
  <c r="P482" i="12" s="1"/>
  <c r="P522" i="12" s="1"/>
  <c r="P38" i="12"/>
  <c r="P30" i="12"/>
  <c r="P37" i="12"/>
  <c r="P13" i="12"/>
  <c r="P14" i="12"/>
  <c r="P16" i="12"/>
  <c r="P29" i="12"/>
  <c r="P15" i="12"/>
  <c r="P25" i="12"/>
  <c r="P21" i="12"/>
  <c r="P22" i="12"/>
  <c r="P18" i="12"/>
  <c r="P27" i="12"/>
  <c r="P508" i="12" s="1"/>
  <c r="P28" i="12"/>
  <c r="P23" i="12"/>
  <c r="P19" i="12"/>
  <c r="P26" i="12"/>
  <c r="P24" i="12"/>
  <c r="P20" i="12"/>
  <c r="P17" i="12"/>
  <c r="J38" i="12"/>
  <c r="J18" i="12"/>
  <c r="J30" i="12"/>
  <c r="J13" i="12"/>
  <c r="J37" i="12"/>
  <c r="J21" i="12"/>
  <c r="J19" i="12"/>
  <c r="J22" i="12"/>
  <c r="J27" i="12"/>
  <c r="J29" i="12"/>
  <c r="J14" i="12"/>
  <c r="J16" i="12"/>
  <c r="J20" i="12"/>
  <c r="J23" i="12"/>
  <c r="J25" i="12"/>
  <c r="J15" i="12"/>
  <c r="J17" i="12"/>
  <c r="J24" i="12"/>
  <c r="J28" i="12"/>
  <c r="J26" i="12"/>
  <c r="AG37" i="12"/>
  <c r="AG19" i="12"/>
  <c r="AG22" i="12"/>
  <c r="AG25" i="12"/>
  <c r="AG14" i="12"/>
  <c r="AG15" i="12"/>
  <c r="AG23" i="12"/>
  <c r="AG29" i="12"/>
  <c r="AG21" i="12"/>
  <c r="AG27" i="12"/>
  <c r="AG30" i="12"/>
  <c r="AG17" i="12"/>
  <c r="AG24" i="12"/>
  <c r="AG38" i="12"/>
  <c r="AG13" i="12"/>
  <c r="AG16" i="12"/>
  <c r="AG18" i="12"/>
  <c r="AG20" i="12"/>
  <c r="AG28" i="12"/>
  <c r="AG26" i="12"/>
  <c r="AA37" i="12"/>
  <c r="AA15" i="12"/>
  <c r="AA29" i="12"/>
  <c r="AA38" i="12"/>
  <c r="AA30" i="12"/>
  <c r="AA16" i="12"/>
  <c r="AA13" i="12"/>
  <c r="AA14" i="12"/>
  <c r="AA25" i="12"/>
  <c r="AA24" i="12"/>
  <c r="AA18" i="12"/>
  <c r="AA19" i="12"/>
  <c r="AA27" i="12"/>
  <c r="AA20" i="12"/>
  <c r="AA21" i="12"/>
  <c r="AA28" i="12"/>
  <c r="AA26" i="12"/>
  <c r="AA23" i="12"/>
  <c r="AA17" i="12"/>
  <c r="AA22" i="12"/>
  <c r="U37" i="12"/>
  <c r="U14" i="12"/>
  <c r="U16" i="12"/>
  <c r="U38" i="12"/>
  <c r="U15" i="12"/>
  <c r="U29" i="12"/>
  <c r="U30" i="12"/>
  <c r="U13" i="12"/>
  <c r="U21" i="12"/>
  <c r="U22" i="12"/>
  <c r="U24" i="12"/>
  <c r="U28" i="12"/>
  <c r="U26" i="12"/>
  <c r="U25" i="12"/>
  <c r="U17" i="12"/>
  <c r="U27" i="12"/>
  <c r="U19" i="12"/>
  <c r="U20" i="12"/>
  <c r="U18" i="12"/>
  <c r="U23" i="12"/>
  <c r="O37" i="12"/>
  <c r="O17" i="12"/>
  <c r="O24" i="12"/>
  <c r="O25" i="12"/>
  <c r="O30" i="12"/>
  <c r="O14" i="12"/>
  <c r="O16" i="12"/>
  <c r="O29" i="12"/>
  <c r="O15" i="12"/>
  <c r="O18" i="12"/>
  <c r="O23" i="12"/>
  <c r="O27" i="12"/>
  <c r="O21" i="12"/>
  <c r="O13" i="12"/>
  <c r="O19" i="12"/>
  <c r="O22" i="12"/>
  <c r="O38" i="12"/>
  <c r="O26" i="12"/>
  <c r="O28" i="12"/>
  <c r="O20" i="12"/>
  <c r="I42" i="12"/>
  <c r="I82" i="12" s="1"/>
  <c r="I122" i="12" s="1"/>
  <c r="I162" i="12" s="1"/>
  <c r="I202" i="12" s="1"/>
  <c r="I242" i="12" s="1"/>
  <c r="I282" i="12" s="1"/>
  <c r="I322" i="12" s="1"/>
  <c r="I362" i="12" s="1"/>
  <c r="I402" i="12" s="1"/>
  <c r="I442" i="12" s="1"/>
  <c r="I482" i="12" s="1"/>
  <c r="I522" i="12" s="1"/>
  <c r="I37" i="12"/>
  <c r="I29" i="12"/>
  <c r="I30" i="12"/>
  <c r="I14" i="12"/>
  <c r="I16" i="12"/>
  <c r="I15" i="12"/>
  <c r="I38" i="12"/>
  <c r="I13" i="12"/>
  <c r="I24" i="12"/>
  <c r="I17" i="12"/>
  <c r="I27" i="12"/>
  <c r="I28" i="12"/>
  <c r="I22" i="12"/>
  <c r="I23" i="12"/>
  <c r="I19" i="12"/>
  <c r="I25" i="12"/>
  <c r="I20" i="12"/>
  <c r="I21" i="12"/>
  <c r="I18" i="12"/>
  <c r="I26" i="12"/>
  <c r="AF42" i="12"/>
  <c r="AF82" i="12" s="1"/>
  <c r="AF122" i="12" s="1"/>
  <c r="AF162" i="12" s="1"/>
  <c r="AF202" i="12" s="1"/>
  <c r="AF242" i="12" s="1"/>
  <c r="AF282" i="12" s="1"/>
  <c r="AF322" i="12" s="1"/>
  <c r="AF362" i="12" s="1"/>
  <c r="AF402" i="12" s="1"/>
  <c r="AF442" i="12" s="1"/>
  <c r="AF482" i="12" s="1"/>
  <c r="AF522" i="12" s="1"/>
  <c r="AF23" i="12"/>
  <c r="AF29" i="12"/>
  <c r="AF17" i="12"/>
  <c r="AF24" i="12"/>
  <c r="AF19" i="12"/>
  <c r="AF13" i="12"/>
  <c r="AF16" i="12"/>
  <c r="AF18" i="12"/>
  <c r="AF20" i="12"/>
  <c r="AF22" i="12"/>
  <c r="AF503" i="12" s="1"/>
  <c r="AF38" i="12"/>
  <c r="AF14" i="12"/>
  <c r="AF15" i="12"/>
  <c r="AF21" i="12"/>
  <c r="AF27" i="12"/>
  <c r="AF30" i="12"/>
  <c r="AF37" i="12"/>
  <c r="AF25" i="12"/>
  <c r="AF26" i="12"/>
  <c r="AF28" i="12"/>
  <c r="Z42" i="12"/>
  <c r="Z82" i="12" s="1"/>
  <c r="Z122" i="12" s="1"/>
  <c r="Z162" i="12" s="1"/>
  <c r="Z202" i="12" s="1"/>
  <c r="Z242" i="12" s="1"/>
  <c r="Z282" i="12" s="1"/>
  <c r="Z322" i="12" s="1"/>
  <c r="Z362" i="12" s="1"/>
  <c r="Z402" i="12" s="1"/>
  <c r="Z442" i="12" s="1"/>
  <c r="Z482" i="12" s="1"/>
  <c r="Z522" i="12" s="1"/>
  <c r="Z29" i="12"/>
  <c r="Z37" i="12"/>
  <c r="Z18" i="12"/>
  <c r="Z20" i="12"/>
  <c r="Z21" i="12"/>
  <c r="Z17" i="12"/>
  <c r="Z13" i="12"/>
  <c r="Z19" i="12"/>
  <c r="Z22" i="12"/>
  <c r="Z15" i="12"/>
  <c r="Z24" i="12"/>
  <c r="Z38" i="12"/>
  <c r="Z14" i="12"/>
  <c r="Z16" i="12"/>
  <c r="Z23" i="12"/>
  <c r="Z30" i="12"/>
  <c r="Z25" i="12"/>
  <c r="Z27" i="12"/>
  <c r="Z28" i="12"/>
  <c r="Z26" i="12"/>
  <c r="T42" i="12"/>
  <c r="T82" i="12" s="1"/>
  <c r="T122" i="12" s="1"/>
  <c r="T162" i="12" s="1"/>
  <c r="T202" i="12" s="1"/>
  <c r="T242" i="12" s="1"/>
  <c r="T282" i="12" s="1"/>
  <c r="T322" i="12" s="1"/>
  <c r="T362" i="12" s="1"/>
  <c r="T402" i="12" s="1"/>
  <c r="T442" i="12" s="1"/>
  <c r="T482" i="12" s="1"/>
  <c r="T522" i="12" s="1"/>
  <c r="T15" i="12"/>
  <c r="T29" i="12"/>
  <c r="T16" i="12"/>
  <c r="T13" i="12"/>
  <c r="T37" i="12"/>
  <c r="T14" i="12"/>
  <c r="T38" i="12"/>
  <c r="T30" i="12"/>
  <c r="T28" i="12"/>
  <c r="T23" i="12"/>
  <c r="T17" i="12"/>
  <c r="T18" i="12"/>
  <c r="T27" i="12"/>
  <c r="T21" i="12"/>
  <c r="T19" i="12"/>
  <c r="T26" i="12"/>
  <c r="T20" i="12"/>
  <c r="T25" i="12"/>
  <c r="T22" i="12"/>
  <c r="T24" i="12"/>
  <c r="N42" i="12"/>
  <c r="N82" i="12" s="1"/>
  <c r="N122" i="12" s="1"/>
  <c r="N162" i="12" s="1"/>
  <c r="N202" i="12" s="1"/>
  <c r="N242" i="12" s="1"/>
  <c r="N282" i="12" s="1"/>
  <c r="N322" i="12" s="1"/>
  <c r="N362" i="12" s="1"/>
  <c r="N402" i="12" s="1"/>
  <c r="N442" i="12" s="1"/>
  <c r="N482" i="12" s="1"/>
  <c r="N522" i="12" s="1"/>
  <c r="N14" i="12"/>
  <c r="N16" i="12"/>
  <c r="N29" i="12"/>
  <c r="N15" i="12"/>
  <c r="N13" i="12"/>
  <c r="N38" i="12"/>
  <c r="N30" i="12"/>
  <c r="N37" i="12"/>
  <c r="N21" i="12"/>
  <c r="N28" i="12"/>
  <c r="N26" i="12"/>
  <c r="N20" i="12"/>
  <c r="N25" i="12"/>
  <c r="N506" i="12" s="1"/>
  <c r="N24" i="12"/>
  <c r="N22" i="12"/>
  <c r="N23" i="12"/>
  <c r="N18" i="12"/>
  <c r="N19" i="12"/>
  <c r="N27" i="12"/>
  <c r="N17" i="12"/>
  <c r="H42" i="12"/>
  <c r="H82" i="12" s="1"/>
  <c r="H122" i="12" s="1"/>
  <c r="H162" i="12" s="1"/>
  <c r="H202" i="12" s="1"/>
  <c r="H242" i="12" s="1"/>
  <c r="H282" i="12" s="1"/>
  <c r="H322" i="12" s="1"/>
  <c r="H362" i="12" s="1"/>
  <c r="H402" i="12" s="1"/>
  <c r="H442" i="12" s="1"/>
  <c r="H482" i="12" s="1"/>
  <c r="H522" i="12" s="1"/>
  <c r="H21" i="12"/>
  <c r="H29" i="12"/>
  <c r="H25" i="12"/>
  <c r="H14" i="12"/>
  <c r="H16" i="12"/>
  <c r="H19" i="12"/>
  <c r="H22" i="12"/>
  <c r="H26" i="12"/>
  <c r="H37" i="12"/>
  <c r="H18" i="12"/>
  <c r="H15" i="12"/>
  <c r="H13" i="12"/>
  <c r="H17" i="12"/>
  <c r="H38" i="12"/>
  <c r="H27" i="12"/>
  <c r="H30" i="12"/>
  <c r="H24" i="12"/>
  <c r="H28" i="12"/>
  <c r="H20" i="12"/>
  <c r="H23" i="12"/>
  <c r="AE42" i="12"/>
  <c r="AE82" i="12" s="1"/>
  <c r="AE122" i="12" s="1"/>
  <c r="AE162" i="12" s="1"/>
  <c r="AE202" i="12" s="1"/>
  <c r="AE242" i="12" s="1"/>
  <c r="AE282" i="12" s="1"/>
  <c r="AE322" i="12" s="1"/>
  <c r="AE362" i="12" s="1"/>
  <c r="AE402" i="12" s="1"/>
  <c r="AE442" i="12" s="1"/>
  <c r="AE482" i="12" s="1"/>
  <c r="AE522" i="12" s="1"/>
  <c r="AE13" i="12"/>
  <c r="AE16" i="12"/>
  <c r="AE29" i="12"/>
  <c r="AE38" i="12"/>
  <c r="AE14" i="12"/>
  <c r="AE15" i="12"/>
  <c r="AE30" i="12"/>
  <c r="AE37" i="12"/>
  <c r="AE26" i="12"/>
  <c r="AE23" i="12"/>
  <c r="AE19" i="12"/>
  <c r="AE21" i="12"/>
  <c r="AE25" i="12"/>
  <c r="AE27" i="12"/>
  <c r="AE24" i="12"/>
  <c r="AE20" i="12"/>
  <c r="AE17" i="12"/>
  <c r="AE28" i="12"/>
  <c r="AE22" i="12"/>
  <c r="AE18" i="12"/>
  <c r="Y42" i="12"/>
  <c r="Y82" i="12" s="1"/>
  <c r="Y122" i="12" s="1"/>
  <c r="Y162" i="12" s="1"/>
  <c r="Y202" i="12" s="1"/>
  <c r="Y242" i="12" s="1"/>
  <c r="Y282" i="12" s="1"/>
  <c r="Y322" i="12" s="1"/>
  <c r="Y362" i="12" s="1"/>
  <c r="Y402" i="12" s="1"/>
  <c r="Y442" i="12" s="1"/>
  <c r="Y482" i="12" s="1"/>
  <c r="Y522" i="12" s="1"/>
  <c r="Y18" i="12"/>
  <c r="Y20" i="12"/>
  <c r="Y21" i="12"/>
  <c r="Y13" i="12"/>
  <c r="Y19" i="12"/>
  <c r="Y22" i="12"/>
  <c r="Y38" i="12"/>
  <c r="Y14" i="12"/>
  <c r="Y16" i="12"/>
  <c r="Y23" i="12"/>
  <c r="Y30" i="12"/>
  <c r="Y29" i="12"/>
  <c r="Y510" i="12" s="1"/>
  <c r="Y37" i="12"/>
  <c r="Y15" i="12"/>
  <c r="Y17" i="12"/>
  <c r="Y24" i="12"/>
  <c r="Y26" i="12"/>
  <c r="Y25" i="12"/>
  <c r="Y27" i="12"/>
  <c r="Y28" i="12"/>
  <c r="S42" i="12"/>
  <c r="S82" i="12" s="1"/>
  <c r="S122" i="12" s="1"/>
  <c r="S162" i="12" s="1"/>
  <c r="S202" i="12" s="1"/>
  <c r="S242" i="12" s="1"/>
  <c r="S282" i="12" s="1"/>
  <c r="S322" i="12" s="1"/>
  <c r="S362" i="12" s="1"/>
  <c r="S402" i="12" s="1"/>
  <c r="S442" i="12" s="1"/>
  <c r="S482" i="12" s="1"/>
  <c r="S522" i="12" s="1"/>
  <c r="S19" i="12"/>
  <c r="S20" i="12"/>
  <c r="S22" i="12"/>
  <c r="S21" i="12"/>
  <c r="S29" i="12"/>
  <c r="S23" i="12"/>
  <c r="S27" i="12"/>
  <c r="S13" i="12"/>
  <c r="S17" i="12"/>
  <c r="S24" i="12"/>
  <c r="S25" i="12"/>
  <c r="S15" i="12"/>
  <c r="S38" i="12"/>
  <c r="S30" i="12"/>
  <c r="S37" i="12"/>
  <c r="S14" i="12"/>
  <c r="S16" i="12"/>
  <c r="S18" i="12"/>
  <c r="S28" i="12"/>
  <c r="S26" i="12"/>
  <c r="M42" i="12"/>
  <c r="M82" i="12" s="1"/>
  <c r="M122" i="12" s="1"/>
  <c r="M162" i="12" s="1"/>
  <c r="M202" i="12" s="1"/>
  <c r="M242" i="12" s="1"/>
  <c r="M282" i="12" s="1"/>
  <c r="M322" i="12" s="1"/>
  <c r="M362" i="12" s="1"/>
  <c r="M402" i="12" s="1"/>
  <c r="M442" i="12" s="1"/>
  <c r="M482" i="12" s="1"/>
  <c r="M522" i="12" s="1"/>
  <c r="M15" i="12"/>
  <c r="M14" i="12"/>
  <c r="M13" i="12"/>
  <c r="M16" i="12"/>
  <c r="M38" i="12"/>
  <c r="M30" i="12"/>
  <c r="M37" i="12"/>
  <c r="M29" i="12"/>
  <c r="M510" i="12" s="1"/>
  <c r="M27" i="12"/>
  <c r="M22" i="12"/>
  <c r="M23" i="12"/>
  <c r="M28" i="12"/>
  <c r="M24" i="12"/>
  <c r="M18" i="12"/>
  <c r="M20" i="12"/>
  <c r="M26" i="12"/>
  <c r="M19" i="12"/>
  <c r="M25" i="12"/>
  <c r="M21" i="12"/>
  <c r="M17" i="12"/>
  <c r="G42" i="12"/>
  <c r="G82" i="12" s="1"/>
  <c r="G122" i="12" s="1"/>
  <c r="G162" i="12" s="1"/>
  <c r="G202" i="12" s="1"/>
  <c r="G242" i="12" s="1"/>
  <c r="G282" i="12" s="1"/>
  <c r="G322" i="12" s="1"/>
  <c r="G362" i="12" s="1"/>
  <c r="G402" i="12" s="1"/>
  <c r="G442" i="12" s="1"/>
  <c r="G482" i="12" s="1"/>
  <c r="G522" i="12" s="1"/>
  <c r="G14" i="12"/>
  <c r="G16" i="12"/>
  <c r="G15" i="12"/>
  <c r="G13" i="12"/>
  <c r="G38" i="12"/>
  <c r="G30" i="12"/>
  <c r="G29" i="12"/>
  <c r="G37" i="12"/>
  <c r="G28" i="12"/>
  <c r="G18" i="12"/>
  <c r="G27" i="12"/>
  <c r="G26" i="12"/>
  <c r="G19" i="12"/>
  <c r="G20" i="12"/>
  <c r="G25" i="12"/>
  <c r="G24" i="12"/>
  <c r="G17" i="12"/>
  <c r="G23" i="12"/>
  <c r="G21" i="12"/>
  <c r="G22" i="12"/>
  <c r="C42" i="12"/>
  <c r="C82" i="12" s="1"/>
  <c r="C122" i="12" s="1"/>
  <c r="C162" i="12" s="1"/>
  <c r="C202" i="12" s="1"/>
  <c r="C242" i="12" s="1"/>
  <c r="C282" i="12" s="1"/>
  <c r="C322" i="12" s="1"/>
  <c r="C362" i="12" s="1"/>
  <c r="C402" i="12" s="1"/>
  <c r="C442" i="12" s="1"/>
  <c r="C482" i="12" s="1"/>
  <c r="C522" i="12" s="1"/>
  <c r="C25" i="12"/>
  <c r="C27" i="12"/>
  <c r="C29" i="12"/>
  <c r="C14" i="12"/>
  <c r="C13" i="12"/>
  <c r="C17" i="12"/>
  <c r="C19" i="12"/>
  <c r="C23" i="12"/>
  <c r="C15" i="12"/>
  <c r="C16" i="12"/>
  <c r="C21" i="12"/>
  <c r="C24" i="12"/>
  <c r="C18" i="12"/>
  <c r="C20" i="12"/>
  <c r="C22" i="12"/>
  <c r="C30" i="12"/>
  <c r="C26" i="12"/>
  <c r="C28" i="12"/>
  <c r="F28" i="7"/>
  <c r="F27" i="7"/>
  <c r="F23" i="7"/>
  <c r="F22" i="7"/>
  <c r="F21" i="7"/>
  <c r="B41" i="14"/>
  <c r="B42" i="14" s="1"/>
  <c r="C39" i="14"/>
  <c r="B40" i="14"/>
  <c r="A56" i="16"/>
  <c r="A50" i="16"/>
  <c r="A44" i="16"/>
  <c r="A55" i="16"/>
  <c r="D15" i="16"/>
  <c r="J15" i="16"/>
  <c r="J55" i="16" s="1"/>
  <c r="E15" i="16"/>
  <c r="E55" i="16" s="1"/>
  <c r="K15" i="16"/>
  <c r="K55" i="16" s="1"/>
  <c r="F15" i="16"/>
  <c r="F55" i="16" s="1"/>
  <c r="L15" i="16"/>
  <c r="L55" i="16" s="1"/>
  <c r="G15" i="16"/>
  <c r="G55" i="16" s="1"/>
  <c r="M15" i="16"/>
  <c r="M55" i="16" s="1"/>
  <c r="H15" i="16"/>
  <c r="H55" i="16" s="1"/>
  <c r="C15" i="16"/>
  <c r="C55" i="16" s="1"/>
  <c r="I15" i="16"/>
  <c r="I55" i="16" s="1"/>
  <c r="AL9" i="16"/>
  <c r="AL3" i="16"/>
  <c r="B14" i="16"/>
  <c r="AM14" i="16" s="1"/>
  <c r="AL8" i="16"/>
  <c r="B19" i="16"/>
  <c r="B59" i="16" s="1"/>
  <c r="C19" i="16"/>
  <c r="D19" i="16" s="1"/>
  <c r="E19" i="16" s="1"/>
  <c r="F19" i="16" s="1"/>
  <c r="G19" i="16" s="1"/>
  <c r="H19" i="16" s="1"/>
  <c r="I19" i="16" s="1"/>
  <c r="J19" i="16" s="1"/>
  <c r="K19" i="16" s="1"/>
  <c r="L19" i="16" s="1"/>
  <c r="M19" i="16" s="1"/>
  <c r="N19" i="16" s="1"/>
  <c r="O19" i="16" s="1"/>
  <c r="P19" i="16" s="1"/>
  <c r="Q19" i="16" s="1"/>
  <c r="R19" i="16" s="1"/>
  <c r="S19" i="16" s="1"/>
  <c r="T19" i="16" s="1"/>
  <c r="U19" i="16" s="1"/>
  <c r="V19" i="16" s="1"/>
  <c r="W19" i="16" s="1"/>
  <c r="X19" i="16" s="1"/>
  <c r="Y19" i="16" s="1"/>
  <c r="Z19" i="16" s="1"/>
  <c r="AA19" i="16" s="1"/>
  <c r="AB19" i="16" s="1"/>
  <c r="AC19" i="16" s="1"/>
  <c r="AD19" i="16" s="1"/>
  <c r="AE19" i="16" s="1"/>
  <c r="AF19" i="16" s="1"/>
  <c r="AG19" i="16" s="1"/>
  <c r="B13" i="16"/>
  <c r="B53" i="16" s="1"/>
  <c r="B7" i="16"/>
  <c r="B47" i="16" s="1"/>
  <c r="AL18" i="16"/>
  <c r="C18" i="16"/>
  <c r="D18" i="16" s="1"/>
  <c r="E18" i="16" s="1"/>
  <c r="F18" i="16" s="1"/>
  <c r="G18" i="16" s="1"/>
  <c r="H18" i="16" s="1"/>
  <c r="I18" i="16" s="1"/>
  <c r="J18" i="16" s="1"/>
  <c r="K18" i="16" s="1"/>
  <c r="L18" i="16" s="1"/>
  <c r="M18" i="16" s="1"/>
  <c r="N18" i="16" s="1"/>
  <c r="O18" i="16" s="1"/>
  <c r="P18" i="16" s="1"/>
  <c r="Q18" i="16" s="1"/>
  <c r="R18" i="16" s="1"/>
  <c r="S18" i="16" s="1"/>
  <c r="T18" i="16" s="1"/>
  <c r="U18" i="16" s="1"/>
  <c r="V18" i="16" s="1"/>
  <c r="W18" i="16" s="1"/>
  <c r="X18" i="16" s="1"/>
  <c r="Y18" i="16" s="1"/>
  <c r="Z18" i="16" s="1"/>
  <c r="AA18" i="16" s="1"/>
  <c r="AB18" i="16" s="1"/>
  <c r="AC18" i="16" s="1"/>
  <c r="AD18" i="16" s="1"/>
  <c r="AE18" i="16" s="1"/>
  <c r="AF18" i="16" s="1"/>
  <c r="AG18" i="16" s="1"/>
  <c r="A46" i="16"/>
  <c r="B5" i="16"/>
  <c r="AM5" i="16" s="1"/>
  <c r="B2" i="16"/>
  <c r="B42" i="16" s="1"/>
  <c r="F1" i="3"/>
  <c r="AM10" i="12"/>
  <c r="AP10" i="12" s="1"/>
  <c r="B25" i="16"/>
  <c r="B65" i="16" s="1"/>
  <c r="A62" i="16"/>
  <c r="B77" i="16"/>
  <c r="B3" i="16"/>
  <c r="B43" i="16" s="1"/>
  <c r="B22" i="16"/>
  <c r="B28" i="16"/>
  <c r="F31" i="12"/>
  <c r="F512" i="12" s="1"/>
  <c r="AN27" i="12"/>
  <c r="G25" i="1" s="1"/>
  <c r="AD502" i="12"/>
  <c r="B9" i="16"/>
  <c r="C9" i="16" s="1"/>
  <c r="G9" i="12"/>
  <c r="AL37" i="16"/>
  <c r="H6" i="12"/>
  <c r="A65" i="16"/>
  <c r="AA2" i="12"/>
  <c r="AM13" i="12"/>
  <c r="AP13" i="12" s="1"/>
  <c r="B24" i="16"/>
  <c r="A48" i="16"/>
  <c r="AL4" i="16"/>
  <c r="AL30" i="16"/>
  <c r="A68" i="16"/>
  <c r="B4" i="16"/>
  <c r="C4" i="16" s="1"/>
  <c r="AL15" i="16"/>
  <c r="AL10" i="16"/>
  <c r="AQ30" i="15"/>
  <c r="B8" i="16"/>
  <c r="C8" i="16" s="1"/>
  <c r="Z33" i="12"/>
  <c r="Z514" i="12" s="1"/>
  <c r="T8" i="12"/>
  <c r="B6" i="16"/>
  <c r="C6" i="16" s="1"/>
  <c r="A45" i="16"/>
  <c r="B15" i="16"/>
  <c r="AL5" i="16"/>
  <c r="AF32" i="12"/>
  <c r="AF513" i="12" s="1"/>
  <c r="Y7" i="12"/>
  <c r="AL34" i="16"/>
  <c r="B10" i="16"/>
  <c r="C10" i="16" s="1"/>
  <c r="C50" i="16" s="1"/>
  <c r="B35" i="16"/>
  <c r="A75" i="16"/>
  <c r="AL29" i="16"/>
  <c r="A69" i="16"/>
  <c r="B17" i="16"/>
  <c r="B57" i="16" s="1"/>
  <c r="AL17" i="16"/>
  <c r="AL12" i="16"/>
  <c r="B12" i="16"/>
  <c r="C12" i="16" s="1"/>
  <c r="A49" i="16"/>
  <c r="A71" i="16"/>
  <c r="A77" i="16"/>
  <c r="L35" i="12"/>
  <c r="L516" i="12" s="1"/>
  <c r="AL14" i="16"/>
  <c r="AN30" i="15"/>
  <c r="E42" i="12"/>
  <c r="E82" i="12" s="1"/>
  <c r="E122" i="12" s="1"/>
  <c r="E162" i="12" s="1"/>
  <c r="E202" i="12" s="1"/>
  <c r="E242" i="12" s="1"/>
  <c r="E282" i="12" s="1"/>
  <c r="E322" i="12" s="1"/>
  <c r="E362" i="12" s="1"/>
  <c r="E402" i="12" s="1"/>
  <c r="E442" i="12" s="1"/>
  <c r="E482" i="12" s="1"/>
  <c r="E522" i="12" s="1"/>
  <c r="H4" i="12"/>
  <c r="B33" i="16"/>
  <c r="A73" i="16"/>
  <c r="AL33" i="16"/>
  <c r="B21" i="16"/>
  <c r="AM21" i="16" s="1"/>
  <c r="A61" i="16"/>
  <c r="AL21" i="16"/>
  <c r="A42" i="16"/>
  <c r="AL2" i="16"/>
  <c r="AL32" i="16"/>
  <c r="A72" i="16"/>
  <c r="AL26" i="16"/>
  <c r="B26" i="16"/>
  <c r="AL20" i="16"/>
  <c r="A60" i="16"/>
  <c r="B20" i="16"/>
  <c r="AU1" i="1"/>
  <c r="AU61" i="1" s="1"/>
  <c r="N1" i="2"/>
  <c r="A67" i="16"/>
  <c r="B32" i="16"/>
  <c r="B27" i="16"/>
  <c r="AB42" i="12"/>
  <c r="AB82" i="12" s="1"/>
  <c r="AB122" i="12" s="1"/>
  <c r="AB162" i="12" s="1"/>
  <c r="AB202" i="12" s="1"/>
  <c r="AB242" i="12" s="1"/>
  <c r="AB282" i="12" s="1"/>
  <c r="AB322" i="12" s="1"/>
  <c r="AB362" i="12" s="1"/>
  <c r="AB402" i="12" s="1"/>
  <c r="AB442" i="12" s="1"/>
  <c r="AB482" i="12" s="1"/>
  <c r="AB522" i="12" s="1"/>
  <c r="J42" i="12"/>
  <c r="J82" i="12" s="1"/>
  <c r="J122" i="12" s="1"/>
  <c r="J162" i="12" s="1"/>
  <c r="J202" i="12" s="1"/>
  <c r="J242" i="12" s="1"/>
  <c r="J282" i="12" s="1"/>
  <c r="J322" i="12" s="1"/>
  <c r="J362" i="12" s="1"/>
  <c r="J402" i="12" s="1"/>
  <c r="J442" i="12" s="1"/>
  <c r="J482" i="12" s="1"/>
  <c r="J522" i="12" s="1"/>
  <c r="A47" i="16"/>
  <c r="AL7" i="16"/>
  <c r="AL16" i="16"/>
  <c r="B16" i="16"/>
  <c r="C16" i="16" s="1"/>
  <c r="A51" i="16"/>
  <c r="AL11" i="16"/>
  <c r="B11" i="16"/>
  <c r="C11" i="16" s="1"/>
  <c r="C51" i="16" s="1"/>
  <c r="A59" i="16"/>
  <c r="A54" i="16"/>
  <c r="B31" i="16"/>
  <c r="B29" i="16"/>
  <c r="U42" i="12"/>
  <c r="U82" i="12" s="1"/>
  <c r="U122" i="12" s="1"/>
  <c r="U162" i="12" s="1"/>
  <c r="U202" i="12" s="1"/>
  <c r="U242" i="12" s="1"/>
  <c r="U282" i="12" s="1"/>
  <c r="U322" i="12" s="1"/>
  <c r="U362" i="12" s="1"/>
  <c r="U402" i="12" s="1"/>
  <c r="U442" i="12" s="1"/>
  <c r="U482" i="12" s="1"/>
  <c r="U522" i="12" s="1"/>
  <c r="W36" i="12"/>
  <c r="W517" i="12" s="1"/>
  <c r="A57" i="16"/>
  <c r="AL35" i="16"/>
  <c r="AG42" i="12"/>
  <c r="AG82" i="12" s="1"/>
  <c r="AG122" i="12" s="1"/>
  <c r="AG162" i="12" s="1"/>
  <c r="AG202" i="12" s="1"/>
  <c r="AG242" i="12" s="1"/>
  <c r="AG282" i="12" s="1"/>
  <c r="AG322" i="12" s="1"/>
  <c r="AG362" i="12" s="1"/>
  <c r="AG402" i="12" s="1"/>
  <c r="AG442" i="12" s="1"/>
  <c r="AG482" i="12" s="1"/>
  <c r="AG522" i="12" s="1"/>
  <c r="O42" i="12"/>
  <c r="O82" i="12" s="1"/>
  <c r="O122" i="12" s="1"/>
  <c r="O162" i="12" s="1"/>
  <c r="O202" i="12" s="1"/>
  <c r="O242" i="12" s="1"/>
  <c r="O282" i="12" s="1"/>
  <c r="O322" i="12" s="1"/>
  <c r="O362" i="12" s="1"/>
  <c r="O402" i="12" s="1"/>
  <c r="O442" i="12" s="1"/>
  <c r="O482" i="12" s="1"/>
  <c r="O522" i="12" s="1"/>
  <c r="A43" i="16"/>
  <c r="AA42" i="12"/>
  <c r="AA82" i="12" s="1"/>
  <c r="AA122" i="12" s="1"/>
  <c r="AA162" i="12" s="1"/>
  <c r="AA202" i="12" s="1"/>
  <c r="AA242" i="12" s="1"/>
  <c r="AA282" i="12" s="1"/>
  <c r="AA322" i="12" s="1"/>
  <c r="AA362" i="12" s="1"/>
  <c r="AA402" i="12" s="1"/>
  <c r="AA442" i="12" s="1"/>
  <c r="AA482" i="12" s="1"/>
  <c r="AA522" i="12" s="1"/>
  <c r="R9" i="2"/>
  <c r="X9" i="2" s="1"/>
  <c r="AS43" i="1"/>
  <c r="F7" i="2"/>
  <c r="L7" i="2"/>
  <c r="H1" i="3"/>
  <c r="AN61" i="1"/>
  <c r="B74" i="16"/>
  <c r="AM34" i="16"/>
  <c r="B76" i="16"/>
  <c r="AM36" i="16"/>
  <c r="A53" i="16"/>
  <c r="A64" i="16"/>
  <c r="A58" i="16"/>
  <c r="AL13" i="16"/>
  <c r="AL6" i="16"/>
  <c r="B18" i="16"/>
  <c r="E33" i="16"/>
  <c r="E73" i="16" s="1"/>
  <c r="H33" i="16"/>
  <c r="H73" i="16" s="1"/>
  <c r="K33" i="16"/>
  <c r="K73" i="16" s="1"/>
  <c r="N33" i="16"/>
  <c r="N73" i="16" s="1"/>
  <c r="Q33" i="16"/>
  <c r="Q73" i="16" s="1"/>
  <c r="T33" i="16"/>
  <c r="T73" i="16" s="1"/>
  <c r="W33" i="16"/>
  <c r="W73" i="16" s="1"/>
  <c r="Z33" i="16"/>
  <c r="Z73" i="16" s="1"/>
  <c r="AC33" i="16"/>
  <c r="AC73" i="16" s="1"/>
  <c r="AF33" i="16"/>
  <c r="AF73" i="16" s="1"/>
  <c r="I33" i="16"/>
  <c r="I73" i="16" s="1"/>
  <c r="P33" i="16"/>
  <c r="P73" i="16" s="1"/>
  <c r="AA33" i="16"/>
  <c r="AA73" i="16" s="1"/>
  <c r="L33" i="16"/>
  <c r="L73" i="16" s="1"/>
  <c r="S33" i="16"/>
  <c r="S73" i="16" s="1"/>
  <c r="AD33" i="16"/>
  <c r="AD73" i="16" s="1"/>
  <c r="G33" i="16"/>
  <c r="G73" i="16" s="1"/>
  <c r="M33" i="16"/>
  <c r="M73" i="16" s="1"/>
  <c r="R33" i="16"/>
  <c r="R73" i="16" s="1"/>
  <c r="X33" i="16"/>
  <c r="X73" i="16" s="1"/>
  <c r="C33" i="16"/>
  <c r="C73" i="16" s="1"/>
  <c r="F33" i="16"/>
  <c r="F73" i="16" s="1"/>
  <c r="AE33" i="16"/>
  <c r="AE73" i="16" s="1"/>
  <c r="O33" i="16"/>
  <c r="O73" i="16" s="1"/>
  <c r="V33" i="16"/>
  <c r="V73" i="16" s="1"/>
  <c r="Y33" i="16"/>
  <c r="Y73" i="16" s="1"/>
  <c r="J33" i="16"/>
  <c r="J73" i="16" s="1"/>
  <c r="AG33" i="16"/>
  <c r="AG73" i="16" s="1"/>
  <c r="D33" i="16"/>
  <c r="D73" i="16" s="1"/>
  <c r="U33" i="16"/>
  <c r="U73" i="16" s="1"/>
  <c r="AB33" i="16"/>
  <c r="AB73" i="16" s="1"/>
  <c r="C27" i="16"/>
  <c r="C67" i="16" s="1"/>
  <c r="F27" i="16"/>
  <c r="F67" i="16" s="1"/>
  <c r="I27" i="16"/>
  <c r="I67" i="16" s="1"/>
  <c r="L27" i="16"/>
  <c r="L67" i="16" s="1"/>
  <c r="O27" i="16"/>
  <c r="O67" i="16" s="1"/>
  <c r="R27" i="16"/>
  <c r="R67" i="16" s="1"/>
  <c r="U27" i="16"/>
  <c r="U67" i="16" s="1"/>
  <c r="X27" i="16"/>
  <c r="X67" i="16" s="1"/>
  <c r="AA27" i="16"/>
  <c r="AA67" i="16" s="1"/>
  <c r="AD27" i="16"/>
  <c r="AD67" i="16" s="1"/>
  <c r="AG27" i="16"/>
  <c r="AG67" i="16" s="1"/>
  <c r="G27" i="16"/>
  <c r="G67" i="16" s="1"/>
  <c r="N27" i="16"/>
  <c r="N67" i="16" s="1"/>
  <c r="Y27" i="16"/>
  <c r="Y67" i="16" s="1"/>
  <c r="AF27" i="16"/>
  <c r="AF67" i="16" s="1"/>
  <c r="K27" i="16"/>
  <c r="K67" i="16" s="1"/>
  <c r="AB27" i="16"/>
  <c r="AB67" i="16" s="1"/>
  <c r="P27" i="16"/>
  <c r="P67" i="16" s="1"/>
  <c r="T27" i="16"/>
  <c r="T67" i="16" s="1"/>
  <c r="AC27" i="16"/>
  <c r="AC67" i="16" s="1"/>
  <c r="D27" i="16"/>
  <c r="D67" i="16" s="1"/>
  <c r="H27" i="16"/>
  <c r="H67" i="16" s="1"/>
  <c r="M27" i="16"/>
  <c r="M67" i="16" s="1"/>
  <c r="Q27" i="16"/>
  <c r="Q67" i="16" s="1"/>
  <c r="V27" i="16"/>
  <c r="V67" i="16" s="1"/>
  <c r="Z27" i="16"/>
  <c r="Z67" i="16" s="1"/>
  <c r="J27" i="16"/>
  <c r="J67" i="16" s="1"/>
  <c r="S27" i="16"/>
  <c r="S67" i="16" s="1"/>
  <c r="W27" i="16"/>
  <c r="W67" i="16" s="1"/>
  <c r="E27" i="16"/>
  <c r="E67" i="16" s="1"/>
  <c r="AE27" i="16"/>
  <c r="AE67" i="16" s="1"/>
  <c r="E22" i="16"/>
  <c r="E62" i="16" s="1"/>
  <c r="H22" i="16"/>
  <c r="H62" i="16" s="1"/>
  <c r="K22" i="16"/>
  <c r="K62" i="16" s="1"/>
  <c r="N22" i="16"/>
  <c r="N62" i="16" s="1"/>
  <c r="Q22" i="16"/>
  <c r="Q62" i="16" s="1"/>
  <c r="T22" i="16"/>
  <c r="T62" i="16" s="1"/>
  <c r="W22" i="16"/>
  <c r="W62" i="16" s="1"/>
  <c r="Z22" i="16"/>
  <c r="Z62" i="16" s="1"/>
  <c r="AC22" i="16"/>
  <c r="AC62" i="16" s="1"/>
  <c r="AF22" i="16"/>
  <c r="AF62" i="16" s="1"/>
  <c r="D22" i="16"/>
  <c r="D62" i="16" s="1"/>
  <c r="O22" i="16"/>
  <c r="O62" i="16" s="1"/>
  <c r="V22" i="16"/>
  <c r="V62" i="16" s="1"/>
  <c r="AG22" i="16"/>
  <c r="AG62" i="16" s="1"/>
  <c r="G22" i="16"/>
  <c r="G62" i="16" s="1"/>
  <c r="R22" i="16"/>
  <c r="R62" i="16" s="1"/>
  <c r="Y22" i="16"/>
  <c r="Y62" i="16" s="1"/>
  <c r="J22" i="16"/>
  <c r="J62" i="16" s="1"/>
  <c r="P22" i="16"/>
  <c r="P62" i="16" s="1"/>
  <c r="U22" i="16"/>
  <c r="U62" i="16" s="1"/>
  <c r="AA22" i="16"/>
  <c r="AA62" i="16" s="1"/>
  <c r="F22" i="16"/>
  <c r="F62" i="16" s="1"/>
  <c r="L22" i="16"/>
  <c r="L62" i="16" s="1"/>
  <c r="AB22" i="16"/>
  <c r="AB62" i="16" s="1"/>
  <c r="M22" i="16"/>
  <c r="M62" i="16" s="1"/>
  <c r="S22" i="16"/>
  <c r="S62" i="16" s="1"/>
  <c r="X22" i="16"/>
  <c r="X62" i="16" s="1"/>
  <c r="AD22" i="16"/>
  <c r="AD62" i="16" s="1"/>
  <c r="AE22" i="16"/>
  <c r="AE62" i="16" s="1"/>
  <c r="C22" i="16"/>
  <c r="C62" i="16" s="1"/>
  <c r="I22" i="16"/>
  <c r="I62" i="16" s="1"/>
  <c r="B23" i="16"/>
  <c r="C32" i="16"/>
  <c r="C72" i="16" s="1"/>
  <c r="F32" i="16"/>
  <c r="F72" i="16" s="1"/>
  <c r="I32" i="16"/>
  <c r="I72" i="16" s="1"/>
  <c r="L32" i="16"/>
  <c r="L72" i="16" s="1"/>
  <c r="O32" i="16"/>
  <c r="O72" i="16" s="1"/>
  <c r="R32" i="16"/>
  <c r="R72" i="16" s="1"/>
  <c r="U32" i="16"/>
  <c r="U72" i="16" s="1"/>
  <c r="X32" i="16"/>
  <c r="X72" i="16" s="1"/>
  <c r="AA32" i="16"/>
  <c r="AA72" i="16" s="1"/>
  <c r="AD32" i="16"/>
  <c r="AD72" i="16" s="1"/>
  <c r="AG32" i="16"/>
  <c r="AG72" i="16" s="1"/>
  <c r="D32" i="16"/>
  <c r="D72" i="16" s="1"/>
  <c r="K32" i="16"/>
  <c r="K72" i="16" s="1"/>
  <c r="V32" i="16"/>
  <c r="V72" i="16" s="1"/>
  <c r="AC32" i="16"/>
  <c r="AC72" i="16" s="1"/>
  <c r="G32" i="16"/>
  <c r="G72" i="16" s="1"/>
  <c r="N32" i="16"/>
  <c r="N72" i="16" s="1"/>
  <c r="Y32" i="16"/>
  <c r="Y72" i="16" s="1"/>
  <c r="AF32" i="16"/>
  <c r="AF72" i="16" s="1"/>
  <c r="Q32" i="16"/>
  <c r="Q72" i="16" s="1"/>
  <c r="W32" i="16"/>
  <c r="W72" i="16" s="1"/>
  <c r="AB32" i="16"/>
  <c r="AB72" i="16" s="1"/>
  <c r="M32" i="16"/>
  <c r="M72" i="16" s="1"/>
  <c r="T32" i="16"/>
  <c r="T72" i="16" s="1"/>
  <c r="E32" i="16"/>
  <c r="E72" i="16" s="1"/>
  <c r="H32" i="16"/>
  <c r="H72" i="16" s="1"/>
  <c r="AE32" i="16"/>
  <c r="AE72" i="16" s="1"/>
  <c r="P32" i="16"/>
  <c r="P72" i="16" s="1"/>
  <c r="S32" i="16"/>
  <c r="S72" i="16" s="1"/>
  <c r="Z32" i="16"/>
  <c r="Z72" i="16" s="1"/>
  <c r="J32" i="16"/>
  <c r="J72" i="16" s="1"/>
  <c r="D26" i="16"/>
  <c r="D66" i="16" s="1"/>
  <c r="G26" i="16"/>
  <c r="G66" i="16" s="1"/>
  <c r="J26" i="16"/>
  <c r="J66" i="16" s="1"/>
  <c r="M26" i="16"/>
  <c r="M66" i="16" s="1"/>
  <c r="P26" i="16"/>
  <c r="P66" i="16" s="1"/>
  <c r="S26" i="16"/>
  <c r="S66" i="16" s="1"/>
  <c r="V26" i="16"/>
  <c r="V66" i="16" s="1"/>
  <c r="Y26" i="16"/>
  <c r="Y66" i="16" s="1"/>
  <c r="AB26" i="16"/>
  <c r="AB66" i="16" s="1"/>
  <c r="AE26" i="16"/>
  <c r="AE66" i="16" s="1"/>
  <c r="I26" i="16"/>
  <c r="I66" i="16" s="1"/>
  <c r="T26" i="16"/>
  <c r="T66" i="16" s="1"/>
  <c r="AA26" i="16"/>
  <c r="AA66" i="16" s="1"/>
  <c r="C26" i="16"/>
  <c r="C66" i="16" s="1"/>
  <c r="AC26" i="16"/>
  <c r="AC66" i="16" s="1"/>
  <c r="AG26" i="16"/>
  <c r="AG66" i="16" s="1"/>
  <c r="H26" i="16"/>
  <c r="H66" i="16" s="1"/>
  <c r="L26" i="16"/>
  <c r="L66" i="16" s="1"/>
  <c r="Q26" i="16"/>
  <c r="Q66" i="16" s="1"/>
  <c r="U26" i="16"/>
  <c r="U66" i="16" s="1"/>
  <c r="Z26" i="16"/>
  <c r="Z66" i="16" s="1"/>
  <c r="AD26" i="16"/>
  <c r="AD66" i="16" s="1"/>
  <c r="E26" i="16"/>
  <c r="E66" i="16" s="1"/>
  <c r="N26" i="16"/>
  <c r="N66" i="16" s="1"/>
  <c r="R26" i="16"/>
  <c r="R66" i="16" s="1"/>
  <c r="K26" i="16"/>
  <c r="K66" i="16" s="1"/>
  <c r="O26" i="16"/>
  <c r="O66" i="16" s="1"/>
  <c r="X26" i="16"/>
  <c r="X66" i="16" s="1"/>
  <c r="F26" i="16"/>
  <c r="F66" i="16" s="1"/>
  <c r="AF26" i="16"/>
  <c r="AF66" i="16" s="1"/>
  <c r="W26" i="16"/>
  <c r="W66" i="16" s="1"/>
  <c r="C21" i="16"/>
  <c r="C61" i="16" s="1"/>
  <c r="F21" i="16"/>
  <c r="F61" i="16" s="1"/>
  <c r="I21" i="16"/>
  <c r="I61" i="16" s="1"/>
  <c r="L21" i="16"/>
  <c r="L61" i="16" s="1"/>
  <c r="O21" i="16"/>
  <c r="O61" i="16" s="1"/>
  <c r="R21" i="16"/>
  <c r="R61" i="16" s="1"/>
  <c r="U21" i="16"/>
  <c r="U61" i="16" s="1"/>
  <c r="X21" i="16"/>
  <c r="X61" i="16" s="1"/>
  <c r="AA21" i="16"/>
  <c r="AA61" i="16" s="1"/>
  <c r="AD21" i="16"/>
  <c r="AD61" i="16" s="1"/>
  <c r="AG21" i="16"/>
  <c r="AG61" i="16" s="1"/>
  <c r="J21" i="16"/>
  <c r="J61" i="16" s="1"/>
  <c r="Q21" i="16"/>
  <c r="Q61" i="16" s="1"/>
  <c r="AB21" i="16"/>
  <c r="AB61" i="16" s="1"/>
  <c r="M21" i="16"/>
  <c r="M61" i="16" s="1"/>
  <c r="T21" i="16"/>
  <c r="T61" i="16" s="1"/>
  <c r="AE21" i="16"/>
  <c r="AE61" i="16" s="1"/>
  <c r="D21" i="16"/>
  <c r="D61" i="16" s="1"/>
  <c r="Z21" i="16"/>
  <c r="Z61" i="16" s="1"/>
  <c r="AF21" i="16"/>
  <c r="AF61" i="16" s="1"/>
  <c r="E21" i="16"/>
  <c r="E61" i="16" s="1"/>
  <c r="K21" i="16"/>
  <c r="K61" i="16" s="1"/>
  <c r="P21" i="16"/>
  <c r="P61" i="16" s="1"/>
  <c r="V21" i="16"/>
  <c r="V61" i="16" s="1"/>
  <c r="G21" i="16"/>
  <c r="G61" i="16" s="1"/>
  <c r="H21" i="16"/>
  <c r="H61" i="16" s="1"/>
  <c r="N21" i="16"/>
  <c r="N61" i="16" s="1"/>
  <c r="S21" i="16"/>
  <c r="S61" i="16" s="1"/>
  <c r="Y21" i="16"/>
  <c r="Y61" i="16" s="1"/>
  <c r="W21" i="16"/>
  <c r="W61" i="16" s="1"/>
  <c r="AC21" i="16"/>
  <c r="AC61" i="16" s="1"/>
  <c r="B30" i="16"/>
  <c r="A74" i="16"/>
  <c r="A63" i="16"/>
  <c r="E37" i="16"/>
  <c r="E77" i="16" s="1"/>
  <c r="H37" i="16"/>
  <c r="H77" i="16" s="1"/>
  <c r="K37" i="16"/>
  <c r="K77" i="16" s="1"/>
  <c r="N37" i="16"/>
  <c r="N77" i="16" s="1"/>
  <c r="Q37" i="16"/>
  <c r="Q77" i="16" s="1"/>
  <c r="T37" i="16"/>
  <c r="T77" i="16" s="1"/>
  <c r="W37" i="16"/>
  <c r="W77" i="16" s="1"/>
  <c r="Z37" i="16"/>
  <c r="Z77" i="16" s="1"/>
  <c r="AC37" i="16"/>
  <c r="AC77" i="16" s="1"/>
  <c r="AF37" i="16"/>
  <c r="AF77" i="16" s="1"/>
  <c r="F37" i="16"/>
  <c r="F77" i="16" s="1"/>
  <c r="M37" i="16"/>
  <c r="M77" i="16" s="1"/>
  <c r="X37" i="16"/>
  <c r="X77" i="16" s="1"/>
  <c r="AE37" i="16"/>
  <c r="AE77" i="16" s="1"/>
  <c r="C37" i="16"/>
  <c r="C77" i="16" s="1"/>
  <c r="J37" i="16"/>
  <c r="J77" i="16" s="1"/>
  <c r="U37" i="16"/>
  <c r="U77" i="16" s="1"/>
  <c r="AB37" i="16"/>
  <c r="AB77" i="16" s="1"/>
  <c r="G37" i="16"/>
  <c r="G77" i="16" s="1"/>
  <c r="L37" i="16"/>
  <c r="L77" i="16" s="1"/>
  <c r="R37" i="16"/>
  <c r="R77" i="16" s="1"/>
  <c r="S37" i="16"/>
  <c r="S77" i="16" s="1"/>
  <c r="Y37" i="16"/>
  <c r="Y77" i="16" s="1"/>
  <c r="AD37" i="16"/>
  <c r="AD77" i="16" s="1"/>
  <c r="D37" i="16"/>
  <c r="D77" i="16" s="1"/>
  <c r="I37" i="16"/>
  <c r="I77" i="16" s="1"/>
  <c r="O37" i="16"/>
  <c r="O77" i="16" s="1"/>
  <c r="P37" i="16"/>
  <c r="P77" i="16" s="1"/>
  <c r="V37" i="16"/>
  <c r="V77" i="16" s="1"/>
  <c r="AA37" i="16"/>
  <c r="AA77" i="16" s="1"/>
  <c r="AG37" i="16"/>
  <c r="AG77" i="16" s="1"/>
  <c r="D31" i="16"/>
  <c r="D71" i="16" s="1"/>
  <c r="G31" i="16"/>
  <c r="G71" i="16" s="1"/>
  <c r="J31" i="16"/>
  <c r="J71" i="16" s="1"/>
  <c r="M31" i="16"/>
  <c r="M71" i="16" s="1"/>
  <c r="P31" i="16"/>
  <c r="P71" i="16" s="1"/>
  <c r="S31" i="16"/>
  <c r="S71" i="16" s="1"/>
  <c r="V31" i="16"/>
  <c r="V71" i="16" s="1"/>
  <c r="Y31" i="16"/>
  <c r="Y71" i="16" s="1"/>
  <c r="AB31" i="16"/>
  <c r="AB71" i="16" s="1"/>
  <c r="AE31" i="16"/>
  <c r="AE71" i="16" s="1"/>
  <c r="F31" i="16"/>
  <c r="F71" i="16" s="1"/>
  <c r="Q31" i="16"/>
  <c r="Q71" i="16" s="1"/>
  <c r="X31" i="16"/>
  <c r="X71" i="16" s="1"/>
  <c r="I31" i="16"/>
  <c r="I71" i="16" s="1"/>
  <c r="T31" i="16"/>
  <c r="T71" i="16" s="1"/>
  <c r="AA31" i="16"/>
  <c r="AA71" i="16" s="1"/>
  <c r="O31" i="16"/>
  <c r="O71" i="16" s="1"/>
  <c r="U31" i="16"/>
  <c r="U71" i="16" s="1"/>
  <c r="Z31" i="16"/>
  <c r="Z71" i="16" s="1"/>
  <c r="AF31" i="16"/>
  <c r="AF71" i="16" s="1"/>
  <c r="E31" i="16"/>
  <c r="E71" i="16" s="1"/>
  <c r="K31" i="16"/>
  <c r="K71" i="16" s="1"/>
  <c r="C31" i="16"/>
  <c r="C71" i="16" s="1"/>
  <c r="L31" i="16"/>
  <c r="L71" i="16" s="1"/>
  <c r="AC31" i="16"/>
  <c r="AC71" i="16" s="1"/>
  <c r="N31" i="16"/>
  <c r="N71" i="16" s="1"/>
  <c r="W31" i="16"/>
  <c r="W71" i="16" s="1"/>
  <c r="AD31" i="16"/>
  <c r="AD71" i="16" s="1"/>
  <c r="H31" i="16"/>
  <c r="H71" i="16" s="1"/>
  <c r="AG31" i="16"/>
  <c r="AG71" i="16" s="1"/>
  <c r="R31" i="16"/>
  <c r="R71" i="16" s="1"/>
  <c r="E25" i="16"/>
  <c r="E65" i="16" s="1"/>
  <c r="H25" i="16"/>
  <c r="H65" i="16" s="1"/>
  <c r="K25" i="16"/>
  <c r="K65" i="16" s="1"/>
  <c r="N25" i="16"/>
  <c r="N65" i="16" s="1"/>
  <c r="Q25" i="16"/>
  <c r="Q65" i="16" s="1"/>
  <c r="T25" i="16"/>
  <c r="T65" i="16" s="1"/>
  <c r="W25" i="16"/>
  <c r="W65" i="16" s="1"/>
  <c r="Z25" i="16"/>
  <c r="Z65" i="16" s="1"/>
  <c r="AC25" i="16"/>
  <c r="AC65" i="16" s="1"/>
  <c r="AF25" i="16"/>
  <c r="AF65" i="16" s="1"/>
  <c r="D25" i="16"/>
  <c r="D65" i="16" s="1"/>
  <c r="O25" i="16"/>
  <c r="O65" i="16" s="1"/>
  <c r="V25" i="16"/>
  <c r="V65" i="16" s="1"/>
  <c r="AG25" i="16"/>
  <c r="AG65" i="16" s="1"/>
  <c r="U25" i="16"/>
  <c r="U65" i="16" s="1"/>
  <c r="Y25" i="16"/>
  <c r="Y65" i="16" s="1"/>
  <c r="AD25" i="16"/>
  <c r="AD65" i="16" s="1"/>
  <c r="I25" i="16"/>
  <c r="I65" i="16" s="1"/>
  <c r="M25" i="16"/>
  <c r="M65" i="16" s="1"/>
  <c r="R25" i="16"/>
  <c r="R65" i="16" s="1"/>
  <c r="AA25" i="16"/>
  <c r="AA65" i="16" s="1"/>
  <c r="AE25" i="16"/>
  <c r="AE65" i="16" s="1"/>
  <c r="F25" i="16"/>
  <c r="F65" i="16" s="1"/>
  <c r="J25" i="16"/>
  <c r="J65" i="16" s="1"/>
  <c r="S25" i="16"/>
  <c r="S65" i="16" s="1"/>
  <c r="C25" i="16"/>
  <c r="C65" i="16" s="1"/>
  <c r="G25" i="16"/>
  <c r="G65" i="16" s="1"/>
  <c r="L25" i="16"/>
  <c r="L65" i="16" s="1"/>
  <c r="P25" i="16"/>
  <c r="P65" i="16" s="1"/>
  <c r="X25" i="16"/>
  <c r="X65" i="16" s="1"/>
  <c r="AB25" i="16"/>
  <c r="AB65" i="16" s="1"/>
  <c r="C60" i="16"/>
  <c r="C57" i="16"/>
  <c r="C36" i="16"/>
  <c r="C76" i="16" s="1"/>
  <c r="F36" i="16"/>
  <c r="F76" i="16" s="1"/>
  <c r="I36" i="16"/>
  <c r="I76" i="16" s="1"/>
  <c r="L36" i="16"/>
  <c r="L76" i="16" s="1"/>
  <c r="O36" i="16"/>
  <c r="O76" i="16" s="1"/>
  <c r="R36" i="16"/>
  <c r="R76" i="16" s="1"/>
  <c r="U36" i="16"/>
  <c r="U76" i="16" s="1"/>
  <c r="X36" i="16"/>
  <c r="X76" i="16" s="1"/>
  <c r="AA36" i="16"/>
  <c r="AA76" i="16" s="1"/>
  <c r="AD36" i="16"/>
  <c r="AD76" i="16" s="1"/>
  <c r="AG36" i="16"/>
  <c r="AG76" i="16" s="1"/>
  <c r="H36" i="16"/>
  <c r="H76" i="16" s="1"/>
  <c r="S36" i="16"/>
  <c r="S76" i="16" s="1"/>
  <c r="Z36" i="16"/>
  <c r="Z76" i="16" s="1"/>
  <c r="E36" i="16"/>
  <c r="E76" i="16" s="1"/>
  <c r="P36" i="16"/>
  <c r="P76" i="16" s="1"/>
  <c r="W36" i="16"/>
  <c r="W76" i="16" s="1"/>
  <c r="AF36" i="16"/>
  <c r="AF76" i="16" s="1"/>
  <c r="K36" i="16"/>
  <c r="K76" i="16" s="1"/>
  <c r="Q36" i="16"/>
  <c r="Q76" i="16" s="1"/>
  <c r="V36" i="16"/>
  <c r="V76" i="16" s="1"/>
  <c r="AB36" i="16"/>
  <c r="AB76" i="16" s="1"/>
  <c r="G36" i="16"/>
  <c r="G76" i="16" s="1"/>
  <c r="M36" i="16"/>
  <c r="M76" i="16" s="1"/>
  <c r="AC36" i="16"/>
  <c r="AC76" i="16" s="1"/>
  <c r="N36" i="16"/>
  <c r="N76" i="16" s="1"/>
  <c r="T36" i="16"/>
  <c r="T76" i="16" s="1"/>
  <c r="Y36" i="16"/>
  <c r="Y76" i="16" s="1"/>
  <c r="AE36" i="16"/>
  <c r="AE76" i="16" s="1"/>
  <c r="D36" i="16"/>
  <c r="D76" i="16" s="1"/>
  <c r="J36" i="16"/>
  <c r="J76" i="16" s="1"/>
  <c r="C30" i="16"/>
  <c r="C70" i="16" s="1"/>
  <c r="F30" i="16"/>
  <c r="F70" i="16" s="1"/>
  <c r="I30" i="16"/>
  <c r="I70" i="16" s="1"/>
  <c r="L30" i="16"/>
  <c r="L70" i="16" s="1"/>
  <c r="O30" i="16"/>
  <c r="O70" i="16" s="1"/>
  <c r="R30" i="16"/>
  <c r="R70" i="16" s="1"/>
  <c r="U30" i="16"/>
  <c r="U70" i="16" s="1"/>
  <c r="X30" i="16"/>
  <c r="X70" i="16" s="1"/>
  <c r="AA30" i="16"/>
  <c r="AA70" i="16" s="1"/>
  <c r="D30" i="16"/>
  <c r="D70" i="16" s="1"/>
  <c r="K30" i="16"/>
  <c r="K70" i="16" s="1"/>
  <c r="V30" i="16"/>
  <c r="V70" i="16" s="1"/>
  <c r="AC30" i="16"/>
  <c r="AC70" i="16" s="1"/>
  <c r="AF30" i="16"/>
  <c r="AF70" i="16" s="1"/>
  <c r="M30" i="16"/>
  <c r="M70" i="16" s="1"/>
  <c r="Q30" i="16"/>
  <c r="Q70" i="16" s="1"/>
  <c r="Z30" i="16"/>
  <c r="Z70" i="16" s="1"/>
  <c r="AD30" i="16"/>
  <c r="AD70" i="16" s="1"/>
  <c r="H30" i="16"/>
  <c r="H70" i="16" s="1"/>
  <c r="Y30" i="16"/>
  <c r="Y70" i="16" s="1"/>
  <c r="AG30" i="16"/>
  <c r="AG70" i="16" s="1"/>
  <c r="E30" i="16"/>
  <c r="E70" i="16" s="1"/>
  <c r="S30" i="16"/>
  <c r="S70" i="16" s="1"/>
  <c r="AE30" i="16"/>
  <c r="AE70" i="16" s="1"/>
  <c r="G30" i="16"/>
  <c r="G70" i="16" s="1"/>
  <c r="P30" i="16"/>
  <c r="P70" i="16" s="1"/>
  <c r="AB30" i="16"/>
  <c r="AB70" i="16" s="1"/>
  <c r="J30" i="16"/>
  <c r="J70" i="16" s="1"/>
  <c r="T30" i="16"/>
  <c r="T70" i="16" s="1"/>
  <c r="N30" i="16"/>
  <c r="N70" i="16" s="1"/>
  <c r="W30" i="16"/>
  <c r="W70" i="16" s="1"/>
  <c r="C24" i="16"/>
  <c r="C64" i="16" s="1"/>
  <c r="F24" i="16"/>
  <c r="F64" i="16" s="1"/>
  <c r="I24" i="16"/>
  <c r="I64" i="16" s="1"/>
  <c r="L24" i="16"/>
  <c r="L64" i="16" s="1"/>
  <c r="O24" i="16"/>
  <c r="O64" i="16" s="1"/>
  <c r="R24" i="16"/>
  <c r="R64" i="16" s="1"/>
  <c r="U24" i="16"/>
  <c r="U64" i="16" s="1"/>
  <c r="X24" i="16"/>
  <c r="X64" i="16" s="1"/>
  <c r="AA24" i="16"/>
  <c r="AA64" i="16" s="1"/>
  <c r="AD24" i="16"/>
  <c r="AD64" i="16" s="1"/>
  <c r="AG24" i="16"/>
  <c r="AG64" i="16" s="1"/>
  <c r="J24" i="16"/>
  <c r="J64" i="16" s="1"/>
  <c r="Q24" i="16"/>
  <c r="Q64" i="16" s="1"/>
  <c r="AB24" i="16"/>
  <c r="AB64" i="16" s="1"/>
  <c r="M24" i="16"/>
  <c r="M64" i="16" s="1"/>
  <c r="V24" i="16"/>
  <c r="V64" i="16" s="1"/>
  <c r="Z24" i="16"/>
  <c r="Z64" i="16" s="1"/>
  <c r="E24" i="16"/>
  <c r="E64" i="16" s="1"/>
  <c r="N24" i="16"/>
  <c r="N64" i="16" s="1"/>
  <c r="AE24" i="16"/>
  <c r="AE64" i="16" s="1"/>
  <c r="S24" i="16"/>
  <c r="S64" i="16" s="1"/>
  <c r="W24" i="16"/>
  <c r="W64" i="16" s="1"/>
  <c r="AF24" i="16"/>
  <c r="AF64" i="16" s="1"/>
  <c r="G24" i="16"/>
  <c r="G64" i="16" s="1"/>
  <c r="K24" i="16"/>
  <c r="K64" i="16" s="1"/>
  <c r="D24" i="16"/>
  <c r="D64" i="16" s="1"/>
  <c r="H24" i="16"/>
  <c r="H64" i="16" s="1"/>
  <c r="T24" i="16"/>
  <c r="T64" i="16" s="1"/>
  <c r="P24" i="16"/>
  <c r="P64" i="16" s="1"/>
  <c r="Y24" i="16"/>
  <c r="Y64" i="16" s="1"/>
  <c r="AC24" i="16"/>
  <c r="AC64" i="16" s="1"/>
  <c r="A52" i="16"/>
  <c r="AL36" i="16"/>
  <c r="C35" i="16"/>
  <c r="C75" i="16" s="1"/>
  <c r="F35" i="16"/>
  <c r="F75" i="16" s="1"/>
  <c r="I35" i="16"/>
  <c r="I75" i="16" s="1"/>
  <c r="L35" i="16"/>
  <c r="L75" i="16" s="1"/>
  <c r="O35" i="16"/>
  <c r="O75" i="16" s="1"/>
  <c r="R35" i="16"/>
  <c r="R75" i="16" s="1"/>
  <c r="U35" i="16"/>
  <c r="U75" i="16" s="1"/>
  <c r="D35" i="16"/>
  <c r="D75" i="16" s="1"/>
  <c r="K35" i="16"/>
  <c r="K75" i="16" s="1"/>
  <c r="V35" i="16"/>
  <c r="V75" i="16" s="1"/>
  <c r="Y35" i="16"/>
  <c r="Y75" i="16" s="1"/>
  <c r="AB35" i="16"/>
  <c r="AB75" i="16" s="1"/>
  <c r="AE35" i="16"/>
  <c r="AE75" i="16" s="1"/>
  <c r="H35" i="16"/>
  <c r="H75" i="16" s="1"/>
  <c r="AF35" i="16"/>
  <c r="AF75" i="16" s="1"/>
  <c r="M35" i="16"/>
  <c r="M75" i="16" s="1"/>
  <c r="Q35" i="16"/>
  <c r="Q75" i="16" s="1"/>
  <c r="AC35" i="16"/>
  <c r="AC75" i="16" s="1"/>
  <c r="Z35" i="16"/>
  <c r="Z75" i="16" s="1"/>
  <c r="G35" i="16"/>
  <c r="G75" i="16" s="1"/>
  <c r="N35" i="16"/>
  <c r="N75" i="16" s="1"/>
  <c r="T35" i="16"/>
  <c r="T75" i="16" s="1"/>
  <c r="AA35" i="16"/>
  <c r="AA75" i="16" s="1"/>
  <c r="AG35" i="16"/>
  <c r="AG75" i="16" s="1"/>
  <c r="J35" i="16"/>
  <c r="J75" i="16" s="1"/>
  <c r="P35" i="16"/>
  <c r="P75" i="16" s="1"/>
  <c r="W35" i="16"/>
  <c r="W75" i="16" s="1"/>
  <c r="E35" i="16"/>
  <c r="E75" i="16" s="1"/>
  <c r="S35" i="16"/>
  <c r="S75" i="16" s="1"/>
  <c r="X35" i="16"/>
  <c r="X75" i="16" s="1"/>
  <c r="AD35" i="16"/>
  <c r="AD75" i="16" s="1"/>
  <c r="D29" i="16"/>
  <c r="D69" i="16" s="1"/>
  <c r="G29" i="16"/>
  <c r="G69" i="16" s="1"/>
  <c r="J29" i="16"/>
  <c r="J69" i="16" s="1"/>
  <c r="M29" i="16"/>
  <c r="M69" i="16" s="1"/>
  <c r="P29" i="16"/>
  <c r="P69" i="16" s="1"/>
  <c r="S29" i="16"/>
  <c r="S69" i="16" s="1"/>
  <c r="V29" i="16"/>
  <c r="V69" i="16" s="1"/>
  <c r="Y29" i="16"/>
  <c r="Y69" i="16" s="1"/>
  <c r="AB29" i="16"/>
  <c r="AB69" i="16" s="1"/>
  <c r="AE29" i="16"/>
  <c r="AE69" i="16" s="1"/>
  <c r="F29" i="16"/>
  <c r="F69" i="16" s="1"/>
  <c r="Q29" i="16"/>
  <c r="Q69" i="16" s="1"/>
  <c r="X29" i="16"/>
  <c r="X69" i="16" s="1"/>
  <c r="E29" i="16"/>
  <c r="E69" i="16" s="1"/>
  <c r="I29" i="16"/>
  <c r="I69" i="16" s="1"/>
  <c r="N29" i="16"/>
  <c r="N69" i="16" s="1"/>
  <c r="R29" i="16"/>
  <c r="R69" i="16" s="1"/>
  <c r="Z29" i="16"/>
  <c r="Z69" i="16" s="1"/>
  <c r="AD29" i="16"/>
  <c r="AD69" i="16" s="1"/>
  <c r="C29" i="16"/>
  <c r="C69" i="16" s="1"/>
  <c r="W29" i="16"/>
  <c r="W69" i="16" s="1"/>
  <c r="AC29" i="16"/>
  <c r="AC69" i="16" s="1"/>
  <c r="K29" i="16"/>
  <c r="K69" i="16" s="1"/>
  <c r="AA29" i="16"/>
  <c r="AA69" i="16" s="1"/>
  <c r="H29" i="16"/>
  <c r="H69" i="16" s="1"/>
  <c r="T29" i="16"/>
  <c r="T69" i="16" s="1"/>
  <c r="AF29" i="16"/>
  <c r="AF69" i="16" s="1"/>
  <c r="L29" i="16"/>
  <c r="L69" i="16" s="1"/>
  <c r="U29" i="16"/>
  <c r="U69" i="16" s="1"/>
  <c r="AG29" i="16"/>
  <c r="AG69" i="16" s="1"/>
  <c r="O29" i="16"/>
  <c r="O69" i="16" s="1"/>
  <c r="AL19" i="16"/>
  <c r="A76" i="16"/>
  <c r="D34" i="16"/>
  <c r="D74" i="16" s="1"/>
  <c r="G34" i="16"/>
  <c r="G74" i="16" s="1"/>
  <c r="J34" i="16"/>
  <c r="J74" i="16" s="1"/>
  <c r="M34" i="16"/>
  <c r="M74" i="16" s="1"/>
  <c r="P34" i="16"/>
  <c r="P74" i="16" s="1"/>
  <c r="S34" i="16"/>
  <c r="S74" i="16" s="1"/>
  <c r="V34" i="16"/>
  <c r="V74" i="16" s="1"/>
  <c r="Y34" i="16"/>
  <c r="Y74" i="16" s="1"/>
  <c r="AB34" i="16"/>
  <c r="AB74" i="16" s="1"/>
  <c r="AE34" i="16"/>
  <c r="AE74" i="16" s="1"/>
  <c r="C34" i="16"/>
  <c r="C74" i="16" s="1"/>
  <c r="N34" i="16"/>
  <c r="N74" i="16" s="1"/>
  <c r="U34" i="16"/>
  <c r="U74" i="16" s="1"/>
  <c r="F34" i="16"/>
  <c r="F74" i="16" s="1"/>
  <c r="Q34" i="16"/>
  <c r="Q74" i="16" s="1"/>
  <c r="X34" i="16"/>
  <c r="X74" i="16" s="1"/>
  <c r="AD34" i="16"/>
  <c r="AD74" i="16" s="1"/>
  <c r="I34" i="16"/>
  <c r="I74" i="16" s="1"/>
  <c r="O34" i="16"/>
  <c r="O74" i="16" s="1"/>
  <c r="T34" i="16"/>
  <c r="T74" i="16" s="1"/>
  <c r="Z34" i="16"/>
  <c r="Z74" i="16" s="1"/>
  <c r="W34" i="16"/>
  <c r="W74" i="16" s="1"/>
  <c r="AF34" i="16"/>
  <c r="AF74" i="16" s="1"/>
  <c r="H34" i="16"/>
  <c r="H74" i="16" s="1"/>
  <c r="K34" i="16"/>
  <c r="K74" i="16" s="1"/>
  <c r="R34" i="16"/>
  <c r="R74" i="16" s="1"/>
  <c r="AG34" i="16"/>
  <c r="AG74" i="16" s="1"/>
  <c r="AA34" i="16"/>
  <c r="AA74" i="16" s="1"/>
  <c r="E34" i="16"/>
  <c r="E74" i="16" s="1"/>
  <c r="L34" i="16"/>
  <c r="L74" i="16" s="1"/>
  <c r="AC34" i="16"/>
  <c r="AC74" i="16" s="1"/>
  <c r="E28" i="16"/>
  <c r="E68" i="16" s="1"/>
  <c r="H28" i="16"/>
  <c r="H68" i="16" s="1"/>
  <c r="K28" i="16"/>
  <c r="K68" i="16" s="1"/>
  <c r="N28" i="16"/>
  <c r="N68" i="16" s="1"/>
  <c r="Q28" i="16"/>
  <c r="Q68" i="16" s="1"/>
  <c r="T28" i="16"/>
  <c r="T68" i="16" s="1"/>
  <c r="W28" i="16"/>
  <c r="W68" i="16" s="1"/>
  <c r="Z28" i="16"/>
  <c r="Z68" i="16" s="1"/>
  <c r="AC28" i="16"/>
  <c r="AC68" i="16" s="1"/>
  <c r="AF28" i="16"/>
  <c r="AF68" i="16" s="1"/>
  <c r="L28" i="16"/>
  <c r="L68" i="16" s="1"/>
  <c r="S28" i="16"/>
  <c r="S68" i="16" s="1"/>
  <c r="AD28" i="16"/>
  <c r="AD68" i="16" s="1"/>
  <c r="F28" i="16"/>
  <c r="F68" i="16" s="1"/>
  <c r="J28" i="16"/>
  <c r="J68" i="16" s="1"/>
  <c r="C28" i="16"/>
  <c r="C68" i="16" s="1"/>
  <c r="G28" i="16"/>
  <c r="G68" i="16" s="1"/>
  <c r="P28" i="16"/>
  <c r="P68" i="16" s="1"/>
  <c r="U28" i="16"/>
  <c r="U68" i="16" s="1"/>
  <c r="Y28" i="16"/>
  <c r="Y68" i="16" s="1"/>
  <c r="R28" i="16"/>
  <c r="R68" i="16" s="1"/>
  <c r="V28" i="16"/>
  <c r="V68" i="16" s="1"/>
  <c r="AA28" i="16"/>
  <c r="AA68" i="16" s="1"/>
  <c r="AE28" i="16"/>
  <c r="AE68" i="16" s="1"/>
  <c r="O28" i="16"/>
  <c r="O68" i="16" s="1"/>
  <c r="AB28" i="16"/>
  <c r="AB68" i="16" s="1"/>
  <c r="I28" i="16"/>
  <c r="I68" i="16" s="1"/>
  <c r="M28" i="16"/>
  <c r="M68" i="16" s="1"/>
  <c r="AG28" i="16"/>
  <c r="AG68" i="16" s="1"/>
  <c r="X28" i="16"/>
  <c r="X68" i="16" s="1"/>
  <c r="D28" i="16"/>
  <c r="D68" i="16" s="1"/>
  <c r="D23" i="16"/>
  <c r="D63" i="16" s="1"/>
  <c r="G23" i="16"/>
  <c r="G63" i="16" s="1"/>
  <c r="J23" i="16"/>
  <c r="J63" i="16" s="1"/>
  <c r="M23" i="16"/>
  <c r="M63" i="16" s="1"/>
  <c r="P23" i="16"/>
  <c r="P63" i="16" s="1"/>
  <c r="S23" i="16"/>
  <c r="S63" i="16" s="1"/>
  <c r="V23" i="16"/>
  <c r="V63" i="16" s="1"/>
  <c r="Y23" i="16"/>
  <c r="Y63" i="16" s="1"/>
  <c r="AB23" i="16"/>
  <c r="AB63" i="16" s="1"/>
  <c r="AE23" i="16"/>
  <c r="AE63" i="16" s="1"/>
  <c r="I23" i="16"/>
  <c r="I63" i="16" s="1"/>
  <c r="T23" i="16"/>
  <c r="T63" i="16" s="1"/>
  <c r="E23" i="16"/>
  <c r="E63" i="16" s="1"/>
  <c r="L23" i="16"/>
  <c r="L63" i="16" s="1"/>
  <c r="W23" i="16"/>
  <c r="W63" i="16" s="1"/>
  <c r="AD23" i="16"/>
  <c r="AD63" i="16" s="1"/>
  <c r="AA23" i="16"/>
  <c r="AA63" i="16" s="1"/>
  <c r="R23" i="16"/>
  <c r="R63" i="16" s="1"/>
  <c r="AF23" i="16"/>
  <c r="AF63" i="16" s="1"/>
  <c r="C23" i="16"/>
  <c r="C63" i="16" s="1"/>
  <c r="H23" i="16"/>
  <c r="H63" i="16" s="1"/>
  <c r="N23" i="16"/>
  <c r="N63" i="16" s="1"/>
  <c r="X23" i="16"/>
  <c r="X63" i="16" s="1"/>
  <c r="AC23" i="16"/>
  <c r="AC63" i="16" s="1"/>
  <c r="AG23" i="16"/>
  <c r="AG63" i="16" s="1"/>
  <c r="F23" i="16"/>
  <c r="F63" i="16" s="1"/>
  <c r="K23" i="16"/>
  <c r="K63" i="16" s="1"/>
  <c r="Q23" i="16"/>
  <c r="Q63" i="16" s="1"/>
  <c r="Z23" i="16"/>
  <c r="Z63" i="16" s="1"/>
  <c r="O23" i="16"/>
  <c r="O63" i="16" s="1"/>
  <c r="U23" i="16"/>
  <c r="U63" i="16" s="1"/>
  <c r="AJ31" i="12"/>
  <c r="AJ512" i="12" s="1"/>
  <c r="O31" i="12"/>
  <c r="O512" i="12" s="1"/>
  <c r="J31" i="12"/>
  <c r="J512" i="12" s="1"/>
  <c r="AH31" i="12"/>
  <c r="AH512" i="12" s="1"/>
  <c r="P34" i="12"/>
  <c r="P515" i="12" s="1"/>
  <c r="Y3" i="12"/>
  <c r="AE12" i="12"/>
  <c r="C33" i="12"/>
  <c r="C514" i="12" s="1"/>
  <c r="M31" i="12"/>
  <c r="M512" i="12" s="1"/>
  <c r="D6" i="12"/>
  <c r="AC6" i="12"/>
  <c r="AD6" i="12"/>
  <c r="AE6" i="12"/>
  <c r="AG6" i="12"/>
  <c r="C7" i="16" l="1"/>
  <c r="C47" i="16" s="1"/>
  <c r="V518" i="12"/>
  <c r="V500" i="12"/>
  <c r="X35" i="12"/>
  <c r="H35" i="12"/>
  <c r="AJ500" i="12"/>
  <c r="C40" i="14"/>
  <c r="D39" i="14"/>
  <c r="C41" i="14"/>
  <c r="C42" i="14" s="1"/>
  <c r="S31" i="12"/>
  <c r="AA31" i="12"/>
  <c r="AB31" i="12"/>
  <c r="Y31" i="12"/>
  <c r="T31" i="12"/>
  <c r="AD31" i="12"/>
  <c r="AE31" i="12"/>
  <c r="D31" i="12"/>
  <c r="R31" i="12"/>
  <c r="C31" i="12"/>
  <c r="G6" i="12"/>
  <c r="G487" i="12" s="1"/>
  <c r="G31" i="12"/>
  <c r="F6" i="12"/>
  <c r="F487" i="12" s="1"/>
  <c r="W31" i="12"/>
  <c r="K31" i="12"/>
  <c r="AB6" i="12"/>
  <c r="AB487" i="12" s="1"/>
  <c r="U31" i="12"/>
  <c r="O510" i="12"/>
  <c r="Q518" i="12"/>
  <c r="E500" i="12"/>
  <c r="I510" i="12"/>
  <c r="E510" i="12"/>
  <c r="T510" i="12"/>
  <c r="R500" i="12"/>
  <c r="Z510" i="12"/>
  <c r="X510" i="12"/>
  <c r="J500" i="12"/>
  <c r="P510" i="12"/>
  <c r="R510" i="12"/>
  <c r="C500" i="12"/>
  <c r="AG510" i="12"/>
  <c r="L510" i="12"/>
  <c r="U500" i="12"/>
  <c r="AM19" i="12"/>
  <c r="AP19" i="12" s="1"/>
  <c r="M500" i="12"/>
  <c r="V510" i="12"/>
  <c r="AI510" i="12"/>
  <c r="AF510" i="12"/>
  <c r="G510" i="12"/>
  <c r="W4" i="12"/>
  <c r="W485" i="12" s="1"/>
  <c r="AF500" i="12"/>
  <c r="N510" i="12"/>
  <c r="W510" i="12"/>
  <c r="AA500" i="12"/>
  <c r="Z500" i="12"/>
  <c r="D510" i="12"/>
  <c r="Q510" i="12"/>
  <c r="AB510" i="12"/>
  <c r="S500" i="12"/>
  <c r="S510" i="12"/>
  <c r="K510" i="12"/>
  <c r="T498" i="12"/>
  <c r="U510" i="12"/>
  <c r="D16" i="16"/>
  <c r="E16" i="16" s="1"/>
  <c r="F16" i="16" s="1"/>
  <c r="G16" i="16" s="1"/>
  <c r="H16" i="16" s="1"/>
  <c r="I16" i="16" s="1"/>
  <c r="J16" i="16" s="1"/>
  <c r="K16" i="16" s="1"/>
  <c r="L16" i="16" s="1"/>
  <c r="M16" i="16" s="1"/>
  <c r="N16" i="16" s="1"/>
  <c r="O16" i="16" s="1"/>
  <c r="P16" i="16" s="1"/>
  <c r="Q16" i="16" s="1"/>
  <c r="R16" i="16" s="1"/>
  <c r="S16" i="16" s="1"/>
  <c r="T16" i="16" s="1"/>
  <c r="U16" i="16" s="1"/>
  <c r="V16" i="16" s="1"/>
  <c r="W16" i="16" s="1"/>
  <c r="X16" i="16" s="1"/>
  <c r="Y16" i="16" s="1"/>
  <c r="Z16" i="16" s="1"/>
  <c r="AA16" i="16" s="1"/>
  <c r="AB16" i="16" s="1"/>
  <c r="AC16" i="16" s="1"/>
  <c r="AD16" i="16" s="1"/>
  <c r="AE16" i="16" s="1"/>
  <c r="AF16" i="16" s="1"/>
  <c r="AG16" i="16" s="1"/>
  <c r="C56" i="16"/>
  <c r="C49" i="16"/>
  <c r="D9" i="16"/>
  <c r="C48" i="16"/>
  <c r="D8" i="16"/>
  <c r="C52" i="16"/>
  <c r="D12" i="16"/>
  <c r="C14" i="16"/>
  <c r="AO14" i="16" s="1"/>
  <c r="C13" i="16"/>
  <c r="D11" i="16"/>
  <c r="C44" i="16"/>
  <c r="D4" i="16"/>
  <c r="C46" i="16"/>
  <c r="D6" i="16"/>
  <c r="C5" i="16"/>
  <c r="D5" i="16" s="1"/>
  <c r="E5" i="16" s="1"/>
  <c r="F5" i="16" s="1"/>
  <c r="F45" i="16" s="1"/>
  <c r="Y500" i="12"/>
  <c r="T500" i="12"/>
  <c r="AA510" i="12"/>
  <c r="H510" i="12"/>
  <c r="AC510" i="12"/>
  <c r="AD510" i="12"/>
  <c r="L31" i="12"/>
  <c r="X500" i="12"/>
  <c r="O500" i="12"/>
  <c r="N31" i="12"/>
  <c r="Z518" i="12"/>
  <c r="R518" i="12"/>
  <c r="M518" i="12"/>
  <c r="C3" i="16"/>
  <c r="C43" i="16" s="1"/>
  <c r="C2" i="16"/>
  <c r="R35" i="12"/>
  <c r="Q508" i="12"/>
  <c r="I6" i="12"/>
  <c r="I487" i="12" s="1"/>
  <c r="E6" i="12"/>
  <c r="E487" i="12" s="1"/>
  <c r="T35" i="12"/>
  <c r="P35" i="12"/>
  <c r="AI35" i="12"/>
  <c r="AB33" i="12"/>
  <c r="N15" i="16"/>
  <c r="D10" i="16"/>
  <c r="D7" i="16"/>
  <c r="D47" i="16" s="1"/>
  <c r="AJ2" i="12"/>
  <c r="AJ483" i="12" s="1"/>
  <c r="W2" i="12"/>
  <c r="W483" i="12" s="1"/>
  <c r="AD9" i="12"/>
  <c r="AD490" i="12" s="1"/>
  <c r="M2" i="12"/>
  <c r="M483" i="12" s="1"/>
  <c r="AF2" i="12"/>
  <c r="AF483" i="12" s="1"/>
  <c r="G2" i="12"/>
  <c r="G483" i="12" s="1"/>
  <c r="O6" i="12"/>
  <c r="O487" i="12" s="1"/>
  <c r="M6" i="12"/>
  <c r="M487" i="12" s="1"/>
  <c r="L6" i="12"/>
  <c r="L487" i="12" s="1"/>
  <c r="K6" i="12"/>
  <c r="K487" i="12" s="1"/>
  <c r="J6" i="12"/>
  <c r="J487" i="12" s="1"/>
  <c r="AG508" i="12"/>
  <c r="S35" i="12"/>
  <c r="Q509" i="12"/>
  <c r="AD35" i="12"/>
  <c r="U35" i="12"/>
  <c r="Q35" i="12"/>
  <c r="AE35" i="12"/>
  <c r="Q511" i="12"/>
  <c r="AG35" i="12"/>
  <c r="AH35" i="12"/>
  <c r="V35" i="12"/>
  <c r="N35" i="12"/>
  <c r="K35" i="12"/>
  <c r="O508" i="12"/>
  <c r="AF6" i="12"/>
  <c r="AF487" i="12" s="1"/>
  <c r="C6" i="12"/>
  <c r="C487" i="12" s="1"/>
  <c r="AJ6" i="12"/>
  <c r="AJ487" i="12" s="1"/>
  <c r="AI6" i="12"/>
  <c r="AI487" i="12" s="1"/>
  <c r="AH6" i="12"/>
  <c r="AH487" i="12" s="1"/>
  <c r="I33" i="12"/>
  <c r="AH508" i="12"/>
  <c r="C35" i="12"/>
  <c r="I35" i="12"/>
  <c r="AA35" i="12"/>
  <c r="O35" i="12"/>
  <c r="G35" i="12"/>
  <c r="E35" i="12"/>
  <c r="Z6" i="12"/>
  <c r="Z487" i="12" s="1"/>
  <c r="K508" i="12"/>
  <c r="AA6" i="12"/>
  <c r="AA487" i="12" s="1"/>
  <c r="Y6" i="12"/>
  <c r="Y487" i="12" s="1"/>
  <c r="X6" i="12"/>
  <c r="X487" i="12" s="1"/>
  <c r="W6" i="12"/>
  <c r="W487" i="12" s="1"/>
  <c r="V6" i="12"/>
  <c r="V487" i="12" s="1"/>
  <c r="AF35" i="12"/>
  <c r="J35" i="12"/>
  <c r="M35" i="12"/>
  <c r="AJ35" i="12"/>
  <c r="AC35" i="12"/>
  <c r="AE33" i="12"/>
  <c r="U6" i="12"/>
  <c r="U487" i="12" s="1"/>
  <c r="S6" i="12"/>
  <c r="S487" i="12" s="1"/>
  <c r="R6" i="12"/>
  <c r="R487" i="12" s="1"/>
  <c r="Q6" i="12"/>
  <c r="Q487" i="12" s="1"/>
  <c r="P6" i="12"/>
  <c r="P487" i="12" s="1"/>
  <c r="D35" i="12"/>
  <c r="Y35" i="12"/>
  <c r="F35" i="12"/>
  <c r="AB35" i="12"/>
  <c r="W35" i="12"/>
  <c r="G508" i="12"/>
  <c r="AC33" i="12"/>
  <c r="AH500" i="12"/>
  <c r="C510" i="12"/>
  <c r="J510" i="12"/>
  <c r="X31" i="12"/>
  <c r="P31" i="12"/>
  <c r="Q31" i="12"/>
  <c r="AE510" i="12"/>
  <c r="Z31" i="12"/>
  <c r="V31" i="12"/>
  <c r="AF31" i="12"/>
  <c r="AC31" i="12"/>
  <c r="I31" i="12"/>
  <c r="E31" i="12"/>
  <c r="AI31" i="12"/>
  <c r="U518" i="12"/>
  <c r="P518" i="12"/>
  <c r="C32" i="12"/>
  <c r="N7" i="12"/>
  <c r="N488" i="12" s="1"/>
  <c r="R499" i="12"/>
  <c r="H499" i="12"/>
  <c r="D32" i="12"/>
  <c r="U498" i="12"/>
  <c r="K32" i="12"/>
  <c r="M32" i="12"/>
  <c r="Q32" i="12"/>
  <c r="AD32" i="12"/>
  <c r="F32" i="12"/>
  <c r="AJ32" i="12"/>
  <c r="R32" i="12"/>
  <c r="AI32" i="12"/>
  <c r="Y32" i="12"/>
  <c r="S32" i="12"/>
  <c r="N32" i="12"/>
  <c r="AC32" i="12"/>
  <c r="O32" i="12"/>
  <c r="X32" i="12"/>
  <c r="U32" i="12"/>
  <c r="E32" i="12"/>
  <c r="L32" i="12"/>
  <c r="G32" i="12"/>
  <c r="W32" i="12"/>
  <c r="V32" i="12"/>
  <c r="AE32" i="12"/>
  <c r="AB32" i="12"/>
  <c r="AE518" i="12"/>
  <c r="Y518" i="12"/>
  <c r="P4" i="12"/>
  <c r="P485" i="12" s="1"/>
  <c r="O496" i="12"/>
  <c r="S518" i="12"/>
  <c r="J518" i="12"/>
  <c r="O518" i="12"/>
  <c r="N518" i="12"/>
  <c r="K518" i="12"/>
  <c r="AB518" i="12"/>
  <c r="C518" i="12"/>
  <c r="Y4" i="12"/>
  <c r="Y485" i="12" s="1"/>
  <c r="G518" i="12"/>
  <c r="X518" i="12"/>
  <c r="AC518" i="12"/>
  <c r="AI518" i="12"/>
  <c r="AG518" i="12"/>
  <c r="AD518" i="12"/>
  <c r="I518" i="12"/>
  <c r="AH518" i="12"/>
  <c r="AF518" i="12"/>
  <c r="AJ518" i="12"/>
  <c r="F518" i="12"/>
  <c r="AA518" i="12"/>
  <c r="AH494" i="12"/>
  <c r="H518" i="12"/>
  <c r="D518" i="12"/>
  <c r="L518" i="12"/>
  <c r="AJ9" i="12"/>
  <c r="AJ490" i="12" s="1"/>
  <c r="C2" i="12"/>
  <c r="C483" i="12" s="1"/>
  <c r="X9" i="12"/>
  <c r="Z2" i="12"/>
  <c r="Z483" i="12" s="1"/>
  <c r="AD2" i="12"/>
  <c r="K2" i="12"/>
  <c r="K483" i="12" s="1"/>
  <c r="D2" i="12"/>
  <c r="D483" i="12" s="1"/>
  <c r="S2" i="12"/>
  <c r="S483" i="12" s="1"/>
  <c r="K9" i="12"/>
  <c r="L7" i="12"/>
  <c r="AI2" i="12"/>
  <c r="AI483" i="12" s="1"/>
  <c r="Q2" i="12"/>
  <c r="Q483" i="12" s="1"/>
  <c r="G499" i="12"/>
  <c r="D9" i="12"/>
  <c r="Y2" i="12"/>
  <c r="H2" i="12"/>
  <c r="H483" i="12" s="1"/>
  <c r="L2" i="12"/>
  <c r="L483" i="12" s="1"/>
  <c r="S7" i="12"/>
  <c r="S488" i="12" s="1"/>
  <c r="I2" i="12"/>
  <c r="J2" i="12"/>
  <c r="J483" i="12" s="1"/>
  <c r="K499" i="12"/>
  <c r="AC2" i="12"/>
  <c r="F2" i="12"/>
  <c r="L9" i="12"/>
  <c r="L490" i="12" s="1"/>
  <c r="F9" i="12"/>
  <c r="AE2" i="12"/>
  <c r="AE483" i="12" s="1"/>
  <c r="N2" i="12"/>
  <c r="R2" i="12"/>
  <c r="AE7" i="12"/>
  <c r="AE488" i="12" s="1"/>
  <c r="U2" i="12"/>
  <c r="V2" i="12"/>
  <c r="V7" i="12"/>
  <c r="V488" i="12" s="1"/>
  <c r="R9" i="12"/>
  <c r="T2" i="12"/>
  <c r="T483" i="12" s="1"/>
  <c r="X2" i="12"/>
  <c r="X483" i="12" s="1"/>
  <c r="AG2" i="12"/>
  <c r="AH2" i="12"/>
  <c r="AB2" i="12"/>
  <c r="K10" i="12"/>
  <c r="L509" i="12"/>
  <c r="T509" i="12"/>
  <c r="P509" i="12"/>
  <c r="S509" i="12"/>
  <c r="U509" i="12"/>
  <c r="H509" i="12"/>
  <c r="X509" i="12"/>
  <c r="AM7" i="16"/>
  <c r="AO7" i="16" s="1"/>
  <c r="L36" i="12"/>
  <c r="AC36" i="12"/>
  <c r="N36" i="12"/>
  <c r="AH10" i="12"/>
  <c r="Z36" i="12"/>
  <c r="O2" i="12"/>
  <c r="O483" i="12" s="1"/>
  <c r="P2" i="12"/>
  <c r="H9" i="12"/>
  <c r="AB10" i="12"/>
  <c r="M10" i="12"/>
  <c r="M491" i="12" s="1"/>
  <c r="AJ511" i="12"/>
  <c r="AH507" i="12"/>
  <c r="L10" i="12"/>
  <c r="I10" i="12"/>
  <c r="T3" i="12"/>
  <c r="AD10" i="12"/>
  <c r="W511" i="12"/>
  <c r="R496" i="12"/>
  <c r="P511" i="12"/>
  <c r="U8" i="12"/>
  <c r="H496" i="12"/>
  <c r="F496" i="12"/>
  <c r="AH511" i="12"/>
  <c r="I511" i="12"/>
  <c r="G511" i="12"/>
  <c r="H10" i="12"/>
  <c r="S10" i="12"/>
  <c r="Q10" i="12"/>
  <c r="O10" i="12"/>
  <c r="O491" i="12" s="1"/>
  <c r="Z10" i="12"/>
  <c r="AJ10" i="12"/>
  <c r="AJ51" i="12" s="1"/>
  <c r="X10" i="12"/>
  <c r="R511" i="12"/>
  <c r="P10" i="12"/>
  <c r="R10" i="12"/>
  <c r="G10" i="12"/>
  <c r="E10" i="12"/>
  <c r="C10" i="12"/>
  <c r="AG511" i="12"/>
  <c r="O507" i="12"/>
  <c r="R8" i="12"/>
  <c r="AA511" i="12"/>
  <c r="M8" i="12"/>
  <c r="H511" i="12"/>
  <c r="AI511" i="12"/>
  <c r="L511" i="12"/>
  <c r="D10" i="12"/>
  <c r="F10" i="12"/>
  <c r="AI10" i="12"/>
  <c r="AG10" i="12"/>
  <c r="P8" i="12"/>
  <c r="AG507" i="12"/>
  <c r="AF511" i="12"/>
  <c r="AE511" i="12"/>
  <c r="AF10" i="12"/>
  <c r="AE10" i="12"/>
  <c r="AC10" i="12"/>
  <c r="AA10" i="12"/>
  <c r="AC507" i="12"/>
  <c r="U511" i="12"/>
  <c r="AM15" i="12"/>
  <c r="AP15" i="12" s="1"/>
  <c r="W8" i="12"/>
  <c r="Z511" i="12"/>
  <c r="M511" i="12"/>
  <c r="T10" i="12"/>
  <c r="Y10" i="12"/>
  <c r="W10" i="12"/>
  <c r="U10" i="12"/>
  <c r="J10" i="12"/>
  <c r="F8" i="12"/>
  <c r="V10" i="12"/>
  <c r="N10" i="12"/>
  <c r="AM13" i="16"/>
  <c r="B54" i="16"/>
  <c r="C58" i="16"/>
  <c r="C59" i="16"/>
  <c r="AM19" i="16"/>
  <c r="AO19" i="16" s="1"/>
  <c r="AM2" i="16"/>
  <c r="B45" i="16"/>
  <c r="T32" i="12"/>
  <c r="X12" i="12"/>
  <c r="B10" i="12"/>
  <c r="A51" i="12"/>
  <c r="A91" i="12" s="1"/>
  <c r="A131" i="12" s="1"/>
  <c r="A171" i="12" s="1"/>
  <c r="A211" i="12" s="1"/>
  <c r="A251" i="12" s="1"/>
  <c r="A291" i="12" s="1"/>
  <c r="A331" i="12" s="1"/>
  <c r="A371" i="12" s="1"/>
  <c r="A411" i="12" s="1"/>
  <c r="A451" i="12" s="1"/>
  <c r="A491" i="12" s="1"/>
  <c r="A531" i="12" s="1"/>
  <c r="H487" i="12"/>
  <c r="Q498" i="12"/>
  <c r="AJ497" i="12"/>
  <c r="AE487" i="12"/>
  <c r="P498" i="12"/>
  <c r="AD500" i="12"/>
  <c r="T489" i="12"/>
  <c r="G490" i="12"/>
  <c r="AG500" i="12"/>
  <c r="N500" i="12"/>
  <c r="H485" i="12"/>
  <c r="AG12" i="12"/>
  <c r="V3" i="12"/>
  <c r="H31" i="12"/>
  <c r="H12" i="12"/>
  <c r="AI12" i="12"/>
  <c r="AF12" i="12"/>
  <c r="G12" i="12"/>
  <c r="K12" i="12"/>
  <c r="U508" i="12"/>
  <c r="V508" i="12"/>
  <c r="AE508" i="12"/>
  <c r="W508" i="12"/>
  <c r="S508" i="12"/>
  <c r="Y508" i="12"/>
  <c r="AJ12" i="12"/>
  <c r="I12" i="12"/>
  <c r="I508" i="12"/>
  <c r="J508" i="12"/>
  <c r="E508" i="12"/>
  <c r="AF508" i="12"/>
  <c r="AJ508" i="12"/>
  <c r="M508" i="12"/>
  <c r="R12" i="12"/>
  <c r="C12" i="12"/>
  <c r="C508" i="12"/>
  <c r="D508" i="12"/>
  <c r="X508" i="12"/>
  <c r="T508" i="12"/>
  <c r="Z508" i="12"/>
  <c r="L508" i="12"/>
  <c r="F508" i="12"/>
  <c r="R508" i="12"/>
  <c r="P12" i="12"/>
  <c r="AC12" i="12"/>
  <c r="AA508" i="12"/>
  <c r="AB508" i="12"/>
  <c r="AC508" i="12"/>
  <c r="AI508" i="12"/>
  <c r="AD508" i="12"/>
  <c r="H508" i="12"/>
  <c r="D34" i="12"/>
  <c r="A43" i="12"/>
  <c r="A83" i="12" s="1"/>
  <c r="A123" i="12" s="1"/>
  <c r="A163" i="12" s="1"/>
  <c r="A203" i="12" s="1"/>
  <c r="A243" i="12" s="1"/>
  <c r="A283" i="12" s="1"/>
  <c r="Z32" i="12"/>
  <c r="AH32" i="12"/>
  <c r="P32" i="12"/>
  <c r="E2" i="12"/>
  <c r="I4" i="12"/>
  <c r="AC4" i="12"/>
  <c r="AE4" i="12"/>
  <c r="AB7" i="12"/>
  <c r="AC8" i="12"/>
  <c r="O4" i="12"/>
  <c r="AG4" i="12"/>
  <c r="J4" i="12"/>
  <c r="Q4" i="12"/>
  <c r="O8" i="12"/>
  <c r="S4" i="12"/>
  <c r="P7" i="12"/>
  <c r="Q8" i="12"/>
  <c r="R36" i="12"/>
  <c r="C4" i="12"/>
  <c r="T36" i="12"/>
  <c r="AB8" i="12"/>
  <c r="Q36" i="12"/>
  <c r="U7" i="12"/>
  <c r="AC7" i="12"/>
  <c r="H7" i="12"/>
  <c r="V8" i="12"/>
  <c r="AF36" i="12"/>
  <c r="R4" i="12"/>
  <c r="AG36" i="12"/>
  <c r="AD4" i="12"/>
  <c r="AH8" i="12"/>
  <c r="C7" i="12"/>
  <c r="X8" i="12"/>
  <c r="F36" i="12"/>
  <c r="U36" i="12"/>
  <c r="X4" i="12"/>
  <c r="D8" i="12"/>
  <c r="AH36" i="12"/>
  <c r="AA7" i="12"/>
  <c r="AD7" i="12"/>
  <c r="G7" i="12"/>
  <c r="X7" i="12"/>
  <c r="AD8" i="12"/>
  <c r="G36" i="12"/>
  <c r="J8" i="12"/>
  <c r="AF8" i="12"/>
  <c r="AJ54" i="12"/>
  <c r="AJ36" i="12"/>
  <c r="AB36" i="12"/>
  <c r="F4" i="12"/>
  <c r="AH4" i="12"/>
  <c r="G8" i="12"/>
  <c r="O7" i="12"/>
  <c r="T7" i="12"/>
  <c r="AI7" i="12"/>
  <c r="Q7" i="12"/>
  <c r="M36" i="12"/>
  <c r="AJ8" i="12"/>
  <c r="P36" i="12"/>
  <c r="N8" i="12"/>
  <c r="S8" i="12"/>
  <c r="AA8" i="12"/>
  <c r="Y8" i="12"/>
  <c r="AB4" i="12"/>
  <c r="AI4" i="12"/>
  <c r="AG8" i="12"/>
  <c r="AH7" i="12"/>
  <c r="AI8" i="12"/>
  <c r="AD36" i="12"/>
  <c r="AI36" i="12"/>
  <c r="AF4" i="12"/>
  <c r="C36" i="12"/>
  <c r="Z8" i="12"/>
  <c r="E7" i="12"/>
  <c r="K7" i="12"/>
  <c r="Z7" i="12"/>
  <c r="I7" i="12"/>
  <c r="L4" i="12"/>
  <c r="E36" i="12"/>
  <c r="H36" i="12"/>
  <c r="J36" i="12"/>
  <c r="Y36" i="12"/>
  <c r="AE36" i="12"/>
  <c r="V4" i="12"/>
  <c r="U4" i="12"/>
  <c r="AE8" i="12"/>
  <c r="E4" i="12"/>
  <c r="C8" i="12"/>
  <c r="G4" i="12"/>
  <c r="D7" i="12"/>
  <c r="E8" i="12"/>
  <c r="AA4" i="12"/>
  <c r="D4" i="12"/>
  <c r="K4" i="12"/>
  <c r="I8" i="12"/>
  <c r="M4" i="12"/>
  <c r="J7" i="12"/>
  <c r="K8" i="12"/>
  <c r="X36" i="12"/>
  <c r="N4" i="12"/>
  <c r="K36" i="12"/>
  <c r="L8" i="12"/>
  <c r="I36" i="12"/>
  <c r="AF7" i="12"/>
  <c r="AM7" i="12"/>
  <c r="AP7" i="12" s="1"/>
  <c r="R7" i="12"/>
  <c r="F7" i="12"/>
  <c r="W7" i="12"/>
  <c r="S36" i="12"/>
  <c r="V36" i="12"/>
  <c r="AJ7" i="12"/>
  <c r="M7" i="12"/>
  <c r="AA483" i="12"/>
  <c r="N34" i="12"/>
  <c r="H32" i="12"/>
  <c r="A68" i="12"/>
  <c r="A108" i="12" s="1"/>
  <c r="A148" i="12" s="1"/>
  <c r="A188" i="12" s="1"/>
  <c r="A228" i="12" s="1"/>
  <c r="A268" i="12" s="1"/>
  <c r="A308" i="12" s="1"/>
  <c r="A348" i="12" s="1"/>
  <c r="A388" i="12" s="1"/>
  <c r="A428" i="12" s="1"/>
  <c r="A468" i="12" s="1"/>
  <c r="A508" i="12" s="1"/>
  <c r="A548" i="12" s="1"/>
  <c r="AM27" i="12"/>
  <c r="AP27" i="12" s="1"/>
  <c r="B2" i="12"/>
  <c r="AN2" i="12" s="1"/>
  <c r="C23" i="1" s="1"/>
  <c r="I32" i="12"/>
  <c r="J32" i="12"/>
  <c r="Z12" i="12"/>
  <c r="AA12" i="12"/>
  <c r="E12" i="12"/>
  <c r="AG31" i="12"/>
  <c r="D60" i="16"/>
  <c r="X511" i="12"/>
  <c r="S511" i="12"/>
  <c r="O511" i="12"/>
  <c r="M9" i="12"/>
  <c r="C9" i="12"/>
  <c r="T6" i="12"/>
  <c r="C507" i="12"/>
  <c r="X507" i="12"/>
  <c r="F507" i="12"/>
  <c r="AI507" i="12"/>
  <c r="AB511" i="12"/>
  <c r="T511" i="12"/>
  <c r="W9" i="12"/>
  <c r="AB507" i="12"/>
  <c r="AA507" i="12"/>
  <c r="I507" i="12"/>
  <c r="AH9" i="12"/>
  <c r="S9" i="12"/>
  <c r="AF9" i="12"/>
  <c r="O9" i="12"/>
  <c r="V9" i="12"/>
  <c r="Y507" i="12"/>
  <c r="G507" i="12"/>
  <c r="Z507" i="12"/>
  <c r="W507" i="12"/>
  <c r="J511" i="12"/>
  <c r="C511" i="12"/>
  <c r="AJ507" i="12"/>
  <c r="R507" i="12"/>
  <c r="T9" i="12"/>
  <c r="I9" i="12"/>
  <c r="F511" i="12"/>
  <c r="Y9" i="12"/>
  <c r="Z9" i="12"/>
  <c r="AG9" i="12"/>
  <c r="AD507" i="12"/>
  <c r="P507" i="12"/>
  <c r="AE507" i="12"/>
  <c r="S507" i="12"/>
  <c r="Q507" i="12"/>
  <c r="V511" i="12"/>
  <c r="E511" i="12"/>
  <c r="J507" i="12"/>
  <c r="P9" i="12"/>
  <c r="T507" i="12"/>
  <c r="N6" i="12"/>
  <c r="N9" i="12"/>
  <c r="AA9" i="12"/>
  <c r="AC9" i="12"/>
  <c r="Q9" i="12"/>
  <c r="AI9" i="12"/>
  <c r="U507" i="12"/>
  <c r="H507" i="12"/>
  <c r="V507" i="12"/>
  <c r="L507" i="12"/>
  <c r="K507" i="12"/>
  <c r="D511" i="12"/>
  <c r="N511" i="12"/>
  <c r="AB9" i="12"/>
  <c r="AD511" i="12"/>
  <c r="Y511" i="12"/>
  <c r="U9" i="12"/>
  <c r="J9" i="12"/>
  <c r="M507" i="12"/>
  <c r="AF507" i="12"/>
  <c r="N507" i="12"/>
  <c r="D507" i="12"/>
  <c r="AC511" i="12"/>
  <c r="E9" i="12"/>
  <c r="AE9" i="12"/>
  <c r="K34" i="12"/>
  <c r="AG34" i="12"/>
  <c r="G34" i="12"/>
  <c r="I34" i="12"/>
  <c r="Z34" i="12"/>
  <c r="AI34" i="12"/>
  <c r="C34" i="12"/>
  <c r="L34" i="12"/>
  <c r="F34" i="12"/>
  <c r="E34" i="12"/>
  <c r="AH34" i="12"/>
  <c r="Q34" i="12"/>
  <c r="AJ34" i="12"/>
  <c r="V34" i="12"/>
  <c r="W518" i="12"/>
  <c r="AI33" i="12"/>
  <c r="B61" i="16"/>
  <c r="T518" i="12"/>
  <c r="N508" i="12"/>
  <c r="AM25" i="16"/>
  <c r="AF33" i="12"/>
  <c r="AE509" i="12"/>
  <c r="R509" i="12"/>
  <c r="AF509" i="12"/>
  <c r="V509" i="12"/>
  <c r="W509" i="12"/>
  <c r="L33" i="12"/>
  <c r="F33" i="12"/>
  <c r="AM2" i="12"/>
  <c r="AP2" i="12" s="1"/>
  <c r="AG33" i="12"/>
  <c r="P33" i="12"/>
  <c r="M509" i="12"/>
  <c r="AG509" i="12"/>
  <c r="N509" i="12"/>
  <c r="J509" i="12"/>
  <c r="K509" i="12"/>
  <c r="Q33" i="12"/>
  <c r="V33" i="12"/>
  <c r="T33" i="12"/>
  <c r="M33" i="12"/>
  <c r="AA33" i="12"/>
  <c r="J33" i="12"/>
  <c r="X34" i="12"/>
  <c r="Y34" i="12"/>
  <c r="AD34" i="12"/>
  <c r="AE34" i="12"/>
  <c r="C509" i="12"/>
  <c r="Y509" i="12"/>
  <c r="F509" i="12"/>
  <c r="D509" i="12"/>
  <c r="E509" i="12"/>
  <c r="U34" i="12"/>
  <c r="AB34" i="12"/>
  <c r="E33" i="12"/>
  <c r="G33" i="12"/>
  <c r="K33" i="12"/>
  <c r="AA509" i="12"/>
  <c r="N33" i="12"/>
  <c r="U33" i="12"/>
  <c r="D33" i="12"/>
  <c r="R33" i="12"/>
  <c r="I509" i="12"/>
  <c r="AJ509" i="12"/>
  <c r="O509" i="12"/>
  <c r="AH509" i="12"/>
  <c r="AI509" i="12"/>
  <c r="AH33" i="12"/>
  <c r="AD33" i="12"/>
  <c r="H33" i="12"/>
  <c r="AJ33" i="12"/>
  <c r="X33" i="12"/>
  <c r="AD509" i="12"/>
  <c r="O33" i="12"/>
  <c r="Y33" i="12"/>
  <c r="Z509" i="12"/>
  <c r="G509" i="12"/>
  <c r="AB509" i="12"/>
  <c r="W33" i="12"/>
  <c r="S33" i="12"/>
  <c r="B68" i="12"/>
  <c r="B108" i="12" s="1"/>
  <c r="B148" i="12" s="1"/>
  <c r="B188" i="12" s="1"/>
  <c r="B228" i="12" s="1"/>
  <c r="B268" i="12" s="1"/>
  <c r="B308" i="12" s="1"/>
  <c r="B348" i="12" s="1"/>
  <c r="B388" i="12" s="1"/>
  <c r="B428" i="12" s="1"/>
  <c r="B468" i="12" s="1"/>
  <c r="B508" i="12" s="1"/>
  <c r="B548" i="12" s="1"/>
  <c r="AN32" i="16"/>
  <c r="AM17" i="16"/>
  <c r="AO17" i="16" s="1"/>
  <c r="AM3" i="16"/>
  <c r="B68" i="16"/>
  <c r="AM28" i="16"/>
  <c r="B62" i="16"/>
  <c r="AM22" i="16"/>
  <c r="AB3" i="12"/>
  <c r="Z3" i="12"/>
  <c r="AA32" i="12"/>
  <c r="AM21" i="12"/>
  <c r="AP21" i="12" s="1"/>
  <c r="A62" i="12"/>
  <c r="A102" i="12" s="1"/>
  <c r="A142" i="12" s="1"/>
  <c r="A182" i="12" s="1"/>
  <c r="A222" i="12" s="1"/>
  <c r="A262" i="12" s="1"/>
  <c r="A302" i="12" s="1"/>
  <c r="A342" i="12" s="1"/>
  <c r="A382" i="12" s="1"/>
  <c r="A422" i="12" s="1"/>
  <c r="A462" i="12" s="1"/>
  <c r="A502" i="12" s="1"/>
  <c r="A542" i="12" s="1"/>
  <c r="J3" i="12"/>
  <c r="H3" i="12"/>
  <c r="A54" i="12"/>
  <c r="A94" i="12" s="1"/>
  <c r="A134" i="12" s="1"/>
  <c r="A174" i="12" s="1"/>
  <c r="A214" i="12" s="1"/>
  <c r="A254" i="12" s="1"/>
  <c r="A294" i="12" s="1"/>
  <c r="A334" i="12" s="1"/>
  <c r="A374" i="12" s="1"/>
  <c r="A414" i="12" s="1"/>
  <c r="A454" i="12" s="1"/>
  <c r="A494" i="12" s="1"/>
  <c r="A534" i="12" s="1"/>
  <c r="AD3" i="12"/>
  <c r="AA3" i="12"/>
  <c r="S3" i="12"/>
  <c r="AN13" i="12"/>
  <c r="AU23" i="1" s="1"/>
  <c r="B49" i="16"/>
  <c r="AM9" i="16"/>
  <c r="AO9" i="16" s="1"/>
  <c r="X3" i="12"/>
  <c r="U3" i="12"/>
  <c r="M3" i="12"/>
  <c r="L3" i="12"/>
  <c r="I3" i="12"/>
  <c r="AM9" i="12"/>
  <c r="AP9" i="12" s="1"/>
  <c r="A50" i="12"/>
  <c r="A90" i="12" s="1"/>
  <c r="A130" i="12" s="1"/>
  <c r="A170" i="12" s="1"/>
  <c r="A210" i="12" s="1"/>
  <c r="A250" i="12" s="1"/>
  <c r="A290" i="12" s="1"/>
  <c r="A330" i="12" s="1"/>
  <c r="A370" i="12" s="1"/>
  <c r="A410" i="12" s="1"/>
  <c r="A450" i="12" s="1"/>
  <c r="A490" i="12" s="1"/>
  <c r="A530" i="12" s="1"/>
  <c r="B9" i="12"/>
  <c r="B31" i="12"/>
  <c r="AM31" i="12"/>
  <c r="AP31" i="12" s="1"/>
  <c r="AJ72" i="12" s="1"/>
  <c r="A72" i="12"/>
  <c r="A112" i="12" s="1"/>
  <c r="A152" i="12" s="1"/>
  <c r="A192" i="12" s="1"/>
  <c r="A232" i="12" s="1"/>
  <c r="A272" i="12" s="1"/>
  <c r="A312" i="12" s="1"/>
  <c r="A352" i="12" s="1"/>
  <c r="A392" i="12" s="1"/>
  <c r="A432" i="12" s="1"/>
  <c r="A472" i="12" s="1"/>
  <c r="A512" i="12" s="1"/>
  <c r="A552" i="12" s="1"/>
  <c r="O34" i="12"/>
  <c r="M34" i="12"/>
  <c r="AM6" i="12"/>
  <c r="AP6" i="12" s="1"/>
  <c r="B6" i="12"/>
  <c r="A47" i="12"/>
  <c r="A87" i="12" s="1"/>
  <c r="A127" i="12" s="1"/>
  <c r="A167" i="12" s="1"/>
  <c r="A207" i="12" s="1"/>
  <c r="A247" i="12" s="1"/>
  <c r="A287" i="12" s="1"/>
  <c r="A327" i="12" s="1"/>
  <c r="A367" i="12" s="1"/>
  <c r="A407" i="12" s="1"/>
  <c r="A447" i="12" s="1"/>
  <c r="A487" i="12" s="1"/>
  <c r="A527" i="12" s="1"/>
  <c r="A70" i="12"/>
  <c r="A110" i="12" s="1"/>
  <c r="A150" i="12" s="1"/>
  <c r="A190" i="12" s="1"/>
  <c r="A230" i="12" s="1"/>
  <c r="A270" i="12" s="1"/>
  <c r="A310" i="12" s="1"/>
  <c r="A350" i="12" s="1"/>
  <c r="A390" i="12" s="1"/>
  <c r="A430" i="12" s="1"/>
  <c r="A470" i="12" s="1"/>
  <c r="A510" i="12" s="1"/>
  <c r="A550" i="12" s="1"/>
  <c r="AM29" i="12"/>
  <c r="AP29" i="12" s="1"/>
  <c r="L70" i="12" s="1"/>
  <c r="A67" i="12"/>
  <c r="A107" i="12" s="1"/>
  <c r="A147" i="12" s="1"/>
  <c r="A187" i="12" s="1"/>
  <c r="A227" i="12" s="1"/>
  <c r="A267" i="12" s="1"/>
  <c r="A307" i="12" s="1"/>
  <c r="A347" i="12" s="1"/>
  <c r="A387" i="12" s="1"/>
  <c r="A427" i="12" s="1"/>
  <c r="A467" i="12" s="1"/>
  <c r="A507" i="12" s="1"/>
  <c r="A547" i="12" s="1"/>
  <c r="AM26" i="12"/>
  <c r="AP26" i="12" s="1"/>
  <c r="R3" i="12"/>
  <c r="P3" i="12"/>
  <c r="O3" i="12"/>
  <c r="N3" i="12"/>
  <c r="G3" i="12"/>
  <c r="AM8" i="16"/>
  <c r="B48" i="16"/>
  <c r="F3" i="12"/>
  <c r="D3" i="12"/>
  <c r="C3" i="12"/>
  <c r="AE3" i="12"/>
  <c r="AJ3" i="12"/>
  <c r="AH3" i="12"/>
  <c r="AG3" i="12"/>
  <c r="AF3" i="12"/>
  <c r="H34" i="12"/>
  <c r="AA34" i="12"/>
  <c r="J34" i="12"/>
  <c r="AM17" i="12"/>
  <c r="AP17" i="12" s="1"/>
  <c r="A58" i="12"/>
  <c r="A98" i="12" s="1"/>
  <c r="A138" i="12" s="1"/>
  <c r="A178" i="12" s="1"/>
  <c r="A218" i="12" s="1"/>
  <c r="A258" i="12" s="1"/>
  <c r="A298" i="12" s="1"/>
  <c r="A338" i="12" s="1"/>
  <c r="A378" i="12" s="1"/>
  <c r="A418" i="12" s="1"/>
  <c r="A458" i="12" s="1"/>
  <c r="A498" i="12" s="1"/>
  <c r="A538" i="12" s="1"/>
  <c r="AM4" i="16"/>
  <c r="B44" i="16"/>
  <c r="AM38" i="12"/>
  <c r="AP38" i="12" s="1"/>
  <c r="A78" i="12"/>
  <c r="A118" i="12" s="1"/>
  <c r="A158" i="12" s="1"/>
  <c r="A198" i="12" s="1"/>
  <c r="A238" i="12" s="1"/>
  <c r="A278" i="12" s="1"/>
  <c r="A318" i="12" s="1"/>
  <c r="A358" i="12" s="1"/>
  <c r="A398" i="12" s="1"/>
  <c r="A438" i="12" s="1"/>
  <c r="A478" i="12" s="1"/>
  <c r="A518" i="12" s="1"/>
  <c r="A558" i="12" s="1"/>
  <c r="B64" i="16"/>
  <c r="AM24" i="16"/>
  <c r="Y488" i="12"/>
  <c r="S34" i="12"/>
  <c r="AC34" i="12"/>
  <c r="T34" i="12"/>
  <c r="B7" i="12"/>
  <c r="A48" i="12"/>
  <c r="A88" i="12" s="1"/>
  <c r="A128" i="12" s="1"/>
  <c r="A168" i="12" s="1"/>
  <c r="A208" i="12" s="1"/>
  <c r="A248" i="12" s="1"/>
  <c r="A288" i="12" s="1"/>
  <c r="A328" i="12" s="1"/>
  <c r="A368" i="12" s="1"/>
  <c r="A408" i="12" s="1"/>
  <c r="A448" i="12" s="1"/>
  <c r="A488" i="12" s="1"/>
  <c r="A528" i="12" s="1"/>
  <c r="B46" i="16"/>
  <c r="AM6" i="16"/>
  <c r="AO6" i="16" s="1"/>
  <c r="AM22" i="12"/>
  <c r="AP22" i="12" s="1"/>
  <c r="A63" i="12"/>
  <c r="A103" i="12" s="1"/>
  <c r="A143" i="12" s="1"/>
  <c r="A183" i="12" s="1"/>
  <c r="A223" i="12" s="1"/>
  <c r="A263" i="12" s="1"/>
  <c r="A303" i="12" s="1"/>
  <c r="A343" i="12" s="1"/>
  <c r="A383" i="12" s="1"/>
  <c r="A423" i="12" s="1"/>
  <c r="A463" i="12" s="1"/>
  <c r="A503" i="12" s="1"/>
  <c r="A543" i="12" s="1"/>
  <c r="AG32" i="12"/>
  <c r="A73" i="12"/>
  <c r="A113" i="12" s="1"/>
  <c r="A153" i="12" s="1"/>
  <c r="A193" i="12" s="1"/>
  <c r="A233" i="12" s="1"/>
  <c r="A273" i="12" s="1"/>
  <c r="A313" i="12" s="1"/>
  <c r="A353" i="12" s="1"/>
  <c r="A393" i="12" s="1"/>
  <c r="A433" i="12" s="1"/>
  <c r="A473" i="12" s="1"/>
  <c r="A513" i="12" s="1"/>
  <c r="A553" i="12" s="1"/>
  <c r="B32" i="12"/>
  <c r="AM32" i="12"/>
  <c r="AP32" i="12" s="1"/>
  <c r="B8" i="12"/>
  <c r="A49" i="12"/>
  <c r="A89" i="12" s="1"/>
  <c r="A129" i="12" s="1"/>
  <c r="A169" i="12" s="1"/>
  <c r="A209" i="12" s="1"/>
  <c r="A249" i="12" s="1"/>
  <c r="A289" i="12" s="1"/>
  <c r="A329" i="12" s="1"/>
  <c r="A369" i="12" s="1"/>
  <c r="A409" i="12" s="1"/>
  <c r="A449" i="12" s="1"/>
  <c r="A489" i="12" s="1"/>
  <c r="A529" i="12" s="1"/>
  <c r="AM8" i="12"/>
  <c r="AP8" i="12" s="1"/>
  <c r="B50" i="16"/>
  <c r="AM10" i="16"/>
  <c r="AO10" i="16" s="1"/>
  <c r="AM25" i="12"/>
  <c r="AP25" i="12" s="1"/>
  <c r="A66" i="12"/>
  <c r="A106" i="12" s="1"/>
  <c r="A146" i="12" s="1"/>
  <c r="A186" i="12" s="1"/>
  <c r="A226" i="12" s="1"/>
  <c r="A266" i="12" s="1"/>
  <c r="A306" i="12" s="1"/>
  <c r="A346" i="12" s="1"/>
  <c r="A386" i="12" s="1"/>
  <c r="A426" i="12" s="1"/>
  <c r="A466" i="12" s="1"/>
  <c r="A506" i="12" s="1"/>
  <c r="A546" i="12" s="1"/>
  <c r="H8" i="12"/>
  <c r="B55" i="16"/>
  <c r="AM15" i="16"/>
  <c r="AO15" i="16" s="1"/>
  <c r="AM33" i="12"/>
  <c r="AP33" i="12" s="1"/>
  <c r="B33" i="12"/>
  <c r="A74" i="12"/>
  <c r="A114" i="12" s="1"/>
  <c r="A154" i="12" s="1"/>
  <c r="A194" i="12" s="1"/>
  <c r="A234" i="12" s="1"/>
  <c r="A274" i="12" s="1"/>
  <c r="A314" i="12" s="1"/>
  <c r="A354" i="12" s="1"/>
  <c r="A394" i="12" s="1"/>
  <c r="A434" i="12" s="1"/>
  <c r="A474" i="12" s="1"/>
  <c r="A514" i="12" s="1"/>
  <c r="A554" i="12" s="1"/>
  <c r="AG7" i="12"/>
  <c r="AM30" i="12"/>
  <c r="AP30" i="12" s="1"/>
  <c r="A71" i="12"/>
  <c r="A111" i="12" s="1"/>
  <c r="A151" i="12" s="1"/>
  <c r="A191" i="12" s="1"/>
  <c r="A231" i="12" s="1"/>
  <c r="A271" i="12" s="1"/>
  <c r="A311" i="12" s="1"/>
  <c r="A351" i="12" s="1"/>
  <c r="A391" i="12" s="1"/>
  <c r="A431" i="12" s="1"/>
  <c r="A471" i="12" s="1"/>
  <c r="A511" i="12" s="1"/>
  <c r="A551" i="12" s="1"/>
  <c r="A60" i="12"/>
  <c r="A100" i="12" s="1"/>
  <c r="A140" i="12" s="1"/>
  <c r="A180" i="12" s="1"/>
  <c r="A220" i="12" s="1"/>
  <c r="A260" i="12" s="1"/>
  <c r="A300" i="12" s="1"/>
  <c r="A340" i="12" s="1"/>
  <c r="A380" i="12" s="1"/>
  <c r="A420" i="12" s="1"/>
  <c r="A460" i="12" s="1"/>
  <c r="A500" i="12" s="1"/>
  <c r="A540" i="12" s="1"/>
  <c r="AM4" i="12"/>
  <c r="AP4" i="12" s="1"/>
  <c r="B4" i="12"/>
  <c r="A45" i="12"/>
  <c r="A85" i="12" s="1"/>
  <c r="A125" i="12" s="1"/>
  <c r="A165" i="12" s="1"/>
  <c r="A205" i="12" s="1"/>
  <c r="A245" i="12" s="1"/>
  <c r="A285" i="12" s="1"/>
  <c r="A325" i="12" s="1"/>
  <c r="A365" i="12" s="1"/>
  <c r="A405" i="12" s="1"/>
  <c r="A445" i="12" s="1"/>
  <c r="A485" i="12" s="1"/>
  <c r="A525" i="12" s="1"/>
  <c r="T4" i="12"/>
  <c r="D55" i="16"/>
  <c r="Z4" i="12"/>
  <c r="Z35" i="12"/>
  <c r="B35" i="12"/>
  <c r="A76" i="12"/>
  <c r="A116" i="12" s="1"/>
  <c r="A156" i="12" s="1"/>
  <c r="A196" i="12" s="1"/>
  <c r="A236" i="12" s="1"/>
  <c r="A276" i="12" s="1"/>
  <c r="A316" i="12" s="1"/>
  <c r="A356" i="12" s="1"/>
  <c r="A396" i="12" s="1"/>
  <c r="A436" i="12" s="1"/>
  <c r="A476" i="12" s="1"/>
  <c r="A516" i="12" s="1"/>
  <c r="A556" i="12" s="1"/>
  <c r="AM35" i="12"/>
  <c r="AP35" i="12" s="1"/>
  <c r="B52" i="16"/>
  <c r="AM12" i="16"/>
  <c r="AO12" i="16" s="1"/>
  <c r="B75" i="16"/>
  <c r="AM35" i="16"/>
  <c r="AJ4" i="12"/>
  <c r="Q496" i="12"/>
  <c r="AM24" i="12"/>
  <c r="AP24" i="12" s="1"/>
  <c r="A65" i="12"/>
  <c r="A105" i="12" s="1"/>
  <c r="A145" i="12" s="1"/>
  <c r="A185" i="12" s="1"/>
  <c r="A225" i="12" s="1"/>
  <c r="A265" i="12" s="1"/>
  <c r="A305" i="12" s="1"/>
  <c r="A345" i="12" s="1"/>
  <c r="A385" i="12" s="1"/>
  <c r="A425" i="12" s="1"/>
  <c r="A465" i="12" s="1"/>
  <c r="A505" i="12" s="1"/>
  <c r="A545" i="12" s="1"/>
  <c r="B69" i="16"/>
  <c r="AM29" i="16"/>
  <c r="B72" i="16"/>
  <c r="AM32" i="16"/>
  <c r="AM28" i="12"/>
  <c r="AP28" i="12" s="1"/>
  <c r="A69" i="12"/>
  <c r="A109" i="12" s="1"/>
  <c r="A149" i="12" s="1"/>
  <c r="A189" i="12" s="1"/>
  <c r="A229" i="12" s="1"/>
  <c r="A269" i="12" s="1"/>
  <c r="A309" i="12" s="1"/>
  <c r="A349" i="12" s="1"/>
  <c r="A389" i="12" s="1"/>
  <c r="A429" i="12" s="1"/>
  <c r="A469" i="12" s="1"/>
  <c r="A509" i="12" s="1"/>
  <c r="A549" i="12" s="1"/>
  <c r="B71" i="16"/>
  <c r="AM31" i="16"/>
  <c r="B60" i="16"/>
  <c r="AM20" i="16"/>
  <c r="AN36" i="16"/>
  <c r="D36" i="12"/>
  <c r="O36" i="12"/>
  <c r="AA36" i="12"/>
  <c r="AM36" i="12"/>
  <c r="AP36" i="12" s="1"/>
  <c r="B36" i="12"/>
  <c r="A77" i="12"/>
  <c r="A117" i="12" s="1"/>
  <c r="A157" i="12" s="1"/>
  <c r="A197" i="12" s="1"/>
  <c r="A237" i="12" s="1"/>
  <c r="A277" i="12" s="1"/>
  <c r="A317" i="12" s="1"/>
  <c r="A357" i="12" s="1"/>
  <c r="A397" i="12" s="1"/>
  <c r="A437" i="12" s="1"/>
  <c r="A477" i="12" s="1"/>
  <c r="A517" i="12" s="1"/>
  <c r="A557" i="12" s="1"/>
  <c r="AM16" i="16"/>
  <c r="AO16" i="16" s="1"/>
  <c r="B56" i="16"/>
  <c r="X7" i="2"/>
  <c r="B73" i="16"/>
  <c r="AM33" i="16"/>
  <c r="A56" i="12"/>
  <c r="A96" i="12" s="1"/>
  <c r="A136" i="12" s="1"/>
  <c r="A176" i="12" s="1"/>
  <c r="A216" i="12" s="1"/>
  <c r="A256" i="12" s="1"/>
  <c r="A296" i="12" s="1"/>
  <c r="A336" i="12" s="1"/>
  <c r="A376" i="12" s="1"/>
  <c r="A416" i="12" s="1"/>
  <c r="A456" i="12" s="1"/>
  <c r="A496" i="12" s="1"/>
  <c r="A536" i="12" s="1"/>
  <c r="B66" i="16"/>
  <c r="AM26" i="16"/>
  <c r="AM18" i="12"/>
  <c r="AP18" i="12" s="1"/>
  <c r="A59" i="12"/>
  <c r="A99" i="12" s="1"/>
  <c r="A139" i="12" s="1"/>
  <c r="A179" i="12" s="1"/>
  <c r="A219" i="12" s="1"/>
  <c r="A259" i="12" s="1"/>
  <c r="A299" i="12" s="1"/>
  <c r="A339" i="12" s="1"/>
  <c r="A379" i="12" s="1"/>
  <c r="A419" i="12" s="1"/>
  <c r="A459" i="12" s="1"/>
  <c r="A499" i="12" s="1"/>
  <c r="A539" i="12" s="1"/>
  <c r="B51" i="16"/>
  <c r="AM11" i="16"/>
  <c r="B67" i="16"/>
  <c r="AM27" i="16"/>
  <c r="AN24" i="16"/>
  <c r="AN34" i="16"/>
  <c r="AN30" i="16"/>
  <c r="D58" i="16"/>
  <c r="B63" i="16"/>
  <c r="AM23" i="16"/>
  <c r="AN25" i="16"/>
  <c r="AN31" i="16"/>
  <c r="D56" i="16"/>
  <c r="AN27" i="16"/>
  <c r="AN21" i="16"/>
  <c r="D57" i="16"/>
  <c r="AM18" i="16"/>
  <c r="B58" i="16"/>
  <c r="AN23" i="16"/>
  <c r="AN35" i="16"/>
  <c r="AN37" i="16"/>
  <c r="AN28" i="16"/>
  <c r="AN26" i="16"/>
  <c r="AN22" i="16"/>
  <c r="B70" i="16"/>
  <c r="AM30" i="16"/>
  <c r="AN29" i="16"/>
  <c r="AN33" i="16"/>
  <c r="M12" i="12"/>
  <c r="V12" i="12"/>
  <c r="D12" i="12"/>
  <c r="AD12" i="12"/>
  <c r="T12" i="12"/>
  <c r="AB12" i="12"/>
  <c r="S12" i="12"/>
  <c r="AM12" i="12"/>
  <c r="AP12" i="12" s="1"/>
  <c r="J12" i="12"/>
  <c r="L12" i="12"/>
  <c r="A53" i="12"/>
  <c r="A93" i="12" s="1"/>
  <c r="A133" i="12" s="1"/>
  <c r="A173" i="12" s="1"/>
  <c r="A213" i="12" s="1"/>
  <c r="A253" i="12" s="1"/>
  <c r="A293" i="12" s="1"/>
  <c r="A333" i="12" s="1"/>
  <c r="A373" i="12" s="1"/>
  <c r="A413" i="12" s="1"/>
  <c r="A453" i="12" s="1"/>
  <c r="A493" i="12" s="1"/>
  <c r="A533" i="12" s="1"/>
  <c r="B12" i="12"/>
  <c r="N12" i="12"/>
  <c r="AH12" i="12"/>
  <c r="U12" i="12"/>
  <c r="W12" i="12"/>
  <c r="AC3" i="12"/>
  <c r="W3" i="12"/>
  <c r="E3" i="12"/>
  <c r="K3" i="12"/>
  <c r="A44" i="12"/>
  <c r="A84" i="12" s="1"/>
  <c r="A124" i="12" s="1"/>
  <c r="A164" i="12" s="1"/>
  <c r="A204" i="12" s="1"/>
  <c r="A244" i="12" s="1"/>
  <c r="A284" i="12" s="1"/>
  <c r="A324" i="12" s="1"/>
  <c r="A364" i="12" s="1"/>
  <c r="A404" i="12" s="1"/>
  <c r="A444" i="12" s="1"/>
  <c r="A484" i="12" s="1"/>
  <c r="A524" i="12" s="1"/>
  <c r="Q3" i="12"/>
  <c r="B3" i="12"/>
  <c r="AI3" i="12"/>
  <c r="AM3" i="12"/>
  <c r="AP3" i="12" s="1"/>
  <c r="F12" i="12"/>
  <c r="Y12" i="12"/>
  <c r="O12" i="12"/>
  <c r="Q12" i="12"/>
  <c r="G11" i="12"/>
  <c r="M11" i="12"/>
  <c r="S11" i="12"/>
  <c r="Y11" i="12"/>
  <c r="AE11" i="12"/>
  <c r="I11" i="12"/>
  <c r="P11" i="12"/>
  <c r="W11" i="12"/>
  <c r="AD11" i="12"/>
  <c r="H11" i="12"/>
  <c r="Q11" i="12"/>
  <c r="Z11" i="12"/>
  <c r="AH11" i="12"/>
  <c r="J11" i="12"/>
  <c r="R11" i="12"/>
  <c r="AA11" i="12"/>
  <c r="AI11" i="12"/>
  <c r="C11" i="12"/>
  <c r="K11" i="12"/>
  <c r="T11" i="12"/>
  <c r="AB11" i="12"/>
  <c r="AJ11" i="12"/>
  <c r="F11" i="12"/>
  <c r="O11" i="12"/>
  <c r="X11" i="12"/>
  <c r="AG11" i="12"/>
  <c r="D11" i="12"/>
  <c r="AC11" i="12"/>
  <c r="E11" i="12"/>
  <c r="AF11" i="12"/>
  <c r="L11" i="12"/>
  <c r="N11" i="12"/>
  <c r="AM11" i="12"/>
  <c r="AP11" i="12" s="1"/>
  <c r="V11" i="12"/>
  <c r="U11" i="12"/>
  <c r="B11" i="12"/>
  <c r="A52" i="12"/>
  <c r="A92" i="12" s="1"/>
  <c r="A132" i="12" s="1"/>
  <c r="A172" i="12" s="1"/>
  <c r="A212" i="12" s="1"/>
  <c r="A252" i="12" s="1"/>
  <c r="A292" i="12" s="1"/>
  <c r="A332" i="12" s="1"/>
  <c r="A372" i="12" s="1"/>
  <c r="A412" i="12" s="1"/>
  <c r="A452" i="12" s="1"/>
  <c r="A492" i="12" s="1"/>
  <c r="A532" i="12" s="1"/>
  <c r="AM14" i="12"/>
  <c r="AP14" i="12" s="1"/>
  <c r="A55" i="12"/>
  <c r="A95" i="12" s="1"/>
  <c r="A135" i="12" s="1"/>
  <c r="A175" i="12" s="1"/>
  <c r="A215" i="12" s="1"/>
  <c r="A255" i="12" s="1"/>
  <c r="A295" i="12" s="1"/>
  <c r="A335" i="12" s="1"/>
  <c r="A375" i="12" s="1"/>
  <c r="A415" i="12" s="1"/>
  <c r="A455" i="12" s="1"/>
  <c r="A495" i="12" s="1"/>
  <c r="A535" i="12" s="1"/>
  <c r="AM23" i="12"/>
  <c r="AP23" i="12" s="1"/>
  <c r="A64" i="12"/>
  <c r="A104" i="12" s="1"/>
  <c r="A144" i="12" s="1"/>
  <c r="A184" i="12" s="1"/>
  <c r="A224" i="12" s="1"/>
  <c r="A264" i="12" s="1"/>
  <c r="A304" i="12" s="1"/>
  <c r="A344" i="12" s="1"/>
  <c r="A384" i="12" s="1"/>
  <c r="A424" i="12" s="1"/>
  <c r="A464" i="12" s="1"/>
  <c r="A504" i="12" s="1"/>
  <c r="A544" i="12" s="1"/>
  <c r="AM16" i="12"/>
  <c r="AP16" i="12" s="1"/>
  <c r="AJ57" i="12" s="1"/>
  <c r="A57" i="12"/>
  <c r="A97" i="12" s="1"/>
  <c r="A137" i="12" s="1"/>
  <c r="A177" i="12" s="1"/>
  <c r="A217" i="12" s="1"/>
  <c r="A257" i="12" s="1"/>
  <c r="A297" i="12" s="1"/>
  <c r="A337" i="12" s="1"/>
  <c r="A377" i="12" s="1"/>
  <c r="A417" i="12" s="1"/>
  <c r="A457" i="12" s="1"/>
  <c r="A497" i="12" s="1"/>
  <c r="A537" i="12" s="1"/>
  <c r="AM20" i="12"/>
  <c r="AP20" i="12" s="1"/>
  <c r="A61" i="12"/>
  <c r="A101" i="12" s="1"/>
  <c r="A141" i="12" s="1"/>
  <c r="A181" i="12" s="1"/>
  <c r="A221" i="12" s="1"/>
  <c r="A261" i="12" s="1"/>
  <c r="A301" i="12" s="1"/>
  <c r="A341" i="12" s="1"/>
  <c r="A381" i="12" s="1"/>
  <c r="A421" i="12" s="1"/>
  <c r="A461" i="12" s="1"/>
  <c r="A501" i="12" s="1"/>
  <c r="A541" i="12" s="1"/>
  <c r="W34" i="12"/>
  <c r="AF34" i="12"/>
  <c r="R34" i="12"/>
  <c r="B34" i="12"/>
  <c r="A75" i="12"/>
  <c r="A115" i="12" s="1"/>
  <c r="A155" i="12" s="1"/>
  <c r="A195" i="12" s="1"/>
  <c r="A235" i="12" s="1"/>
  <c r="A275" i="12" s="1"/>
  <c r="A315" i="12" s="1"/>
  <c r="A355" i="12" s="1"/>
  <c r="A395" i="12" s="1"/>
  <c r="A435" i="12" s="1"/>
  <c r="A475" i="12" s="1"/>
  <c r="A515" i="12" s="1"/>
  <c r="A555" i="12" s="1"/>
  <c r="AM34" i="12"/>
  <c r="AP34" i="12" s="1"/>
  <c r="C5" i="12"/>
  <c r="I5" i="12"/>
  <c r="O5" i="12"/>
  <c r="U5" i="12"/>
  <c r="AA5" i="12"/>
  <c r="AG5" i="12"/>
  <c r="D5" i="12"/>
  <c r="J5" i="12"/>
  <c r="P5" i="12"/>
  <c r="V5" i="12"/>
  <c r="AB5" i="12"/>
  <c r="AH5" i="12"/>
  <c r="E5" i="12"/>
  <c r="K5" i="12"/>
  <c r="Q5" i="12"/>
  <c r="W5" i="12"/>
  <c r="AC5" i="12"/>
  <c r="AI5" i="12"/>
  <c r="F5" i="12"/>
  <c r="L5" i="12"/>
  <c r="R5" i="12"/>
  <c r="X5" i="12"/>
  <c r="AD5" i="12"/>
  <c r="AJ5" i="12"/>
  <c r="H5" i="12"/>
  <c r="N5" i="12"/>
  <c r="T5" i="12"/>
  <c r="Z5" i="12"/>
  <c r="AF5" i="12"/>
  <c r="AE5" i="12"/>
  <c r="Y5" i="12"/>
  <c r="G5" i="12"/>
  <c r="AM5" i="12"/>
  <c r="M5" i="12"/>
  <c r="S5" i="12"/>
  <c r="A46" i="12"/>
  <c r="B5" i="12"/>
  <c r="Y484" i="12"/>
  <c r="AE500" i="12"/>
  <c r="D500" i="12"/>
  <c r="D487" i="12"/>
  <c r="L500" i="12"/>
  <c r="AE493" i="12"/>
  <c r="AG487" i="12"/>
  <c r="AD487" i="12"/>
  <c r="AC487" i="12"/>
  <c r="P495" i="12"/>
  <c r="K500" i="12"/>
  <c r="AP8" i="16" l="1"/>
  <c r="AF73" i="12"/>
  <c r="AH72" i="12"/>
  <c r="AG51" i="12"/>
  <c r="T515" i="12"/>
  <c r="T75" i="12"/>
  <c r="J515" i="12"/>
  <c r="J75" i="12"/>
  <c r="O67" i="12"/>
  <c r="S67" i="12"/>
  <c r="Y67" i="12"/>
  <c r="W67" i="12"/>
  <c r="T67" i="12"/>
  <c r="N67" i="12"/>
  <c r="F67" i="12"/>
  <c r="U67" i="12"/>
  <c r="AH67" i="12"/>
  <c r="AF67" i="12"/>
  <c r="P67" i="12"/>
  <c r="G67" i="12"/>
  <c r="AD67" i="12"/>
  <c r="X67" i="12"/>
  <c r="AB67" i="12"/>
  <c r="C67" i="12"/>
  <c r="AA67" i="12"/>
  <c r="E67" i="12"/>
  <c r="Q67" i="12"/>
  <c r="J67" i="12"/>
  <c r="AJ67" i="12"/>
  <c r="AG67" i="12"/>
  <c r="D67" i="12"/>
  <c r="L67" i="12"/>
  <c r="AC67" i="12"/>
  <c r="V67" i="12"/>
  <c r="K67" i="12"/>
  <c r="Z67" i="12"/>
  <c r="AI67" i="12"/>
  <c r="M67" i="12"/>
  <c r="AE67" i="12"/>
  <c r="I67" i="12"/>
  <c r="R67" i="12"/>
  <c r="H67" i="12"/>
  <c r="S514" i="12"/>
  <c r="S74" i="12"/>
  <c r="O514" i="12"/>
  <c r="O74" i="12"/>
  <c r="AH514" i="12"/>
  <c r="AH74" i="12"/>
  <c r="R514" i="12"/>
  <c r="R74" i="12"/>
  <c r="G514" i="12"/>
  <c r="G74" i="12"/>
  <c r="X515" i="12"/>
  <c r="X75" i="12"/>
  <c r="Q514" i="12"/>
  <c r="Q74" i="12"/>
  <c r="P514" i="12"/>
  <c r="P74" i="12"/>
  <c r="AJ515" i="12"/>
  <c r="AJ75" i="12"/>
  <c r="C515" i="12"/>
  <c r="C75" i="12"/>
  <c r="K515" i="12"/>
  <c r="K75" i="12"/>
  <c r="AG512" i="12"/>
  <c r="AG72" i="12"/>
  <c r="Y517" i="12"/>
  <c r="Y77" i="12"/>
  <c r="AI517" i="12"/>
  <c r="AI77" i="12"/>
  <c r="F517" i="12"/>
  <c r="F77" i="12"/>
  <c r="Q517" i="12"/>
  <c r="Q77" i="12"/>
  <c r="T513" i="12"/>
  <c r="T73" i="12"/>
  <c r="AC517" i="12"/>
  <c r="AC77" i="12"/>
  <c r="AE513" i="12"/>
  <c r="AE73" i="12"/>
  <c r="U513" i="12"/>
  <c r="U73" i="12"/>
  <c r="Y513" i="12"/>
  <c r="Y73" i="12"/>
  <c r="Q513" i="12"/>
  <c r="Q73" i="12"/>
  <c r="E512" i="12"/>
  <c r="E72" i="12"/>
  <c r="Y516" i="12"/>
  <c r="Y76" i="12"/>
  <c r="AF516" i="12"/>
  <c r="AF76" i="12"/>
  <c r="I516" i="12"/>
  <c r="I76" i="12"/>
  <c r="V516" i="12"/>
  <c r="V76" i="12"/>
  <c r="U516" i="12"/>
  <c r="U76" i="12"/>
  <c r="K512" i="12"/>
  <c r="K72" i="12"/>
  <c r="R512" i="12"/>
  <c r="R72" i="12"/>
  <c r="AB512" i="12"/>
  <c r="AB72" i="12"/>
  <c r="J72" i="12"/>
  <c r="AA517" i="12"/>
  <c r="AA77" i="12"/>
  <c r="AC515" i="12"/>
  <c r="AC75" i="12"/>
  <c r="T78" i="12"/>
  <c r="N78" i="12"/>
  <c r="H78" i="12"/>
  <c r="I78" i="12"/>
  <c r="X78" i="12"/>
  <c r="G78" i="12"/>
  <c r="O78" i="12"/>
  <c r="AH78" i="12"/>
  <c r="D78" i="12"/>
  <c r="U78" i="12"/>
  <c r="V78" i="12"/>
  <c r="AD78" i="12"/>
  <c r="M78" i="12"/>
  <c r="AJ78" i="12"/>
  <c r="AF78" i="12"/>
  <c r="Q78" i="12"/>
  <c r="J78" i="12"/>
  <c r="K78" i="12"/>
  <c r="AB78" i="12"/>
  <c r="AC78" i="12"/>
  <c r="Z78" i="12"/>
  <c r="S78" i="12"/>
  <c r="R78" i="12"/>
  <c r="AA78" i="12"/>
  <c r="AI78" i="12"/>
  <c r="Y78" i="12"/>
  <c r="W78" i="12"/>
  <c r="P78" i="12"/>
  <c r="AG78" i="12"/>
  <c r="E78" i="12"/>
  <c r="AE78" i="12"/>
  <c r="F78" i="12"/>
  <c r="C78" i="12"/>
  <c r="L78" i="12"/>
  <c r="AA515" i="12"/>
  <c r="AA75" i="12"/>
  <c r="M515" i="12"/>
  <c r="M75" i="12"/>
  <c r="AA513" i="12"/>
  <c r="AA73" i="12"/>
  <c r="W514" i="12"/>
  <c r="W74" i="12"/>
  <c r="D514" i="12"/>
  <c r="D74" i="12"/>
  <c r="E514" i="12"/>
  <c r="E74" i="12"/>
  <c r="J514" i="12"/>
  <c r="J74" i="12"/>
  <c r="AG514" i="12"/>
  <c r="AG74" i="12"/>
  <c r="Q515" i="12"/>
  <c r="Q75" i="12"/>
  <c r="AI515" i="12"/>
  <c r="AI75" i="12"/>
  <c r="R68" i="12"/>
  <c r="AJ68" i="12"/>
  <c r="AI68" i="12"/>
  <c r="C68" i="12"/>
  <c r="V68" i="12"/>
  <c r="AA68" i="12"/>
  <c r="T68" i="12"/>
  <c r="AE68" i="12"/>
  <c r="O68" i="12"/>
  <c r="G68" i="12"/>
  <c r="P68" i="12"/>
  <c r="I68" i="12"/>
  <c r="D68" i="12"/>
  <c r="N68" i="12"/>
  <c r="S68" i="12"/>
  <c r="W68" i="12"/>
  <c r="M68" i="12"/>
  <c r="Z68" i="12"/>
  <c r="K68" i="12"/>
  <c r="X68" i="12"/>
  <c r="U68" i="12"/>
  <c r="E68" i="12"/>
  <c r="AC68" i="12"/>
  <c r="Y68" i="12"/>
  <c r="AH68" i="12"/>
  <c r="AD68" i="12"/>
  <c r="AB68" i="12"/>
  <c r="H68" i="12"/>
  <c r="Q68" i="12"/>
  <c r="AF68" i="12"/>
  <c r="J68" i="12"/>
  <c r="AG68" i="12"/>
  <c r="X517" i="12"/>
  <c r="X77" i="12"/>
  <c r="J517" i="12"/>
  <c r="J77" i="12"/>
  <c r="AD517" i="12"/>
  <c r="AD77" i="12"/>
  <c r="M517" i="12"/>
  <c r="M77" i="12"/>
  <c r="AF517" i="12"/>
  <c r="AF77" i="12"/>
  <c r="P513" i="12"/>
  <c r="P73" i="12"/>
  <c r="H512" i="12"/>
  <c r="H72" i="12"/>
  <c r="L517" i="12"/>
  <c r="L77" i="12"/>
  <c r="V513" i="12"/>
  <c r="V73" i="12"/>
  <c r="X513" i="12"/>
  <c r="X73" i="12"/>
  <c r="AI513" i="12"/>
  <c r="AI73" i="12"/>
  <c r="M513" i="12"/>
  <c r="M73" i="12"/>
  <c r="I512" i="12"/>
  <c r="I72" i="12"/>
  <c r="Q512" i="12"/>
  <c r="Q72" i="12"/>
  <c r="AC514" i="12"/>
  <c r="AC74" i="12"/>
  <c r="D516" i="12"/>
  <c r="D76" i="12"/>
  <c r="AE514" i="12"/>
  <c r="AE74" i="12"/>
  <c r="C516" i="12"/>
  <c r="C76" i="12"/>
  <c r="AH516" i="12"/>
  <c r="AH76" i="12"/>
  <c r="AD516" i="12"/>
  <c r="AD76" i="12"/>
  <c r="AB514" i="12"/>
  <c r="AB74" i="12"/>
  <c r="W512" i="12"/>
  <c r="W72" i="12"/>
  <c r="D512" i="12"/>
  <c r="D72" i="12"/>
  <c r="AA512" i="12"/>
  <c r="AA72" i="12"/>
  <c r="H516" i="12"/>
  <c r="H76" i="12"/>
  <c r="L68" i="12"/>
  <c r="P75" i="12"/>
  <c r="AQ27" i="12"/>
  <c r="O517" i="12"/>
  <c r="O77" i="12"/>
  <c r="Z516" i="12"/>
  <c r="Z76" i="12"/>
  <c r="S515" i="12"/>
  <c r="S75" i="12"/>
  <c r="H515" i="12"/>
  <c r="H75" i="12"/>
  <c r="X70" i="12"/>
  <c r="M70" i="12"/>
  <c r="AI70" i="12"/>
  <c r="N70" i="12"/>
  <c r="AF70" i="12"/>
  <c r="I70" i="12"/>
  <c r="H70" i="12"/>
  <c r="AB70" i="12"/>
  <c r="R70" i="12"/>
  <c r="T70" i="12"/>
  <c r="V70" i="12"/>
  <c r="P70" i="12"/>
  <c r="U70" i="12"/>
  <c r="AD70" i="12"/>
  <c r="AA70" i="12"/>
  <c r="AE70" i="12"/>
  <c r="Q70" i="12"/>
  <c r="Y70" i="12"/>
  <c r="AC70" i="12"/>
  <c r="AJ70" i="12"/>
  <c r="AH70" i="12"/>
  <c r="G70" i="12"/>
  <c r="AG70" i="12"/>
  <c r="C70" i="12"/>
  <c r="O70" i="12"/>
  <c r="J70" i="12"/>
  <c r="E70" i="12"/>
  <c r="K70" i="12"/>
  <c r="D70" i="12"/>
  <c r="W70" i="12"/>
  <c r="S70" i="12"/>
  <c r="Z70" i="12"/>
  <c r="O515" i="12"/>
  <c r="O75" i="12"/>
  <c r="X514" i="12"/>
  <c r="X74" i="12"/>
  <c r="U514" i="12"/>
  <c r="U74" i="12"/>
  <c r="AB515" i="12"/>
  <c r="AB75" i="12"/>
  <c r="AA514" i="12"/>
  <c r="AA74" i="12"/>
  <c r="AH515" i="12"/>
  <c r="AH75" i="12"/>
  <c r="Z515" i="12"/>
  <c r="Z75" i="12"/>
  <c r="V517" i="12"/>
  <c r="V77" i="12"/>
  <c r="H517" i="12"/>
  <c r="H77" i="12"/>
  <c r="G517" i="12"/>
  <c r="G77" i="12"/>
  <c r="AH517" i="12"/>
  <c r="AH77" i="12"/>
  <c r="T517" i="12"/>
  <c r="T77" i="12"/>
  <c r="AH513" i="12"/>
  <c r="AH73" i="12"/>
  <c r="W513" i="12"/>
  <c r="W73" i="12"/>
  <c r="O513" i="12"/>
  <c r="O73" i="12"/>
  <c r="R513" i="12"/>
  <c r="R73" i="12"/>
  <c r="K513" i="12"/>
  <c r="K73" i="12"/>
  <c r="C513" i="12"/>
  <c r="C73" i="12"/>
  <c r="AC512" i="12"/>
  <c r="AC72" i="12"/>
  <c r="P512" i="12"/>
  <c r="P72" i="12"/>
  <c r="AC516" i="12"/>
  <c r="AC76" i="12"/>
  <c r="E516" i="12"/>
  <c r="E76" i="12"/>
  <c r="AG516" i="12"/>
  <c r="AG76" i="12"/>
  <c r="AI516" i="12"/>
  <c r="AI76" i="12"/>
  <c r="R516" i="12"/>
  <c r="R76" i="12"/>
  <c r="N512" i="12"/>
  <c r="N72" i="12"/>
  <c r="AE512" i="12"/>
  <c r="AE72" i="12"/>
  <c r="S512" i="12"/>
  <c r="S72" i="12"/>
  <c r="X516" i="12"/>
  <c r="X76" i="12"/>
  <c r="AS27" i="12"/>
  <c r="W77" i="12"/>
  <c r="AJ514" i="12"/>
  <c r="AJ74" i="12"/>
  <c r="U515" i="12"/>
  <c r="U75" i="12"/>
  <c r="AE515" i="12"/>
  <c r="AE75" i="12"/>
  <c r="M514" i="12"/>
  <c r="M74" i="12"/>
  <c r="F514" i="12"/>
  <c r="F74" i="12"/>
  <c r="AI514" i="12"/>
  <c r="AI74" i="12"/>
  <c r="E515" i="12"/>
  <c r="E75" i="12"/>
  <c r="I515" i="12"/>
  <c r="I75" i="12"/>
  <c r="H513" i="12"/>
  <c r="H73" i="12"/>
  <c r="S517" i="12"/>
  <c r="S77" i="12"/>
  <c r="I517" i="12"/>
  <c r="I77" i="12"/>
  <c r="E517" i="12"/>
  <c r="E77" i="12"/>
  <c r="AB517" i="12"/>
  <c r="AB77" i="12"/>
  <c r="Z513" i="12"/>
  <c r="Z73" i="12"/>
  <c r="Z517" i="12"/>
  <c r="Z77" i="12"/>
  <c r="G513" i="12"/>
  <c r="G73" i="12"/>
  <c r="AC513" i="12"/>
  <c r="AC73" i="12"/>
  <c r="AJ513" i="12"/>
  <c r="AJ73" i="12"/>
  <c r="AF512" i="12"/>
  <c r="AF72" i="12"/>
  <c r="X512" i="12"/>
  <c r="X72" i="12"/>
  <c r="W516" i="12"/>
  <c r="W76" i="12"/>
  <c r="AJ516" i="12"/>
  <c r="AJ76" i="12"/>
  <c r="G516" i="12"/>
  <c r="G76" i="12"/>
  <c r="I514" i="12"/>
  <c r="I74" i="12"/>
  <c r="S516" i="12"/>
  <c r="S76" i="12"/>
  <c r="P516" i="12"/>
  <c r="P76" i="12"/>
  <c r="G512" i="12"/>
  <c r="G72" i="12"/>
  <c r="AD512" i="12"/>
  <c r="AD72" i="12"/>
  <c r="C74" i="12"/>
  <c r="F72" i="12"/>
  <c r="M72" i="12"/>
  <c r="D517" i="12"/>
  <c r="D77" i="12"/>
  <c r="N514" i="12"/>
  <c r="N74" i="12"/>
  <c r="AF515" i="12"/>
  <c r="AF75" i="12"/>
  <c r="M69" i="12"/>
  <c r="H69" i="12"/>
  <c r="AJ69" i="12"/>
  <c r="I69" i="12"/>
  <c r="J69" i="12"/>
  <c r="D69" i="12"/>
  <c r="G69" i="12"/>
  <c r="V69" i="12"/>
  <c r="R69" i="12"/>
  <c r="O69" i="12"/>
  <c r="Q69" i="12"/>
  <c r="L69" i="12"/>
  <c r="AD69" i="12"/>
  <c r="F69" i="12"/>
  <c r="Z69" i="12"/>
  <c r="U69" i="12"/>
  <c r="X69" i="12"/>
  <c r="K69" i="12"/>
  <c r="T69" i="12"/>
  <c r="C69" i="12"/>
  <c r="N69" i="12"/>
  <c r="AI69" i="12"/>
  <c r="AA69" i="12"/>
  <c r="AE69" i="12"/>
  <c r="AB69" i="12"/>
  <c r="AC69" i="12"/>
  <c r="W69" i="12"/>
  <c r="AH69" i="12"/>
  <c r="P69" i="12"/>
  <c r="AG69" i="12"/>
  <c r="Y69" i="12"/>
  <c r="E69" i="12"/>
  <c r="AF69" i="12"/>
  <c r="S69" i="12"/>
  <c r="H514" i="12"/>
  <c r="H74" i="12"/>
  <c r="AD515" i="12"/>
  <c r="AD75" i="12"/>
  <c r="T514" i="12"/>
  <c r="T74" i="12"/>
  <c r="L514" i="12"/>
  <c r="L74" i="12"/>
  <c r="AF514" i="12"/>
  <c r="AF74" i="12"/>
  <c r="F515" i="12"/>
  <c r="F75" i="12"/>
  <c r="G515" i="12"/>
  <c r="G75" i="12"/>
  <c r="J513" i="12"/>
  <c r="J73" i="12"/>
  <c r="N515" i="12"/>
  <c r="N75" i="12"/>
  <c r="C517" i="12"/>
  <c r="C77" i="12"/>
  <c r="AJ517" i="12"/>
  <c r="AJ77" i="12"/>
  <c r="R517" i="12"/>
  <c r="R77" i="12"/>
  <c r="L513" i="12"/>
  <c r="L73" i="12"/>
  <c r="N513" i="12"/>
  <c r="N73" i="12"/>
  <c r="F513" i="12"/>
  <c r="F73" i="12"/>
  <c r="D513" i="12"/>
  <c r="D73" i="12"/>
  <c r="V512" i="12"/>
  <c r="V72" i="12"/>
  <c r="AB516" i="12"/>
  <c r="AB76" i="12"/>
  <c r="M516" i="12"/>
  <c r="M76" i="12"/>
  <c r="O516" i="12"/>
  <c r="O76" i="12"/>
  <c r="K516" i="12"/>
  <c r="K76" i="12"/>
  <c r="AE516" i="12"/>
  <c r="AE76" i="12"/>
  <c r="T516" i="12"/>
  <c r="T76" i="12"/>
  <c r="U512" i="12"/>
  <c r="U72" i="12"/>
  <c r="T512" i="12"/>
  <c r="T72" i="12"/>
  <c r="Z74" i="12"/>
  <c r="O72" i="12"/>
  <c r="R515" i="12"/>
  <c r="R75" i="12"/>
  <c r="W515" i="12"/>
  <c r="W75" i="12"/>
  <c r="U71" i="12"/>
  <c r="W71" i="12"/>
  <c r="E71" i="12"/>
  <c r="AF71" i="12"/>
  <c r="Z71" i="12"/>
  <c r="AB71" i="12"/>
  <c r="AA71" i="12"/>
  <c r="AD71" i="12"/>
  <c r="V71" i="12"/>
  <c r="AJ71" i="12"/>
  <c r="G71" i="12"/>
  <c r="S71" i="12"/>
  <c r="AI71" i="12"/>
  <c r="D71" i="12"/>
  <c r="AG71" i="12"/>
  <c r="Q71" i="12"/>
  <c r="L71" i="12"/>
  <c r="F71" i="12"/>
  <c r="K71" i="12"/>
  <c r="Y71" i="12"/>
  <c r="T71" i="12"/>
  <c r="M71" i="12"/>
  <c r="I71" i="12"/>
  <c r="H71" i="12"/>
  <c r="N71" i="12"/>
  <c r="AH71" i="12"/>
  <c r="J71" i="12"/>
  <c r="AC71" i="12"/>
  <c r="C71" i="12"/>
  <c r="AE71" i="12"/>
  <c r="O71" i="12"/>
  <c r="P71" i="12"/>
  <c r="X71" i="12"/>
  <c r="R71" i="12"/>
  <c r="AG513" i="12"/>
  <c r="AG73" i="12"/>
  <c r="Y514" i="12"/>
  <c r="Y74" i="12"/>
  <c r="AD514" i="12"/>
  <c r="AD74" i="12"/>
  <c r="K514" i="12"/>
  <c r="K74" i="12"/>
  <c r="Y515" i="12"/>
  <c r="Y75" i="12"/>
  <c r="V514" i="12"/>
  <c r="V74" i="12"/>
  <c r="V515" i="12"/>
  <c r="V75" i="12"/>
  <c r="L515" i="12"/>
  <c r="L75" i="12"/>
  <c r="AG515" i="12"/>
  <c r="AG75" i="12"/>
  <c r="I513" i="12"/>
  <c r="I73" i="12"/>
  <c r="K517" i="12"/>
  <c r="K77" i="12"/>
  <c r="AE517" i="12"/>
  <c r="AE77" i="12"/>
  <c r="P517" i="12"/>
  <c r="P77" i="12"/>
  <c r="U517" i="12"/>
  <c r="U77" i="12"/>
  <c r="AG517" i="12"/>
  <c r="AG77" i="12"/>
  <c r="D515" i="12"/>
  <c r="D75" i="12"/>
  <c r="N517" i="12"/>
  <c r="N77" i="12"/>
  <c r="AB513" i="12"/>
  <c r="AB73" i="12"/>
  <c r="E513" i="12"/>
  <c r="E73" i="12"/>
  <c r="S513" i="12"/>
  <c r="S73" i="12"/>
  <c r="AD513" i="12"/>
  <c r="AD73" i="12"/>
  <c r="AI512" i="12"/>
  <c r="AI72" i="12"/>
  <c r="Z512" i="12"/>
  <c r="Z72" i="12"/>
  <c r="F516" i="12"/>
  <c r="F76" i="12"/>
  <c r="J516" i="12"/>
  <c r="J76" i="12"/>
  <c r="AA516" i="12"/>
  <c r="AA76" i="12"/>
  <c r="N516" i="12"/>
  <c r="N76" i="12"/>
  <c r="Q516" i="12"/>
  <c r="Q76" i="12"/>
  <c r="L512" i="12"/>
  <c r="L72" i="12"/>
  <c r="C512" i="12"/>
  <c r="C72" i="12"/>
  <c r="Y512" i="12"/>
  <c r="Y72" i="12"/>
  <c r="F68" i="12"/>
  <c r="L76" i="12"/>
  <c r="AR27" i="12"/>
  <c r="F70" i="12"/>
  <c r="Q54" i="12"/>
  <c r="O60" i="12"/>
  <c r="P500" i="12"/>
  <c r="AI60" i="12"/>
  <c r="S60" i="12"/>
  <c r="W60" i="12"/>
  <c r="AJ60" i="12"/>
  <c r="AA60" i="12"/>
  <c r="U60" i="12"/>
  <c r="D60" i="12"/>
  <c r="V64" i="12"/>
  <c r="X60" i="12"/>
  <c r="AF60" i="12"/>
  <c r="F61" i="12"/>
  <c r="P61" i="12"/>
  <c r="D40" i="14"/>
  <c r="E39" i="14"/>
  <c r="D41" i="14"/>
  <c r="D42" i="14" s="1"/>
  <c r="N66" i="12"/>
  <c r="F506" i="12"/>
  <c r="F66" i="12"/>
  <c r="Y506" i="12"/>
  <c r="Y66" i="12"/>
  <c r="AB506" i="12"/>
  <c r="AB66" i="12"/>
  <c r="S506" i="12"/>
  <c r="S66" i="12"/>
  <c r="AJ506" i="12"/>
  <c r="AJ66" i="12"/>
  <c r="L506" i="12"/>
  <c r="L66" i="12"/>
  <c r="T58" i="12"/>
  <c r="Z506" i="12"/>
  <c r="Z66" i="12"/>
  <c r="AF63" i="12"/>
  <c r="AI506" i="12"/>
  <c r="AI66" i="12"/>
  <c r="W506" i="12"/>
  <c r="W66" i="12"/>
  <c r="J506" i="12"/>
  <c r="J66" i="12"/>
  <c r="U61" i="12"/>
  <c r="Q506" i="12"/>
  <c r="Q66" i="12"/>
  <c r="K506" i="12"/>
  <c r="K66" i="12"/>
  <c r="M506" i="12"/>
  <c r="M66" i="12"/>
  <c r="AB60" i="12"/>
  <c r="L60" i="12"/>
  <c r="AE60" i="12"/>
  <c r="C506" i="12"/>
  <c r="C66" i="12"/>
  <c r="I506" i="12"/>
  <c r="I66" i="12"/>
  <c r="X506" i="12"/>
  <c r="X66" i="12"/>
  <c r="AD506" i="12"/>
  <c r="AD66" i="12"/>
  <c r="E506" i="12"/>
  <c r="E66" i="12"/>
  <c r="T506" i="12"/>
  <c r="T66" i="12"/>
  <c r="J60" i="12"/>
  <c r="U506" i="12"/>
  <c r="U66" i="12"/>
  <c r="O506" i="12"/>
  <c r="O66" i="12"/>
  <c r="AF506" i="12"/>
  <c r="AF66" i="12"/>
  <c r="D506" i="12"/>
  <c r="D66" i="12"/>
  <c r="AC506" i="12"/>
  <c r="AC66" i="12"/>
  <c r="P506" i="12"/>
  <c r="P66" i="12"/>
  <c r="AA506" i="12"/>
  <c r="AA66" i="12"/>
  <c r="R506" i="12"/>
  <c r="R66" i="12"/>
  <c r="Z60" i="12"/>
  <c r="V506" i="12"/>
  <c r="V66" i="12"/>
  <c r="AG506" i="12"/>
  <c r="AG66" i="12"/>
  <c r="AH506" i="12"/>
  <c r="AH66" i="12"/>
  <c r="Q60" i="12"/>
  <c r="H506" i="12"/>
  <c r="H66" i="12"/>
  <c r="AD60" i="12"/>
  <c r="G506" i="12"/>
  <c r="G66" i="12"/>
  <c r="AE506" i="12"/>
  <c r="AE66" i="12"/>
  <c r="C504" i="12"/>
  <c r="C64" i="12"/>
  <c r="G503" i="12"/>
  <c r="G63" i="12"/>
  <c r="W503" i="12"/>
  <c r="W63" i="12"/>
  <c r="U503" i="12"/>
  <c r="U63" i="12"/>
  <c r="F505" i="12"/>
  <c r="F65" i="12"/>
  <c r="C502" i="12"/>
  <c r="C62" i="12"/>
  <c r="AE502" i="12"/>
  <c r="AE62" i="12"/>
  <c r="F500" i="12"/>
  <c r="F60" i="12"/>
  <c r="I500" i="12"/>
  <c r="I60" i="12"/>
  <c r="AD61" i="12"/>
  <c r="L504" i="12"/>
  <c r="L64" i="12"/>
  <c r="AH505" i="12"/>
  <c r="AH65" i="12"/>
  <c r="O503" i="12"/>
  <c r="O63" i="12"/>
  <c r="M503" i="12"/>
  <c r="M63" i="12"/>
  <c r="V503" i="12"/>
  <c r="V63" i="12"/>
  <c r="AC503" i="12"/>
  <c r="AC63" i="12"/>
  <c r="N505" i="12"/>
  <c r="N65" i="12"/>
  <c r="Y502" i="12"/>
  <c r="Y62" i="12"/>
  <c r="H502" i="12"/>
  <c r="H62" i="12"/>
  <c r="H500" i="12"/>
  <c r="H60" i="12"/>
  <c r="L502" i="12"/>
  <c r="L62" i="12"/>
  <c r="D505" i="12"/>
  <c r="D65" i="12"/>
  <c r="AB61" i="12"/>
  <c r="AJ504" i="12"/>
  <c r="AJ64" i="12"/>
  <c r="D61" i="12"/>
  <c r="R61" i="12"/>
  <c r="I504" i="12"/>
  <c r="I64" i="12"/>
  <c r="X504" i="12"/>
  <c r="X64" i="12"/>
  <c r="J504" i="12"/>
  <c r="J64" i="12"/>
  <c r="E504" i="12"/>
  <c r="E64" i="12"/>
  <c r="Q504" i="12"/>
  <c r="Q64" i="12"/>
  <c r="G505" i="12"/>
  <c r="G65" i="12"/>
  <c r="O505" i="12"/>
  <c r="O65" i="12"/>
  <c r="J505" i="12"/>
  <c r="J65" i="12"/>
  <c r="E503" i="12"/>
  <c r="E63" i="12"/>
  <c r="Q503" i="12"/>
  <c r="Q63" i="12"/>
  <c r="I505" i="12"/>
  <c r="I65" i="12"/>
  <c r="S502" i="12"/>
  <c r="S62" i="12"/>
  <c r="N502" i="12"/>
  <c r="N62" i="12"/>
  <c r="Z502" i="12"/>
  <c r="Z62" i="12"/>
  <c r="P60" i="12"/>
  <c r="X503" i="12"/>
  <c r="X63" i="12"/>
  <c r="Y504" i="12"/>
  <c r="Y64" i="12"/>
  <c r="O504" i="12"/>
  <c r="O64" i="12"/>
  <c r="AA505" i="12"/>
  <c r="AA65" i="12"/>
  <c r="U505" i="12"/>
  <c r="U65" i="12"/>
  <c r="K505" i="12"/>
  <c r="K65" i="12"/>
  <c r="F503" i="12"/>
  <c r="F63" i="12"/>
  <c r="R503" i="12"/>
  <c r="R63" i="12"/>
  <c r="K503" i="12"/>
  <c r="K63" i="12"/>
  <c r="T503" i="12"/>
  <c r="T63" i="12"/>
  <c r="AJ505" i="12"/>
  <c r="AJ65" i="12"/>
  <c r="X502" i="12"/>
  <c r="X62" i="12"/>
  <c r="K502" i="12"/>
  <c r="K62" i="12"/>
  <c r="AF502" i="12"/>
  <c r="AF62" i="12"/>
  <c r="G502" i="12"/>
  <c r="G62" i="12"/>
  <c r="Q502" i="12"/>
  <c r="Q62" i="12"/>
  <c r="T60" i="12"/>
  <c r="R60" i="12"/>
  <c r="AI61" i="12"/>
  <c r="AC504" i="12"/>
  <c r="AC64" i="12"/>
  <c r="H505" i="12"/>
  <c r="H65" i="12"/>
  <c r="F504" i="12"/>
  <c r="F64" i="12"/>
  <c r="Q505" i="12"/>
  <c r="Q65" i="12"/>
  <c r="D503" i="12"/>
  <c r="D63" i="12"/>
  <c r="P503" i="12"/>
  <c r="P63" i="12"/>
  <c r="J503" i="12"/>
  <c r="J63" i="12"/>
  <c r="AE505" i="12"/>
  <c r="AE65" i="12"/>
  <c r="F502" i="12"/>
  <c r="F62" i="12"/>
  <c r="V502" i="12"/>
  <c r="V62" i="12"/>
  <c r="Y60" i="12"/>
  <c r="C60" i="12"/>
  <c r="M504" i="12"/>
  <c r="M64" i="12"/>
  <c r="AB503" i="12"/>
  <c r="AB63" i="12"/>
  <c r="P504" i="12"/>
  <c r="P64" i="12"/>
  <c r="S504" i="12"/>
  <c r="S64" i="12"/>
  <c r="T505" i="12"/>
  <c r="T65" i="12"/>
  <c r="AI505" i="12"/>
  <c r="AI65" i="12"/>
  <c r="P505" i="12"/>
  <c r="P65" i="12"/>
  <c r="AD505" i="12"/>
  <c r="AD65" i="12"/>
  <c r="T502" i="12"/>
  <c r="T62" i="12"/>
  <c r="I502" i="12"/>
  <c r="I62" i="12"/>
  <c r="R502" i="12"/>
  <c r="R62" i="12"/>
  <c r="J502" i="12"/>
  <c r="J62" i="12"/>
  <c r="W502" i="12"/>
  <c r="W62" i="12"/>
  <c r="AJ502" i="12"/>
  <c r="AJ62" i="12"/>
  <c r="N504" i="12"/>
  <c r="N64" i="12"/>
  <c r="AB504" i="12"/>
  <c r="AB64" i="12"/>
  <c r="AC505" i="12"/>
  <c r="AC65" i="12"/>
  <c r="T61" i="12"/>
  <c r="AF504" i="12"/>
  <c r="AF64" i="12"/>
  <c r="G504" i="12"/>
  <c r="G64" i="12"/>
  <c r="AH504" i="12"/>
  <c r="AH64" i="12"/>
  <c r="E505" i="12"/>
  <c r="E65" i="12"/>
  <c r="AA503" i="12"/>
  <c r="AA63" i="12"/>
  <c r="N503" i="12"/>
  <c r="N63" i="12"/>
  <c r="Y505" i="12"/>
  <c r="Y65" i="12"/>
  <c r="AB502" i="12"/>
  <c r="AB62" i="12"/>
  <c r="X505" i="12"/>
  <c r="X65" i="12"/>
  <c r="AH502" i="12"/>
  <c r="AH62" i="12"/>
  <c r="U502" i="12"/>
  <c r="U62" i="12"/>
  <c r="O502" i="12"/>
  <c r="O62" i="12"/>
  <c r="N61" i="12"/>
  <c r="W504" i="12"/>
  <c r="W64" i="12"/>
  <c r="K504" i="12"/>
  <c r="K64" i="12"/>
  <c r="AF505" i="12"/>
  <c r="AF65" i="12"/>
  <c r="AE503" i="12"/>
  <c r="AE63" i="12"/>
  <c r="C503" i="12"/>
  <c r="C63" i="12"/>
  <c r="R505" i="12"/>
  <c r="R65" i="12"/>
  <c r="AC502" i="12"/>
  <c r="AC62" i="12"/>
  <c r="AI502" i="12"/>
  <c r="AI62" i="12"/>
  <c r="P502" i="12"/>
  <c r="P62" i="12"/>
  <c r="I503" i="12"/>
  <c r="I63" i="12"/>
  <c r="AE61" i="12"/>
  <c r="AG61" i="12"/>
  <c r="AG504" i="12"/>
  <c r="AG64" i="12"/>
  <c r="D504" i="12"/>
  <c r="D64" i="12"/>
  <c r="AD504" i="12"/>
  <c r="AD64" i="12"/>
  <c r="Z505" i="12"/>
  <c r="Z65" i="12"/>
  <c r="W505" i="12"/>
  <c r="W65" i="12"/>
  <c r="H503" i="12"/>
  <c r="H63" i="12"/>
  <c r="S503" i="12"/>
  <c r="S63" i="12"/>
  <c r="Y503" i="12"/>
  <c r="Y63" i="12"/>
  <c r="AI503" i="12"/>
  <c r="AI63" i="12"/>
  <c r="M505" i="12"/>
  <c r="M65" i="12"/>
  <c r="AA502" i="12"/>
  <c r="AA62" i="12"/>
  <c r="AG502" i="12"/>
  <c r="AG62" i="12"/>
  <c r="M60" i="12"/>
  <c r="K60" i="12"/>
  <c r="E60" i="12"/>
  <c r="T504" i="12"/>
  <c r="T64" i="12"/>
  <c r="I61" i="12"/>
  <c r="U504" i="12"/>
  <c r="U64" i="12"/>
  <c r="W61" i="12"/>
  <c r="H504" i="12"/>
  <c r="H64" i="12"/>
  <c r="AA504" i="12"/>
  <c r="AA64" i="12"/>
  <c r="AE504" i="12"/>
  <c r="AE64" i="12"/>
  <c r="C505" i="12"/>
  <c r="C65" i="12"/>
  <c r="AJ503" i="12"/>
  <c r="AJ63" i="12"/>
  <c r="AD503" i="12"/>
  <c r="AD63" i="12"/>
  <c r="AG505" i="12"/>
  <c r="AG65" i="12"/>
  <c r="D502" i="12"/>
  <c r="D62" i="12"/>
  <c r="AG60" i="12"/>
  <c r="N60" i="12"/>
  <c r="V60" i="12"/>
  <c r="Z504" i="12"/>
  <c r="Z64" i="12"/>
  <c r="AI504" i="12"/>
  <c r="AI64" i="12"/>
  <c r="Z503" i="12"/>
  <c r="Z63" i="12"/>
  <c r="V505" i="12"/>
  <c r="V65" i="12"/>
  <c r="R504" i="12"/>
  <c r="R64" i="12"/>
  <c r="L503" i="12"/>
  <c r="L63" i="12"/>
  <c r="AG503" i="12"/>
  <c r="AG63" i="12"/>
  <c r="AH503" i="12"/>
  <c r="AH63" i="12"/>
  <c r="L505" i="12"/>
  <c r="L65" i="12"/>
  <c r="S505" i="12"/>
  <c r="S65" i="12"/>
  <c r="E502" i="12"/>
  <c r="E62" i="12"/>
  <c r="M502" i="12"/>
  <c r="M62" i="12"/>
  <c r="AH60" i="12"/>
  <c r="G500" i="12"/>
  <c r="G60" i="12"/>
  <c r="AC60" i="12"/>
  <c r="AD62" i="12"/>
  <c r="AB65" i="12"/>
  <c r="AJ43" i="12"/>
  <c r="AJ203" i="12" s="1"/>
  <c r="D51" i="16"/>
  <c r="E11" i="16"/>
  <c r="AQ11" i="16" s="1"/>
  <c r="C53" i="16"/>
  <c r="D13" i="16"/>
  <c r="AP13" i="16" s="1"/>
  <c r="C54" i="16"/>
  <c r="D14" i="16"/>
  <c r="D52" i="16"/>
  <c r="E12" i="16"/>
  <c r="D48" i="16"/>
  <c r="E8" i="16"/>
  <c r="AQ8" i="16" s="1"/>
  <c r="D49" i="16"/>
  <c r="E9" i="16"/>
  <c r="AP4" i="16"/>
  <c r="AO5" i="16"/>
  <c r="G5" i="16"/>
  <c r="H5" i="16" s="1"/>
  <c r="I5" i="16" s="1"/>
  <c r="J5" i="16" s="1"/>
  <c r="K5" i="16" s="1"/>
  <c r="L5" i="16" s="1"/>
  <c r="M5" i="16" s="1"/>
  <c r="N5" i="16" s="1"/>
  <c r="O5" i="16" s="1"/>
  <c r="P5" i="16" s="1"/>
  <c r="Q5" i="16" s="1"/>
  <c r="R5" i="16" s="1"/>
  <c r="S5" i="16" s="1"/>
  <c r="T5" i="16" s="1"/>
  <c r="U5" i="16" s="1"/>
  <c r="V5" i="16" s="1"/>
  <c r="W5" i="16" s="1"/>
  <c r="X5" i="16" s="1"/>
  <c r="Y5" i="16" s="1"/>
  <c r="Z5" i="16" s="1"/>
  <c r="AA5" i="16" s="1"/>
  <c r="AB5" i="16" s="1"/>
  <c r="AC5" i="16" s="1"/>
  <c r="AD5" i="16" s="1"/>
  <c r="AE5" i="16" s="1"/>
  <c r="AF5" i="16" s="1"/>
  <c r="AG5" i="16" s="1"/>
  <c r="C45" i="16"/>
  <c r="D45" i="16"/>
  <c r="D46" i="16"/>
  <c r="E6" i="16"/>
  <c r="AQ6" i="16" s="1"/>
  <c r="D44" i="16"/>
  <c r="E4" i="16"/>
  <c r="AQ4" i="16" s="1"/>
  <c r="D3" i="16"/>
  <c r="D43" i="16" s="1"/>
  <c r="C42" i="16"/>
  <c r="D2" i="16"/>
  <c r="E47" i="12"/>
  <c r="M54" i="12"/>
  <c r="AJ48" i="12"/>
  <c r="O15" i="16"/>
  <c r="N55" i="16"/>
  <c r="D50" i="16"/>
  <c r="E10" i="16"/>
  <c r="AQ10" i="16" s="1"/>
  <c r="E7" i="16"/>
  <c r="AQ7" i="16" s="1"/>
  <c r="AT38" i="12"/>
  <c r="AU38" i="12" s="1"/>
  <c r="AT19" i="12"/>
  <c r="AU19" i="12" s="1"/>
  <c r="AB500" i="12"/>
  <c r="AC500" i="12"/>
  <c r="Q500" i="12"/>
  <c r="AT34" i="12"/>
  <c r="AU34" i="12" s="1"/>
  <c r="AT35" i="12"/>
  <c r="AU35" i="12" s="1"/>
  <c r="AT26" i="12"/>
  <c r="AU26" i="12" s="1"/>
  <c r="AT28" i="12"/>
  <c r="AU28" i="12" s="1"/>
  <c r="AT30" i="12"/>
  <c r="AU30" i="12" s="1"/>
  <c r="AT33" i="12"/>
  <c r="AU33" i="12" s="1"/>
  <c r="AT21" i="12"/>
  <c r="AU21" i="12" s="1"/>
  <c r="AT31" i="12"/>
  <c r="AU31" i="12" s="1"/>
  <c r="AT27" i="12"/>
  <c r="AU27" i="12" s="1"/>
  <c r="AT23" i="12"/>
  <c r="AU23" i="12" s="1"/>
  <c r="AT36" i="12"/>
  <c r="AU36" i="12" s="1"/>
  <c r="AT24" i="12"/>
  <c r="AU24" i="12" s="1"/>
  <c r="AT25" i="12"/>
  <c r="AU25" i="12" s="1"/>
  <c r="AT32" i="12"/>
  <c r="AU32" i="12" s="1"/>
  <c r="AT29" i="12"/>
  <c r="AU29" i="12" s="1"/>
  <c r="AT22" i="12"/>
  <c r="AU22" i="12" s="1"/>
  <c r="AI500" i="12"/>
  <c r="F283" i="12"/>
  <c r="F284" i="12" s="1"/>
  <c r="F285" i="12" s="1"/>
  <c r="W500" i="12"/>
  <c r="D283" i="12"/>
  <c r="D284" i="12" s="1"/>
  <c r="D285" i="12" s="1"/>
  <c r="AG54" i="12"/>
  <c r="AF51" i="12"/>
  <c r="N51" i="12"/>
  <c r="Q53" i="12"/>
  <c r="V51" i="12"/>
  <c r="AB55" i="12"/>
  <c r="R57" i="12"/>
  <c r="AG48" i="12"/>
  <c r="W51" i="12"/>
  <c r="D51" i="12"/>
  <c r="O55" i="12"/>
  <c r="Y48" i="12"/>
  <c r="H55" i="12"/>
  <c r="O53" i="12"/>
  <c r="L54" i="12"/>
  <c r="T54" i="12"/>
  <c r="M47" i="12"/>
  <c r="P55" i="12"/>
  <c r="K48" i="12"/>
  <c r="T48" i="12"/>
  <c r="X48" i="12"/>
  <c r="H48" i="12"/>
  <c r="AD55" i="12"/>
  <c r="X55" i="12"/>
  <c r="AF55" i="12"/>
  <c r="Y53" i="12"/>
  <c r="U53" i="12"/>
  <c r="AB53" i="12"/>
  <c r="J54" i="12"/>
  <c r="H58" i="12"/>
  <c r="D50" i="12"/>
  <c r="K50" i="12"/>
  <c r="F53" i="12"/>
  <c r="AH53" i="12"/>
  <c r="T51" i="12"/>
  <c r="U50" i="12"/>
  <c r="J53" i="12"/>
  <c r="D53" i="12"/>
  <c r="H49" i="12"/>
  <c r="AD43" i="12"/>
  <c r="AD203" i="12" s="1"/>
  <c r="O56" i="12"/>
  <c r="N52" i="12"/>
  <c r="X52" i="12"/>
  <c r="G52" i="12"/>
  <c r="R55" i="12"/>
  <c r="Y56" i="12"/>
  <c r="AA51" i="12"/>
  <c r="AI56" i="12"/>
  <c r="J56" i="12"/>
  <c r="R49" i="12"/>
  <c r="D56" i="12"/>
  <c r="T44" i="12"/>
  <c r="P43" i="12"/>
  <c r="U43" i="12"/>
  <c r="U83" i="12" s="1"/>
  <c r="V47" i="12"/>
  <c r="AG52" i="12"/>
  <c r="W52" i="12"/>
  <c r="D55" i="12"/>
  <c r="O58" i="12"/>
  <c r="H54" i="12"/>
  <c r="W54" i="12"/>
  <c r="P54" i="12"/>
  <c r="AC50" i="12"/>
  <c r="AF50" i="12"/>
  <c r="M50" i="12"/>
  <c r="K55" i="12"/>
  <c r="AI55" i="12"/>
  <c r="F48" i="12"/>
  <c r="M45" i="12"/>
  <c r="D48" i="12"/>
  <c r="V45" i="12"/>
  <c r="Y49" i="12"/>
  <c r="AH45" i="12"/>
  <c r="J49" i="12"/>
  <c r="AA48" i="12"/>
  <c r="AB54" i="12"/>
  <c r="R45" i="12"/>
  <c r="Q49" i="12"/>
  <c r="X58" i="12"/>
  <c r="AD59" i="12"/>
  <c r="AH59" i="12"/>
  <c r="J59" i="12"/>
  <c r="W59" i="12"/>
  <c r="H53" i="12"/>
  <c r="J51" i="12"/>
  <c r="AE56" i="12"/>
  <c r="E51" i="12"/>
  <c r="W43" i="12"/>
  <c r="AI47" i="12"/>
  <c r="Q58" i="12"/>
  <c r="V55" i="12"/>
  <c r="E52" i="12"/>
  <c r="F52" i="12"/>
  <c r="AI52" i="12"/>
  <c r="Q52" i="12"/>
  <c r="AE52" i="12"/>
  <c r="Q44" i="12"/>
  <c r="T45" i="12"/>
  <c r="AF58" i="12"/>
  <c r="AC54" i="12"/>
  <c r="C54" i="12"/>
  <c r="AI54" i="12"/>
  <c r="G51" i="12"/>
  <c r="O51" i="12"/>
  <c r="X47" i="12"/>
  <c r="I47" i="12"/>
  <c r="J52" i="12"/>
  <c r="AH57" i="12"/>
  <c r="L55" i="12"/>
  <c r="U52" i="12"/>
  <c r="C55" i="12"/>
  <c r="F55" i="12"/>
  <c r="V52" i="12"/>
  <c r="AC52" i="12"/>
  <c r="AJ52" i="12"/>
  <c r="AA52" i="12"/>
  <c r="H52" i="12"/>
  <c r="U51" i="12"/>
  <c r="U56" i="12"/>
  <c r="M56" i="12"/>
  <c r="AC56" i="12"/>
  <c r="V56" i="12"/>
  <c r="R51" i="12"/>
  <c r="T49" i="12"/>
  <c r="P56" i="12"/>
  <c r="Z56" i="12"/>
  <c r="AH51" i="12"/>
  <c r="M43" i="12"/>
  <c r="M203" i="12" s="1"/>
  <c r="AB48" i="12"/>
  <c r="U58" i="12"/>
  <c r="AD56" i="12"/>
  <c r="AI51" i="12"/>
  <c r="E56" i="12"/>
  <c r="K51" i="12"/>
  <c r="AB47" i="12"/>
  <c r="V54" i="12"/>
  <c r="AG57" i="12"/>
  <c r="E57" i="12"/>
  <c r="U55" i="12"/>
  <c r="C56" i="12"/>
  <c r="AE57" i="12"/>
  <c r="AF44" i="12"/>
  <c r="F44" i="12"/>
  <c r="R44" i="12"/>
  <c r="S44" i="12"/>
  <c r="W58" i="12"/>
  <c r="AA61" i="12"/>
  <c r="S61" i="12"/>
  <c r="F57" i="12"/>
  <c r="T57" i="12"/>
  <c r="Z57" i="12"/>
  <c r="U57" i="12"/>
  <c r="H57" i="12"/>
  <c r="J55" i="12"/>
  <c r="AC61" i="12"/>
  <c r="O61" i="12"/>
  <c r="J61" i="12"/>
  <c r="X61" i="12"/>
  <c r="L61" i="12"/>
  <c r="H61" i="12"/>
  <c r="D57" i="12"/>
  <c r="I45" i="12"/>
  <c r="H45" i="12"/>
  <c r="AI57" i="12"/>
  <c r="T52" i="12"/>
  <c r="M52" i="12"/>
  <c r="E44" i="12"/>
  <c r="R59" i="12"/>
  <c r="G54" i="12"/>
  <c r="M61" i="12"/>
  <c r="C61" i="12"/>
  <c r="E61" i="12"/>
  <c r="AA57" i="12"/>
  <c r="AF57" i="12"/>
  <c r="Y61" i="12"/>
  <c r="G61" i="12"/>
  <c r="AF61" i="12"/>
  <c r="Q57" i="12"/>
  <c r="AD57" i="12"/>
  <c r="P57" i="12"/>
  <c r="X57" i="12"/>
  <c r="W57" i="12"/>
  <c r="L52" i="12"/>
  <c r="K52" i="12"/>
  <c r="AH52" i="12"/>
  <c r="P52" i="12"/>
  <c r="L45" i="12"/>
  <c r="AG45" i="12"/>
  <c r="C51" i="12"/>
  <c r="Z51" i="12"/>
  <c r="AG43" i="12"/>
  <c r="AF43" i="12"/>
  <c r="AA59" i="12"/>
  <c r="I43" i="12"/>
  <c r="I83" i="12" s="1"/>
  <c r="I283" i="12"/>
  <c r="I284" i="12" s="1"/>
  <c r="I285" i="12" s="1"/>
  <c r="K61" i="12"/>
  <c r="V61" i="12"/>
  <c r="AJ61" i="12"/>
  <c r="Q61" i="12"/>
  <c r="AH61" i="12"/>
  <c r="Z61" i="12"/>
  <c r="AB57" i="12"/>
  <c r="C57" i="12"/>
  <c r="J57" i="12"/>
  <c r="N57" i="12"/>
  <c r="AG55" i="12"/>
  <c r="AF52" i="12"/>
  <c r="O52" i="12"/>
  <c r="C52" i="12"/>
  <c r="Z52" i="12"/>
  <c r="I52" i="12"/>
  <c r="AC44" i="12"/>
  <c r="N53" i="12"/>
  <c r="L53" i="12"/>
  <c r="AD53" i="12"/>
  <c r="G57" i="12"/>
  <c r="D44" i="12"/>
  <c r="P44" i="12"/>
  <c r="X44" i="12"/>
  <c r="AC58" i="12"/>
  <c r="L58" i="12"/>
  <c r="D54" i="12"/>
  <c r="N54" i="12"/>
  <c r="R54" i="12"/>
  <c r="X54" i="12"/>
  <c r="J50" i="12"/>
  <c r="Q50" i="12"/>
  <c r="P50" i="12"/>
  <c r="Z50" i="12"/>
  <c r="C50" i="12"/>
  <c r="Z55" i="12"/>
  <c r="Y55" i="12"/>
  <c r="W48" i="12"/>
  <c r="L49" i="12"/>
  <c r="J48" i="12"/>
  <c r="E49" i="12"/>
  <c r="U45" i="12"/>
  <c r="Z49" i="12"/>
  <c r="AD54" i="12"/>
  <c r="AB45" i="12"/>
  <c r="AJ49" i="12"/>
  <c r="G49" i="12"/>
  <c r="AF49" i="12"/>
  <c r="AD48" i="12"/>
  <c r="U48" i="12"/>
  <c r="I54" i="12"/>
  <c r="J45" i="12"/>
  <c r="AC45" i="12"/>
  <c r="C58" i="12"/>
  <c r="K58" i="12"/>
  <c r="T59" i="12"/>
  <c r="AF59" i="12"/>
  <c r="AI53" i="12"/>
  <c r="W55" i="12"/>
  <c r="X53" i="12"/>
  <c r="F49" i="12"/>
  <c r="Y51" i="12"/>
  <c r="G56" i="12"/>
  <c r="F51" i="12"/>
  <c r="AG56" i="12"/>
  <c r="H51" i="12"/>
  <c r="AJ56" i="12"/>
  <c r="L51" i="12"/>
  <c r="AA56" i="12"/>
  <c r="H50" i="12"/>
  <c r="AB43" i="12"/>
  <c r="AH43" i="12"/>
  <c r="AH203" i="12" s="1"/>
  <c r="V43" i="12"/>
  <c r="V243" i="12" s="1"/>
  <c r="F50" i="12"/>
  <c r="J43" i="12"/>
  <c r="J163" i="12" s="1"/>
  <c r="Y43" i="12"/>
  <c r="Y163" i="12" s="1"/>
  <c r="L48" i="12"/>
  <c r="L59" i="12"/>
  <c r="AF56" i="12"/>
  <c r="K47" i="12"/>
  <c r="U47" i="12"/>
  <c r="AA43" i="12"/>
  <c r="AH47" i="12"/>
  <c r="G47" i="12"/>
  <c r="J47" i="12"/>
  <c r="Y52" i="12"/>
  <c r="V53" i="12"/>
  <c r="D59" i="12"/>
  <c r="AJ45" i="12"/>
  <c r="AG44" i="12"/>
  <c r="O57" i="12"/>
  <c r="Y57" i="12"/>
  <c r="I44" i="12"/>
  <c r="AA44" i="12"/>
  <c r="N58" i="12"/>
  <c r="AA54" i="12"/>
  <c r="AC57" i="12"/>
  <c r="E54" i="12"/>
  <c r="Z54" i="12"/>
  <c r="AE50" i="12"/>
  <c r="AA50" i="12"/>
  <c r="Y50" i="12"/>
  <c r="S50" i="12"/>
  <c r="E53" i="12"/>
  <c r="AJ55" i="12"/>
  <c r="S55" i="12"/>
  <c r="M48" i="12"/>
  <c r="R48" i="12"/>
  <c r="N45" i="12"/>
  <c r="I49" i="12"/>
  <c r="G45" i="12"/>
  <c r="I48" i="12"/>
  <c r="AE54" i="12"/>
  <c r="AI49" i="12"/>
  <c r="AA49" i="12"/>
  <c r="Q48" i="12"/>
  <c r="F45" i="12"/>
  <c r="X49" i="12"/>
  <c r="AB49" i="12"/>
  <c r="P48" i="12"/>
  <c r="O45" i="12"/>
  <c r="E43" i="12"/>
  <c r="E123" i="12" s="1"/>
  <c r="G58" i="12"/>
  <c r="M59" i="12"/>
  <c r="AC53" i="12"/>
  <c r="AH58" i="12"/>
  <c r="AG58" i="12"/>
  <c r="C53" i="12"/>
  <c r="AC59" i="12"/>
  <c r="Y58" i="12"/>
  <c r="I53" i="12"/>
  <c r="F59" i="12"/>
  <c r="K53" i="12"/>
  <c r="AG53" i="12"/>
  <c r="L56" i="12"/>
  <c r="AC51" i="12"/>
  <c r="S56" i="12"/>
  <c r="P49" i="12"/>
  <c r="AB56" i="12"/>
  <c r="X51" i="12"/>
  <c r="F56" i="12"/>
  <c r="R56" i="12"/>
  <c r="M51" i="12"/>
  <c r="O43" i="12"/>
  <c r="O203" i="12" s="1"/>
  <c r="X43" i="12"/>
  <c r="X123" i="12" s="1"/>
  <c r="AE48" i="12"/>
  <c r="L50" i="12"/>
  <c r="S48" i="12"/>
  <c r="G59" i="12"/>
  <c r="S43" i="12"/>
  <c r="Z43" i="12"/>
  <c r="Z123" i="12" s="1"/>
  <c r="P45" i="12"/>
  <c r="P58" i="12"/>
  <c r="AC47" i="12"/>
  <c r="W47" i="12"/>
  <c r="AA47" i="12"/>
  <c r="Q56" i="12"/>
  <c r="AJ47" i="12"/>
  <c r="L47" i="12"/>
  <c r="C47" i="12"/>
  <c r="O47" i="12"/>
  <c r="I57" i="12"/>
  <c r="L57" i="12"/>
  <c r="K57" i="12"/>
  <c r="N55" i="12"/>
  <c r="T55" i="12"/>
  <c r="D52" i="12"/>
  <c r="AB52" i="12"/>
  <c r="R52" i="12"/>
  <c r="AD52" i="12"/>
  <c r="S52" i="12"/>
  <c r="K44" i="12"/>
  <c r="W53" i="12"/>
  <c r="S53" i="12"/>
  <c r="M53" i="12"/>
  <c r="AH44" i="12"/>
  <c r="M57" i="12"/>
  <c r="G44" i="12"/>
  <c r="L44" i="12"/>
  <c r="AD58" i="12"/>
  <c r="AD44" i="12"/>
  <c r="H44" i="12"/>
  <c r="E58" i="12"/>
  <c r="AF54" i="12"/>
  <c r="K54" i="12"/>
  <c r="O54" i="12"/>
  <c r="Y54" i="12"/>
  <c r="S57" i="12"/>
  <c r="E50" i="12"/>
  <c r="N50" i="12"/>
  <c r="AG50" i="12"/>
  <c r="V50" i="12"/>
  <c r="AH50" i="12"/>
  <c r="W50" i="12"/>
  <c r="AA53" i="12"/>
  <c r="AA55" i="12"/>
  <c r="AC55" i="12"/>
  <c r="G55" i="12"/>
  <c r="K45" i="12"/>
  <c r="C49" i="12"/>
  <c r="Z48" i="12"/>
  <c r="AF45" i="12"/>
  <c r="AH48" i="12"/>
  <c r="S49" i="12"/>
  <c r="AI48" i="12"/>
  <c r="AD49" i="12"/>
  <c r="D49" i="12"/>
  <c r="C48" i="12"/>
  <c r="V49" i="12"/>
  <c r="S45" i="12"/>
  <c r="AC49" i="12"/>
  <c r="Y59" i="12"/>
  <c r="P53" i="12"/>
  <c r="I59" i="12"/>
  <c r="AB59" i="12"/>
  <c r="R53" i="12"/>
  <c r="Z59" i="12"/>
  <c r="AI59" i="12"/>
  <c r="AJ53" i="12"/>
  <c r="AJ58" i="12"/>
  <c r="Q59" i="12"/>
  <c r="G53" i="12"/>
  <c r="W49" i="12"/>
  <c r="AE51" i="12"/>
  <c r="AH56" i="12"/>
  <c r="X56" i="12"/>
  <c r="T56" i="12"/>
  <c r="I56" i="12"/>
  <c r="H56" i="12"/>
  <c r="I51" i="12"/>
  <c r="T43" i="12"/>
  <c r="T163" i="12" s="1"/>
  <c r="R43" i="12"/>
  <c r="F43" i="12"/>
  <c r="F163" i="12" s="1"/>
  <c r="L43" i="12"/>
  <c r="L123" i="12" s="1"/>
  <c r="Q43" i="12"/>
  <c r="D43" i="12"/>
  <c r="D123" i="12" s="1"/>
  <c r="X50" i="12"/>
  <c r="AH54" i="12"/>
  <c r="F47" i="12"/>
  <c r="P47" i="12"/>
  <c r="Y47" i="12"/>
  <c r="AF47" i="12"/>
  <c r="AD47" i="12"/>
  <c r="Z47" i="12"/>
  <c r="AJ44" i="12"/>
  <c r="AE44" i="12"/>
  <c r="AE58" i="12"/>
  <c r="N44" i="12"/>
  <c r="M44" i="12"/>
  <c r="J44" i="12"/>
  <c r="Z44" i="12"/>
  <c r="E55" i="12"/>
  <c r="AB50" i="12"/>
  <c r="N47" i="12"/>
  <c r="I50" i="12"/>
  <c r="Z53" i="12"/>
  <c r="I55" i="12"/>
  <c r="Q55" i="12"/>
  <c r="AH55" i="12"/>
  <c r="AF48" i="12"/>
  <c r="S54" i="12"/>
  <c r="D45" i="12"/>
  <c r="E45" i="12"/>
  <c r="AG49" i="12"/>
  <c r="N49" i="12"/>
  <c r="X45" i="12"/>
  <c r="AH49" i="12"/>
  <c r="C45" i="12"/>
  <c r="O49" i="12"/>
  <c r="AB58" i="12"/>
  <c r="C59" i="12"/>
  <c r="P59" i="12"/>
  <c r="D58" i="12"/>
  <c r="O59" i="12"/>
  <c r="X59" i="12"/>
  <c r="J58" i="12"/>
  <c r="U59" i="12"/>
  <c r="S58" i="12"/>
  <c r="V58" i="12"/>
  <c r="AF53" i="12"/>
  <c r="AE53" i="12"/>
  <c r="M55" i="12"/>
  <c r="Q51" i="12"/>
  <c r="U49" i="12"/>
  <c r="AD51" i="12"/>
  <c r="N56" i="12"/>
  <c r="R50" i="12"/>
  <c r="N43" i="12"/>
  <c r="N163" i="12" s="1"/>
  <c r="AC43" i="12"/>
  <c r="H43" i="12"/>
  <c r="V59" i="12"/>
  <c r="K43" i="12"/>
  <c r="K123" i="12" s="1"/>
  <c r="C43" i="12"/>
  <c r="C243" i="12" s="1"/>
  <c r="AD50" i="12"/>
  <c r="AG47" i="12"/>
  <c r="R47" i="12"/>
  <c r="Y44" i="12"/>
  <c r="G43" i="12"/>
  <c r="G163" i="12" s="1"/>
  <c r="AE47" i="12"/>
  <c r="Q47" i="12"/>
  <c r="AI44" i="12"/>
  <c r="W44" i="12"/>
  <c r="T53" i="12"/>
  <c r="Z45" i="12"/>
  <c r="V57" i="12"/>
  <c r="C44" i="12"/>
  <c r="O44" i="12"/>
  <c r="U44" i="12"/>
  <c r="R58" i="12"/>
  <c r="Z58" i="12"/>
  <c r="AB44" i="12"/>
  <c r="F54" i="12"/>
  <c r="U54" i="12"/>
  <c r="AI50" i="12"/>
  <c r="T50" i="12"/>
  <c r="O50" i="12"/>
  <c r="T47" i="12"/>
  <c r="I58" i="12"/>
  <c r="AE55" i="12"/>
  <c r="K49" i="12"/>
  <c r="AA45" i="12"/>
  <c r="AE49" i="12"/>
  <c r="E48" i="12"/>
  <c r="AI45" i="12"/>
  <c r="O48" i="12"/>
  <c r="G48" i="12"/>
  <c r="AD45" i="12"/>
  <c r="AC48" i="12"/>
  <c r="Q45" i="12"/>
  <c r="AE45" i="12"/>
  <c r="AI58" i="12"/>
  <c r="AE59" i="12"/>
  <c r="S59" i="12"/>
  <c r="F58" i="12"/>
  <c r="AJ59" i="12"/>
  <c r="M58" i="12"/>
  <c r="E59" i="12"/>
  <c r="AA58" i="12"/>
  <c r="AG59" i="12"/>
  <c r="V44" i="12"/>
  <c r="M49" i="12"/>
  <c r="P51" i="12"/>
  <c r="K56" i="12"/>
  <c r="S51" i="12"/>
  <c r="W56" i="12"/>
  <c r="AB51" i="12"/>
  <c r="V48" i="12"/>
  <c r="AE43" i="12"/>
  <c r="AE83" i="12" s="1"/>
  <c r="K59" i="12"/>
  <c r="H59" i="12"/>
  <c r="AI43" i="12"/>
  <c r="AI203" i="12" s="1"/>
  <c r="N59" i="12"/>
  <c r="AJ50" i="12"/>
  <c r="Y45" i="12"/>
  <c r="H47" i="12"/>
  <c r="S47" i="12"/>
  <c r="N48" i="12"/>
  <c r="G50" i="12"/>
  <c r="D47" i="12"/>
  <c r="W45" i="12"/>
  <c r="AH483" i="12"/>
  <c r="V483" i="12"/>
  <c r="F490" i="12"/>
  <c r="Y483" i="12"/>
  <c r="L488" i="12"/>
  <c r="L499" i="12"/>
  <c r="AF496" i="12"/>
  <c r="I491" i="12"/>
  <c r="R483" i="12"/>
  <c r="F483" i="12"/>
  <c r="R490" i="12"/>
  <c r="N483" i="12"/>
  <c r="Q283" i="12"/>
  <c r="Q284" i="12" s="1"/>
  <c r="Q285" i="12" s="1"/>
  <c r="B43" i="12"/>
  <c r="B83" i="12" s="1"/>
  <c r="B123" i="12" s="1"/>
  <c r="B163" i="12" s="1"/>
  <c r="B203" i="12" s="1"/>
  <c r="B243" i="12" s="1"/>
  <c r="B283" i="12" s="1"/>
  <c r="B323" i="12" s="1"/>
  <c r="B363" i="12" s="1"/>
  <c r="B403" i="12" s="1"/>
  <c r="B443" i="12" s="1"/>
  <c r="B483" i="12" s="1"/>
  <c r="B523" i="12" s="1"/>
  <c r="U483" i="12"/>
  <c r="AA499" i="12"/>
  <c r="I483" i="12"/>
  <c r="D490" i="12"/>
  <c r="K490" i="12"/>
  <c r="AD483" i="12"/>
  <c r="V499" i="12"/>
  <c r="X490" i="12"/>
  <c r="AG483" i="12"/>
  <c r="N499" i="12"/>
  <c r="AC483" i="12"/>
  <c r="D484" i="12"/>
  <c r="U494" i="12"/>
  <c r="O490" i="12"/>
  <c r="Z493" i="12"/>
  <c r="I495" i="12"/>
  <c r="Q495" i="12"/>
  <c r="AH495" i="12"/>
  <c r="D485" i="12"/>
  <c r="O499" i="12"/>
  <c r="M495" i="12"/>
  <c r="Y496" i="12"/>
  <c r="AI496" i="12"/>
  <c r="R489" i="12"/>
  <c r="D496" i="12"/>
  <c r="T484" i="12"/>
  <c r="P483" i="12"/>
  <c r="F484" i="12"/>
  <c r="S484" i="12"/>
  <c r="R494" i="12"/>
  <c r="G488" i="12"/>
  <c r="V484" i="12"/>
  <c r="AE496" i="12"/>
  <c r="AC491" i="12"/>
  <c r="P489" i="12"/>
  <c r="E491" i="12"/>
  <c r="X491" i="12"/>
  <c r="AG484" i="12"/>
  <c r="I484" i="12"/>
  <c r="Z495" i="12"/>
  <c r="J488" i="12"/>
  <c r="E489" i="12"/>
  <c r="U485" i="12"/>
  <c r="AD494" i="12"/>
  <c r="AB485" i="12"/>
  <c r="G489" i="12"/>
  <c r="AI493" i="12"/>
  <c r="W495" i="12"/>
  <c r="W489" i="12"/>
  <c r="AE491" i="12"/>
  <c r="AH496" i="12"/>
  <c r="X496" i="12"/>
  <c r="T496" i="12"/>
  <c r="G491" i="12"/>
  <c r="I496" i="12"/>
  <c r="E494" i="12"/>
  <c r="K495" i="12"/>
  <c r="AI495" i="12"/>
  <c r="M485" i="12"/>
  <c r="V485" i="12"/>
  <c r="AB494" i="12"/>
  <c r="Q489" i="12"/>
  <c r="AG485" i="12"/>
  <c r="AD499" i="12"/>
  <c r="J499" i="12"/>
  <c r="H493" i="12"/>
  <c r="R495" i="12"/>
  <c r="U491" i="12"/>
  <c r="U496" i="12"/>
  <c r="AG491" i="12"/>
  <c r="AC496" i="12"/>
  <c r="V496" i="12"/>
  <c r="R491" i="12"/>
  <c r="U489" i="12"/>
  <c r="AD491" i="12"/>
  <c r="Z496" i="12"/>
  <c r="N496" i="12"/>
  <c r="AH491" i="12"/>
  <c r="J484" i="12"/>
  <c r="AF494" i="12"/>
  <c r="E493" i="12"/>
  <c r="AJ495" i="12"/>
  <c r="S495" i="12"/>
  <c r="G485" i="12"/>
  <c r="AA489" i="12"/>
  <c r="P488" i="12"/>
  <c r="AC493" i="12"/>
  <c r="C493" i="12"/>
  <c r="I493" i="12"/>
  <c r="K493" i="12"/>
  <c r="AG493" i="12"/>
  <c r="W491" i="12"/>
  <c r="M489" i="12"/>
  <c r="E496" i="12"/>
  <c r="P491" i="12"/>
  <c r="K496" i="12"/>
  <c r="S491" i="12"/>
  <c r="W496" i="12"/>
  <c r="AB491" i="12"/>
  <c r="K491" i="12"/>
  <c r="L494" i="12"/>
  <c r="E495" i="12"/>
  <c r="AH488" i="12"/>
  <c r="S489" i="12"/>
  <c r="S485" i="12"/>
  <c r="AB499" i="12"/>
  <c r="X493" i="12"/>
  <c r="F489" i="12"/>
  <c r="Y491" i="12"/>
  <c r="G496" i="12"/>
  <c r="F491" i="12"/>
  <c r="AG496" i="12"/>
  <c r="H491" i="12"/>
  <c r="AJ496" i="12"/>
  <c r="L491" i="12"/>
  <c r="AA496" i="12"/>
  <c r="H490" i="12"/>
  <c r="AB483" i="12"/>
  <c r="AO2" i="16"/>
  <c r="AP7" i="16"/>
  <c r="P496" i="12"/>
  <c r="AF491" i="12"/>
  <c r="AG494" i="12"/>
  <c r="AT10" i="12"/>
  <c r="AU10" i="12" s="1"/>
  <c r="N491" i="12"/>
  <c r="AJ491" i="12"/>
  <c r="M496" i="12"/>
  <c r="Z491" i="12"/>
  <c r="T491" i="12"/>
  <c r="D491" i="12"/>
  <c r="AA491" i="12"/>
  <c r="AS2" i="12"/>
  <c r="J496" i="12"/>
  <c r="S496" i="12"/>
  <c r="L496" i="12"/>
  <c r="J491" i="12"/>
  <c r="C491" i="12"/>
  <c r="AB496" i="12"/>
  <c r="V491" i="12"/>
  <c r="AO13" i="16"/>
  <c r="Q491" i="12"/>
  <c r="AD496" i="12"/>
  <c r="AI491" i="12"/>
  <c r="AT15" i="12"/>
  <c r="AU15" i="12" s="1"/>
  <c r="AI494" i="12"/>
  <c r="AP5" i="16"/>
  <c r="B51" i="12"/>
  <c r="B91" i="12" s="1"/>
  <c r="B131" i="12" s="1"/>
  <c r="B171" i="12" s="1"/>
  <c r="B211" i="12" s="1"/>
  <c r="B251" i="12" s="1"/>
  <c r="B291" i="12" s="1"/>
  <c r="B331" i="12" s="1"/>
  <c r="B371" i="12" s="1"/>
  <c r="B411" i="12" s="1"/>
  <c r="B451" i="12" s="1"/>
  <c r="B491" i="12" s="1"/>
  <c r="B531" i="12" s="1"/>
  <c r="AN10" i="12"/>
  <c r="AI23" i="1" s="1"/>
  <c r="E483" i="12"/>
  <c r="L486" i="12"/>
  <c r="O497" i="12"/>
  <c r="N494" i="12"/>
  <c r="D495" i="12"/>
  <c r="K484" i="12"/>
  <c r="U493" i="12"/>
  <c r="D493" i="12"/>
  <c r="T485" i="12"/>
  <c r="AH484" i="12"/>
  <c r="AE484" i="12"/>
  <c r="R484" i="12"/>
  <c r="AD484" i="12"/>
  <c r="T494" i="12"/>
  <c r="Q490" i="12"/>
  <c r="AA493" i="12"/>
  <c r="K485" i="12"/>
  <c r="AE489" i="12"/>
  <c r="L485" i="12"/>
  <c r="AF485" i="12"/>
  <c r="AI485" i="12"/>
  <c r="V489" i="12"/>
  <c r="P493" i="12"/>
  <c r="S499" i="12"/>
  <c r="R493" i="12"/>
  <c r="AJ498" i="12"/>
  <c r="AA498" i="12"/>
  <c r="Z485" i="12"/>
  <c r="AF484" i="12"/>
  <c r="AC497" i="12"/>
  <c r="S490" i="12"/>
  <c r="AA495" i="12"/>
  <c r="AH485" i="12"/>
  <c r="AD489" i="12"/>
  <c r="R485" i="12"/>
  <c r="Q485" i="12"/>
  <c r="AD495" i="12"/>
  <c r="F495" i="12"/>
  <c r="V493" i="12"/>
  <c r="AE497" i="12"/>
  <c r="AC490" i="12"/>
  <c r="V490" i="12"/>
  <c r="W488" i="12"/>
  <c r="N485" i="12"/>
  <c r="I488" i="12"/>
  <c r="Q488" i="12"/>
  <c r="X489" i="12"/>
  <c r="H488" i="12"/>
  <c r="I494" i="12"/>
  <c r="O485" i="12"/>
  <c r="C498" i="12"/>
  <c r="M499" i="12"/>
  <c r="C499" i="12"/>
  <c r="T499" i="12"/>
  <c r="AG498" i="12"/>
  <c r="S498" i="12"/>
  <c r="X486" i="12"/>
  <c r="AI497" i="12"/>
  <c r="N497" i="12"/>
  <c r="AB484" i="12"/>
  <c r="Z499" i="12"/>
  <c r="M498" i="12"/>
  <c r="Q499" i="12"/>
  <c r="U497" i="12"/>
  <c r="V495" i="12"/>
  <c r="H495" i="12"/>
  <c r="N493" i="12"/>
  <c r="J493" i="12"/>
  <c r="M493" i="12"/>
  <c r="AD498" i="12"/>
  <c r="Z498" i="12"/>
  <c r="M494" i="12"/>
  <c r="AB490" i="12"/>
  <c r="AA490" i="12"/>
  <c r="Z490" i="12"/>
  <c r="I498" i="12"/>
  <c r="G495" i="12"/>
  <c r="AE495" i="12"/>
  <c r="F488" i="12"/>
  <c r="AA485" i="12"/>
  <c r="Z488" i="12"/>
  <c r="Y489" i="12"/>
  <c r="AI488" i="12"/>
  <c r="AJ494" i="12"/>
  <c r="AA488" i="12"/>
  <c r="C488" i="12"/>
  <c r="AC488" i="12"/>
  <c r="AC489" i="12"/>
  <c r="X498" i="12"/>
  <c r="Y499" i="12"/>
  <c r="AE499" i="12"/>
  <c r="AH499" i="12"/>
  <c r="AJ499" i="12"/>
  <c r="N495" i="12"/>
  <c r="H484" i="12"/>
  <c r="J490" i="12"/>
  <c r="I485" i="12"/>
  <c r="O493" i="12"/>
  <c r="O484" i="12"/>
  <c r="AG499" i="12"/>
  <c r="AD486" i="12"/>
  <c r="AB495" i="12"/>
  <c r="Q493" i="12"/>
  <c r="AC484" i="12"/>
  <c r="Y497" i="12"/>
  <c r="L498" i="12"/>
  <c r="F494" i="12"/>
  <c r="J494" i="12"/>
  <c r="Y494" i="12"/>
  <c r="N490" i="12"/>
  <c r="R488" i="12"/>
  <c r="K488" i="12"/>
  <c r="T488" i="12"/>
  <c r="AF489" i="12"/>
  <c r="AH489" i="12"/>
  <c r="U488" i="12"/>
  <c r="G498" i="12"/>
  <c r="AB498" i="12"/>
  <c r="K498" i="12"/>
  <c r="AH498" i="12"/>
  <c r="D498" i="12"/>
  <c r="Y498" i="12"/>
  <c r="U499" i="12"/>
  <c r="AB497" i="12"/>
  <c r="L495" i="12"/>
  <c r="H489" i="12"/>
  <c r="AF498" i="12"/>
  <c r="L484" i="12"/>
  <c r="R498" i="12"/>
  <c r="W498" i="12"/>
  <c r="E498" i="12"/>
  <c r="D494" i="12"/>
  <c r="AC494" i="12"/>
  <c r="C494" i="12"/>
  <c r="AE490" i="12"/>
  <c r="N487" i="12"/>
  <c r="K489" i="12"/>
  <c r="D488" i="12"/>
  <c r="E488" i="12"/>
  <c r="O488" i="12"/>
  <c r="J489" i="12"/>
  <c r="D489" i="12"/>
  <c r="AD485" i="12"/>
  <c r="AE485" i="12"/>
  <c r="AI498" i="12"/>
  <c r="H498" i="12"/>
  <c r="F498" i="12"/>
  <c r="AI499" i="12"/>
  <c r="E499" i="12"/>
  <c r="G493" i="12"/>
  <c r="J495" i="12"/>
  <c r="Y493" i="12"/>
  <c r="AB493" i="12"/>
  <c r="G497" i="12"/>
  <c r="M484" i="12"/>
  <c r="AC498" i="12"/>
  <c r="N498" i="12"/>
  <c r="H494" i="12"/>
  <c r="G494" i="12"/>
  <c r="P494" i="12"/>
  <c r="E490" i="12"/>
  <c r="AF490" i="12"/>
  <c r="W490" i="12"/>
  <c r="T487" i="12"/>
  <c r="M488" i="12"/>
  <c r="AF488" i="12"/>
  <c r="Z489" i="12"/>
  <c r="AI489" i="12"/>
  <c r="N489" i="12"/>
  <c r="X485" i="12"/>
  <c r="AB489" i="12"/>
  <c r="O489" i="12"/>
  <c r="AC485" i="12"/>
  <c r="P499" i="12"/>
  <c r="AC499" i="12"/>
  <c r="J498" i="12"/>
  <c r="AF499" i="12"/>
  <c r="F499" i="12"/>
  <c r="AF493" i="12"/>
  <c r="Q484" i="12"/>
  <c r="AG488" i="12"/>
  <c r="Z494" i="12"/>
  <c r="P490" i="12"/>
  <c r="I490" i="12"/>
  <c r="C490" i="12"/>
  <c r="AJ488" i="12"/>
  <c r="C489" i="12"/>
  <c r="W499" i="12"/>
  <c r="F486" i="12"/>
  <c r="X495" i="12"/>
  <c r="W493" i="12"/>
  <c r="AD493" i="12"/>
  <c r="M497" i="12"/>
  <c r="P484" i="12"/>
  <c r="X484" i="12"/>
  <c r="AA484" i="12"/>
  <c r="K494" i="12"/>
  <c r="W494" i="12"/>
  <c r="O494" i="12"/>
  <c r="S497" i="12"/>
  <c r="AI490" i="12"/>
  <c r="AG490" i="12"/>
  <c r="T490" i="12"/>
  <c r="AH490" i="12"/>
  <c r="M490" i="12"/>
  <c r="Y495" i="12"/>
  <c r="L489" i="12"/>
  <c r="I489" i="12"/>
  <c r="E485" i="12"/>
  <c r="AE494" i="12"/>
  <c r="AG489" i="12"/>
  <c r="AJ489" i="12"/>
  <c r="F485" i="12"/>
  <c r="X488" i="12"/>
  <c r="C485" i="12"/>
  <c r="J485" i="12"/>
  <c r="X499" i="12"/>
  <c r="V498" i="12"/>
  <c r="F493" i="12"/>
  <c r="AT7" i="12"/>
  <c r="AU7" i="12" s="1"/>
  <c r="AB488" i="12"/>
  <c r="S494" i="12"/>
  <c r="AA494" i="12"/>
  <c r="Y490" i="12"/>
  <c r="AT2" i="12"/>
  <c r="AU2" i="12" s="1"/>
  <c r="H283" i="12"/>
  <c r="H284" i="12" s="1"/>
  <c r="H285" i="12" s="1"/>
  <c r="V283" i="12"/>
  <c r="V284" i="12" s="1"/>
  <c r="V285" i="12" s="1"/>
  <c r="P283" i="12"/>
  <c r="P284" i="12" s="1"/>
  <c r="P285" i="12" s="1"/>
  <c r="AA283" i="12"/>
  <c r="AA284" i="12" s="1"/>
  <c r="AA285" i="12" s="1"/>
  <c r="N283" i="12"/>
  <c r="N284" i="12" s="1"/>
  <c r="N285" i="12" s="1"/>
  <c r="R283" i="12"/>
  <c r="R284" i="12" s="1"/>
  <c r="R285" i="12" s="1"/>
  <c r="L283" i="12"/>
  <c r="L284" i="12" s="1"/>
  <c r="L285" i="12" s="1"/>
  <c r="O283" i="12"/>
  <c r="O284" i="12" s="1"/>
  <c r="O285" i="12" s="1"/>
  <c r="Y283" i="12"/>
  <c r="Y284" i="12" s="1"/>
  <c r="Y285" i="12" s="1"/>
  <c r="U283" i="12"/>
  <c r="U284" i="12" s="1"/>
  <c r="U285" i="12" s="1"/>
  <c r="X283" i="12"/>
  <c r="X284" i="12" s="1"/>
  <c r="X285" i="12" s="1"/>
  <c r="AH283" i="12"/>
  <c r="AH284" i="12" s="1"/>
  <c r="AH285" i="12" s="1"/>
  <c r="G283" i="12"/>
  <c r="G284" i="12" s="1"/>
  <c r="G285" i="12" s="1"/>
  <c r="I499" i="12"/>
  <c r="C283" i="12"/>
  <c r="C284" i="12" s="1"/>
  <c r="C285" i="12" s="1"/>
  <c r="AD488" i="12"/>
  <c r="AJ283" i="12"/>
  <c r="AJ284" i="12" s="1"/>
  <c r="AJ285" i="12" s="1"/>
  <c r="AD283" i="12"/>
  <c r="AD284" i="12" s="1"/>
  <c r="AD285" i="12" s="1"/>
  <c r="AC283" i="12"/>
  <c r="AC284" i="12" s="1"/>
  <c r="AC285" i="12" s="1"/>
  <c r="AJ493" i="12"/>
  <c r="S283" i="12"/>
  <c r="S284" i="12" s="1"/>
  <c r="S285" i="12" s="1"/>
  <c r="T283" i="12"/>
  <c r="T284" i="12" s="1"/>
  <c r="T285" i="12" s="1"/>
  <c r="J283" i="12"/>
  <c r="J284" i="12" s="1"/>
  <c r="J285" i="12" s="1"/>
  <c r="AG283" i="12"/>
  <c r="AG284" i="12" s="1"/>
  <c r="AG285" i="12" s="1"/>
  <c r="E283" i="12"/>
  <c r="E284" i="12" s="1"/>
  <c r="E285" i="12" s="1"/>
  <c r="AB283" i="12"/>
  <c r="AB284" i="12" s="1"/>
  <c r="AB285" i="12" s="1"/>
  <c r="AF283" i="12"/>
  <c r="AF284" i="12" s="1"/>
  <c r="AF285" i="12" s="1"/>
  <c r="AT3" i="12"/>
  <c r="AU3" i="12" s="1"/>
  <c r="M283" i="12"/>
  <c r="M284" i="12" s="1"/>
  <c r="M285" i="12" s="1"/>
  <c r="Q494" i="12"/>
  <c r="AT13" i="12"/>
  <c r="AU13" i="12" s="1"/>
  <c r="AC495" i="12"/>
  <c r="W283" i="12"/>
  <c r="W284" i="12" s="1"/>
  <c r="W285" i="12" s="1"/>
  <c r="A323" i="12"/>
  <c r="Z283" i="12"/>
  <c r="Z284" i="12" s="1"/>
  <c r="Z285" i="12" s="1"/>
  <c r="AE283" i="12"/>
  <c r="AE284" i="12" s="1"/>
  <c r="AE285" i="12" s="1"/>
  <c r="K283" i="12"/>
  <c r="K284" i="12" s="1"/>
  <c r="K285" i="12" s="1"/>
  <c r="AI283" i="12"/>
  <c r="AI284" i="12" s="1"/>
  <c r="AI285" i="12" s="1"/>
  <c r="AT6" i="12"/>
  <c r="AU6" i="12" s="1"/>
  <c r="V494" i="12"/>
  <c r="AP19" i="16"/>
  <c r="D59" i="16"/>
  <c r="E60" i="16"/>
  <c r="AT4" i="12"/>
  <c r="AU4" i="12" s="1"/>
  <c r="X494" i="12"/>
  <c r="AT14" i="12"/>
  <c r="AU14" i="12" s="1"/>
  <c r="AT16" i="12"/>
  <c r="AU16" i="12" s="1"/>
  <c r="B54" i="12"/>
  <c r="B94" i="12" s="1"/>
  <c r="B134" i="12" s="1"/>
  <c r="B174" i="12" s="1"/>
  <c r="B214" i="12" s="1"/>
  <c r="B254" i="12" s="1"/>
  <c r="B294" i="12" s="1"/>
  <c r="B334" i="12" s="1"/>
  <c r="B374" i="12" s="1"/>
  <c r="B414" i="12" s="1"/>
  <c r="B454" i="12" s="1"/>
  <c r="B494" i="12" s="1"/>
  <c r="B534" i="12" s="1"/>
  <c r="AT8" i="12"/>
  <c r="AU8" i="12" s="1"/>
  <c r="U490" i="12"/>
  <c r="AO20" i="16"/>
  <c r="AP20" i="16"/>
  <c r="AQ9" i="16"/>
  <c r="AP9" i="16"/>
  <c r="AP10" i="16"/>
  <c r="AT17" i="12"/>
  <c r="AU17" i="12" s="1"/>
  <c r="AT9" i="12"/>
  <c r="AU9" i="12" s="1"/>
  <c r="AT20" i="12"/>
  <c r="AU20" i="12" s="1"/>
  <c r="V497" i="12"/>
  <c r="AJ484" i="12"/>
  <c r="C484" i="12"/>
  <c r="N484" i="12"/>
  <c r="U484" i="12"/>
  <c r="Z484" i="12"/>
  <c r="G484" i="12"/>
  <c r="AO3" i="16"/>
  <c r="AP3" i="16"/>
  <c r="AQ15" i="16"/>
  <c r="AO8" i="16"/>
  <c r="AQ12" i="16"/>
  <c r="AO4" i="16"/>
  <c r="AT18" i="12"/>
  <c r="AU18" i="12" s="1"/>
  <c r="AO11" i="16"/>
  <c r="AN31" i="12"/>
  <c r="B72" i="12"/>
  <c r="B112" i="12" s="1"/>
  <c r="B152" i="12" s="1"/>
  <c r="B192" i="12" s="1"/>
  <c r="B232" i="12" s="1"/>
  <c r="B272" i="12" s="1"/>
  <c r="B312" i="12" s="1"/>
  <c r="B352" i="12" s="1"/>
  <c r="B392" i="12" s="1"/>
  <c r="B432" i="12" s="1"/>
  <c r="B472" i="12" s="1"/>
  <c r="B512" i="12" s="1"/>
  <c r="B552" i="12" s="1"/>
  <c r="AN21" i="12"/>
  <c r="AE24" i="1" s="1"/>
  <c r="B62" i="12"/>
  <c r="B102" i="12" s="1"/>
  <c r="B142" i="12" s="1"/>
  <c r="B182" i="12" s="1"/>
  <c r="B222" i="12" s="1"/>
  <c r="B262" i="12" s="1"/>
  <c r="B302" i="12" s="1"/>
  <c r="B342" i="12" s="1"/>
  <c r="B382" i="12" s="1"/>
  <c r="B422" i="12" s="1"/>
  <c r="B462" i="12" s="1"/>
  <c r="B502" i="12" s="1"/>
  <c r="B542" i="12" s="1"/>
  <c r="B50" i="12"/>
  <c r="B90" i="12" s="1"/>
  <c r="B130" i="12" s="1"/>
  <c r="B170" i="12" s="1"/>
  <c r="B210" i="12" s="1"/>
  <c r="B250" i="12" s="1"/>
  <c r="B290" i="12" s="1"/>
  <c r="B330" i="12" s="1"/>
  <c r="B370" i="12" s="1"/>
  <c r="B410" i="12" s="1"/>
  <c r="B450" i="12" s="1"/>
  <c r="B490" i="12" s="1"/>
  <c r="B530" i="12" s="1"/>
  <c r="AN9" i="12"/>
  <c r="AE23" i="1" s="1"/>
  <c r="AP12" i="16"/>
  <c r="AN26" i="12"/>
  <c r="B67" i="12"/>
  <c r="B107" i="12" s="1"/>
  <c r="B147" i="12" s="1"/>
  <c r="B187" i="12" s="1"/>
  <c r="B227" i="12" s="1"/>
  <c r="B267" i="12" s="1"/>
  <c r="B307" i="12" s="1"/>
  <c r="B347" i="12" s="1"/>
  <c r="B387" i="12" s="1"/>
  <c r="B427" i="12" s="1"/>
  <c r="B467" i="12" s="1"/>
  <c r="B507" i="12" s="1"/>
  <c r="B547" i="12" s="1"/>
  <c r="AN6" i="12"/>
  <c r="S23" i="1" s="1"/>
  <c r="B47" i="12"/>
  <c r="B87" i="12" s="1"/>
  <c r="B127" i="12" s="1"/>
  <c r="B167" i="12" s="1"/>
  <c r="B207" i="12" s="1"/>
  <c r="B247" i="12" s="1"/>
  <c r="B287" i="12" s="1"/>
  <c r="B327" i="12" s="1"/>
  <c r="B367" i="12" s="1"/>
  <c r="B407" i="12" s="1"/>
  <c r="B447" i="12" s="1"/>
  <c r="B487" i="12" s="1"/>
  <c r="B527" i="12" s="1"/>
  <c r="AN29" i="12"/>
  <c r="B70" i="12"/>
  <c r="B110" i="12" s="1"/>
  <c r="B150" i="12" s="1"/>
  <c r="B190" i="12" s="1"/>
  <c r="B230" i="12" s="1"/>
  <c r="B270" i="12" s="1"/>
  <c r="B310" i="12" s="1"/>
  <c r="B350" i="12" s="1"/>
  <c r="B390" i="12" s="1"/>
  <c r="B430" i="12" s="1"/>
  <c r="B470" i="12" s="1"/>
  <c r="B510" i="12" s="1"/>
  <c r="B550" i="12" s="1"/>
  <c r="AN38" i="12"/>
  <c r="B78" i="12"/>
  <c r="B118" i="12" s="1"/>
  <c r="B158" i="12" s="1"/>
  <c r="B198" i="12" s="1"/>
  <c r="B238" i="12" s="1"/>
  <c r="B278" i="12" s="1"/>
  <c r="B318" i="12" s="1"/>
  <c r="B358" i="12" s="1"/>
  <c r="B398" i="12" s="1"/>
  <c r="B438" i="12" s="1"/>
  <c r="B478" i="12" s="1"/>
  <c r="B518" i="12" s="1"/>
  <c r="B558" i="12" s="1"/>
  <c r="B58" i="12"/>
  <c r="B98" i="12" s="1"/>
  <c r="B138" i="12" s="1"/>
  <c r="B178" i="12" s="1"/>
  <c r="B218" i="12" s="1"/>
  <c r="B258" i="12" s="1"/>
  <c r="B298" i="12" s="1"/>
  <c r="B338" i="12" s="1"/>
  <c r="B378" i="12" s="1"/>
  <c r="B418" i="12" s="1"/>
  <c r="B458" i="12" s="1"/>
  <c r="B498" i="12" s="1"/>
  <c r="B538" i="12" s="1"/>
  <c r="AN17" i="12"/>
  <c r="O24" i="1" s="1"/>
  <c r="O498" i="12"/>
  <c r="AE498" i="12"/>
  <c r="AT11" i="12"/>
  <c r="AU11" i="12" s="1"/>
  <c r="AP6" i="16"/>
  <c r="AR2" i="12"/>
  <c r="AQ2" i="12"/>
  <c r="AN32" i="12"/>
  <c r="B73" i="12"/>
  <c r="B113" i="12" s="1"/>
  <c r="B153" i="12" s="1"/>
  <c r="B193" i="12" s="1"/>
  <c r="B233" i="12" s="1"/>
  <c r="B273" i="12" s="1"/>
  <c r="B313" i="12" s="1"/>
  <c r="B353" i="12" s="1"/>
  <c r="B393" i="12" s="1"/>
  <c r="B433" i="12" s="1"/>
  <c r="B473" i="12" s="1"/>
  <c r="B513" i="12" s="1"/>
  <c r="B553" i="12" s="1"/>
  <c r="AH493" i="12"/>
  <c r="B63" i="12"/>
  <c r="B103" i="12" s="1"/>
  <c r="B143" i="12" s="1"/>
  <c r="B183" i="12" s="1"/>
  <c r="B223" i="12" s="1"/>
  <c r="B263" i="12" s="1"/>
  <c r="B303" i="12" s="1"/>
  <c r="B343" i="12" s="1"/>
  <c r="B383" i="12" s="1"/>
  <c r="B423" i="12" s="1"/>
  <c r="B463" i="12" s="1"/>
  <c r="B503" i="12" s="1"/>
  <c r="B543" i="12" s="1"/>
  <c r="AN22" i="12"/>
  <c r="AI24" i="1" s="1"/>
  <c r="AN33" i="12"/>
  <c r="B74" i="12"/>
  <c r="B114" i="12" s="1"/>
  <c r="B154" i="12" s="1"/>
  <c r="B194" i="12" s="1"/>
  <c r="B234" i="12" s="1"/>
  <c r="B274" i="12" s="1"/>
  <c r="B314" i="12" s="1"/>
  <c r="B354" i="12" s="1"/>
  <c r="B394" i="12" s="1"/>
  <c r="B434" i="12" s="1"/>
  <c r="B474" i="12" s="1"/>
  <c r="B514" i="12" s="1"/>
  <c r="B554" i="12" s="1"/>
  <c r="B66" i="12"/>
  <c r="B106" i="12" s="1"/>
  <c r="B146" i="12" s="1"/>
  <c r="B186" i="12" s="1"/>
  <c r="B226" i="12" s="1"/>
  <c r="B266" i="12" s="1"/>
  <c r="B306" i="12" s="1"/>
  <c r="B346" i="12" s="1"/>
  <c r="B386" i="12" s="1"/>
  <c r="B426" i="12" s="1"/>
  <c r="B466" i="12" s="1"/>
  <c r="B506" i="12" s="1"/>
  <c r="B546" i="12" s="1"/>
  <c r="AN25" i="12"/>
  <c r="AU24" i="1" s="1"/>
  <c r="AP15" i="16"/>
  <c r="B48" i="12"/>
  <c r="B88" i="12" s="1"/>
  <c r="B128" i="12" s="1"/>
  <c r="B168" i="12" s="1"/>
  <c r="B208" i="12" s="1"/>
  <c r="B248" i="12" s="1"/>
  <c r="B288" i="12" s="1"/>
  <c r="B328" i="12" s="1"/>
  <c r="B368" i="12" s="1"/>
  <c r="B408" i="12" s="1"/>
  <c r="B448" i="12" s="1"/>
  <c r="B488" i="12" s="1"/>
  <c r="B528" i="12" s="1"/>
  <c r="AN7" i="12"/>
  <c r="B49" i="12"/>
  <c r="B89" i="12" s="1"/>
  <c r="B129" i="12" s="1"/>
  <c r="B169" i="12" s="1"/>
  <c r="B209" i="12" s="1"/>
  <c r="B249" i="12" s="1"/>
  <c r="B289" i="12" s="1"/>
  <c r="B329" i="12" s="1"/>
  <c r="B369" i="12" s="1"/>
  <c r="B409" i="12" s="1"/>
  <c r="B449" i="12" s="1"/>
  <c r="B489" i="12" s="1"/>
  <c r="B529" i="12" s="1"/>
  <c r="AN8" i="12"/>
  <c r="AN35" i="12"/>
  <c r="B76" i="12"/>
  <c r="B116" i="12" s="1"/>
  <c r="B156" i="12" s="1"/>
  <c r="B196" i="12" s="1"/>
  <c r="B236" i="12" s="1"/>
  <c r="B276" i="12" s="1"/>
  <c r="B316" i="12" s="1"/>
  <c r="B356" i="12" s="1"/>
  <c r="B396" i="12" s="1"/>
  <c r="B436" i="12" s="1"/>
  <c r="B476" i="12" s="1"/>
  <c r="B516" i="12" s="1"/>
  <c r="B556" i="12" s="1"/>
  <c r="AN4" i="12"/>
  <c r="B45" i="12"/>
  <c r="B85" i="12" s="1"/>
  <c r="B125" i="12" s="1"/>
  <c r="B165" i="12" s="1"/>
  <c r="B205" i="12" s="1"/>
  <c r="B245" i="12" s="1"/>
  <c r="B285" i="12" s="1"/>
  <c r="B325" i="12" s="1"/>
  <c r="B365" i="12" s="1"/>
  <c r="B405" i="12" s="1"/>
  <c r="B445" i="12" s="1"/>
  <c r="B485" i="12" s="1"/>
  <c r="B525" i="12" s="1"/>
  <c r="B60" i="12"/>
  <c r="B100" i="12" s="1"/>
  <c r="B140" i="12" s="1"/>
  <c r="B180" i="12" s="1"/>
  <c r="B220" i="12" s="1"/>
  <c r="B260" i="12" s="1"/>
  <c r="B300" i="12" s="1"/>
  <c r="B340" i="12" s="1"/>
  <c r="B380" i="12" s="1"/>
  <c r="B420" i="12" s="1"/>
  <c r="B460" i="12" s="1"/>
  <c r="B500" i="12" s="1"/>
  <c r="B540" i="12" s="1"/>
  <c r="AN19" i="12"/>
  <c r="W24" i="1" s="1"/>
  <c r="AJ485" i="12"/>
  <c r="AN30" i="12"/>
  <c r="B71" i="12"/>
  <c r="B111" i="12" s="1"/>
  <c r="B151" i="12" s="1"/>
  <c r="B191" i="12" s="1"/>
  <c r="B231" i="12" s="1"/>
  <c r="B271" i="12" s="1"/>
  <c r="B311" i="12" s="1"/>
  <c r="B351" i="12" s="1"/>
  <c r="B391" i="12" s="1"/>
  <c r="B431" i="12" s="1"/>
  <c r="B471" i="12" s="1"/>
  <c r="B511" i="12" s="1"/>
  <c r="B551" i="12" s="1"/>
  <c r="AP11" i="16"/>
  <c r="D499" i="12"/>
  <c r="B77" i="12"/>
  <c r="B117" i="12" s="1"/>
  <c r="B157" i="12" s="1"/>
  <c r="B197" i="12" s="1"/>
  <c r="B237" i="12" s="1"/>
  <c r="B277" i="12" s="1"/>
  <c r="B317" i="12" s="1"/>
  <c r="B357" i="12" s="1"/>
  <c r="B397" i="12" s="1"/>
  <c r="B437" i="12" s="1"/>
  <c r="B477" i="12" s="1"/>
  <c r="B517" i="12" s="1"/>
  <c r="B557" i="12" s="1"/>
  <c r="AN36" i="12"/>
  <c r="AN24" i="12"/>
  <c r="AQ24" i="1" s="1"/>
  <c r="B65" i="12"/>
  <c r="B105" i="12" s="1"/>
  <c r="B145" i="12" s="1"/>
  <c r="B185" i="12" s="1"/>
  <c r="B225" i="12" s="1"/>
  <c r="B265" i="12" s="1"/>
  <c r="B305" i="12" s="1"/>
  <c r="B345" i="12" s="1"/>
  <c r="B385" i="12" s="1"/>
  <c r="B425" i="12" s="1"/>
  <c r="B465" i="12" s="1"/>
  <c r="B505" i="12" s="1"/>
  <c r="B545" i="12" s="1"/>
  <c r="B59" i="12"/>
  <c r="B99" i="12" s="1"/>
  <c r="B139" i="12" s="1"/>
  <c r="B179" i="12" s="1"/>
  <c r="B219" i="12" s="1"/>
  <c r="B259" i="12" s="1"/>
  <c r="B299" i="12" s="1"/>
  <c r="B339" i="12" s="1"/>
  <c r="B379" i="12" s="1"/>
  <c r="B419" i="12" s="1"/>
  <c r="B459" i="12" s="1"/>
  <c r="B499" i="12" s="1"/>
  <c r="B539" i="12" s="1"/>
  <c r="AN18" i="12"/>
  <c r="S24" i="1" s="1"/>
  <c r="B56" i="12"/>
  <c r="B96" i="12" s="1"/>
  <c r="B136" i="12" s="1"/>
  <c r="B176" i="12" s="1"/>
  <c r="B216" i="12" s="1"/>
  <c r="B256" i="12" s="1"/>
  <c r="B296" i="12" s="1"/>
  <c r="B336" i="12" s="1"/>
  <c r="B376" i="12" s="1"/>
  <c r="B416" i="12" s="1"/>
  <c r="B456" i="12" s="1"/>
  <c r="B496" i="12" s="1"/>
  <c r="B536" i="12" s="1"/>
  <c r="AN15" i="12"/>
  <c r="G24" i="1" s="1"/>
  <c r="B69" i="12"/>
  <c r="B109" i="12" s="1"/>
  <c r="B149" i="12" s="1"/>
  <c r="B189" i="12" s="1"/>
  <c r="B229" i="12" s="1"/>
  <c r="B269" i="12" s="1"/>
  <c r="B309" i="12" s="1"/>
  <c r="B349" i="12" s="1"/>
  <c r="B389" i="12" s="1"/>
  <c r="B429" i="12" s="1"/>
  <c r="B469" i="12" s="1"/>
  <c r="B509" i="12" s="1"/>
  <c r="B549" i="12" s="1"/>
  <c r="AN28" i="12"/>
  <c r="C496" i="12"/>
  <c r="E56" i="16"/>
  <c r="AP16" i="16"/>
  <c r="E57" i="16"/>
  <c r="AP17" i="16"/>
  <c r="E59" i="16"/>
  <c r="AO18" i="16"/>
  <c r="AP18" i="16"/>
  <c r="AT12" i="12"/>
  <c r="AU12" i="12" s="1"/>
  <c r="AD501" i="12"/>
  <c r="AE501" i="12"/>
  <c r="AB501" i="12"/>
  <c r="I501" i="12"/>
  <c r="AA501" i="12"/>
  <c r="T501" i="12"/>
  <c r="Q497" i="12"/>
  <c r="AD497" i="12"/>
  <c r="P497" i="12"/>
  <c r="X497" i="12"/>
  <c r="W497" i="12"/>
  <c r="U495" i="12"/>
  <c r="U492" i="12"/>
  <c r="E492" i="12"/>
  <c r="F492" i="12"/>
  <c r="AI492" i="12"/>
  <c r="Q492" i="12"/>
  <c r="AE492" i="12"/>
  <c r="D501" i="12"/>
  <c r="W501" i="12"/>
  <c r="R501" i="12"/>
  <c r="AG501" i="12"/>
  <c r="S501" i="12"/>
  <c r="N501" i="12"/>
  <c r="C497" i="12"/>
  <c r="J497" i="12"/>
  <c r="C495" i="12"/>
  <c r="V492" i="12"/>
  <c r="AC492" i="12"/>
  <c r="AJ492" i="12"/>
  <c r="AA492" i="12"/>
  <c r="H492" i="12"/>
  <c r="Y492" i="12"/>
  <c r="S493" i="12"/>
  <c r="AC501" i="12"/>
  <c r="O501" i="12"/>
  <c r="J501" i="12"/>
  <c r="X501" i="12"/>
  <c r="L501" i="12"/>
  <c r="H501" i="12"/>
  <c r="R497" i="12"/>
  <c r="AH497" i="12"/>
  <c r="AG497" i="12"/>
  <c r="E497" i="12"/>
  <c r="T495" i="12"/>
  <c r="D492" i="12"/>
  <c r="AB492" i="12"/>
  <c r="R492" i="12"/>
  <c r="AD492" i="12"/>
  <c r="S492" i="12"/>
  <c r="AN12" i="12"/>
  <c r="B53" i="12"/>
  <c r="B93" i="12" s="1"/>
  <c r="B133" i="12" s="1"/>
  <c r="B173" i="12" s="1"/>
  <c r="B213" i="12" s="1"/>
  <c r="B253" i="12" s="1"/>
  <c r="B293" i="12" s="1"/>
  <c r="B333" i="12" s="1"/>
  <c r="B373" i="12" s="1"/>
  <c r="B413" i="12" s="1"/>
  <c r="B453" i="12" s="1"/>
  <c r="B493" i="12" s="1"/>
  <c r="B533" i="12" s="1"/>
  <c r="M501" i="12"/>
  <c r="C501" i="12"/>
  <c r="F501" i="12"/>
  <c r="AI501" i="12"/>
  <c r="P501" i="12"/>
  <c r="E501" i="12"/>
  <c r="F497" i="12"/>
  <c r="T497" i="12"/>
  <c r="Z497" i="12"/>
  <c r="H497" i="12"/>
  <c r="AF495" i="12"/>
  <c r="N492" i="12"/>
  <c r="AG492" i="12"/>
  <c r="T492" i="12"/>
  <c r="J492" i="12"/>
  <c r="W492" i="12"/>
  <c r="M492" i="12"/>
  <c r="E484" i="12"/>
  <c r="T493" i="12"/>
  <c r="B75" i="12"/>
  <c r="B115" i="12" s="1"/>
  <c r="B155" i="12" s="1"/>
  <c r="B195" i="12" s="1"/>
  <c r="B235" i="12" s="1"/>
  <c r="B275" i="12" s="1"/>
  <c r="B315" i="12" s="1"/>
  <c r="B355" i="12" s="1"/>
  <c r="B395" i="12" s="1"/>
  <c r="B435" i="12" s="1"/>
  <c r="B475" i="12" s="1"/>
  <c r="B515" i="12" s="1"/>
  <c r="B555" i="12" s="1"/>
  <c r="AN34" i="12"/>
  <c r="U501" i="12"/>
  <c r="B61" i="12"/>
  <c r="B101" i="12" s="1"/>
  <c r="B141" i="12" s="1"/>
  <c r="B181" i="12" s="1"/>
  <c r="B221" i="12" s="1"/>
  <c r="B261" i="12" s="1"/>
  <c r="B301" i="12" s="1"/>
  <c r="B341" i="12" s="1"/>
  <c r="B381" i="12" s="1"/>
  <c r="B421" i="12" s="1"/>
  <c r="B461" i="12" s="1"/>
  <c r="B501" i="12" s="1"/>
  <c r="B541" i="12" s="1"/>
  <c r="AN20" i="12"/>
  <c r="AA24" i="1" s="1"/>
  <c r="Y501" i="12"/>
  <c r="G501" i="12"/>
  <c r="AF501" i="12"/>
  <c r="D497" i="12"/>
  <c r="I497" i="12"/>
  <c r="L497" i="12"/>
  <c r="K497" i="12"/>
  <c r="B55" i="12"/>
  <c r="B95" i="12" s="1"/>
  <c r="B135" i="12" s="1"/>
  <c r="B175" i="12" s="1"/>
  <c r="B215" i="12" s="1"/>
  <c r="B255" i="12" s="1"/>
  <c r="B295" i="12" s="1"/>
  <c r="B335" i="12" s="1"/>
  <c r="B375" i="12" s="1"/>
  <c r="B415" i="12" s="1"/>
  <c r="B455" i="12" s="1"/>
  <c r="B495" i="12" s="1"/>
  <c r="B535" i="12" s="1"/>
  <c r="AN14" i="12"/>
  <c r="C24" i="1" s="1"/>
  <c r="O495" i="12"/>
  <c r="L492" i="12"/>
  <c r="X492" i="12"/>
  <c r="K492" i="12"/>
  <c r="AH492" i="12"/>
  <c r="P492" i="12"/>
  <c r="G492" i="12"/>
  <c r="AI484" i="12"/>
  <c r="W484" i="12"/>
  <c r="L493" i="12"/>
  <c r="K501" i="12"/>
  <c r="V501" i="12"/>
  <c r="AJ501" i="12"/>
  <c r="Q501" i="12"/>
  <c r="AH501" i="12"/>
  <c r="Z501" i="12"/>
  <c r="B57" i="12"/>
  <c r="B97" i="12" s="1"/>
  <c r="B137" i="12" s="1"/>
  <c r="B177" i="12" s="1"/>
  <c r="B217" i="12" s="1"/>
  <c r="B257" i="12" s="1"/>
  <c r="B297" i="12" s="1"/>
  <c r="B337" i="12" s="1"/>
  <c r="B377" i="12" s="1"/>
  <c r="B417" i="12" s="1"/>
  <c r="B457" i="12" s="1"/>
  <c r="B497" i="12" s="1"/>
  <c r="B537" i="12" s="1"/>
  <c r="AN16" i="12"/>
  <c r="K24" i="1" s="1"/>
  <c r="AA497" i="12"/>
  <c r="AF497" i="12"/>
  <c r="B64" i="12"/>
  <c r="B104" i="12" s="1"/>
  <c r="B144" i="12" s="1"/>
  <c r="B184" i="12" s="1"/>
  <c r="B224" i="12" s="1"/>
  <c r="B264" i="12" s="1"/>
  <c r="B304" i="12" s="1"/>
  <c r="B344" i="12" s="1"/>
  <c r="B384" i="12" s="1"/>
  <c r="B424" i="12" s="1"/>
  <c r="B464" i="12" s="1"/>
  <c r="B504" i="12" s="1"/>
  <c r="B544" i="12" s="1"/>
  <c r="AN23" i="12"/>
  <c r="AM24" i="1" s="1"/>
  <c r="AG495" i="12"/>
  <c r="B52" i="12"/>
  <c r="B92" i="12" s="1"/>
  <c r="B132" i="12" s="1"/>
  <c r="B172" i="12" s="1"/>
  <c r="B212" i="12" s="1"/>
  <c r="B252" i="12" s="1"/>
  <c r="B292" i="12" s="1"/>
  <c r="B332" i="12" s="1"/>
  <c r="B372" i="12" s="1"/>
  <c r="B412" i="12" s="1"/>
  <c r="B452" i="12" s="1"/>
  <c r="B492" i="12" s="1"/>
  <c r="B532" i="12" s="1"/>
  <c r="AN11" i="12"/>
  <c r="AM23" i="1" s="1"/>
  <c r="AF492" i="12"/>
  <c r="O492" i="12"/>
  <c r="C492" i="12"/>
  <c r="Z492" i="12"/>
  <c r="I492" i="12"/>
  <c r="B44" i="12"/>
  <c r="B84" i="12" s="1"/>
  <c r="B124" i="12" s="1"/>
  <c r="B164" i="12" s="1"/>
  <c r="B204" i="12" s="1"/>
  <c r="B244" i="12" s="1"/>
  <c r="B284" i="12" s="1"/>
  <c r="B324" i="12" s="1"/>
  <c r="B364" i="12" s="1"/>
  <c r="B404" i="12" s="1"/>
  <c r="B444" i="12" s="1"/>
  <c r="B484" i="12" s="1"/>
  <c r="B524" i="12" s="1"/>
  <c r="AN3" i="12"/>
  <c r="G23" i="1" s="1"/>
  <c r="B46" i="12"/>
  <c r="B86" i="12" s="1"/>
  <c r="B126" i="12" s="1"/>
  <c r="B166" i="12" s="1"/>
  <c r="B206" i="12" s="1"/>
  <c r="B246" i="12" s="1"/>
  <c r="B286" i="12" s="1"/>
  <c r="B326" i="12" s="1"/>
  <c r="B366" i="12" s="1"/>
  <c r="B406" i="12" s="1"/>
  <c r="B446" i="12" s="1"/>
  <c r="B486" i="12" s="1"/>
  <c r="B526" i="12" s="1"/>
  <c r="AN5" i="12"/>
  <c r="O23" i="1" s="1"/>
  <c r="AS13" i="12"/>
  <c r="AQ13" i="12"/>
  <c r="AR13" i="12"/>
  <c r="Y486" i="12"/>
  <c r="H486" i="12"/>
  <c r="E486" i="12"/>
  <c r="D486" i="12"/>
  <c r="C486" i="12"/>
  <c r="A86" i="12"/>
  <c r="A126" i="12" s="1"/>
  <c r="A166" i="12" s="1"/>
  <c r="A206" i="12" s="1"/>
  <c r="A246" i="12" s="1"/>
  <c r="A286" i="12" s="1"/>
  <c r="A326" i="12" s="1"/>
  <c r="A366" i="12" s="1"/>
  <c r="A406" i="12" s="1"/>
  <c r="A446" i="12" s="1"/>
  <c r="A486" i="12" s="1"/>
  <c r="A526" i="12" s="1"/>
  <c r="AE486" i="12"/>
  <c r="AJ486" i="12"/>
  <c r="AI486" i="12"/>
  <c r="AH486" i="12"/>
  <c r="AG486" i="12"/>
  <c r="S486" i="12"/>
  <c r="AF486" i="12"/>
  <c r="AC486" i="12"/>
  <c r="AB486" i="12"/>
  <c r="AA486" i="12"/>
  <c r="M486" i="12"/>
  <c r="Z486" i="12"/>
  <c r="W486" i="12"/>
  <c r="V486" i="12"/>
  <c r="U486" i="12"/>
  <c r="AP5" i="12"/>
  <c r="U46" i="12" s="1"/>
  <c r="AT5" i="12"/>
  <c r="AU5" i="12" s="1"/>
  <c r="T486" i="12"/>
  <c r="R486" i="12"/>
  <c r="Q486" i="12"/>
  <c r="P486" i="12"/>
  <c r="O486" i="12"/>
  <c r="G486" i="12"/>
  <c r="N486" i="12"/>
  <c r="K486" i="12"/>
  <c r="J486" i="12"/>
  <c r="I486" i="12"/>
  <c r="K25" i="1" l="1"/>
  <c r="AR28" i="12"/>
  <c r="AS28" i="12"/>
  <c r="AQ28" i="12"/>
  <c r="S25" i="1"/>
  <c r="AS30" i="12"/>
  <c r="AQ30" i="12"/>
  <c r="AR30" i="12"/>
  <c r="AQ25" i="1"/>
  <c r="AQ36" i="12"/>
  <c r="AS36" i="12"/>
  <c r="AR36" i="12"/>
  <c r="AM25" i="1"/>
  <c r="AS35" i="12"/>
  <c r="AR35" i="12"/>
  <c r="AQ35" i="12"/>
  <c r="C26" i="1"/>
  <c r="AQ38" i="12"/>
  <c r="AR38" i="12"/>
  <c r="AS38" i="12"/>
  <c r="C25" i="1"/>
  <c r="AS26" i="12"/>
  <c r="AQ26" i="12"/>
  <c r="AR26" i="12"/>
  <c r="W25" i="1"/>
  <c r="AQ31" i="12"/>
  <c r="AS31" i="12"/>
  <c r="AR31" i="12"/>
  <c r="AI25" i="1"/>
  <c r="AS34" i="12"/>
  <c r="AQ34" i="12"/>
  <c r="AR34" i="12"/>
  <c r="AA25" i="1"/>
  <c r="AS32" i="12"/>
  <c r="AR32" i="12"/>
  <c r="AQ32" i="12"/>
  <c r="O25" i="1"/>
  <c r="AS29" i="12"/>
  <c r="AR29" i="12"/>
  <c r="AQ29" i="12"/>
  <c r="AE25" i="1"/>
  <c r="AS33" i="12"/>
  <c r="AR33" i="12"/>
  <c r="AQ33" i="12"/>
  <c r="AS8" i="12"/>
  <c r="AA23" i="1"/>
  <c r="AQ7" i="12"/>
  <c r="W23" i="1"/>
  <c r="AS12" i="12"/>
  <c r="AQ23" i="1"/>
  <c r="AR4" i="12"/>
  <c r="K23" i="1"/>
  <c r="Y123" i="12"/>
  <c r="Y124" i="12" s="1"/>
  <c r="Y125" i="12" s="1"/>
  <c r="F39" i="14"/>
  <c r="E40" i="14"/>
  <c r="E41" i="14"/>
  <c r="E42" i="14" s="1"/>
  <c r="AQ25" i="12"/>
  <c r="AR25" i="12"/>
  <c r="AS25" i="12"/>
  <c r="AR24" i="12"/>
  <c r="AQ24" i="12"/>
  <c r="AS24" i="12"/>
  <c r="AE84" i="12"/>
  <c r="AE85" i="12" s="1"/>
  <c r="AQ21" i="12"/>
  <c r="AR21" i="12"/>
  <c r="AS21" i="12"/>
  <c r="AR23" i="12"/>
  <c r="AS23" i="12"/>
  <c r="AQ23" i="12"/>
  <c r="AQ22" i="12"/>
  <c r="AR22" i="12"/>
  <c r="AS22" i="12"/>
  <c r="E48" i="16"/>
  <c r="F8" i="16"/>
  <c r="E52" i="16"/>
  <c r="F12" i="16"/>
  <c r="D54" i="16"/>
  <c r="E14" i="16"/>
  <c r="AP14" i="16"/>
  <c r="D53" i="16"/>
  <c r="E13" i="16"/>
  <c r="E49" i="16"/>
  <c r="F9" i="16"/>
  <c r="E51" i="16"/>
  <c r="F11" i="16"/>
  <c r="E44" i="16"/>
  <c r="F4" i="16"/>
  <c r="E46" i="16"/>
  <c r="F6" i="16"/>
  <c r="E3" i="16"/>
  <c r="AQ3" i="16" s="1"/>
  <c r="D42" i="16"/>
  <c r="E2" i="16"/>
  <c r="AP2" i="16"/>
  <c r="Y83" i="12"/>
  <c r="Y84" i="12" s="1"/>
  <c r="Y85" i="12" s="1"/>
  <c r="Y203" i="12"/>
  <c r="Y204" i="12" s="1"/>
  <c r="Y205" i="12" s="1"/>
  <c r="O55" i="16"/>
  <c r="P15" i="16"/>
  <c r="E50" i="16"/>
  <c r="F10" i="16"/>
  <c r="E47" i="16"/>
  <c r="F7" i="16"/>
  <c r="AE243" i="12"/>
  <c r="AE244" i="12" s="1"/>
  <c r="AE245" i="12" s="1"/>
  <c r="AE163" i="12"/>
  <c r="AE164" i="12" s="1"/>
  <c r="AE165" i="12" s="1"/>
  <c r="AE203" i="12"/>
  <c r="AE204" i="12" s="1"/>
  <c r="AE205" i="12" s="1"/>
  <c r="AE123" i="12"/>
  <c r="AE124" i="12" s="1"/>
  <c r="AE125" i="12" s="1"/>
  <c r="T203" i="12"/>
  <c r="T204" i="12" s="1"/>
  <c r="T205" i="12" s="1"/>
  <c r="D83" i="12"/>
  <c r="D84" i="12" s="1"/>
  <c r="D85" i="12" s="1"/>
  <c r="D163" i="12"/>
  <c r="D164" i="12" s="1"/>
  <c r="D165" i="12" s="1"/>
  <c r="F46" i="12"/>
  <c r="K46" i="12"/>
  <c r="AD46" i="12"/>
  <c r="Z46" i="12"/>
  <c r="Q46" i="12"/>
  <c r="G83" i="12"/>
  <c r="G84" i="12" s="1"/>
  <c r="G85" i="12" s="1"/>
  <c r="AE46" i="12"/>
  <c r="E46" i="12"/>
  <c r="J46" i="12"/>
  <c r="AA46" i="12"/>
  <c r="P46" i="12"/>
  <c r="W46" i="12"/>
  <c r="Z203" i="12"/>
  <c r="Z204" i="12" s="1"/>
  <c r="Z205" i="12" s="1"/>
  <c r="AG46" i="12"/>
  <c r="H46" i="12"/>
  <c r="N46" i="12"/>
  <c r="R46" i="12"/>
  <c r="AH46" i="12"/>
  <c r="Y46" i="12"/>
  <c r="I46" i="12"/>
  <c r="V46" i="12"/>
  <c r="T46" i="12"/>
  <c r="AC46" i="12"/>
  <c r="AB46" i="12"/>
  <c r="AI46" i="12"/>
  <c r="C46" i="12"/>
  <c r="L46" i="12"/>
  <c r="X46" i="12"/>
  <c r="AF46" i="12"/>
  <c r="S46" i="12"/>
  <c r="AJ46" i="12"/>
  <c r="D46" i="12"/>
  <c r="G46" i="12"/>
  <c r="M46" i="12"/>
  <c r="O46" i="12"/>
  <c r="D203" i="12"/>
  <c r="D204" i="12" s="1"/>
  <c r="D205" i="12" s="1"/>
  <c r="V83" i="12"/>
  <c r="V84" i="12" s="1"/>
  <c r="V85" i="12" s="1"/>
  <c r="D243" i="12"/>
  <c r="D244" i="12" s="1"/>
  <c r="D245" i="12" s="1"/>
  <c r="V123" i="12"/>
  <c r="F203" i="12"/>
  <c r="F204" i="12" s="1"/>
  <c r="F205" i="12" s="1"/>
  <c r="C123" i="12"/>
  <c r="C124" i="12" s="1"/>
  <c r="C125" i="12" s="1"/>
  <c r="K83" i="12"/>
  <c r="K84" i="12" s="1"/>
  <c r="K85" i="12" s="1"/>
  <c r="F83" i="12"/>
  <c r="F84" i="12" s="1"/>
  <c r="F85" i="12" s="1"/>
  <c r="K203" i="12"/>
  <c r="K204" i="12" s="1"/>
  <c r="K205" i="12" s="1"/>
  <c r="AQ10" i="12"/>
  <c r="E83" i="12"/>
  <c r="E84" i="12" s="1"/>
  <c r="E85" i="12" s="1"/>
  <c r="T123" i="12"/>
  <c r="T124" i="12" s="1"/>
  <c r="T125" i="12" s="1"/>
  <c r="AI83" i="12"/>
  <c r="AI84" i="12" s="1"/>
  <c r="AI85" i="12" s="1"/>
  <c r="AI123" i="12"/>
  <c r="AI124" i="12" s="1"/>
  <c r="AI125" i="12" s="1"/>
  <c r="AS10" i="12"/>
  <c r="V163" i="12"/>
  <c r="V164" i="12" s="1"/>
  <c r="V165" i="12" s="1"/>
  <c r="V203" i="12"/>
  <c r="V204" i="12" s="1"/>
  <c r="V205" i="12" s="1"/>
  <c r="Z163" i="12"/>
  <c r="Z164" i="12" s="1"/>
  <c r="Z165" i="12" s="1"/>
  <c r="Z83" i="12"/>
  <c r="Z84" i="12" s="1"/>
  <c r="Z85" i="12" s="1"/>
  <c r="Z243" i="12"/>
  <c r="Z244" i="12" s="1"/>
  <c r="Z245" i="12" s="1"/>
  <c r="G123" i="12"/>
  <c r="G124" i="12" s="1"/>
  <c r="G125" i="12" s="1"/>
  <c r="I243" i="12"/>
  <c r="I244" i="12" s="1"/>
  <c r="I245" i="12" s="1"/>
  <c r="U84" i="12"/>
  <c r="U85" i="12" s="1"/>
  <c r="AJ243" i="12"/>
  <c r="AJ244" i="12" s="1"/>
  <c r="AJ245" i="12" s="1"/>
  <c r="AJ163" i="12"/>
  <c r="AJ164" i="12" s="1"/>
  <c r="AJ165" i="12" s="1"/>
  <c r="O204" i="12"/>
  <c r="O205" i="12" s="1"/>
  <c r="O83" i="12"/>
  <c r="O84" i="12" s="1"/>
  <c r="O85" i="12" s="1"/>
  <c r="O243" i="12"/>
  <c r="O244" i="12" s="1"/>
  <c r="O245" i="12" s="1"/>
  <c r="O123" i="12"/>
  <c r="O124" i="12" s="1"/>
  <c r="O125" i="12" s="1"/>
  <c r="O163" i="12"/>
  <c r="O164" i="12" s="1"/>
  <c r="O165" i="12" s="1"/>
  <c r="N83" i="12"/>
  <c r="N84" i="12" s="1"/>
  <c r="N85" i="12" s="1"/>
  <c r="I84" i="12"/>
  <c r="I85" i="12" s="1"/>
  <c r="X243" i="12"/>
  <c r="X244" i="12" s="1"/>
  <c r="X245" i="12" s="1"/>
  <c r="AR10" i="12"/>
  <c r="X83" i="12"/>
  <c r="X84" i="12" s="1"/>
  <c r="X85" i="12" s="1"/>
  <c r="I163" i="12"/>
  <c r="I164" i="12" s="1"/>
  <c r="I165" i="12" s="1"/>
  <c r="E203" i="12"/>
  <c r="E204" i="12" s="1"/>
  <c r="E205" i="12" s="1"/>
  <c r="X163" i="12"/>
  <c r="X164" i="12" s="1"/>
  <c r="X165" i="12" s="1"/>
  <c r="N203" i="12"/>
  <c r="N204" i="12" s="1"/>
  <c r="N205" i="12" s="1"/>
  <c r="N243" i="12"/>
  <c r="N244" i="12" s="1"/>
  <c r="N245" i="12" s="1"/>
  <c r="X203" i="12"/>
  <c r="X204" i="12" s="1"/>
  <c r="X205" i="12" s="1"/>
  <c r="AH83" i="12"/>
  <c r="AH84" i="12" s="1"/>
  <c r="AH85" i="12" s="1"/>
  <c r="N123" i="12"/>
  <c r="N124" i="12" s="1"/>
  <c r="N125" i="12" s="1"/>
  <c r="AH163" i="12"/>
  <c r="AH164" i="12" s="1"/>
  <c r="AH165" i="12" s="1"/>
  <c r="N164" i="12"/>
  <c r="N165" i="12" s="1"/>
  <c r="AJ204" i="12"/>
  <c r="AJ205" i="12" s="1"/>
  <c r="AJ123" i="12"/>
  <c r="AJ124" i="12" s="1"/>
  <c r="AJ125" i="12" s="1"/>
  <c r="AD83" i="12"/>
  <c r="AD84" i="12" s="1"/>
  <c r="AD85" i="12" s="1"/>
  <c r="AJ83" i="12"/>
  <c r="AJ84" i="12" s="1"/>
  <c r="AJ85" i="12" s="1"/>
  <c r="AD163" i="12"/>
  <c r="AD164" i="12" s="1"/>
  <c r="AD165" i="12" s="1"/>
  <c r="M243" i="12"/>
  <c r="M244" i="12" s="1"/>
  <c r="M245" i="12" s="1"/>
  <c r="F243" i="12"/>
  <c r="F244" i="12" s="1"/>
  <c r="F245" i="12" s="1"/>
  <c r="U243" i="12"/>
  <c r="U244" i="12" s="1"/>
  <c r="U245" i="12" s="1"/>
  <c r="U123" i="12"/>
  <c r="U124" i="12" s="1"/>
  <c r="U125" i="12" s="1"/>
  <c r="F123" i="12"/>
  <c r="F124" i="12" s="1"/>
  <c r="F125" i="12" s="1"/>
  <c r="U163" i="12"/>
  <c r="U164" i="12" s="1"/>
  <c r="U165" i="12" s="1"/>
  <c r="K243" i="12"/>
  <c r="K244" i="12" s="1"/>
  <c r="K245" i="12" s="1"/>
  <c r="K163" i="12"/>
  <c r="K164" i="12" s="1"/>
  <c r="K165" i="12" s="1"/>
  <c r="U203" i="12"/>
  <c r="U204" i="12" s="1"/>
  <c r="U205" i="12" s="1"/>
  <c r="C163" i="12"/>
  <c r="C164" i="12" s="1"/>
  <c r="C165" i="12" s="1"/>
  <c r="C203" i="12"/>
  <c r="C204" i="12" s="1"/>
  <c r="C205" i="12" s="1"/>
  <c r="C83" i="12"/>
  <c r="C84" i="12" s="1"/>
  <c r="C85" i="12" s="1"/>
  <c r="G203" i="12"/>
  <c r="G204" i="12" s="1"/>
  <c r="G205" i="12" s="1"/>
  <c r="G243" i="12"/>
  <c r="G244" i="12" s="1"/>
  <c r="G245" i="12" s="1"/>
  <c r="L124" i="12"/>
  <c r="L125" i="12" s="1"/>
  <c r="F164" i="12"/>
  <c r="F165" i="12" s="1"/>
  <c r="L243" i="12"/>
  <c r="L244" i="12" s="1"/>
  <c r="L245" i="12" s="1"/>
  <c r="L83" i="12"/>
  <c r="L84" i="12" s="1"/>
  <c r="L85" i="12" s="1"/>
  <c r="L163" i="12"/>
  <c r="L164" i="12" s="1"/>
  <c r="L165" i="12" s="1"/>
  <c r="L203" i="12"/>
  <c r="L204" i="12" s="1"/>
  <c r="L205" i="12" s="1"/>
  <c r="G286" i="12"/>
  <c r="G287" i="12" s="1"/>
  <c r="G288" i="12" s="1"/>
  <c r="G289" i="12" s="1"/>
  <c r="G290" i="12" s="1"/>
  <c r="G291" i="12" s="1"/>
  <c r="G292" i="12" s="1"/>
  <c r="G293" i="12" s="1"/>
  <c r="G294" i="12" s="1"/>
  <c r="G295" i="12" s="1"/>
  <c r="G296" i="12" s="1"/>
  <c r="G297" i="12" s="1"/>
  <c r="G298" i="12" s="1"/>
  <c r="G299" i="12" s="1"/>
  <c r="G300" i="12" s="1"/>
  <c r="G301" i="12" s="1"/>
  <c r="G302" i="12" s="1"/>
  <c r="G303" i="12" s="1"/>
  <c r="G304" i="12" s="1"/>
  <c r="G305" i="12" s="1"/>
  <c r="G306" i="12" s="1"/>
  <c r="G307" i="12" s="1"/>
  <c r="G308" i="12" s="1"/>
  <c r="G309" i="12" s="1"/>
  <c r="G310" i="12" s="1"/>
  <c r="G311" i="12" s="1"/>
  <c r="G312" i="12" s="1"/>
  <c r="G313" i="12" s="1"/>
  <c r="G314" i="12" s="1"/>
  <c r="G315" i="12" s="1"/>
  <c r="G316" i="12" s="1"/>
  <c r="G317" i="12" s="1"/>
  <c r="G318" i="12" s="1"/>
  <c r="AH243" i="12"/>
  <c r="AH244" i="12" s="1"/>
  <c r="AH245" i="12" s="1"/>
  <c r="AH123" i="12"/>
  <c r="AH124" i="12" s="1"/>
  <c r="AH125" i="12" s="1"/>
  <c r="M83" i="12"/>
  <c r="M84" i="12" s="1"/>
  <c r="M85" i="12" s="1"/>
  <c r="M163" i="12"/>
  <c r="M164" i="12" s="1"/>
  <c r="M165" i="12" s="1"/>
  <c r="M123" i="12"/>
  <c r="M124" i="12" s="1"/>
  <c r="M125" i="12" s="1"/>
  <c r="AI204" i="12"/>
  <c r="AI205" i="12" s="1"/>
  <c r="Y243" i="12"/>
  <c r="Y244" i="12" s="1"/>
  <c r="Y245" i="12" s="1"/>
  <c r="E163" i="12"/>
  <c r="E164" i="12" s="1"/>
  <c r="E165" i="12" s="1"/>
  <c r="E243" i="12"/>
  <c r="E244" i="12" s="1"/>
  <c r="E245" i="12" s="1"/>
  <c r="AG243" i="12"/>
  <c r="AG244" i="12" s="1"/>
  <c r="AG245" i="12" s="1"/>
  <c r="AG123" i="12"/>
  <c r="AG124" i="12" s="1"/>
  <c r="AG125" i="12" s="1"/>
  <c r="AG83" i="12"/>
  <c r="AG84" i="12" s="1"/>
  <c r="AG85" i="12" s="1"/>
  <c r="AG163" i="12"/>
  <c r="AG164" i="12" s="1"/>
  <c r="AG165" i="12" s="1"/>
  <c r="AG203" i="12"/>
  <c r="AG204" i="12" s="1"/>
  <c r="AG205" i="12" s="1"/>
  <c r="I203" i="12"/>
  <c r="I204" i="12" s="1"/>
  <c r="I205" i="12" s="1"/>
  <c r="I123" i="12"/>
  <c r="I124" i="12" s="1"/>
  <c r="I125" i="12" s="1"/>
  <c r="S163" i="12"/>
  <c r="S164" i="12" s="1"/>
  <c r="S165" i="12" s="1"/>
  <c r="S83" i="12"/>
  <c r="S84" i="12" s="1"/>
  <c r="S85" i="12" s="1"/>
  <c r="S123" i="12"/>
  <c r="S124" i="12" s="1"/>
  <c r="S125" i="12" s="1"/>
  <c r="S203" i="12"/>
  <c r="S204" i="12" s="1"/>
  <c r="S205" i="12" s="1"/>
  <c r="S243" i="12"/>
  <c r="S244" i="12" s="1"/>
  <c r="S245" i="12" s="1"/>
  <c r="W243" i="12"/>
  <c r="W244" i="12" s="1"/>
  <c r="W245" i="12" s="1"/>
  <c r="W163" i="12"/>
  <c r="W164" i="12" s="1"/>
  <c r="W165" i="12" s="1"/>
  <c r="W83" i="12"/>
  <c r="W84" i="12" s="1"/>
  <c r="W85" i="12" s="1"/>
  <c r="W203" i="12"/>
  <c r="W204" i="12" s="1"/>
  <c r="W205" i="12" s="1"/>
  <c r="W123" i="12"/>
  <c r="W124" i="12" s="1"/>
  <c r="W125" i="12" s="1"/>
  <c r="T83" i="12"/>
  <c r="T84" i="12" s="1"/>
  <c r="T85" i="12" s="1"/>
  <c r="T243" i="12"/>
  <c r="T244" i="12" s="1"/>
  <c r="T245" i="12" s="1"/>
  <c r="AD123" i="12"/>
  <c r="AD124" i="12" s="1"/>
  <c r="AD125" i="12" s="1"/>
  <c r="AD243" i="12"/>
  <c r="AD244" i="12" s="1"/>
  <c r="AD245" i="12" s="1"/>
  <c r="AI243" i="12"/>
  <c r="AI244" i="12" s="1"/>
  <c r="AI245" i="12" s="1"/>
  <c r="AI163" i="12"/>
  <c r="AI164" i="12" s="1"/>
  <c r="AI165" i="12" s="1"/>
  <c r="R123" i="12"/>
  <c r="R124" i="12" s="1"/>
  <c r="R125" i="12" s="1"/>
  <c r="R203" i="12"/>
  <c r="R204" i="12" s="1"/>
  <c r="R205" i="12" s="1"/>
  <c r="R243" i="12"/>
  <c r="R244" i="12" s="1"/>
  <c r="R245" i="12" s="1"/>
  <c r="R163" i="12"/>
  <c r="R164" i="12" s="1"/>
  <c r="R165" i="12" s="1"/>
  <c r="R83" i="12"/>
  <c r="R84" i="12" s="1"/>
  <c r="R85" i="12" s="1"/>
  <c r="M204" i="12"/>
  <c r="M205" i="12" s="1"/>
  <c r="L286" i="12"/>
  <c r="L287" i="12" s="1"/>
  <c r="L288" i="12" s="1"/>
  <c r="L289" i="12" s="1"/>
  <c r="L290" i="12" s="1"/>
  <c r="L291" i="12" s="1"/>
  <c r="L292" i="12" s="1"/>
  <c r="L293" i="12" s="1"/>
  <c r="L294" i="12" s="1"/>
  <c r="L295" i="12" s="1"/>
  <c r="L296" i="12" s="1"/>
  <c r="L297" i="12" s="1"/>
  <c r="L298" i="12" s="1"/>
  <c r="L299" i="12" s="1"/>
  <c r="L300" i="12" s="1"/>
  <c r="L301" i="12" s="1"/>
  <c r="L302" i="12" s="1"/>
  <c r="L303" i="12" s="1"/>
  <c r="L304" i="12" s="1"/>
  <c r="L305" i="12" s="1"/>
  <c r="L306" i="12" s="1"/>
  <c r="L307" i="12" s="1"/>
  <c r="L308" i="12" s="1"/>
  <c r="L309" i="12" s="1"/>
  <c r="L310" i="12" s="1"/>
  <c r="L311" i="12" s="1"/>
  <c r="L312" i="12" s="1"/>
  <c r="L313" i="12" s="1"/>
  <c r="L314" i="12" s="1"/>
  <c r="L315" i="12" s="1"/>
  <c r="L316" i="12" s="1"/>
  <c r="L317" i="12" s="1"/>
  <c r="L318" i="12" s="1"/>
  <c r="AJ323" i="12"/>
  <c r="AJ324" i="12" s="1"/>
  <c r="AJ325" i="12" s="1"/>
  <c r="AJ326" i="12" s="1"/>
  <c r="AJ327" i="12" s="1"/>
  <c r="AJ328" i="12" s="1"/>
  <c r="AJ329" i="12" s="1"/>
  <c r="AJ330" i="12" s="1"/>
  <c r="AJ331" i="12" s="1"/>
  <c r="AJ332" i="12" s="1"/>
  <c r="AJ333" i="12" s="1"/>
  <c r="AJ334" i="12" s="1"/>
  <c r="AJ335" i="12" s="1"/>
  <c r="AJ336" i="12" s="1"/>
  <c r="AJ337" i="12" s="1"/>
  <c r="AJ338" i="12" s="1"/>
  <c r="AJ339" i="12" s="1"/>
  <c r="AJ340" i="12" s="1"/>
  <c r="AJ341" i="12" s="1"/>
  <c r="AJ342" i="12" s="1"/>
  <c r="AJ343" i="12" s="1"/>
  <c r="AJ344" i="12" s="1"/>
  <c r="AJ345" i="12" s="1"/>
  <c r="AJ346" i="12" s="1"/>
  <c r="AJ347" i="12" s="1"/>
  <c r="AJ348" i="12" s="1"/>
  <c r="AJ349" i="12" s="1"/>
  <c r="AJ350" i="12" s="1"/>
  <c r="AJ351" i="12" s="1"/>
  <c r="AJ352" i="12" s="1"/>
  <c r="AJ353" i="12" s="1"/>
  <c r="AJ354" i="12" s="1"/>
  <c r="AJ355" i="12" s="1"/>
  <c r="AJ356" i="12" s="1"/>
  <c r="AJ357" i="12" s="1"/>
  <c r="AJ358" i="12" s="1"/>
  <c r="AI323" i="12"/>
  <c r="AI324" i="12" s="1"/>
  <c r="AI325" i="12" s="1"/>
  <c r="AI326" i="12" s="1"/>
  <c r="AI327" i="12" s="1"/>
  <c r="AI328" i="12" s="1"/>
  <c r="AI329" i="12" s="1"/>
  <c r="AI330" i="12" s="1"/>
  <c r="AI331" i="12" s="1"/>
  <c r="AI332" i="12" s="1"/>
  <c r="AI333" i="12" s="1"/>
  <c r="AI334" i="12" s="1"/>
  <c r="AI335" i="12" s="1"/>
  <c r="AI336" i="12" s="1"/>
  <c r="AI337" i="12" s="1"/>
  <c r="AI338" i="12" s="1"/>
  <c r="AI339" i="12" s="1"/>
  <c r="AI340" i="12" s="1"/>
  <c r="AI341" i="12" s="1"/>
  <c r="AI342" i="12" s="1"/>
  <c r="AI343" i="12" s="1"/>
  <c r="AI344" i="12" s="1"/>
  <c r="AI345" i="12" s="1"/>
  <c r="AI346" i="12" s="1"/>
  <c r="AI347" i="12" s="1"/>
  <c r="AI348" i="12" s="1"/>
  <c r="AI349" i="12" s="1"/>
  <c r="AI350" i="12" s="1"/>
  <c r="AI351" i="12" s="1"/>
  <c r="AI352" i="12" s="1"/>
  <c r="AI353" i="12" s="1"/>
  <c r="AI354" i="12" s="1"/>
  <c r="AI355" i="12" s="1"/>
  <c r="AI356" i="12" s="1"/>
  <c r="AI357" i="12" s="1"/>
  <c r="AI358" i="12" s="1"/>
  <c r="AC323" i="12"/>
  <c r="AC324" i="12" s="1"/>
  <c r="AC325" i="12" s="1"/>
  <c r="AC326" i="12" s="1"/>
  <c r="AC327" i="12" s="1"/>
  <c r="AC328" i="12" s="1"/>
  <c r="AC329" i="12" s="1"/>
  <c r="AC330" i="12" s="1"/>
  <c r="AC331" i="12" s="1"/>
  <c r="AC332" i="12" s="1"/>
  <c r="AC333" i="12" s="1"/>
  <c r="AC334" i="12" s="1"/>
  <c r="AC335" i="12" s="1"/>
  <c r="AC336" i="12" s="1"/>
  <c r="AC337" i="12" s="1"/>
  <c r="AC338" i="12" s="1"/>
  <c r="AC339" i="12" s="1"/>
  <c r="AC340" i="12" s="1"/>
  <c r="AC341" i="12" s="1"/>
  <c r="AC342" i="12" s="1"/>
  <c r="AC343" i="12" s="1"/>
  <c r="AC344" i="12" s="1"/>
  <c r="AC345" i="12" s="1"/>
  <c r="AC346" i="12" s="1"/>
  <c r="AC347" i="12" s="1"/>
  <c r="AC348" i="12" s="1"/>
  <c r="AC349" i="12" s="1"/>
  <c r="AC350" i="12" s="1"/>
  <c r="AC351" i="12" s="1"/>
  <c r="AC352" i="12" s="1"/>
  <c r="AC353" i="12" s="1"/>
  <c r="AC354" i="12" s="1"/>
  <c r="AC355" i="12" s="1"/>
  <c r="AC356" i="12" s="1"/>
  <c r="AC357" i="12" s="1"/>
  <c r="AC358" i="12" s="1"/>
  <c r="X323" i="12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AA323" i="12"/>
  <c r="AA324" i="12" s="1"/>
  <c r="AA325" i="12" s="1"/>
  <c r="AA326" i="12" s="1"/>
  <c r="AA327" i="12" s="1"/>
  <c r="AA328" i="12" s="1"/>
  <c r="AA329" i="12" s="1"/>
  <c r="AA330" i="12" s="1"/>
  <c r="AA331" i="12" s="1"/>
  <c r="AA332" i="12" s="1"/>
  <c r="AA333" i="12" s="1"/>
  <c r="AA334" i="12" s="1"/>
  <c r="AA335" i="12" s="1"/>
  <c r="AA336" i="12" s="1"/>
  <c r="AA337" i="12" s="1"/>
  <c r="AA338" i="12" s="1"/>
  <c r="AA339" i="12" s="1"/>
  <c r="AA340" i="12" s="1"/>
  <c r="AA341" i="12" s="1"/>
  <c r="AA342" i="12" s="1"/>
  <c r="AA343" i="12" s="1"/>
  <c r="AA344" i="12" s="1"/>
  <c r="AA345" i="12" s="1"/>
  <c r="AA346" i="12" s="1"/>
  <c r="AA347" i="12" s="1"/>
  <c r="AA348" i="12" s="1"/>
  <c r="AA349" i="12" s="1"/>
  <c r="AA350" i="12" s="1"/>
  <c r="AA351" i="12" s="1"/>
  <c r="AA352" i="12" s="1"/>
  <c r="AA353" i="12" s="1"/>
  <c r="AA354" i="12" s="1"/>
  <c r="AA355" i="12" s="1"/>
  <c r="AA356" i="12" s="1"/>
  <c r="AA357" i="12" s="1"/>
  <c r="AA358" i="12" s="1"/>
  <c r="AH323" i="12"/>
  <c r="AH324" i="12" s="1"/>
  <c r="AH325" i="12" s="1"/>
  <c r="AH326" i="12" s="1"/>
  <c r="AH327" i="12" s="1"/>
  <c r="AH328" i="12" s="1"/>
  <c r="AH329" i="12" s="1"/>
  <c r="AH330" i="12" s="1"/>
  <c r="AH331" i="12" s="1"/>
  <c r="AH332" i="12" s="1"/>
  <c r="AH333" i="12" s="1"/>
  <c r="AH334" i="12" s="1"/>
  <c r="AH335" i="12" s="1"/>
  <c r="AH336" i="12" s="1"/>
  <c r="AH337" i="12" s="1"/>
  <c r="AH338" i="12" s="1"/>
  <c r="AH339" i="12" s="1"/>
  <c r="AH340" i="12" s="1"/>
  <c r="AH341" i="12" s="1"/>
  <c r="AH342" i="12" s="1"/>
  <c r="AH343" i="12" s="1"/>
  <c r="AH344" i="12" s="1"/>
  <c r="AH345" i="12" s="1"/>
  <c r="AH346" i="12" s="1"/>
  <c r="AH347" i="12" s="1"/>
  <c r="AH348" i="12" s="1"/>
  <c r="AH349" i="12" s="1"/>
  <c r="AH350" i="12" s="1"/>
  <c r="AH351" i="12" s="1"/>
  <c r="AH352" i="12" s="1"/>
  <c r="AH353" i="12" s="1"/>
  <c r="AH354" i="12" s="1"/>
  <c r="AH355" i="12" s="1"/>
  <c r="AH356" i="12" s="1"/>
  <c r="AH357" i="12" s="1"/>
  <c r="AH358" i="12" s="1"/>
  <c r="V323" i="12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S323" i="12"/>
  <c r="S324" i="12" s="1"/>
  <c r="S325" i="12" s="1"/>
  <c r="S326" i="12" s="1"/>
  <c r="S327" i="12" s="1"/>
  <c r="S328" i="12" s="1"/>
  <c r="S329" i="12" s="1"/>
  <c r="S330" i="12" s="1"/>
  <c r="S331" i="12" s="1"/>
  <c r="S332" i="12" s="1"/>
  <c r="S333" i="12" s="1"/>
  <c r="S334" i="12" s="1"/>
  <c r="S335" i="12" s="1"/>
  <c r="S336" i="12" s="1"/>
  <c r="S337" i="12" s="1"/>
  <c r="S338" i="12" s="1"/>
  <c r="S339" i="12" s="1"/>
  <c r="S340" i="12" s="1"/>
  <c r="S341" i="12" s="1"/>
  <c r="S342" i="12" s="1"/>
  <c r="S343" i="12" s="1"/>
  <c r="S344" i="12" s="1"/>
  <c r="S345" i="12" s="1"/>
  <c r="S346" i="12" s="1"/>
  <c r="S347" i="12" s="1"/>
  <c r="S348" i="12" s="1"/>
  <c r="S349" i="12" s="1"/>
  <c r="S350" i="12" s="1"/>
  <c r="S351" i="12" s="1"/>
  <c r="S352" i="12" s="1"/>
  <c r="S353" i="12" s="1"/>
  <c r="S354" i="12" s="1"/>
  <c r="S355" i="12" s="1"/>
  <c r="S356" i="12" s="1"/>
  <c r="S357" i="12" s="1"/>
  <c r="S358" i="12" s="1"/>
  <c r="Z323" i="12"/>
  <c r="Z324" i="12" s="1"/>
  <c r="Z325" i="12" s="1"/>
  <c r="Z326" i="12" s="1"/>
  <c r="Z327" i="12" s="1"/>
  <c r="Z328" i="12" s="1"/>
  <c r="Z329" i="12" s="1"/>
  <c r="Z330" i="12" s="1"/>
  <c r="Z331" i="12" s="1"/>
  <c r="Z332" i="12" s="1"/>
  <c r="Z333" i="12" s="1"/>
  <c r="Z334" i="12" s="1"/>
  <c r="Z335" i="12" s="1"/>
  <c r="Z336" i="12" s="1"/>
  <c r="Z337" i="12" s="1"/>
  <c r="Z338" i="12" s="1"/>
  <c r="Z339" i="12" s="1"/>
  <c r="Z340" i="12" s="1"/>
  <c r="Z341" i="12" s="1"/>
  <c r="Z342" i="12" s="1"/>
  <c r="Z343" i="12" s="1"/>
  <c r="Z344" i="12" s="1"/>
  <c r="Z345" i="12" s="1"/>
  <c r="Z346" i="12" s="1"/>
  <c r="Z347" i="12" s="1"/>
  <c r="Z348" i="12" s="1"/>
  <c r="Z349" i="12" s="1"/>
  <c r="Z350" i="12" s="1"/>
  <c r="Z351" i="12" s="1"/>
  <c r="Z352" i="12" s="1"/>
  <c r="Z353" i="12" s="1"/>
  <c r="Z354" i="12" s="1"/>
  <c r="Z355" i="12" s="1"/>
  <c r="Z356" i="12" s="1"/>
  <c r="Z357" i="12" s="1"/>
  <c r="Z358" i="12" s="1"/>
  <c r="AG323" i="12"/>
  <c r="AG324" i="12" s="1"/>
  <c r="AG325" i="12" s="1"/>
  <c r="AG326" i="12" s="1"/>
  <c r="AG327" i="12" s="1"/>
  <c r="AG328" i="12" s="1"/>
  <c r="AG329" i="12" s="1"/>
  <c r="AG330" i="12" s="1"/>
  <c r="AG331" i="12" s="1"/>
  <c r="AG332" i="12" s="1"/>
  <c r="AG333" i="12" s="1"/>
  <c r="AG334" i="12" s="1"/>
  <c r="AG335" i="12" s="1"/>
  <c r="AG336" i="12" s="1"/>
  <c r="AG337" i="12" s="1"/>
  <c r="AG338" i="12" s="1"/>
  <c r="AG339" i="12" s="1"/>
  <c r="AG340" i="12" s="1"/>
  <c r="AG341" i="12" s="1"/>
  <c r="AG342" i="12" s="1"/>
  <c r="AG343" i="12" s="1"/>
  <c r="AG344" i="12" s="1"/>
  <c r="AG345" i="12" s="1"/>
  <c r="AG346" i="12" s="1"/>
  <c r="AG347" i="12" s="1"/>
  <c r="AG348" i="12" s="1"/>
  <c r="AG349" i="12" s="1"/>
  <c r="AG350" i="12" s="1"/>
  <c r="AG351" i="12" s="1"/>
  <c r="AG352" i="12" s="1"/>
  <c r="AG353" i="12" s="1"/>
  <c r="AG354" i="12" s="1"/>
  <c r="AG355" i="12" s="1"/>
  <c r="AG356" i="12" s="1"/>
  <c r="AG357" i="12" s="1"/>
  <c r="AG358" i="12" s="1"/>
  <c r="I323" i="12"/>
  <c r="I324" i="12" s="1"/>
  <c r="I325" i="12" s="1"/>
  <c r="I326" i="12" s="1"/>
  <c r="I327" i="12" s="1"/>
  <c r="I328" i="12" s="1"/>
  <c r="I329" i="12" s="1"/>
  <c r="I330" i="12" s="1"/>
  <c r="I331" i="12" s="1"/>
  <c r="I332" i="12" s="1"/>
  <c r="I333" i="12" s="1"/>
  <c r="I334" i="12" s="1"/>
  <c r="I335" i="12" s="1"/>
  <c r="I336" i="12" s="1"/>
  <c r="I337" i="12" s="1"/>
  <c r="I338" i="12" s="1"/>
  <c r="I339" i="12" s="1"/>
  <c r="I340" i="12" s="1"/>
  <c r="I341" i="12" s="1"/>
  <c r="I342" i="12" s="1"/>
  <c r="I343" i="12" s="1"/>
  <c r="I344" i="12" s="1"/>
  <c r="I345" i="12" s="1"/>
  <c r="I346" i="12" s="1"/>
  <c r="I347" i="12" s="1"/>
  <c r="I348" i="12" s="1"/>
  <c r="I349" i="12" s="1"/>
  <c r="I350" i="12" s="1"/>
  <c r="I351" i="12" s="1"/>
  <c r="I352" i="12" s="1"/>
  <c r="I353" i="12" s="1"/>
  <c r="I354" i="12" s="1"/>
  <c r="I355" i="12" s="1"/>
  <c r="I356" i="12" s="1"/>
  <c r="I357" i="12" s="1"/>
  <c r="I358" i="12" s="1"/>
  <c r="AB323" i="12"/>
  <c r="AB324" i="12" s="1"/>
  <c r="AB325" i="12" s="1"/>
  <c r="AB326" i="12" s="1"/>
  <c r="AB327" i="12" s="1"/>
  <c r="AB328" i="12" s="1"/>
  <c r="AB329" i="12" s="1"/>
  <c r="AB330" i="12" s="1"/>
  <c r="AB331" i="12" s="1"/>
  <c r="AB332" i="12" s="1"/>
  <c r="AB333" i="12" s="1"/>
  <c r="AB334" i="12" s="1"/>
  <c r="AB335" i="12" s="1"/>
  <c r="AB336" i="12" s="1"/>
  <c r="AB337" i="12" s="1"/>
  <c r="AB338" i="12" s="1"/>
  <c r="AB339" i="12" s="1"/>
  <c r="AB340" i="12" s="1"/>
  <c r="AB341" i="12" s="1"/>
  <c r="AB342" i="12" s="1"/>
  <c r="AB343" i="12" s="1"/>
  <c r="AB344" i="12" s="1"/>
  <c r="AB345" i="12" s="1"/>
  <c r="AB346" i="12" s="1"/>
  <c r="AB347" i="12" s="1"/>
  <c r="AB348" i="12" s="1"/>
  <c r="AB349" i="12" s="1"/>
  <c r="AB350" i="12" s="1"/>
  <c r="AB351" i="12" s="1"/>
  <c r="AB352" i="12" s="1"/>
  <c r="AB353" i="12" s="1"/>
  <c r="AB354" i="12" s="1"/>
  <c r="AB355" i="12" s="1"/>
  <c r="AB356" i="12" s="1"/>
  <c r="AB357" i="12" s="1"/>
  <c r="AB358" i="12" s="1"/>
  <c r="Q323" i="12"/>
  <c r="Q324" i="12" s="1"/>
  <c r="Q325" i="12" s="1"/>
  <c r="Q326" i="12" s="1"/>
  <c r="Q327" i="12" s="1"/>
  <c r="Q328" i="12" s="1"/>
  <c r="Q329" i="12" s="1"/>
  <c r="Q330" i="12" s="1"/>
  <c r="Q331" i="12" s="1"/>
  <c r="Q332" i="12" s="1"/>
  <c r="Q333" i="12" s="1"/>
  <c r="Q334" i="12" s="1"/>
  <c r="Q335" i="12" s="1"/>
  <c r="Q336" i="12" s="1"/>
  <c r="Q337" i="12" s="1"/>
  <c r="Q338" i="12" s="1"/>
  <c r="Q339" i="12" s="1"/>
  <c r="Q340" i="12" s="1"/>
  <c r="Q341" i="12" s="1"/>
  <c r="Q342" i="12" s="1"/>
  <c r="Q343" i="12" s="1"/>
  <c r="Q344" i="12" s="1"/>
  <c r="Q345" i="12" s="1"/>
  <c r="Q346" i="12" s="1"/>
  <c r="Q347" i="12" s="1"/>
  <c r="Q348" i="12" s="1"/>
  <c r="Q349" i="12" s="1"/>
  <c r="Q350" i="12" s="1"/>
  <c r="Q351" i="12" s="1"/>
  <c r="Q352" i="12" s="1"/>
  <c r="Q353" i="12" s="1"/>
  <c r="Q354" i="12" s="1"/>
  <c r="Q355" i="12" s="1"/>
  <c r="Q356" i="12" s="1"/>
  <c r="Q357" i="12" s="1"/>
  <c r="Q358" i="12" s="1"/>
  <c r="R323" i="12"/>
  <c r="R324" i="12" s="1"/>
  <c r="R325" i="12" s="1"/>
  <c r="R326" i="12" s="1"/>
  <c r="R327" i="12" s="1"/>
  <c r="R328" i="12" s="1"/>
  <c r="R329" i="12" s="1"/>
  <c r="R330" i="12" s="1"/>
  <c r="R331" i="12" s="1"/>
  <c r="R332" i="12" s="1"/>
  <c r="R333" i="12" s="1"/>
  <c r="R334" i="12" s="1"/>
  <c r="R335" i="12" s="1"/>
  <c r="R336" i="12" s="1"/>
  <c r="R337" i="12" s="1"/>
  <c r="R338" i="12" s="1"/>
  <c r="R339" i="12" s="1"/>
  <c r="R340" i="12" s="1"/>
  <c r="R341" i="12" s="1"/>
  <c r="R342" i="12" s="1"/>
  <c r="R343" i="12" s="1"/>
  <c r="R344" i="12" s="1"/>
  <c r="R345" i="12" s="1"/>
  <c r="R346" i="12" s="1"/>
  <c r="R347" i="12" s="1"/>
  <c r="R348" i="12" s="1"/>
  <c r="R349" i="12" s="1"/>
  <c r="R350" i="12" s="1"/>
  <c r="R351" i="12" s="1"/>
  <c r="R352" i="12" s="1"/>
  <c r="R353" i="12" s="1"/>
  <c r="R354" i="12" s="1"/>
  <c r="R355" i="12" s="1"/>
  <c r="R356" i="12" s="1"/>
  <c r="R357" i="12" s="1"/>
  <c r="R358" i="12" s="1"/>
  <c r="A363" i="12"/>
  <c r="P323" i="12"/>
  <c r="P324" i="12" s="1"/>
  <c r="P325" i="12" s="1"/>
  <c r="P326" i="12" s="1"/>
  <c r="P327" i="12" s="1"/>
  <c r="P328" i="12" s="1"/>
  <c r="P329" i="12" s="1"/>
  <c r="P330" i="12" s="1"/>
  <c r="P331" i="12" s="1"/>
  <c r="P332" i="12" s="1"/>
  <c r="P333" i="12" s="1"/>
  <c r="P334" i="12" s="1"/>
  <c r="P335" i="12" s="1"/>
  <c r="P336" i="12" s="1"/>
  <c r="P337" i="12" s="1"/>
  <c r="P338" i="12" s="1"/>
  <c r="P339" i="12" s="1"/>
  <c r="P340" i="12" s="1"/>
  <c r="P341" i="12" s="1"/>
  <c r="P342" i="12" s="1"/>
  <c r="P343" i="12" s="1"/>
  <c r="P344" i="12" s="1"/>
  <c r="P345" i="12" s="1"/>
  <c r="P346" i="12" s="1"/>
  <c r="P347" i="12" s="1"/>
  <c r="P348" i="12" s="1"/>
  <c r="P349" i="12" s="1"/>
  <c r="P350" i="12" s="1"/>
  <c r="P351" i="12" s="1"/>
  <c r="P352" i="12" s="1"/>
  <c r="P353" i="12" s="1"/>
  <c r="P354" i="12" s="1"/>
  <c r="P355" i="12" s="1"/>
  <c r="P356" i="12" s="1"/>
  <c r="P357" i="12" s="1"/>
  <c r="P358" i="12" s="1"/>
  <c r="H323" i="12"/>
  <c r="H324" i="12" s="1"/>
  <c r="H325" i="12" s="1"/>
  <c r="H326" i="12" s="1"/>
  <c r="T323" i="12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C323" i="12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K323" i="12"/>
  <c r="K324" i="12" s="1"/>
  <c r="K325" i="12" s="1"/>
  <c r="K326" i="12" s="1"/>
  <c r="K327" i="12" s="1"/>
  <c r="K328" i="12" s="1"/>
  <c r="K329" i="12" s="1"/>
  <c r="K330" i="12" s="1"/>
  <c r="K331" i="12" s="1"/>
  <c r="K332" i="12" s="1"/>
  <c r="K333" i="12" s="1"/>
  <c r="K334" i="12" s="1"/>
  <c r="K335" i="12" s="1"/>
  <c r="K336" i="12" s="1"/>
  <c r="K337" i="12" s="1"/>
  <c r="K338" i="12" s="1"/>
  <c r="K339" i="12" s="1"/>
  <c r="K340" i="12" s="1"/>
  <c r="K341" i="12" s="1"/>
  <c r="K342" i="12" s="1"/>
  <c r="K343" i="12" s="1"/>
  <c r="K344" i="12" s="1"/>
  <c r="K345" i="12" s="1"/>
  <c r="K346" i="12" s="1"/>
  <c r="K347" i="12" s="1"/>
  <c r="K348" i="12" s="1"/>
  <c r="K349" i="12" s="1"/>
  <c r="K350" i="12" s="1"/>
  <c r="K351" i="12" s="1"/>
  <c r="K352" i="12" s="1"/>
  <c r="K353" i="12" s="1"/>
  <c r="K354" i="12" s="1"/>
  <c r="K355" i="12" s="1"/>
  <c r="K356" i="12" s="1"/>
  <c r="K357" i="12" s="1"/>
  <c r="K358" i="12" s="1"/>
  <c r="E323" i="12"/>
  <c r="E324" i="12" s="1"/>
  <c r="E325" i="12" s="1"/>
  <c r="E326" i="12" s="1"/>
  <c r="W323" i="12"/>
  <c r="W324" i="12" s="1"/>
  <c r="W325" i="12" s="1"/>
  <c r="W326" i="12" s="1"/>
  <c r="L323" i="12"/>
  <c r="L324" i="12" s="1"/>
  <c r="L325" i="12" s="1"/>
  <c r="L326" i="12" s="1"/>
  <c r="Y323" i="12"/>
  <c r="Y324" i="12" s="1"/>
  <c r="Y325" i="12" s="1"/>
  <c r="Y326" i="12" s="1"/>
  <c r="Y327" i="12" s="1"/>
  <c r="Y328" i="12" s="1"/>
  <c r="Y329" i="12" s="1"/>
  <c r="Y330" i="12" s="1"/>
  <c r="Y331" i="12" s="1"/>
  <c r="Y332" i="12" s="1"/>
  <c r="Y333" i="12" s="1"/>
  <c r="Y334" i="12" s="1"/>
  <c r="Y335" i="12" s="1"/>
  <c r="Y336" i="12" s="1"/>
  <c r="Y337" i="12" s="1"/>
  <c r="Y338" i="12" s="1"/>
  <c r="Y339" i="12" s="1"/>
  <c r="Y340" i="12" s="1"/>
  <c r="Y341" i="12" s="1"/>
  <c r="Y342" i="12" s="1"/>
  <c r="Y343" i="12" s="1"/>
  <c r="Y344" i="12" s="1"/>
  <c r="Y345" i="12" s="1"/>
  <c r="Y346" i="12" s="1"/>
  <c r="Y347" i="12" s="1"/>
  <c r="Y348" i="12" s="1"/>
  <c r="Y349" i="12" s="1"/>
  <c r="Y350" i="12" s="1"/>
  <c r="Y351" i="12" s="1"/>
  <c r="Y352" i="12" s="1"/>
  <c r="Y353" i="12" s="1"/>
  <c r="Y354" i="12" s="1"/>
  <c r="Y355" i="12" s="1"/>
  <c r="Y356" i="12" s="1"/>
  <c r="Y357" i="12" s="1"/>
  <c r="Y358" i="12" s="1"/>
  <c r="AF323" i="12"/>
  <c r="AF324" i="12" s="1"/>
  <c r="AF325" i="12" s="1"/>
  <c r="AF326" i="12" s="1"/>
  <c r="AF327" i="12" s="1"/>
  <c r="AF328" i="12" s="1"/>
  <c r="AF329" i="12" s="1"/>
  <c r="AF330" i="12" s="1"/>
  <c r="AF331" i="12" s="1"/>
  <c r="AF332" i="12" s="1"/>
  <c r="AF333" i="12" s="1"/>
  <c r="AF334" i="12" s="1"/>
  <c r="AF335" i="12" s="1"/>
  <c r="AF336" i="12" s="1"/>
  <c r="AF337" i="12" s="1"/>
  <c r="AF338" i="12" s="1"/>
  <c r="AF339" i="12" s="1"/>
  <c r="AF340" i="12" s="1"/>
  <c r="AF341" i="12" s="1"/>
  <c r="AF342" i="12" s="1"/>
  <c r="AF343" i="12" s="1"/>
  <c r="AF344" i="12" s="1"/>
  <c r="AF345" i="12" s="1"/>
  <c r="AF346" i="12" s="1"/>
  <c r="AF347" i="12" s="1"/>
  <c r="AF348" i="12" s="1"/>
  <c r="AF349" i="12" s="1"/>
  <c r="AF350" i="12" s="1"/>
  <c r="AF351" i="12" s="1"/>
  <c r="AF352" i="12" s="1"/>
  <c r="AF353" i="12" s="1"/>
  <c r="AF354" i="12" s="1"/>
  <c r="AF355" i="12" s="1"/>
  <c r="AF356" i="12" s="1"/>
  <c r="AF357" i="12" s="1"/>
  <c r="AF358" i="12" s="1"/>
  <c r="U323" i="12"/>
  <c r="U324" i="12" s="1"/>
  <c r="U325" i="12" s="1"/>
  <c r="U326" i="12" s="1"/>
  <c r="U327" i="12" s="1"/>
  <c r="U328" i="12" s="1"/>
  <c r="U329" i="12" s="1"/>
  <c r="U330" i="12" s="1"/>
  <c r="U331" i="12" s="1"/>
  <c r="U332" i="12" s="1"/>
  <c r="U333" i="12" s="1"/>
  <c r="U334" i="12" s="1"/>
  <c r="U335" i="12" s="1"/>
  <c r="U336" i="12" s="1"/>
  <c r="U337" i="12" s="1"/>
  <c r="U338" i="12" s="1"/>
  <c r="U339" i="12" s="1"/>
  <c r="U340" i="12" s="1"/>
  <c r="U341" i="12" s="1"/>
  <c r="U342" i="12" s="1"/>
  <c r="U343" i="12" s="1"/>
  <c r="U344" i="12" s="1"/>
  <c r="U345" i="12" s="1"/>
  <c r="U346" i="12" s="1"/>
  <c r="U347" i="12" s="1"/>
  <c r="U348" i="12" s="1"/>
  <c r="U349" i="12" s="1"/>
  <c r="U350" i="12" s="1"/>
  <c r="U351" i="12" s="1"/>
  <c r="U352" i="12" s="1"/>
  <c r="U353" i="12" s="1"/>
  <c r="U354" i="12" s="1"/>
  <c r="U355" i="12" s="1"/>
  <c r="U356" i="12" s="1"/>
  <c r="U357" i="12" s="1"/>
  <c r="U358" i="12" s="1"/>
  <c r="F323" i="12"/>
  <c r="F324" i="12" s="1"/>
  <c r="F325" i="12" s="1"/>
  <c r="F326" i="12" s="1"/>
  <c r="F327" i="12" s="1"/>
  <c r="F328" i="12" s="1"/>
  <c r="F329" i="12" s="1"/>
  <c r="F330" i="12" s="1"/>
  <c r="F331" i="12" s="1"/>
  <c r="F332" i="12" s="1"/>
  <c r="F333" i="12" s="1"/>
  <c r="F334" i="12" s="1"/>
  <c r="F335" i="12" s="1"/>
  <c r="F336" i="12" s="1"/>
  <c r="F337" i="12" s="1"/>
  <c r="F338" i="12" s="1"/>
  <c r="F339" i="12" s="1"/>
  <c r="F340" i="12" s="1"/>
  <c r="F341" i="12" s="1"/>
  <c r="F342" i="12" s="1"/>
  <c r="F343" i="12" s="1"/>
  <c r="F344" i="12" s="1"/>
  <c r="F345" i="12" s="1"/>
  <c r="F346" i="12" s="1"/>
  <c r="F347" i="12" s="1"/>
  <c r="F348" i="12" s="1"/>
  <c r="F349" i="12" s="1"/>
  <c r="F350" i="12" s="1"/>
  <c r="F351" i="12" s="1"/>
  <c r="F352" i="12" s="1"/>
  <c r="F353" i="12" s="1"/>
  <c r="F354" i="12" s="1"/>
  <c r="F355" i="12" s="1"/>
  <c r="F356" i="12" s="1"/>
  <c r="F357" i="12" s="1"/>
  <c r="F358" i="12" s="1"/>
  <c r="AE323" i="12"/>
  <c r="AE324" i="12" s="1"/>
  <c r="AE325" i="12" s="1"/>
  <c r="AE326" i="12" s="1"/>
  <c r="AE327" i="12" s="1"/>
  <c r="AE328" i="12" s="1"/>
  <c r="AE329" i="12" s="1"/>
  <c r="AE330" i="12" s="1"/>
  <c r="AE331" i="12" s="1"/>
  <c r="AE332" i="12" s="1"/>
  <c r="AE333" i="12" s="1"/>
  <c r="AE334" i="12" s="1"/>
  <c r="AE335" i="12" s="1"/>
  <c r="AE336" i="12" s="1"/>
  <c r="AE337" i="12" s="1"/>
  <c r="AE338" i="12" s="1"/>
  <c r="AE339" i="12" s="1"/>
  <c r="AE340" i="12" s="1"/>
  <c r="AE341" i="12" s="1"/>
  <c r="AE342" i="12" s="1"/>
  <c r="AE343" i="12" s="1"/>
  <c r="AE344" i="12" s="1"/>
  <c r="AE345" i="12" s="1"/>
  <c r="AE346" i="12" s="1"/>
  <c r="AE347" i="12" s="1"/>
  <c r="AE348" i="12" s="1"/>
  <c r="AE349" i="12" s="1"/>
  <c r="AE350" i="12" s="1"/>
  <c r="AE351" i="12" s="1"/>
  <c r="AE352" i="12" s="1"/>
  <c r="AE353" i="12" s="1"/>
  <c r="AE354" i="12" s="1"/>
  <c r="AE355" i="12" s="1"/>
  <c r="AE356" i="12" s="1"/>
  <c r="AE357" i="12" s="1"/>
  <c r="AE358" i="12" s="1"/>
  <c r="AD323" i="12"/>
  <c r="AD324" i="12" s="1"/>
  <c r="AD325" i="12" s="1"/>
  <c r="AD326" i="12" s="1"/>
  <c r="AD327" i="12" s="1"/>
  <c r="AD328" i="12" s="1"/>
  <c r="AD329" i="12" s="1"/>
  <c r="AD330" i="12" s="1"/>
  <c r="AD331" i="12" s="1"/>
  <c r="AD332" i="12" s="1"/>
  <c r="AD333" i="12" s="1"/>
  <c r="AD334" i="12" s="1"/>
  <c r="AD335" i="12" s="1"/>
  <c r="AD336" i="12" s="1"/>
  <c r="AD337" i="12" s="1"/>
  <c r="AD338" i="12" s="1"/>
  <c r="AD339" i="12" s="1"/>
  <c r="AD340" i="12" s="1"/>
  <c r="AD341" i="12" s="1"/>
  <c r="AD342" i="12" s="1"/>
  <c r="AD343" i="12" s="1"/>
  <c r="AD344" i="12" s="1"/>
  <c r="AD345" i="12" s="1"/>
  <c r="AD346" i="12" s="1"/>
  <c r="AD347" i="12" s="1"/>
  <c r="AD348" i="12" s="1"/>
  <c r="AD349" i="12" s="1"/>
  <c r="AD350" i="12" s="1"/>
  <c r="AD351" i="12" s="1"/>
  <c r="AD352" i="12" s="1"/>
  <c r="AD353" i="12" s="1"/>
  <c r="AD354" i="12" s="1"/>
  <c r="AD355" i="12" s="1"/>
  <c r="AD356" i="12" s="1"/>
  <c r="AD357" i="12" s="1"/>
  <c r="AD358" i="12" s="1"/>
  <c r="J323" i="12"/>
  <c r="J324" i="12" s="1"/>
  <c r="J325" i="12" s="1"/>
  <c r="J326" i="12" s="1"/>
  <c r="J327" i="12" s="1"/>
  <c r="J328" i="12" s="1"/>
  <c r="J329" i="12" s="1"/>
  <c r="J330" i="12" s="1"/>
  <c r="J331" i="12" s="1"/>
  <c r="J332" i="12" s="1"/>
  <c r="J333" i="12" s="1"/>
  <c r="J334" i="12" s="1"/>
  <c r="J335" i="12" s="1"/>
  <c r="J336" i="12" s="1"/>
  <c r="J337" i="12" s="1"/>
  <c r="J338" i="12" s="1"/>
  <c r="J339" i="12" s="1"/>
  <c r="J340" i="12" s="1"/>
  <c r="J341" i="12" s="1"/>
  <c r="J342" i="12" s="1"/>
  <c r="J343" i="12" s="1"/>
  <c r="J344" i="12" s="1"/>
  <c r="J345" i="12" s="1"/>
  <c r="J346" i="12" s="1"/>
  <c r="J347" i="12" s="1"/>
  <c r="J348" i="12" s="1"/>
  <c r="J349" i="12" s="1"/>
  <c r="J350" i="12" s="1"/>
  <c r="J351" i="12" s="1"/>
  <c r="J352" i="12" s="1"/>
  <c r="J353" i="12" s="1"/>
  <c r="J354" i="12" s="1"/>
  <c r="J355" i="12" s="1"/>
  <c r="J356" i="12" s="1"/>
  <c r="J357" i="12" s="1"/>
  <c r="J358" i="12" s="1"/>
  <c r="D323" i="12"/>
  <c r="D324" i="12" s="1"/>
  <c r="D325" i="12" s="1"/>
  <c r="D326" i="12" s="1"/>
  <c r="D327" i="12" s="1"/>
  <c r="D328" i="12" s="1"/>
  <c r="D329" i="12" s="1"/>
  <c r="D330" i="12" s="1"/>
  <c r="D331" i="12" s="1"/>
  <c r="D332" i="12" s="1"/>
  <c r="D333" i="12" s="1"/>
  <c r="D334" i="12" s="1"/>
  <c r="D335" i="12" s="1"/>
  <c r="D336" i="12" s="1"/>
  <c r="D337" i="12" s="1"/>
  <c r="D338" i="12" s="1"/>
  <c r="D339" i="12" s="1"/>
  <c r="D340" i="12" s="1"/>
  <c r="D341" i="12" s="1"/>
  <c r="D342" i="12" s="1"/>
  <c r="D343" i="12" s="1"/>
  <c r="D344" i="12" s="1"/>
  <c r="D345" i="12" s="1"/>
  <c r="D346" i="12" s="1"/>
  <c r="D347" i="12" s="1"/>
  <c r="D348" i="12" s="1"/>
  <c r="D349" i="12" s="1"/>
  <c r="D350" i="12" s="1"/>
  <c r="D351" i="12" s="1"/>
  <c r="D352" i="12" s="1"/>
  <c r="D353" i="12" s="1"/>
  <c r="D354" i="12" s="1"/>
  <c r="D355" i="12" s="1"/>
  <c r="D356" i="12" s="1"/>
  <c r="D357" i="12" s="1"/>
  <c r="D358" i="12" s="1"/>
  <c r="O323" i="12"/>
  <c r="O324" i="12" s="1"/>
  <c r="O325" i="12" s="1"/>
  <c r="O326" i="12" s="1"/>
  <c r="O327" i="12" s="1"/>
  <c r="O328" i="12" s="1"/>
  <c r="O329" i="12" s="1"/>
  <c r="O330" i="12" s="1"/>
  <c r="O331" i="12" s="1"/>
  <c r="O332" i="12" s="1"/>
  <c r="O333" i="12" s="1"/>
  <c r="O334" i="12" s="1"/>
  <c r="O335" i="12" s="1"/>
  <c r="O336" i="12" s="1"/>
  <c r="O337" i="12" s="1"/>
  <c r="O338" i="12" s="1"/>
  <c r="O339" i="12" s="1"/>
  <c r="O340" i="12" s="1"/>
  <c r="O341" i="12" s="1"/>
  <c r="O342" i="12" s="1"/>
  <c r="O343" i="12" s="1"/>
  <c r="O344" i="12" s="1"/>
  <c r="O345" i="12" s="1"/>
  <c r="O346" i="12" s="1"/>
  <c r="O347" i="12" s="1"/>
  <c r="O348" i="12" s="1"/>
  <c r="O349" i="12" s="1"/>
  <c r="O350" i="12" s="1"/>
  <c r="O351" i="12" s="1"/>
  <c r="O352" i="12" s="1"/>
  <c r="O353" i="12" s="1"/>
  <c r="O354" i="12" s="1"/>
  <c r="O355" i="12" s="1"/>
  <c r="O356" i="12" s="1"/>
  <c r="O357" i="12" s="1"/>
  <c r="O358" i="12" s="1"/>
  <c r="G323" i="12"/>
  <c r="G324" i="12" s="1"/>
  <c r="G325" i="12" s="1"/>
  <c r="G326" i="12" s="1"/>
  <c r="G327" i="12" s="1"/>
  <c r="G328" i="12" s="1"/>
  <c r="G329" i="12" s="1"/>
  <c r="G330" i="12" s="1"/>
  <c r="G331" i="12" s="1"/>
  <c r="G332" i="12" s="1"/>
  <c r="G333" i="12" s="1"/>
  <c r="G334" i="12" s="1"/>
  <c r="G335" i="12" s="1"/>
  <c r="G336" i="12" s="1"/>
  <c r="G337" i="12" s="1"/>
  <c r="G338" i="12" s="1"/>
  <c r="G339" i="12" s="1"/>
  <c r="G340" i="12" s="1"/>
  <c r="G341" i="12" s="1"/>
  <c r="G342" i="12" s="1"/>
  <c r="G343" i="12" s="1"/>
  <c r="G344" i="12" s="1"/>
  <c r="G345" i="12" s="1"/>
  <c r="G346" i="12" s="1"/>
  <c r="G347" i="12" s="1"/>
  <c r="G348" i="12" s="1"/>
  <c r="G349" i="12" s="1"/>
  <c r="G350" i="12" s="1"/>
  <c r="G351" i="12" s="1"/>
  <c r="G352" i="12" s="1"/>
  <c r="G353" i="12" s="1"/>
  <c r="G354" i="12" s="1"/>
  <c r="G355" i="12" s="1"/>
  <c r="G356" i="12" s="1"/>
  <c r="G357" i="12" s="1"/>
  <c r="G358" i="12" s="1"/>
  <c r="M323" i="12"/>
  <c r="M324" i="12" s="1"/>
  <c r="M325" i="12" s="1"/>
  <c r="M326" i="12" s="1"/>
  <c r="M327" i="12" s="1"/>
  <c r="M328" i="12" s="1"/>
  <c r="M329" i="12" s="1"/>
  <c r="M330" i="12" s="1"/>
  <c r="M331" i="12" s="1"/>
  <c r="M332" i="12" s="1"/>
  <c r="M333" i="12" s="1"/>
  <c r="M334" i="12" s="1"/>
  <c r="M335" i="12" s="1"/>
  <c r="M336" i="12" s="1"/>
  <c r="M337" i="12" s="1"/>
  <c r="M338" i="12" s="1"/>
  <c r="M339" i="12" s="1"/>
  <c r="M340" i="12" s="1"/>
  <c r="M341" i="12" s="1"/>
  <c r="M342" i="12" s="1"/>
  <c r="M343" i="12" s="1"/>
  <c r="M344" i="12" s="1"/>
  <c r="M345" i="12" s="1"/>
  <c r="M346" i="12" s="1"/>
  <c r="M347" i="12" s="1"/>
  <c r="M348" i="12" s="1"/>
  <c r="M349" i="12" s="1"/>
  <c r="M350" i="12" s="1"/>
  <c r="M351" i="12" s="1"/>
  <c r="M352" i="12" s="1"/>
  <c r="M353" i="12" s="1"/>
  <c r="M354" i="12" s="1"/>
  <c r="M355" i="12" s="1"/>
  <c r="M356" i="12" s="1"/>
  <c r="M357" i="12" s="1"/>
  <c r="M358" i="12" s="1"/>
  <c r="N323" i="12"/>
  <c r="N324" i="12" s="1"/>
  <c r="N325" i="12" s="1"/>
  <c r="N326" i="12" s="1"/>
  <c r="N327" i="12" s="1"/>
  <c r="N328" i="12" s="1"/>
  <c r="N329" i="12" s="1"/>
  <c r="N330" i="12" s="1"/>
  <c r="N331" i="12" s="1"/>
  <c r="N332" i="12" s="1"/>
  <c r="N333" i="12" s="1"/>
  <c r="N334" i="12" s="1"/>
  <c r="N335" i="12" s="1"/>
  <c r="N336" i="12" s="1"/>
  <c r="N337" i="12" s="1"/>
  <c r="N338" i="12" s="1"/>
  <c r="N339" i="12" s="1"/>
  <c r="N340" i="12" s="1"/>
  <c r="N341" i="12" s="1"/>
  <c r="N342" i="12" s="1"/>
  <c r="N343" i="12" s="1"/>
  <c r="N344" i="12" s="1"/>
  <c r="N345" i="12" s="1"/>
  <c r="N346" i="12" s="1"/>
  <c r="N347" i="12" s="1"/>
  <c r="N348" i="12" s="1"/>
  <c r="N349" i="12" s="1"/>
  <c r="N350" i="12" s="1"/>
  <c r="N351" i="12" s="1"/>
  <c r="N352" i="12" s="1"/>
  <c r="N353" i="12" s="1"/>
  <c r="N354" i="12" s="1"/>
  <c r="N355" i="12" s="1"/>
  <c r="N356" i="12" s="1"/>
  <c r="N357" i="12" s="1"/>
  <c r="N358" i="12" s="1"/>
  <c r="T164" i="12"/>
  <c r="T165" i="12" s="1"/>
  <c r="AD204" i="12"/>
  <c r="AD205" i="12" s="1"/>
  <c r="AQ9" i="12"/>
  <c r="AS9" i="12"/>
  <c r="AR9" i="12"/>
  <c r="AQ12" i="12"/>
  <c r="AC203" i="12"/>
  <c r="AC204" i="12" s="1"/>
  <c r="AC205" i="12" s="1"/>
  <c r="AC163" i="12"/>
  <c r="AC164" i="12" s="1"/>
  <c r="AC165" i="12" s="1"/>
  <c r="AC123" i="12"/>
  <c r="AC124" i="12" s="1"/>
  <c r="AC125" i="12" s="1"/>
  <c r="AC83" i="12"/>
  <c r="AC84" i="12" s="1"/>
  <c r="AC85" i="12" s="1"/>
  <c r="AC243" i="12"/>
  <c r="AC244" i="12" s="1"/>
  <c r="AC245" i="12" s="1"/>
  <c r="AQ18" i="16"/>
  <c r="E58" i="16"/>
  <c r="H123" i="12"/>
  <c r="H124" i="12" s="1"/>
  <c r="H125" i="12" s="1"/>
  <c r="H83" i="12"/>
  <c r="H84" i="12" s="1"/>
  <c r="H85" i="12" s="1"/>
  <c r="H203" i="12"/>
  <c r="H204" i="12" s="1"/>
  <c r="H205" i="12" s="1"/>
  <c r="H243" i="12"/>
  <c r="H244" i="12" s="1"/>
  <c r="H245" i="12" s="1"/>
  <c r="H163" i="12"/>
  <c r="H164" i="12" s="1"/>
  <c r="H165" i="12" s="1"/>
  <c r="AF83" i="12"/>
  <c r="AF84" i="12" s="1"/>
  <c r="AF85" i="12" s="1"/>
  <c r="AF163" i="12"/>
  <c r="AF164" i="12" s="1"/>
  <c r="AF165" i="12" s="1"/>
  <c r="AF203" i="12"/>
  <c r="AF204" i="12" s="1"/>
  <c r="AF205" i="12" s="1"/>
  <c r="AF243" i="12"/>
  <c r="AF244" i="12" s="1"/>
  <c r="AF245" i="12" s="1"/>
  <c r="AF123" i="12"/>
  <c r="AF124" i="12" s="1"/>
  <c r="AF125" i="12" s="1"/>
  <c r="J83" i="12"/>
  <c r="J84" i="12" s="1"/>
  <c r="J85" i="12" s="1"/>
  <c r="J203" i="12"/>
  <c r="J204" i="12" s="1"/>
  <c r="J205" i="12" s="1"/>
  <c r="J123" i="12"/>
  <c r="J124" i="12" s="1"/>
  <c r="J125" i="12" s="1"/>
  <c r="J243" i="12"/>
  <c r="J244" i="12" s="1"/>
  <c r="J245" i="12" s="1"/>
  <c r="E45" i="16"/>
  <c r="AQ5" i="16"/>
  <c r="G45" i="16"/>
  <c r="F60" i="16"/>
  <c r="AQ20" i="16"/>
  <c r="K124" i="12"/>
  <c r="K125" i="12" s="1"/>
  <c r="S286" i="12"/>
  <c r="S287" i="12" s="1"/>
  <c r="S288" i="12" s="1"/>
  <c r="S289" i="12" s="1"/>
  <c r="S290" i="12" s="1"/>
  <c r="S291" i="12" s="1"/>
  <c r="S292" i="12" s="1"/>
  <c r="S293" i="12" s="1"/>
  <c r="S294" i="12" s="1"/>
  <c r="S295" i="12" s="1"/>
  <c r="S296" i="12" s="1"/>
  <c r="S297" i="12" s="1"/>
  <c r="S298" i="12" s="1"/>
  <c r="S299" i="12" s="1"/>
  <c r="S300" i="12" s="1"/>
  <c r="S301" i="12" s="1"/>
  <c r="S302" i="12" s="1"/>
  <c r="S303" i="12" s="1"/>
  <c r="S304" i="12" s="1"/>
  <c r="S305" i="12" s="1"/>
  <c r="S306" i="12" s="1"/>
  <c r="S307" i="12" s="1"/>
  <c r="S308" i="12" s="1"/>
  <c r="S309" i="12" s="1"/>
  <c r="S310" i="12" s="1"/>
  <c r="S311" i="12" s="1"/>
  <c r="S312" i="12" s="1"/>
  <c r="S313" i="12" s="1"/>
  <c r="S314" i="12" s="1"/>
  <c r="S315" i="12" s="1"/>
  <c r="S316" i="12" s="1"/>
  <c r="S317" i="12" s="1"/>
  <c r="S318" i="12" s="1"/>
  <c r="AR15" i="12"/>
  <c r="AR6" i="12"/>
  <c r="C244" i="12"/>
  <c r="C245" i="12" s="1"/>
  <c r="AQ6" i="12"/>
  <c r="AS6" i="12"/>
  <c r="X286" i="12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Z286" i="12"/>
  <c r="Z287" i="12" s="1"/>
  <c r="Z288" i="12" s="1"/>
  <c r="Z289" i="12" s="1"/>
  <c r="Z290" i="12" s="1"/>
  <c r="Z291" i="12" s="1"/>
  <c r="Z292" i="12" s="1"/>
  <c r="Z293" i="12" s="1"/>
  <c r="Z294" i="12" s="1"/>
  <c r="Z295" i="12" s="1"/>
  <c r="Z296" i="12" s="1"/>
  <c r="Z297" i="12" s="1"/>
  <c r="Z298" i="12" s="1"/>
  <c r="Z299" i="12" s="1"/>
  <c r="Z300" i="12" s="1"/>
  <c r="Z301" i="12" s="1"/>
  <c r="Z302" i="12" s="1"/>
  <c r="Z303" i="12" s="1"/>
  <c r="Z304" i="12" s="1"/>
  <c r="Z305" i="12" s="1"/>
  <c r="Z306" i="12" s="1"/>
  <c r="Z307" i="12" s="1"/>
  <c r="Z308" i="12" s="1"/>
  <c r="Z309" i="12" s="1"/>
  <c r="Z310" i="12" s="1"/>
  <c r="Z311" i="12" s="1"/>
  <c r="Z312" i="12" s="1"/>
  <c r="Z313" i="12" s="1"/>
  <c r="Z314" i="12" s="1"/>
  <c r="Z315" i="12" s="1"/>
  <c r="Z316" i="12" s="1"/>
  <c r="Z317" i="12" s="1"/>
  <c r="Z318" i="12" s="1"/>
  <c r="X124" i="12"/>
  <c r="X125" i="12" s="1"/>
  <c r="Q123" i="12"/>
  <c r="Q124" i="12" s="1"/>
  <c r="Q125" i="12" s="1"/>
  <c r="Q163" i="12"/>
  <c r="Q164" i="12" s="1"/>
  <c r="Q165" i="12" s="1"/>
  <c r="Q203" i="12"/>
  <c r="Q204" i="12" s="1"/>
  <c r="Q205" i="12" s="1"/>
  <c r="Q83" i="12"/>
  <c r="Q84" i="12" s="1"/>
  <c r="Q85" i="12" s="1"/>
  <c r="Q243" i="12"/>
  <c r="Q244" i="12" s="1"/>
  <c r="Q245" i="12" s="1"/>
  <c r="P243" i="12"/>
  <c r="P244" i="12" s="1"/>
  <c r="P245" i="12" s="1"/>
  <c r="P203" i="12"/>
  <c r="P204" i="12" s="1"/>
  <c r="P205" i="12" s="1"/>
  <c r="P163" i="12"/>
  <c r="P164" i="12" s="1"/>
  <c r="P165" i="12" s="1"/>
  <c r="P123" i="12"/>
  <c r="P124" i="12" s="1"/>
  <c r="P125" i="12" s="1"/>
  <c r="P83" i="12"/>
  <c r="P84" i="12" s="1"/>
  <c r="P85" i="12" s="1"/>
  <c r="D124" i="12"/>
  <c r="D125" i="12" s="1"/>
  <c r="AB163" i="12"/>
  <c r="AB164" i="12" s="1"/>
  <c r="AB165" i="12" s="1"/>
  <c r="AB203" i="12"/>
  <c r="AB204" i="12" s="1"/>
  <c r="AB205" i="12" s="1"/>
  <c r="AB243" i="12"/>
  <c r="AB244" i="12" s="1"/>
  <c r="AB245" i="12" s="1"/>
  <c r="AB83" i="12"/>
  <c r="AB84" i="12" s="1"/>
  <c r="AB85" i="12" s="1"/>
  <c r="AB123" i="12"/>
  <c r="AB124" i="12" s="1"/>
  <c r="AB125" i="12" s="1"/>
  <c r="AA203" i="12"/>
  <c r="AA204" i="12" s="1"/>
  <c r="AA205" i="12" s="1"/>
  <c r="AA83" i="12"/>
  <c r="AA84" i="12" s="1"/>
  <c r="AA85" i="12" s="1"/>
  <c r="AA243" i="12"/>
  <c r="AA244" i="12" s="1"/>
  <c r="AA245" i="12" s="1"/>
  <c r="AA123" i="12"/>
  <c r="AA124" i="12" s="1"/>
  <c r="AA125" i="12" s="1"/>
  <c r="AA163" i="12"/>
  <c r="AA164" i="12" s="1"/>
  <c r="AA165" i="12" s="1"/>
  <c r="G164" i="12"/>
  <c r="G165" i="12" s="1"/>
  <c r="Y164" i="12"/>
  <c r="Y165" i="12" s="1"/>
  <c r="Z124" i="12"/>
  <c r="Z125" i="12" s="1"/>
  <c r="AQ19" i="12"/>
  <c r="AS19" i="12"/>
  <c r="AR19" i="12"/>
  <c r="E124" i="12"/>
  <c r="E125" i="12" s="1"/>
  <c r="AQ17" i="12"/>
  <c r="AR17" i="12"/>
  <c r="AS7" i="12"/>
  <c r="AQ18" i="12"/>
  <c r="AS15" i="12"/>
  <c r="AQ15" i="12"/>
  <c r="AQ14" i="12"/>
  <c r="AS14" i="12"/>
  <c r="AS17" i="12"/>
  <c r="AR18" i="12"/>
  <c r="AS18" i="12"/>
  <c r="AR16" i="12"/>
  <c r="P286" i="12"/>
  <c r="P287" i="12" s="1"/>
  <c r="P288" i="12" s="1"/>
  <c r="P289" i="12" s="1"/>
  <c r="P290" i="12" s="1"/>
  <c r="P291" i="12" s="1"/>
  <c r="P292" i="12" s="1"/>
  <c r="P293" i="12" s="1"/>
  <c r="P294" i="12" s="1"/>
  <c r="P295" i="12" s="1"/>
  <c r="P296" i="12" s="1"/>
  <c r="P297" i="12" s="1"/>
  <c r="P298" i="12" s="1"/>
  <c r="P299" i="12" s="1"/>
  <c r="P300" i="12" s="1"/>
  <c r="P301" i="12" s="1"/>
  <c r="P302" i="12" s="1"/>
  <c r="P303" i="12" s="1"/>
  <c r="P304" i="12" s="1"/>
  <c r="P305" i="12" s="1"/>
  <c r="P306" i="12" s="1"/>
  <c r="P307" i="12" s="1"/>
  <c r="P308" i="12" s="1"/>
  <c r="P309" i="12" s="1"/>
  <c r="P310" i="12" s="1"/>
  <c r="P311" i="12" s="1"/>
  <c r="P312" i="12" s="1"/>
  <c r="P313" i="12" s="1"/>
  <c r="P314" i="12" s="1"/>
  <c r="P315" i="12" s="1"/>
  <c r="P316" i="12" s="1"/>
  <c r="P317" i="12" s="1"/>
  <c r="P318" i="12" s="1"/>
  <c r="AF286" i="12"/>
  <c r="AF287" i="12" s="1"/>
  <c r="AF288" i="12" s="1"/>
  <c r="AF289" i="12" s="1"/>
  <c r="AF290" i="12" s="1"/>
  <c r="AF291" i="12" s="1"/>
  <c r="AF292" i="12" s="1"/>
  <c r="AF293" i="12" s="1"/>
  <c r="AF294" i="12" s="1"/>
  <c r="AF295" i="12" s="1"/>
  <c r="AF296" i="12" s="1"/>
  <c r="AF297" i="12" s="1"/>
  <c r="AF298" i="12" s="1"/>
  <c r="AF299" i="12" s="1"/>
  <c r="AF300" i="12" s="1"/>
  <c r="AF301" i="12" s="1"/>
  <c r="AF302" i="12" s="1"/>
  <c r="AF303" i="12" s="1"/>
  <c r="AF304" i="12" s="1"/>
  <c r="AF305" i="12" s="1"/>
  <c r="AF306" i="12" s="1"/>
  <c r="AF307" i="12" s="1"/>
  <c r="AF308" i="12" s="1"/>
  <c r="AF309" i="12" s="1"/>
  <c r="AF310" i="12" s="1"/>
  <c r="AF311" i="12" s="1"/>
  <c r="AF312" i="12" s="1"/>
  <c r="AF313" i="12" s="1"/>
  <c r="AF314" i="12" s="1"/>
  <c r="AF315" i="12" s="1"/>
  <c r="AF316" i="12" s="1"/>
  <c r="AF317" i="12" s="1"/>
  <c r="AF318" i="12" s="1"/>
  <c r="AQ16" i="12"/>
  <c r="AR7" i="12"/>
  <c r="AC286" i="12"/>
  <c r="AC287" i="12" s="1"/>
  <c r="AC288" i="12" s="1"/>
  <c r="AC289" i="12" s="1"/>
  <c r="AC290" i="12" s="1"/>
  <c r="AC291" i="12" s="1"/>
  <c r="AC292" i="12" s="1"/>
  <c r="AC293" i="12" s="1"/>
  <c r="AC294" i="12" s="1"/>
  <c r="AC295" i="12" s="1"/>
  <c r="AC296" i="12" s="1"/>
  <c r="AC297" i="12" s="1"/>
  <c r="AC298" i="12" s="1"/>
  <c r="AC299" i="12" s="1"/>
  <c r="AC300" i="12" s="1"/>
  <c r="AC301" i="12" s="1"/>
  <c r="AC302" i="12" s="1"/>
  <c r="AC303" i="12" s="1"/>
  <c r="AC304" i="12" s="1"/>
  <c r="AC305" i="12" s="1"/>
  <c r="AC306" i="12" s="1"/>
  <c r="AC307" i="12" s="1"/>
  <c r="AC308" i="12" s="1"/>
  <c r="AC309" i="12" s="1"/>
  <c r="AC310" i="12" s="1"/>
  <c r="AC311" i="12" s="1"/>
  <c r="AC312" i="12" s="1"/>
  <c r="AC313" i="12" s="1"/>
  <c r="AC314" i="12" s="1"/>
  <c r="AC315" i="12" s="1"/>
  <c r="AC316" i="12" s="1"/>
  <c r="AC317" i="12" s="1"/>
  <c r="AC318" i="12" s="1"/>
  <c r="M286" i="12"/>
  <c r="M287" i="12" s="1"/>
  <c r="M288" i="12" s="1"/>
  <c r="M289" i="12" s="1"/>
  <c r="M290" i="12" s="1"/>
  <c r="M291" i="12" s="1"/>
  <c r="M292" i="12" s="1"/>
  <c r="M293" i="12" s="1"/>
  <c r="M294" i="12" s="1"/>
  <c r="M295" i="12" s="1"/>
  <c r="M296" i="12" s="1"/>
  <c r="M297" i="12" s="1"/>
  <c r="M298" i="12" s="1"/>
  <c r="M299" i="12" s="1"/>
  <c r="M300" i="12" s="1"/>
  <c r="M301" i="12" s="1"/>
  <c r="M302" i="12" s="1"/>
  <c r="M303" i="12" s="1"/>
  <c r="M304" i="12" s="1"/>
  <c r="M305" i="12" s="1"/>
  <c r="M306" i="12" s="1"/>
  <c r="M307" i="12" s="1"/>
  <c r="M308" i="12" s="1"/>
  <c r="M309" i="12" s="1"/>
  <c r="M310" i="12" s="1"/>
  <c r="M311" i="12" s="1"/>
  <c r="M312" i="12" s="1"/>
  <c r="M313" i="12" s="1"/>
  <c r="M314" i="12" s="1"/>
  <c r="M315" i="12" s="1"/>
  <c r="M316" i="12" s="1"/>
  <c r="M317" i="12" s="1"/>
  <c r="M318" i="12" s="1"/>
  <c r="AR8" i="12"/>
  <c r="AQ8" i="12"/>
  <c r="N286" i="12"/>
  <c r="N287" i="12" s="1"/>
  <c r="N288" i="12" s="1"/>
  <c r="N289" i="12" s="1"/>
  <c r="N290" i="12" s="1"/>
  <c r="N291" i="12" s="1"/>
  <c r="N292" i="12" s="1"/>
  <c r="N293" i="12" s="1"/>
  <c r="N294" i="12" s="1"/>
  <c r="N295" i="12" s="1"/>
  <c r="N296" i="12" s="1"/>
  <c r="N297" i="12" s="1"/>
  <c r="N298" i="12" s="1"/>
  <c r="N299" i="12" s="1"/>
  <c r="N300" i="12" s="1"/>
  <c r="N301" i="12" s="1"/>
  <c r="N302" i="12" s="1"/>
  <c r="N303" i="12" s="1"/>
  <c r="N304" i="12" s="1"/>
  <c r="N305" i="12" s="1"/>
  <c r="N306" i="12" s="1"/>
  <c r="N307" i="12" s="1"/>
  <c r="N308" i="12" s="1"/>
  <c r="N309" i="12" s="1"/>
  <c r="N310" i="12" s="1"/>
  <c r="N311" i="12" s="1"/>
  <c r="N312" i="12" s="1"/>
  <c r="N313" i="12" s="1"/>
  <c r="N314" i="12" s="1"/>
  <c r="N315" i="12" s="1"/>
  <c r="N316" i="12" s="1"/>
  <c r="N317" i="12" s="1"/>
  <c r="N318" i="12" s="1"/>
  <c r="AD286" i="12"/>
  <c r="AD287" i="12" s="1"/>
  <c r="AD288" i="12" s="1"/>
  <c r="AD289" i="12" s="1"/>
  <c r="AD290" i="12" s="1"/>
  <c r="AD291" i="12" s="1"/>
  <c r="AD292" i="12" s="1"/>
  <c r="AD293" i="12" s="1"/>
  <c r="AD294" i="12" s="1"/>
  <c r="AD295" i="12" s="1"/>
  <c r="AD296" i="12" s="1"/>
  <c r="AD297" i="12" s="1"/>
  <c r="AD298" i="12" s="1"/>
  <c r="AD299" i="12" s="1"/>
  <c r="AD300" i="12" s="1"/>
  <c r="AD301" i="12" s="1"/>
  <c r="AD302" i="12" s="1"/>
  <c r="AD303" i="12" s="1"/>
  <c r="AD304" i="12" s="1"/>
  <c r="AD305" i="12" s="1"/>
  <c r="AD306" i="12" s="1"/>
  <c r="AD307" i="12" s="1"/>
  <c r="AD308" i="12" s="1"/>
  <c r="AD309" i="12" s="1"/>
  <c r="AD310" i="12" s="1"/>
  <c r="AD311" i="12" s="1"/>
  <c r="AD312" i="12" s="1"/>
  <c r="AD313" i="12" s="1"/>
  <c r="AD314" i="12" s="1"/>
  <c r="AD315" i="12" s="1"/>
  <c r="AD316" i="12" s="1"/>
  <c r="AD317" i="12" s="1"/>
  <c r="AD318" i="12" s="1"/>
  <c r="AA286" i="12"/>
  <c r="AA287" i="12" s="1"/>
  <c r="AA288" i="12" s="1"/>
  <c r="AA289" i="12" s="1"/>
  <c r="AA290" i="12" s="1"/>
  <c r="AA291" i="12" s="1"/>
  <c r="AA292" i="12" s="1"/>
  <c r="AA293" i="12" s="1"/>
  <c r="AA294" i="12" s="1"/>
  <c r="AA295" i="12" s="1"/>
  <c r="AA296" i="12" s="1"/>
  <c r="AA297" i="12" s="1"/>
  <c r="AA298" i="12" s="1"/>
  <c r="AA299" i="12" s="1"/>
  <c r="AA300" i="12" s="1"/>
  <c r="AA301" i="12" s="1"/>
  <c r="AA302" i="12" s="1"/>
  <c r="AA303" i="12" s="1"/>
  <c r="AA304" i="12" s="1"/>
  <c r="AA305" i="12" s="1"/>
  <c r="AA306" i="12" s="1"/>
  <c r="AA307" i="12" s="1"/>
  <c r="AA308" i="12" s="1"/>
  <c r="AA309" i="12" s="1"/>
  <c r="AA310" i="12" s="1"/>
  <c r="AA311" i="12" s="1"/>
  <c r="AA312" i="12" s="1"/>
  <c r="AA313" i="12" s="1"/>
  <c r="AA314" i="12" s="1"/>
  <c r="AA315" i="12" s="1"/>
  <c r="AA316" i="12" s="1"/>
  <c r="AA317" i="12" s="1"/>
  <c r="AA318" i="12" s="1"/>
  <c r="AR11" i="12"/>
  <c r="AS16" i="12"/>
  <c r="AQ4" i="12"/>
  <c r="AS4" i="12"/>
  <c r="T286" i="12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D286" i="12"/>
  <c r="D287" i="12" s="1"/>
  <c r="D288" i="12" s="1"/>
  <c r="D289" i="12" s="1"/>
  <c r="D290" i="12" s="1"/>
  <c r="D291" i="12" s="1"/>
  <c r="D292" i="12" s="1"/>
  <c r="D293" i="12" s="1"/>
  <c r="D294" i="12" s="1"/>
  <c r="D295" i="12" s="1"/>
  <c r="D296" i="12" s="1"/>
  <c r="D297" i="12" s="1"/>
  <c r="D298" i="12" s="1"/>
  <c r="D299" i="12" s="1"/>
  <c r="D300" i="12" s="1"/>
  <c r="D301" i="12" s="1"/>
  <c r="D302" i="12" s="1"/>
  <c r="D303" i="12" s="1"/>
  <c r="D304" i="12" s="1"/>
  <c r="D305" i="12" s="1"/>
  <c r="D306" i="12" s="1"/>
  <c r="D307" i="12" s="1"/>
  <c r="D308" i="12" s="1"/>
  <c r="D309" i="12" s="1"/>
  <c r="D310" i="12" s="1"/>
  <c r="D311" i="12" s="1"/>
  <c r="D312" i="12" s="1"/>
  <c r="D313" i="12" s="1"/>
  <c r="D314" i="12" s="1"/>
  <c r="D315" i="12" s="1"/>
  <c r="D316" i="12" s="1"/>
  <c r="D317" i="12" s="1"/>
  <c r="D318" i="12" s="1"/>
  <c r="AH204" i="12"/>
  <c r="AH205" i="12" s="1"/>
  <c r="AB286" i="12"/>
  <c r="AB287" i="12" s="1"/>
  <c r="AB288" i="12" s="1"/>
  <c r="AB289" i="12" s="1"/>
  <c r="AB290" i="12" s="1"/>
  <c r="AB291" i="12" s="1"/>
  <c r="AB292" i="12" s="1"/>
  <c r="AB293" i="12" s="1"/>
  <c r="AB294" i="12" s="1"/>
  <c r="AB295" i="12" s="1"/>
  <c r="AB296" i="12" s="1"/>
  <c r="AB297" i="12" s="1"/>
  <c r="AB298" i="12" s="1"/>
  <c r="AB299" i="12" s="1"/>
  <c r="AB300" i="12" s="1"/>
  <c r="AB301" i="12" s="1"/>
  <c r="AB302" i="12" s="1"/>
  <c r="AB303" i="12" s="1"/>
  <c r="AB304" i="12" s="1"/>
  <c r="AB305" i="12" s="1"/>
  <c r="AB306" i="12" s="1"/>
  <c r="AB307" i="12" s="1"/>
  <c r="AB308" i="12" s="1"/>
  <c r="AB309" i="12" s="1"/>
  <c r="AB310" i="12" s="1"/>
  <c r="AB311" i="12" s="1"/>
  <c r="AB312" i="12" s="1"/>
  <c r="AB313" i="12" s="1"/>
  <c r="AB314" i="12" s="1"/>
  <c r="AB315" i="12" s="1"/>
  <c r="AB316" i="12" s="1"/>
  <c r="AB317" i="12" s="1"/>
  <c r="AB318" i="12" s="1"/>
  <c r="Q286" i="12"/>
  <c r="Q287" i="12" s="1"/>
  <c r="Q288" i="12" s="1"/>
  <c r="Q289" i="12" s="1"/>
  <c r="Q290" i="12" s="1"/>
  <c r="Q291" i="12" s="1"/>
  <c r="Q292" i="12" s="1"/>
  <c r="Q293" i="12" s="1"/>
  <c r="Q294" i="12" s="1"/>
  <c r="Q295" i="12" s="1"/>
  <c r="Q296" i="12" s="1"/>
  <c r="Q297" i="12" s="1"/>
  <c r="Q298" i="12" s="1"/>
  <c r="Q299" i="12" s="1"/>
  <c r="Q300" i="12" s="1"/>
  <c r="Q301" i="12" s="1"/>
  <c r="Q302" i="12" s="1"/>
  <c r="Q303" i="12" s="1"/>
  <c r="Q304" i="12" s="1"/>
  <c r="Q305" i="12" s="1"/>
  <c r="Q306" i="12" s="1"/>
  <c r="Q307" i="12" s="1"/>
  <c r="Q308" i="12" s="1"/>
  <c r="Q309" i="12" s="1"/>
  <c r="Q310" i="12" s="1"/>
  <c r="Q311" i="12" s="1"/>
  <c r="Q312" i="12" s="1"/>
  <c r="Q313" i="12" s="1"/>
  <c r="Q314" i="12" s="1"/>
  <c r="Q315" i="12" s="1"/>
  <c r="Q316" i="12" s="1"/>
  <c r="Q317" i="12" s="1"/>
  <c r="Q318" i="12" s="1"/>
  <c r="V244" i="12"/>
  <c r="V245" i="12" s="1"/>
  <c r="AR14" i="12"/>
  <c r="AQ11" i="12"/>
  <c r="F58" i="16"/>
  <c r="Y286" i="12"/>
  <c r="Y287" i="12" s="1"/>
  <c r="Y288" i="12" s="1"/>
  <c r="Y289" i="12" s="1"/>
  <c r="Y290" i="12" s="1"/>
  <c r="Y291" i="12" s="1"/>
  <c r="Y292" i="12" s="1"/>
  <c r="Y293" i="12" s="1"/>
  <c r="Y294" i="12" s="1"/>
  <c r="Y295" i="12" s="1"/>
  <c r="Y296" i="12" s="1"/>
  <c r="Y297" i="12" s="1"/>
  <c r="Y298" i="12" s="1"/>
  <c r="Y299" i="12" s="1"/>
  <c r="Y300" i="12" s="1"/>
  <c r="Y301" i="12" s="1"/>
  <c r="Y302" i="12" s="1"/>
  <c r="Y303" i="12" s="1"/>
  <c r="Y304" i="12" s="1"/>
  <c r="Y305" i="12" s="1"/>
  <c r="Y306" i="12" s="1"/>
  <c r="Y307" i="12" s="1"/>
  <c r="Y308" i="12" s="1"/>
  <c r="Y309" i="12" s="1"/>
  <c r="Y310" i="12" s="1"/>
  <c r="Y311" i="12" s="1"/>
  <c r="Y312" i="12" s="1"/>
  <c r="Y313" i="12" s="1"/>
  <c r="Y314" i="12" s="1"/>
  <c r="Y315" i="12" s="1"/>
  <c r="Y316" i="12" s="1"/>
  <c r="Y317" i="12" s="1"/>
  <c r="Y318" i="12" s="1"/>
  <c r="R286" i="12"/>
  <c r="R287" i="12" s="1"/>
  <c r="R288" i="12" s="1"/>
  <c r="R289" i="12" s="1"/>
  <c r="R290" i="12" s="1"/>
  <c r="R291" i="12" s="1"/>
  <c r="R292" i="12" s="1"/>
  <c r="R293" i="12" s="1"/>
  <c r="R294" i="12" s="1"/>
  <c r="R295" i="12" s="1"/>
  <c r="R296" i="12" s="1"/>
  <c r="R297" i="12" s="1"/>
  <c r="R298" i="12" s="1"/>
  <c r="R299" i="12" s="1"/>
  <c r="R300" i="12" s="1"/>
  <c r="R301" i="12" s="1"/>
  <c r="R302" i="12" s="1"/>
  <c r="R303" i="12" s="1"/>
  <c r="R304" i="12" s="1"/>
  <c r="R305" i="12" s="1"/>
  <c r="R306" i="12" s="1"/>
  <c r="R307" i="12" s="1"/>
  <c r="R308" i="12" s="1"/>
  <c r="R309" i="12" s="1"/>
  <c r="R310" i="12" s="1"/>
  <c r="R311" i="12" s="1"/>
  <c r="R312" i="12" s="1"/>
  <c r="R313" i="12" s="1"/>
  <c r="R314" i="12" s="1"/>
  <c r="R315" i="12" s="1"/>
  <c r="R316" i="12" s="1"/>
  <c r="R317" i="12" s="1"/>
  <c r="R318" i="12" s="1"/>
  <c r="F57" i="16"/>
  <c r="AQ17" i="16"/>
  <c r="F56" i="16"/>
  <c r="AQ16" i="16"/>
  <c r="F59" i="16"/>
  <c r="AQ19" i="16"/>
  <c r="J164" i="12"/>
  <c r="J165" i="12" s="1"/>
  <c r="AS11" i="12"/>
  <c r="AS3" i="12"/>
  <c r="AR3" i="12"/>
  <c r="AQ3" i="12"/>
  <c r="AI286" i="12"/>
  <c r="AQ20" i="12"/>
  <c r="AR20" i="12"/>
  <c r="AS20" i="12"/>
  <c r="E286" i="12"/>
  <c r="V124" i="12"/>
  <c r="V125" i="12" s="1"/>
  <c r="AR12" i="12"/>
  <c r="AJ286" i="12"/>
  <c r="AJ287" i="12" s="1"/>
  <c r="AJ288" i="12" s="1"/>
  <c r="AJ289" i="12" s="1"/>
  <c r="AJ290" i="12" s="1"/>
  <c r="AJ291" i="12" s="1"/>
  <c r="AJ292" i="12" s="1"/>
  <c r="AJ293" i="12" s="1"/>
  <c r="AJ294" i="12" s="1"/>
  <c r="AJ295" i="12" s="1"/>
  <c r="AJ296" i="12" s="1"/>
  <c r="AJ297" i="12" s="1"/>
  <c r="AJ298" i="12" s="1"/>
  <c r="AJ299" i="12" s="1"/>
  <c r="AJ300" i="12" s="1"/>
  <c r="AJ301" i="12" s="1"/>
  <c r="AJ302" i="12" s="1"/>
  <c r="AJ303" i="12" s="1"/>
  <c r="AJ304" i="12" s="1"/>
  <c r="AJ305" i="12" s="1"/>
  <c r="AJ306" i="12" s="1"/>
  <c r="AJ307" i="12" s="1"/>
  <c r="AJ308" i="12" s="1"/>
  <c r="AJ309" i="12" s="1"/>
  <c r="AJ310" i="12" s="1"/>
  <c r="AJ311" i="12" s="1"/>
  <c r="AJ312" i="12" s="1"/>
  <c r="AJ313" i="12" s="1"/>
  <c r="AJ314" i="12" s="1"/>
  <c r="AJ315" i="12" s="1"/>
  <c r="AJ316" i="12" s="1"/>
  <c r="AJ317" i="12" s="1"/>
  <c r="AJ318" i="12" s="1"/>
  <c r="I286" i="12"/>
  <c r="J286" i="12"/>
  <c r="O286" i="12"/>
  <c r="AG286" i="12"/>
  <c r="AE286" i="12"/>
  <c r="F286" i="12"/>
  <c r="C286" i="12"/>
  <c r="K286" i="12"/>
  <c r="U286" i="12"/>
  <c r="W286" i="12"/>
  <c r="AS5" i="12"/>
  <c r="AQ5" i="12"/>
  <c r="AR5" i="12"/>
  <c r="AH286" i="12"/>
  <c r="V286" i="12"/>
  <c r="H286" i="12"/>
  <c r="G39" i="14" l="1"/>
  <c r="F40" i="14"/>
  <c r="F41" i="14"/>
  <c r="F42" i="14" s="1"/>
  <c r="F49" i="16"/>
  <c r="G9" i="16"/>
  <c r="E53" i="16"/>
  <c r="F13" i="16"/>
  <c r="AQ13" i="16"/>
  <c r="E54" i="16"/>
  <c r="F14" i="16"/>
  <c r="AQ14" i="16"/>
  <c r="F52" i="16"/>
  <c r="G12" i="16"/>
  <c r="F48" i="16"/>
  <c r="G8" i="16"/>
  <c r="F51" i="16"/>
  <c r="G11" i="16"/>
  <c r="F46" i="16"/>
  <c r="G6" i="16"/>
  <c r="F44" i="16"/>
  <c r="G4" i="16"/>
  <c r="F3" i="16"/>
  <c r="F43" i="16" s="1"/>
  <c r="E43" i="16"/>
  <c r="E42" i="16"/>
  <c r="F2" i="16"/>
  <c r="AQ2" i="16"/>
  <c r="P55" i="16"/>
  <c r="Q15" i="16"/>
  <c r="F50" i="16"/>
  <c r="G10" i="16"/>
  <c r="F47" i="16"/>
  <c r="G7" i="16"/>
  <c r="T166" i="12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AC166" i="12"/>
  <c r="AC167" i="12" s="1"/>
  <c r="AC168" i="12" s="1"/>
  <c r="AC169" i="12" s="1"/>
  <c r="AC170" i="12" s="1"/>
  <c r="AC171" i="12" s="1"/>
  <c r="AC172" i="12" s="1"/>
  <c r="AC173" i="12" s="1"/>
  <c r="AC174" i="12" s="1"/>
  <c r="AC175" i="12" s="1"/>
  <c r="AC176" i="12" s="1"/>
  <c r="AC177" i="12" s="1"/>
  <c r="AC178" i="12" s="1"/>
  <c r="AC179" i="12" s="1"/>
  <c r="AC180" i="12" s="1"/>
  <c r="AC181" i="12" s="1"/>
  <c r="AC182" i="12" s="1"/>
  <c r="AC183" i="12" s="1"/>
  <c r="AC184" i="12" s="1"/>
  <c r="AC185" i="12" s="1"/>
  <c r="AC186" i="12" s="1"/>
  <c r="AC187" i="12" s="1"/>
  <c r="AC188" i="12" s="1"/>
  <c r="AC189" i="12" s="1"/>
  <c r="AC190" i="12" s="1"/>
  <c r="AC191" i="12" s="1"/>
  <c r="AC192" i="12" s="1"/>
  <c r="AC193" i="12" s="1"/>
  <c r="AC194" i="12" s="1"/>
  <c r="AC195" i="12" s="1"/>
  <c r="AC196" i="12" s="1"/>
  <c r="AC197" i="12" s="1"/>
  <c r="AC198" i="12" s="1"/>
  <c r="I166" i="12"/>
  <c r="I167" i="12" s="1"/>
  <c r="I168" i="12" s="1"/>
  <c r="I169" i="12" s="1"/>
  <c r="I170" i="12" s="1"/>
  <c r="I171" i="12" s="1"/>
  <c r="I172" i="12" s="1"/>
  <c r="I173" i="12" s="1"/>
  <c r="I174" i="12" s="1"/>
  <c r="I175" i="12" s="1"/>
  <c r="I176" i="12" s="1"/>
  <c r="I177" i="12" s="1"/>
  <c r="I178" i="12" s="1"/>
  <c r="I179" i="12" s="1"/>
  <c r="I180" i="12" s="1"/>
  <c r="I181" i="12" s="1"/>
  <c r="I182" i="12" s="1"/>
  <c r="I183" i="12" s="1"/>
  <c r="I184" i="12" s="1"/>
  <c r="I185" i="12" s="1"/>
  <c r="I186" i="12" s="1"/>
  <c r="I187" i="12" s="1"/>
  <c r="I188" i="12" s="1"/>
  <c r="I189" i="12" s="1"/>
  <c r="I190" i="12" s="1"/>
  <c r="I191" i="12" s="1"/>
  <c r="I192" i="12" s="1"/>
  <c r="I193" i="12" s="1"/>
  <c r="I194" i="12" s="1"/>
  <c r="I195" i="12" s="1"/>
  <c r="I196" i="12" s="1"/>
  <c r="I197" i="12" s="1"/>
  <c r="I198" i="12" s="1"/>
  <c r="E206" i="12"/>
  <c r="E207" i="12" s="1"/>
  <c r="E208" i="12" s="1"/>
  <c r="E209" i="12" s="1"/>
  <c r="E210" i="12" s="1"/>
  <c r="E211" i="12" s="1"/>
  <c r="E212" i="12" s="1"/>
  <c r="E213" i="12" s="1"/>
  <c r="E214" i="12" s="1"/>
  <c r="E215" i="12" s="1"/>
  <c r="E216" i="12" s="1"/>
  <c r="E217" i="12" s="1"/>
  <c r="E218" i="12" s="1"/>
  <c r="E219" i="12" s="1"/>
  <c r="E220" i="12" s="1"/>
  <c r="E221" i="12" s="1"/>
  <c r="E222" i="12" s="1"/>
  <c r="E223" i="12" s="1"/>
  <c r="E224" i="12" s="1"/>
  <c r="E225" i="12" s="1"/>
  <c r="E226" i="12" s="1"/>
  <c r="E227" i="12" s="1"/>
  <c r="E228" i="12" s="1"/>
  <c r="E229" i="12" s="1"/>
  <c r="E230" i="12" s="1"/>
  <c r="E231" i="12" s="1"/>
  <c r="E232" i="12" s="1"/>
  <c r="E233" i="12" s="1"/>
  <c r="E234" i="12" s="1"/>
  <c r="E235" i="12" s="1"/>
  <c r="E236" i="12" s="1"/>
  <c r="E237" i="12" s="1"/>
  <c r="E238" i="12" s="1"/>
  <c r="E86" i="12"/>
  <c r="E87" i="12" s="1"/>
  <c r="E88" i="12" s="1"/>
  <c r="E89" i="12" s="1"/>
  <c r="E90" i="12" s="1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V86" i="12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E126" i="12"/>
  <c r="E127" i="12" s="1"/>
  <c r="E128" i="12" s="1"/>
  <c r="E129" i="12" s="1"/>
  <c r="E130" i="12" s="1"/>
  <c r="E131" i="12" s="1"/>
  <c r="E132" i="12" s="1"/>
  <c r="E133" i="12" s="1"/>
  <c r="E134" i="12" s="1"/>
  <c r="E135" i="12" s="1"/>
  <c r="E136" i="12" s="1"/>
  <c r="E137" i="12" s="1"/>
  <c r="E138" i="12" s="1"/>
  <c r="E139" i="12" s="1"/>
  <c r="E140" i="12" s="1"/>
  <c r="E141" i="12" s="1"/>
  <c r="E142" i="12" s="1"/>
  <c r="E143" i="12" s="1"/>
  <c r="E144" i="12" s="1"/>
  <c r="E145" i="12" s="1"/>
  <c r="E146" i="12" s="1"/>
  <c r="E147" i="12" s="1"/>
  <c r="E148" i="12" s="1"/>
  <c r="E149" i="12" s="1"/>
  <c r="E150" i="12" s="1"/>
  <c r="E151" i="12" s="1"/>
  <c r="E152" i="12" s="1"/>
  <c r="E153" i="12" s="1"/>
  <c r="E154" i="12" s="1"/>
  <c r="E155" i="12" s="1"/>
  <c r="E156" i="12" s="1"/>
  <c r="E157" i="12" s="1"/>
  <c r="E158" i="12" s="1"/>
  <c r="E246" i="12"/>
  <c r="E247" i="12" s="1"/>
  <c r="E248" i="12" s="1"/>
  <c r="E249" i="12" s="1"/>
  <c r="E250" i="12" s="1"/>
  <c r="E251" i="12" s="1"/>
  <c r="E252" i="12" s="1"/>
  <c r="E253" i="12" s="1"/>
  <c r="E254" i="12" s="1"/>
  <c r="E255" i="12" s="1"/>
  <c r="E256" i="12" s="1"/>
  <c r="E257" i="12" s="1"/>
  <c r="E258" i="12" s="1"/>
  <c r="E259" i="12" s="1"/>
  <c r="E260" i="12" s="1"/>
  <c r="E261" i="12" s="1"/>
  <c r="E262" i="12" s="1"/>
  <c r="E263" i="12" s="1"/>
  <c r="E264" i="12" s="1"/>
  <c r="E265" i="12" s="1"/>
  <c r="E266" i="12" s="1"/>
  <c r="E267" i="12" s="1"/>
  <c r="E268" i="12" s="1"/>
  <c r="E269" i="12" s="1"/>
  <c r="E270" i="12" s="1"/>
  <c r="E271" i="12" s="1"/>
  <c r="E272" i="12" s="1"/>
  <c r="E273" i="12" s="1"/>
  <c r="E274" i="12" s="1"/>
  <c r="E275" i="12" s="1"/>
  <c r="E276" i="12" s="1"/>
  <c r="E277" i="12" s="1"/>
  <c r="E278" i="12" s="1"/>
  <c r="E166" i="12"/>
  <c r="E167" i="12" s="1"/>
  <c r="E168" i="12" s="1"/>
  <c r="E169" i="12" s="1"/>
  <c r="E170" i="12" s="1"/>
  <c r="E171" i="12" s="1"/>
  <c r="E172" i="12" s="1"/>
  <c r="E173" i="12" s="1"/>
  <c r="E174" i="12" s="1"/>
  <c r="E175" i="12" s="1"/>
  <c r="E176" i="12" s="1"/>
  <c r="E177" i="12" s="1"/>
  <c r="E178" i="12" s="1"/>
  <c r="E179" i="12" s="1"/>
  <c r="E180" i="12" s="1"/>
  <c r="E181" i="12" s="1"/>
  <c r="E182" i="12" s="1"/>
  <c r="E183" i="12" s="1"/>
  <c r="E184" i="12" s="1"/>
  <c r="E185" i="12" s="1"/>
  <c r="E186" i="12" s="1"/>
  <c r="E187" i="12" s="1"/>
  <c r="E188" i="12" s="1"/>
  <c r="E189" i="12" s="1"/>
  <c r="E190" i="12" s="1"/>
  <c r="E191" i="12" s="1"/>
  <c r="E192" i="12" s="1"/>
  <c r="E193" i="12" s="1"/>
  <c r="E194" i="12" s="1"/>
  <c r="E195" i="12" s="1"/>
  <c r="E196" i="12" s="1"/>
  <c r="E197" i="12" s="1"/>
  <c r="E198" i="12" s="1"/>
  <c r="AE86" i="12"/>
  <c r="AE87" i="12" s="1"/>
  <c r="AE88" i="12" s="1"/>
  <c r="AE89" i="12" s="1"/>
  <c r="AE90" i="12" s="1"/>
  <c r="AE91" i="12" s="1"/>
  <c r="AE92" i="12" s="1"/>
  <c r="AE93" i="12" s="1"/>
  <c r="AE94" i="12" s="1"/>
  <c r="AE95" i="12" s="1"/>
  <c r="AE96" i="12" s="1"/>
  <c r="AE97" i="12" s="1"/>
  <c r="AE98" i="12" s="1"/>
  <c r="AE99" i="12" s="1"/>
  <c r="AE100" i="12" s="1"/>
  <c r="AE101" i="12" s="1"/>
  <c r="AE102" i="12" s="1"/>
  <c r="AE103" i="12" s="1"/>
  <c r="AE104" i="12" s="1"/>
  <c r="AE105" i="12" s="1"/>
  <c r="AE106" i="12" s="1"/>
  <c r="AE107" i="12" s="1"/>
  <c r="AE108" i="12" s="1"/>
  <c r="AE109" i="12" s="1"/>
  <c r="AE110" i="12" s="1"/>
  <c r="AE111" i="12" s="1"/>
  <c r="AE112" i="12" s="1"/>
  <c r="AE113" i="12" s="1"/>
  <c r="AE114" i="12" s="1"/>
  <c r="AE115" i="12" s="1"/>
  <c r="AE116" i="12" s="1"/>
  <c r="AE117" i="12" s="1"/>
  <c r="AE118" i="12" s="1"/>
  <c r="G206" i="12"/>
  <c r="G207" i="12" s="1"/>
  <c r="G208" i="12" s="1"/>
  <c r="G209" i="12" s="1"/>
  <c r="G210" i="12" s="1"/>
  <c r="G211" i="12" s="1"/>
  <c r="G212" i="12" s="1"/>
  <c r="G213" i="12" s="1"/>
  <c r="G214" i="12" s="1"/>
  <c r="G215" i="12" s="1"/>
  <c r="G216" i="12" s="1"/>
  <c r="G217" i="12" s="1"/>
  <c r="G218" i="12" s="1"/>
  <c r="G219" i="12" s="1"/>
  <c r="G220" i="12" s="1"/>
  <c r="G221" i="12" s="1"/>
  <c r="G222" i="12" s="1"/>
  <c r="G223" i="12" s="1"/>
  <c r="G224" i="12" s="1"/>
  <c r="G225" i="12" s="1"/>
  <c r="G226" i="12" s="1"/>
  <c r="G227" i="12" s="1"/>
  <c r="G228" i="12" s="1"/>
  <c r="G229" i="12" s="1"/>
  <c r="G230" i="12" s="1"/>
  <c r="G231" i="12" s="1"/>
  <c r="G232" i="12" s="1"/>
  <c r="G233" i="12" s="1"/>
  <c r="G234" i="12" s="1"/>
  <c r="G235" i="12" s="1"/>
  <c r="G236" i="12" s="1"/>
  <c r="G237" i="12" s="1"/>
  <c r="G238" i="12" s="1"/>
  <c r="W86" i="12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U166" i="12"/>
  <c r="U167" i="12" s="1"/>
  <c r="U168" i="12" s="1"/>
  <c r="U169" i="12" s="1"/>
  <c r="U170" i="12" s="1"/>
  <c r="U171" i="12" s="1"/>
  <c r="U172" i="12" s="1"/>
  <c r="U173" i="12" s="1"/>
  <c r="U174" i="12" s="1"/>
  <c r="U175" i="12" s="1"/>
  <c r="U176" i="12" s="1"/>
  <c r="U177" i="12" s="1"/>
  <c r="U178" i="12" s="1"/>
  <c r="U179" i="12" s="1"/>
  <c r="U180" i="12" s="1"/>
  <c r="U181" i="12" s="1"/>
  <c r="U182" i="12" s="1"/>
  <c r="U183" i="12" s="1"/>
  <c r="U184" i="12" s="1"/>
  <c r="U185" i="12" s="1"/>
  <c r="U186" i="12" s="1"/>
  <c r="U187" i="12" s="1"/>
  <c r="U188" i="12" s="1"/>
  <c r="U189" i="12" s="1"/>
  <c r="U190" i="12" s="1"/>
  <c r="U191" i="12" s="1"/>
  <c r="U192" i="12" s="1"/>
  <c r="U193" i="12" s="1"/>
  <c r="U194" i="12" s="1"/>
  <c r="U195" i="12" s="1"/>
  <c r="U196" i="12" s="1"/>
  <c r="U197" i="12" s="1"/>
  <c r="U198" i="12" s="1"/>
  <c r="K126" i="12"/>
  <c r="K127" i="12" s="1"/>
  <c r="K128" i="12" s="1"/>
  <c r="K129" i="12" s="1"/>
  <c r="K130" i="12" s="1"/>
  <c r="K131" i="12" s="1"/>
  <c r="K132" i="12" s="1"/>
  <c r="K133" i="12" s="1"/>
  <c r="K134" i="12" s="1"/>
  <c r="K135" i="12" s="1"/>
  <c r="K136" i="12" s="1"/>
  <c r="K137" i="12" s="1"/>
  <c r="K138" i="12" s="1"/>
  <c r="K139" i="12" s="1"/>
  <c r="K140" i="12" s="1"/>
  <c r="K141" i="12" s="1"/>
  <c r="K142" i="12" s="1"/>
  <c r="K143" i="12" s="1"/>
  <c r="K144" i="12" s="1"/>
  <c r="K145" i="12" s="1"/>
  <c r="K146" i="12" s="1"/>
  <c r="K147" i="12" s="1"/>
  <c r="K148" i="12" s="1"/>
  <c r="K149" i="12" s="1"/>
  <c r="K150" i="12" s="1"/>
  <c r="K151" i="12" s="1"/>
  <c r="K152" i="12" s="1"/>
  <c r="K153" i="12" s="1"/>
  <c r="K154" i="12" s="1"/>
  <c r="K155" i="12" s="1"/>
  <c r="K156" i="12" s="1"/>
  <c r="K157" i="12" s="1"/>
  <c r="K158" i="12" s="1"/>
  <c r="F126" i="12"/>
  <c r="F127" i="12" s="1"/>
  <c r="F128" i="12" s="1"/>
  <c r="F129" i="12" s="1"/>
  <c r="F130" i="12" s="1"/>
  <c r="F131" i="12" s="1"/>
  <c r="F132" i="12" s="1"/>
  <c r="F133" i="12" s="1"/>
  <c r="F134" i="12" s="1"/>
  <c r="F135" i="12" s="1"/>
  <c r="F136" i="12" s="1"/>
  <c r="F137" i="12" s="1"/>
  <c r="F138" i="12" s="1"/>
  <c r="F139" i="12" s="1"/>
  <c r="F140" i="12" s="1"/>
  <c r="F141" i="12" s="1"/>
  <c r="F142" i="12" s="1"/>
  <c r="F143" i="12" s="1"/>
  <c r="F144" i="12" s="1"/>
  <c r="F145" i="12" s="1"/>
  <c r="F146" i="12" s="1"/>
  <c r="F147" i="12" s="1"/>
  <c r="F148" i="12" s="1"/>
  <c r="F149" i="12" s="1"/>
  <c r="F150" i="12" s="1"/>
  <c r="F151" i="12" s="1"/>
  <c r="F152" i="12" s="1"/>
  <c r="F153" i="12" s="1"/>
  <c r="F154" i="12" s="1"/>
  <c r="F155" i="12" s="1"/>
  <c r="F156" i="12" s="1"/>
  <c r="F157" i="12" s="1"/>
  <c r="F158" i="12" s="1"/>
  <c r="AC86" i="12"/>
  <c r="AC87" i="12" s="1"/>
  <c r="AC88" i="12" s="1"/>
  <c r="AC89" i="12" s="1"/>
  <c r="AC90" i="12" s="1"/>
  <c r="AC91" i="12" s="1"/>
  <c r="AC92" i="12" s="1"/>
  <c r="AC93" i="12" s="1"/>
  <c r="AC94" i="12" s="1"/>
  <c r="AC95" i="12" s="1"/>
  <c r="AC96" i="12" s="1"/>
  <c r="AC97" i="12" s="1"/>
  <c r="AC98" i="12" s="1"/>
  <c r="AC99" i="12" s="1"/>
  <c r="AC100" i="12" s="1"/>
  <c r="AC101" i="12" s="1"/>
  <c r="AC102" i="12" s="1"/>
  <c r="AC103" i="12" s="1"/>
  <c r="AC104" i="12" s="1"/>
  <c r="AC105" i="12" s="1"/>
  <c r="AC106" i="12" s="1"/>
  <c r="AC107" i="12" s="1"/>
  <c r="AC108" i="12" s="1"/>
  <c r="AC109" i="12" s="1"/>
  <c r="AC110" i="12" s="1"/>
  <c r="AC111" i="12" s="1"/>
  <c r="AC112" i="12" s="1"/>
  <c r="AC113" i="12" s="1"/>
  <c r="AC114" i="12" s="1"/>
  <c r="AC115" i="12" s="1"/>
  <c r="AC116" i="12" s="1"/>
  <c r="AC117" i="12" s="1"/>
  <c r="AC118" i="12" s="1"/>
  <c r="AG206" i="12"/>
  <c r="AG207" i="12" s="1"/>
  <c r="AG208" i="12" s="1"/>
  <c r="AG209" i="12" s="1"/>
  <c r="AG210" i="12" s="1"/>
  <c r="AG211" i="12" s="1"/>
  <c r="AG212" i="12" s="1"/>
  <c r="AG213" i="12" s="1"/>
  <c r="AG214" i="12" s="1"/>
  <c r="AG215" i="12" s="1"/>
  <c r="AG216" i="12" s="1"/>
  <c r="AG217" i="12" s="1"/>
  <c r="AG218" i="12" s="1"/>
  <c r="AG219" i="12" s="1"/>
  <c r="AG220" i="12" s="1"/>
  <c r="AG221" i="12" s="1"/>
  <c r="AG222" i="12" s="1"/>
  <c r="AG223" i="12" s="1"/>
  <c r="AG224" i="12" s="1"/>
  <c r="AG225" i="12" s="1"/>
  <c r="AG226" i="12" s="1"/>
  <c r="AG227" i="12" s="1"/>
  <c r="AG228" i="12" s="1"/>
  <c r="AG229" i="12" s="1"/>
  <c r="AG230" i="12" s="1"/>
  <c r="AG231" i="12" s="1"/>
  <c r="AG232" i="12" s="1"/>
  <c r="AG233" i="12" s="1"/>
  <c r="AG234" i="12" s="1"/>
  <c r="AG235" i="12" s="1"/>
  <c r="AG236" i="12" s="1"/>
  <c r="AG237" i="12" s="1"/>
  <c r="AG238" i="12" s="1"/>
  <c r="AB363" i="12"/>
  <c r="AB364" i="12" s="1"/>
  <c r="AB365" i="12" s="1"/>
  <c r="AB366" i="12" s="1"/>
  <c r="AB367" i="12" s="1"/>
  <c r="AB368" i="12" s="1"/>
  <c r="AB369" i="12" s="1"/>
  <c r="AB370" i="12" s="1"/>
  <c r="AB371" i="12" s="1"/>
  <c r="AB372" i="12" s="1"/>
  <c r="AB373" i="12" s="1"/>
  <c r="AB374" i="12" s="1"/>
  <c r="AB375" i="12" s="1"/>
  <c r="AB376" i="12" s="1"/>
  <c r="AB377" i="12" s="1"/>
  <c r="AB378" i="12" s="1"/>
  <c r="AB379" i="12" s="1"/>
  <c r="AB380" i="12" s="1"/>
  <c r="AB381" i="12" s="1"/>
  <c r="AB382" i="12" s="1"/>
  <c r="AB383" i="12" s="1"/>
  <c r="AB384" i="12" s="1"/>
  <c r="AB385" i="12" s="1"/>
  <c r="AB386" i="12" s="1"/>
  <c r="AB387" i="12" s="1"/>
  <c r="AB388" i="12" s="1"/>
  <c r="AB389" i="12" s="1"/>
  <c r="AB390" i="12" s="1"/>
  <c r="AB391" i="12" s="1"/>
  <c r="AB392" i="12" s="1"/>
  <c r="AB393" i="12" s="1"/>
  <c r="AB394" i="12" s="1"/>
  <c r="AB395" i="12" s="1"/>
  <c r="AB396" i="12" s="1"/>
  <c r="AB397" i="12" s="1"/>
  <c r="AB398" i="12" s="1"/>
  <c r="Y363" i="12"/>
  <c r="Y364" i="12" s="1"/>
  <c r="Y365" i="12" s="1"/>
  <c r="Y366" i="12" s="1"/>
  <c r="Y367" i="12" s="1"/>
  <c r="Y368" i="12" s="1"/>
  <c r="Y369" i="12" s="1"/>
  <c r="Y370" i="12" s="1"/>
  <c r="Y371" i="12" s="1"/>
  <c r="Y372" i="12" s="1"/>
  <c r="Y373" i="12" s="1"/>
  <c r="Y374" i="12" s="1"/>
  <c r="Y375" i="12" s="1"/>
  <c r="Y376" i="12" s="1"/>
  <c r="Y377" i="12" s="1"/>
  <c r="Y378" i="12" s="1"/>
  <c r="Y379" i="12" s="1"/>
  <c r="Y380" i="12" s="1"/>
  <c r="Y381" i="12" s="1"/>
  <c r="Y382" i="12" s="1"/>
  <c r="Y383" i="12" s="1"/>
  <c r="Y384" i="12" s="1"/>
  <c r="Y385" i="12" s="1"/>
  <c r="Y386" i="12" s="1"/>
  <c r="Y387" i="12" s="1"/>
  <c r="Y388" i="12" s="1"/>
  <c r="Y389" i="12" s="1"/>
  <c r="Y390" i="12" s="1"/>
  <c r="Y391" i="12" s="1"/>
  <c r="Y392" i="12" s="1"/>
  <c r="Y393" i="12" s="1"/>
  <c r="Y394" i="12" s="1"/>
  <c r="Y395" i="12" s="1"/>
  <c r="Y396" i="12" s="1"/>
  <c r="Y397" i="12" s="1"/>
  <c r="Y398" i="12" s="1"/>
  <c r="M363" i="12"/>
  <c r="M364" i="12" s="1"/>
  <c r="M365" i="12" s="1"/>
  <c r="M366" i="12" s="1"/>
  <c r="M367" i="12" s="1"/>
  <c r="M368" i="12" s="1"/>
  <c r="M369" i="12" s="1"/>
  <c r="M370" i="12" s="1"/>
  <c r="M371" i="12" s="1"/>
  <c r="M372" i="12" s="1"/>
  <c r="M373" i="12" s="1"/>
  <c r="M374" i="12" s="1"/>
  <c r="M375" i="12" s="1"/>
  <c r="M376" i="12" s="1"/>
  <c r="M377" i="12" s="1"/>
  <c r="M378" i="12" s="1"/>
  <c r="M379" i="12" s="1"/>
  <c r="M380" i="12" s="1"/>
  <c r="M381" i="12" s="1"/>
  <c r="M382" i="12" s="1"/>
  <c r="M383" i="12" s="1"/>
  <c r="M384" i="12" s="1"/>
  <c r="M385" i="12" s="1"/>
  <c r="M386" i="12" s="1"/>
  <c r="M387" i="12" s="1"/>
  <c r="M388" i="12" s="1"/>
  <c r="M389" i="12" s="1"/>
  <c r="M390" i="12" s="1"/>
  <c r="M391" i="12" s="1"/>
  <c r="M392" i="12" s="1"/>
  <c r="M393" i="12" s="1"/>
  <c r="M394" i="12" s="1"/>
  <c r="M395" i="12" s="1"/>
  <c r="M396" i="12" s="1"/>
  <c r="M397" i="12" s="1"/>
  <c r="M398" i="12" s="1"/>
  <c r="O363" i="12"/>
  <c r="O364" i="12" s="1"/>
  <c r="O365" i="12" s="1"/>
  <c r="O366" i="12" s="1"/>
  <c r="O367" i="12" s="1"/>
  <c r="O368" i="12" s="1"/>
  <c r="O369" i="12" s="1"/>
  <c r="O370" i="12" s="1"/>
  <c r="O371" i="12" s="1"/>
  <c r="O372" i="12" s="1"/>
  <c r="O373" i="12" s="1"/>
  <c r="O374" i="12" s="1"/>
  <c r="O375" i="12" s="1"/>
  <c r="O376" i="12" s="1"/>
  <c r="O377" i="12" s="1"/>
  <c r="O378" i="12" s="1"/>
  <c r="O379" i="12" s="1"/>
  <c r="O380" i="12" s="1"/>
  <c r="O381" i="12" s="1"/>
  <c r="O382" i="12" s="1"/>
  <c r="O383" i="12" s="1"/>
  <c r="O384" i="12" s="1"/>
  <c r="O385" i="12" s="1"/>
  <c r="O386" i="12" s="1"/>
  <c r="O387" i="12" s="1"/>
  <c r="O388" i="12" s="1"/>
  <c r="O389" i="12" s="1"/>
  <c r="O390" i="12" s="1"/>
  <c r="O391" i="12" s="1"/>
  <c r="O392" i="12" s="1"/>
  <c r="O393" i="12" s="1"/>
  <c r="O394" i="12" s="1"/>
  <c r="O395" i="12" s="1"/>
  <c r="O396" i="12" s="1"/>
  <c r="O397" i="12" s="1"/>
  <c r="O398" i="12" s="1"/>
  <c r="S363" i="12"/>
  <c r="S364" i="12" s="1"/>
  <c r="S365" i="12" s="1"/>
  <c r="S366" i="12" s="1"/>
  <c r="S367" i="12" s="1"/>
  <c r="S368" i="12" s="1"/>
  <c r="S369" i="12" s="1"/>
  <c r="S370" i="12" s="1"/>
  <c r="S371" i="12" s="1"/>
  <c r="S372" i="12" s="1"/>
  <c r="S373" i="12" s="1"/>
  <c r="S374" i="12" s="1"/>
  <c r="S375" i="12" s="1"/>
  <c r="S376" i="12" s="1"/>
  <c r="S377" i="12" s="1"/>
  <c r="S378" i="12" s="1"/>
  <c r="S379" i="12" s="1"/>
  <c r="S380" i="12" s="1"/>
  <c r="S381" i="12" s="1"/>
  <c r="S382" i="12" s="1"/>
  <c r="S383" i="12" s="1"/>
  <c r="S384" i="12" s="1"/>
  <c r="S385" i="12" s="1"/>
  <c r="S386" i="12" s="1"/>
  <c r="S387" i="12" s="1"/>
  <c r="S388" i="12" s="1"/>
  <c r="S389" i="12" s="1"/>
  <c r="S390" i="12" s="1"/>
  <c r="S391" i="12" s="1"/>
  <c r="S392" i="12" s="1"/>
  <c r="S393" i="12" s="1"/>
  <c r="S394" i="12" s="1"/>
  <c r="S395" i="12" s="1"/>
  <c r="S396" i="12" s="1"/>
  <c r="S397" i="12" s="1"/>
  <c r="S398" i="12" s="1"/>
  <c r="AA363" i="12"/>
  <c r="AA364" i="12" s="1"/>
  <c r="AA365" i="12" s="1"/>
  <c r="AA366" i="12" s="1"/>
  <c r="AA367" i="12" s="1"/>
  <c r="AA368" i="12" s="1"/>
  <c r="AA369" i="12" s="1"/>
  <c r="AA370" i="12" s="1"/>
  <c r="AA371" i="12" s="1"/>
  <c r="AA372" i="12" s="1"/>
  <c r="AA373" i="12" s="1"/>
  <c r="AA374" i="12" s="1"/>
  <c r="AA375" i="12" s="1"/>
  <c r="AA376" i="12" s="1"/>
  <c r="AA377" i="12" s="1"/>
  <c r="AA378" i="12" s="1"/>
  <c r="AA379" i="12" s="1"/>
  <c r="AA380" i="12" s="1"/>
  <c r="AA381" i="12" s="1"/>
  <c r="AA382" i="12" s="1"/>
  <c r="AA383" i="12" s="1"/>
  <c r="AA384" i="12" s="1"/>
  <c r="AA385" i="12" s="1"/>
  <c r="AA386" i="12" s="1"/>
  <c r="AA387" i="12" s="1"/>
  <c r="AA388" i="12" s="1"/>
  <c r="AA389" i="12" s="1"/>
  <c r="AA390" i="12" s="1"/>
  <c r="AA391" i="12" s="1"/>
  <c r="AA392" i="12" s="1"/>
  <c r="AA393" i="12" s="1"/>
  <c r="AA394" i="12" s="1"/>
  <c r="AA395" i="12" s="1"/>
  <c r="AA396" i="12" s="1"/>
  <c r="AA397" i="12" s="1"/>
  <c r="AA398" i="12" s="1"/>
  <c r="E363" i="12"/>
  <c r="E364" i="12" s="1"/>
  <c r="E365" i="12" s="1"/>
  <c r="E366" i="12" s="1"/>
  <c r="E367" i="12" s="1"/>
  <c r="E368" i="12" s="1"/>
  <c r="E369" i="12" s="1"/>
  <c r="E370" i="12" s="1"/>
  <c r="E371" i="12" s="1"/>
  <c r="E372" i="12" s="1"/>
  <c r="E373" i="12" s="1"/>
  <c r="E374" i="12" s="1"/>
  <c r="E375" i="12" s="1"/>
  <c r="E376" i="12" s="1"/>
  <c r="E377" i="12" s="1"/>
  <c r="E378" i="12" s="1"/>
  <c r="E379" i="12" s="1"/>
  <c r="E380" i="12" s="1"/>
  <c r="E381" i="12" s="1"/>
  <c r="E382" i="12" s="1"/>
  <c r="E383" i="12" s="1"/>
  <c r="E384" i="12" s="1"/>
  <c r="E385" i="12" s="1"/>
  <c r="E386" i="12" s="1"/>
  <c r="E387" i="12" s="1"/>
  <c r="E388" i="12" s="1"/>
  <c r="E389" i="12" s="1"/>
  <c r="E390" i="12" s="1"/>
  <c r="E391" i="12" s="1"/>
  <c r="E392" i="12" s="1"/>
  <c r="E393" i="12" s="1"/>
  <c r="E394" i="12" s="1"/>
  <c r="E395" i="12" s="1"/>
  <c r="E396" i="12" s="1"/>
  <c r="E397" i="12" s="1"/>
  <c r="E398" i="12" s="1"/>
  <c r="AD363" i="12"/>
  <c r="AD364" i="12" s="1"/>
  <c r="AD365" i="12" s="1"/>
  <c r="AD366" i="12" s="1"/>
  <c r="AD367" i="12" s="1"/>
  <c r="AD368" i="12" s="1"/>
  <c r="AD369" i="12" s="1"/>
  <c r="AD370" i="12" s="1"/>
  <c r="AD371" i="12" s="1"/>
  <c r="AD372" i="12" s="1"/>
  <c r="AD373" i="12" s="1"/>
  <c r="AD374" i="12" s="1"/>
  <c r="AD375" i="12" s="1"/>
  <c r="AD376" i="12" s="1"/>
  <c r="AD377" i="12" s="1"/>
  <c r="AD378" i="12" s="1"/>
  <c r="AD379" i="12" s="1"/>
  <c r="AD380" i="12" s="1"/>
  <c r="AD381" i="12" s="1"/>
  <c r="AD382" i="12" s="1"/>
  <c r="AD383" i="12" s="1"/>
  <c r="AD384" i="12" s="1"/>
  <c r="AD385" i="12" s="1"/>
  <c r="AD386" i="12" s="1"/>
  <c r="AD387" i="12" s="1"/>
  <c r="AD388" i="12" s="1"/>
  <c r="AD389" i="12" s="1"/>
  <c r="AD390" i="12" s="1"/>
  <c r="AD391" i="12" s="1"/>
  <c r="AD392" i="12" s="1"/>
  <c r="AD393" i="12" s="1"/>
  <c r="AD394" i="12" s="1"/>
  <c r="AD395" i="12" s="1"/>
  <c r="AD396" i="12" s="1"/>
  <c r="AD397" i="12" s="1"/>
  <c r="AD398" i="12" s="1"/>
  <c r="W363" i="12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N363" i="12"/>
  <c r="N364" i="12" s="1"/>
  <c r="N365" i="12" s="1"/>
  <c r="N366" i="12" s="1"/>
  <c r="N367" i="12" s="1"/>
  <c r="N368" i="12" s="1"/>
  <c r="N369" i="12" s="1"/>
  <c r="N370" i="12" s="1"/>
  <c r="N371" i="12" s="1"/>
  <c r="N372" i="12" s="1"/>
  <c r="N373" i="12" s="1"/>
  <c r="N374" i="12" s="1"/>
  <c r="N375" i="12" s="1"/>
  <c r="N376" i="12" s="1"/>
  <c r="N377" i="12" s="1"/>
  <c r="N378" i="12" s="1"/>
  <c r="N379" i="12" s="1"/>
  <c r="N380" i="12" s="1"/>
  <c r="N381" i="12" s="1"/>
  <c r="N382" i="12" s="1"/>
  <c r="N383" i="12" s="1"/>
  <c r="N384" i="12" s="1"/>
  <c r="N385" i="12" s="1"/>
  <c r="N386" i="12" s="1"/>
  <c r="N387" i="12" s="1"/>
  <c r="N388" i="12" s="1"/>
  <c r="N389" i="12" s="1"/>
  <c r="N390" i="12" s="1"/>
  <c r="N391" i="12" s="1"/>
  <c r="N392" i="12" s="1"/>
  <c r="N393" i="12" s="1"/>
  <c r="N394" i="12" s="1"/>
  <c r="N395" i="12" s="1"/>
  <c r="N396" i="12" s="1"/>
  <c r="N397" i="12" s="1"/>
  <c r="N398" i="12" s="1"/>
  <c r="F363" i="12"/>
  <c r="F364" i="12" s="1"/>
  <c r="F365" i="12" s="1"/>
  <c r="F366" i="12" s="1"/>
  <c r="F367" i="12" s="1"/>
  <c r="F368" i="12" s="1"/>
  <c r="F369" i="12" s="1"/>
  <c r="F370" i="12" s="1"/>
  <c r="F371" i="12" s="1"/>
  <c r="F372" i="12" s="1"/>
  <c r="F373" i="12" s="1"/>
  <c r="F374" i="12" s="1"/>
  <c r="F375" i="12" s="1"/>
  <c r="F376" i="12" s="1"/>
  <c r="F377" i="12" s="1"/>
  <c r="F378" i="12" s="1"/>
  <c r="F379" i="12" s="1"/>
  <c r="F380" i="12" s="1"/>
  <c r="F381" i="12" s="1"/>
  <c r="F382" i="12" s="1"/>
  <c r="F383" i="12" s="1"/>
  <c r="F384" i="12" s="1"/>
  <c r="F385" i="12" s="1"/>
  <c r="F386" i="12" s="1"/>
  <c r="F387" i="12" s="1"/>
  <c r="F388" i="12" s="1"/>
  <c r="F389" i="12" s="1"/>
  <c r="F390" i="12" s="1"/>
  <c r="F391" i="12" s="1"/>
  <c r="F392" i="12" s="1"/>
  <c r="F393" i="12" s="1"/>
  <c r="F394" i="12" s="1"/>
  <c r="F395" i="12" s="1"/>
  <c r="F396" i="12" s="1"/>
  <c r="F397" i="12" s="1"/>
  <c r="F398" i="12" s="1"/>
  <c r="AF363" i="12"/>
  <c r="AF364" i="12" s="1"/>
  <c r="AF365" i="12" s="1"/>
  <c r="AF366" i="12" s="1"/>
  <c r="AF367" i="12" s="1"/>
  <c r="AF368" i="12" s="1"/>
  <c r="AF369" i="12" s="1"/>
  <c r="AF370" i="12" s="1"/>
  <c r="AF371" i="12" s="1"/>
  <c r="AF372" i="12" s="1"/>
  <c r="AF373" i="12" s="1"/>
  <c r="AF374" i="12" s="1"/>
  <c r="AF375" i="12" s="1"/>
  <c r="AF376" i="12" s="1"/>
  <c r="AF377" i="12" s="1"/>
  <c r="AF378" i="12" s="1"/>
  <c r="AF379" i="12" s="1"/>
  <c r="AF380" i="12" s="1"/>
  <c r="AF381" i="12" s="1"/>
  <c r="AF382" i="12" s="1"/>
  <c r="AF383" i="12" s="1"/>
  <c r="AF384" i="12" s="1"/>
  <c r="AF385" i="12" s="1"/>
  <c r="AF386" i="12" s="1"/>
  <c r="AF387" i="12" s="1"/>
  <c r="AF388" i="12" s="1"/>
  <c r="AF389" i="12" s="1"/>
  <c r="AF390" i="12" s="1"/>
  <c r="AF391" i="12" s="1"/>
  <c r="AF392" i="12" s="1"/>
  <c r="AF393" i="12" s="1"/>
  <c r="AF394" i="12" s="1"/>
  <c r="AF395" i="12" s="1"/>
  <c r="AF396" i="12" s="1"/>
  <c r="AF397" i="12" s="1"/>
  <c r="AF398" i="12" s="1"/>
  <c r="J363" i="12"/>
  <c r="J364" i="12" s="1"/>
  <c r="J365" i="12" s="1"/>
  <c r="J366" i="12" s="1"/>
  <c r="J367" i="12" s="1"/>
  <c r="J368" i="12" s="1"/>
  <c r="J369" i="12" s="1"/>
  <c r="J370" i="12" s="1"/>
  <c r="J371" i="12" s="1"/>
  <c r="J372" i="12" s="1"/>
  <c r="J373" i="12" s="1"/>
  <c r="J374" i="12" s="1"/>
  <c r="J375" i="12" s="1"/>
  <c r="J376" i="12" s="1"/>
  <c r="J377" i="12" s="1"/>
  <c r="J378" i="12" s="1"/>
  <c r="J379" i="12" s="1"/>
  <c r="J380" i="12" s="1"/>
  <c r="J381" i="12" s="1"/>
  <c r="J382" i="12" s="1"/>
  <c r="J383" i="12" s="1"/>
  <c r="J384" i="12" s="1"/>
  <c r="J385" i="12" s="1"/>
  <c r="J386" i="12" s="1"/>
  <c r="J387" i="12" s="1"/>
  <c r="J388" i="12" s="1"/>
  <c r="J389" i="12" s="1"/>
  <c r="J390" i="12" s="1"/>
  <c r="J391" i="12" s="1"/>
  <c r="J392" i="12" s="1"/>
  <c r="J393" i="12" s="1"/>
  <c r="J394" i="12" s="1"/>
  <c r="J395" i="12" s="1"/>
  <c r="J396" i="12" s="1"/>
  <c r="J397" i="12" s="1"/>
  <c r="J398" i="12" s="1"/>
  <c r="T363" i="12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T382" i="12" s="1"/>
  <c r="T383" i="12" s="1"/>
  <c r="T384" i="12" s="1"/>
  <c r="T385" i="12" s="1"/>
  <c r="T386" i="12" s="1"/>
  <c r="T387" i="12" s="1"/>
  <c r="T388" i="12" s="1"/>
  <c r="T389" i="12" s="1"/>
  <c r="T390" i="12" s="1"/>
  <c r="T391" i="12" s="1"/>
  <c r="T392" i="12" s="1"/>
  <c r="T393" i="12" s="1"/>
  <c r="T394" i="12" s="1"/>
  <c r="T395" i="12" s="1"/>
  <c r="T396" i="12" s="1"/>
  <c r="T397" i="12" s="1"/>
  <c r="T398" i="12" s="1"/>
  <c r="P363" i="12"/>
  <c r="P364" i="12" s="1"/>
  <c r="P365" i="12" s="1"/>
  <c r="P366" i="12" s="1"/>
  <c r="P367" i="12" s="1"/>
  <c r="P368" i="12" s="1"/>
  <c r="P369" i="12" s="1"/>
  <c r="P370" i="12" s="1"/>
  <c r="P371" i="12" s="1"/>
  <c r="P372" i="12" s="1"/>
  <c r="P373" i="12" s="1"/>
  <c r="P374" i="12" s="1"/>
  <c r="P375" i="12" s="1"/>
  <c r="P376" i="12" s="1"/>
  <c r="P377" i="12" s="1"/>
  <c r="P378" i="12" s="1"/>
  <c r="P379" i="12" s="1"/>
  <c r="P380" i="12" s="1"/>
  <c r="P381" i="12" s="1"/>
  <c r="P382" i="12" s="1"/>
  <c r="P383" i="12" s="1"/>
  <c r="P384" i="12" s="1"/>
  <c r="P385" i="12" s="1"/>
  <c r="P386" i="12" s="1"/>
  <c r="P387" i="12" s="1"/>
  <c r="P388" i="12" s="1"/>
  <c r="P389" i="12" s="1"/>
  <c r="P390" i="12" s="1"/>
  <c r="P391" i="12" s="1"/>
  <c r="P392" i="12" s="1"/>
  <c r="P393" i="12" s="1"/>
  <c r="P394" i="12" s="1"/>
  <c r="P395" i="12" s="1"/>
  <c r="P396" i="12" s="1"/>
  <c r="P397" i="12" s="1"/>
  <c r="P398" i="12" s="1"/>
  <c r="V363" i="12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C363" i="12"/>
  <c r="C364" i="12" s="1"/>
  <c r="C365" i="12" s="1"/>
  <c r="C366" i="12" s="1"/>
  <c r="C367" i="12" s="1"/>
  <c r="C368" i="12" s="1"/>
  <c r="C369" i="12" s="1"/>
  <c r="C370" i="12" s="1"/>
  <c r="C371" i="12" s="1"/>
  <c r="C372" i="12" s="1"/>
  <c r="C373" i="12" s="1"/>
  <c r="C374" i="12" s="1"/>
  <c r="C375" i="12" s="1"/>
  <c r="C376" i="12" s="1"/>
  <c r="C377" i="12" s="1"/>
  <c r="C378" i="12" s="1"/>
  <c r="C379" i="12" s="1"/>
  <c r="C380" i="12" s="1"/>
  <c r="C381" i="12" s="1"/>
  <c r="C382" i="12" s="1"/>
  <c r="C383" i="12" s="1"/>
  <c r="C384" i="12" s="1"/>
  <c r="C385" i="12" s="1"/>
  <c r="C386" i="12" s="1"/>
  <c r="C387" i="12" s="1"/>
  <c r="C388" i="12" s="1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K363" i="12"/>
  <c r="K364" i="12" s="1"/>
  <c r="K365" i="12" s="1"/>
  <c r="K366" i="12" s="1"/>
  <c r="K367" i="12" s="1"/>
  <c r="K368" i="12" s="1"/>
  <c r="K369" i="12" s="1"/>
  <c r="K370" i="12" s="1"/>
  <c r="K371" i="12" s="1"/>
  <c r="K372" i="12" s="1"/>
  <c r="K373" i="12" s="1"/>
  <c r="K374" i="12" s="1"/>
  <c r="K375" i="12" s="1"/>
  <c r="K376" i="12" s="1"/>
  <c r="K377" i="12" s="1"/>
  <c r="K378" i="12" s="1"/>
  <c r="K379" i="12" s="1"/>
  <c r="K380" i="12" s="1"/>
  <c r="K381" i="12" s="1"/>
  <c r="K382" i="12" s="1"/>
  <c r="K383" i="12" s="1"/>
  <c r="K384" i="12" s="1"/>
  <c r="K385" i="12" s="1"/>
  <c r="K386" i="12" s="1"/>
  <c r="K387" i="12" s="1"/>
  <c r="K388" i="12" s="1"/>
  <c r="K389" i="12" s="1"/>
  <c r="K390" i="12" s="1"/>
  <c r="K391" i="12" s="1"/>
  <c r="K392" i="12" s="1"/>
  <c r="K393" i="12" s="1"/>
  <c r="K394" i="12" s="1"/>
  <c r="K395" i="12" s="1"/>
  <c r="K396" i="12" s="1"/>
  <c r="K397" i="12" s="1"/>
  <c r="K398" i="12" s="1"/>
  <c r="AI363" i="12"/>
  <c r="AI364" i="12" s="1"/>
  <c r="AI365" i="12" s="1"/>
  <c r="AI366" i="12" s="1"/>
  <c r="AI367" i="12" s="1"/>
  <c r="AI368" i="12" s="1"/>
  <c r="AI369" i="12" s="1"/>
  <c r="AI370" i="12" s="1"/>
  <c r="AI371" i="12" s="1"/>
  <c r="AI372" i="12" s="1"/>
  <c r="AI373" i="12" s="1"/>
  <c r="AI374" i="12" s="1"/>
  <c r="AI375" i="12" s="1"/>
  <c r="AI376" i="12" s="1"/>
  <c r="AI377" i="12" s="1"/>
  <c r="AI378" i="12" s="1"/>
  <c r="AI379" i="12" s="1"/>
  <c r="AI380" i="12" s="1"/>
  <c r="AI381" i="12" s="1"/>
  <c r="AI382" i="12" s="1"/>
  <c r="AI383" i="12" s="1"/>
  <c r="AI384" i="12" s="1"/>
  <c r="AI385" i="12" s="1"/>
  <c r="AI386" i="12" s="1"/>
  <c r="AI387" i="12" s="1"/>
  <c r="AI388" i="12" s="1"/>
  <c r="AI389" i="12" s="1"/>
  <c r="AI390" i="12" s="1"/>
  <c r="AI391" i="12" s="1"/>
  <c r="AI392" i="12" s="1"/>
  <c r="AI393" i="12" s="1"/>
  <c r="AI394" i="12" s="1"/>
  <c r="AI395" i="12" s="1"/>
  <c r="AI396" i="12" s="1"/>
  <c r="AI397" i="12" s="1"/>
  <c r="AI398" i="12" s="1"/>
  <c r="AE363" i="12"/>
  <c r="AE364" i="12" s="1"/>
  <c r="AE365" i="12" s="1"/>
  <c r="AE366" i="12" s="1"/>
  <c r="AE367" i="12" s="1"/>
  <c r="AE368" i="12" s="1"/>
  <c r="AE369" i="12" s="1"/>
  <c r="AE370" i="12" s="1"/>
  <c r="AE371" i="12" s="1"/>
  <c r="AE372" i="12" s="1"/>
  <c r="AE373" i="12" s="1"/>
  <c r="AE374" i="12" s="1"/>
  <c r="AE375" i="12" s="1"/>
  <c r="AE376" i="12" s="1"/>
  <c r="AE377" i="12" s="1"/>
  <c r="AE378" i="12" s="1"/>
  <c r="AE379" i="12" s="1"/>
  <c r="AE380" i="12" s="1"/>
  <c r="AE381" i="12" s="1"/>
  <c r="AE382" i="12" s="1"/>
  <c r="AE383" i="12" s="1"/>
  <c r="AE384" i="12" s="1"/>
  <c r="AE385" i="12" s="1"/>
  <c r="AE386" i="12" s="1"/>
  <c r="AE387" i="12" s="1"/>
  <c r="AE388" i="12" s="1"/>
  <c r="AE389" i="12" s="1"/>
  <c r="AE390" i="12" s="1"/>
  <c r="AE391" i="12" s="1"/>
  <c r="AE392" i="12" s="1"/>
  <c r="AE393" i="12" s="1"/>
  <c r="AE394" i="12" s="1"/>
  <c r="AE395" i="12" s="1"/>
  <c r="AE396" i="12" s="1"/>
  <c r="AE397" i="12" s="1"/>
  <c r="AE398" i="12" s="1"/>
  <c r="D363" i="12"/>
  <c r="D364" i="12" s="1"/>
  <c r="D365" i="12" s="1"/>
  <c r="D366" i="12" s="1"/>
  <c r="D367" i="12" s="1"/>
  <c r="D368" i="12" s="1"/>
  <c r="D369" i="12" s="1"/>
  <c r="D370" i="12" s="1"/>
  <c r="D371" i="12" s="1"/>
  <c r="D372" i="12" s="1"/>
  <c r="D373" i="12" s="1"/>
  <c r="D374" i="12" s="1"/>
  <c r="D375" i="12" s="1"/>
  <c r="D376" i="12" s="1"/>
  <c r="D377" i="12" s="1"/>
  <c r="D378" i="12" s="1"/>
  <c r="D379" i="12" s="1"/>
  <c r="D380" i="12" s="1"/>
  <c r="D381" i="12" s="1"/>
  <c r="D382" i="12" s="1"/>
  <c r="D383" i="12" s="1"/>
  <c r="D384" i="12" s="1"/>
  <c r="D385" i="12" s="1"/>
  <c r="D386" i="12" s="1"/>
  <c r="D387" i="12" s="1"/>
  <c r="D388" i="12" s="1"/>
  <c r="D389" i="12" s="1"/>
  <c r="D390" i="12" s="1"/>
  <c r="D391" i="12" s="1"/>
  <c r="D392" i="12" s="1"/>
  <c r="D393" i="12" s="1"/>
  <c r="D394" i="12" s="1"/>
  <c r="D395" i="12" s="1"/>
  <c r="D396" i="12" s="1"/>
  <c r="D397" i="12" s="1"/>
  <c r="D398" i="12" s="1"/>
  <c r="Z363" i="12"/>
  <c r="Z364" i="12" s="1"/>
  <c r="Z365" i="12" s="1"/>
  <c r="Z366" i="12" s="1"/>
  <c r="Z367" i="12" s="1"/>
  <c r="Z368" i="12" s="1"/>
  <c r="Z369" i="12" s="1"/>
  <c r="Z370" i="12" s="1"/>
  <c r="Z371" i="12" s="1"/>
  <c r="Z372" i="12" s="1"/>
  <c r="Z373" i="12" s="1"/>
  <c r="Z374" i="12" s="1"/>
  <c r="Z375" i="12" s="1"/>
  <c r="Z376" i="12" s="1"/>
  <c r="Z377" i="12" s="1"/>
  <c r="Z378" i="12" s="1"/>
  <c r="Z379" i="12" s="1"/>
  <c r="Z380" i="12" s="1"/>
  <c r="Z381" i="12" s="1"/>
  <c r="Z382" i="12" s="1"/>
  <c r="Z383" i="12" s="1"/>
  <c r="Z384" i="12" s="1"/>
  <c r="Z385" i="12" s="1"/>
  <c r="Z386" i="12" s="1"/>
  <c r="Z387" i="12" s="1"/>
  <c r="Z388" i="12" s="1"/>
  <c r="Z389" i="12" s="1"/>
  <c r="Z390" i="12" s="1"/>
  <c r="Z391" i="12" s="1"/>
  <c r="Z392" i="12" s="1"/>
  <c r="Z393" i="12" s="1"/>
  <c r="Z394" i="12" s="1"/>
  <c r="Z395" i="12" s="1"/>
  <c r="Z396" i="12" s="1"/>
  <c r="Z397" i="12" s="1"/>
  <c r="Z398" i="12" s="1"/>
  <c r="A403" i="12"/>
  <c r="L363" i="12"/>
  <c r="L364" i="12" s="1"/>
  <c r="L365" i="12" s="1"/>
  <c r="L366" i="12" s="1"/>
  <c r="L367" i="12" s="1"/>
  <c r="L368" i="12" s="1"/>
  <c r="L369" i="12" s="1"/>
  <c r="L370" i="12" s="1"/>
  <c r="L371" i="12" s="1"/>
  <c r="L372" i="12" s="1"/>
  <c r="L373" i="12" s="1"/>
  <c r="L374" i="12" s="1"/>
  <c r="L375" i="12" s="1"/>
  <c r="L376" i="12" s="1"/>
  <c r="L377" i="12" s="1"/>
  <c r="L378" i="12" s="1"/>
  <c r="L379" i="12" s="1"/>
  <c r="L380" i="12" s="1"/>
  <c r="L381" i="12" s="1"/>
  <c r="L382" i="12" s="1"/>
  <c r="L383" i="12" s="1"/>
  <c r="L384" i="12" s="1"/>
  <c r="L385" i="12" s="1"/>
  <c r="L386" i="12" s="1"/>
  <c r="L387" i="12" s="1"/>
  <c r="L388" i="12" s="1"/>
  <c r="L389" i="12" s="1"/>
  <c r="L390" i="12" s="1"/>
  <c r="L391" i="12" s="1"/>
  <c r="L392" i="12" s="1"/>
  <c r="L393" i="12" s="1"/>
  <c r="L394" i="12" s="1"/>
  <c r="L395" i="12" s="1"/>
  <c r="L396" i="12" s="1"/>
  <c r="L397" i="12" s="1"/>
  <c r="L398" i="12" s="1"/>
  <c r="H363" i="12"/>
  <c r="H364" i="12" s="1"/>
  <c r="H365" i="12" s="1"/>
  <c r="H366" i="12" s="1"/>
  <c r="H367" i="12" s="1"/>
  <c r="H368" i="12" s="1"/>
  <c r="H369" i="12" s="1"/>
  <c r="H370" i="12" s="1"/>
  <c r="H371" i="12" s="1"/>
  <c r="H372" i="12" s="1"/>
  <c r="H373" i="12" s="1"/>
  <c r="H374" i="12" s="1"/>
  <c r="H375" i="12" s="1"/>
  <c r="H376" i="12" s="1"/>
  <c r="H377" i="12" s="1"/>
  <c r="H378" i="12" s="1"/>
  <c r="H379" i="12" s="1"/>
  <c r="H380" i="12" s="1"/>
  <c r="H381" i="12" s="1"/>
  <c r="H382" i="12" s="1"/>
  <c r="H383" i="12" s="1"/>
  <c r="H384" i="12" s="1"/>
  <c r="H385" i="12" s="1"/>
  <c r="H386" i="12" s="1"/>
  <c r="H387" i="12" s="1"/>
  <c r="H388" i="12" s="1"/>
  <c r="H389" i="12" s="1"/>
  <c r="H390" i="12" s="1"/>
  <c r="H391" i="12" s="1"/>
  <c r="H392" i="12" s="1"/>
  <c r="H393" i="12" s="1"/>
  <c r="H394" i="12" s="1"/>
  <c r="H395" i="12" s="1"/>
  <c r="H396" i="12" s="1"/>
  <c r="H397" i="12" s="1"/>
  <c r="H398" i="12" s="1"/>
  <c r="I363" i="12"/>
  <c r="I364" i="12" s="1"/>
  <c r="I365" i="12" s="1"/>
  <c r="I366" i="12" s="1"/>
  <c r="I367" i="12" s="1"/>
  <c r="I368" i="12" s="1"/>
  <c r="I369" i="12" s="1"/>
  <c r="I370" i="12" s="1"/>
  <c r="I371" i="12" s="1"/>
  <c r="I372" i="12" s="1"/>
  <c r="I373" i="12" s="1"/>
  <c r="I374" i="12" s="1"/>
  <c r="I375" i="12" s="1"/>
  <c r="I376" i="12" s="1"/>
  <c r="I377" i="12" s="1"/>
  <c r="I378" i="12" s="1"/>
  <c r="I379" i="12" s="1"/>
  <c r="I380" i="12" s="1"/>
  <c r="I381" i="12" s="1"/>
  <c r="I382" i="12" s="1"/>
  <c r="I383" i="12" s="1"/>
  <c r="I384" i="12" s="1"/>
  <c r="I385" i="12" s="1"/>
  <c r="I386" i="12" s="1"/>
  <c r="I387" i="12" s="1"/>
  <c r="I388" i="12" s="1"/>
  <c r="I389" i="12" s="1"/>
  <c r="I390" i="12" s="1"/>
  <c r="I391" i="12" s="1"/>
  <c r="I392" i="12" s="1"/>
  <c r="I393" i="12" s="1"/>
  <c r="I394" i="12" s="1"/>
  <c r="I395" i="12" s="1"/>
  <c r="I396" i="12" s="1"/>
  <c r="I397" i="12" s="1"/>
  <c r="I398" i="12" s="1"/>
  <c r="AC363" i="12"/>
  <c r="AC364" i="12" s="1"/>
  <c r="AC365" i="12" s="1"/>
  <c r="AC366" i="12" s="1"/>
  <c r="AC367" i="12" s="1"/>
  <c r="AC368" i="12" s="1"/>
  <c r="AC369" i="12" s="1"/>
  <c r="AC370" i="12" s="1"/>
  <c r="AC371" i="12" s="1"/>
  <c r="AC372" i="12" s="1"/>
  <c r="AC373" i="12" s="1"/>
  <c r="AC374" i="12" s="1"/>
  <c r="AC375" i="12" s="1"/>
  <c r="AC376" i="12" s="1"/>
  <c r="AC377" i="12" s="1"/>
  <c r="AC378" i="12" s="1"/>
  <c r="AC379" i="12" s="1"/>
  <c r="AC380" i="12" s="1"/>
  <c r="AC381" i="12" s="1"/>
  <c r="AC382" i="12" s="1"/>
  <c r="AC383" i="12" s="1"/>
  <c r="AC384" i="12" s="1"/>
  <c r="AC385" i="12" s="1"/>
  <c r="AC386" i="12" s="1"/>
  <c r="AC387" i="12" s="1"/>
  <c r="AC388" i="12" s="1"/>
  <c r="AC389" i="12" s="1"/>
  <c r="AC390" i="12" s="1"/>
  <c r="AC391" i="12" s="1"/>
  <c r="AC392" i="12" s="1"/>
  <c r="AC393" i="12" s="1"/>
  <c r="AC394" i="12" s="1"/>
  <c r="AC395" i="12" s="1"/>
  <c r="AC396" i="12" s="1"/>
  <c r="AC397" i="12" s="1"/>
  <c r="AC398" i="12" s="1"/>
  <c r="X363" i="12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G363" i="12"/>
  <c r="G364" i="12" s="1"/>
  <c r="G365" i="12" s="1"/>
  <c r="G366" i="12" s="1"/>
  <c r="G367" i="12" s="1"/>
  <c r="G368" i="12" s="1"/>
  <c r="G369" i="12" s="1"/>
  <c r="G370" i="12" s="1"/>
  <c r="G371" i="12" s="1"/>
  <c r="G372" i="12" s="1"/>
  <c r="G373" i="12" s="1"/>
  <c r="G374" i="12" s="1"/>
  <c r="G375" i="12" s="1"/>
  <c r="G376" i="12" s="1"/>
  <c r="G377" i="12" s="1"/>
  <c r="G378" i="12" s="1"/>
  <c r="G379" i="12" s="1"/>
  <c r="G380" i="12" s="1"/>
  <c r="G381" i="12" s="1"/>
  <c r="G382" i="12" s="1"/>
  <c r="G383" i="12" s="1"/>
  <c r="G384" i="12" s="1"/>
  <c r="G385" i="12" s="1"/>
  <c r="G386" i="12" s="1"/>
  <c r="G387" i="12" s="1"/>
  <c r="G388" i="12" s="1"/>
  <c r="G389" i="12" s="1"/>
  <c r="G390" i="12" s="1"/>
  <c r="G391" i="12" s="1"/>
  <c r="G392" i="12" s="1"/>
  <c r="G393" i="12" s="1"/>
  <c r="G394" i="12" s="1"/>
  <c r="G395" i="12" s="1"/>
  <c r="G396" i="12" s="1"/>
  <c r="G397" i="12" s="1"/>
  <c r="G398" i="12" s="1"/>
  <c r="U363" i="12"/>
  <c r="U364" i="12" s="1"/>
  <c r="U365" i="12" s="1"/>
  <c r="U366" i="12" s="1"/>
  <c r="U367" i="12" s="1"/>
  <c r="U368" i="12" s="1"/>
  <c r="U369" i="12" s="1"/>
  <c r="U370" i="12" s="1"/>
  <c r="U371" i="12" s="1"/>
  <c r="U372" i="12" s="1"/>
  <c r="U373" i="12" s="1"/>
  <c r="U374" i="12" s="1"/>
  <c r="U375" i="12" s="1"/>
  <c r="U376" i="12" s="1"/>
  <c r="U377" i="12" s="1"/>
  <c r="U378" i="12" s="1"/>
  <c r="U379" i="12" s="1"/>
  <c r="U380" i="12" s="1"/>
  <c r="U381" i="12" s="1"/>
  <c r="U382" i="12" s="1"/>
  <c r="U383" i="12" s="1"/>
  <c r="U384" i="12" s="1"/>
  <c r="U385" i="12" s="1"/>
  <c r="U386" i="12" s="1"/>
  <c r="U387" i="12" s="1"/>
  <c r="U388" i="12" s="1"/>
  <c r="U389" i="12" s="1"/>
  <c r="U390" i="12" s="1"/>
  <c r="U391" i="12" s="1"/>
  <c r="U392" i="12" s="1"/>
  <c r="U393" i="12" s="1"/>
  <c r="U394" i="12" s="1"/>
  <c r="U395" i="12" s="1"/>
  <c r="U396" i="12" s="1"/>
  <c r="U397" i="12" s="1"/>
  <c r="U398" i="12" s="1"/>
  <c r="AJ363" i="12"/>
  <c r="AJ364" i="12" s="1"/>
  <c r="AJ365" i="12" s="1"/>
  <c r="AJ366" i="12" s="1"/>
  <c r="AJ367" i="12" s="1"/>
  <c r="AJ368" i="12" s="1"/>
  <c r="AJ369" i="12" s="1"/>
  <c r="AJ370" i="12" s="1"/>
  <c r="AJ371" i="12" s="1"/>
  <c r="AJ372" i="12" s="1"/>
  <c r="AJ373" i="12" s="1"/>
  <c r="AJ374" i="12" s="1"/>
  <c r="AJ375" i="12" s="1"/>
  <c r="AJ376" i="12" s="1"/>
  <c r="AJ377" i="12" s="1"/>
  <c r="AJ378" i="12" s="1"/>
  <c r="AJ379" i="12" s="1"/>
  <c r="AJ380" i="12" s="1"/>
  <c r="AJ381" i="12" s="1"/>
  <c r="AJ382" i="12" s="1"/>
  <c r="AJ383" i="12" s="1"/>
  <c r="AJ384" i="12" s="1"/>
  <c r="AJ385" i="12" s="1"/>
  <c r="AJ386" i="12" s="1"/>
  <c r="AJ387" i="12" s="1"/>
  <c r="AJ388" i="12" s="1"/>
  <c r="AJ389" i="12" s="1"/>
  <c r="AJ390" i="12" s="1"/>
  <c r="AJ391" i="12" s="1"/>
  <c r="AJ392" i="12" s="1"/>
  <c r="AJ393" i="12" s="1"/>
  <c r="AJ394" i="12" s="1"/>
  <c r="AJ395" i="12" s="1"/>
  <c r="AJ396" i="12" s="1"/>
  <c r="AJ397" i="12" s="1"/>
  <c r="AJ398" i="12" s="1"/>
  <c r="R363" i="12"/>
  <c r="R364" i="12" s="1"/>
  <c r="R365" i="12" s="1"/>
  <c r="R366" i="12" s="1"/>
  <c r="R367" i="12" s="1"/>
  <c r="R368" i="12" s="1"/>
  <c r="R369" i="12" s="1"/>
  <c r="R370" i="12" s="1"/>
  <c r="R371" i="12" s="1"/>
  <c r="R372" i="12" s="1"/>
  <c r="R373" i="12" s="1"/>
  <c r="R374" i="12" s="1"/>
  <c r="R375" i="12" s="1"/>
  <c r="R376" i="12" s="1"/>
  <c r="R377" i="12" s="1"/>
  <c r="R378" i="12" s="1"/>
  <c r="R379" i="12" s="1"/>
  <c r="R380" i="12" s="1"/>
  <c r="R381" i="12" s="1"/>
  <c r="R382" i="12" s="1"/>
  <c r="R383" i="12" s="1"/>
  <c r="R384" i="12" s="1"/>
  <c r="R385" i="12" s="1"/>
  <c r="R386" i="12" s="1"/>
  <c r="R387" i="12" s="1"/>
  <c r="R388" i="12" s="1"/>
  <c r="R389" i="12" s="1"/>
  <c r="R390" i="12" s="1"/>
  <c r="R391" i="12" s="1"/>
  <c r="R392" i="12" s="1"/>
  <c r="R393" i="12" s="1"/>
  <c r="R394" i="12" s="1"/>
  <c r="R395" i="12" s="1"/>
  <c r="R396" i="12" s="1"/>
  <c r="R397" i="12" s="1"/>
  <c r="R398" i="12" s="1"/>
  <c r="AH363" i="12"/>
  <c r="AH364" i="12" s="1"/>
  <c r="AH365" i="12" s="1"/>
  <c r="AH366" i="12" s="1"/>
  <c r="AH367" i="12" s="1"/>
  <c r="AH368" i="12" s="1"/>
  <c r="AH369" i="12" s="1"/>
  <c r="AH370" i="12" s="1"/>
  <c r="AH371" i="12" s="1"/>
  <c r="AH372" i="12" s="1"/>
  <c r="AH373" i="12" s="1"/>
  <c r="AH374" i="12" s="1"/>
  <c r="AH375" i="12" s="1"/>
  <c r="AH376" i="12" s="1"/>
  <c r="AH377" i="12" s="1"/>
  <c r="AH378" i="12" s="1"/>
  <c r="AH379" i="12" s="1"/>
  <c r="AH380" i="12" s="1"/>
  <c r="AH381" i="12" s="1"/>
  <c r="AH382" i="12" s="1"/>
  <c r="AH383" i="12" s="1"/>
  <c r="AH384" i="12" s="1"/>
  <c r="AH385" i="12" s="1"/>
  <c r="AH386" i="12" s="1"/>
  <c r="AH387" i="12" s="1"/>
  <c r="AH388" i="12" s="1"/>
  <c r="AH389" i="12" s="1"/>
  <c r="AH390" i="12" s="1"/>
  <c r="AH391" i="12" s="1"/>
  <c r="AH392" i="12" s="1"/>
  <c r="AH393" i="12" s="1"/>
  <c r="AH394" i="12" s="1"/>
  <c r="AH395" i="12" s="1"/>
  <c r="AH396" i="12" s="1"/>
  <c r="AH397" i="12" s="1"/>
  <c r="AH398" i="12" s="1"/>
  <c r="AG363" i="12"/>
  <c r="AG364" i="12" s="1"/>
  <c r="AG365" i="12" s="1"/>
  <c r="AG366" i="12" s="1"/>
  <c r="AG367" i="12" s="1"/>
  <c r="AG368" i="12" s="1"/>
  <c r="AG369" i="12" s="1"/>
  <c r="AG370" i="12" s="1"/>
  <c r="AG371" i="12" s="1"/>
  <c r="AG372" i="12" s="1"/>
  <c r="AG373" i="12" s="1"/>
  <c r="AG374" i="12" s="1"/>
  <c r="AG375" i="12" s="1"/>
  <c r="AG376" i="12" s="1"/>
  <c r="AG377" i="12" s="1"/>
  <c r="AG378" i="12" s="1"/>
  <c r="AG379" i="12" s="1"/>
  <c r="AG380" i="12" s="1"/>
  <c r="AG381" i="12" s="1"/>
  <c r="AG382" i="12" s="1"/>
  <c r="AG383" i="12" s="1"/>
  <c r="AG384" i="12" s="1"/>
  <c r="AG385" i="12" s="1"/>
  <c r="AG386" i="12" s="1"/>
  <c r="AG387" i="12" s="1"/>
  <c r="AG388" i="12" s="1"/>
  <c r="AG389" i="12" s="1"/>
  <c r="AG390" i="12" s="1"/>
  <c r="AG391" i="12" s="1"/>
  <c r="AG392" i="12" s="1"/>
  <c r="AG393" i="12" s="1"/>
  <c r="AG394" i="12" s="1"/>
  <c r="AG395" i="12" s="1"/>
  <c r="AG396" i="12" s="1"/>
  <c r="AG397" i="12" s="1"/>
  <c r="AG398" i="12" s="1"/>
  <c r="Q363" i="12"/>
  <c r="Q364" i="12" s="1"/>
  <c r="Q365" i="12" s="1"/>
  <c r="Q366" i="12" s="1"/>
  <c r="Q367" i="12" s="1"/>
  <c r="Q368" i="12" s="1"/>
  <c r="Q369" i="12" s="1"/>
  <c r="Q370" i="12" s="1"/>
  <c r="Q371" i="12" s="1"/>
  <c r="Q372" i="12" s="1"/>
  <c r="Q373" i="12" s="1"/>
  <c r="Q374" i="12" s="1"/>
  <c r="Q375" i="12" s="1"/>
  <c r="Q376" i="12" s="1"/>
  <c r="Q377" i="12" s="1"/>
  <c r="Q378" i="12" s="1"/>
  <c r="Q379" i="12" s="1"/>
  <c r="Q380" i="12" s="1"/>
  <c r="Q381" i="12" s="1"/>
  <c r="Q382" i="12" s="1"/>
  <c r="Q383" i="12" s="1"/>
  <c r="Q384" i="12" s="1"/>
  <c r="Q385" i="12" s="1"/>
  <c r="Q386" i="12" s="1"/>
  <c r="Q387" i="12" s="1"/>
  <c r="Q388" i="12" s="1"/>
  <c r="Q389" i="12" s="1"/>
  <c r="Q390" i="12" s="1"/>
  <c r="Q391" i="12" s="1"/>
  <c r="Q392" i="12" s="1"/>
  <c r="Q393" i="12" s="1"/>
  <c r="Q394" i="12" s="1"/>
  <c r="Q395" i="12" s="1"/>
  <c r="Q396" i="12" s="1"/>
  <c r="Q397" i="12" s="1"/>
  <c r="Q398" i="12" s="1"/>
  <c r="AD166" i="12"/>
  <c r="AD167" i="12" s="1"/>
  <c r="AD168" i="12" s="1"/>
  <c r="AD169" i="12" s="1"/>
  <c r="AD170" i="12" s="1"/>
  <c r="AD171" i="12" s="1"/>
  <c r="AD172" i="12" s="1"/>
  <c r="AD173" i="12" s="1"/>
  <c r="AD174" i="12" s="1"/>
  <c r="AD175" i="12" s="1"/>
  <c r="AD176" i="12" s="1"/>
  <c r="AD177" i="12" s="1"/>
  <c r="AD178" i="12" s="1"/>
  <c r="AD179" i="12" s="1"/>
  <c r="AD180" i="12" s="1"/>
  <c r="AD181" i="12" s="1"/>
  <c r="AD182" i="12" s="1"/>
  <c r="AD183" i="12" s="1"/>
  <c r="AD184" i="12" s="1"/>
  <c r="AD185" i="12" s="1"/>
  <c r="AD186" i="12" s="1"/>
  <c r="AD187" i="12" s="1"/>
  <c r="AD188" i="12" s="1"/>
  <c r="AD189" i="12" s="1"/>
  <c r="AD190" i="12" s="1"/>
  <c r="AD191" i="12" s="1"/>
  <c r="AD192" i="12" s="1"/>
  <c r="AD193" i="12" s="1"/>
  <c r="AD194" i="12" s="1"/>
  <c r="AD195" i="12" s="1"/>
  <c r="AD196" i="12" s="1"/>
  <c r="AD197" i="12" s="1"/>
  <c r="AD198" i="12" s="1"/>
  <c r="K206" i="12"/>
  <c r="K207" i="12" s="1"/>
  <c r="K208" i="12" s="1"/>
  <c r="K209" i="12" s="1"/>
  <c r="K210" i="12" s="1"/>
  <c r="K211" i="12" s="1"/>
  <c r="K212" i="12" s="1"/>
  <c r="K213" i="12" s="1"/>
  <c r="K214" i="12" s="1"/>
  <c r="K215" i="12" s="1"/>
  <c r="K216" i="12" s="1"/>
  <c r="K217" i="12" s="1"/>
  <c r="K218" i="12" s="1"/>
  <c r="K219" i="12" s="1"/>
  <c r="K220" i="12" s="1"/>
  <c r="K221" i="12" s="1"/>
  <c r="K222" i="12" s="1"/>
  <c r="K223" i="12" s="1"/>
  <c r="K224" i="12" s="1"/>
  <c r="K225" i="12" s="1"/>
  <c r="K226" i="12" s="1"/>
  <c r="K227" i="12" s="1"/>
  <c r="K228" i="12" s="1"/>
  <c r="K229" i="12" s="1"/>
  <c r="K230" i="12" s="1"/>
  <c r="K231" i="12" s="1"/>
  <c r="K232" i="12" s="1"/>
  <c r="K233" i="12" s="1"/>
  <c r="K234" i="12" s="1"/>
  <c r="K235" i="12" s="1"/>
  <c r="K236" i="12" s="1"/>
  <c r="K237" i="12" s="1"/>
  <c r="K238" i="12" s="1"/>
  <c r="H86" i="12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AI206" i="12"/>
  <c r="AI207" i="12" s="1"/>
  <c r="AI208" i="12" s="1"/>
  <c r="AI209" i="12" s="1"/>
  <c r="AI210" i="12" s="1"/>
  <c r="AI211" i="12" s="1"/>
  <c r="AI212" i="12" s="1"/>
  <c r="AI213" i="12" s="1"/>
  <c r="AI214" i="12" s="1"/>
  <c r="AI215" i="12" s="1"/>
  <c r="AI216" i="12" s="1"/>
  <c r="AI217" i="12" s="1"/>
  <c r="AI218" i="12" s="1"/>
  <c r="AI219" i="12" s="1"/>
  <c r="AI220" i="12" s="1"/>
  <c r="AI221" i="12" s="1"/>
  <c r="AI222" i="12" s="1"/>
  <c r="AI223" i="12" s="1"/>
  <c r="AI224" i="12" s="1"/>
  <c r="AI225" i="12" s="1"/>
  <c r="AI226" i="12" s="1"/>
  <c r="AI227" i="12" s="1"/>
  <c r="AI228" i="12" s="1"/>
  <c r="AI229" i="12" s="1"/>
  <c r="AI230" i="12" s="1"/>
  <c r="AI231" i="12" s="1"/>
  <c r="AI232" i="12" s="1"/>
  <c r="AI233" i="12" s="1"/>
  <c r="AI234" i="12" s="1"/>
  <c r="AI235" i="12" s="1"/>
  <c r="AI236" i="12" s="1"/>
  <c r="AI237" i="12" s="1"/>
  <c r="AI238" i="12" s="1"/>
  <c r="H246" i="12"/>
  <c r="H247" i="12" s="1"/>
  <c r="H248" i="12" s="1"/>
  <c r="H249" i="12" s="1"/>
  <c r="H250" i="12" s="1"/>
  <c r="H251" i="12" s="1"/>
  <c r="H252" i="12" s="1"/>
  <c r="H253" i="12" s="1"/>
  <c r="H254" i="12" s="1"/>
  <c r="H255" i="12" s="1"/>
  <c r="H256" i="12" s="1"/>
  <c r="H257" i="12" s="1"/>
  <c r="H258" i="12" s="1"/>
  <c r="H259" i="12" s="1"/>
  <c r="H260" i="12" s="1"/>
  <c r="H261" i="12" s="1"/>
  <c r="H262" i="12" s="1"/>
  <c r="H263" i="12" s="1"/>
  <c r="H264" i="12" s="1"/>
  <c r="H265" i="12" s="1"/>
  <c r="H266" i="12" s="1"/>
  <c r="H267" i="12" s="1"/>
  <c r="H268" i="12" s="1"/>
  <c r="H269" i="12" s="1"/>
  <c r="H270" i="12" s="1"/>
  <c r="H271" i="12" s="1"/>
  <c r="H272" i="12" s="1"/>
  <c r="H273" i="12" s="1"/>
  <c r="H274" i="12" s="1"/>
  <c r="H275" i="12" s="1"/>
  <c r="H276" i="12" s="1"/>
  <c r="H277" i="12" s="1"/>
  <c r="H278" i="12" s="1"/>
  <c r="K246" i="12"/>
  <c r="K247" i="12" s="1"/>
  <c r="K248" i="12" s="1"/>
  <c r="K249" i="12" s="1"/>
  <c r="K250" i="12" s="1"/>
  <c r="K251" i="12" s="1"/>
  <c r="K252" i="12" s="1"/>
  <c r="K253" i="12" s="1"/>
  <c r="K254" i="12" s="1"/>
  <c r="K255" i="12" s="1"/>
  <c r="K256" i="12" s="1"/>
  <c r="K257" i="12" s="1"/>
  <c r="K258" i="12" s="1"/>
  <c r="K259" i="12" s="1"/>
  <c r="K260" i="12" s="1"/>
  <c r="K261" i="12" s="1"/>
  <c r="K262" i="12" s="1"/>
  <c r="K263" i="12" s="1"/>
  <c r="K264" i="12" s="1"/>
  <c r="K265" i="12" s="1"/>
  <c r="K266" i="12" s="1"/>
  <c r="K267" i="12" s="1"/>
  <c r="K268" i="12" s="1"/>
  <c r="K269" i="12" s="1"/>
  <c r="K270" i="12" s="1"/>
  <c r="K271" i="12" s="1"/>
  <c r="K272" i="12" s="1"/>
  <c r="K273" i="12" s="1"/>
  <c r="K274" i="12" s="1"/>
  <c r="K275" i="12" s="1"/>
  <c r="K276" i="12" s="1"/>
  <c r="K277" i="12" s="1"/>
  <c r="K278" i="12" s="1"/>
  <c r="H45" i="16"/>
  <c r="G60" i="16"/>
  <c r="F86" i="12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 s="1"/>
  <c r="F116" i="12" s="1"/>
  <c r="F117" i="12" s="1"/>
  <c r="F118" i="12" s="1"/>
  <c r="D206" i="12"/>
  <c r="D207" i="12" s="1"/>
  <c r="D208" i="12" s="1"/>
  <c r="D209" i="12" s="1"/>
  <c r="D210" i="12" s="1"/>
  <c r="D211" i="12" s="1"/>
  <c r="D212" i="12" s="1"/>
  <c r="D213" i="12" s="1"/>
  <c r="D214" i="12" s="1"/>
  <c r="D215" i="12" s="1"/>
  <c r="D216" i="12" s="1"/>
  <c r="D217" i="12" s="1"/>
  <c r="D218" i="12" s="1"/>
  <c r="D219" i="12" s="1"/>
  <c r="D220" i="12" s="1"/>
  <c r="D221" i="12" s="1"/>
  <c r="D222" i="12" s="1"/>
  <c r="D223" i="12" s="1"/>
  <c r="D224" i="12" s="1"/>
  <c r="D225" i="12" s="1"/>
  <c r="D226" i="12" s="1"/>
  <c r="D227" i="12" s="1"/>
  <c r="D228" i="12" s="1"/>
  <c r="D229" i="12" s="1"/>
  <c r="D230" i="12" s="1"/>
  <c r="D231" i="12" s="1"/>
  <c r="D232" i="12" s="1"/>
  <c r="D233" i="12" s="1"/>
  <c r="D234" i="12" s="1"/>
  <c r="D235" i="12" s="1"/>
  <c r="D236" i="12" s="1"/>
  <c r="D237" i="12" s="1"/>
  <c r="D238" i="12" s="1"/>
  <c r="M246" i="12"/>
  <c r="M247" i="12" s="1"/>
  <c r="M248" i="12" s="1"/>
  <c r="M249" i="12" s="1"/>
  <c r="M250" i="12" s="1"/>
  <c r="M251" i="12" s="1"/>
  <c r="M252" i="12" s="1"/>
  <c r="M253" i="12" s="1"/>
  <c r="M254" i="12" s="1"/>
  <c r="M255" i="12" s="1"/>
  <c r="M256" i="12" s="1"/>
  <c r="M257" i="12" s="1"/>
  <c r="M258" i="12" s="1"/>
  <c r="M259" i="12" s="1"/>
  <c r="M260" i="12" s="1"/>
  <c r="M261" i="12" s="1"/>
  <c r="M262" i="12" s="1"/>
  <c r="M263" i="12" s="1"/>
  <c r="M264" i="12" s="1"/>
  <c r="M265" i="12" s="1"/>
  <c r="M266" i="12" s="1"/>
  <c r="M267" i="12" s="1"/>
  <c r="M268" i="12" s="1"/>
  <c r="M269" i="12" s="1"/>
  <c r="M270" i="12" s="1"/>
  <c r="M271" i="12" s="1"/>
  <c r="M272" i="12" s="1"/>
  <c r="M273" i="12" s="1"/>
  <c r="M274" i="12" s="1"/>
  <c r="M275" i="12" s="1"/>
  <c r="M276" i="12" s="1"/>
  <c r="M277" i="12" s="1"/>
  <c r="M278" i="12" s="1"/>
  <c r="Q246" i="12"/>
  <c r="Q247" i="12" s="1"/>
  <c r="Q248" i="12" s="1"/>
  <c r="Q249" i="12" s="1"/>
  <c r="Q250" i="12" s="1"/>
  <c r="Q251" i="12" s="1"/>
  <c r="Q252" i="12" s="1"/>
  <c r="Q253" i="12" s="1"/>
  <c r="Q254" i="12" s="1"/>
  <c r="Q255" i="12" s="1"/>
  <c r="Q256" i="12" s="1"/>
  <c r="Q257" i="12" s="1"/>
  <c r="Q258" i="12" s="1"/>
  <c r="Q259" i="12" s="1"/>
  <c r="Q260" i="12" s="1"/>
  <c r="Q261" i="12" s="1"/>
  <c r="Q262" i="12" s="1"/>
  <c r="Q263" i="12" s="1"/>
  <c r="Q264" i="12" s="1"/>
  <c r="Q265" i="12" s="1"/>
  <c r="Q266" i="12" s="1"/>
  <c r="Q267" i="12" s="1"/>
  <c r="Q268" i="12" s="1"/>
  <c r="Q269" i="12" s="1"/>
  <c r="Q270" i="12" s="1"/>
  <c r="Q271" i="12" s="1"/>
  <c r="Q272" i="12" s="1"/>
  <c r="Q273" i="12" s="1"/>
  <c r="Q274" i="12" s="1"/>
  <c r="Q275" i="12" s="1"/>
  <c r="Q276" i="12" s="1"/>
  <c r="Q277" i="12" s="1"/>
  <c r="Q278" i="12" s="1"/>
  <c r="J126" i="12"/>
  <c r="J127" i="12" s="1"/>
  <c r="J128" i="12" s="1"/>
  <c r="J129" i="12" s="1"/>
  <c r="J130" i="12" s="1"/>
  <c r="J131" i="12" s="1"/>
  <c r="J132" i="12" s="1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J145" i="12" s="1"/>
  <c r="J146" i="12" s="1"/>
  <c r="J147" i="12" s="1"/>
  <c r="J148" i="12" s="1"/>
  <c r="J149" i="12" s="1"/>
  <c r="J150" i="12" s="1"/>
  <c r="J151" i="12" s="1"/>
  <c r="J152" i="12" s="1"/>
  <c r="J153" i="12" s="1"/>
  <c r="J154" i="12" s="1"/>
  <c r="J155" i="12" s="1"/>
  <c r="J156" i="12" s="1"/>
  <c r="J157" i="12" s="1"/>
  <c r="J158" i="12" s="1"/>
  <c r="L206" i="12"/>
  <c r="L207" i="12" s="1"/>
  <c r="L208" i="12" s="1"/>
  <c r="L209" i="12" s="1"/>
  <c r="L210" i="12" s="1"/>
  <c r="L211" i="12" s="1"/>
  <c r="L212" i="12" s="1"/>
  <c r="L213" i="12" s="1"/>
  <c r="L214" i="12" s="1"/>
  <c r="L215" i="12" s="1"/>
  <c r="L216" i="12" s="1"/>
  <c r="L217" i="12" s="1"/>
  <c r="L218" i="12" s="1"/>
  <c r="L219" i="12" s="1"/>
  <c r="L220" i="12" s="1"/>
  <c r="L221" i="12" s="1"/>
  <c r="L222" i="12" s="1"/>
  <c r="L223" i="12" s="1"/>
  <c r="L224" i="12" s="1"/>
  <c r="L225" i="12" s="1"/>
  <c r="L226" i="12" s="1"/>
  <c r="L227" i="12" s="1"/>
  <c r="L228" i="12" s="1"/>
  <c r="L229" i="12" s="1"/>
  <c r="L230" i="12" s="1"/>
  <c r="L231" i="12" s="1"/>
  <c r="L232" i="12" s="1"/>
  <c r="L233" i="12" s="1"/>
  <c r="L234" i="12" s="1"/>
  <c r="L235" i="12" s="1"/>
  <c r="L236" i="12" s="1"/>
  <c r="L237" i="12" s="1"/>
  <c r="L238" i="12" s="1"/>
  <c r="C86" i="12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J206" i="12"/>
  <c r="AC126" i="12"/>
  <c r="AC127" i="12" s="1"/>
  <c r="AC128" i="12" s="1"/>
  <c r="AC129" i="12" s="1"/>
  <c r="AC130" i="12" s="1"/>
  <c r="AC131" i="12" s="1"/>
  <c r="AC132" i="12" s="1"/>
  <c r="AC133" i="12" s="1"/>
  <c r="AC134" i="12" s="1"/>
  <c r="AC135" i="12" s="1"/>
  <c r="AC136" i="12" s="1"/>
  <c r="AC137" i="12" s="1"/>
  <c r="AC138" i="12" s="1"/>
  <c r="AC139" i="12" s="1"/>
  <c r="AC140" i="12" s="1"/>
  <c r="AC141" i="12" s="1"/>
  <c r="AC142" i="12" s="1"/>
  <c r="AC143" i="12" s="1"/>
  <c r="AC144" i="12" s="1"/>
  <c r="AC145" i="12" s="1"/>
  <c r="AC146" i="12" s="1"/>
  <c r="AC147" i="12" s="1"/>
  <c r="AC148" i="12" s="1"/>
  <c r="AC149" i="12" s="1"/>
  <c r="AC150" i="12" s="1"/>
  <c r="AC151" i="12" s="1"/>
  <c r="AC152" i="12" s="1"/>
  <c r="AC153" i="12" s="1"/>
  <c r="AC154" i="12" s="1"/>
  <c r="AC155" i="12" s="1"/>
  <c r="AC156" i="12" s="1"/>
  <c r="AC157" i="12" s="1"/>
  <c r="AC158" i="12" s="1"/>
  <c r="P166" i="12"/>
  <c r="P167" i="12" s="1"/>
  <c r="P168" i="12" s="1"/>
  <c r="P169" i="12" s="1"/>
  <c r="P170" i="12" s="1"/>
  <c r="P171" i="12" s="1"/>
  <c r="P172" i="12" s="1"/>
  <c r="P173" i="12" s="1"/>
  <c r="P174" i="12" s="1"/>
  <c r="P175" i="12" s="1"/>
  <c r="P176" i="12" s="1"/>
  <c r="P177" i="12" s="1"/>
  <c r="P178" i="12" s="1"/>
  <c r="P179" i="12" s="1"/>
  <c r="P180" i="12" s="1"/>
  <c r="P181" i="12" s="1"/>
  <c r="P182" i="12" s="1"/>
  <c r="P183" i="12" s="1"/>
  <c r="P184" i="12" s="1"/>
  <c r="P185" i="12" s="1"/>
  <c r="P186" i="12" s="1"/>
  <c r="P187" i="12" s="1"/>
  <c r="P188" i="12" s="1"/>
  <c r="P189" i="12" s="1"/>
  <c r="P190" i="12" s="1"/>
  <c r="P191" i="12" s="1"/>
  <c r="P192" i="12" s="1"/>
  <c r="P193" i="12" s="1"/>
  <c r="P194" i="12" s="1"/>
  <c r="P195" i="12" s="1"/>
  <c r="P196" i="12" s="1"/>
  <c r="P197" i="12" s="1"/>
  <c r="P198" i="12" s="1"/>
  <c r="AG86" i="12"/>
  <c r="AG87" i="12" s="1"/>
  <c r="AG88" i="12" s="1"/>
  <c r="AG89" i="12" s="1"/>
  <c r="AG90" i="12" s="1"/>
  <c r="AG91" i="12" s="1"/>
  <c r="AG92" i="12" s="1"/>
  <c r="AG93" i="12" s="1"/>
  <c r="AG94" i="12" s="1"/>
  <c r="AG95" i="12" s="1"/>
  <c r="AG96" i="12" s="1"/>
  <c r="AG97" i="12" s="1"/>
  <c r="AG98" i="12" s="1"/>
  <c r="AG99" i="12" s="1"/>
  <c r="AG100" i="12" s="1"/>
  <c r="AG101" i="12" s="1"/>
  <c r="AG102" i="12" s="1"/>
  <c r="AG103" i="12" s="1"/>
  <c r="AG104" i="12" s="1"/>
  <c r="AG105" i="12" s="1"/>
  <c r="AG106" i="12" s="1"/>
  <c r="AG107" i="12" s="1"/>
  <c r="AG108" i="12" s="1"/>
  <c r="AG109" i="12" s="1"/>
  <c r="AG110" i="12" s="1"/>
  <c r="AG111" i="12" s="1"/>
  <c r="AG112" i="12" s="1"/>
  <c r="AG113" i="12" s="1"/>
  <c r="AG114" i="12" s="1"/>
  <c r="AG115" i="12" s="1"/>
  <c r="AG116" i="12" s="1"/>
  <c r="AG117" i="12" s="1"/>
  <c r="AG118" i="12" s="1"/>
  <c r="AG166" i="12"/>
  <c r="AG167" i="12" s="1"/>
  <c r="AG168" i="12" s="1"/>
  <c r="AG169" i="12" s="1"/>
  <c r="AG170" i="12" s="1"/>
  <c r="AG171" i="12" s="1"/>
  <c r="AG172" i="12" s="1"/>
  <c r="AG173" i="12" s="1"/>
  <c r="AG174" i="12" s="1"/>
  <c r="AG175" i="12" s="1"/>
  <c r="AG176" i="12" s="1"/>
  <c r="AG177" i="12" s="1"/>
  <c r="AG178" i="12" s="1"/>
  <c r="AG179" i="12" s="1"/>
  <c r="AG180" i="12" s="1"/>
  <c r="AG181" i="12" s="1"/>
  <c r="AG182" i="12" s="1"/>
  <c r="AG183" i="12" s="1"/>
  <c r="AG184" i="12" s="1"/>
  <c r="AG185" i="12" s="1"/>
  <c r="AG186" i="12" s="1"/>
  <c r="AG187" i="12" s="1"/>
  <c r="AG188" i="12" s="1"/>
  <c r="AG189" i="12" s="1"/>
  <c r="AG190" i="12" s="1"/>
  <c r="AG191" i="12" s="1"/>
  <c r="AG192" i="12" s="1"/>
  <c r="AG193" i="12" s="1"/>
  <c r="AG194" i="12" s="1"/>
  <c r="AG195" i="12" s="1"/>
  <c r="AG196" i="12" s="1"/>
  <c r="AG197" i="12" s="1"/>
  <c r="AG198" i="12" s="1"/>
  <c r="AG126" i="12"/>
  <c r="AE206" i="12"/>
  <c r="AE207" i="12" s="1"/>
  <c r="AE208" i="12" s="1"/>
  <c r="AE209" i="12" s="1"/>
  <c r="AE210" i="12" s="1"/>
  <c r="AE211" i="12" s="1"/>
  <c r="AE212" i="12" s="1"/>
  <c r="AE213" i="12" s="1"/>
  <c r="AE214" i="12" s="1"/>
  <c r="AE215" i="12" s="1"/>
  <c r="AE216" i="12" s="1"/>
  <c r="AE217" i="12" s="1"/>
  <c r="AE218" i="12" s="1"/>
  <c r="AE219" i="12" s="1"/>
  <c r="AE220" i="12" s="1"/>
  <c r="AE221" i="12" s="1"/>
  <c r="AE222" i="12" s="1"/>
  <c r="AE223" i="12" s="1"/>
  <c r="AE224" i="12" s="1"/>
  <c r="AE225" i="12" s="1"/>
  <c r="AE226" i="12" s="1"/>
  <c r="AE227" i="12" s="1"/>
  <c r="AE228" i="12" s="1"/>
  <c r="AE229" i="12" s="1"/>
  <c r="AE230" i="12" s="1"/>
  <c r="AE231" i="12" s="1"/>
  <c r="AE232" i="12" s="1"/>
  <c r="AE233" i="12" s="1"/>
  <c r="AE234" i="12" s="1"/>
  <c r="AE235" i="12" s="1"/>
  <c r="AE236" i="12" s="1"/>
  <c r="AE237" i="12" s="1"/>
  <c r="AE238" i="12" s="1"/>
  <c r="J166" i="12"/>
  <c r="J167" i="12" s="1"/>
  <c r="J168" i="12" s="1"/>
  <c r="J169" i="12" s="1"/>
  <c r="J170" i="12" s="1"/>
  <c r="J171" i="12" s="1"/>
  <c r="J172" i="12" s="1"/>
  <c r="J173" i="12" s="1"/>
  <c r="J174" i="12" s="1"/>
  <c r="J175" i="12" s="1"/>
  <c r="J176" i="12" s="1"/>
  <c r="J177" i="12" s="1"/>
  <c r="J178" i="12" s="1"/>
  <c r="J179" i="12" s="1"/>
  <c r="J180" i="12" s="1"/>
  <c r="J181" i="12" s="1"/>
  <c r="J182" i="12" s="1"/>
  <c r="J183" i="12" s="1"/>
  <c r="J184" i="12" s="1"/>
  <c r="J185" i="12" s="1"/>
  <c r="J186" i="12" s="1"/>
  <c r="J187" i="12" s="1"/>
  <c r="J188" i="12" s="1"/>
  <c r="J189" i="12" s="1"/>
  <c r="J190" i="12" s="1"/>
  <c r="J191" i="12" s="1"/>
  <c r="J192" i="12" s="1"/>
  <c r="J193" i="12" s="1"/>
  <c r="J194" i="12" s="1"/>
  <c r="J195" i="12" s="1"/>
  <c r="J196" i="12" s="1"/>
  <c r="J197" i="12" s="1"/>
  <c r="J198" i="12" s="1"/>
  <c r="K166" i="12"/>
  <c r="AI166" i="12"/>
  <c r="AI167" i="12" s="1"/>
  <c r="AI168" i="12" s="1"/>
  <c r="AI169" i="12" s="1"/>
  <c r="AI170" i="12" s="1"/>
  <c r="AI171" i="12" s="1"/>
  <c r="AI172" i="12" s="1"/>
  <c r="AI173" i="12" s="1"/>
  <c r="AI174" i="12" s="1"/>
  <c r="AI175" i="12" s="1"/>
  <c r="AI176" i="12" s="1"/>
  <c r="AI177" i="12" s="1"/>
  <c r="AI178" i="12" s="1"/>
  <c r="AI179" i="12" s="1"/>
  <c r="AI180" i="12" s="1"/>
  <c r="AI181" i="12" s="1"/>
  <c r="AI182" i="12" s="1"/>
  <c r="AI183" i="12" s="1"/>
  <c r="AI184" i="12" s="1"/>
  <c r="AI185" i="12" s="1"/>
  <c r="AI186" i="12" s="1"/>
  <c r="AI187" i="12" s="1"/>
  <c r="AI188" i="12" s="1"/>
  <c r="AI189" i="12" s="1"/>
  <c r="AI190" i="12" s="1"/>
  <c r="AI191" i="12" s="1"/>
  <c r="AI192" i="12" s="1"/>
  <c r="AI193" i="12" s="1"/>
  <c r="AI194" i="12" s="1"/>
  <c r="AI195" i="12" s="1"/>
  <c r="AI196" i="12" s="1"/>
  <c r="AI197" i="12" s="1"/>
  <c r="AI198" i="12" s="1"/>
  <c r="H166" i="12"/>
  <c r="H167" i="12" s="1"/>
  <c r="H168" i="12" s="1"/>
  <c r="H169" i="12" s="1"/>
  <c r="H170" i="12" s="1"/>
  <c r="H171" i="12" s="1"/>
  <c r="H172" i="12" s="1"/>
  <c r="H173" i="12" s="1"/>
  <c r="H174" i="12" s="1"/>
  <c r="H175" i="12" s="1"/>
  <c r="H176" i="12" s="1"/>
  <c r="H177" i="12" s="1"/>
  <c r="H178" i="12" s="1"/>
  <c r="H179" i="12" s="1"/>
  <c r="H180" i="12" s="1"/>
  <c r="H181" i="12" s="1"/>
  <c r="H182" i="12" s="1"/>
  <c r="H183" i="12" s="1"/>
  <c r="H184" i="12" s="1"/>
  <c r="H185" i="12" s="1"/>
  <c r="H186" i="12" s="1"/>
  <c r="H187" i="12" s="1"/>
  <c r="H188" i="12" s="1"/>
  <c r="H189" i="12" s="1"/>
  <c r="H190" i="12" s="1"/>
  <c r="H191" i="12" s="1"/>
  <c r="H192" i="12" s="1"/>
  <c r="H193" i="12" s="1"/>
  <c r="H194" i="12" s="1"/>
  <c r="H195" i="12" s="1"/>
  <c r="H196" i="12" s="1"/>
  <c r="H197" i="12" s="1"/>
  <c r="H198" i="12" s="1"/>
  <c r="K86" i="12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K103" i="12" s="1"/>
  <c r="K104" i="12" s="1"/>
  <c r="K105" i="12" s="1"/>
  <c r="K106" i="12" s="1"/>
  <c r="K107" i="12" s="1"/>
  <c r="K108" i="12" s="1"/>
  <c r="K109" i="12" s="1"/>
  <c r="K110" i="12" s="1"/>
  <c r="K111" i="12" s="1"/>
  <c r="K112" i="12" s="1"/>
  <c r="K113" i="12" s="1"/>
  <c r="K114" i="12" s="1"/>
  <c r="K115" i="12" s="1"/>
  <c r="K116" i="12" s="1"/>
  <c r="K117" i="12" s="1"/>
  <c r="K118" i="12" s="1"/>
  <c r="D246" i="12"/>
  <c r="D247" i="12" s="1"/>
  <c r="D248" i="12" s="1"/>
  <c r="D249" i="12" s="1"/>
  <c r="D250" i="12" s="1"/>
  <c r="D251" i="12" s="1"/>
  <c r="D252" i="12" s="1"/>
  <c r="D253" i="12" s="1"/>
  <c r="D254" i="12" s="1"/>
  <c r="D255" i="12" s="1"/>
  <c r="D256" i="12" s="1"/>
  <c r="D257" i="12" s="1"/>
  <c r="D258" i="12" s="1"/>
  <c r="D259" i="12" s="1"/>
  <c r="D260" i="12" s="1"/>
  <c r="D261" i="12" s="1"/>
  <c r="D262" i="12" s="1"/>
  <c r="D263" i="12" s="1"/>
  <c r="D264" i="12" s="1"/>
  <c r="D265" i="12" s="1"/>
  <c r="D266" i="12" s="1"/>
  <c r="D267" i="12" s="1"/>
  <c r="D268" i="12" s="1"/>
  <c r="D269" i="12" s="1"/>
  <c r="D270" i="12" s="1"/>
  <c r="D271" i="12" s="1"/>
  <c r="D272" i="12" s="1"/>
  <c r="D273" i="12" s="1"/>
  <c r="D274" i="12" s="1"/>
  <c r="D275" i="12" s="1"/>
  <c r="D276" i="12" s="1"/>
  <c r="D277" i="12" s="1"/>
  <c r="D278" i="12" s="1"/>
  <c r="D126" i="12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H126" i="12"/>
  <c r="H127" i="12" s="1"/>
  <c r="H128" i="12" s="1"/>
  <c r="H129" i="12" s="1"/>
  <c r="H130" i="12" s="1"/>
  <c r="H131" i="12" s="1"/>
  <c r="H132" i="12" s="1"/>
  <c r="H133" i="12" s="1"/>
  <c r="H134" i="12" s="1"/>
  <c r="H135" i="12" s="1"/>
  <c r="H136" i="12" s="1"/>
  <c r="H137" i="12" s="1"/>
  <c r="H138" i="12" s="1"/>
  <c r="H139" i="12" s="1"/>
  <c r="H140" i="12" s="1"/>
  <c r="H141" i="12" s="1"/>
  <c r="H142" i="12" s="1"/>
  <c r="H143" i="12" s="1"/>
  <c r="H144" i="12" s="1"/>
  <c r="H145" i="12" s="1"/>
  <c r="H146" i="12" s="1"/>
  <c r="H147" i="12" s="1"/>
  <c r="H148" i="12" s="1"/>
  <c r="H149" i="12" s="1"/>
  <c r="H150" i="12" s="1"/>
  <c r="H151" i="12" s="1"/>
  <c r="H152" i="12" s="1"/>
  <c r="H153" i="12" s="1"/>
  <c r="H154" i="12" s="1"/>
  <c r="H155" i="12" s="1"/>
  <c r="H156" i="12" s="1"/>
  <c r="H157" i="12" s="1"/>
  <c r="H158" i="12" s="1"/>
  <c r="J86" i="12"/>
  <c r="J87" i="12" s="1"/>
  <c r="J88" i="12" s="1"/>
  <c r="J89" i="12" s="1"/>
  <c r="J90" i="12" s="1"/>
  <c r="J91" i="12" s="1"/>
  <c r="J92" i="12" s="1"/>
  <c r="J93" i="12" s="1"/>
  <c r="J94" i="12" s="1"/>
  <c r="J95" i="12" s="1"/>
  <c r="J96" i="12" s="1"/>
  <c r="J97" i="12" s="1"/>
  <c r="J98" i="12" s="1"/>
  <c r="J99" i="12" s="1"/>
  <c r="J100" i="12" s="1"/>
  <c r="J101" i="12" s="1"/>
  <c r="J102" i="12" s="1"/>
  <c r="J103" i="12" s="1"/>
  <c r="J104" i="12" s="1"/>
  <c r="J105" i="12" s="1"/>
  <c r="J106" i="12" s="1"/>
  <c r="J107" i="12" s="1"/>
  <c r="J108" i="12" s="1"/>
  <c r="J109" i="12" s="1"/>
  <c r="J110" i="12" s="1"/>
  <c r="J111" i="12" s="1"/>
  <c r="J112" i="12" s="1"/>
  <c r="J113" i="12" s="1"/>
  <c r="J114" i="12" s="1"/>
  <c r="J115" i="12" s="1"/>
  <c r="J116" i="12" s="1"/>
  <c r="J117" i="12" s="1"/>
  <c r="J118" i="12" s="1"/>
  <c r="T126" i="12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G86" i="12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G106" i="12" s="1"/>
  <c r="G107" i="12" s="1"/>
  <c r="G108" i="12" s="1"/>
  <c r="G109" i="12" s="1"/>
  <c r="G110" i="12" s="1"/>
  <c r="G111" i="12" s="1"/>
  <c r="G112" i="12" s="1"/>
  <c r="G113" i="12" s="1"/>
  <c r="G114" i="12" s="1"/>
  <c r="G115" i="12" s="1"/>
  <c r="G116" i="12" s="1"/>
  <c r="G117" i="12" s="1"/>
  <c r="G118" i="12" s="1"/>
  <c r="AI86" i="12"/>
  <c r="AI87" i="12" s="1"/>
  <c r="AI88" i="12" s="1"/>
  <c r="AI89" i="12" s="1"/>
  <c r="AI90" i="12" s="1"/>
  <c r="AI91" i="12" s="1"/>
  <c r="AI92" i="12" s="1"/>
  <c r="AI93" i="12" s="1"/>
  <c r="AI94" i="12" s="1"/>
  <c r="AI95" i="12" s="1"/>
  <c r="AI96" i="12" s="1"/>
  <c r="AI97" i="12" s="1"/>
  <c r="AI98" i="12" s="1"/>
  <c r="AI99" i="12" s="1"/>
  <c r="AI100" i="12" s="1"/>
  <c r="AI101" i="12" s="1"/>
  <c r="AI102" i="12" s="1"/>
  <c r="AI103" i="12" s="1"/>
  <c r="AI104" i="12" s="1"/>
  <c r="AI105" i="12" s="1"/>
  <c r="AI106" i="12" s="1"/>
  <c r="AI107" i="12" s="1"/>
  <c r="AI108" i="12" s="1"/>
  <c r="AI109" i="12" s="1"/>
  <c r="AI110" i="12" s="1"/>
  <c r="AI111" i="12" s="1"/>
  <c r="AI112" i="12" s="1"/>
  <c r="AI113" i="12" s="1"/>
  <c r="AI114" i="12" s="1"/>
  <c r="AI115" i="12" s="1"/>
  <c r="AI116" i="12" s="1"/>
  <c r="AI117" i="12" s="1"/>
  <c r="AI118" i="12" s="1"/>
  <c r="T86" i="12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AE126" i="12"/>
  <c r="AE127" i="12" s="1"/>
  <c r="AE128" i="12" s="1"/>
  <c r="AE129" i="12" s="1"/>
  <c r="AE130" i="12" s="1"/>
  <c r="AE131" i="12" s="1"/>
  <c r="AE132" i="12" s="1"/>
  <c r="AE133" i="12" s="1"/>
  <c r="AE134" i="12" s="1"/>
  <c r="AE135" i="12" s="1"/>
  <c r="AE136" i="12" s="1"/>
  <c r="AE137" i="12" s="1"/>
  <c r="AE138" i="12" s="1"/>
  <c r="AE139" i="12" s="1"/>
  <c r="AE140" i="12" s="1"/>
  <c r="AE141" i="12" s="1"/>
  <c r="AE142" i="12" s="1"/>
  <c r="AE143" i="12" s="1"/>
  <c r="AE144" i="12" s="1"/>
  <c r="AE145" i="12" s="1"/>
  <c r="AE146" i="12" s="1"/>
  <c r="AE147" i="12" s="1"/>
  <c r="AE148" i="12" s="1"/>
  <c r="AE149" i="12" s="1"/>
  <c r="AE150" i="12" s="1"/>
  <c r="AE151" i="12" s="1"/>
  <c r="AE152" i="12" s="1"/>
  <c r="AE153" i="12" s="1"/>
  <c r="AE154" i="12" s="1"/>
  <c r="AE155" i="12" s="1"/>
  <c r="AE156" i="12" s="1"/>
  <c r="AE157" i="12" s="1"/>
  <c r="AE158" i="12" s="1"/>
  <c r="AI246" i="12"/>
  <c r="AI126" i="12"/>
  <c r="AI127" i="12" s="1"/>
  <c r="AI128" i="12" s="1"/>
  <c r="AI129" i="12" s="1"/>
  <c r="AI130" i="12" s="1"/>
  <c r="AI131" i="12" s="1"/>
  <c r="AI132" i="12" s="1"/>
  <c r="AI133" i="12" s="1"/>
  <c r="AI134" i="12" s="1"/>
  <c r="AI135" i="12" s="1"/>
  <c r="AI136" i="12" s="1"/>
  <c r="AI137" i="12" s="1"/>
  <c r="AI138" i="12" s="1"/>
  <c r="AI139" i="12" s="1"/>
  <c r="AI140" i="12" s="1"/>
  <c r="AI141" i="12" s="1"/>
  <c r="AI142" i="12" s="1"/>
  <c r="AI143" i="12" s="1"/>
  <c r="AI144" i="12" s="1"/>
  <c r="AI145" i="12" s="1"/>
  <c r="AI146" i="12" s="1"/>
  <c r="AI147" i="12" s="1"/>
  <c r="AI148" i="12" s="1"/>
  <c r="AI149" i="12" s="1"/>
  <c r="AI150" i="12" s="1"/>
  <c r="AI151" i="12" s="1"/>
  <c r="AI152" i="12" s="1"/>
  <c r="AI153" i="12" s="1"/>
  <c r="AI154" i="12" s="1"/>
  <c r="AI155" i="12" s="1"/>
  <c r="AI156" i="12" s="1"/>
  <c r="AI157" i="12" s="1"/>
  <c r="AI158" i="12" s="1"/>
  <c r="G166" i="12"/>
  <c r="G167" i="12" s="1"/>
  <c r="G168" i="12" s="1"/>
  <c r="G169" i="12" s="1"/>
  <c r="G170" i="12" s="1"/>
  <c r="G171" i="12" s="1"/>
  <c r="G172" i="12" s="1"/>
  <c r="G173" i="12" s="1"/>
  <c r="G174" i="12" s="1"/>
  <c r="G175" i="12" s="1"/>
  <c r="G176" i="12" s="1"/>
  <c r="G177" i="12" s="1"/>
  <c r="G178" i="12" s="1"/>
  <c r="G179" i="12" s="1"/>
  <c r="G180" i="12" s="1"/>
  <c r="G181" i="12" s="1"/>
  <c r="G182" i="12" s="1"/>
  <c r="G183" i="12" s="1"/>
  <c r="G184" i="12" s="1"/>
  <c r="G185" i="12" s="1"/>
  <c r="G186" i="12" s="1"/>
  <c r="G187" i="12" s="1"/>
  <c r="G188" i="12" s="1"/>
  <c r="G189" i="12" s="1"/>
  <c r="G190" i="12" s="1"/>
  <c r="G191" i="12" s="1"/>
  <c r="G192" i="12" s="1"/>
  <c r="G193" i="12" s="1"/>
  <c r="G194" i="12" s="1"/>
  <c r="G195" i="12" s="1"/>
  <c r="G196" i="12" s="1"/>
  <c r="G197" i="12" s="1"/>
  <c r="G198" i="12" s="1"/>
  <c r="G126" i="12"/>
  <c r="G127" i="12" s="1"/>
  <c r="G128" i="12" s="1"/>
  <c r="G129" i="12" s="1"/>
  <c r="G130" i="12" s="1"/>
  <c r="G131" i="12" s="1"/>
  <c r="G132" i="12" s="1"/>
  <c r="G133" i="12" s="1"/>
  <c r="G134" i="12" s="1"/>
  <c r="G135" i="12" s="1"/>
  <c r="G136" i="12" s="1"/>
  <c r="G137" i="12" s="1"/>
  <c r="G138" i="12" s="1"/>
  <c r="G139" i="12" s="1"/>
  <c r="G140" i="12" s="1"/>
  <c r="G141" i="12" s="1"/>
  <c r="G142" i="12" s="1"/>
  <c r="G143" i="12" s="1"/>
  <c r="G144" i="12" s="1"/>
  <c r="G145" i="12" s="1"/>
  <c r="G146" i="12" s="1"/>
  <c r="G147" i="12" s="1"/>
  <c r="G148" i="12" s="1"/>
  <c r="G149" i="12" s="1"/>
  <c r="G150" i="12" s="1"/>
  <c r="G151" i="12" s="1"/>
  <c r="G152" i="12" s="1"/>
  <c r="G153" i="12" s="1"/>
  <c r="G154" i="12" s="1"/>
  <c r="G155" i="12" s="1"/>
  <c r="G156" i="12" s="1"/>
  <c r="G157" i="12" s="1"/>
  <c r="G158" i="12" s="1"/>
  <c r="AG246" i="12"/>
  <c r="G246" i="12"/>
  <c r="G247" i="12" s="1"/>
  <c r="G248" i="12" s="1"/>
  <c r="G249" i="12" s="1"/>
  <c r="G250" i="12" s="1"/>
  <c r="G251" i="12" s="1"/>
  <c r="G252" i="12" s="1"/>
  <c r="G253" i="12" s="1"/>
  <c r="G254" i="12" s="1"/>
  <c r="G255" i="12" s="1"/>
  <c r="G256" i="12" s="1"/>
  <c r="G257" i="12" s="1"/>
  <c r="G258" i="12" s="1"/>
  <c r="G259" i="12" s="1"/>
  <c r="G260" i="12" s="1"/>
  <c r="G261" i="12" s="1"/>
  <c r="G262" i="12" s="1"/>
  <c r="G263" i="12" s="1"/>
  <c r="G264" i="12" s="1"/>
  <c r="G265" i="12" s="1"/>
  <c r="G266" i="12" s="1"/>
  <c r="G267" i="12" s="1"/>
  <c r="G268" i="12" s="1"/>
  <c r="G269" i="12" s="1"/>
  <c r="G270" i="12" s="1"/>
  <c r="G271" i="12" s="1"/>
  <c r="G272" i="12" s="1"/>
  <c r="G273" i="12" s="1"/>
  <c r="G274" i="12" s="1"/>
  <c r="G275" i="12" s="1"/>
  <c r="G276" i="12" s="1"/>
  <c r="G277" i="12" s="1"/>
  <c r="G278" i="12" s="1"/>
  <c r="N166" i="12"/>
  <c r="N167" i="12" s="1"/>
  <c r="N168" i="12" s="1"/>
  <c r="N169" i="12" s="1"/>
  <c r="N170" i="12" s="1"/>
  <c r="N171" i="12" s="1"/>
  <c r="N172" i="12" s="1"/>
  <c r="N173" i="12" s="1"/>
  <c r="N174" i="12" s="1"/>
  <c r="N175" i="12" s="1"/>
  <c r="N176" i="12" s="1"/>
  <c r="N177" i="12" s="1"/>
  <c r="N178" i="12" s="1"/>
  <c r="N179" i="12" s="1"/>
  <c r="N180" i="12" s="1"/>
  <c r="N181" i="12" s="1"/>
  <c r="N182" i="12" s="1"/>
  <c r="N183" i="12" s="1"/>
  <c r="N184" i="12" s="1"/>
  <c r="N185" i="12" s="1"/>
  <c r="N186" i="12" s="1"/>
  <c r="N187" i="12" s="1"/>
  <c r="N188" i="12" s="1"/>
  <c r="N189" i="12" s="1"/>
  <c r="N190" i="12" s="1"/>
  <c r="N191" i="12" s="1"/>
  <c r="N192" i="12" s="1"/>
  <c r="N193" i="12" s="1"/>
  <c r="N194" i="12" s="1"/>
  <c r="N195" i="12" s="1"/>
  <c r="N196" i="12" s="1"/>
  <c r="N197" i="12" s="1"/>
  <c r="N198" i="12" s="1"/>
  <c r="N206" i="12"/>
  <c r="N207" i="12" s="1"/>
  <c r="N208" i="12" s="1"/>
  <c r="N209" i="12" s="1"/>
  <c r="N210" i="12" s="1"/>
  <c r="N211" i="12" s="1"/>
  <c r="N212" i="12" s="1"/>
  <c r="N213" i="12" s="1"/>
  <c r="N214" i="12" s="1"/>
  <c r="N215" i="12" s="1"/>
  <c r="N216" i="12" s="1"/>
  <c r="N217" i="12" s="1"/>
  <c r="N218" i="12" s="1"/>
  <c r="N219" i="12" s="1"/>
  <c r="N220" i="12" s="1"/>
  <c r="N221" i="12" s="1"/>
  <c r="N222" i="12" s="1"/>
  <c r="N223" i="12" s="1"/>
  <c r="N224" i="12" s="1"/>
  <c r="N225" i="12" s="1"/>
  <c r="N226" i="12" s="1"/>
  <c r="N227" i="12" s="1"/>
  <c r="N228" i="12" s="1"/>
  <c r="N229" i="12" s="1"/>
  <c r="N230" i="12" s="1"/>
  <c r="N231" i="12" s="1"/>
  <c r="N232" i="12" s="1"/>
  <c r="N233" i="12" s="1"/>
  <c r="N234" i="12" s="1"/>
  <c r="N235" i="12" s="1"/>
  <c r="N236" i="12" s="1"/>
  <c r="N237" i="12" s="1"/>
  <c r="N238" i="12" s="1"/>
  <c r="P86" i="12"/>
  <c r="P87" i="12" s="1"/>
  <c r="P88" i="12" s="1"/>
  <c r="P89" i="12" s="1"/>
  <c r="P90" i="12" s="1"/>
  <c r="P91" i="12" s="1"/>
  <c r="P92" i="12" s="1"/>
  <c r="P93" i="12" s="1"/>
  <c r="P94" i="12" s="1"/>
  <c r="P95" i="12" s="1"/>
  <c r="P96" i="12" s="1"/>
  <c r="P97" i="12" s="1"/>
  <c r="P98" i="12" s="1"/>
  <c r="P99" i="12" s="1"/>
  <c r="P100" i="12" s="1"/>
  <c r="P101" i="12" s="1"/>
  <c r="P102" i="12" s="1"/>
  <c r="P103" i="12" s="1"/>
  <c r="P104" i="12" s="1"/>
  <c r="P105" i="12" s="1"/>
  <c r="P106" i="12" s="1"/>
  <c r="P107" i="12" s="1"/>
  <c r="P108" i="12" s="1"/>
  <c r="P109" i="12" s="1"/>
  <c r="P110" i="12" s="1"/>
  <c r="P111" i="12" s="1"/>
  <c r="P112" i="12" s="1"/>
  <c r="P113" i="12" s="1"/>
  <c r="P114" i="12" s="1"/>
  <c r="P115" i="12" s="1"/>
  <c r="P116" i="12" s="1"/>
  <c r="P117" i="12" s="1"/>
  <c r="P118" i="12" s="1"/>
  <c r="J246" i="12"/>
  <c r="AC206" i="12"/>
  <c r="T206" i="12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N86" i="12"/>
  <c r="N87" i="12" s="1"/>
  <c r="N88" i="12" s="1"/>
  <c r="N89" i="12" s="1"/>
  <c r="N90" i="12" s="1"/>
  <c r="N91" i="12" s="1"/>
  <c r="N92" i="12" s="1"/>
  <c r="N93" i="12" s="1"/>
  <c r="N94" i="12" s="1"/>
  <c r="N95" i="12" s="1"/>
  <c r="N96" i="12" s="1"/>
  <c r="N97" i="12" s="1"/>
  <c r="N98" i="12" s="1"/>
  <c r="N99" i="12" s="1"/>
  <c r="N100" i="12" s="1"/>
  <c r="N101" i="12" s="1"/>
  <c r="N102" i="12" s="1"/>
  <c r="N103" i="12" s="1"/>
  <c r="N104" i="12" s="1"/>
  <c r="N105" i="12" s="1"/>
  <c r="N106" i="12" s="1"/>
  <c r="N107" i="12" s="1"/>
  <c r="N108" i="12" s="1"/>
  <c r="N109" i="12" s="1"/>
  <c r="N110" i="12" s="1"/>
  <c r="N111" i="12" s="1"/>
  <c r="N112" i="12" s="1"/>
  <c r="N113" i="12" s="1"/>
  <c r="N114" i="12" s="1"/>
  <c r="N115" i="12" s="1"/>
  <c r="N116" i="12" s="1"/>
  <c r="N117" i="12" s="1"/>
  <c r="N118" i="12" s="1"/>
  <c r="N246" i="12"/>
  <c r="N247" i="12" s="1"/>
  <c r="N248" i="12" s="1"/>
  <c r="N249" i="12" s="1"/>
  <c r="N250" i="12" s="1"/>
  <c r="N251" i="12" s="1"/>
  <c r="N252" i="12" s="1"/>
  <c r="N253" i="12" s="1"/>
  <c r="N254" i="12" s="1"/>
  <c r="N255" i="12" s="1"/>
  <c r="N256" i="12" s="1"/>
  <c r="N257" i="12" s="1"/>
  <c r="N258" i="12" s="1"/>
  <c r="N259" i="12" s="1"/>
  <c r="N260" i="12" s="1"/>
  <c r="N261" i="12" s="1"/>
  <c r="N262" i="12" s="1"/>
  <c r="N263" i="12" s="1"/>
  <c r="N264" i="12" s="1"/>
  <c r="N265" i="12" s="1"/>
  <c r="N266" i="12" s="1"/>
  <c r="N267" i="12" s="1"/>
  <c r="N268" i="12" s="1"/>
  <c r="N269" i="12" s="1"/>
  <c r="N270" i="12" s="1"/>
  <c r="N271" i="12" s="1"/>
  <c r="N272" i="12" s="1"/>
  <c r="N273" i="12" s="1"/>
  <c r="N274" i="12" s="1"/>
  <c r="N275" i="12" s="1"/>
  <c r="N276" i="12" s="1"/>
  <c r="N277" i="12" s="1"/>
  <c r="N278" i="12" s="1"/>
  <c r="M166" i="12"/>
  <c r="M167" i="12" s="1"/>
  <c r="M168" i="12" s="1"/>
  <c r="M169" i="12" s="1"/>
  <c r="M170" i="12" s="1"/>
  <c r="M171" i="12" s="1"/>
  <c r="M172" i="12" s="1"/>
  <c r="M173" i="12" s="1"/>
  <c r="M174" i="12" s="1"/>
  <c r="M175" i="12" s="1"/>
  <c r="M176" i="12" s="1"/>
  <c r="M177" i="12" s="1"/>
  <c r="M178" i="12" s="1"/>
  <c r="M179" i="12" s="1"/>
  <c r="M180" i="12" s="1"/>
  <c r="M181" i="12" s="1"/>
  <c r="M182" i="12" s="1"/>
  <c r="M183" i="12" s="1"/>
  <c r="M184" i="12" s="1"/>
  <c r="M185" i="12" s="1"/>
  <c r="M186" i="12" s="1"/>
  <c r="M187" i="12" s="1"/>
  <c r="M188" i="12" s="1"/>
  <c r="M189" i="12" s="1"/>
  <c r="M190" i="12" s="1"/>
  <c r="M191" i="12" s="1"/>
  <c r="M192" i="12" s="1"/>
  <c r="M193" i="12" s="1"/>
  <c r="M194" i="12" s="1"/>
  <c r="M195" i="12" s="1"/>
  <c r="M196" i="12" s="1"/>
  <c r="M197" i="12" s="1"/>
  <c r="M198" i="12" s="1"/>
  <c r="Q126" i="12"/>
  <c r="Q127" i="12" s="1"/>
  <c r="Q128" i="12" s="1"/>
  <c r="Q129" i="12" s="1"/>
  <c r="Q130" i="12" s="1"/>
  <c r="Q131" i="12" s="1"/>
  <c r="Q132" i="12" s="1"/>
  <c r="Q133" i="12" s="1"/>
  <c r="Q134" i="12" s="1"/>
  <c r="Q135" i="12" s="1"/>
  <c r="Q136" i="12" s="1"/>
  <c r="Q137" i="12" s="1"/>
  <c r="Q138" i="12" s="1"/>
  <c r="Q139" i="12" s="1"/>
  <c r="Q140" i="12" s="1"/>
  <c r="Q141" i="12" s="1"/>
  <c r="Q142" i="12" s="1"/>
  <c r="Q143" i="12" s="1"/>
  <c r="Q144" i="12" s="1"/>
  <c r="Q145" i="12" s="1"/>
  <c r="Q146" i="12" s="1"/>
  <c r="Q147" i="12" s="1"/>
  <c r="Q148" i="12" s="1"/>
  <c r="Q149" i="12" s="1"/>
  <c r="Q150" i="12" s="1"/>
  <c r="Q151" i="12" s="1"/>
  <c r="Q152" i="12" s="1"/>
  <c r="Q153" i="12" s="1"/>
  <c r="Q154" i="12" s="1"/>
  <c r="Q155" i="12" s="1"/>
  <c r="Q156" i="12" s="1"/>
  <c r="Q157" i="12" s="1"/>
  <c r="Q158" i="12" s="1"/>
  <c r="P246" i="12"/>
  <c r="P247" i="12" s="1"/>
  <c r="P248" i="12" s="1"/>
  <c r="P249" i="12" s="1"/>
  <c r="P250" i="12" s="1"/>
  <c r="P251" i="12" s="1"/>
  <c r="P252" i="12" s="1"/>
  <c r="P253" i="12" s="1"/>
  <c r="P254" i="12" s="1"/>
  <c r="P255" i="12" s="1"/>
  <c r="P256" i="12" s="1"/>
  <c r="P257" i="12" s="1"/>
  <c r="P258" i="12" s="1"/>
  <c r="P259" i="12" s="1"/>
  <c r="P260" i="12" s="1"/>
  <c r="P261" i="12" s="1"/>
  <c r="P262" i="12" s="1"/>
  <c r="P263" i="12" s="1"/>
  <c r="P264" i="12" s="1"/>
  <c r="P265" i="12" s="1"/>
  <c r="P266" i="12" s="1"/>
  <c r="P267" i="12" s="1"/>
  <c r="P268" i="12" s="1"/>
  <c r="P269" i="12" s="1"/>
  <c r="P270" i="12" s="1"/>
  <c r="P271" i="12" s="1"/>
  <c r="P272" i="12" s="1"/>
  <c r="P273" i="12" s="1"/>
  <c r="P274" i="12" s="1"/>
  <c r="P275" i="12" s="1"/>
  <c r="P276" i="12" s="1"/>
  <c r="P277" i="12" s="1"/>
  <c r="P278" i="12" s="1"/>
  <c r="V246" i="12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Q86" i="12"/>
  <c r="Q87" i="12" s="1"/>
  <c r="Q88" i="12" s="1"/>
  <c r="Q89" i="12" s="1"/>
  <c r="Q90" i="12" s="1"/>
  <c r="Q91" i="12" s="1"/>
  <c r="Q92" i="12" s="1"/>
  <c r="Q93" i="12" s="1"/>
  <c r="Q94" i="12" s="1"/>
  <c r="Q95" i="12" s="1"/>
  <c r="Q96" i="12" s="1"/>
  <c r="Q97" i="12" s="1"/>
  <c r="Q98" i="12" s="1"/>
  <c r="Q99" i="12" s="1"/>
  <c r="Q100" i="12" s="1"/>
  <c r="Q101" i="12" s="1"/>
  <c r="Q102" i="12" s="1"/>
  <c r="Q103" i="12" s="1"/>
  <c r="Q104" i="12" s="1"/>
  <c r="Q105" i="12" s="1"/>
  <c r="Q106" i="12" s="1"/>
  <c r="Q107" i="12" s="1"/>
  <c r="Q108" i="12" s="1"/>
  <c r="Q109" i="12" s="1"/>
  <c r="Q110" i="12" s="1"/>
  <c r="Q111" i="12" s="1"/>
  <c r="Q112" i="12" s="1"/>
  <c r="Q113" i="12" s="1"/>
  <c r="Q114" i="12" s="1"/>
  <c r="Q115" i="12" s="1"/>
  <c r="Q116" i="12" s="1"/>
  <c r="Q117" i="12" s="1"/>
  <c r="Q118" i="12" s="1"/>
  <c r="M126" i="12"/>
  <c r="M127" i="12" s="1"/>
  <c r="M128" i="12" s="1"/>
  <c r="M129" i="12" s="1"/>
  <c r="M130" i="12" s="1"/>
  <c r="M131" i="12" s="1"/>
  <c r="M132" i="12" s="1"/>
  <c r="M133" i="12" s="1"/>
  <c r="M134" i="12" s="1"/>
  <c r="M135" i="12" s="1"/>
  <c r="M136" i="12" s="1"/>
  <c r="M137" i="12" s="1"/>
  <c r="M138" i="12" s="1"/>
  <c r="M139" i="12" s="1"/>
  <c r="M140" i="12" s="1"/>
  <c r="M141" i="12" s="1"/>
  <c r="M142" i="12" s="1"/>
  <c r="M143" i="12" s="1"/>
  <c r="M144" i="12" s="1"/>
  <c r="M145" i="12" s="1"/>
  <c r="M146" i="12" s="1"/>
  <c r="M147" i="12" s="1"/>
  <c r="M148" i="12" s="1"/>
  <c r="M149" i="12" s="1"/>
  <c r="M150" i="12" s="1"/>
  <c r="M151" i="12" s="1"/>
  <c r="M152" i="12" s="1"/>
  <c r="M153" i="12" s="1"/>
  <c r="M154" i="12" s="1"/>
  <c r="M155" i="12" s="1"/>
  <c r="M156" i="12" s="1"/>
  <c r="M157" i="12" s="1"/>
  <c r="M158" i="12" s="1"/>
  <c r="V206" i="12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M206" i="12"/>
  <c r="M207" i="12" s="1"/>
  <c r="M208" i="12" s="1"/>
  <c r="M209" i="12" s="1"/>
  <c r="M210" i="12" s="1"/>
  <c r="M211" i="12" s="1"/>
  <c r="M212" i="12" s="1"/>
  <c r="M213" i="12" s="1"/>
  <c r="M214" i="12" s="1"/>
  <c r="M215" i="12" s="1"/>
  <c r="M216" i="12" s="1"/>
  <c r="M217" i="12" s="1"/>
  <c r="M218" i="12" s="1"/>
  <c r="M219" i="12" s="1"/>
  <c r="M220" i="12" s="1"/>
  <c r="M221" i="12" s="1"/>
  <c r="M222" i="12" s="1"/>
  <c r="M223" i="12" s="1"/>
  <c r="M224" i="12" s="1"/>
  <c r="M225" i="12" s="1"/>
  <c r="M226" i="12" s="1"/>
  <c r="M227" i="12" s="1"/>
  <c r="M228" i="12" s="1"/>
  <c r="M229" i="12" s="1"/>
  <c r="M230" i="12" s="1"/>
  <c r="M231" i="12" s="1"/>
  <c r="M232" i="12" s="1"/>
  <c r="M233" i="12" s="1"/>
  <c r="M234" i="12" s="1"/>
  <c r="M235" i="12" s="1"/>
  <c r="M236" i="12" s="1"/>
  <c r="M237" i="12" s="1"/>
  <c r="M238" i="12" s="1"/>
  <c r="N126" i="12"/>
  <c r="N127" i="12" s="1"/>
  <c r="N128" i="12" s="1"/>
  <c r="N129" i="12" s="1"/>
  <c r="N130" i="12" s="1"/>
  <c r="N131" i="12" s="1"/>
  <c r="N132" i="12" s="1"/>
  <c r="N133" i="12" s="1"/>
  <c r="N134" i="12" s="1"/>
  <c r="N135" i="12" s="1"/>
  <c r="N136" i="12" s="1"/>
  <c r="N137" i="12" s="1"/>
  <c r="N138" i="12" s="1"/>
  <c r="N139" i="12" s="1"/>
  <c r="N140" i="12" s="1"/>
  <c r="N141" i="12" s="1"/>
  <c r="N142" i="12" s="1"/>
  <c r="N143" i="12" s="1"/>
  <c r="N144" i="12" s="1"/>
  <c r="N145" i="12" s="1"/>
  <c r="N146" i="12" s="1"/>
  <c r="N147" i="12" s="1"/>
  <c r="N148" i="12" s="1"/>
  <c r="N149" i="12" s="1"/>
  <c r="N150" i="12" s="1"/>
  <c r="N151" i="12" s="1"/>
  <c r="N152" i="12" s="1"/>
  <c r="N153" i="12" s="1"/>
  <c r="N154" i="12" s="1"/>
  <c r="N155" i="12" s="1"/>
  <c r="N156" i="12" s="1"/>
  <c r="N157" i="12" s="1"/>
  <c r="N158" i="12" s="1"/>
  <c r="Q166" i="12"/>
  <c r="Q167" i="12" s="1"/>
  <c r="Q168" i="12" s="1"/>
  <c r="Q169" i="12" s="1"/>
  <c r="Q170" i="12" s="1"/>
  <c r="Q171" i="12" s="1"/>
  <c r="Q172" i="12" s="1"/>
  <c r="Q173" i="12" s="1"/>
  <c r="Q174" i="12" s="1"/>
  <c r="Q175" i="12" s="1"/>
  <c r="Q176" i="12" s="1"/>
  <c r="Q177" i="12" s="1"/>
  <c r="Q178" i="12" s="1"/>
  <c r="Q179" i="12" s="1"/>
  <c r="Q180" i="12" s="1"/>
  <c r="Q181" i="12" s="1"/>
  <c r="Q182" i="12" s="1"/>
  <c r="Q183" i="12" s="1"/>
  <c r="Q184" i="12" s="1"/>
  <c r="Q185" i="12" s="1"/>
  <c r="Q186" i="12" s="1"/>
  <c r="Q187" i="12" s="1"/>
  <c r="Q188" i="12" s="1"/>
  <c r="Q189" i="12" s="1"/>
  <c r="Q190" i="12" s="1"/>
  <c r="Q191" i="12" s="1"/>
  <c r="Q192" i="12" s="1"/>
  <c r="Q193" i="12" s="1"/>
  <c r="Q194" i="12" s="1"/>
  <c r="Q195" i="12" s="1"/>
  <c r="Q196" i="12" s="1"/>
  <c r="Q197" i="12" s="1"/>
  <c r="Q198" i="12" s="1"/>
  <c r="P126" i="12"/>
  <c r="P127" i="12" s="1"/>
  <c r="P128" i="12" s="1"/>
  <c r="P129" i="12" s="1"/>
  <c r="P130" i="12" s="1"/>
  <c r="P131" i="12" s="1"/>
  <c r="P132" i="12" s="1"/>
  <c r="P133" i="12" s="1"/>
  <c r="P134" i="12" s="1"/>
  <c r="P135" i="12" s="1"/>
  <c r="P136" i="12" s="1"/>
  <c r="P137" i="12" s="1"/>
  <c r="P138" i="12" s="1"/>
  <c r="P139" i="12" s="1"/>
  <c r="P140" i="12" s="1"/>
  <c r="P141" i="12" s="1"/>
  <c r="P142" i="12" s="1"/>
  <c r="P143" i="12" s="1"/>
  <c r="P144" i="12" s="1"/>
  <c r="P145" i="12" s="1"/>
  <c r="P146" i="12" s="1"/>
  <c r="P147" i="12" s="1"/>
  <c r="P148" i="12" s="1"/>
  <c r="P149" i="12" s="1"/>
  <c r="P150" i="12" s="1"/>
  <c r="P151" i="12" s="1"/>
  <c r="P152" i="12" s="1"/>
  <c r="P153" i="12" s="1"/>
  <c r="P154" i="12" s="1"/>
  <c r="P155" i="12" s="1"/>
  <c r="P156" i="12" s="1"/>
  <c r="P157" i="12" s="1"/>
  <c r="P158" i="12" s="1"/>
  <c r="Q206" i="12"/>
  <c r="I246" i="12"/>
  <c r="I247" i="12" s="1"/>
  <c r="I248" i="12" s="1"/>
  <c r="I249" i="12" s="1"/>
  <c r="I250" i="12" s="1"/>
  <c r="I251" i="12" s="1"/>
  <c r="I252" i="12" s="1"/>
  <c r="I253" i="12" s="1"/>
  <c r="I254" i="12" s="1"/>
  <c r="I255" i="12" s="1"/>
  <c r="I256" i="12" s="1"/>
  <c r="I257" i="12" s="1"/>
  <c r="I258" i="12" s="1"/>
  <c r="I259" i="12" s="1"/>
  <c r="I260" i="12" s="1"/>
  <c r="I261" i="12" s="1"/>
  <c r="I262" i="12" s="1"/>
  <c r="I263" i="12" s="1"/>
  <c r="I264" i="12" s="1"/>
  <c r="I265" i="12" s="1"/>
  <c r="I266" i="12" s="1"/>
  <c r="I267" i="12" s="1"/>
  <c r="I268" i="12" s="1"/>
  <c r="I269" i="12" s="1"/>
  <c r="I270" i="12" s="1"/>
  <c r="I271" i="12" s="1"/>
  <c r="I272" i="12" s="1"/>
  <c r="I273" i="12" s="1"/>
  <c r="I274" i="12" s="1"/>
  <c r="I275" i="12" s="1"/>
  <c r="I276" i="12" s="1"/>
  <c r="I277" i="12" s="1"/>
  <c r="I278" i="12" s="1"/>
  <c r="T246" i="12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AC246" i="12"/>
  <c r="V126" i="12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C246" i="12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166" i="12"/>
  <c r="C167" i="12" s="1"/>
  <c r="C168" i="12" s="1"/>
  <c r="C169" i="12" s="1"/>
  <c r="C170" i="12" s="1"/>
  <c r="C171" i="12" s="1"/>
  <c r="C172" i="12" s="1"/>
  <c r="C173" i="12" s="1"/>
  <c r="C174" i="12" s="1"/>
  <c r="C175" i="12" s="1"/>
  <c r="C176" i="12" s="1"/>
  <c r="C177" i="12" s="1"/>
  <c r="C178" i="12" s="1"/>
  <c r="C179" i="12" s="1"/>
  <c r="C180" i="12" s="1"/>
  <c r="C181" i="12" s="1"/>
  <c r="C182" i="12" s="1"/>
  <c r="C183" i="12" s="1"/>
  <c r="C184" i="12" s="1"/>
  <c r="C185" i="12" s="1"/>
  <c r="C186" i="12" s="1"/>
  <c r="C187" i="12" s="1"/>
  <c r="C188" i="12" s="1"/>
  <c r="C189" i="12" s="1"/>
  <c r="C190" i="12" s="1"/>
  <c r="C191" i="12" s="1"/>
  <c r="C192" i="12" s="1"/>
  <c r="C193" i="12" s="1"/>
  <c r="C194" i="12" s="1"/>
  <c r="C195" i="12" s="1"/>
  <c r="C196" i="12" s="1"/>
  <c r="C197" i="12" s="1"/>
  <c r="C198" i="12" s="1"/>
  <c r="V166" i="12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M86" i="12"/>
  <c r="H206" i="12"/>
  <c r="H207" i="12" s="1"/>
  <c r="H208" i="12" s="1"/>
  <c r="H209" i="12" s="1"/>
  <c r="H210" i="12" s="1"/>
  <c r="H211" i="12" s="1"/>
  <c r="H212" i="12" s="1"/>
  <c r="H213" i="12" s="1"/>
  <c r="H214" i="12" s="1"/>
  <c r="H215" i="12" s="1"/>
  <c r="H216" i="12" s="1"/>
  <c r="H217" i="12" s="1"/>
  <c r="H218" i="12" s="1"/>
  <c r="H219" i="12" s="1"/>
  <c r="H220" i="12" s="1"/>
  <c r="H221" i="12" s="1"/>
  <c r="H222" i="12" s="1"/>
  <c r="H223" i="12" s="1"/>
  <c r="H224" i="12" s="1"/>
  <c r="H225" i="12" s="1"/>
  <c r="H226" i="12" s="1"/>
  <c r="H227" i="12" s="1"/>
  <c r="H228" i="12" s="1"/>
  <c r="H229" i="12" s="1"/>
  <c r="H230" i="12" s="1"/>
  <c r="H231" i="12" s="1"/>
  <c r="H232" i="12" s="1"/>
  <c r="H233" i="12" s="1"/>
  <c r="H234" i="12" s="1"/>
  <c r="H235" i="12" s="1"/>
  <c r="H236" i="12" s="1"/>
  <c r="H237" i="12" s="1"/>
  <c r="H238" i="12" s="1"/>
  <c r="C126" i="12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C138" i="12" s="1"/>
  <c r="C139" i="12" s="1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P206" i="12"/>
  <c r="G59" i="16"/>
  <c r="G56" i="16"/>
  <c r="G58" i="16"/>
  <c r="G57" i="16"/>
  <c r="W166" i="12"/>
  <c r="D86" i="12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66" i="12"/>
  <c r="E287" i="12"/>
  <c r="E288" i="12" s="1"/>
  <c r="E289" i="12" s="1"/>
  <c r="E290" i="12" s="1"/>
  <c r="E291" i="12" s="1"/>
  <c r="E292" i="12" s="1"/>
  <c r="E293" i="12" s="1"/>
  <c r="E294" i="12" s="1"/>
  <c r="E295" i="12" s="1"/>
  <c r="E296" i="12" s="1"/>
  <c r="E297" i="12" s="1"/>
  <c r="E298" i="12" s="1"/>
  <c r="E299" i="12" s="1"/>
  <c r="E300" i="12" s="1"/>
  <c r="E301" i="12" s="1"/>
  <c r="E302" i="12" s="1"/>
  <c r="E303" i="12" s="1"/>
  <c r="E304" i="12" s="1"/>
  <c r="E305" i="12" s="1"/>
  <c r="E306" i="12" s="1"/>
  <c r="E307" i="12" s="1"/>
  <c r="E308" i="12" s="1"/>
  <c r="E309" i="12" s="1"/>
  <c r="E310" i="12" s="1"/>
  <c r="E311" i="12" s="1"/>
  <c r="E312" i="12" s="1"/>
  <c r="E313" i="12" s="1"/>
  <c r="E314" i="12" s="1"/>
  <c r="E315" i="12" s="1"/>
  <c r="E316" i="12" s="1"/>
  <c r="E317" i="12" s="1"/>
  <c r="E318" i="12" s="1"/>
  <c r="AI287" i="12"/>
  <c r="AI288" i="12" s="1"/>
  <c r="AI289" i="12" s="1"/>
  <c r="AI290" i="12" s="1"/>
  <c r="AI291" i="12" s="1"/>
  <c r="AI292" i="12" s="1"/>
  <c r="AI293" i="12" s="1"/>
  <c r="AI294" i="12" s="1"/>
  <c r="AI295" i="12" s="1"/>
  <c r="AI296" i="12" s="1"/>
  <c r="AI297" i="12" s="1"/>
  <c r="AI298" i="12" s="1"/>
  <c r="AI299" i="12" s="1"/>
  <c r="AI300" i="12" s="1"/>
  <c r="AI301" i="12" s="1"/>
  <c r="AI302" i="12" s="1"/>
  <c r="AI303" i="12" s="1"/>
  <c r="AI304" i="12" s="1"/>
  <c r="AI305" i="12" s="1"/>
  <c r="AI306" i="12" s="1"/>
  <c r="AI307" i="12" s="1"/>
  <c r="AI308" i="12" s="1"/>
  <c r="AI309" i="12" s="1"/>
  <c r="AI310" i="12" s="1"/>
  <c r="AI311" i="12" s="1"/>
  <c r="AI312" i="12" s="1"/>
  <c r="AI313" i="12" s="1"/>
  <c r="AI314" i="12" s="1"/>
  <c r="AI315" i="12" s="1"/>
  <c r="AI316" i="12" s="1"/>
  <c r="AI317" i="12" s="1"/>
  <c r="AI318" i="12" s="1"/>
  <c r="L166" i="12"/>
  <c r="L86" i="12"/>
  <c r="L126" i="12"/>
  <c r="L246" i="12"/>
  <c r="F206" i="12"/>
  <c r="F246" i="12"/>
  <c r="F166" i="12"/>
  <c r="W246" i="12"/>
  <c r="AD126" i="12"/>
  <c r="AD127" i="12" s="1"/>
  <c r="AD128" i="12" s="1"/>
  <c r="AD129" i="12" s="1"/>
  <c r="AD130" i="12" s="1"/>
  <c r="AD131" i="12" s="1"/>
  <c r="AD132" i="12" s="1"/>
  <c r="AD133" i="12" s="1"/>
  <c r="AD134" i="12" s="1"/>
  <c r="AD135" i="12" s="1"/>
  <c r="AD136" i="12" s="1"/>
  <c r="AD137" i="12" s="1"/>
  <c r="AD138" i="12" s="1"/>
  <c r="AD139" i="12" s="1"/>
  <c r="AD140" i="12" s="1"/>
  <c r="AD141" i="12" s="1"/>
  <c r="AD142" i="12" s="1"/>
  <c r="AD143" i="12" s="1"/>
  <c r="AD144" i="12" s="1"/>
  <c r="AD145" i="12" s="1"/>
  <c r="AD146" i="12" s="1"/>
  <c r="AD147" i="12" s="1"/>
  <c r="AD148" i="12" s="1"/>
  <c r="AD149" i="12" s="1"/>
  <c r="AD150" i="12" s="1"/>
  <c r="AD151" i="12" s="1"/>
  <c r="AD152" i="12" s="1"/>
  <c r="AD153" i="12" s="1"/>
  <c r="AD154" i="12" s="1"/>
  <c r="AD155" i="12" s="1"/>
  <c r="AD156" i="12" s="1"/>
  <c r="AD157" i="12" s="1"/>
  <c r="AD158" i="12" s="1"/>
  <c r="I287" i="12"/>
  <c r="I288" i="12" s="1"/>
  <c r="I289" i="12" s="1"/>
  <c r="I290" i="12" s="1"/>
  <c r="I291" i="12" s="1"/>
  <c r="I292" i="12" s="1"/>
  <c r="I293" i="12" s="1"/>
  <c r="I294" i="12" s="1"/>
  <c r="I295" i="12" s="1"/>
  <c r="I296" i="12" s="1"/>
  <c r="I297" i="12" s="1"/>
  <c r="I298" i="12" s="1"/>
  <c r="I299" i="12" s="1"/>
  <c r="I300" i="12" s="1"/>
  <c r="I301" i="12" s="1"/>
  <c r="I302" i="12" s="1"/>
  <c r="I303" i="12" s="1"/>
  <c r="I304" i="12" s="1"/>
  <c r="I305" i="12" s="1"/>
  <c r="I306" i="12" s="1"/>
  <c r="I307" i="12" s="1"/>
  <c r="I308" i="12" s="1"/>
  <c r="I309" i="12" s="1"/>
  <c r="I310" i="12" s="1"/>
  <c r="I311" i="12" s="1"/>
  <c r="I312" i="12" s="1"/>
  <c r="I313" i="12" s="1"/>
  <c r="I314" i="12" s="1"/>
  <c r="I315" i="12" s="1"/>
  <c r="I316" i="12" s="1"/>
  <c r="I317" i="12" s="1"/>
  <c r="I318" i="12" s="1"/>
  <c r="AH246" i="12"/>
  <c r="AH206" i="12"/>
  <c r="AH126" i="12"/>
  <c r="AH86" i="12"/>
  <c r="AH166" i="12"/>
  <c r="K287" i="12"/>
  <c r="K288" i="12" s="1"/>
  <c r="K289" i="12" s="1"/>
  <c r="K290" i="12" s="1"/>
  <c r="K291" i="12" s="1"/>
  <c r="K292" i="12" s="1"/>
  <c r="K293" i="12" s="1"/>
  <c r="K294" i="12" s="1"/>
  <c r="K295" i="12" s="1"/>
  <c r="K296" i="12" s="1"/>
  <c r="K297" i="12" s="1"/>
  <c r="K298" i="12" s="1"/>
  <c r="K299" i="12" s="1"/>
  <c r="K300" i="12" s="1"/>
  <c r="K301" i="12" s="1"/>
  <c r="K302" i="12" s="1"/>
  <c r="K303" i="12" s="1"/>
  <c r="K304" i="12" s="1"/>
  <c r="K305" i="12" s="1"/>
  <c r="K306" i="12" s="1"/>
  <c r="K307" i="12" s="1"/>
  <c r="K308" i="12" s="1"/>
  <c r="K309" i="12" s="1"/>
  <c r="K310" i="12" s="1"/>
  <c r="K311" i="12" s="1"/>
  <c r="K312" i="12" s="1"/>
  <c r="K313" i="12" s="1"/>
  <c r="K314" i="12" s="1"/>
  <c r="K315" i="12" s="1"/>
  <c r="K316" i="12" s="1"/>
  <c r="K317" i="12" s="1"/>
  <c r="K318" i="12" s="1"/>
  <c r="Y166" i="12"/>
  <c r="Y246" i="12"/>
  <c r="V287" i="12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Y126" i="12"/>
  <c r="U246" i="12"/>
  <c r="AE166" i="12"/>
  <c r="W126" i="12"/>
  <c r="L327" i="12"/>
  <c r="L328" i="12" s="1"/>
  <c r="L329" i="12" s="1"/>
  <c r="L330" i="12" s="1"/>
  <c r="L331" i="12" s="1"/>
  <c r="L332" i="12" s="1"/>
  <c r="L333" i="12" s="1"/>
  <c r="L334" i="12" s="1"/>
  <c r="L335" i="12" s="1"/>
  <c r="L336" i="12" s="1"/>
  <c r="L337" i="12" s="1"/>
  <c r="L338" i="12" s="1"/>
  <c r="L339" i="12" s="1"/>
  <c r="L340" i="12" s="1"/>
  <c r="L341" i="12" s="1"/>
  <c r="L342" i="12" s="1"/>
  <c r="L343" i="12" s="1"/>
  <c r="L344" i="12" s="1"/>
  <c r="L345" i="12" s="1"/>
  <c r="L346" i="12" s="1"/>
  <c r="L347" i="12" s="1"/>
  <c r="L348" i="12" s="1"/>
  <c r="L349" i="12" s="1"/>
  <c r="L350" i="12" s="1"/>
  <c r="L351" i="12" s="1"/>
  <c r="L352" i="12" s="1"/>
  <c r="L353" i="12" s="1"/>
  <c r="L354" i="12" s="1"/>
  <c r="L355" i="12" s="1"/>
  <c r="L356" i="12" s="1"/>
  <c r="L357" i="12" s="1"/>
  <c r="L358" i="12" s="1"/>
  <c r="J287" i="12"/>
  <c r="J288" i="12" s="1"/>
  <c r="J289" i="12" s="1"/>
  <c r="J290" i="12" s="1"/>
  <c r="J291" i="12" s="1"/>
  <c r="J292" i="12" s="1"/>
  <c r="J293" i="12" s="1"/>
  <c r="J294" i="12" s="1"/>
  <c r="J295" i="12" s="1"/>
  <c r="J296" i="12" s="1"/>
  <c r="J297" i="12" s="1"/>
  <c r="J298" i="12" s="1"/>
  <c r="J299" i="12" s="1"/>
  <c r="J300" i="12" s="1"/>
  <c r="J301" i="12" s="1"/>
  <c r="J302" i="12" s="1"/>
  <c r="J303" i="12" s="1"/>
  <c r="J304" i="12" s="1"/>
  <c r="J305" i="12" s="1"/>
  <c r="J306" i="12" s="1"/>
  <c r="J307" i="12" s="1"/>
  <c r="J308" i="12" s="1"/>
  <c r="J309" i="12" s="1"/>
  <c r="J310" i="12" s="1"/>
  <c r="J311" i="12" s="1"/>
  <c r="J312" i="12" s="1"/>
  <c r="J313" i="12" s="1"/>
  <c r="J314" i="12" s="1"/>
  <c r="J315" i="12" s="1"/>
  <c r="J316" i="12" s="1"/>
  <c r="J317" i="12" s="1"/>
  <c r="J318" i="12" s="1"/>
  <c r="C287" i="12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R206" i="12"/>
  <c r="R166" i="12"/>
  <c r="R126" i="12"/>
  <c r="R86" i="12"/>
  <c r="R246" i="12"/>
  <c r="AE246" i="12"/>
  <c r="Y86" i="12"/>
  <c r="W327" i="12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287" i="12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U206" i="12"/>
  <c r="I126" i="12"/>
  <c r="AE287" i="12"/>
  <c r="AE288" i="12" s="1"/>
  <c r="AE289" i="12" s="1"/>
  <c r="AE290" i="12" s="1"/>
  <c r="AE291" i="12" s="1"/>
  <c r="AE292" i="12" s="1"/>
  <c r="AE293" i="12" s="1"/>
  <c r="AE294" i="12" s="1"/>
  <c r="AE295" i="12" s="1"/>
  <c r="AE296" i="12" s="1"/>
  <c r="AE297" i="12" s="1"/>
  <c r="AE298" i="12" s="1"/>
  <c r="AE299" i="12" s="1"/>
  <c r="AE300" i="12" s="1"/>
  <c r="AE301" i="12" s="1"/>
  <c r="AE302" i="12" s="1"/>
  <c r="AE303" i="12" s="1"/>
  <c r="AE304" i="12" s="1"/>
  <c r="AE305" i="12" s="1"/>
  <c r="AE306" i="12" s="1"/>
  <c r="AE307" i="12" s="1"/>
  <c r="AE308" i="12" s="1"/>
  <c r="AE309" i="12" s="1"/>
  <c r="AE310" i="12" s="1"/>
  <c r="AE311" i="12" s="1"/>
  <c r="AE312" i="12" s="1"/>
  <c r="AE313" i="12" s="1"/>
  <c r="AE314" i="12" s="1"/>
  <c r="AE315" i="12" s="1"/>
  <c r="AE316" i="12" s="1"/>
  <c r="AE317" i="12" s="1"/>
  <c r="AE318" i="12" s="1"/>
  <c r="AH287" i="12"/>
  <c r="AH288" i="12" s="1"/>
  <c r="AH289" i="12" s="1"/>
  <c r="AH290" i="12" s="1"/>
  <c r="AH291" i="12" s="1"/>
  <c r="AH292" i="12" s="1"/>
  <c r="AH293" i="12" s="1"/>
  <c r="AH294" i="12" s="1"/>
  <c r="AH295" i="12" s="1"/>
  <c r="AH296" i="12" s="1"/>
  <c r="AH297" i="12" s="1"/>
  <c r="AH298" i="12" s="1"/>
  <c r="AH299" i="12" s="1"/>
  <c r="AH300" i="12" s="1"/>
  <c r="AH301" i="12" s="1"/>
  <c r="AH302" i="12" s="1"/>
  <c r="AH303" i="12" s="1"/>
  <c r="AH304" i="12" s="1"/>
  <c r="AH305" i="12" s="1"/>
  <c r="AH306" i="12" s="1"/>
  <c r="AH307" i="12" s="1"/>
  <c r="AH308" i="12" s="1"/>
  <c r="AH309" i="12" s="1"/>
  <c r="AH310" i="12" s="1"/>
  <c r="AH311" i="12" s="1"/>
  <c r="AH312" i="12" s="1"/>
  <c r="AH313" i="12" s="1"/>
  <c r="AH314" i="12" s="1"/>
  <c r="AH315" i="12" s="1"/>
  <c r="AH316" i="12" s="1"/>
  <c r="AH317" i="12" s="1"/>
  <c r="AH318" i="12" s="1"/>
  <c r="Y206" i="12"/>
  <c r="AA86" i="12"/>
  <c r="AA166" i="12"/>
  <c r="AA126" i="12"/>
  <c r="AA206" i="12"/>
  <c r="AA246" i="12"/>
  <c r="O206" i="12"/>
  <c r="O166" i="12"/>
  <c r="O86" i="12"/>
  <c r="O246" i="12"/>
  <c r="O126" i="12"/>
  <c r="W206" i="12"/>
  <c r="X206" i="12"/>
  <c r="X246" i="12"/>
  <c r="X166" i="12"/>
  <c r="X126" i="12"/>
  <c r="X86" i="12"/>
  <c r="S206" i="12"/>
  <c r="S86" i="12"/>
  <c r="S166" i="12"/>
  <c r="S126" i="12"/>
  <c r="S246" i="12"/>
  <c r="C206" i="12"/>
  <c r="U287" i="12"/>
  <c r="U288" i="12" s="1"/>
  <c r="U289" i="12" s="1"/>
  <c r="U290" i="12" s="1"/>
  <c r="U291" i="12" s="1"/>
  <c r="U292" i="12" s="1"/>
  <c r="U293" i="12" s="1"/>
  <c r="U294" i="12" s="1"/>
  <c r="U295" i="12" s="1"/>
  <c r="U296" i="12" s="1"/>
  <c r="U297" i="12" s="1"/>
  <c r="U298" i="12" s="1"/>
  <c r="U299" i="12" s="1"/>
  <c r="U300" i="12" s="1"/>
  <c r="U301" i="12" s="1"/>
  <c r="U302" i="12" s="1"/>
  <c r="U303" i="12" s="1"/>
  <c r="U304" i="12" s="1"/>
  <c r="U305" i="12" s="1"/>
  <c r="U306" i="12" s="1"/>
  <c r="U307" i="12" s="1"/>
  <c r="U308" i="12" s="1"/>
  <c r="U309" i="12" s="1"/>
  <c r="U310" i="12" s="1"/>
  <c r="U311" i="12" s="1"/>
  <c r="U312" i="12" s="1"/>
  <c r="U313" i="12" s="1"/>
  <c r="U314" i="12" s="1"/>
  <c r="U315" i="12" s="1"/>
  <c r="U316" i="12" s="1"/>
  <c r="U317" i="12" s="1"/>
  <c r="U318" i="12" s="1"/>
  <c r="F287" i="12"/>
  <c r="F288" i="12" s="1"/>
  <c r="F289" i="12" s="1"/>
  <c r="F290" i="12" s="1"/>
  <c r="F291" i="12" s="1"/>
  <c r="F292" i="12" s="1"/>
  <c r="F293" i="12" s="1"/>
  <c r="F294" i="12" s="1"/>
  <c r="F295" i="12" s="1"/>
  <c r="F296" i="12" s="1"/>
  <c r="F297" i="12" s="1"/>
  <c r="F298" i="12" s="1"/>
  <c r="F299" i="12" s="1"/>
  <c r="F300" i="12" s="1"/>
  <c r="F301" i="12" s="1"/>
  <c r="F302" i="12" s="1"/>
  <c r="F303" i="12" s="1"/>
  <c r="F304" i="12" s="1"/>
  <c r="F305" i="12" s="1"/>
  <c r="F306" i="12" s="1"/>
  <c r="F307" i="12" s="1"/>
  <c r="F308" i="12" s="1"/>
  <c r="F309" i="12" s="1"/>
  <c r="F310" i="12" s="1"/>
  <c r="F311" i="12" s="1"/>
  <c r="F312" i="12" s="1"/>
  <c r="F313" i="12" s="1"/>
  <c r="F314" i="12" s="1"/>
  <c r="F315" i="12" s="1"/>
  <c r="F316" i="12" s="1"/>
  <c r="F317" i="12" s="1"/>
  <c r="F318" i="12" s="1"/>
  <c r="U126" i="12"/>
  <c r="E327" i="12"/>
  <c r="E328" i="12" s="1"/>
  <c r="E329" i="12" s="1"/>
  <c r="E330" i="12" s="1"/>
  <c r="E331" i="12" s="1"/>
  <c r="E332" i="12" s="1"/>
  <c r="E333" i="12" s="1"/>
  <c r="E334" i="12" s="1"/>
  <c r="E335" i="12" s="1"/>
  <c r="E336" i="12" s="1"/>
  <c r="E337" i="12" s="1"/>
  <c r="E338" i="12" s="1"/>
  <c r="E339" i="12" s="1"/>
  <c r="E340" i="12" s="1"/>
  <c r="E341" i="12" s="1"/>
  <c r="E342" i="12" s="1"/>
  <c r="E343" i="12" s="1"/>
  <c r="E344" i="12" s="1"/>
  <c r="E345" i="12" s="1"/>
  <c r="E346" i="12" s="1"/>
  <c r="E347" i="12" s="1"/>
  <c r="E348" i="12" s="1"/>
  <c r="E349" i="12" s="1"/>
  <c r="E350" i="12" s="1"/>
  <c r="E351" i="12" s="1"/>
  <c r="E352" i="12" s="1"/>
  <c r="E353" i="12" s="1"/>
  <c r="E354" i="12" s="1"/>
  <c r="E355" i="12" s="1"/>
  <c r="E356" i="12" s="1"/>
  <c r="E357" i="12" s="1"/>
  <c r="E358" i="12" s="1"/>
  <c r="AJ126" i="12"/>
  <c r="AJ246" i="12"/>
  <c r="AJ206" i="12"/>
  <c r="AJ86" i="12"/>
  <c r="AJ87" i="12" s="1"/>
  <c r="AJ88" i="12" s="1"/>
  <c r="AJ89" i="12" s="1"/>
  <c r="AJ90" i="12" s="1"/>
  <c r="AJ91" i="12" s="1"/>
  <c r="AJ92" i="12" s="1"/>
  <c r="AJ93" i="12" s="1"/>
  <c r="AJ94" i="12" s="1"/>
  <c r="AJ95" i="12" s="1"/>
  <c r="AJ96" i="12" s="1"/>
  <c r="AJ97" i="12" s="1"/>
  <c r="AJ98" i="12" s="1"/>
  <c r="AJ99" i="12" s="1"/>
  <c r="AJ100" i="12" s="1"/>
  <c r="AJ101" i="12" s="1"/>
  <c r="AJ102" i="12" s="1"/>
  <c r="AJ103" i="12" s="1"/>
  <c r="AJ104" i="12" s="1"/>
  <c r="AJ105" i="12" s="1"/>
  <c r="AJ106" i="12" s="1"/>
  <c r="AJ107" i="12" s="1"/>
  <c r="AJ108" i="12" s="1"/>
  <c r="AJ109" i="12" s="1"/>
  <c r="AJ110" i="12" s="1"/>
  <c r="AJ111" i="12" s="1"/>
  <c r="AJ112" i="12" s="1"/>
  <c r="AJ113" i="12" s="1"/>
  <c r="AJ114" i="12" s="1"/>
  <c r="AJ115" i="12" s="1"/>
  <c r="AJ116" i="12" s="1"/>
  <c r="AJ117" i="12" s="1"/>
  <c r="AJ118" i="12" s="1"/>
  <c r="AJ119" i="12" s="1"/>
  <c r="AJ166" i="12"/>
  <c r="U86" i="12"/>
  <c r="U87" i="12" s="1"/>
  <c r="U88" i="12" s="1"/>
  <c r="U89" i="12" s="1"/>
  <c r="U90" i="12" s="1"/>
  <c r="U91" i="12" s="1"/>
  <c r="U92" i="12" s="1"/>
  <c r="U93" i="12" s="1"/>
  <c r="U94" i="12" s="1"/>
  <c r="U95" i="12" s="1"/>
  <c r="U96" i="12" s="1"/>
  <c r="U97" i="12" s="1"/>
  <c r="U98" i="12" s="1"/>
  <c r="U99" i="12" s="1"/>
  <c r="U100" i="12" s="1"/>
  <c r="U101" i="12" s="1"/>
  <c r="U102" i="12" s="1"/>
  <c r="U103" i="12" s="1"/>
  <c r="U104" i="12" s="1"/>
  <c r="U105" i="12" s="1"/>
  <c r="U106" i="12" s="1"/>
  <c r="U107" i="12" s="1"/>
  <c r="U108" i="12" s="1"/>
  <c r="U109" i="12" s="1"/>
  <c r="U110" i="12" s="1"/>
  <c r="U111" i="12" s="1"/>
  <c r="U112" i="12" s="1"/>
  <c r="U113" i="12" s="1"/>
  <c r="U114" i="12" s="1"/>
  <c r="U115" i="12" s="1"/>
  <c r="U116" i="12" s="1"/>
  <c r="U117" i="12" s="1"/>
  <c r="U118" i="12" s="1"/>
  <c r="AB166" i="12"/>
  <c r="AB126" i="12"/>
  <c r="AB86" i="12"/>
  <c r="AB246" i="12"/>
  <c r="AB206" i="12"/>
  <c r="H327" i="12"/>
  <c r="H328" i="12" s="1"/>
  <c r="H329" i="12" s="1"/>
  <c r="H330" i="12" s="1"/>
  <c r="H331" i="12" s="1"/>
  <c r="H332" i="12" s="1"/>
  <c r="H333" i="12" s="1"/>
  <c r="H334" i="12" s="1"/>
  <c r="H335" i="12" s="1"/>
  <c r="H336" i="12" s="1"/>
  <c r="H337" i="12" s="1"/>
  <c r="H338" i="12" s="1"/>
  <c r="H339" i="12" s="1"/>
  <c r="H340" i="12" s="1"/>
  <c r="H341" i="12" s="1"/>
  <c r="H342" i="12" s="1"/>
  <c r="H343" i="12" s="1"/>
  <c r="H344" i="12" s="1"/>
  <c r="H345" i="12" s="1"/>
  <c r="H346" i="12" s="1"/>
  <c r="H347" i="12" s="1"/>
  <c r="H348" i="12" s="1"/>
  <c r="H349" i="12" s="1"/>
  <c r="H350" i="12" s="1"/>
  <c r="H351" i="12" s="1"/>
  <c r="H352" i="12" s="1"/>
  <c r="H353" i="12" s="1"/>
  <c r="H354" i="12" s="1"/>
  <c r="H355" i="12" s="1"/>
  <c r="H356" i="12" s="1"/>
  <c r="H357" i="12" s="1"/>
  <c r="H358" i="12" s="1"/>
  <c r="I86" i="12"/>
  <c r="I206" i="12"/>
  <c r="Z246" i="12"/>
  <c r="Z166" i="12"/>
  <c r="Z206" i="12"/>
  <c r="Z126" i="12"/>
  <c r="Z86" i="12"/>
  <c r="O287" i="12"/>
  <c r="O288" i="12" s="1"/>
  <c r="O289" i="12" s="1"/>
  <c r="O290" i="12" s="1"/>
  <c r="O291" i="12" s="1"/>
  <c r="O292" i="12" s="1"/>
  <c r="O293" i="12" s="1"/>
  <c r="O294" i="12" s="1"/>
  <c r="O295" i="12" s="1"/>
  <c r="O296" i="12" s="1"/>
  <c r="O297" i="12" s="1"/>
  <c r="O298" i="12" s="1"/>
  <c r="O299" i="12" s="1"/>
  <c r="O300" i="12" s="1"/>
  <c r="O301" i="12" s="1"/>
  <c r="O302" i="12" s="1"/>
  <c r="O303" i="12" s="1"/>
  <c r="O304" i="12" s="1"/>
  <c r="O305" i="12" s="1"/>
  <c r="O306" i="12" s="1"/>
  <c r="O307" i="12" s="1"/>
  <c r="O308" i="12" s="1"/>
  <c r="O309" i="12" s="1"/>
  <c r="O310" i="12" s="1"/>
  <c r="O311" i="12" s="1"/>
  <c r="O312" i="12" s="1"/>
  <c r="O313" i="12" s="1"/>
  <c r="O314" i="12" s="1"/>
  <c r="O315" i="12" s="1"/>
  <c r="O316" i="12" s="1"/>
  <c r="O317" i="12" s="1"/>
  <c r="O318" i="12" s="1"/>
  <c r="AD246" i="12"/>
  <c r="AD206" i="12"/>
  <c r="AD86" i="12"/>
  <c r="H287" i="12"/>
  <c r="H288" i="12" s="1"/>
  <c r="H289" i="12" s="1"/>
  <c r="H290" i="12" s="1"/>
  <c r="H291" i="12" s="1"/>
  <c r="H292" i="12" s="1"/>
  <c r="H293" i="12" s="1"/>
  <c r="H294" i="12" s="1"/>
  <c r="H295" i="12" s="1"/>
  <c r="H296" i="12" s="1"/>
  <c r="H297" i="12" s="1"/>
  <c r="H298" i="12" s="1"/>
  <c r="H299" i="12" s="1"/>
  <c r="H300" i="12" s="1"/>
  <c r="H301" i="12" s="1"/>
  <c r="H302" i="12" s="1"/>
  <c r="H303" i="12" s="1"/>
  <c r="H304" i="12" s="1"/>
  <c r="H305" i="12" s="1"/>
  <c r="H306" i="12" s="1"/>
  <c r="H307" i="12" s="1"/>
  <c r="H308" i="12" s="1"/>
  <c r="H309" i="12" s="1"/>
  <c r="H310" i="12" s="1"/>
  <c r="H311" i="12" s="1"/>
  <c r="H312" i="12" s="1"/>
  <c r="H313" i="12" s="1"/>
  <c r="H314" i="12" s="1"/>
  <c r="H315" i="12" s="1"/>
  <c r="H316" i="12" s="1"/>
  <c r="H317" i="12" s="1"/>
  <c r="H318" i="12" s="1"/>
  <c r="AF206" i="12"/>
  <c r="AF126" i="12"/>
  <c r="AF86" i="12"/>
  <c r="AF166" i="12"/>
  <c r="AF246" i="12"/>
  <c r="AG287" i="12"/>
  <c r="AG288" i="12" s="1"/>
  <c r="AG289" i="12" s="1"/>
  <c r="AG290" i="12" s="1"/>
  <c r="AG291" i="12" s="1"/>
  <c r="AG292" i="12" s="1"/>
  <c r="AG293" i="12" s="1"/>
  <c r="AG294" i="12" s="1"/>
  <c r="AG295" i="12" s="1"/>
  <c r="AG296" i="12" s="1"/>
  <c r="AG297" i="12" s="1"/>
  <c r="AG298" i="12" s="1"/>
  <c r="AG299" i="12" s="1"/>
  <c r="AG300" i="12" s="1"/>
  <c r="AG301" i="12" s="1"/>
  <c r="AG302" i="12" s="1"/>
  <c r="AG303" i="12" s="1"/>
  <c r="AG304" i="12" s="1"/>
  <c r="AG305" i="12" s="1"/>
  <c r="AG306" i="12" s="1"/>
  <c r="AG307" i="12" s="1"/>
  <c r="AG308" i="12" s="1"/>
  <c r="AG309" i="12" s="1"/>
  <c r="AG310" i="12" s="1"/>
  <c r="AG311" i="12" s="1"/>
  <c r="AG312" i="12" s="1"/>
  <c r="AG313" i="12" s="1"/>
  <c r="AG314" i="12" s="1"/>
  <c r="AG315" i="12" s="1"/>
  <c r="AG316" i="12" s="1"/>
  <c r="AG317" i="12" s="1"/>
  <c r="AG318" i="12" s="1"/>
  <c r="H39" i="14" l="1"/>
  <c r="G40" i="14"/>
  <c r="G41" i="14"/>
  <c r="G42" i="14" s="1"/>
  <c r="H8" i="16"/>
  <c r="G48" i="16"/>
  <c r="H12" i="16"/>
  <c r="G52" i="16"/>
  <c r="F54" i="16"/>
  <c r="G14" i="16"/>
  <c r="F53" i="16"/>
  <c r="G13" i="16"/>
  <c r="H11" i="16"/>
  <c r="G51" i="16"/>
  <c r="H9" i="16"/>
  <c r="G49" i="16"/>
  <c r="G44" i="16"/>
  <c r="H4" i="16"/>
  <c r="H6" i="16"/>
  <c r="G46" i="16"/>
  <c r="G3" i="16"/>
  <c r="G43" i="16" s="1"/>
  <c r="E159" i="12"/>
  <c r="F42" i="16"/>
  <c r="G2" i="16"/>
  <c r="Q55" i="16"/>
  <c r="R15" i="16"/>
  <c r="H10" i="16"/>
  <c r="G50" i="16"/>
  <c r="H7" i="16"/>
  <c r="G47" i="16"/>
  <c r="K159" i="12"/>
  <c r="E239" i="12"/>
  <c r="AC119" i="12"/>
  <c r="T199" i="12"/>
  <c r="V119" i="12"/>
  <c r="E279" i="12"/>
  <c r="AC159" i="12"/>
  <c r="E199" i="12"/>
  <c r="F159" i="12"/>
  <c r="H159" i="12"/>
  <c r="AI239" i="12"/>
  <c r="F119" i="12"/>
  <c r="K119" i="12"/>
  <c r="H119" i="12"/>
  <c r="K239" i="12"/>
  <c r="K403" i="12"/>
  <c r="K404" i="12" s="1"/>
  <c r="K405" i="12" s="1"/>
  <c r="K406" i="12" s="1"/>
  <c r="K407" i="12" s="1"/>
  <c r="K408" i="12" s="1"/>
  <c r="K409" i="12" s="1"/>
  <c r="K410" i="12" s="1"/>
  <c r="K411" i="12" s="1"/>
  <c r="K412" i="12" s="1"/>
  <c r="K413" i="12" s="1"/>
  <c r="K414" i="12" s="1"/>
  <c r="K415" i="12" s="1"/>
  <c r="K416" i="12" s="1"/>
  <c r="K417" i="12" s="1"/>
  <c r="K418" i="12" s="1"/>
  <c r="K419" i="12" s="1"/>
  <c r="K420" i="12" s="1"/>
  <c r="K421" i="12" s="1"/>
  <c r="K422" i="12" s="1"/>
  <c r="K423" i="12" s="1"/>
  <c r="K424" i="12" s="1"/>
  <c r="K425" i="12" s="1"/>
  <c r="K426" i="12" s="1"/>
  <c r="K427" i="12" s="1"/>
  <c r="K428" i="12" s="1"/>
  <c r="K429" i="12" s="1"/>
  <c r="K430" i="12" s="1"/>
  <c r="K431" i="12" s="1"/>
  <c r="K432" i="12" s="1"/>
  <c r="K433" i="12" s="1"/>
  <c r="K434" i="12" s="1"/>
  <c r="K435" i="12" s="1"/>
  <c r="K436" i="12" s="1"/>
  <c r="K437" i="12" s="1"/>
  <c r="K438" i="12" s="1"/>
  <c r="L403" i="12"/>
  <c r="L404" i="12" s="1"/>
  <c r="L405" i="12" s="1"/>
  <c r="L406" i="12" s="1"/>
  <c r="L407" i="12" s="1"/>
  <c r="L408" i="12" s="1"/>
  <c r="L409" i="12" s="1"/>
  <c r="L410" i="12" s="1"/>
  <c r="L411" i="12" s="1"/>
  <c r="L412" i="12" s="1"/>
  <c r="L413" i="12" s="1"/>
  <c r="L414" i="12" s="1"/>
  <c r="L415" i="12" s="1"/>
  <c r="L416" i="12" s="1"/>
  <c r="L417" i="12" s="1"/>
  <c r="L418" i="12" s="1"/>
  <c r="L419" i="12" s="1"/>
  <c r="L420" i="12" s="1"/>
  <c r="L421" i="12" s="1"/>
  <c r="L422" i="12" s="1"/>
  <c r="L423" i="12" s="1"/>
  <c r="L424" i="12" s="1"/>
  <c r="L425" i="12" s="1"/>
  <c r="L426" i="12" s="1"/>
  <c r="L427" i="12" s="1"/>
  <c r="L428" i="12" s="1"/>
  <c r="L429" i="12" s="1"/>
  <c r="L430" i="12" s="1"/>
  <c r="L431" i="12" s="1"/>
  <c r="L432" i="12" s="1"/>
  <c r="L433" i="12" s="1"/>
  <c r="L434" i="12" s="1"/>
  <c r="L435" i="12" s="1"/>
  <c r="L436" i="12" s="1"/>
  <c r="L437" i="12" s="1"/>
  <c r="L438" i="12" s="1"/>
  <c r="I403" i="12"/>
  <c r="I404" i="12" s="1"/>
  <c r="I405" i="12" s="1"/>
  <c r="I406" i="12" s="1"/>
  <c r="I407" i="12" s="1"/>
  <c r="I408" i="12" s="1"/>
  <c r="I409" i="12" s="1"/>
  <c r="I410" i="12" s="1"/>
  <c r="I411" i="12" s="1"/>
  <c r="I412" i="12" s="1"/>
  <c r="I413" i="12" s="1"/>
  <c r="I414" i="12" s="1"/>
  <c r="I415" i="12" s="1"/>
  <c r="I416" i="12" s="1"/>
  <c r="I417" i="12" s="1"/>
  <c r="I418" i="12" s="1"/>
  <c r="I419" i="12" s="1"/>
  <c r="I420" i="12" s="1"/>
  <c r="I421" i="12" s="1"/>
  <c r="I422" i="12" s="1"/>
  <c r="I423" i="12" s="1"/>
  <c r="I424" i="12" s="1"/>
  <c r="I425" i="12" s="1"/>
  <c r="I426" i="12" s="1"/>
  <c r="I427" i="12" s="1"/>
  <c r="I428" i="12" s="1"/>
  <c r="I429" i="12" s="1"/>
  <c r="I430" i="12" s="1"/>
  <c r="I431" i="12" s="1"/>
  <c r="I432" i="12" s="1"/>
  <c r="I433" i="12" s="1"/>
  <c r="I434" i="12" s="1"/>
  <c r="I435" i="12" s="1"/>
  <c r="I436" i="12" s="1"/>
  <c r="I437" i="12" s="1"/>
  <c r="I438" i="12" s="1"/>
  <c r="U403" i="12"/>
  <c r="U404" i="12" s="1"/>
  <c r="U405" i="12" s="1"/>
  <c r="U406" i="12" s="1"/>
  <c r="U407" i="12" s="1"/>
  <c r="U408" i="12" s="1"/>
  <c r="U409" i="12" s="1"/>
  <c r="U410" i="12" s="1"/>
  <c r="U411" i="12" s="1"/>
  <c r="U412" i="12" s="1"/>
  <c r="U413" i="12" s="1"/>
  <c r="U414" i="12" s="1"/>
  <c r="U415" i="12" s="1"/>
  <c r="U416" i="12" s="1"/>
  <c r="U417" i="12" s="1"/>
  <c r="U418" i="12" s="1"/>
  <c r="U419" i="12" s="1"/>
  <c r="U420" i="12" s="1"/>
  <c r="U421" i="12" s="1"/>
  <c r="U422" i="12" s="1"/>
  <c r="U423" i="12" s="1"/>
  <c r="U424" i="12" s="1"/>
  <c r="U425" i="12" s="1"/>
  <c r="U426" i="12" s="1"/>
  <c r="U427" i="12" s="1"/>
  <c r="U428" i="12" s="1"/>
  <c r="U429" i="12" s="1"/>
  <c r="U430" i="12" s="1"/>
  <c r="U431" i="12" s="1"/>
  <c r="U432" i="12" s="1"/>
  <c r="U433" i="12" s="1"/>
  <c r="U434" i="12" s="1"/>
  <c r="U435" i="12" s="1"/>
  <c r="U436" i="12" s="1"/>
  <c r="U437" i="12" s="1"/>
  <c r="U438" i="12" s="1"/>
  <c r="AC403" i="12"/>
  <c r="AC404" i="12" s="1"/>
  <c r="AC405" i="12" s="1"/>
  <c r="AC406" i="12" s="1"/>
  <c r="AC407" i="12" s="1"/>
  <c r="AC408" i="12" s="1"/>
  <c r="AC409" i="12" s="1"/>
  <c r="AC410" i="12" s="1"/>
  <c r="AC411" i="12" s="1"/>
  <c r="AC412" i="12" s="1"/>
  <c r="AC413" i="12" s="1"/>
  <c r="AC414" i="12" s="1"/>
  <c r="AC415" i="12" s="1"/>
  <c r="AC416" i="12" s="1"/>
  <c r="AC417" i="12" s="1"/>
  <c r="AC418" i="12" s="1"/>
  <c r="AC419" i="12" s="1"/>
  <c r="AC420" i="12" s="1"/>
  <c r="AC421" i="12" s="1"/>
  <c r="AC422" i="12" s="1"/>
  <c r="AC423" i="12" s="1"/>
  <c r="AC424" i="12" s="1"/>
  <c r="AC425" i="12" s="1"/>
  <c r="AC426" i="12" s="1"/>
  <c r="AC427" i="12" s="1"/>
  <c r="AC428" i="12" s="1"/>
  <c r="AC429" i="12" s="1"/>
  <c r="AC430" i="12" s="1"/>
  <c r="AC431" i="12" s="1"/>
  <c r="AC432" i="12" s="1"/>
  <c r="AC433" i="12" s="1"/>
  <c r="AC434" i="12" s="1"/>
  <c r="AC435" i="12" s="1"/>
  <c r="AC436" i="12" s="1"/>
  <c r="AC437" i="12" s="1"/>
  <c r="AC438" i="12" s="1"/>
  <c r="S403" i="12"/>
  <c r="S404" i="12" s="1"/>
  <c r="S405" i="12" s="1"/>
  <c r="S406" i="12" s="1"/>
  <c r="S407" i="12" s="1"/>
  <c r="S408" i="12" s="1"/>
  <c r="S409" i="12" s="1"/>
  <c r="S410" i="12" s="1"/>
  <c r="S411" i="12" s="1"/>
  <c r="S412" i="12" s="1"/>
  <c r="S413" i="12" s="1"/>
  <c r="S414" i="12" s="1"/>
  <c r="S415" i="12" s="1"/>
  <c r="S416" i="12" s="1"/>
  <c r="S417" i="12" s="1"/>
  <c r="S418" i="12" s="1"/>
  <c r="S419" i="12" s="1"/>
  <c r="S420" i="12" s="1"/>
  <c r="S421" i="12" s="1"/>
  <c r="S422" i="12" s="1"/>
  <c r="S423" i="12" s="1"/>
  <c r="S424" i="12" s="1"/>
  <c r="S425" i="12" s="1"/>
  <c r="S426" i="12" s="1"/>
  <c r="S427" i="12" s="1"/>
  <c r="S428" i="12" s="1"/>
  <c r="S429" i="12" s="1"/>
  <c r="S430" i="12" s="1"/>
  <c r="S431" i="12" s="1"/>
  <c r="S432" i="12" s="1"/>
  <c r="S433" i="12" s="1"/>
  <c r="S434" i="12" s="1"/>
  <c r="S435" i="12" s="1"/>
  <c r="S436" i="12" s="1"/>
  <c r="S437" i="12" s="1"/>
  <c r="S438" i="12" s="1"/>
  <c r="Q403" i="12"/>
  <c r="Q404" i="12" s="1"/>
  <c r="Q405" i="12" s="1"/>
  <c r="Q406" i="12" s="1"/>
  <c r="Q407" i="12" s="1"/>
  <c r="Q408" i="12" s="1"/>
  <c r="Q409" i="12" s="1"/>
  <c r="Q410" i="12" s="1"/>
  <c r="Q411" i="12" s="1"/>
  <c r="Q412" i="12" s="1"/>
  <c r="Q413" i="12" s="1"/>
  <c r="Q414" i="12" s="1"/>
  <c r="Q415" i="12" s="1"/>
  <c r="Q416" i="12" s="1"/>
  <c r="Q417" i="12" s="1"/>
  <c r="Q418" i="12" s="1"/>
  <c r="Q419" i="12" s="1"/>
  <c r="Q420" i="12" s="1"/>
  <c r="Q421" i="12" s="1"/>
  <c r="Q422" i="12" s="1"/>
  <c r="Q423" i="12" s="1"/>
  <c r="Q424" i="12" s="1"/>
  <c r="Q425" i="12" s="1"/>
  <c r="Q426" i="12" s="1"/>
  <c r="Q427" i="12" s="1"/>
  <c r="Q428" i="12" s="1"/>
  <c r="Q429" i="12" s="1"/>
  <c r="Q430" i="12" s="1"/>
  <c r="Q431" i="12" s="1"/>
  <c r="Q432" i="12" s="1"/>
  <c r="Q433" i="12" s="1"/>
  <c r="Q434" i="12" s="1"/>
  <c r="Q435" i="12" s="1"/>
  <c r="Q436" i="12" s="1"/>
  <c r="Q437" i="12" s="1"/>
  <c r="Q438" i="12" s="1"/>
  <c r="AJ403" i="12"/>
  <c r="AJ404" i="12" s="1"/>
  <c r="AJ405" i="12" s="1"/>
  <c r="AJ406" i="12" s="1"/>
  <c r="AJ407" i="12" s="1"/>
  <c r="AJ408" i="12" s="1"/>
  <c r="AJ409" i="12" s="1"/>
  <c r="AJ410" i="12" s="1"/>
  <c r="AJ411" i="12" s="1"/>
  <c r="AJ412" i="12" s="1"/>
  <c r="AJ413" i="12" s="1"/>
  <c r="AJ414" i="12" s="1"/>
  <c r="AJ415" i="12" s="1"/>
  <c r="AJ416" i="12" s="1"/>
  <c r="AJ417" i="12" s="1"/>
  <c r="AJ418" i="12" s="1"/>
  <c r="AJ419" i="12" s="1"/>
  <c r="AJ420" i="12" s="1"/>
  <c r="AJ421" i="12" s="1"/>
  <c r="AJ422" i="12" s="1"/>
  <c r="AJ423" i="12" s="1"/>
  <c r="AJ424" i="12" s="1"/>
  <c r="AJ425" i="12" s="1"/>
  <c r="AJ426" i="12" s="1"/>
  <c r="AJ427" i="12" s="1"/>
  <c r="AJ428" i="12" s="1"/>
  <c r="AJ429" i="12" s="1"/>
  <c r="AJ430" i="12" s="1"/>
  <c r="AJ431" i="12" s="1"/>
  <c r="AJ432" i="12" s="1"/>
  <c r="AJ433" i="12" s="1"/>
  <c r="AJ434" i="12" s="1"/>
  <c r="AJ435" i="12" s="1"/>
  <c r="AJ436" i="12" s="1"/>
  <c r="AJ437" i="12" s="1"/>
  <c r="AJ438" i="12" s="1"/>
  <c r="W403" i="12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C403" i="12"/>
  <c r="C404" i="12" s="1"/>
  <c r="C405" i="12" s="1"/>
  <c r="C406" i="12" s="1"/>
  <c r="C407" i="12" s="1"/>
  <c r="C408" i="12" s="1"/>
  <c r="C409" i="12" s="1"/>
  <c r="C410" i="12" s="1"/>
  <c r="C411" i="12" s="1"/>
  <c r="C412" i="12" s="1"/>
  <c r="C413" i="12" s="1"/>
  <c r="C414" i="12" s="1"/>
  <c r="C415" i="12" s="1"/>
  <c r="C416" i="12" s="1"/>
  <c r="C417" i="12" s="1"/>
  <c r="C418" i="12" s="1"/>
  <c r="C419" i="12" s="1"/>
  <c r="C420" i="12" s="1"/>
  <c r="C421" i="12" s="1"/>
  <c r="C422" i="12" s="1"/>
  <c r="C423" i="12" s="1"/>
  <c r="C424" i="12" s="1"/>
  <c r="C425" i="12" s="1"/>
  <c r="C426" i="12" s="1"/>
  <c r="C427" i="12" s="1"/>
  <c r="C428" i="12" s="1"/>
  <c r="C429" i="12" s="1"/>
  <c r="C430" i="12" s="1"/>
  <c r="C431" i="12" s="1"/>
  <c r="C432" i="12" s="1"/>
  <c r="C433" i="12" s="1"/>
  <c r="C434" i="12" s="1"/>
  <c r="C435" i="12" s="1"/>
  <c r="C436" i="12" s="1"/>
  <c r="C437" i="12" s="1"/>
  <c r="C438" i="12" s="1"/>
  <c r="AB403" i="12"/>
  <c r="AB404" i="12" s="1"/>
  <c r="AB405" i="12" s="1"/>
  <c r="AB406" i="12" s="1"/>
  <c r="AB407" i="12" s="1"/>
  <c r="AB408" i="12" s="1"/>
  <c r="AB409" i="12" s="1"/>
  <c r="AB410" i="12" s="1"/>
  <c r="AB411" i="12" s="1"/>
  <c r="AB412" i="12" s="1"/>
  <c r="AB413" i="12" s="1"/>
  <c r="AB414" i="12" s="1"/>
  <c r="AB415" i="12" s="1"/>
  <c r="AB416" i="12" s="1"/>
  <c r="AB417" i="12" s="1"/>
  <c r="AB418" i="12" s="1"/>
  <c r="AB419" i="12" s="1"/>
  <c r="AB420" i="12" s="1"/>
  <c r="AB421" i="12" s="1"/>
  <c r="AB422" i="12" s="1"/>
  <c r="AB423" i="12" s="1"/>
  <c r="AB424" i="12" s="1"/>
  <c r="AB425" i="12" s="1"/>
  <c r="AB426" i="12" s="1"/>
  <c r="AB427" i="12" s="1"/>
  <c r="AB428" i="12" s="1"/>
  <c r="AB429" i="12" s="1"/>
  <c r="AB430" i="12" s="1"/>
  <c r="AB431" i="12" s="1"/>
  <c r="AB432" i="12" s="1"/>
  <c r="AB433" i="12" s="1"/>
  <c r="AB434" i="12" s="1"/>
  <c r="AB435" i="12" s="1"/>
  <c r="AB436" i="12" s="1"/>
  <c r="AB437" i="12" s="1"/>
  <c r="AB438" i="12" s="1"/>
  <c r="AI403" i="12"/>
  <c r="AI404" i="12" s="1"/>
  <c r="AI405" i="12" s="1"/>
  <c r="AI406" i="12" s="1"/>
  <c r="AI407" i="12" s="1"/>
  <c r="AI408" i="12" s="1"/>
  <c r="AI409" i="12" s="1"/>
  <c r="AI410" i="12" s="1"/>
  <c r="AI411" i="12" s="1"/>
  <c r="AI412" i="12" s="1"/>
  <c r="AI413" i="12" s="1"/>
  <c r="AI414" i="12" s="1"/>
  <c r="AI415" i="12" s="1"/>
  <c r="AI416" i="12" s="1"/>
  <c r="AI417" i="12" s="1"/>
  <c r="AI418" i="12" s="1"/>
  <c r="AI419" i="12" s="1"/>
  <c r="AI420" i="12" s="1"/>
  <c r="AI421" i="12" s="1"/>
  <c r="AI422" i="12" s="1"/>
  <c r="AI423" i="12" s="1"/>
  <c r="AI424" i="12" s="1"/>
  <c r="AI425" i="12" s="1"/>
  <c r="AI426" i="12" s="1"/>
  <c r="AI427" i="12" s="1"/>
  <c r="AI428" i="12" s="1"/>
  <c r="AI429" i="12" s="1"/>
  <c r="AI430" i="12" s="1"/>
  <c r="AI431" i="12" s="1"/>
  <c r="AI432" i="12" s="1"/>
  <c r="AI433" i="12" s="1"/>
  <c r="AI434" i="12" s="1"/>
  <c r="AI435" i="12" s="1"/>
  <c r="AI436" i="12" s="1"/>
  <c r="AI437" i="12" s="1"/>
  <c r="AI438" i="12" s="1"/>
  <c r="AA403" i="12"/>
  <c r="AA404" i="12" s="1"/>
  <c r="AA405" i="12" s="1"/>
  <c r="AA406" i="12" s="1"/>
  <c r="AA407" i="12" s="1"/>
  <c r="AA408" i="12" s="1"/>
  <c r="AA409" i="12" s="1"/>
  <c r="AA410" i="12" s="1"/>
  <c r="AA411" i="12" s="1"/>
  <c r="AA412" i="12" s="1"/>
  <c r="AA413" i="12" s="1"/>
  <c r="AA414" i="12" s="1"/>
  <c r="AA415" i="12" s="1"/>
  <c r="AA416" i="12" s="1"/>
  <c r="AA417" i="12" s="1"/>
  <c r="AA418" i="12" s="1"/>
  <c r="AA419" i="12" s="1"/>
  <c r="AA420" i="12" s="1"/>
  <c r="AA421" i="12" s="1"/>
  <c r="AA422" i="12" s="1"/>
  <c r="AA423" i="12" s="1"/>
  <c r="AA424" i="12" s="1"/>
  <c r="AA425" i="12" s="1"/>
  <c r="AA426" i="12" s="1"/>
  <c r="AA427" i="12" s="1"/>
  <c r="AA428" i="12" s="1"/>
  <c r="AA429" i="12" s="1"/>
  <c r="AA430" i="12" s="1"/>
  <c r="AA431" i="12" s="1"/>
  <c r="AA432" i="12" s="1"/>
  <c r="AA433" i="12" s="1"/>
  <c r="AA434" i="12" s="1"/>
  <c r="AA435" i="12" s="1"/>
  <c r="AA436" i="12" s="1"/>
  <c r="AA437" i="12" s="1"/>
  <c r="AA438" i="12" s="1"/>
  <c r="T403" i="12"/>
  <c r="T404" i="12" s="1"/>
  <c r="T405" i="12" s="1"/>
  <c r="T406" i="12" s="1"/>
  <c r="T407" i="12" s="1"/>
  <c r="T408" i="12" s="1"/>
  <c r="T409" i="12" s="1"/>
  <c r="T410" i="12" s="1"/>
  <c r="T411" i="12" s="1"/>
  <c r="T412" i="12" s="1"/>
  <c r="T413" i="12" s="1"/>
  <c r="T414" i="12" s="1"/>
  <c r="T415" i="12" s="1"/>
  <c r="T416" i="12" s="1"/>
  <c r="T417" i="12" s="1"/>
  <c r="T418" i="12" s="1"/>
  <c r="T419" i="12" s="1"/>
  <c r="T420" i="12" s="1"/>
  <c r="T421" i="12" s="1"/>
  <c r="T422" i="12" s="1"/>
  <c r="T423" i="12" s="1"/>
  <c r="T424" i="12" s="1"/>
  <c r="T425" i="12" s="1"/>
  <c r="T426" i="12" s="1"/>
  <c r="T427" i="12" s="1"/>
  <c r="T428" i="12" s="1"/>
  <c r="T429" i="12" s="1"/>
  <c r="T430" i="12" s="1"/>
  <c r="T431" i="12" s="1"/>
  <c r="T432" i="12" s="1"/>
  <c r="T433" i="12" s="1"/>
  <c r="T434" i="12" s="1"/>
  <c r="T435" i="12" s="1"/>
  <c r="T436" i="12" s="1"/>
  <c r="T437" i="12" s="1"/>
  <c r="T438" i="12" s="1"/>
  <c r="Y403" i="12"/>
  <c r="Y404" i="12" s="1"/>
  <c r="Y405" i="12" s="1"/>
  <c r="Y406" i="12" s="1"/>
  <c r="Y407" i="12" s="1"/>
  <c r="Y408" i="12" s="1"/>
  <c r="Y409" i="12" s="1"/>
  <c r="Y410" i="12" s="1"/>
  <c r="Y411" i="12" s="1"/>
  <c r="Y412" i="12" s="1"/>
  <c r="Y413" i="12" s="1"/>
  <c r="Y414" i="12" s="1"/>
  <c r="Y415" i="12" s="1"/>
  <c r="Y416" i="12" s="1"/>
  <c r="Y417" i="12" s="1"/>
  <c r="Y418" i="12" s="1"/>
  <c r="Y419" i="12" s="1"/>
  <c r="Y420" i="12" s="1"/>
  <c r="Y421" i="12" s="1"/>
  <c r="Y422" i="12" s="1"/>
  <c r="Y423" i="12" s="1"/>
  <c r="Y424" i="12" s="1"/>
  <c r="Y425" i="12" s="1"/>
  <c r="Y426" i="12" s="1"/>
  <c r="Y427" i="12" s="1"/>
  <c r="Y428" i="12" s="1"/>
  <c r="Y429" i="12" s="1"/>
  <c r="Y430" i="12" s="1"/>
  <c r="Y431" i="12" s="1"/>
  <c r="Y432" i="12" s="1"/>
  <c r="Y433" i="12" s="1"/>
  <c r="Y434" i="12" s="1"/>
  <c r="Y435" i="12" s="1"/>
  <c r="Y436" i="12" s="1"/>
  <c r="Y437" i="12" s="1"/>
  <c r="Y438" i="12" s="1"/>
  <c r="N403" i="12"/>
  <c r="N404" i="12" s="1"/>
  <c r="N405" i="12" s="1"/>
  <c r="N406" i="12" s="1"/>
  <c r="N407" i="12" s="1"/>
  <c r="N408" i="12" s="1"/>
  <c r="N409" i="12" s="1"/>
  <c r="N410" i="12" s="1"/>
  <c r="N411" i="12" s="1"/>
  <c r="N412" i="12" s="1"/>
  <c r="N413" i="12" s="1"/>
  <c r="N414" i="12" s="1"/>
  <c r="N415" i="12" s="1"/>
  <c r="N416" i="12" s="1"/>
  <c r="N417" i="12" s="1"/>
  <c r="N418" i="12" s="1"/>
  <c r="N419" i="12" s="1"/>
  <c r="N420" i="12" s="1"/>
  <c r="N421" i="12" s="1"/>
  <c r="N422" i="12" s="1"/>
  <c r="N423" i="12" s="1"/>
  <c r="N424" i="12" s="1"/>
  <c r="N425" i="12" s="1"/>
  <c r="N426" i="12" s="1"/>
  <c r="N427" i="12" s="1"/>
  <c r="N428" i="12" s="1"/>
  <c r="N429" i="12" s="1"/>
  <c r="N430" i="12" s="1"/>
  <c r="N431" i="12" s="1"/>
  <c r="N432" i="12" s="1"/>
  <c r="N433" i="12" s="1"/>
  <c r="N434" i="12" s="1"/>
  <c r="N435" i="12" s="1"/>
  <c r="N436" i="12" s="1"/>
  <c r="N437" i="12" s="1"/>
  <c r="N438" i="12" s="1"/>
  <c r="O403" i="12"/>
  <c r="O404" i="12" s="1"/>
  <c r="O405" i="12" s="1"/>
  <c r="O406" i="12" s="1"/>
  <c r="O407" i="12" s="1"/>
  <c r="O408" i="12" s="1"/>
  <c r="O409" i="12" s="1"/>
  <c r="O410" i="12" s="1"/>
  <c r="O411" i="12" s="1"/>
  <c r="O412" i="12" s="1"/>
  <c r="O413" i="12" s="1"/>
  <c r="O414" i="12" s="1"/>
  <c r="O415" i="12" s="1"/>
  <c r="O416" i="12" s="1"/>
  <c r="O417" i="12" s="1"/>
  <c r="O418" i="12" s="1"/>
  <c r="O419" i="12" s="1"/>
  <c r="O420" i="12" s="1"/>
  <c r="O421" i="12" s="1"/>
  <c r="O422" i="12" s="1"/>
  <c r="O423" i="12" s="1"/>
  <c r="O424" i="12" s="1"/>
  <c r="O425" i="12" s="1"/>
  <c r="O426" i="12" s="1"/>
  <c r="O427" i="12" s="1"/>
  <c r="O428" i="12" s="1"/>
  <c r="O429" i="12" s="1"/>
  <c r="O430" i="12" s="1"/>
  <c r="O431" i="12" s="1"/>
  <c r="O432" i="12" s="1"/>
  <c r="O433" i="12" s="1"/>
  <c r="O434" i="12" s="1"/>
  <c r="O435" i="12" s="1"/>
  <c r="O436" i="12" s="1"/>
  <c r="O437" i="12" s="1"/>
  <c r="O438" i="12" s="1"/>
  <c r="AH403" i="12"/>
  <c r="AH404" i="12" s="1"/>
  <c r="AH405" i="12" s="1"/>
  <c r="AH406" i="12" s="1"/>
  <c r="AH407" i="12" s="1"/>
  <c r="AH408" i="12" s="1"/>
  <c r="AH409" i="12" s="1"/>
  <c r="AH410" i="12" s="1"/>
  <c r="AH411" i="12" s="1"/>
  <c r="AH412" i="12" s="1"/>
  <c r="AH413" i="12" s="1"/>
  <c r="AH414" i="12" s="1"/>
  <c r="AH415" i="12" s="1"/>
  <c r="AH416" i="12" s="1"/>
  <c r="AH417" i="12" s="1"/>
  <c r="AH418" i="12" s="1"/>
  <c r="AH419" i="12" s="1"/>
  <c r="AH420" i="12" s="1"/>
  <c r="AH421" i="12" s="1"/>
  <c r="AH422" i="12" s="1"/>
  <c r="AH423" i="12" s="1"/>
  <c r="AH424" i="12" s="1"/>
  <c r="AH425" i="12" s="1"/>
  <c r="AH426" i="12" s="1"/>
  <c r="AH427" i="12" s="1"/>
  <c r="AH428" i="12" s="1"/>
  <c r="AH429" i="12" s="1"/>
  <c r="AH430" i="12" s="1"/>
  <c r="AH431" i="12" s="1"/>
  <c r="AH432" i="12" s="1"/>
  <c r="AH433" i="12" s="1"/>
  <c r="AH434" i="12" s="1"/>
  <c r="AH435" i="12" s="1"/>
  <c r="AH436" i="12" s="1"/>
  <c r="AH437" i="12" s="1"/>
  <c r="AH438" i="12" s="1"/>
  <c r="V403" i="12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A443" i="12"/>
  <c r="F403" i="12"/>
  <c r="F404" i="12" s="1"/>
  <c r="F405" i="12" s="1"/>
  <c r="F406" i="12" s="1"/>
  <c r="F407" i="12" s="1"/>
  <c r="F408" i="12" s="1"/>
  <c r="F409" i="12" s="1"/>
  <c r="F410" i="12" s="1"/>
  <c r="F411" i="12" s="1"/>
  <c r="F412" i="12" s="1"/>
  <c r="F413" i="12" s="1"/>
  <c r="F414" i="12" s="1"/>
  <c r="F415" i="12" s="1"/>
  <c r="F416" i="12" s="1"/>
  <c r="F417" i="12" s="1"/>
  <c r="F418" i="12" s="1"/>
  <c r="F419" i="12" s="1"/>
  <c r="F420" i="12" s="1"/>
  <c r="F421" i="12" s="1"/>
  <c r="F422" i="12" s="1"/>
  <c r="F423" i="12" s="1"/>
  <c r="F424" i="12" s="1"/>
  <c r="F425" i="12" s="1"/>
  <c r="F426" i="12" s="1"/>
  <c r="F427" i="12" s="1"/>
  <c r="F428" i="12" s="1"/>
  <c r="F429" i="12" s="1"/>
  <c r="F430" i="12" s="1"/>
  <c r="F431" i="12" s="1"/>
  <c r="F432" i="12" s="1"/>
  <c r="F433" i="12" s="1"/>
  <c r="F434" i="12" s="1"/>
  <c r="F435" i="12" s="1"/>
  <c r="F436" i="12" s="1"/>
  <c r="F437" i="12" s="1"/>
  <c r="F438" i="12" s="1"/>
  <c r="AF403" i="12"/>
  <c r="AF404" i="12" s="1"/>
  <c r="AF405" i="12" s="1"/>
  <c r="AF406" i="12" s="1"/>
  <c r="AF407" i="12" s="1"/>
  <c r="AF408" i="12" s="1"/>
  <c r="AF409" i="12" s="1"/>
  <c r="AF410" i="12" s="1"/>
  <c r="AF411" i="12" s="1"/>
  <c r="AF412" i="12" s="1"/>
  <c r="AF413" i="12" s="1"/>
  <c r="AF414" i="12" s="1"/>
  <c r="AF415" i="12" s="1"/>
  <c r="AF416" i="12" s="1"/>
  <c r="AF417" i="12" s="1"/>
  <c r="AF418" i="12" s="1"/>
  <c r="AF419" i="12" s="1"/>
  <c r="AF420" i="12" s="1"/>
  <c r="AF421" i="12" s="1"/>
  <c r="AF422" i="12" s="1"/>
  <c r="AF423" i="12" s="1"/>
  <c r="AF424" i="12" s="1"/>
  <c r="AF425" i="12" s="1"/>
  <c r="AF426" i="12" s="1"/>
  <c r="AF427" i="12" s="1"/>
  <c r="AF428" i="12" s="1"/>
  <c r="AF429" i="12" s="1"/>
  <c r="AF430" i="12" s="1"/>
  <c r="AF431" i="12" s="1"/>
  <c r="AF432" i="12" s="1"/>
  <c r="AF433" i="12" s="1"/>
  <c r="AF434" i="12" s="1"/>
  <c r="AF435" i="12" s="1"/>
  <c r="AF436" i="12" s="1"/>
  <c r="AF437" i="12" s="1"/>
  <c r="AF438" i="12" s="1"/>
  <c r="AG403" i="12"/>
  <c r="AG404" i="12" s="1"/>
  <c r="AG405" i="12" s="1"/>
  <c r="AG406" i="12" s="1"/>
  <c r="AG407" i="12" s="1"/>
  <c r="AG408" i="12" s="1"/>
  <c r="AG409" i="12" s="1"/>
  <c r="AG410" i="12" s="1"/>
  <c r="AG411" i="12" s="1"/>
  <c r="AG412" i="12" s="1"/>
  <c r="AG413" i="12" s="1"/>
  <c r="AG414" i="12" s="1"/>
  <c r="AG415" i="12" s="1"/>
  <c r="AG416" i="12" s="1"/>
  <c r="AG417" i="12" s="1"/>
  <c r="AG418" i="12" s="1"/>
  <c r="AG419" i="12" s="1"/>
  <c r="AG420" i="12" s="1"/>
  <c r="AG421" i="12" s="1"/>
  <c r="AG422" i="12" s="1"/>
  <c r="AG423" i="12" s="1"/>
  <c r="AG424" i="12" s="1"/>
  <c r="AG425" i="12" s="1"/>
  <c r="AG426" i="12" s="1"/>
  <c r="AG427" i="12" s="1"/>
  <c r="AG428" i="12" s="1"/>
  <c r="AG429" i="12" s="1"/>
  <c r="AG430" i="12" s="1"/>
  <c r="AG431" i="12" s="1"/>
  <c r="AG432" i="12" s="1"/>
  <c r="AG433" i="12" s="1"/>
  <c r="AG434" i="12" s="1"/>
  <c r="AG435" i="12" s="1"/>
  <c r="AG436" i="12" s="1"/>
  <c r="AG437" i="12" s="1"/>
  <c r="AG438" i="12" s="1"/>
  <c r="X403" i="12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D403" i="12"/>
  <c r="D404" i="12" s="1"/>
  <c r="D405" i="12" s="1"/>
  <c r="D406" i="12" s="1"/>
  <c r="D407" i="12" s="1"/>
  <c r="D408" i="12" s="1"/>
  <c r="D409" i="12" s="1"/>
  <c r="D410" i="12" s="1"/>
  <c r="D411" i="12" s="1"/>
  <c r="D412" i="12" s="1"/>
  <c r="D413" i="12" s="1"/>
  <c r="D414" i="12" s="1"/>
  <c r="D415" i="12" s="1"/>
  <c r="D416" i="12" s="1"/>
  <c r="D417" i="12" s="1"/>
  <c r="D418" i="12" s="1"/>
  <c r="D419" i="12" s="1"/>
  <c r="D420" i="12" s="1"/>
  <c r="D421" i="12" s="1"/>
  <c r="D422" i="12" s="1"/>
  <c r="D423" i="12" s="1"/>
  <c r="D424" i="12" s="1"/>
  <c r="D425" i="12" s="1"/>
  <c r="D426" i="12" s="1"/>
  <c r="D427" i="12" s="1"/>
  <c r="D428" i="12" s="1"/>
  <c r="D429" i="12" s="1"/>
  <c r="D430" i="12" s="1"/>
  <c r="D431" i="12" s="1"/>
  <c r="D432" i="12" s="1"/>
  <c r="D433" i="12" s="1"/>
  <c r="D434" i="12" s="1"/>
  <c r="D435" i="12" s="1"/>
  <c r="D436" i="12" s="1"/>
  <c r="D437" i="12" s="1"/>
  <c r="D438" i="12" s="1"/>
  <c r="Z403" i="12"/>
  <c r="Z404" i="12" s="1"/>
  <c r="Z405" i="12" s="1"/>
  <c r="Z406" i="12" s="1"/>
  <c r="Z407" i="12" s="1"/>
  <c r="Z408" i="12" s="1"/>
  <c r="Z409" i="12" s="1"/>
  <c r="Z410" i="12" s="1"/>
  <c r="Z411" i="12" s="1"/>
  <c r="Z412" i="12" s="1"/>
  <c r="Z413" i="12" s="1"/>
  <c r="Z414" i="12" s="1"/>
  <c r="Z415" i="12" s="1"/>
  <c r="Z416" i="12" s="1"/>
  <c r="Z417" i="12" s="1"/>
  <c r="Z418" i="12" s="1"/>
  <c r="Z419" i="12" s="1"/>
  <c r="Z420" i="12" s="1"/>
  <c r="Z421" i="12" s="1"/>
  <c r="Z422" i="12" s="1"/>
  <c r="Z423" i="12" s="1"/>
  <c r="Z424" i="12" s="1"/>
  <c r="Z425" i="12" s="1"/>
  <c r="Z426" i="12" s="1"/>
  <c r="Z427" i="12" s="1"/>
  <c r="Z428" i="12" s="1"/>
  <c r="Z429" i="12" s="1"/>
  <c r="Z430" i="12" s="1"/>
  <c r="Z431" i="12" s="1"/>
  <c r="Z432" i="12" s="1"/>
  <c r="Z433" i="12" s="1"/>
  <c r="Z434" i="12" s="1"/>
  <c r="Z435" i="12" s="1"/>
  <c r="Z436" i="12" s="1"/>
  <c r="Z437" i="12" s="1"/>
  <c r="Z438" i="12" s="1"/>
  <c r="H403" i="12"/>
  <c r="H404" i="12" s="1"/>
  <c r="H405" i="12" s="1"/>
  <c r="H406" i="12" s="1"/>
  <c r="H407" i="12" s="1"/>
  <c r="H408" i="12" s="1"/>
  <c r="H409" i="12" s="1"/>
  <c r="H410" i="12" s="1"/>
  <c r="H411" i="12" s="1"/>
  <c r="H412" i="12" s="1"/>
  <c r="H413" i="12" s="1"/>
  <c r="H414" i="12" s="1"/>
  <c r="H415" i="12" s="1"/>
  <c r="H416" i="12" s="1"/>
  <c r="H417" i="12" s="1"/>
  <c r="H418" i="12" s="1"/>
  <c r="H419" i="12" s="1"/>
  <c r="H420" i="12" s="1"/>
  <c r="H421" i="12" s="1"/>
  <c r="H422" i="12" s="1"/>
  <c r="H423" i="12" s="1"/>
  <c r="H424" i="12" s="1"/>
  <c r="H425" i="12" s="1"/>
  <c r="H426" i="12" s="1"/>
  <c r="H427" i="12" s="1"/>
  <c r="H428" i="12" s="1"/>
  <c r="H429" i="12" s="1"/>
  <c r="H430" i="12" s="1"/>
  <c r="H431" i="12" s="1"/>
  <c r="H432" i="12" s="1"/>
  <c r="H433" i="12" s="1"/>
  <c r="H434" i="12" s="1"/>
  <c r="H435" i="12" s="1"/>
  <c r="H436" i="12" s="1"/>
  <c r="H437" i="12" s="1"/>
  <c r="H438" i="12" s="1"/>
  <c r="M403" i="12"/>
  <c r="M404" i="12" s="1"/>
  <c r="M405" i="12" s="1"/>
  <c r="M406" i="12" s="1"/>
  <c r="M407" i="12" s="1"/>
  <c r="M408" i="12" s="1"/>
  <c r="M409" i="12" s="1"/>
  <c r="M410" i="12" s="1"/>
  <c r="M411" i="12" s="1"/>
  <c r="M412" i="12" s="1"/>
  <c r="M413" i="12" s="1"/>
  <c r="M414" i="12" s="1"/>
  <c r="M415" i="12" s="1"/>
  <c r="M416" i="12" s="1"/>
  <c r="M417" i="12" s="1"/>
  <c r="M418" i="12" s="1"/>
  <c r="M419" i="12" s="1"/>
  <c r="M420" i="12" s="1"/>
  <c r="M421" i="12" s="1"/>
  <c r="M422" i="12" s="1"/>
  <c r="M423" i="12" s="1"/>
  <c r="M424" i="12" s="1"/>
  <c r="M425" i="12" s="1"/>
  <c r="M426" i="12" s="1"/>
  <c r="M427" i="12" s="1"/>
  <c r="M428" i="12" s="1"/>
  <c r="M429" i="12" s="1"/>
  <c r="M430" i="12" s="1"/>
  <c r="M431" i="12" s="1"/>
  <c r="M432" i="12" s="1"/>
  <c r="M433" i="12" s="1"/>
  <c r="M434" i="12" s="1"/>
  <c r="M435" i="12" s="1"/>
  <c r="M436" i="12" s="1"/>
  <c r="M437" i="12" s="1"/>
  <c r="M438" i="12" s="1"/>
  <c r="AD403" i="12"/>
  <c r="AD404" i="12" s="1"/>
  <c r="AD405" i="12" s="1"/>
  <c r="AD406" i="12" s="1"/>
  <c r="AD407" i="12" s="1"/>
  <c r="AD408" i="12" s="1"/>
  <c r="AD409" i="12" s="1"/>
  <c r="AD410" i="12" s="1"/>
  <c r="AD411" i="12" s="1"/>
  <c r="AD412" i="12" s="1"/>
  <c r="AD413" i="12" s="1"/>
  <c r="AD414" i="12" s="1"/>
  <c r="AD415" i="12" s="1"/>
  <c r="AD416" i="12" s="1"/>
  <c r="AD417" i="12" s="1"/>
  <c r="AD418" i="12" s="1"/>
  <c r="AD419" i="12" s="1"/>
  <c r="AD420" i="12" s="1"/>
  <c r="AD421" i="12" s="1"/>
  <c r="AD422" i="12" s="1"/>
  <c r="AD423" i="12" s="1"/>
  <c r="AD424" i="12" s="1"/>
  <c r="AD425" i="12" s="1"/>
  <c r="AD426" i="12" s="1"/>
  <c r="AD427" i="12" s="1"/>
  <c r="AD428" i="12" s="1"/>
  <c r="AD429" i="12" s="1"/>
  <c r="AD430" i="12" s="1"/>
  <c r="AD431" i="12" s="1"/>
  <c r="AD432" i="12" s="1"/>
  <c r="AD433" i="12" s="1"/>
  <c r="AD434" i="12" s="1"/>
  <c r="AD435" i="12" s="1"/>
  <c r="AD436" i="12" s="1"/>
  <c r="AD437" i="12" s="1"/>
  <c r="AD438" i="12" s="1"/>
  <c r="AE403" i="12"/>
  <c r="AE404" i="12" s="1"/>
  <c r="AE405" i="12" s="1"/>
  <c r="AE406" i="12" s="1"/>
  <c r="AE407" i="12" s="1"/>
  <c r="AE408" i="12" s="1"/>
  <c r="AE409" i="12" s="1"/>
  <c r="AE410" i="12" s="1"/>
  <c r="AE411" i="12" s="1"/>
  <c r="AE412" i="12" s="1"/>
  <c r="AE413" i="12" s="1"/>
  <c r="AE414" i="12" s="1"/>
  <c r="AE415" i="12" s="1"/>
  <c r="AE416" i="12" s="1"/>
  <c r="AE417" i="12" s="1"/>
  <c r="AE418" i="12" s="1"/>
  <c r="AE419" i="12" s="1"/>
  <c r="AE420" i="12" s="1"/>
  <c r="AE421" i="12" s="1"/>
  <c r="AE422" i="12" s="1"/>
  <c r="AE423" i="12" s="1"/>
  <c r="AE424" i="12" s="1"/>
  <c r="AE425" i="12" s="1"/>
  <c r="AE426" i="12" s="1"/>
  <c r="AE427" i="12" s="1"/>
  <c r="AE428" i="12" s="1"/>
  <c r="AE429" i="12" s="1"/>
  <c r="AE430" i="12" s="1"/>
  <c r="AE431" i="12" s="1"/>
  <c r="AE432" i="12" s="1"/>
  <c r="AE433" i="12" s="1"/>
  <c r="AE434" i="12" s="1"/>
  <c r="AE435" i="12" s="1"/>
  <c r="AE436" i="12" s="1"/>
  <c r="AE437" i="12" s="1"/>
  <c r="AE438" i="12" s="1"/>
  <c r="R403" i="12"/>
  <c r="R404" i="12" s="1"/>
  <c r="R405" i="12" s="1"/>
  <c r="R406" i="12" s="1"/>
  <c r="R407" i="12" s="1"/>
  <c r="R408" i="12" s="1"/>
  <c r="R409" i="12" s="1"/>
  <c r="R410" i="12" s="1"/>
  <c r="R411" i="12" s="1"/>
  <c r="R412" i="12" s="1"/>
  <c r="R413" i="12" s="1"/>
  <c r="R414" i="12" s="1"/>
  <c r="R415" i="12" s="1"/>
  <c r="R416" i="12" s="1"/>
  <c r="R417" i="12" s="1"/>
  <c r="R418" i="12" s="1"/>
  <c r="R419" i="12" s="1"/>
  <c r="R420" i="12" s="1"/>
  <c r="R421" i="12" s="1"/>
  <c r="R422" i="12" s="1"/>
  <c r="R423" i="12" s="1"/>
  <c r="R424" i="12" s="1"/>
  <c r="R425" i="12" s="1"/>
  <c r="R426" i="12" s="1"/>
  <c r="R427" i="12" s="1"/>
  <c r="R428" i="12" s="1"/>
  <c r="R429" i="12" s="1"/>
  <c r="R430" i="12" s="1"/>
  <c r="R431" i="12" s="1"/>
  <c r="R432" i="12" s="1"/>
  <c r="R433" i="12" s="1"/>
  <c r="R434" i="12" s="1"/>
  <c r="R435" i="12" s="1"/>
  <c r="R436" i="12" s="1"/>
  <c r="R437" i="12" s="1"/>
  <c r="R438" i="12" s="1"/>
  <c r="P403" i="12"/>
  <c r="P404" i="12" s="1"/>
  <c r="P405" i="12" s="1"/>
  <c r="P406" i="12" s="1"/>
  <c r="P407" i="12" s="1"/>
  <c r="P408" i="12" s="1"/>
  <c r="P409" i="12" s="1"/>
  <c r="P410" i="12" s="1"/>
  <c r="P411" i="12" s="1"/>
  <c r="P412" i="12" s="1"/>
  <c r="P413" i="12" s="1"/>
  <c r="P414" i="12" s="1"/>
  <c r="P415" i="12" s="1"/>
  <c r="P416" i="12" s="1"/>
  <c r="P417" i="12" s="1"/>
  <c r="P418" i="12" s="1"/>
  <c r="P419" i="12" s="1"/>
  <c r="P420" i="12" s="1"/>
  <c r="P421" i="12" s="1"/>
  <c r="P422" i="12" s="1"/>
  <c r="P423" i="12" s="1"/>
  <c r="P424" i="12" s="1"/>
  <c r="P425" i="12" s="1"/>
  <c r="P426" i="12" s="1"/>
  <c r="P427" i="12" s="1"/>
  <c r="P428" i="12" s="1"/>
  <c r="P429" i="12" s="1"/>
  <c r="P430" i="12" s="1"/>
  <c r="P431" i="12" s="1"/>
  <c r="P432" i="12" s="1"/>
  <c r="P433" i="12" s="1"/>
  <c r="P434" i="12" s="1"/>
  <c r="P435" i="12" s="1"/>
  <c r="P436" i="12" s="1"/>
  <c r="P437" i="12" s="1"/>
  <c r="P438" i="12" s="1"/>
  <c r="G403" i="12"/>
  <c r="G404" i="12" s="1"/>
  <c r="G405" i="12" s="1"/>
  <c r="G406" i="12" s="1"/>
  <c r="G407" i="12" s="1"/>
  <c r="G408" i="12" s="1"/>
  <c r="G409" i="12" s="1"/>
  <c r="G410" i="12" s="1"/>
  <c r="G411" i="12" s="1"/>
  <c r="G412" i="12" s="1"/>
  <c r="G413" i="12" s="1"/>
  <c r="G414" i="12" s="1"/>
  <c r="G415" i="12" s="1"/>
  <c r="G416" i="12" s="1"/>
  <c r="G417" i="12" s="1"/>
  <c r="G418" i="12" s="1"/>
  <c r="G419" i="12" s="1"/>
  <c r="G420" i="12" s="1"/>
  <c r="G421" i="12" s="1"/>
  <c r="G422" i="12" s="1"/>
  <c r="G423" i="12" s="1"/>
  <c r="G424" i="12" s="1"/>
  <c r="G425" i="12" s="1"/>
  <c r="G426" i="12" s="1"/>
  <c r="G427" i="12" s="1"/>
  <c r="G428" i="12" s="1"/>
  <c r="G429" i="12" s="1"/>
  <c r="G430" i="12" s="1"/>
  <c r="G431" i="12" s="1"/>
  <c r="G432" i="12" s="1"/>
  <c r="G433" i="12" s="1"/>
  <c r="G434" i="12" s="1"/>
  <c r="G435" i="12" s="1"/>
  <c r="G436" i="12" s="1"/>
  <c r="G437" i="12" s="1"/>
  <c r="G438" i="12" s="1"/>
  <c r="J403" i="12"/>
  <c r="J404" i="12" s="1"/>
  <c r="J405" i="12" s="1"/>
  <c r="J406" i="12" s="1"/>
  <c r="J407" i="12" s="1"/>
  <c r="J408" i="12" s="1"/>
  <c r="J409" i="12" s="1"/>
  <c r="J410" i="12" s="1"/>
  <c r="J411" i="12" s="1"/>
  <c r="J412" i="12" s="1"/>
  <c r="J413" i="12" s="1"/>
  <c r="J414" i="12" s="1"/>
  <c r="J415" i="12" s="1"/>
  <c r="J416" i="12" s="1"/>
  <c r="J417" i="12" s="1"/>
  <c r="J418" i="12" s="1"/>
  <c r="J419" i="12" s="1"/>
  <c r="J420" i="12" s="1"/>
  <c r="J421" i="12" s="1"/>
  <c r="J422" i="12" s="1"/>
  <c r="J423" i="12" s="1"/>
  <c r="J424" i="12" s="1"/>
  <c r="J425" i="12" s="1"/>
  <c r="J426" i="12" s="1"/>
  <c r="J427" i="12" s="1"/>
  <c r="J428" i="12" s="1"/>
  <c r="J429" i="12" s="1"/>
  <c r="J430" i="12" s="1"/>
  <c r="J431" i="12" s="1"/>
  <c r="J432" i="12" s="1"/>
  <c r="J433" i="12" s="1"/>
  <c r="J434" i="12" s="1"/>
  <c r="J435" i="12" s="1"/>
  <c r="J436" i="12" s="1"/>
  <c r="J437" i="12" s="1"/>
  <c r="J438" i="12" s="1"/>
  <c r="E403" i="12"/>
  <c r="E404" i="12" s="1"/>
  <c r="E405" i="12" s="1"/>
  <c r="E406" i="12" s="1"/>
  <c r="E407" i="12" s="1"/>
  <c r="E408" i="12" s="1"/>
  <c r="E409" i="12" s="1"/>
  <c r="E410" i="12" s="1"/>
  <c r="E411" i="12" s="1"/>
  <c r="E412" i="12" s="1"/>
  <c r="E413" i="12" s="1"/>
  <c r="E414" i="12" s="1"/>
  <c r="E415" i="12" s="1"/>
  <c r="E416" i="12" s="1"/>
  <c r="E417" i="12" s="1"/>
  <c r="E418" i="12" s="1"/>
  <c r="E419" i="12" s="1"/>
  <c r="E420" i="12" s="1"/>
  <c r="E421" i="12" s="1"/>
  <c r="E422" i="12" s="1"/>
  <c r="E423" i="12" s="1"/>
  <c r="E424" i="12" s="1"/>
  <c r="E425" i="12" s="1"/>
  <c r="E426" i="12" s="1"/>
  <c r="E427" i="12" s="1"/>
  <c r="E428" i="12" s="1"/>
  <c r="E429" i="12" s="1"/>
  <c r="E430" i="12" s="1"/>
  <c r="E431" i="12" s="1"/>
  <c r="E432" i="12" s="1"/>
  <c r="E433" i="12" s="1"/>
  <c r="E434" i="12" s="1"/>
  <c r="E435" i="12" s="1"/>
  <c r="E436" i="12" s="1"/>
  <c r="E437" i="12" s="1"/>
  <c r="E438" i="12" s="1"/>
  <c r="AI199" i="12"/>
  <c r="I45" i="16"/>
  <c r="H60" i="16"/>
  <c r="E119" i="12"/>
  <c r="Q279" i="12"/>
  <c r="P199" i="12"/>
  <c r="M159" i="12"/>
  <c r="AD159" i="12"/>
  <c r="J207" i="12"/>
  <c r="J208" i="12" s="1"/>
  <c r="J209" i="12" s="1"/>
  <c r="J210" i="12" s="1"/>
  <c r="J211" i="12" s="1"/>
  <c r="J212" i="12" s="1"/>
  <c r="J213" i="12" s="1"/>
  <c r="J214" i="12" s="1"/>
  <c r="J215" i="12" s="1"/>
  <c r="J216" i="12" s="1"/>
  <c r="J217" i="12" s="1"/>
  <c r="J218" i="12" s="1"/>
  <c r="J219" i="12" s="1"/>
  <c r="J220" i="12" s="1"/>
  <c r="J221" i="12" s="1"/>
  <c r="J222" i="12" s="1"/>
  <c r="J223" i="12" s="1"/>
  <c r="J224" i="12" s="1"/>
  <c r="J225" i="12" s="1"/>
  <c r="J226" i="12" s="1"/>
  <c r="J227" i="12" s="1"/>
  <c r="J228" i="12" s="1"/>
  <c r="J229" i="12" s="1"/>
  <c r="J230" i="12" s="1"/>
  <c r="J231" i="12" s="1"/>
  <c r="J232" i="12" s="1"/>
  <c r="J233" i="12" s="1"/>
  <c r="J234" i="12" s="1"/>
  <c r="J235" i="12" s="1"/>
  <c r="J236" i="12" s="1"/>
  <c r="J237" i="12" s="1"/>
  <c r="J238" i="12" s="1"/>
  <c r="AG127" i="12"/>
  <c r="AG128" i="12" s="1"/>
  <c r="AG129" i="12" s="1"/>
  <c r="AG130" i="12" s="1"/>
  <c r="AG131" i="12" s="1"/>
  <c r="AG132" i="12" s="1"/>
  <c r="AG133" i="12" s="1"/>
  <c r="AG134" i="12" s="1"/>
  <c r="AG135" i="12" s="1"/>
  <c r="AG136" i="12" s="1"/>
  <c r="AG137" i="12" s="1"/>
  <c r="AG138" i="12" s="1"/>
  <c r="AG139" i="12" s="1"/>
  <c r="AG140" i="12" s="1"/>
  <c r="AG141" i="12" s="1"/>
  <c r="AG142" i="12" s="1"/>
  <c r="AG143" i="12" s="1"/>
  <c r="AG144" i="12" s="1"/>
  <c r="AG145" i="12" s="1"/>
  <c r="AG146" i="12" s="1"/>
  <c r="AG147" i="12" s="1"/>
  <c r="AG148" i="12" s="1"/>
  <c r="AG149" i="12" s="1"/>
  <c r="AG150" i="12" s="1"/>
  <c r="AG151" i="12" s="1"/>
  <c r="AG152" i="12" s="1"/>
  <c r="AG153" i="12" s="1"/>
  <c r="AG154" i="12" s="1"/>
  <c r="AG155" i="12" s="1"/>
  <c r="AG156" i="12" s="1"/>
  <c r="AG157" i="12" s="1"/>
  <c r="AG158" i="12" s="1"/>
  <c r="AG119" i="12"/>
  <c r="D119" i="12"/>
  <c r="D159" i="12"/>
  <c r="N119" i="12"/>
  <c r="K167" i="12"/>
  <c r="K168" i="12" s="1"/>
  <c r="K169" i="12" s="1"/>
  <c r="K170" i="12" s="1"/>
  <c r="K171" i="12" s="1"/>
  <c r="K172" i="12" s="1"/>
  <c r="K173" i="12" s="1"/>
  <c r="K174" i="12" s="1"/>
  <c r="K175" i="12" s="1"/>
  <c r="K176" i="12" s="1"/>
  <c r="K177" i="12" s="1"/>
  <c r="K178" i="12" s="1"/>
  <c r="K179" i="12" s="1"/>
  <c r="K180" i="12" s="1"/>
  <c r="K181" i="12" s="1"/>
  <c r="K182" i="12" s="1"/>
  <c r="K183" i="12" s="1"/>
  <c r="K184" i="12" s="1"/>
  <c r="K185" i="12" s="1"/>
  <c r="K186" i="12" s="1"/>
  <c r="K187" i="12" s="1"/>
  <c r="K188" i="12" s="1"/>
  <c r="K189" i="12" s="1"/>
  <c r="K190" i="12" s="1"/>
  <c r="K191" i="12" s="1"/>
  <c r="K192" i="12" s="1"/>
  <c r="K193" i="12" s="1"/>
  <c r="K194" i="12" s="1"/>
  <c r="K195" i="12" s="1"/>
  <c r="K196" i="12" s="1"/>
  <c r="K197" i="12" s="1"/>
  <c r="K198" i="12" s="1"/>
  <c r="K279" i="12"/>
  <c r="AI119" i="12"/>
  <c r="AI159" i="12"/>
  <c r="AI247" i="12"/>
  <c r="AI248" i="12" s="1"/>
  <c r="AI249" i="12" s="1"/>
  <c r="AI250" i="12" s="1"/>
  <c r="AI251" i="12" s="1"/>
  <c r="AI252" i="12" s="1"/>
  <c r="AI253" i="12" s="1"/>
  <c r="AI254" i="12" s="1"/>
  <c r="AI255" i="12" s="1"/>
  <c r="AI256" i="12" s="1"/>
  <c r="AI257" i="12" s="1"/>
  <c r="AI258" i="12" s="1"/>
  <c r="AI259" i="12" s="1"/>
  <c r="AI260" i="12" s="1"/>
  <c r="AI261" i="12" s="1"/>
  <c r="AI262" i="12" s="1"/>
  <c r="AI263" i="12" s="1"/>
  <c r="AI264" i="12" s="1"/>
  <c r="AI265" i="12" s="1"/>
  <c r="AI266" i="12" s="1"/>
  <c r="AI267" i="12" s="1"/>
  <c r="AI268" i="12" s="1"/>
  <c r="AI269" i="12" s="1"/>
  <c r="AI270" i="12" s="1"/>
  <c r="AI271" i="12" s="1"/>
  <c r="AI272" i="12" s="1"/>
  <c r="AI273" i="12" s="1"/>
  <c r="AI274" i="12" s="1"/>
  <c r="AI275" i="12" s="1"/>
  <c r="AI276" i="12" s="1"/>
  <c r="AI277" i="12" s="1"/>
  <c r="AI278" i="12" s="1"/>
  <c r="AG247" i="12"/>
  <c r="AG248" i="12" s="1"/>
  <c r="AG249" i="12" s="1"/>
  <c r="AG250" i="12" s="1"/>
  <c r="AG251" i="12" s="1"/>
  <c r="AG252" i="12" s="1"/>
  <c r="AG253" i="12" s="1"/>
  <c r="AG254" i="12" s="1"/>
  <c r="AG255" i="12" s="1"/>
  <c r="AG256" i="12" s="1"/>
  <c r="AG257" i="12" s="1"/>
  <c r="AG258" i="12" s="1"/>
  <c r="AG259" i="12" s="1"/>
  <c r="AG260" i="12" s="1"/>
  <c r="AG261" i="12" s="1"/>
  <c r="AG262" i="12" s="1"/>
  <c r="AG263" i="12" s="1"/>
  <c r="AG264" i="12" s="1"/>
  <c r="AG265" i="12" s="1"/>
  <c r="AG266" i="12" s="1"/>
  <c r="AG267" i="12" s="1"/>
  <c r="AG268" i="12" s="1"/>
  <c r="AG269" i="12" s="1"/>
  <c r="AG270" i="12" s="1"/>
  <c r="AG271" i="12" s="1"/>
  <c r="AG272" i="12" s="1"/>
  <c r="AG273" i="12" s="1"/>
  <c r="AG274" i="12" s="1"/>
  <c r="AG275" i="12" s="1"/>
  <c r="AG276" i="12" s="1"/>
  <c r="AG277" i="12" s="1"/>
  <c r="AG278" i="12" s="1"/>
  <c r="AG239" i="12"/>
  <c r="G239" i="12"/>
  <c r="J247" i="12"/>
  <c r="J248" i="12" s="1"/>
  <c r="J249" i="12" s="1"/>
  <c r="J250" i="12" s="1"/>
  <c r="J251" i="12" s="1"/>
  <c r="J252" i="12" s="1"/>
  <c r="J253" i="12" s="1"/>
  <c r="J254" i="12" s="1"/>
  <c r="J255" i="12" s="1"/>
  <c r="J256" i="12" s="1"/>
  <c r="J257" i="12" s="1"/>
  <c r="J258" i="12" s="1"/>
  <c r="J259" i="12" s="1"/>
  <c r="J260" i="12" s="1"/>
  <c r="J261" i="12" s="1"/>
  <c r="J262" i="12" s="1"/>
  <c r="J263" i="12" s="1"/>
  <c r="J264" i="12" s="1"/>
  <c r="J265" i="12" s="1"/>
  <c r="J266" i="12" s="1"/>
  <c r="J267" i="12" s="1"/>
  <c r="J268" i="12" s="1"/>
  <c r="J269" i="12" s="1"/>
  <c r="J270" i="12" s="1"/>
  <c r="J271" i="12" s="1"/>
  <c r="J272" i="12" s="1"/>
  <c r="J273" i="12" s="1"/>
  <c r="J274" i="12" s="1"/>
  <c r="J275" i="12" s="1"/>
  <c r="J276" i="12" s="1"/>
  <c r="J277" i="12" s="1"/>
  <c r="J278" i="12" s="1"/>
  <c r="N279" i="12"/>
  <c r="AC207" i="12"/>
  <c r="AC208" i="12" s="1"/>
  <c r="AC209" i="12" s="1"/>
  <c r="AC210" i="12" s="1"/>
  <c r="AC211" i="12" s="1"/>
  <c r="AC212" i="12" s="1"/>
  <c r="AC213" i="12" s="1"/>
  <c r="AC214" i="12" s="1"/>
  <c r="AC215" i="12" s="1"/>
  <c r="AC216" i="12" s="1"/>
  <c r="AC217" i="12" s="1"/>
  <c r="AC218" i="12" s="1"/>
  <c r="AC219" i="12" s="1"/>
  <c r="AC220" i="12" s="1"/>
  <c r="AC221" i="12" s="1"/>
  <c r="AC222" i="12" s="1"/>
  <c r="AC223" i="12" s="1"/>
  <c r="AC224" i="12" s="1"/>
  <c r="AC225" i="12" s="1"/>
  <c r="AC226" i="12" s="1"/>
  <c r="AC227" i="12" s="1"/>
  <c r="AC228" i="12" s="1"/>
  <c r="AC229" i="12" s="1"/>
  <c r="AC230" i="12" s="1"/>
  <c r="AC231" i="12" s="1"/>
  <c r="AC232" i="12" s="1"/>
  <c r="AC233" i="12" s="1"/>
  <c r="AC234" i="12" s="1"/>
  <c r="AC235" i="12" s="1"/>
  <c r="AC236" i="12" s="1"/>
  <c r="AC237" i="12" s="1"/>
  <c r="AC238" i="12" s="1"/>
  <c r="C199" i="12"/>
  <c r="Q159" i="12"/>
  <c r="C159" i="12"/>
  <c r="V279" i="12"/>
  <c r="Q199" i="12"/>
  <c r="N159" i="12"/>
  <c r="Q119" i="12"/>
  <c r="Q207" i="12"/>
  <c r="Q208" i="12" s="1"/>
  <c r="Q209" i="12" s="1"/>
  <c r="Q210" i="12" s="1"/>
  <c r="Q211" i="12" s="1"/>
  <c r="Q212" i="12" s="1"/>
  <c r="Q213" i="12" s="1"/>
  <c r="Q214" i="12" s="1"/>
  <c r="Q215" i="12" s="1"/>
  <c r="Q216" i="12" s="1"/>
  <c r="Q217" i="12" s="1"/>
  <c r="Q218" i="12" s="1"/>
  <c r="Q219" i="12" s="1"/>
  <c r="Q220" i="12" s="1"/>
  <c r="Q221" i="12" s="1"/>
  <c r="Q222" i="12" s="1"/>
  <c r="Q223" i="12" s="1"/>
  <c r="Q224" i="12" s="1"/>
  <c r="Q225" i="12" s="1"/>
  <c r="Q226" i="12" s="1"/>
  <c r="Q227" i="12" s="1"/>
  <c r="Q228" i="12" s="1"/>
  <c r="Q229" i="12" s="1"/>
  <c r="Q230" i="12" s="1"/>
  <c r="Q231" i="12" s="1"/>
  <c r="Q232" i="12" s="1"/>
  <c r="Q233" i="12" s="1"/>
  <c r="Q234" i="12" s="1"/>
  <c r="Q235" i="12" s="1"/>
  <c r="Q236" i="12" s="1"/>
  <c r="Q237" i="12" s="1"/>
  <c r="Q238" i="12" s="1"/>
  <c r="H239" i="12"/>
  <c r="T279" i="12"/>
  <c r="G159" i="12"/>
  <c r="AC247" i="12"/>
  <c r="AC248" i="12" s="1"/>
  <c r="AC249" i="12" s="1"/>
  <c r="AC250" i="12" s="1"/>
  <c r="AC251" i="12" s="1"/>
  <c r="AC252" i="12" s="1"/>
  <c r="AC253" i="12" s="1"/>
  <c r="AC254" i="12" s="1"/>
  <c r="AC255" i="12" s="1"/>
  <c r="AC256" i="12" s="1"/>
  <c r="AC257" i="12" s="1"/>
  <c r="AC258" i="12" s="1"/>
  <c r="AC259" i="12" s="1"/>
  <c r="AC260" i="12" s="1"/>
  <c r="AC261" i="12" s="1"/>
  <c r="AC262" i="12" s="1"/>
  <c r="AC263" i="12" s="1"/>
  <c r="AC264" i="12" s="1"/>
  <c r="AC265" i="12" s="1"/>
  <c r="AC266" i="12" s="1"/>
  <c r="AC267" i="12" s="1"/>
  <c r="AC268" i="12" s="1"/>
  <c r="AC269" i="12" s="1"/>
  <c r="AC270" i="12" s="1"/>
  <c r="AC271" i="12" s="1"/>
  <c r="AC272" i="12" s="1"/>
  <c r="AC273" i="12" s="1"/>
  <c r="AC274" i="12" s="1"/>
  <c r="AC275" i="12" s="1"/>
  <c r="AC276" i="12" s="1"/>
  <c r="AC277" i="12" s="1"/>
  <c r="AC278" i="12" s="1"/>
  <c r="M87" i="12"/>
  <c r="M88" i="12" s="1"/>
  <c r="M89" i="12" s="1"/>
  <c r="M90" i="12" s="1"/>
  <c r="M91" i="12" s="1"/>
  <c r="M92" i="12" s="1"/>
  <c r="M93" i="12" s="1"/>
  <c r="M94" i="12" s="1"/>
  <c r="M95" i="12" s="1"/>
  <c r="M96" i="12" s="1"/>
  <c r="M97" i="12" s="1"/>
  <c r="M98" i="12" s="1"/>
  <c r="M99" i="12" s="1"/>
  <c r="M100" i="12" s="1"/>
  <c r="M101" i="12" s="1"/>
  <c r="M102" i="12" s="1"/>
  <c r="M103" i="12" s="1"/>
  <c r="M104" i="12" s="1"/>
  <c r="M105" i="12" s="1"/>
  <c r="M106" i="12" s="1"/>
  <c r="M107" i="12" s="1"/>
  <c r="M108" i="12" s="1"/>
  <c r="M109" i="12" s="1"/>
  <c r="M110" i="12" s="1"/>
  <c r="M111" i="12" s="1"/>
  <c r="M112" i="12" s="1"/>
  <c r="M113" i="12" s="1"/>
  <c r="M114" i="12" s="1"/>
  <c r="M115" i="12" s="1"/>
  <c r="M116" i="12" s="1"/>
  <c r="M117" i="12" s="1"/>
  <c r="M118" i="12" s="1"/>
  <c r="M239" i="12"/>
  <c r="N199" i="12"/>
  <c r="V239" i="12"/>
  <c r="L239" i="12"/>
  <c r="C279" i="12"/>
  <c r="I279" i="12"/>
  <c r="H58" i="16"/>
  <c r="H56" i="16"/>
  <c r="P207" i="12"/>
  <c r="P208" i="12" s="1"/>
  <c r="P209" i="12" s="1"/>
  <c r="P210" i="12" s="1"/>
  <c r="P211" i="12" s="1"/>
  <c r="P212" i="12" s="1"/>
  <c r="P213" i="12" s="1"/>
  <c r="P214" i="12" s="1"/>
  <c r="P215" i="12" s="1"/>
  <c r="P216" i="12" s="1"/>
  <c r="P217" i="12" s="1"/>
  <c r="P218" i="12" s="1"/>
  <c r="P219" i="12" s="1"/>
  <c r="P220" i="12" s="1"/>
  <c r="P221" i="12" s="1"/>
  <c r="P222" i="12" s="1"/>
  <c r="P223" i="12" s="1"/>
  <c r="P224" i="12" s="1"/>
  <c r="P225" i="12" s="1"/>
  <c r="P226" i="12" s="1"/>
  <c r="P227" i="12" s="1"/>
  <c r="P228" i="12" s="1"/>
  <c r="P229" i="12" s="1"/>
  <c r="P230" i="12" s="1"/>
  <c r="P231" i="12" s="1"/>
  <c r="P232" i="12" s="1"/>
  <c r="P233" i="12" s="1"/>
  <c r="P234" i="12" s="1"/>
  <c r="P235" i="12" s="1"/>
  <c r="P236" i="12" s="1"/>
  <c r="P237" i="12" s="1"/>
  <c r="P238" i="12" s="1"/>
  <c r="M279" i="12"/>
  <c r="H57" i="16"/>
  <c r="H59" i="16"/>
  <c r="J199" i="12"/>
  <c r="F167" i="12"/>
  <c r="F168" i="12" s="1"/>
  <c r="F169" i="12" s="1"/>
  <c r="F170" i="12" s="1"/>
  <c r="F171" i="12" s="1"/>
  <c r="F172" i="12" s="1"/>
  <c r="F173" i="12" s="1"/>
  <c r="F174" i="12" s="1"/>
  <c r="F175" i="12" s="1"/>
  <c r="F176" i="12" s="1"/>
  <c r="F177" i="12" s="1"/>
  <c r="F178" i="12" s="1"/>
  <c r="F179" i="12" s="1"/>
  <c r="F180" i="12" s="1"/>
  <c r="F181" i="12" s="1"/>
  <c r="F182" i="12" s="1"/>
  <c r="F183" i="12" s="1"/>
  <c r="F184" i="12" s="1"/>
  <c r="F185" i="12" s="1"/>
  <c r="F186" i="12" s="1"/>
  <c r="F187" i="12" s="1"/>
  <c r="F188" i="12" s="1"/>
  <c r="F189" i="12" s="1"/>
  <c r="F190" i="12" s="1"/>
  <c r="F191" i="12" s="1"/>
  <c r="F192" i="12" s="1"/>
  <c r="F193" i="12" s="1"/>
  <c r="F194" i="12" s="1"/>
  <c r="F195" i="12" s="1"/>
  <c r="F196" i="12" s="1"/>
  <c r="F197" i="12" s="1"/>
  <c r="F198" i="12" s="1"/>
  <c r="L87" i="12"/>
  <c r="L88" i="12" s="1"/>
  <c r="L89" i="12" s="1"/>
  <c r="L90" i="12" s="1"/>
  <c r="L91" i="12" s="1"/>
  <c r="L92" i="12" s="1"/>
  <c r="L93" i="12" s="1"/>
  <c r="L94" i="12" s="1"/>
  <c r="L95" i="12" s="1"/>
  <c r="L96" i="12" s="1"/>
  <c r="L97" i="12" s="1"/>
  <c r="L98" i="12" s="1"/>
  <c r="L99" i="12" s="1"/>
  <c r="L100" i="12" s="1"/>
  <c r="L101" i="12" s="1"/>
  <c r="L102" i="12" s="1"/>
  <c r="L103" i="12" s="1"/>
  <c r="L104" i="12" s="1"/>
  <c r="L105" i="12" s="1"/>
  <c r="L106" i="12" s="1"/>
  <c r="L107" i="12" s="1"/>
  <c r="L108" i="12" s="1"/>
  <c r="L109" i="12" s="1"/>
  <c r="L110" i="12" s="1"/>
  <c r="L111" i="12" s="1"/>
  <c r="L112" i="12" s="1"/>
  <c r="L113" i="12" s="1"/>
  <c r="L114" i="12" s="1"/>
  <c r="L115" i="12" s="1"/>
  <c r="L116" i="12" s="1"/>
  <c r="L117" i="12" s="1"/>
  <c r="L118" i="12" s="1"/>
  <c r="H279" i="12"/>
  <c r="F247" i="12"/>
  <c r="F248" i="12" s="1"/>
  <c r="F249" i="12" s="1"/>
  <c r="F250" i="12" s="1"/>
  <c r="F251" i="12" s="1"/>
  <c r="F252" i="12" s="1"/>
  <c r="F253" i="12" s="1"/>
  <c r="F254" i="12" s="1"/>
  <c r="F255" i="12" s="1"/>
  <c r="F256" i="12" s="1"/>
  <c r="F257" i="12" s="1"/>
  <c r="F258" i="12" s="1"/>
  <c r="F259" i="12" s="1"/>
  <c r="F260" i="12" s="1"/>
  <c r="F261" i="12" s="1"/>
  <c r="F262" i="12" s="1"/>
  <c r="F263" i="12" s="1"/>
  <c r="F264" i="12" s="1"/>
  <c r="F265" i="12" s="1"/>
  <c r="F266" i="12" s="1"/>
  <c r="F267" i="12" s="1"/>
  <c r="F268" i="12" s="1"/>
  <c r="F269" i="12" s="1"/>
  <c r="F270" i="12" s="1"/>
  <c r="F271" i="12" s="1"/>
  <c r="F272" i="12" s="1"/>
  <c r="F273" i="12" s="1"/>
  <c r="F274" i="12" s="1"/>
  <c r="F275" i="12" s="1"/>
  <c r="F276" i="12" s="1"/>
  <c r="F277" i="12" s="1"/>
  <c r="F278" i="12" s="1"/>
  <c r="L167" i="12"/>
  <c r="L168" i="12" s="1"/>
  <c r="L169" i="12" s="1"/>
  <c r="L170" i="12" s="1"/>
  <c r="L171" i="12" s="1"/>
  <c r="L172" i="12" s="1"/>
  <c r="L173" i="12" s="1"/>
  <c r="L174" i="12" s="1"/>
  <c r="L175" i="12" s="1"/>
  <c r="L176" i="12" s="1"/>
  <c r="L177" i="12" s="1"/>
  <c r="L178" i="12" s="1"/>
  <c r="L179" i="12" s="1"/>
  <c r="L180" i="12" s="1"/>
  <c r="L181" i="12" s="1"/>
  <c r="L182" i="12" s="1"/>
  <c r="L183" i="12" s="1"/>
  <c r="L184" i="12" s="1"/>
  <c r="L185" i="12" s="1"/>
  <c r="L186" i="12" s="1"/>
  <c r="L187" i="12" s="1"/>
  <c r="L188" i="12" s="1"/>
  <c r="L189" i="12" s="1"/>
  <c r="L190" i="12" s="1"/>
  <c r="L191" i="12" s="1"/>
  <c r="L192" i="12" s="1"/>
  <c r="L193" i="12" s="1"/>
  <c r="L194" i="12" s="1"/>
  <c r="L195" i="12" s="1"/>
  <c r="L196" i="12" s="1"/>
  <c r="L197" i="12" s="1"/>
  <c r="L198" i="12" s="1"/>
  <c r="J159" i="12"/>
  <c r="F207" i="12"/>
  <c r="F208" i="12" s="1"/>
  <c r="F209" i="12" s="1"/>
  <c r="F210" i="12" s="1"/>
  <c r="F211" i="12" s="1"/>
  <c r="F212" i="12" s="1"/>
  <c r="F213" i="12" s="1"/>
  <c r="F214" i="12" s="1"/>
  <c r="F215" i="12" s="1"/>
  <c r="F216" i="12" s="1"/>
  <c r="F217" i="12" s="1"/>
  <c r="F218" i="12" s="1"/>
  <c r="F219" i="12" s="1"/>
  <c r="F220" i="12" s="1"/>
  <c r="F221" i="12" s="1"/>
  <c r="F222" i="12" s="1"/>
  <c r="F223" i="12" s="1"/>
  <c r="F224" i="12" s="1"/>
  <c r="F225" i="12" s="1"/>
  <c r="F226" i="12" s="1"/>
  <c r="F227" i="12" s="1"/>
  <c r="F228" i="12" s="1"/>
  <c r="F229" i="12" s="1"/>
  <c r="F230" i="12" s="1"/>
  <c r="F231" i="12" s="1"/>
  <c r="F232" i="12" s="1"/>
  <c r="F233" i="12" s="1"/>
  <c r="F234" i="12" s="1"/>
  <c r="F235" i="12" s="1"/>
  <c r="F236" i="12" s="1"/>
  <c r="F237" i="12" s="1"/>
  <c r="F238" i="12" s="1"/>
  <c r="D167" i="12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D189" i="12" s="1"/>
  <c r="D190" i="12" s="1"/>
  <c r="D191" i="12" s="1"/>
  <c r="D192" i="12" s="1"/>
  <c r="D193" i="12" s="1"/>
  <c r="D194" i="12" s="1"/>
  <c r="D195" i="12" s="1"/>
  <c r="D196" i="12" s="1"/>
  <c r="D197" i="12" s="1"/>
  <c r="D198" i="12" s="1"/>
  <c r="AC199" i="12"/>
  <c r="V159" i="12"/>
  <c r="L247" i="12"/>
  <c r="L248" i="12" s="1"/>
  <c r="L249" i="12" s="1"/>
  <c r="L250" i="12" s="1"/>
  <c r="L251" i="12" s="1"/>
  <c r="L252" i="12" s="1"/>
  <c r="L253" i="12" s="1"/>
  <c r="L254" i="12" s="1"/>
  <c r="L255" i="12" s="1"/>
  <c r="L256" i="12" s="1"/>
  <c r="L257" i="12" s="1"/>
  <c r="L258" i="12" s="1"/>
  <c r="L259" i="12" s="1"/>
  <c r="L260" i="12" s="1"/>
  <c r="L261" i="12" s="1"/>
  <c r="L262" i="12" s="1"/>
  <c r="L263" i="12" s="1"/>
  <c r="L264" i="12" s="1"/>
  <c r="L265" i="12" s="1"/>
  <c r="L266" i="12" s="1"/>
  <c r="L267" i="12" s="1"/>
  <c r="L268" i="12" s="1"/>
  <c r="L269" i="12" s="1"/>
  <c r="L270" i="12" s="1"/>
  <c r="L271" i="12" s="1"/>
  <c r="L272" i="12" s="1"/>
  <c r="L273" i="12" s="1"/>
  <c r="L274" i="12" s="1"/>
  <c r="L275" i="12" s="1"/>
  <c r="L276" i="12" s="1"/>
  <c r="L277" i="12" s="1"/>
  <c r="L278" i="12" s="1"/>
  <c r="AD199" i="12"/>
  <c r="W247" i="12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L127" i="12"/>
  <c r="L128" i="12" s="1"/>
  <c r="L129" i="12" s="1"/>
  <c r="L130" i="12" s="1"/>
  <c r="L131" i="12" s="1"/>
  <c r="L132" i="12" s="1"/>
  <c r="L133" i="12" s="1"/>
  <c r="L134" i="12" s="1"/>
  <c r="L135" i="12" s="1"/>
  <c r="L136" i="12" s="1"/>
  <c r="L137" i="12" s="1"/>
  <c r="L138" i="12" s="1"/>
  <c r="L139" i="12" s="1"/>
  <c r="L140" i="12" s="1"/>
  <c r="L141" i="12" s="1"/>
  <c r="L142" i="12" s="1"/>
  <c r="L143" i="12" s="1"/>
  <c r="L144" i="12" s="1"/>
  <c r="L145" i="12" s="1"/>
  <c r="L146" i="12" s="1"/>
  <c r="L147" i="12" s="1"/>
  <c r="L148" i="12" s="1"/>
  <c r="L149" i="12" s="1"/>
  <c r="L150" i="12" s="1"/>
  <c r="L151" i="12" s="1"/>
  <c r="L152" i="12" s="1"/>
  <c r="L153" i="12" s="1"/>
  <c r="L154" i="12" s="1"/>
  <c r="L155" i="12" s="1"/>
  <c r="L156" i="12" s="1"/>
  <c r="L157" i="12" s="1"/>
  <c r="L158" i="12" s="1"/>
  <c r="W167" i="12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AF167" i="12"/>
  <c r="AF168" i="12" s="1"/>
  <c r="AF169" i="12" s="1"/>
  <c r="AF170" i="12" s="1"/>
  <c r="AF171" i="12" s="1"/>
  <c r="AF172" i="12" s="1"/>
  <c r="AF173" i="12" s="1"/>
  <c r="AF174" i="12" s="1"/>
  <c r="AF175" i="12" s="1"/>
  <c r="AF176" i="12" s="1"/>
  <c r="AF177" i="12" s="1"/>
  <c r="AF178" i="12" s="1"/>
  <c r="AF179" i="12" s="1"/>
  <c r="AF180" i="12" s="1"/>
  <c r="AF181" i="12" s="1"/>
  <c r="AF182" i="12" s="1"/>
  <c r="AF183" i="12" s="1"/>
  <c r="AF184" i="12" s="1"/>
  <c r="AF185" i="12" s="1"/>
  <c r="AF186" i="12" s="1"/>
  <c r="AF187" i="12" s="1"/>
  <c r="AF188" i="12" s="1"/>
  <c r="AF189" i="12" s="1"/>
  <c r="AF190" i="12" s="1"/>
  <c r="AF191" i="12" s="1"/>
  <c r="AF192" i="12" s="1"/>
  <c r="AF193" i="12" s="1"/>
  <c r="AF194" i="12" s="1"/>
  <c r="AF195" i="12" s="1"/>
  <c r="AF196" i="12" s="1"/>
  <c r="AF197" i="12" s="1"/>
  <c r="AF198" i="12" s="1"/>
  <c r="AD87" i="12"/>
  <c r="AD88" i="12" s="1"/>
  <c r="AD89" i="12" s="1"/>
  <c r="AD90" i="12" s="1"/>
  <c r="AD91" i="12" s="1"/>
  <c r="AD92" i="12" s="1"/>
  <c r="AD93" i="12" s="1"/>
  <c r="AD94" i="12" s="1"/>
  <c r="AD95" i="12" s="1"/>
  <c r="AD96" i="12" s="1"/>
  <c r="AD97" i="12" s="1"/>
  <c r="AD98" i="12" s="1"/>
  <c r="AD99" i="12" s="1"/>
  <c r="AD100" i="12" s="1"/>
  <c r="AD101" i="12" s="1"/>
  <c r="AD102" i="12" s="1"/>
  <c r="AD103" i="12" s="1"/>
  <c r="AD104" i="12" s="1"/>
  <c r="AD105" i="12" s="1"/>
  <c r="AD106" i="12" s="1"/>
  <c r="AD107" i="12" s="1"/>
  <c r="AD108" i="12" s="1"/>
  <c r="AD109" i="12" s="1"/>
  <c r="AD110" i="12" s="1"/>
  <c r="AD111" i="12" s="1"/>
  <c r="AD112" i="12" s="1"/>
  <c r="AD113" i="12" s="1"/>
  <c r="AD114" i="12" s="1"/>
  <c r="AD115" i="12" s="1"/>
  <c r="AD116" i="12" s="1"/>
  <c r="AD117" i="12" s="1"/>
  <c r="AD118" i="12" s="1"/>
  <c r="Z167" i="12"/>
  <c r="Z168" i="12" s="1"/>
  <c r="Z169" i="12" s="1"/>
  <c r="Z170" i="12" s="1"/>
  <c r="Z171" i="12" s="1"/>
  <c r="Z172" i="12" s="1"/>
  <c r="Z173" i="12" s="1"/>
  <c r="Z174" i="12" s="1"/>
  <c r="Z175" i="12" s="1"/>
  <c r="Z176" i="12" s="1"/>
  <c r="Z177" i="12" s="1"/>
  <c r="Z178" i="12" s="1"/>
  <c r="Z179" i="12" s="1"/>
  <c r="Z180" i="12" s="1"/>
  <c r="Z181" i="12" s="1"/>
  <c r="Z182" i="12" s="1"/>
  <c r="Z183" i="12" s="1"/>
  <c r="Z184" i="12" s="1"/>
  <c r="Z185" i="12" s="1"/>
  <c r="Z186" i="12" s="1"/>
  <c r="Z187" i="12" s="1"/>
  <c r="Z188" i="12" s="1"/>
  <c r="Z189" i="12" s="1"/>
  <c r="Z190" i="12" s="1"/>
  <c r="Z191" i="12" s="1"/>
  <c r="Z192" i="12" s="1"/>
  <c r="Z193" i="12" s="1"/>
  <c r="Z194" i="12" s="1"/>
  <c r="Z195" i="12" s="1"/>
  <c r="Z196" i="12" s="1"/>
  <c r="Z197" i="12" s="1"/>
  <c r="Z198" i="12" s="1"/>
  <c r="AB87" i="12"/>
  <c r="AB88" i="12" s="1"/>
  <c r="AB89" i="12" s="1"/>
  <c r="AB90" i="12" s="1"/>
  <c r="AB91" i="12" s="1"/>
  <c r="AB92" i="12" s="1"/>
  <c r="AB93" i="12" s="1"/>
  <c r="AB94" i="12" s="1"/>
  <c r="AB95" i="12" s="1"/>
  <c r="AB96" i="12" s="1"/>
  <c r="AB97" i="12" s="1"/>
  <c r="AB98" i="12" s="1"/>
  <c r="AB99" i="12" s="1"/>
  <c r="AB100" i="12" s="1"/>
  <c r="AB101" i="12" s="1"/>
  <c r="AB102" i="12" s="1"/>
  <c r="AB103" i="12" s="1"/>
  <c r="AB104" i="12" s="1"/>
  <c r="AB105" i="12" s="1"/>
  <c r="AB106" i="12" s="1"/>
  <c r="AB107" i="12" s="1"/>
  <c r="AB108" i="12" s="1"/>
  <c r="AB109" i="12" s="1"/>
  <c r="AB110" i="12" s="1"/>
  <c r="AB111" i="12" s="1"/>
  <c r="AB112" i="12" s="1"/>
  <c r="AB113" i="12" s="1"/>
  <c r="AB114" i="12" s="1"/>
  <c r="AB115" i="12" s="1"/>
  <c r="AB116" i="12" s="1"/>
  <c r="AB117" i="12" s="1"/>
  <c r="AB118" i="12" s="1"/>
  <c r="G199" i="12"/>
  <c r="AE119" i="12"/>
  <c r="AF87" i="12"/>
  <c r="AF88" i="12" s="1"/>
  <c r="AF89" i="12" s="1"/>
  <c r="AF90" i="12" s="1"/>
  <c r="AF91" i="12" s="1"/>
  <c r="AF92" i="12" s="1"/>
  <c r="AF93" i="12" s="1"/>
  <c r="AF94" i="12" s="1"/>
  <c r="AF95" i="12" s="1"/>
  <c r="AF96" i="12" s="1"/>
  <c r="AF97" i="12" s="1"/>
  <c r="AF98" i="12" s="1"/>
  <c r="AF99" i="12" s="1"/>
  <c r="AF100" i="12" s="1"/>
  <c r="AF101" i="12" s="1"/>
  <c r="AF102" i="12" s="1"/>
  <c r="AF103" i="12" s="1"/>
  <c r="AF104" i="12" s="1"/>
  <c r="AF105" i="12" s="1"/>
  <c r="AF106" i="12" s="1"/>
  <c r="AF107" i="12" s="1"/>
  <c r="AF108" i="12" s="1"/>
  <c r="AF109" i="12" s="1"/>
  <c r="AF110" i="12" s="1"/>
  <c r="AF111" i="12" s="1"/>
  <c r="AF112" i="12" s="1"/>
  <c r="AF113" i="12" s="1"/>
  <c r="AF114" i="12" s="1"/>
  <c r="AF115" i="12" s="1"/>
  <c r="AF116" i="12" s="1"/>
  <c r="AF117" i="12" s="1"/>
  <c r="AF118" i="12" s="1"/>
  <c r="P119" i="12"/>
  <c r="Z247" i="12"/>
  <c r="Z248" i="12" s="1"/>
  <c r="Z249" i="12" s="1"/>
  <c r="Z250" i="12" s="1"/>
  <c r="Z251" i="12" s="1"/>
  <c r="Z252" i="12" s="1"/>
  <c r="Z253" i="12" s="1"/>
  <c r="Z254" i="12" s="1"/>
  <c r="Z255" i="12" s="1"/>
  <c r="Z256" i="12" s="1"/>
  <c r="Z257" i="12" s="1"/>
  <c r="Z258" i="12" s="1"/>
  <c r="Z259" i="12" s="1"/>
  <c r="Z260" i="12" s="1"/>
  <c r="Z261" i="12" s="1"/>
  <c r="Z262" i="12" s="1"/>
  <c r="Z263" i="12" s="1"/>
  <c r="Z264" i="12" s="1"/>
  <c r="Z265" i="12" s="1"/>
  <c r="Z266" i="12" s="1"/>
  <c r="Z267" i="12" s="1"/>
  <c r="Z268" i="12" s="1"/>
  <c r="Z269" i="12" s="1"/>
  <c r="Z270" i="12" s="1"/>
  <c r="Z271" i="12" s="1"/>
  <c r="Z272" i="12" s="1"/>
  <c r="Z273" i="12" s="1"/>
  <c r="Z274" i="12" s="1"/>
  <c r="Z275" i="12" s="1"/>
  <c r="Z276" i="12" s="1"/>
  <c r="Z277" i="12" s="1"/>
  <c r="Z278" i="12" s="1"/>
  <c r="AB127" i="12"/>
  <c r="AB128" i="12" s="1"/>
  <c r="AB129" i="12" s="1"/>
  <c r="AB130" i="12" s="1"/>
  <c r="AB131" i="12" s="1"/>
  <c r="AB132" i="12" s="1"/>
  <c r="AB133" i="12" s="1"/>
  <c r="AB134" i="12" s="1"/>
  <c r="AB135" i="12" s="1"/>
  <c r="AB136" i="12" s="1"/>
  <c r="AB137" i="12" s="1"/>
  <c r="AB138" i="12" s="1"/>
  <c r="AB139" i="12" s="1"/>
  <c r="AB140" i="12" s="1"/>
  <c r="AB141" i="12" s="1"/>
  <c r="AB142" i="12" s="1"/>
  <c r="AB143" i="12" s="1"/>
  <c r="AB144" i="12" s="1"/>
  <c r="AB145" i="12" s="1"/>
  <c r="AB146" i="12" s="1"/>
  <c r="AB147" i="12" s="1"/>
  <c r="AB148" i="12" s="1"/>
  <c r="AB149" i="12" s="1"/>
  <c r="AB150" i="12" s="1"/>
  <c r="AB151" i="12" s="1"/>
  <c r="AB152" i="12" s="1"/>
  <c r="AB153" i="12" s="1"/>
  <c r="AB154" i="12" s="1"/>
  <c r="AB155" i="12" s="1"/>
  <c r="AB156" i="12" s="1"/>
  <c r="AB157" i="12" s="1"/>
  <c r="AB158" i="12" s="1"/>
  <c r="D239" i="12"/>
  <c r="AJ127" i="12"/>
  <c r="AJ128" i="12" s="1"/>
  <c r="AJ129" i="12" s="1"/>
  <c r="AJ130" i="12" s="1"/>
  <c r="AJ131" i="12" s="1"/>
  <c r="AJ132" i="12" s="1"/>
  <c r="AJ133" i="12" s="1"/>
  <c r="AJ134" i="12" s="1"/>
  <c r="AJ135" i="12" s="1"/>
  <c r="AJ136" i="12" s="1"/>
  <c r="AJ137" i="12" s="1"/>
  <c r="AJ138" i="12" s="1"/>
  <c r="AJ139" i="12" s="1"/>
  <c r="AJ140" i="12" s="1"/>
  <c r="AJ141" i="12" s="1"/>
  <c r="AJ142" i="12" s="1"/>
  <c r="AJ143" i="12" s="1"/>
  <c r="AJ144" i="12" s="1"/>
  <c r="AJ145" i="12" s="1"/>
  <c r="AJ146" i="12" s="1"/>
  <c r="AJ147" i="12" s="1"/>
  <c r="AJ148" i="12" s="1"/>
  <c r="AJ149" i="12" s="1"/>
  <c r="AJ150" i="12" s="1"/>
  <c r="AJ151" i="12" s="1"/>
  <c r="AJ152" i="12" s="1"/>
  <c r="AJ153" i="12" s="1"/>
  <c r="AJ154" i="12" s="1"/>
  <c r="AJ155" i="12" s="1"/>
  <c r="AJ156" i="12" s="1"/>
  <c r="AJ157" i="12" s="1"/>
  <c r="AJ158" i="12" s="1"/>
  <c r="U127" i="12"/>
  <c r="U128" i="12" s="1"/>
  <c r="U129" i="12" s="1"/>
  <c r="U130" i="12" s="1"/>
  <c r="U131" i="12" s="1"/>
  <c r="U132" i="12" s="1"/>
  <c r="U133" i="12" s="1"/>
  <c r="U134" i="12" s="1"/>
  <c r="U135" i="12" s="1"/>
  <c r="U136" i="12" s="1"/>
  <c r="U137" i="12" s="1"/>
  <c r="U138" i="12" s="1"/>
  <c r="U139" i="12" s="1"/>
  <c r="U140" i="12" s="1"/>
  <c r="U141" i="12" s="1"/>
  <c r="U142" i="12" s="1"/>
  <c r="U143" i="12" s="1"/>
  <c r="U144" i="12" s="1"/>
  <c r="U145" i="12" s="1"/>
  <c r="U146" i="12" s="1"/>
  <c r="U147" i="12" s="1"/>
  <c r="U148" i="12" s="1"/>
  <c r="U149" i="12" s="1"/>
  <c r="U150" i="12" s="1"/>
  <c r="U151" i="12" s="1"/>
  <c r="U152" i="12" s="1"/>
  <c r="U153" i="12" s="1"/>
  <c r="U154" i="12" s="1"/>
  <c r="U155" i="12" s="1"/>
  <c r="U156" i="12" s="1"/>
  <c r="U157" i="12" s="1"/>
  <c r="U158" i="12" s="1"/>
  <c r="C207" i="12"/>
  <c r="C208" i="12" s="1"/>
  <c r="C209" i="12" s="1"/>
  <c r="C210" i="12" s="1"/>
  <c r="C211" i="12" s="1"/>
  <c r="C212" i="12" s="1"/>
  <c r="C213" i="12" s="1"/>
  <c r="C214" i="12" s="1"/>
  <c r="C215" i="12" s="1"/>
  <c r="C216" i="12" s="1"/>
  <c r="C217" i="12" s="1"/>
  <c r="C218" i="12" s="1"/>
  <c r="C219" i="12" s="1"/>
  <c r="C220" i="12" s="1"/>
  <c r="C221" i="12" s="1"/>
  <c r="C222" i="12" s="1"/>
  <c r="C223" i="12" s="1"/>
  <c r="C224" i="12" s="1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X247" i="12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AA247" i="12"/>
  <c r="AA248" i="12" s="1"/>
  <c r="AA249" i="12" s="1"/>
  <c r="AA250" i="12" s="1"/>
  <c r="AA251" i="12" s="1"/>
  <c r="AA252" i="12" s="1"/>
  <c r="AA253" i="12" s="1"/>
  <c r="AA254" i="12" s="1"/>
  <c r="AA255" i="12" s="1"/>
  <c r="AA256" i="12" s="1"/>
  <c r="AA257" i="12" s="1"/>
  <c r="AA258" i="12" s="1"/>
  <c r="AA259" i="12" s="1"/>
  <c r="AA260" i="12" s="1"/>
  <c r="AA261" i="12" s="1"/>
  <c r="AA262" i="12" s="1"/>
  <c r="AA263" i="12" s="1"/>
  <c r="AA264" i="12" s="1"/>
  <c r="AA265" i="12" s="1"/>
  <c r="AA266" i="12" s="1"/>
  <c r="AA267" i="12" s="1"/>
  <c r="AA268" i="12" s="1"/>
  <c r="AA269" i="12" s="1"/>
  <c r="AA270" i="12" s="1"/>
  <c r="AA271" i="12" s="1"/>
  <c r="AA272" i="12" s="1"/>
  <c r="AA273" i="12" s="1"/>
  <c r="AA274" i="12" s="1"/>
  <c r="AA275" i="12" s="1"/>
  <c r="AA276" i="12" s="1"/>
  <c r="AA277" i="12" s="1"/>
  <c r="AA278" i="12" s="1"/>
  <c r="T119" i="12"/>
  <c r="R247" i="12"/>
  <c r="R248" i="12" s="1"/>
  <c r="R249" i="12" s="1"/>
  <c r="R250" i="12" s="1"/>
  <c r="R251" i="12" s="1"/>
  <c r="R252" i="12" s="1"/>
  <c r="R253" i="12" s="1"/>
  <c r="R254" i="12" s="1"/>
  <c r="R255" i="12" s="1"/>
  <c r="R256" i="12" s="1"/>
  <c r="R257" i="12" s="1"/>
  <c r="R258" i="12" s="1"/>
  <c r="R259" i="12" s="1"/>
  <c r="R260" i="12" s="1"/>
  <c r="R261" i="12" s="1"/>
  <c r="R262" i="12" s="1"/>
  <c r="R263" i="12" s="1"/>
  <c r="R264" i="12" s="1"/>
  <c r="R265" i="12" s="1"/>
  <c r="R266" i="12" s="1"/>
  <c r="R267" i="12" s="1"/>
  <c r="R268" i="12" s="1"/>
  <c r="R269" i="12" s="1"/>
  <c r="R270" i="12" s="1"/>
  <c r="R271" i="12" s="1"/>
  <c r="R272" i="12" s="1"/>
  <c r="R273" i="12" s="1"/>
  <c r="R274" i="12" s="1"/>
  <c r="R275" i="12" s="1"/>
  <c r="R276" i="12" s="1"/>
  <c r="R277" i="12" s="1"/>
  <c r="R278" i="12" s="1"/>
  <c r="W127" i="12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G119" i="12"/>
  <c r="AE239" i="12"/>
  <c r="I199" i="12"/>
  <c r="AF127" i="12"/>
  <c r="AF128" i="12" s="1"/>
  <c r="AF129" i="12" s="1"/>
  <c r="AF130" i="12" s="1"/>
  <c r="AF131" i="12" s="1"/>
  <c r="AF132" i="12" s="1"/>
  <c r="AF133" i="12" s="1"/>
  <c r="AF134" i="12" s="1"/>
  <c r="AF135" i="12" s="1"/>
  <c r="AF136" i="12" s="1"/>
  <c r="AF137" i="12" s="1"/>
  <c r="AF138" i="12" s="1"/>
  <c r="AF139" i="12" s="1"/>
  <c r="AF140" i="12" s="1"/>
  <c r="AF141" i="12" s="1"/>
  <c r="AF142" i="12" s="1"/>
  <c r="AF143" i="12" s="1"/>
  <c r="AF144" i="12" s="1"/>
  <c r="AF145" i="12" s="1"/>
  <c r="AF146" i="12" s="1"/>
  <c r="AF147" i="12" s="1"/>
  <c r="AF148" i="12" s="1"/>
  <c r="AF149" i="12" s="1"/>
  <c r="AF150" i="12" s="1"/>
  <c r="AF151" i="12" s="1"/>
  <c r="AF152" i="12" s="1"/>
  <c r="AF153" i="12" s="1"/>
  <c r="AF154" i="12" s="1"/>
  <c r="AF155" i="12" s="1"/>
  <c r="AF156" i="12" s="1"/>
  <c r="AF157" i="12" s="1"/>
  <c r="AF158" i="12" s="1"/>
  <c r="AB167" i="12"/>
  <c r="AB168" i="12" s="1"/>
  <c r="AB169" i="12" s="1"/>
  <c r="AB170" i="12" s="1"/>
  <c r="AB171" i="12" s="1"/>
  <c r="AB172" i="12" s="1"/>
  <c r="AB173" i="12" s="1"/>
  <c r="AB174" i="12" s="1"/>
  <c r="AB175" i="12" s="1"/>
  <c r="AB176" i="12" s="1"/>
  <c r="AB177" i="12" s="1"/>
  <c r="AB178" i="12" s="1"/>
  <c r="AB179" i="12" s="1"/>
  <c r="AB180" i="12" s="1"/>
  <c r="AB181" i="12" s="1"/>
  <c r="AB182" i="12" s="1"/>
  <c r="AB183" i="12" s="1"/>
  <c r="AB184" i="12" s="1"/>
  <c r="AB185" i="12" s="1"/>
  <c r="AB186" i="12" s="1"/>
  <c r="AB187" i="12" s="1"/>
  <c r="AB188" i="12" s="1"/>
  <c r="AB189" i="12" s="1"/>
  <c r="AB190" i="12" s="1"/>
  <c r="AB191" i="12" s="1"/>
  <c r="AB192" i="12" s="1"/>
  <c r="AB193" i="12" s="1"/>
  <c r="AB194" i="12" s="1"/>
  <c r="AB195" i="12" s="1"/>
  <c r="AB196" i="12" s="1"/>
  <c r="AB197" i="12" s="1"/>
  <c r="AB198" i="12" s="1"/>
  <c r="S247" i="12"/>
  <c r="S248" i="12" s="1"/>
  <c r="S249" i="12" s="1"/>
  <c r="S250" i="12" s="1"/>
  <c r="S251" i="12" s="1"/>
  <c r="S252" i="12" s="1"/>
  <c r="S253" i="12" s="1"/>
  <c r="S254" i="12" s="1"/>
  <c r="S255" i="12" s="1"/>
  <c r="S256" i="12" s="1"/>
  <c r="S257" i="12" s="1"/>
  <c r="S258" i="12" s="1"/>
  <c r="S259" i="12" s="1"/>
  <c r="S260" i="12" s="1"/>
  <c r="S261" i="12" s="1"/>
  <c r="S262" i="12" s="1"/>
  <c r="S263" i="12" s="1"/>
  <c r="S264" i="12" s="1"/>
  <c r="S265" i="12" s="1"/>
  <c r="S266" i="12" s="1"/>
  <c r="S267" i="12" s="1"/>
  <c r="S268" i="12" s="1"/>
  <c r="S269" i="12" s="1"/>
  <c r="S270" i="12" s="1"/>
  <c r="S271" i="12" s="1"/>
  <c r="S272" i="12" s="1"/>
  <c r="S273" i="12" s="1"/>
  <c r="S274" i="12" s="1"/>
  <c r="S275" i="12" s="1"/>
  <c r="S276" i="12" s="1"/>
  <c r="S277" i="12" s="1"/>
  <c r="S278" i="12" s="1"/>
  <c r="X207" i="12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O127" i="12"/>
  <c r="O128" i="12" s="1"/>
  <c r="O129" i="12" s="1"/>
  <c r="O130" i="12" s="1"/>
  <c r="O131" i="12" s="1"/>
  <c r="O132" i="12" s="1"/>
  <c r="O133" i="12" s="1"/>
  <c r="O134" i="12" s="1"/>
  <c r="O135" i="12" s="1"/>
  <c r="O136" i="12" s="1"/>
  <c r="O137" i="12" s="1"/>
  <c r="O138" i="12" s="1"/>
  <c r="O139" i="12" s="1"/>
  <c r="O140" i="12" s="1"/>
  <c r="O141" i="12" s="1"/>
  <c r="O142" i="12" s="1"/>
  <c r="O143" i="12" s="1"/>
  <c r="O144" i="12" s="1"/>
  <c r="O145" i="12" s="1"/>
  <c r="O146" i="12" s="1"/>
  <c r="O147" i="12" s="1"/>
  <c r="O148" i="12" s="1"/>
  <c r="O149" i="12" s="1"/>
  <c r="O150" i="12" s="1"/>
  <c r="O151" i="12" s="1"/>
  <c r="O152" i="12" s="1"/>
  <c r="O153" i="12" s="1"/>
  <c r="O154" i="12" s="1"/>
  <c r="O155" i="12" s="1"/>
  <c r="O156" i="12" s="1"/>
  <c r="O157" i="12" s="1"/>
  <c r="O158" i="12" s="1"/>
  <c r="AA207" i="12"/>
  <c r="AA208" i="12" s="1"/>
  <c r="AA209" i="12" s="1"/>
  <c r="AA210" i="12" s="1"/>
  <c r="AA211" i="12" s="1"/>
  <c r="AA212" i="12" s="1"/>
  <c r="AA213" i="12" s="1"/>
  <c r="AA214" i="12" s="1"/>
  <c r="AA215" i="12" s="1"/>
  <c r="AA216" i="12" s="1"/>
  <c r="AA217" i="12" s="1"/>
  <c r="AA218" i="12" s="1"/>
  <c r="AA219" i="12" s="1"/>
  <c r="AA220" i="12" s="1"/>
  <c r="AA221" i="12" s="1"/>
  <c r="AA222" i="12" s="1"/>
  <c r="AA223" i="12" s="1"/>
  <c r="AA224" i="12" s="1"/>
  <c r="AA225" i="12" s="1"/>
  <c r="AA226" i="12" s="1"/>
  <c r="AA227" i="12" s="1"/>
  <c r="AA228" i="12" s="1"/>
  <c r="AA229" i="12" s="1"/>
  <c r="AA230" i="12" s="1"/>
  <c r="AA231" i="12" s="1"/>
  <c r="AA232" i="12" s="1"/>
  <c r="AA233" i="12" s="1"/>
  <c r="AA234" i="12" s="1"/>
  <c r="AA235" i="12" s="1"/>
  <c r="AA236" i="12" s="1"/>
  <c r="AA237" i="12" s="1"/>
  <c r="AA238" i="12" s="1"/>
  <c r="Y207" i="12"/>
  <c r="Y208" i="12" s="1"/>
  <c r="Y209" i="12" s="1"/>
  <c r="Y210" i="12" s="1"/>
  <c r="Y211" i="12" s="1"/>
  <c r="Y212" i="12" s="1"/>
  <c r="Y213" i="12" s="1"/>
  <c r="Y214" i="12" s="1"/>
  <c r="Y215" i="12" s="1"/>
  <c r="Y216" i="12" s="1"/>
  <c r="Y217" i="12" s="1"/>
  <c r="Y218" i="12" s="1"/>
  <c r="Y219" i="12" s="1"/>
  <c r="Y220" i="12" s="1"/>
  <c r="Y221" i="12" s="1"/>
  <c r="Y222" i="12" s="1"/>
  <c r="Y223" i="12" s="1"/>
  <c r="Y224" i="12" s="1"/>
  <c r="Y225" i="12" s="1"/>
  <c r="Y226" i="12" s="1"/>
  <c r="Y227" i="12" s="1"/>
  <c r="Y228" i="12" s="1"/>
  <c r="Y229" i="12" s="1"/>
  <c r="Y230" i="12" s="1"/>
  <c r="Y231" i="12" s="1"/>
  <c r="Y232" i="12" s="1"/>
  <c r="Y233" i="12" s="1"/>
  <c r="Y234" i="12" s="1"/>
  <c r="Y235" i="12" s="1"/>
  <c r="Y236" i="12" s="1"/>
  <c r="Y237" i="12" s="1"/>
  <c r="Y238" i="12" s="1"/>
  <c r="R87" i="12"/>
  <c r="R88" i="12" s="1"/>
  <c r="R89" i="12" s="1"/>
  <c r="R90" i="12" s="1"/>
  <c r="R91" i="12" s="1"/>
  <c r="R92" i="12" s="1"/>
  <c r="R93" i="12" s="1"/>
  <c r="R94" i="12" s="1"/>
  <c r="R95" i="12" s="1"/>
  <c r="R96" i="12" s="1"/>
  <c r="R97" i="12" s="1"/>
  <c r="R98" i="12" s="1"/>
  <c r="R99" i="12" s="1"/>
  <c r="R100" i="12" s="1"/>
  <c r="R101" i="12" s="1"/>
  <c r="R102" i="12" s="1"/>
  <c r="R103" i="12" s="1"/>
  <c r="R104" i="12" s="1"/>
  <c r="R105" i="12" s="1"/>
  <c r="R106" i="12" s="1"/>
  <c r="R107" i="12" s="1"/>
  <c r="R108" i="12" s="1"/>
  <c r="R109" i="12" s="1"/>
  <c r="R110" i="12" s="1"/>
  <c r="R111" i="12" s="1"/>
  <c r="R112" i="12" s="1"/>
  <c r="R113" i="12" s="1"/>
  <c r="R114" i="12" s="1"/>
  <c r="R115" i="12" s="1"/>
  <c r="R116" i="12" s="1"/>
  <c r="R117" i="12" s="1"/>
  <c r="R118" i="12" s="1"/>
  <c r="Y247" i="12"/>
  <c r="Y248" i="12" s="1"/>
  <c r="Y249" i="12" s="1"/>
  <c r="Y250" i="12" s="1"/>
  <c r="Y251" i="12" s="1"/>
  <c r="Y252" i="12" s="1"/>
  <c r="Y253" i="12" s="1"/>
  <c r="Y254" i="12" s="1"/>
  <c r="Y255" i="12" s="1"/>
  <c r="Y256" i="12" s="1"/>
  <c r="Y257" i="12" s="1"/>
  <c r="Y258" i="12" s="1"/>
  <c r="Y259" i="12" s="1"/>
  <c r="Y260" i="12" s="1"/>
  <c r="Y261" i="12" s="1"/>
  <c r="Y262" i="12" s="1"/>
  <c r="Y263" i="12" s="1"/>
  <c r="Y264" i="12" s="1"/>
  <c r="Y265" i="12" s="1"/>
  <c r="Y266" i="12" s="1"/>
  <c r="Y267" i="12" s="1"/>
  <c r="Y268" i="12" s="1"/>
  <c r="Y269" i="12" s="1"/>
  <c r="Y270" i="12" s="1"/>
  <c r="Y271" i="12" s="1"/>
  <c r="Y272" i="12" s="1"/>
  <c r="Y273" i="12" s="1"/>
  <c r="Y274" i="12" s="1"/>
  <c r="Y275" i="12" s="1"/>
  <c r="Y276" i="12" s="1"/>
  <c r="Y277" i="12" s="1"/>
  <c r="Y278" i="12" s="1"/>
  <c r="AH167" i="12"/>
  <c r="AH168" i="12" s="1"/>
  <c r="AH169" i="12" s="1"/>
  <c r="AH170" i="12" s="1"/>
  <c r="AH171" i="12" s="1"/>
  <c r="AH172" i="12" s="1"/>
  <c r="AH173" i="12" s="1"/>
  <c r="AH174" i="12" s="1"/>
  <c r="AH175" i="12" s="1"/>
  <c r="AH176" i="12" s="1"/>
  <c r="AH177" i="12" s="1"/>
  <c r="AH178" i="12" s="1"/>
  <c r="AH179" i="12" s="1"/>
  <c r="AH180" i="12" s="1"/>
  <c r="AH181" i="12" s="1"/>
  <c r="AH182" i="12" s="1"/>
  <c r="AH183" i="12" s="1"/>
  <c r="AH184" i="12" s="1"/>
  <c r="AH185" i="12" s="1"/>
  <c r="AH186" i="12" s="1"/>
  <c r="AH187" i="12" s="1"/>
  <c r="AH188" i="12" s="1"/>
  <c r="AH189" i="12" s="1"/>
  <c r="AH190" i="12" s="1"/>
  <c r="AH191" i="12" s="1"/>
  <c r="AH192" i="12" s="1"/>
  <c r="AH193" i="12" s="1"/>
  <c r="AH194" i="12" s="1"/>
  <c r="AH195" i="12" s="1"/>
  <c r="AH196" i="12" s="1"/>
  <c r="AH197" i="12" s="1"/>
  <c r="AH198" i="12" s="1"/>
  <c r="T159" i="12"/>
  <c r="AE159" i="12"/>
  <c r="AF207" i="12"/>
  <c r="AF208" i="12" s="1"/>
  <c r="AF209" i="12" s="1"/>
  <c r="AF210" i="12" s="1"/>
  <c r="AF211" i="12" s="1"/>
  <c r="AF212" i="12" s="1"/>
  <c r="AF213" i="12" s="1"/>
  <c r="AF214" i="12" s="1"/>
  <c r="AF215" i="12" s="1"/>
  <c r="AF216" i="12" s="1"/>
  <c r="AF217" i="12" s="1"/>
  <c r="AF218" i="12" s="1"/>
  <c r="AF219" i="12" s="1"/>
  <c r="AF220" i="12" s="1"/>
  <c r="AF221" i="12" s="1"/>
  <c r="AF222" i="12" s="1"/>
  <c r="AF223" i="12" s="1"/>
  <c r="AF224" i="12" s="1"/>
  <c r="AF225" i="12" s="1"/>
  <c r="AF226" i="12" s="1"/>
  <c r="AF227" i="12" s="1"/>
  <c r="AF228" i="12" s="1"/>
  <c r="AF229" i="12" s="1"/>
  <c r="AF230" i="12" s="1"/>
  <c r="AF231" i="12" s="1"/>
  <c r="AF232" i="12" s="1"/>
  <c r="AF233" i="12" s="1"/>
  <c r="AF234" i="12" s="1"/>
  <c r="AF235" i="12" s="1"/>
  <c r="AF236" i="12" s="1"/>
  <c r="AF237" i="12" s="1"/>
  <c r="AF238" i="12" s="1"/>
  <c r="AD207" i="12"/>
  <c r="AD208" i="12" s="1"/>
  <c r="AD209" i="12" s="1"/>
  <c r="AD210" i="12" s="1"/>
  <c r="AD211" i="12" s="1"/>
  <c r="AD212" i="12" s="1"/>
  <c r="AD213" i="12" s="1"/>
  <c r="AD214" i="12" s="1"/>
  <c r="AD215" i="12" s="1"/>
  <c r="AD216" i="12" s="1"/>
  <c r="AD217" i="12" s="1"/>
  <c r="AD218" i="12" s="1"/>
  <c r="AD219" i="12" s="1"/>
  <c r="AD220" i="12" s="1"/>
  <c r="AD221" i="12" s="1"/>
  <c r="AD222" i="12" s="1"/>
  <c r="AD223" i="12" s="1"/>
  <c r="AD224" i="12" s="1"/>
  <c r="AD225" i="12" s="1"/>
  <c r="AD226" i="12" s="1"/>
  <c r="AD227" i="12" s="1"/>
  <c r="AD228" i="12" s="1"/>
  <c r="AD229" i="12" s="1"/>
  <c r="AD230" i="12" s="1"/>
  <c r="AD231" i="12" s="1"/>
  <c r="AD232" i="12" s="1"/>
  <c r="AD233" i="12" s="1"/>
  <c r="AD234" i="12" s="1"/>
  <c r="AD235" i="12" s="1"/>
  <c r="AD236" i="12" s="1"/>
  <c r="AD237" i="12" s="1"/>
  <c r="AD238" i="12" s="1"/>
  <c r="Z87" i="12"/>
  <c r="Z88" i="12" s="1"/>
  <c r="Z89" i="12" s="1"/>
  <c r="Z90" i="12" s="1"/>
  <c r="Z91" i="12" s="1"/>
  <c r="Z92" i="12" s="1"/>
  <c r="Z93" i="12" s="1"/>
  <c r="Z94" i="12" s="1"/>
  <c r="Z95" i="12" s="1"/>
  <c r="Z96" i="12" s="1"/>
  <c r="Z97" i="12" s="1"/>
  <c r="Z98" i="12" s="1"/>
  <c r="Z99" i="12" s="1"/>
  <c r="Z100" i="12" s="1"/>
  <c r="Z101" i="12" s="1"/>
  <c r="Z102" i="12" s="1"/>
  <c r="Z103" i="12" s="1"/>
  <c r="Z104" i="12" s="1"/>
  <c r="Z105" i="12" s="1"/>
  <c r="Z106" i="12" s="1"/>
  <c r="Z107" i="12" s="1"/>
  <c r="Z108" i="12" s="1"/>
  <c r="Z109" i="12" s="1"/>
  <c r="Z110" i="12" s="1"/>
  <c r="Z111" i="12" s="1"/>
  <c r="Z112" i="12" s="1"/>
  <c r="Z113" i="12" s="1"/>
  <c r="Z114" i="12" s="1"/>
  <c r="Z115" i="12" s="1"/>
  <c r="Z116" i="12" s="1"/>
  <c r="Z117" i="12" s="1"/>
  <c r="Z118" i="12" s="1"/>
  <c r="G279" i="12"/>
  <c r="J119" i="12"/>
  <c r="AJ167" i="12"/>
  <c r="AJ168" i="12" s="1"/>
  <c r="AJ169" i="12" s="1"/>
  <c r="AJ170" i="12" s="1"/>
  <c r="AJ171" i="12" s="1"/>
  <c r="AJ172" i="12" s="1"/>
  <c r="AJ173" i="12" s="1"/>
  <c r="AJ174" i="12" s="1"/>
  <c r="AJ175" i="12" s="1"/>
  <c r="AJ176" i="12" s="1"/>
  <c r="AJ177" i="12" s="1"/>
  <c r="AJ178" i="12" s="1"/>
  <c r="AJ179" i="12" s="1"/>
  <c r="AJ180" i="12" s="1"/>
  <c r="AJ181" i="12" s="1"/>
  <c r="AJ182" i="12" s="1"/>
  <c r="AJ183" i="12" s="1"/>
  <c r="AJ184" i="12" s="1"/>
  <c r="AJ185" i="12" s="1"/>
  <c r="AJ186" i="12" s="1"/>
  <c r="AJ187" i="12" s="1"/>
  <c r="AJ188" i="12" s="1"/>
  <c r="AJ189" i="12" s="1"/>
  <c r="AJ190" i="12" s="1"/>
  <c r="AJ191" i="12" s="1"/>
  <c r="AJ192" i="12" s="1"/>
  <c r="AJ193" i="12" s="1"/>
  <c r="AJ194" i="12" s="1"/>
  <c r="AJ195" i="12" s="1"/>
  <c r="AJ196" i="12" s="1"/>
  <c r="AJ197" i="12" s="1"/>
  <c r="AJ198" i="12" s="1"/>
  <c r="S127" i="12"/>
  <c r="S128" i="12" s="1"/>
  <c r="S129" i="12" s="1"/>
  <c r="S130" i="12" s="1"/>
  <c r="S131" i="12" s="1"/>
  <c r="S132" i="12" s="1"/>
  <c r="S133" i="12" s="1"/>
  <c r="S134" i="12" s="1"/>
  <c r="S135" i="12" s="1"/>
  <c r="S136" i="12" s="1"/>
  <c r="S137" i="12" s="1"/>
  <c r="S138" i="12" s="1"/>
  <c r="S139" i="12" s="1"/>
  <c r="S140" i="12" s="1"/>
  <c r="S141" i="12" s="1"/>
  <c r="S142" i="12" s="1"/>
  <c r="S143" i="12" s="1"/>
  <c r="S144" i="12" s="1"/>
  <c r="S145" i="12" s="1"/>
  <c r="S146" i="12" s="1"/>
  <c r="S147" i="12" s="1"/>
  <c r="S148" i="12" s="1"/>
  <c r="S149" i="12" s="1"/>
  <c r="S150" i="12" s="1"/>
  <c r="S151" i="12" s="1"/>
  <c r="S152" i="12" s="1"/>
  <c r="S153" i="12" s="1"/>
  <c r="S154" i="12" s="1"/>
  <c r="S155" i="12" s="1"/>
  <c r="S156" i="12" s="1"/>
  <c r="S157" i="12" s="1"/>
  <c r="S158" i="12" s="1"/>
  <c r="W207" i="12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O247" i="12"/>
  <c r="O248" i="12" s="1"/>
  <c r="O249" i="12" s="1"/>
  <c r="O250" i="12" s="1"/>
  <c r="O251" i="12" s="1"/>
  <c r="O252" i="12" s="1"/>
  <c r="O253" i="12" s="1"/>
  <c r="O254" i="12" s="1"/>
  <c r="O255" i="12" s="1"/>
  <c r="O256" i="12" s="1"/>
  <c r="O257" i="12" s="1"/>
  <c r="O258" i="12" s="1"/>
  <c r="O259" i="12" s="1"/>
  <c r="O260" i="12" s="1"/>
  <c r="O261" i="12" s="1"/>
  <c r="O262" i="12" s="1"/>
  <c r="O263" i="12" s="1"/>
  <c r="O264" i="12" s="1"/>
  <c r="O265" i="12" s="1"/>
  <c r="O266" i="12" s="1"/>
  <c r="O267" i="12" s="1"/>
  <c r="O268" i="12" s="1"/>
  <c r="O269" i="12" s="1"/>
  <c r="O270" i="12" s="1"/>
  <c r="O271" i="12" s="1"/>
  <c r="O272" i="12" s="1"/>
  <c r="O273" i="12" s="1"/>
  <c r="O274" i="12" s="1"/>
  <c r="O275" i="12" s="1"/>
  <c r="O276" i="12" s="1"/>
  <c r="O277" i="12" s="1"/>
  <c r="O278" i="12" s="1"/>
  <c r="AA127" i="12"/>
  <c r="AA128" i="12" s="1"/>
  <c r="AA129" i="12" s="1"/>
  <c r="AA130" i="12" s="1"/>
  <c r="AA131" i="12" s="1"/>
  <c r="AA132" i="12" s="1"/>
  <c r="AA133" i="12" s="1"/>
  <c r="AA134" i="12" s="1"/>
  <c r="AA135" i="12" s="1"/>
  <c r="AA136" i="12" s="1"/>
  <c r="AA137" i="12" s="1"/>
  <c r="AA138" i="12" s="1"/>
  <c r="AA139" i="12" s="1"/>
  <c r="AA140" i="12" s="1"/>
  <c r="AA141" i="12" s="1"/>
  <c r="AA142" i="12" s="1"/>
  <c r="AA143" i="12" s="1"/>
  <c r="AA144" i="12" s="1"/>
  <c r="AA145" i="12" s="1"/>
  <c r="AA146" i="12" s="1"/>
  <c r="AA147" i="12" s="1"/>
  <c r="AA148" i="12" s="1"/>
  <c r="AA149" i="12" s="1"/>
  <c r="AA150" i="12" s="1"/>
  <c r="AA151" i="12" s="1"/>
  <c r="AA152" i="12" s="1"/>
  <c r="AA153" i="12" s="1"/>
  <c r="AA154" i="12" s="1"/>
  <c r="AA155" i="12" s="1"/>
  <c r="AA156" i="12" s="1"/>
  <c r="AA157" i="12" s="1"/>
  <c r="AA158" i="12" s="1"/>
  <c r="M199" i="12"/>
  <c r="H199" i="12"/>
  <c r="R127" i="12"/>
  <c r="R128" i="12" s="1"/>
  <c r="R129" i="12" s="1"/>
  <c r="R130" i="12" s="1"/>
  <c r="R131" i="12" s="1"/>
  <c r="R132" i="12" s="1"/>
  <c r="R133" i="12" s="1"/>
  <c r="R134" i="12" s="1"/>
  <c r="R135" i="12" s="1"/>
  <c r="R136" i="12" s="1"/>
  <c r="R137" i="12" s="1"/>
  <c r="R138" i="12" s="1"/>
  <c r="R139" i="12" s="1"/>
  <c r="R140" i="12" s="1"/>
  <c r="R141" i="12" s="1"/>
  <c r="R142" i="12" s="1"/>
  <c r="R143" i="12" s="1"/>
  <c r="R144" i="12" s="1"/>
  <c r="R145" i="12" s="1"/>
  <c r="R146" i="12" s="1"/>
  <c r="R147" i="12" s="1"/>
  <c r="R148" i="12" s="1"/>
  <c r="R149" i="12" s="1"/>
  <c r="R150" i="12" s="1"/>
  <c r="R151" i="12" s="1"/>
  <c r="R152" i="12" s="1"/>
  <c r="R153" i="12" s="1"/>
  <c r="R154" i="12" s="1"/>
  <c r="R155" i="12" s="1"/>
  <c r="R156" i="12" s="1"/>
  <c r="R157" i="12" s="1"/>
  <c r="R158" i="12" s="1"/>
  <c r="T239" i="12"/>
  <c r="U247" i="12"/>
  <c r="U248" i="12" s="1"/>
  <c r="U249" i="12" s="1"/>
  <c r="U250" i="12" s="1"/>
  <c r="U251" i="12" s="1"/>
  <c r="U252" i="12" s="1"/>
  <c r="U253" i="12" s="1"/>
  <c r="U254" i="12" s="1"/>
  <c r="U255" i="12" s="1"/>
  <c r="U256" i="12" s="1"/>
  <c r="U257" i="12" s="1"/>
  <c r="U258" i="12" s="1"/>
  <c r="U259" i="12" s="1"/>
  <c r="U260" i="12" s="1"/>
  <c r="U261" i="12" s="1"/>
  <c r="U262" i="12" s="1"/>
  <c r="U263" i="12" s="1"/>
  <c r="U264" i="12" s="1"/>
  <c r="U265" i="12" s="1"/>
  <c r="U266" i="12" s="1"/>
  <c r="U267" i="12" s="1"/>
  <c r="U268" i="12" s="1"/>
  <c r="U269" i="12" s="1"/>
  <c r="U270" i="12" s="1"/>
  <c r="U271" i="12" s="1"/>
  <c r="U272" i="12" s="1"/>
  <c r="U273" i="12" s="1"/>
  <c r="U274" i="12" s="1"/>
  <c r="U275" i="12" s="1"/>
  <c r="U276" i="12" s="1"/>
  <c r="U277" i="12" s="1"/>
  <c r="U278" i="12" s="1"/>
  <c r="Y167" i="12"/>
  <c r="Y168" i="12" s="1"/>
  <c r="Y169" i="12" s="1"/>
  <c r="Y170" i="12" s="1"/>
  <c r="Y171" i="12" s="1"/>
  <c r="Y172" i="12" s="1"/>
  <c r="Y173" i="12" s="1"/>
  <c r="Y174" i="12" s="1"/>
  <c r="Y175" i="12" s="1"/>
  <c r="Y176" i="12" s="1"/>
  <c r="Y177" i="12" s="1"/>
  <c r="Y178" i="12" s="1"/>
  <c r="Y179" i="12" s="1"/>
  <c r="Y180" i="12" s="1"/>
  <c r="Y181" i="12" s="1"/>
  <c r="Y182" i="12" s="1"/>
  <c r="Y183" i="12" s="1"/>
  <c r="Y184" i="12" s="1"/>
  <c r="Y185" i="12" s="1"/>
  <c r="Y186" i="12" s="1"/>
  <c r="Y187" i="12" s="1"/>
  <c r="Y188" i="12" s="1"/>
  <c r="Y189" i="12" s="1"/>
  <c r="Y190" i="12" s="1"/>
  <c r="Y191" i="12" s="1"/>
  <c r="Y192" i="12" s="1"/>
  <c r="Y193" i="12" s="1"/>
  <c r="Y194" i="12" s="1"/>
  <c r="Y195" i="12" s="1"/>
  <c r="Y196" i="12" s="1"/>
  <c r="Y197" i="12" s="1"/>
  <c r="Y198" i="12" s="1"/>
  <c r="AH87" i="12"/>
  <c r="AH88" i="12" s="1"/>
  <c r="AH89" i="12" s="1"/>
  <c r="AH90" i="12" s="1"/>
  <c r="AH91" i="12" s="1"/>
  <c r="AH92" i="12" s="1"/>
  <c r="AH93" i="12" s="1"/>
  <c r="AH94" i="12" s="1"/>
  <c r="AH95" i="12" s="1"/>
  <c r="AH96" i="12" s="1"/>
  <c r="AH97" i="12" s="1"/>
  <c r="AH98" i="12" s="1"/>
  <c r="AH99" i="12" s="1"/>
  <c r="AH100" i="12" s="1"/>
  <c r="AH101" i="12" s="1"/>
  <c r="AH102" i="12" s="1"/>
  <c r="AH103" i="12" s="1"/>
  <c r="AH104" i="12" s="1"/>
  <c r="AH105" i="12" s="1"/>
  <c r="AH106" i="12" s="1"/>
  <c r="AH107" i="12" s="1"/>
  <c r="AH108" i="12" s="1"/>
  <c r="AH109" i="12" s="1"/>
  <c r="AH110" i="12" s="1"/>
  <c r="AH111" i="12" s="1"/>
  <c r="AH112" i="12" s="1"/>
  <c r="AH113" i="12" s="1"/>
  <c r="AH114" i="12" s="1"/>
  <c r="AH115" i="12" s="1"/>
  <c r="AH116" i="12" s="1"/>
  <c r="AH117" i="12" s="1"/>
  <c r="AH118" i="12" s="1"/>
  <c r="U199" i="12"/>
  <c r="C119" i="12"/>
  <c r="S167" i="12"/>
  <c r="S168" i="12" s="1"/>
  <c r="S169" i="12" s="1"/>
  <c r="S170" i="12" s="1"/>
  <c r="S171" i="12" s="1"/>
  <c r="S172" i="12" s="1"/>
  <c r="S173" i="12" s="1"/>
  <c r="S174" i="12" s="1"/>
  <c r="S175" i="12" s="1"/>
  <c r="S176" i="12" s="1"/>
  <c r="S177" i="12" s="1"/>
  <c r="S178" i="12" s="1"/>
  <c r="S179" i="12" s="1"/>
  <c r="S180" i="12" s="1"/>
  <c r="S181" i="12" s="1"/>
  <c r="S182" i="12" s="1"/>
  <c r="S183" i="12" s="1"/>
  <c r="S184" i="12" s="1"/>
  <c r="S185" i="12" s="1"/>
  <c r="S186" i="12" s="1"/>
  <c r="S187" i="12" s="1"/>
  <c r="S188" i="12" s="1"/>
  <c r="S189" i="12" s="1"/>
  <c r="S190" i="12" s="1"/>
  <c r="S191" i="12" s="1"/>
  <c r="S192" i="12" s="1"/>
  <c r="S193" i="12" s="1"/>
  <c r="S194" i="12" s="1"/>
  <c r="S195" i="12" s="1"/>
  <c r="S196" i="12" s="1"/>
  <c r="S197" i="12" s="1"/>
  <c r="S198" i="12" s="1"/>
  <c r="X87" i="12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O87" i="12"/>
  <c r="O88" i="12" s="1"/>
  <c r="O89" i="12" s="1"/>
  <c r="O90" i="12" s="1"/>
  <c r="O91" i="12" s="1"/>
  <c r="O92" i="12" s="1"/>
  <c r="O93" i="12" s="1"/>
  <c r="O94" i="12" s="1"/>
  <c r="O95" i="12" s="1"/>
  <c r="O96" i="12" s="1"/>
  <c r="O97" i="12" s="1"/>
  <c r="O98" i="12" s="1"/>
  <c r="O99" i="12" s="1"/>
  <c r="O100" i="12" s="1"/>
  <c r="O101" i="12" s="1"/>
  <c r="O102" i="12" s="1"/>
  <c r="O103" i="12" s="1"/>
  <c r="O104" i="12" s="1"/>
  <c r="O105" i="12" s="1"/>
  <c r="O106" i="12" s="1"/>
  <c r="O107" i="12" s="1"/>
  <c r="O108" i="12" s="1"/>
  <c r="O109" i="12" s="1"/>
  <c r="O110" i="12" s="1"/>
  <c r="O111" i="12" s="1"/>
  <c r="O112" i="12" s="1"/>
  <c r="O113" i="12" s="1"/>
  <c r="O114" i="12" s="1"/>
  <c r="O115" i="12" s="1"/>
  <c r="O116" i="12" s="1"/>
  <c r="O117" i="12" s="1"/>
  <c r="O118" i="12" s="1"/>
  <c r="AA167" i="12"/>
  <c r="AA168" i="12" s="1"/>
  <c r="AA169" i="12" s="1"/>
  <c r="AA170" i="12" s="1"/>
  <c r="AA171" i="12" s="1"/>
  <c r="AA172" i="12" s="1"/>
  <c r="AA173" i="12" s="1"/>
  <c r="AA174" i="12" s="1"/>
  <c r="AA175" i="12" s="1"/>
  <c r="AA176" i="12" s="1"/>
  <c r="AA177" i="12" s="1"/>
  <c r="AA178" i="12" s="1"/>
  <c r="AA179" i="12" s="1"/>
  <c r="AA180" i="12" s="1"/>
  <c r="AA181" i="12" s="1"/>
  <c r="AA182" i="12" s="1"/>
  <c r="AA183" i="12" s="1"/>
  <c r="AA184" i="12" s="1"/>
  <c r="AA185" i="12" s="1"/>
  <c r="AA186" i="12" s="1"/>
  <c r="AA187" i="12" s="1"/>
  <c r="AA188" i="12" s="1"/>
  <c r="AA189" i="12" s="1"/>
  <c r="AA190" i="12" s="1"/>
  <c r="AA191" i="12" s="1"/>
  <c r="AA192" i="12" s="1"/>
  <c r="AA193" i="12" s="1"/>
  <c r="AA194" i="12" s="1"/>
  <c r="AA195" i="12" s="1"/>
  <c r="AA196" i="12" s="1"/>
  <c r="AA197" i="12" s="1"/>
  <c r="AA198" i="12" s="1"/>
  <c r="I127" i="12"/>
  <c r="I128" i="12" s="1"/>
  <c r="I129" i="12" s="1"/>
  <c r="I130" i="12" s="1"/>
  <c r="I131" i="12" s="1"/>
  <c r="I132" i="12" s="1"/>
  <c r="I133" i="12" s="1"/>
  <c r="I134" i="12" s="1"/>
  <c r="I135" i="12" s="1"/>
  <c r="I136" i="12" s="1"/>
  <c r="I137" i="12" s="1"/>
  <c r="I138" i="12" s="1"/>
  <c r="I139" i="12" s="1"/>
  <c r="I140" i="12" s="1"/>
  <c r="I141" i="12" s="1"/>
  <c r="I142" i="12" s="1"/>
  <c r="I143" i="12" s="1"/>
  <c r="I144" i="12" s="1"/>
  <c r="I145" i="12" s="1"/>
  <c r="I146" i="12" s="1"/>
  <c r="I147" i="12" s="1"/>
  <c r="I148" i="12" s="1"/>
  <c r="I149" i="12" s="1"/>
  <c r="I150" i="12" s="1"/>
  <c r="I151" i="12" s="1"/>
  <c r="I152" i="12" s="1"/>
  <c r="I153" i="12" s="1"/>
  <c r="I154" i="12" s="1"/>
  <c r="I155" i="12" s="1"/>
  <c r="I156" i="12" s="1"/>
  <c r="I157" i="12" s="1"/>
  <c r="I158" i="12" s="1"/>
  <c r="AE247" i="12"/>
  <c r="AE248" i="12" s="1"/>
  <c r="AE249" i="12" s="1"/>
  <c r="AE250" i="12" s="1"/>
  <c r="AE251" i="12" s="1"/>
  <c r="AE252" i="12" s="1"/>
  <c r="AE253" i="12" s="1"/>
  <c r="AE254" i="12" s="1"/>
  <c r="AE255" i="12" s="1"/>
  <c r="AE256" i="12" s="1"/>
  <c r="AE257" i="12" s="1"/>
  <c r="AE258" i="12" s="1"/>
  <c r="AE259" i="12" s="1"/>
  <c r="AE260" i="12" s="1"/>
  <c r="AE261" i="12" s="1"/>
  <c r="AE262" i="12" s="1"/>
  <c r="AE263" i="12" s="1"/>
  <c r="AE264" i="12" s="1"/>
  <c r="AE265" i="12" s="1"/>
  <c r="AE266" i="12" s="1"/>
  <c r="AE267" i="12" s="1"/>
  <c r="AE268" i="12" s="1"/>
  <c r="AE269" i="12" s="1"/>
  <c r="AE270" i="12" s="1"/>
  <c r="AE271" i="12" s="1"/>
  <c r="AE272" i="12" s="1"/>
  <c r="AE273" i="12" s="1"/>
  <c r="AE274" i="12" s="1"/>
  <c r="AE275" i="12" s="1"/>
  <c r="AE276" i="12" s="1"/>
  <c r="AE277" i="12" s="1"/>
  <c r="AE278" i="12" s="1"/>
  <c r="R167" i="12"/>
  <c r="R168" i="12" s="1"/>
  <c r="R169" i="12" s="1"/>
  <c r="R170" i="12" s="1"/>
  <c r="R171" i="12" s="1"/>
  <c r="R172" i="12" s="1"/>
  <c r="R173" i="12" s="1"/>
  <c r="R174" i="12" s="1"/>
  <c r="R175" i="12" s="1"/>
  <c r="R176" i="12" s="1"/>
  <c r="R177" i="12" s="1"/>
  <c r="R178" i="12" s="1"/>
  <c r="R179" i="12" s="1"/>
  <c r="R180" i="12" s="1"/>
  <c r="R181" i="12" s="1"/>
  <c r="R182" i="12" s="1"/>
  <c r="R183" i="12" s="1"/>
  <c r="R184" i="12" s="1"/>
  <c r="R185" i="12" s="1"/>
  <c r="R186" i="12" s="1"/>
  <c r="R187" i="12" s="1"/>
  <c r="R188" i="12" s="1"/>
  <c r="R189" i="12" s="1"/>
  <c r="R190" i="12" s="1"/>
  <c r="R191" i="12" s="1"/>
  <c r="R192" i="12" s="1"/>
  <c r="R193" i="12" s="1"/>
  <c r="R194" i="12" s="1"/>
  <c r="R195" i="12" s="1"/>
  <c r="R196" i="12" s="1"/>
  <c r="R197" i="12" s="1"/>
  <c r="R198" i="12" s="1"/>
  <c r="AH127" i="12"/>
  <c r="AH128" i="12" s="1"/>
  <c r="AH129" i="12" s="1"/>
  <c r="AH130" i="12" s="1"/>
  <c r="AH131" i="12" s="1"/>
  <c r="AH132" i="12" s="1"/>
  <c r="AH133" i="12" s="1"/>
  <c r="AH134" i="12" s="1"/>
  <c r="AH135" i="12" s="1"/>
  <c r="AH136" i="12" s="1"/>
  <c r="AH137" i="12" s="1"/>
  <c r="AH138" i="12" s="1"/>
  <c r="AH139" i="12" s="1"/>
  <c r="AH140" i="12" s="1"/>
  <c r="AH141" i="12" s="1"/>
  <c r="AH142" i="12" s="1"/>
  <c r="AH143" i="12" s="1"/>
  <c r="AH144" i="12" s="1"/>
  <c r="AH145" i="12" s="1"/>
  <c r="AH146" i="12" s="1"/>
  <c r="AH147" i="12" s="1"/>
  <c r="AH148" i="12" s="1"/>
  <c r="AH149" i="12" s="1"/>
  <c r="AH150" i="12" s="1"/>
  <c r="AH151" i="12" s="1"/>
  <c r="AH152" i="12" s="1"/>
  <c r="AH153" i="12" s="1"/>
  <c r="AH154" i="12" s="1"/>
  <c r="AH155" i="12" s="1"/>
  <c r="AH156" i="12" s="1"/>
  <c r="AH157" i="12" s="1"/>
  <c r="AH158" i="12" s="1"/>
  <c r="AD247" i="12"/>
  <c r="AD248" i="12" s="1"/>
  <c r="AD249" i="12" s="1"/>
  <c r="AD250" i="12" s="1"/>
  <c r="AD251" i="12" s="1"/>
  <c r="AD252" i="12" s="1"/>
  <c r="AD253" i="12" s="1"/>
  <c r="AD254" i="12" s="1"/>
  <c r="AD255" i="12" s="1"/>
  <c r="AD256" i="12" s="1"/>
  <c r="AD257" i="12" s="1"/>
  <c r="AD258" i="12" s="1"/>
  <c r="AD259" i="12" s="1"/>
  <c r="AD260" i="12" s="1"/>
  <c r="AD261" i="12" s="1"/>
  <c r="AD262" i="12" s="1"/>
  <c r="AD263" i="12" s="1"/>
  <c r="AD264" i="12" s="1"/>
  <c r="AD265" i="12" s="1"/>
  <c r="AD266" i="12" s="1"/>
  <c r="AD267" i="12" s="1"/>
  <c r="AD268" i="12" s="1"/>
  <c r="AD269" i="12" s="1"/>
  <c r="AD270" i="12" s="1"/>
  <c r="AD271" i="12" s="1"/>
  <c r="AD272" i="12" s="1"/>
  <c r="AD273" i="12" s="1"/>
  <c r="AD274" i="12" s="1"/>
  <c r="AD275" i="12" s="1"/>
  <c r="AD276" i="12" s="1"/>
  <c r="AD277" i="12" s="1"/>
  <c r="AD278" i="12" s="1"/>
  <c r="Z127" i="12"/>
  <c r="Z128" i="12" s="1"/>
  <c r="Z129" i="12" s="1"/>
  <c r="Z130" i="12" s="1"/>
  <c r="Z131" i="12" s="1"/>
  <c r="Z132" i="12" s="1"/>
  <c r="Z133" i="12" s="1"/>
  <c r="Z134" i="12" s="1"/>
  <c r="Z135" i="12" s="1"/>
  <c r="Z136" i="12" s="1"/>
  <c r="Z137" i="12" s="1"/>
  <c r="Z138" i="12" s="1"/>
  <c r="Z139" i="12" s="1"/>
  <c r="Z140" i="12" s="1"/>
  <c r="Z141" i="12" s="1"/>
  <c r="Z142" i="12" s="1"/>
  <c r="Z143" i="12" s="1"/>
  <c r="Z144" i="12" s="1"/>
  <c r="Z145" i="12" s="1"/>
  <c r="Z146" i="12" s="1"/>
  <c r="Z147" i="12" s="1"/>
  <c r="Z148" i="12" s="1"/>
  <c r="Z149" i="12" s="1"/>
  <c r="Z150" i="12" s="1"/>
  <c r="Z151" i="12" s="1"/>
  <c r="Z152" i="12" s="1"/>
  <c r="Z153" i="12" s="1"/>
  <c r="Z154" i="12" s="1"/>
  <c r="Z155" i="12" s="1"/>
  <c r="Z156" i="12" s="1"/>
  <c r="Z157" i="12" s="1"/>
  <c r="Z158" i="12" s="1"/>
  <c r="I207" i="12"/>
  <c r="I208" i="12" s="1"/>
  <c r="I209" i="12" s="1"/>
  <c r="I210" i="12" s="1"/>
  <c r="I211" i="12" s="1"/>
  <c r="I212" i="12" s="1"/>
  <c r="I213" i="12" s="1"/>
  <c r="I214" i="12" s="1"/>
  <c r="I215" i="12" s="1"/>
  <c r="I216" i="12" s="1"/>
  <c r="I217" i="12" s="1"/>
  <c r="I218" i="12" s="1"/>
  <c r="I219" i="12" s="1"/>
  <c r="I220" i="12" s="1"/>
  <c r="I221" i="12" s="1"/>
  <c r="I222" i="12" s="1"/>
  <c r="I223" i="12" s="1"/>
  <c r="I224" i="12" s="1"/>
  <c r="I225" i="12" s="1"/>
  <c r="I226" i="12" s="1"/>
  <c r="I227" i="12" s="1"/>
  <c r="I228" i="12" s="1"/>
  <c r="I229" i="12" s="1"/>
  <c r="I230" i="12" s="1"/>
  <c r="I231" i="12" s="1"/>
  <c r="I232" i="12" s="1"/>
  <c r="I233" i="12" s="1"/>
  <c r="I234" i="12" s="1"/>
  <c r="I235" i="12" s="1"/>
  <c r="I236" i="12" s="1"/>
  <c r="I237" i="12" s="1"/>
  <c r="I238" i="12" s="1"/>
  <c r="AB207" i="12"/>
  <c r="AB208" i="12" s="1"/>
  <c r="AB209" i="12" s="1"/>
  <c r="AB210" i="12" s="1"/>
  <c r="AB211" i="12" s="1"/>
  <c r="AB212" i="12" s="1"/>
  <c r="AB213" i="12" s="1"/>
  <c r="AB214" i="12" s="1"/>
  <c r="AB215" i="12" s="1"/>
  <c r="AB216" i="12" s="1"/>
  <c r="AB217" i="12" s="1"/>
  <c r="AB218" i="12" s="1"/>
  <c r="AB219" i="12" s="1"/>
  <c r="AB220" i="12" s="1"/>
  <c r="AB221" i="12" s="1"/>
  <c r="AB222" i="12" s="1"/>
  <c r="AB223" i="12" s="1"/>
  <c r="AB224" i="12" s="1"/>
  <c r="AB225" i="12" s="1"/>
  <c r="AB226" i="12" s="1"/>
  <c r="AB227" i="12" s="1"/>
  <c r="AB228" i="12" s="1"/>
  <c r="AB229" i="12" s="1"/>
  <c r="AB230" i="12" s="1"/>
  <c r="AB231" i="12" s="1"/>
  <c r="AB232" i="12" s="1"/>
  <c r="AB233" i="12" s="1"/>
  <c r="AB234" i="12" s="1"/>
  <c r="AB235" i="12" s="1"/>
  <c r="AB236" i="12" s="1"/>
  <c r="AB237" i="12" s="1"/>
  <c r="AB238" i="12" s="1"/>
  <c r="AF247" i="12"/>
  <c r="AF248" i="12" s="1"/>
  <c r="AF249" i="12" s="1"/>
  <c r="AF250" i="12" s="1"/>
  <c r="AF251" i="12" s="1"/>
  <c r="AF252" i="12" s="1"/>
  <c r="AF253" i="12" s="1"/>
  <c r="AF254" i="12" s="1"/>
  <c r="AF255" i="12" s="1"/>
  <c r="AF256" i="12" s="1"/>
  <c r="AF257" i="12" s="1"/>
  <c r="AF258" i="12" s="1"/>
  <c r="AF259" i="12" s="1"/>
  <c r="AF260" i="12" s="1"/>
  <c r="AF261" i="12" s="1"/>
  <c r="AF262" i="12" s="1"/>
  <c r="AF263" i="12" s="1"/>
  <c r="AF264" i="12" s="1"/>
  <c r="AF265" i="12" s="1"/>
  <c r="AF266" i="12" s="1"/>
  <c r="AF267" i="12" s="1"/>
  <c r="AF268" i="12" s="1"/>
  <c r="AF269" i="12" s="1"/>
  <c r="AF270" i="12" s="1"/>
  <c r="AF271" i="12" s="1"/>
  <c r="AF272" i="12" s="1"/>
  <c r="AF273" i="12" s="1"/>
  <c r="AF274" i="12" s="1"/>
  <c r="AF275" i="12" s="1"/>
  <c r="AF276" i="12" s="1"/>
  <c r="AF277" i="12" s="1"/>
  <c r="AF278" i="12" s="1"/>
  <c r="P279" i="12"/>
  <c r="Z207" i="12"/>
  <c r="Z208" i="12" s="1"/>
  <c r="Z209" i="12" s="1"/>
  <c r="Z210" i="12" s="1"/>
  <c r="Z211" i="12" s="1"/>
  <c r="Z212" i="12" s="1"/>
  <c r="Z213" i="12" s="1"/>
  <c r="Z214" i="12" s="1"/>
  <c r="Z215" i="12" s="1"/>
  <c r="Z216" i="12" s="1"/>
  <c r="Z217" i="12" s="1"/>
  <c r="Z218" i="12" s="1"/>
  <c r="Z219" i="12" s="1"/>
  <c r="Z220" i="12" s="1"/>
  <c r="Z221" i="12" s="1"/>
  <c r="Z222" i="12" s="1"/>
  <c r="Z223" i="12" s="1"/>
  <c r="Z224" i="12" s="1"/>
  <c r="Z225" i="12" s="1"/>
  <c r="Z226" i="12" s="1"/>
  <c r="Z227" i="12" s="1"/>
  <c r="Z228" i="12" s="1"/>
  <c r="Z229" i="12" s="1"/>
  <c r="Z230" i="12" s="1"/>
  <c r="Z231" i="12" s="1"/>
  <c r="Z232" i="12" s="1"/>
  <c r="Z233" i="12" s="1"/>
  <c r="Z234" i="12" s="1"/>
  <c r="Z235" i="12" s="1"/>
  <c r="Z236" i="12" s="1"/>
  <c r="Z237" i="12" s="1"/>
  <c r="Z238" i="12" s="1"/>
  <c r="I87" i="12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AB247" i="12"/>
  <c r="AB248" i="12" s="1"/>
  <c r="AB249" i="12" s="1"/>
  <c r="AB250" i="12" s="1"/>
  <c r="AB251" i="12" s="1"/>
  <c r="AB252" i="12" s="1"/>
  <c r="AB253" i="12" s="1"/>
  <c r="AB254" i="12" s="1"/>
  <c r="AB255" i="12" s="1"/>
  <c r="AB256" i="12" s="1"/>
  <c r="AB257" i="12" s="1"/>
  <c r="AB258" i="12" s="1"/>
  <c r="AB259" i="12" s="1"/>
  <c r="AB260" i="12" s="1"/>
  <c r="AB261" i="12" s="1"/>
  <c r="AB262" i="12" s="1"/>
  <c r="AB263" i="12" s="1"/>
  <c r="AB264" i="12" s="1"/>
  <c r="AB265" i="12" s="1"/>
  <c r="AB266" i="12" s="1"/>
  <c r="AB267" i="12" s="1"/>
  <c r="AB268" i="12" s="1"/>
  <c r="AB269" i="12" s="1"/>
  <c r="AB270" i="12" s="1"/>
  <c r="AB271" i="12" s="1"/>
  <c r="AB272" i="12" s="1"/>
  <c r="AB273" i="12" s="1"/>
  <c r="AB274" i="12" s="1"/>
  <c r="AB275" i="12" s="1"/>
  <c r="AB276" i="12" s="1"/>
  <c r="AB277" i="12" s="1"/>
  <c r="AB278" i="12" s="1"/>
  <c r="AJ207" i="12"/>
  <c r="AJ208" i="12" s="1"/>
  <c r="AJ209" i="12" s="1"/>
  <c r="AJ210" i="12" s="1"/>
  <c r="AJ211" i="12" s="1"/>
  <c r="AJ212" i="12" s="1"/>
  <c r="AJ213" i="12" s="1"/>
  <c r="AJ214" i="12" s="1"/>
  <c r="AJ215" i="12" s="1"/>
  <c r="AJ216" i="12" s="1"/>
  <c r="AJ217" i="12" s="1"/>
  <c r="AJ218" i="12" s="1"/>
  <c r="AJ219" i="12" s="1"/>
  <c r="AJ220" i="12" s="1"/>
  <c r="AJ221" i="12" s="1"/>
  <c r="AJ222" i="12" s="1"/>
  <c r="AJ223" i="12" s="1"/>
  <c r="AJ224" i="12" s="1"/>
  <c r="AJ225" i="12" s="1"/>
  <c r="AJ226" i="12" s="1"/>
  <c r="AJ227" i="12" s="1"/>
  <c r="AJ228" i="12" s="1"/>
  <c r="AJ229" i="12" s="1"/>
  <c r="AJ230" i="12" s="1"/>
  <c r="AJ231" i="12" s="1"/>
  <c r="AJ232" i="12" s="1"/>
  <c r="AJ233" i="12" s="1"/>
  <c r="AJ234" i="12" s="1"/>
  <c r="AJ235" i="12" s="1"/>
  <c r="AJ236" i="12" s="1"/>
  <c r="AJ237" i="12" s="1"/>
  <c r="AJ238" i="12" s="1"/>
  <c r="N239" i="12"/>
  <c r="S87" i="12"/>
  <c r="S88" i="12" s="1"/>
  <c r="S89" i="12" s="1"/>
  <c r="S90" i="12" s="1"/>
  <c r="S91" i="12" s="1"/>
  <c r="S92" i="12" s="1"/>
  <c r="S93" i="12" s="1"/>
  <c r="S94" i="12" s="1"/>
  <c r="S95" i="12" s="1"/>
  <c r="S96" i="12" s="1"/>
  <c r="S97" i="12" s="1"/>
  <c r="S98" i="12" s="1"/>
  <c r="S99" i="12" s="1"/>
  <c r="S100" i="12" s="1"/>
  <c r="S101" i="12" s="1"/>
  <c r="S102" i="12" s="1"/>
  <c r="S103" i="12" s="1"/>
  <c r="S104" i="12" s="1"/>
  <c r="S105" i="12" s="1"/>
  <c r="S106" i="12" s="1"/>
  <c r="S107" i="12" s="1"/>
  <c r="S108" i="12" s="1"/>
  <c r="S109" i="12" s="1"/>
  <c r="S110" i="12" s="1"/>
  <c r="S111" i="12" s="1"/>
  <c r="S112" i="12" s="1"/>
  <c r="S113" i="12" s="1"/>
  <c r="S114" i="12" s="1"/>
  <c r="S115" i="12" s="1"/>
  <c r="S116" i="12" s="1"/>
  <c r="S117" i="12" s="1"/>
  <c r="S118" i="12" s="1"/>
  <c r="X127" i="12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P159" i="12"/>
  <c r="O167" i="12"/>
  <c r="O168" i="12" s="1"/>
  <c r="O169" i="12" s="1"/>
  <c r="O170" i="12" s="1"/>
  <c r="O171" i="12" s="1"/>
  <c r="O172" i="12" s="1"/>
  <c r="O173" i="12" s="1"/>
  <c r="O174" i="12" s="1"/>
  <c r="O175" i="12" s="1"/>
  <c r="O176" i="12" s="1"/>
  <c r="O177" i="12" s="1"/>
  <c r="O178" i="12" s="1"/>
  <c r="O179" i="12" s="1"/>
  <c r="O180" i="12" s="1"/>
  <c r="O181" i="12" s="1"/>
  <c r="O182" i="12" s="1"/>
  <c r="O183" i="12" s="1"/>
  <c r="O184" i="12" s="1"/>
  <c r="O185" i="12" s="1"/>
  <c r="O186" i="12" s="1"/>
  <c r="O187" i="12" s="1"/>
  <c r="O188" i="12" s="1"/>
  <c r="O189" i="12" s="1"/>
  <c r="O190" i="12" s="1"/>
  <c r="O191" i="12" s="1"/>
  <c r="O192" i="12" s="1"/>
  <c r="O193" i="12" s="1"/>
  <c r="O194" i="12" s="1"/>
  <c r="O195" i="12" s="1"/>
  <c r="O196" i="12" s="1"/>
  <c r="O197" i="12" s="1"/>
  <c r="O198" i="12" s="1"/>
  <c r="AA87" i="12"/>
  <c r="AA88" i="12" s="1"/>
  <c r="AA89" i="12" s="1"/>
  <c r="AA90" i="12" s="1"/>
  <c r="AA91" i="12" s="1"/>
  <c r="AA92" i="12" s="1"/>
  <c r="AA93" i="12" s="1"/>
  <c r="AA94" i="12" s="1"/>
  <c r="AA95" i="12" s="1"/>
  <c r="AA96" i="12" s="1"/>
  <c r="AA97" i="12" s="1"/>
  <c r="AA98" i="12" s="1"/>
  <c r="AA99" i="12" s="1"/>
  <c r="AA100" i="12" s="1"/>
  <c r="AA101" i="12" s="1"/>
  <c r="AA102" i="12" s="1"/>
  <c r="AA103" i="12" s="1"/>
  <c r="AA104" i="12" s="1"/>
  <c r="AA105" i="12" s="1"/>
  <c r="AA106" i="12" s="1"/>
  <c r="AA107" i="12" s="1"/>
  <c r="AA108" i="12" s="1"/>
  <c r="AA109" i="12" s="1"/>
  <c r="AA110" i="12" s="1"/>
  <c r="AA111" i="12" s="1"/>
  <c r="AA112" i="12" s="1"/>
  <c r="AA113" i="12" s="1"/>
  <c r="AA114" i="12" s="1"/>
  <c r="AA115" i="12" s="1"/>
  <c r="AA116" i="12" s="1"/>
  <c r="AA117" i="12" s="1"/>
  <c r="AA118" i="12" s="1"/>
  <c r="AG199" i="12"/>
  <c r="U207" i="12"/>
  <c r="U208" i="12" s="1"/>
  <c r="U209" i="12" s="1"/>
  <c r="U210" i="12" s="1"/>
  <c r="U211" i="12" s="1"/>
  <c r="U212" i="12" s="1"/>
  <c r="U213" i="12" s="1"/>
  <c r="U214" i="12" s="1"/>
  <c r="U215" i="12" s="1"/>
  <c r="U216" i="12" s="1"/>
  <c r="U217" i="12" s="1"/>
  <c r="U218" i="12" s="1"/>
  <c r="U219" i="12" s="1"/>
  <c r="U220" i="12" s="1"/>
  <c r="U221" i="12" s="1"/>
  <c r="U222" i="12" s="1"/>
  <c r="U223" i="12" s="1"/>
  <c r="U224" i="12" s="1"/>
  <c r="U225" i="12" s="1"/>
  <c r="U226" i="12" s="1"/>
  <c r="U227" i="12" s="1"/>
  <c r="U228" i="12" s="1"/>
  <c r="U229" i="12" s="1"/>
  <c r="U230" i="12" s="1"/>
  <c r="U231" i="12" s="1"/>
  <c r="U232" i="12" s="1"/>
  <c r="U233" i="12" s="1"/>
  <c r="U234" i="12" s="1"/>
  <c r="U235" i="12" s="1"/>
  <c r="U236" i="12" s="1"/>
  <c r="U237" i="12" s="1"/>
  <c r="U238" i="12" s="1"/>
  <c r="R207" i="12"/>
  <c r="R208" i="12" s="1"/>
  <c r="R209" i="12" s="1"/>
  <c r="R210" i="12" s="1"/>
  <c r="R211" i="12" s="1"/>
  <c r="R212" i="12" s="1"/>
  <c r="R213" i="12" s="1"/>
  <c r="R214" i="12" s="1"/>
  <c r="R215" i="12" s="1"/>
  <c r="R216" i="12" s="1"/>
  <c r="R217" i="12" s="1"/>
  <c r="R218" i="12" s="1"/>
  <c r="R219" i="12" s="1"/>
  <c r="R220" i="12" s="1"/>
  <c r="R221" i="12" s="1"/>
  <c r="R222" i="12" s="1"/>
  <c r="R223" i="12" s="1"/>
  <c r="R224" i="12" s="1"/>
  <c r="R225" i="12" s="1"/>
  <c r="R226" i="12" s="1"/>
  <c r="R227" i="12" s="1"/>
  <c r="R228" i="12" s="1"/>
  <c r="R229" i="12" s="1"/>
  <c r="R230" i="12" s="1"/>
  <c r="R231" i="12" s="1"/>
  <c r="R232" i="12" s="1"/>
  <c r="R233" i="12" s="1"/>
  <c r="R234" i="12" s="1"/>
  <c r="R235" i="12" s="1"/>
  <c r="R236" i="12" s="1"/>
  <c r="R237" i="12" s="1"/>
  <c r="R238" i="12" s="1"/>
  <c r="AH207" i="12"/>
  <c r="AH208" i="12" s="1"/>
  <c r="AH209" i="12" s="1"/>
  <c r="AH210" i="12" s="1"/>
  <c r="AH211" i="12" s="1"/>
  <c r="AH212" i="12" s="1"/>
  <c r="AH213" i="12" s="1"/>
  <c r="AH214" i="12" s="1"/>
  <c r="AH215" i="12" s="1"/>
  <c r="AH216" i="12" s="1"/>
  <c r="AH217" i="12" s="1"/>
  <c r="AH218" i="12" s="1"/>
  <c r="AH219" i="12" s="1"/>
  <c r="AH220" i="12" s="1"/>
  <c r="AH221" i="12" s="1"/>
  <c r="AH222" i="12" s="1"/>
  <c r="AH223" i="12" s="1"/>
  <c r="AH224" i="12" s="1"/>
  <c r="AH225" i="12" s="1"/>
  <c r="AH226" i="12" s="1"/>
  <c r="AH227" i="12" s="1"/>
  <c r="AH228" i="12" s="1"/>
  <c r="AH229" i="12" s="1"/>
  <c r="AH230" i="12" s="1"/>
  <c r="AH231" i="12" s="1"/>
  <c r="AH232" i="12" s="1"/>
  <c r="AH233" i="12" s="1"/>
  <c r="AH234" i="12" s="1"/>
  <c r="AH235" i="12" s="1"/>
  <c r="AH236" i="12" s="1"/>
  <c r="AH237" i="12" s="1"/>
  <c r="AH238" i="12" s="1"/>
  <c r="W119" i="12"/>
  <c r="U119" i="12"/>
  <c r="AJ247" i="12"/>
  <c r="AJ248" i="12" s="1"/>
  <c r="AJ249" i="12" s="1"/>
  <c r="AJ250" i="12" s="1"/>
  <c r="AJ251" i="12" s="1"/>
  <c r="AJ252" i="12" s="1"/>
  <c r="AJ253" i="12" s="1"/>
  <c r="AJ254" i="12" s="1"/>
  <c r="AJ255" i="12" s="1"/>
  <c r="AJ256" i="12" s="1"/>
  <c r="AJ257" i="12" s="1"/>
  <c r="AJ258" i="12" s="1"/>
  <c r="AJ259" i="12" s="1"/>
  <c r="AJ260" i="12" s="1"/>
  <c r="AJ261" i="12" s="1"/>
  <c r="AJ262" i="12" s="1"/>
  <c r="AJ263" i="12" s="1"/>
  <c r="AJ264" i="12" s="1"/>
  <c r="AJ265" i="12" s="1"/>
  <c r="AJ266" i="12" s="1"/>
  <c r="AJ267" i="12" s="1"/>
  <c r="AJ268" i="12" s="1"/>
  <c r="AJ269" i="12" s="1"/>
  <c r="AJ270" i="12" s="1"/>
  <c r="AJ271" i="12" s="1"/>
  <c r="AJ272" i="12" s="1"/>
  <c r="AJ273" i="12" s="1"/>
  <c r="AJ274" i="12" s="1"/>
  <c r="AJ275" i="12" s="1"/>
  <c r="AJ276" i="12" s="1"/>
  <c r="AJ277" i="12" s="1"/>
  <c r="AJ278" i="12" s="1"/>
  <c r="S207" i="12"/>
  <c r="S208" i="12" s="1"/>
  <c r="S209" i="12" s="1"/>
  <c r="S210" i="12" s="1"/>
  <c r="S211" i="12" s="1"/>
  <c r="S212" i="12" s="1"/>
  <c r="S213" i="12" s="1"/>
  <c r="S214" i="12" s="1"/>
  <c r="S215" i="12" s="1"/>
  <c r="S216" i="12" s="1"/>
  <c r="S217" i="12" s="1"/>
  <c r="S218" i="12" s="1"/>
  <c r="S219" i="12" s="1"/>
  <c r="S220" i="12" s="1"/>
  <c r="S221" i="12" s="1"/>
  <c r="S222" i="12" s="1"/>
  <c r="S223" i="12" s="1"/>
  <c r="S224" i="12" s="1"/>
  <c r="S225" i="12" s="1"/>
  <c r="S226" i="12" s="1"/>
  <c r="S227" i="12" s="1"/>
  <c r="S228" i="12" s="1"/>
  <c r="S229" i="12" s="1"/>
  <c r="S230" i="12" s="1"/>
  <c r="S231" i="12" s="1"/>
  <c r="S232" i="12" s="1"/>
  <c r="S233" i="12" s="1"/>
  <c r="S234" i="12" s="1"/>
  <c r="S235" i="12" s="1"/>
  <c r="S236" i="12" s="1"/>
  <c r="S237" i="12" s="1"/>
  <c r="S238" i="12" s="1"/>
  <c r="X167" i="12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O207" i="12"/>
  <c r="O208" i="12" s="1"/>
  <c r="O209" i="12" s="1"/>
  <c r="O210" i="12" s="1"/>
  <c r="O211" i="12" s="1"/>
  <c r="O212" i="12" s="1"/>
  <c r="O213" i="12" s="1"/>
  <c r="O214" i="12" s="1"/>
  <c r="O215" i="12" s="1"/>
  <c r="O216" i="12" s="1"/>
  <c r="O217" i="12" s="1"/>
  <c r="O218" i="12" s="1"/>
  <c r="O219" i="12" s="1"/>
  <c r="O220" i="12" s="1"/>
  <c r="O221" i="12" s="1"/>
  <c r="O222" i="12" s="1"/>
  <c r="O223" i="12" s="1"/>
  <c r="O224" i="12" s="1"/>
  <c r="O225" i="12" s="1"/>
  <c r="O226" i="12" s="1"/>
  <c r="O227" i="12" s="1"/>
  <c r="O228" i="12" s="1"/>
  <c r="O229" i="12" s="1"/>
  <c r="O230" i="12" s="1"/>
  <c r="O231" i="12" s="1"/>
  <c r="O232" i="12" s="1"/>
  <c r="O233" i="12" s="1"/>
  <c r="O234" i="12" s="1"/>
  <c r="O235" i="12" s="1"/>
  <c r="O236" i="12" s="1"/>
  <c r="O237" i="12" s="1"/>
  <c r="O238" i="12" s="1"/>
  <c r="V199" i="12"/>
  <c r="Y87" i="12"/>
  <c r="Y88" i="12" s="1"/>
  <c r="Y89" i="12" s="1"/>
  <c r="Y90" i="12" s="1"/>
  <c r="Y91" i="12" s="1"/>
  <c r="Y92" i="12" s="1"/>
  <c r="Y93" i="12" s="1"/>
  <c r="Y94" i="12" s="1"/>
  <c r="Y95" i="12" s="1"/>
  <c r="Y96" i="12" s="1"/>
  <c r="Y97" i="12" s="1"/>
  <c r="Y98" i="12" s="1"/>
  <c r="Y99" i="12" s="1"/>
  <c r="Y100" i="12" s="1"/>
  <c r="Y101" i="12" s="1"/>
  <c r="Y102" i="12" s="1"/>
  <c r="Y103" i="12" s="1"/>
  <c r="Y104" i="12" s="1"/>
  <c r="Y105" i="12" s="1"/>
  <c r="Y106" i="12" s="1"/>
  <c r="Y107" i="12" s="1"/>
  <c r="Y108" i="12" s="1"/>
  <c r="Y109" i="12" s="1"/>
  <c r="Y110" i="12" s="1"/>
  <c r="Y111" i="12" s="1"/>
  <c r="Y112" i="12" s="1"/>
  <c r="Y113" i="12" s="1"/>
  <c r="Y114" i="12" s="1"/>
  <c r="Y115" i="12" s="1"/>
  <c r="Y116" i="12" s="1"/>
  <c r="Y117" i="12" s="1"/>
  <c r="Y118" i="12" s="1"/>
  <c r="AE167" i="12"/>
  <c r="AE168" i="12" s="1"/>
  <c r="AE169" i="12" s="1"/>
  <c r="AE170" i="12" s="1"/>
  <c r="AE171" i="12" s="1"/>
  <c r="AE172" i="12" s="1"/>
  <c r="AE173" i="12" s="1"/>
  <c r="AE174" i="12" s="1"/>
  <c r="AE175" i="12" s="1"/>
  <c r="AE176" i="12" s="1"/>
  <c r="AE177" i="12" s="1"/>
  <c r="AE178" i="12" s="1"/>
  <c r="AE179" i="12" s="1"/>
  <c r="AE180" i="12" s="1"/>
  <c r="AE181" i="12" s="1"/>
  <c r="AE182" i="12" s="1"/>
  <c r="AE183" i="12" s="1"/>
  <c r="AE184" i="12" s="1"/>
  <c r="AE185" i="12" s="1"/>
  <c r="AE186" i="12" s="1"/>
  <c r="AE187" i="12" s="1"/>
  <c r="AE188" i="12" s="1"/>
  <c r="AE189" i="12" s="1"/>
  <c r="AE190" i="12" s="1"/>
  <c r="AE191" i="12" s="1"/>
  <c r="AE192" i="12" s="1"/>
  <c r="AE193" i="12" s="1"/>
  <c r="AE194" i="12" s="1"/>
  <c r="AE195" i="12" s="1"/>
  <c r="AE196" i="12" s="1"/>
  <c r="AE197" i="12" s="1"/>
  <c r="AE198" i="12" s="1"/>
  <c r="D279" i="12"/>
  <c r="Y127" i="12"/>
  <c r="Y128" i="12" s="1"/>
  <c r="Y129" i="12" s="1"/>
  <c r="Y130" i="12" s="1"/>
  <c r="Y131" i="12" s="1"/>
  <c r="Y132" i="12" s="1"/>
  <c r="Y133" i="12" s="1"/>
  <c r="Y134" i="12" s="1"/>
  <c r="Y135" i="12" s="1"/>
  <c r="Y136" i="12" s="1"/>
  <c r="Y137" i="12" s="1"/>
  <c r="Y138" i="12" s="1"/>
  <c r="Y139" i="12" s="1"/>
  <c r="Y140" i="12" s="1"/>
  <c r="Y141" i="12" s="1"/>
  <c r="Y142" i="12" s="1"/>
  <c r="Y143" i="12" s="1"/>
  <c r="Y144" i="12" s="1"/>
  <c r="Y145" i="12" s="1"/>
  <c r="Y146" i="12" s="1"/>
  <c r="Y147" i="12" s="1"/>
  <c r="Y148" i="12" s="1"/>
  <c r="Y149" i="12" s="1"/>
  <c r="Y150" i="12" s="1"/>
  <c r="Y151" i="12" s="1"/>
  <c r="Y152" i="12" s="1"/>
  <c r="Y153" i="12" s="1"/>
  <c r="Y154" i="12" s="1"/>
  <c r="Y155" i="12" s="1"/>
  <c r="Y156" i="12" s="1"/>
  <c r="Y157" i="12" s="1"/>
  <c r="Y158" i="12" s="1"/>
  <c r="AH247" i="12"/>
  <c r="AH248" i="12" s="1"/>
  <c r="AH249" i="12" s="1"/>
  <c r="AH250" i="12" s="1"/>
  <c r="AH251" i="12" s="1"/>
  <c r="AH252" i="12" s="1"/>
  <c r="AH253" i="12" s="1"/>
  <c r="AH254" i="12" s="1"/>
  <c r="AH255" i="12" s="1"/>
  <c r="AH256" i="12" s="1"/>
  <c r="AH257" i="12" s="1"/>
  <c r="AH258" i="12" s="1"/>
  <c r="AH259" i="12" s="1"/>
  <c r="AH260" i="12" s="1"/>
  <c r="AH261" i="12" s="1"/>
  <c r="AH262" i="12" s="1"/>
  <c r="AH263" i="12" s="1"/>
  <c r="AH264" i="12" s="1"/>
  <c r="AH265" i="12" s="1"/>
  <c r="AH266" i="12" s="1"/>
  <c r="AH267" i="12" s="1"/>
  <c r="AH268" i="12" s="1"/>
  <c r="AH269" i="12" s="1"/>
  <c r="AH270" i="12" s="1"/>
  <c r="AH271" i="12" s="1"/>
  <c r="AH272" i="12" s="1"/>
  <c r="AH273" i="12" s="1"/>
  <c r="AH274" i="12" s="1"/>
  <c r="AH275" i="12" s="1"/>
  <c r="AH276" i="12" s="1"/>
  <c r="AH277" i="12" s="1"/>
  <c r="AH278" i="12" s="1"/>
  <c r="I39" i="14" l="1"/>
  <c r="H40" i="14"/>
  <c r="H41" i="14"/>
  <c r="H42" i="14" s="1"/>
  <c r="I9" i="16"/>
  <c r="H49" i="16"/>
  <c r="I11" i="16"/>
  <c r="H51" i="16"/>
  <c r="G53" i="16"/>
  <c r="H13" i="16"/>
  <c r="G54" i="16"/>
  <c r="H14" i="16"/>
  <c r="I12" i="16"/>
  <c r="H52" i="16"/>
  <c r="I8" i="16"/>
  <c r="H48" i="16"/>
  <c r="I6" i="16"/>
  <c r="H46" i="16"/>
  <c r="H44" i="16"/>
  <c r="I4" i="16"/>
  <c r="H3" i="16"/>
  <c r="I3" i="16" s="1"/>
  <c r="G42" i="16"/>
  <c r="H2" i="16"/>
  <c r="R55" i="16"/>
  <c r="S15" i="16"/>
  <c r="I10" i="16"/>
  <c r="H50" i="16"/>
  <c r="I7" i="16"/>
  <c r="H47" i="16"/>
  <c r="AI443" i="12"/>
  <c r="AI444" i="12" s="1"/>
  <c r="AI445" i="12" s="1"/>
  <c r="AI446" i="12" s="1"/>
  <c r="AI447" i="12" s="1"/>
  <c r="AI448" i="12" s="1"/>
  <c r="AI449" i="12" s="1"/>
  <c r="AI450" i="12" s="1"/>
  <c r="AI451" i="12" s="1"/>
  <c r="AI452" i="12" s="1"/>
  <c r="AI453" i="12" s="1"/>
  <c r="AI454" i="12" s="1"/>
  <c r="AI455" i="12" s="1"/>
  <c r="AI456" i="12" s="1"/>
  <c r="AI457" i="12" s="1"/>
  <c r="AI458" i="12" s="1"/>
  <c r="AI459" i="12" s="1"/>
  <c r="AI460" i="12" s="1"/>
  <c r="AI461" i="12" s="1"/>
  <c r="AI462" i="12" s="1"/>
  <c r="AI463" i="12" s="1"/>
  <c r="AI464" i="12" s="1"/>
  <c r="AI465" i="12" s="1"/>
  <c r="AI466" i="12" s="1"/>
  <c r="AI467" i="12" s="1"/>
  <c r="AI468" i="12" s="1"/>
  <c r="AI469" i="12" s="1"/>
  <c r="AI470" i="12" s="1"/>
  <c r="AI471" i="12" s="1"/>
  <c r="AI472" i="12" s="1"/>
  <c r="AI473" i="12" s="1"/>
  <c r="AI474" i="12" s="1"/>
  <c r="AI475" i="12" s="1"/>
  <c r="AI476" i="12" s="1"/>
  <c r="AI477" i="12" s="1"/>
  <c r="AI478" i="12" s="1"/>
  <c r="T443" i="12"/>
  <c r="T444" i="12" s="1"/>
  <c r="T445" i="12" s="1"/>
  <c r="T446" i="12" s="1"/>
  <c r="T447" i="12" s="1"/>
  <c r="T448" i="12" s="1"/>
  <c r="T449" i="12" s="1"/>
  <c r="T450" i="12" s="1"/>
  <c r="T451" i="12" s="1"/>
  <c r="T452" i="12" s="1"/>
  <c r="T453" i="12" s="1"/>
  <c r="T454" i="12" s="1"/>
  <c r="T455" i="12" s="1"/>
  <c r="T456" i="12" s="1"/>
  <c r="T457" i="12" s="1"/>
  <c r="T458" i="12" s="1"/>
  <c r="T459" i="12" s="1"/>
  <c r="T460" i="12" s="1"/>
  <c r="T461" i="12" s="1"/>
  <c r="T462" i="12" s="1"/>
  <c r="T463" i="12" s="1"/>
  <c r="T464" i="12" s="1"/>
  <c r="T465" i="12" s="1"/>
  <c r="T466" i="12" s="1"/>
  <c r="T467" i="12" s="1"/>
  <c r="T468" i="12" s="1"/>
  <c r="T469" i="12" s="1"/>
  <c r="T470" i="12" s="1"/>
  <c r="T471" i="12" s="1"/>
  <c r="T472" i="12" s="1"/>
  <c r="T473" i="12" s="1"/>
  <c r="T474" i="12" s="1"/>
  <c r="T475" i="12" s="1"/>
  <c r="T476" i="12" s="1"/>
  <c r="T477" i="12" s="1"/>
  <c r="T478" i="12" s="1"/>
  <c r="AF443" i="12"/>
  <c r="AF444" i="12" s="1"/>
  <c r="AF445" i="12" s="1"/>
  <c r="AF446" i="12" s="1"/>
  <c r="AF447" i="12" s="1"/>
  <c r="AF448" i="12" s="1"/>
  <c r="AF449" i="12" s="1"/>
  <c r="AF450" i="12" s="1"/>
  <c r="AF451" i="12" s="1"/>
  <c r="AF452" i="12" s="1"/>
  <c r="AF453" i="12" s="1"/>
  <c r="AF454" i="12" s="1"/>
  <c r="AF455" i="12" s="1"/>
  <c r="AF456" i="12" s="1"/>
  <c r="AF457" i="12" s="1"/>
  <c r="AF458" i="12" s="1"/>
  <c r="AF459" i="12" s="1"/>
  <c r="AF460" i="12" s="1"/>
  <c r="AF461" i="12" s="1"/>
  <c r="AF462" i="12" s="1"/>
  <c r="AF463" i="12" s="1"/>
  <c r="AF464" i="12" s="1"/>
  <c r="AF465" i="12" s="1"/>
  <c r="AF466" i="12" s="1"/>
  <c r="AF467" i="12" s="1"/>
  <c r="AF468" i="12" s="1"/>
  <c r="AF469" i="12" s="1"/>
  <c r="AF470" i="12" s="1"/>
  <c r="AF471" i="12" s="1"/>
  <c r="AF472" i="12" s="1"/>
  <c r="AF473" i="12" s="1"/>
  <c r="AF474" i="12" s="1"/>
  <c r="AF475" i="12" s="1"/>
  <c r="AF476" i="12" s="1"/>
  <c r="AF477" i="12" s="1"/>
  <c r="AF478" i="12" s="1"/>
  <c r="X443" i="12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J443" i="12"/>
  <c r="J444" i="12" s="1"/>
  <c r="J445" i="12" s="1"/>
  <c r="J446" i="12" s="1"/>
  <c r="J447" i="12" s="1"/>
  <c r="J448" i="12" s="1"/>
  <c r="J449" i="12" s="1"/>
  <c r="J450" i="12" s="1"/>
  <c r="J451" i="12" s="1"/>
  <c r="J452" i="12" s="1"/>
  <c r="J453" i="12" s="1"/>
  <c r="J454" i="12" s="1"/>
  <c r="J455" i="12" s="1"/>
  <c r="J456" i="12" s="1"/>
  <c r="J457" i="12" s="1"/>
  <c r="J458" i="12" s="1"/>
  <c r="J459" i="12" s="1"/>
  <c r="J460" i="12" s="1"/>
  <c r="J461" i="12" s="1"/>
  <c r="J462" i="12" s="1"/>
  <c r="J463" i="12" s="1"/>
  <c r="J464" i="12" s="1"/>
  <c r="J465" i="12" s="1"/>
  <c r="J466" i="12" s="1"/>
  <c r="J467" i="12" s="1"/>
  <c r="J468" i="12" s="1"/>
  <c r="J469" i="12" s="1"/>
  <c r="J470" i="12" s="1"/>
  <c r="J471" i="12" s="1"/>
  <c r="J472" i="12" s="1"/>
  <c r="J473" i="12" s="1"/>
  <c r="J474" i="12" s="1"/>
  <c r="J475" i="12" s="1"/>
  <c r="J476" i="12" s="1"/>
  <c r="J477" i="12" s="1"/>
  <c r="J478" i="12" s="1"/>
  <c r="AG443" i="12"/>
  <c r="AG444" i="12" s="1"/>
  <c r="AG445" i="12" s="1"/>
  <c r="AG446" i="12" s="1"/>
  <c r="AG447" i="12" s="1"/>
  <c r="AG448" i="12" s="1"/>
  <c r="AG449" i="12" s="1"/>
  <c r="AG450" i="12" s="1"/>
  <c r="AG451" i="12" s="1"/>
  <c r="AG452" i="12" s="1"/>
  <c r="AG453" i="12" s="1"/>
  <c r="AG454" i="12" s="1"/>
  <c r="AG455" i="12" s="1"/>
  <c r="AG456" i="12" s="1"/>
  <c r="AG457" i="12" s="1"/>
  <c r="AG458" i="12" s="1"/>
  <c r="AG459" i="12" s="1"/>
  <c r="AG460" i="12" s="1"/>
  <c r="AG461" i="12" s="1"/>
  <c r="AG462" i="12" s="1"/>
  <c r="AG463" i="12" s="1"/>
  <c r="AG464" i="12" s="1"/>
  <c r="AG465" i="12" s="1"/>
  <c r="AG466" i="12" s="1"/>
  <c r="AG467" i="12" s="1"/>
  <c r="AG468" i="12" s="1"/>
  <c r="AG469" i="12" s="1"/>
  <c r="AG470" i="12" s="1"/>
  <c r="AG471" i="12" s="1"/>
  <c r="AG472" i="12" s="1"/>
  <c r="AG473" i="12" s="1"/>
  <c r="AG474" i="12" s="1"/>
  <c r="AG475" i="12" s="1"/>
  <c r="AG476" i="12" s="1"/>
  <c r="AG477" i="12" s="1"/>
  <c r="AG478" i="12" s="1"/>
  <c r="A483" i="12"/>
  <c r="V443" i="12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AH443" i="12"/>
  <c r="AH444" i="12" s="1"/>
  <c r="AH445" i="12" s="1"/>
  <c r="AH446" i="12" s="1"/>
  <c r="AH447" i="12" s="1"/>
  <c r="AH448" i="12" s="1"/>
  <c r="AH449" i="12" s="1"/>
  <c r="AH450" i="12" s="1"/>
  <c r="AH451" i="12" s="1"/>
  <c r="AH452" i="12" s="1"/>
  <c r="AH453" i="12" s="1"/>
  <c r="AH454" i="12" s="1"/>
  <c r="AH455" i="12" s="1"/>
  <c r="AH456" i="12" s="1"/>
  <c r="AH457" i="12" s="1"/>
  <c r="AH458" i="12" s="1"/>
  <c r="AH459" i="12" s="1"/>
  <c r="AH460" i="12" s="1"/>
  <c r="AH461" i="12" s="1"/>
  <c r="AH462" i="12" s="1"/>
  <c r="AH463" i="12" s="1"/>
  <c r="AH464" i="12" s="1"/>
  <c r="AH465" i="12" s="1"/>
  <c r="AH466" i="12" s="1"/>
  <c r="AH467" i="12" s="1"/>
  <c r="AH468" i="12" s="1"/>
  <c r="AH469" i="12" s="1"/>
  <c r="AH470" i="12" s="1"/>
  <c r="AH471" i="12" s="1"/>
  <c r="AH472" i="12" s="1"/>
  <c r="AH473" i="12" s="1"/>
  <c r="AH474" i="12" s="1"/>
  <c r="AH475" i="12" s="1"/>
  <c r="AH476" i="12" s="1"/>
  <c r="AH477" i="12" s="1"/>
  <c r="AH478" i="12" s="1"/>
  <c r="Y443" i="12"/>
  <c r="Y444" i="12" s="1"/>
  <c r="Y445" i="12" s="1"/>
  <c r="Y446" i="12" s="1"/>
  <c r="Y447" i="12" s="1"/>
  <c r="Y448" i="12" s="1"/>
  <c r="Y449" i="12" s="1"/>
  <c r="Y450" i="12" s="1"/>
  <c r="Y451" i="12" s="1"/>
  <c r="Y452" i="12" s="1"/>
  <c r="Y453" i="12" s="1"/>
  <c r="Y454" i="12" s="1"/>
  <c r="Y455" i="12" s="1"/>
  <c r="Y456" i="12" s="1"/>
  <c r="Y457" i="12" s="1"/>
  <c r="Y458" i="12" s="1"/>
  <c r="Y459" i="12" s="1"/>
  <c r="Y460" i="12" s="1"/>
  <c r="Y461" i="12" s="1"/>
  <c r="Y462" i="12" s="1"/>
  <c r="Y463" i="12" s="1"/>
  <c r="Y464" i="12" s="1"/>
  <c r="Y465" i="12" s="1"/>
  <c r="Y466" i="12" s="1"/>
  <c r="Y467" i="12" s="1"/>
  <c r="Y468" i="12" s="1"/>
  <c r="Y469" i="12" s="1"/>
  <c r="Y470" i="12" s="1"/>
  <c r="Y471" i="12" s="1"/>
  <c r="Y472" i="12" s="1"/>
  <c r="Y473" i="12" s="1"/>
  <c r="Y474" i="12" s="1"/>
  <c r="Y475" i="12" s="1"/>
  <c r="Y476" i="12" s="1"/>
  <c r="Y477" i="12" s="1"/>
  <c r="Y478" i="12" s="1"/>
  <c r="D443" i="12"/>
  <c r="D444" i="12" s="1"/>
  <c r="D445" i="12" s="1"/>
  <c r="D446" i="12" s="1"/>
  <c r="D447" i="12" s="1"/>
  <c r="D448" i="12" s="1"/>
  <c r="D449" i="12" s="1"/>
  <c r="D450" i="12" s="1"/>
  <c r="D451" i="12" s="1"/>
  <c r="D452" i="12" s="1"/>
  <c r="D453" i="12" s="1"/>
  <c r="D454" i="12" s="1"/>
  <c r="D455" i="12" s="1"/>
  <c r="D456" i="12" s="1"/>
  <c r="D457" i="12" s="1"/>
  <c r="D458" i="12" s="1"/>
  <c r="D459" i="12" s="1"/>
  <c r="D460" i="12" s="1"/>
  <c r="D461" i="12" s="1"/>
  <c r="D462" i="12" s="1"/>
  <c r="D463" i="12" s="1"/>
  <c r="D464" i="12" s="1"/>
  <c r="D465" i="12" s="1"/>
  <c r="D466" i="12" s="1"/>
  <c r="D467" i="12" s="1"/>
  <c r="D468" i="12" s="1"/>
  <c r="D469" i="12" s="1"/>
  <c r="D470" i="12" s="1"/>
  <c r="D471" i="12" s="1"/>
  <c r="D472" i="12" s="1"/>
  <c r="D473" i="12" s="1"/>
  <c r="D474" i="12" s="1"/>
  <c r="D475" i="12" s="1"/>
  <c r="D476" i="12" s="1"/>
  <c r="D477" i="12" s="1"/>
  <c r="D478" i="12" s="1"/>
  <c r="E443" i="12"/>
  <c r="E444" i="12" s="1"/>
  <c r="E445" i="12" s="1"/>
  <c r="E446" i="12" s="1"/>
  <c r="E447" i="12" s="1"/>
  <c r="E448" i="12" s="1"/>
  <c r="E449" i="12" s="1"/>
  <c r="E450" i="12" s="1"/>
  <c r="E451" i="12" s="1"/>
  <c r="E452" i="12" s="1"/>
  <c r="E453" i="12" s="1"/>
  <c r="E454" i="12" s="1"/>
  <c r="E455" i="12" s="1"/>
  <c r="E456" i="12" s="1"/>
  <c r="E457" i="12" s="1"/>
  <c r="E458" i="12" s="1"/>
  <c r="E459" i="12" s="1"/>
  <c r="E460" i="12" s="1"/>
  <c r="E461" i="12" s="1"/>
  <c r="E462" i="12" s="1"/>
  <c r="E463" i="12" s="1"/>
  <c r="E464" i="12" s="1"/>
  <c r="E465" i="12" s="1"/>
  <c r="E466" i="12" s="1"/>
  <c r="E467" i="12" s="1"/>
  <c r="E468" i="12" s="1"/>
  <c r="E469" i="12" s="1"/>
  <c r="E470" i="12" s="1"/>
  <c r="E471" i="12" s="1"/>
  <c r="E472" i="12" s="1"/>
  <c r="E473" i="12" s="1"/>
  <c r="E474" i="12" s="1"/>
  <c r="E475" i="12" s="1"/>
  <c r="E476" i="12" s="1"/>
  <c r="E477" i="12" s="1"/>
  <c r="E478" i="12" s="1"/>
  <c r="Q443" i="12"/>
  <c r="Q444" i="12" s="1"/>
  <c r="Q445" i="12" s="1"/>
  <c r="Q446" i="12" s="1"/>
  <c r="Q447" i="12" s="1"/>
  <c r="Q448" i="12" s="1"/>
  <c r="Q449" i="12" s="1"/>
  <c r="Q450" i="12" s="1"/>
  <c r="Q451" i="12" s="1"/>
  <c r="Q452" i="12" s="1"/>
  <c r="Q453" i="12" s="1"/>
  <c r="Q454" i="12" s="1"/>
  <c r="Q455" i="12" s="1"/>
  <c r="Q456" i="12" s="1"/>
  <c r="Q457" i="12" s="1"/>
  <c r="Q458" i="12" s="1"/>
  <c r="Q459" i="12" s="1"/>
  <c r="Q460" i="12" s="1"/>
  <c r="Q461" i="12" s="1"/>
  <c r="Q462" i="12" s="1"/>
  <c r="Q463" i="12" s="1"/>
  <c r="Q464" i="12" s="1"/>
  <c r="Q465" i="12" s="1"/>
  <c r="Q466" i="12" s="1"/>
  <c r="Q467" i="12" s="1"/>
  <c r="Q468" i="12" s="1"/>
  <c r="Q469" i="12" s="1"/>
  <c r="Q470" i="12" s="1"/>
  <c r="Q471" i="12" s="1"/>
  <c r="Q472" i="12" s="1"/>
  <c r="Q473" i="12" s="1"/>
  <c r="Q474" i="12" s="1"/>
  <c r="Q475" i="12" s="1"/>
  <c r="Q476" i="12" s="1"/>
  <c r="Q477" i="12" s="1"/>
  <c r="Q478" i="12" s="1"/>
  <c r="H443" i="12"/>
  <c r="H444" i="12" s="1"/>
  <c r="H445" i="12" s="1"/>
  <c r="H446" i="12" s="1"/>
  <c r="H447" i="12" s="1"/>
  <c r="H448" i="12" s="1"/>
  <c r="H449" i="12" s="1"/>
  <c r="H450" i="12" s="1"/>
  <c r="H451" i="12" s="1"/>
  <c r="H452" i="12" s="1"/>
  <c r="H453" i="12" s="1"/>
  <c r="H454" i="12" s="1"/>
  <c r="H455" i="12" s="1"/>
  <c r="H456" i="12" s="1"/>
  <c r="H457" i="12" s="1"/>
  <c r="H458" i="12" s="1"/>
  <c r="H459" i="12" s="1"/>
  <c r="H460" i="12" s="1"/>
  <c r="H461" i="12" s="1"/>
  <c r="H462" i="12" s="1"/>
  <c r="H463" i="12" s="1"/>
  <c r="H464" i="12" s="1"/>
  <c r="H465" i="12" s="1"/>
  <c r="H466" i="12" s="1"/>
  <c r="H467" i="12" s="1"/>
  <c r="H468" i="12" s="1"/>
  <c r="H469" i="12" s="1"/>
  <c r="H470" i="12" s="1"/>
  <c r="H471" i="12" s="1"/>
  <c r="H472" i="12" s="1"/>
  <c r="H473" i="12" s="1"/>
  <c r="H474" i="12" s="1"/>
  <c r="H475" i="12" s="1"/>
  <c r="H476" i="12" s="1"/>
  <c r="H477" i="12" s="1"/>
  <c r="H478" i="12" s="1"/>
  <c r="O443" i="12"/>
  <c r="O444" i="12" s="1"/>
  <c r="O445" i="12" s="1"/>
  <c r="O446" i="12" s="1"/>
  <c r="O447" i="12" s="1"/>
  <c r="O448" i="12" s="1"/>
  <c r="O449" i="12" s="1"/>
  <c r="O450" i="12" s="1"/>
  <c r="O451" i="12" s="1"/>
  <c r="O452" i="12" s="1"/>
  <c r="O453" i="12" s="1"/>
  <c r="O454" i="12" s="1"/>
  <c r="O455" i="12" s="1"/>
  <c r="O456" i="12" s="1"/>
  <c r="O457" i="12" s="1"/>
  <c r="O458" i="12" s="1"/>
  <c r="O459" i="12" s="1"/>
  <c r="O460" i="12" s="1"/>
  <c r="O461" i="12" s="1"/>
  <c r="O462" i="12" s="1"/>
  <c r="O463" i="12" s="1"/>
  <c r="O464" i="12" s="1"/>
  <c r="O465" i="12" s="1"/>
  <c r="O466" i="12" s="1"/>
  <c r="O467" i="12" s="1"/>
  <c r="O468" i="12" s="1"/>
  <c r="O469" i="12" s="1"/>
  <c r="O470" i="12" s="1"/>
  <c r="O471" i="12" s="1"/>
  <c r="O472" i="12" s="1"/>
  <c r="O473" i="12" s="1"/>
  <c r="O474" i="12" s="1"/>
  <c r="O475" i="12" s="1"/>
  <c r="O476" i="12" s="1"/>
  <c r="O477" i="12" s="1"/>
  <c r="O478" i="12" s="1"/>
  <c r="L443" i="12"/>
  <c r="L444" i="12" s="1"/>
  <c r="L445" i="12" s="1"/>
  <c r="L446" i="12" s="1"/>
  <c r="L447" i="12" s="1"/>
  <c r="L448" i="12" s="1"/>
  <c r="L449" i="12" s="1"/>
  <c r="L450" i="12" s="1"/>
  <c r="L451" i="12" s="1"/>
  <c r="L452" i="12" s="1"/>
  <c r="L453" i="12" s="1"/>
  <c r="L454" i="12" s="1"/>
  <c r="L455" i="12" s="1"/>
  <c r="L456" i="12" s="1"/>
  <c r="L457" i="12" s="1"/>
  <c r="L458" i="12" s="1"/>
  <c r="L459" i="12" s="1"/>
  <c r="L460" i="12" s="1"/>
  <c r="L461" i="12" s="1"/>
  <c r="L462" i="12" s="1"/>
  <c r="L463" i="12" s="1"/>
  <c r="L464" i="12" s="1"/>
  <c r="L465" i="12" s="1"/>
  <c r="L466" i="12" s="1"/>
  <c r="L467" i="12" s="1"/>
  <c r="L468" i="12" s="1"/>
  <c r="L469" i="12" s="1"/>
  <c r="L470" i="12" s="1"/>
  <c r="L471" i="12" s="1"/>
  <c r="L472" i="12" s="1"/>
  <c r="L473" i="12" s="1"/>
  <c r="L474" i="12" s="1"/>
  <c r="L475" i="12" s="1"/>
  <c r="L476" i="12" s="1"/>
  <c r="L477" i="12" s="1"/>
  <c r="L478" i="12" s="1"/>
  <c r="F443" i="12"/>
  <c r="F444" i="12" s="1"/>
  <c r="F445" i="12" s="1"/>
  <c r="F446" i="12" s="1"/>
  <c r="F447" i="12" s="1"/>
  <c r="F448" i="12" s="1"/>
  <c r="F449" i="12" s="1"/>
  <c r="F450" i="12" s="1"/>
  <c r="F451" i="12" s="1"/>
  <c r="F452" i="12" s="1"/>
  <c r="F453" i="12" s="1"/>
  <c r="F454" i="12" s="1"/>
  <c r="F455" i="12" s="1"/>
  <c r="F456" i="12" s="1"/>
  <c r="F457" i="12" s="1"/>
  <c r="F458" i="12" s="1"/>
  <c r="F459" i="12" s="1"/>
  <c r="F460" i="12" s="1"/>
  <c r="F461" i="12" s="1"/>
  <c r="F462" i="12" s="1"/>
  <c r="F463" i="12" s="1"/>
  <c r="F464" i="12" s="1"/>
  <c r="F465" i="12" s="1"/>
  <c r="F466" i="12" s="1"/>
  <c r="F467" i="12" s="1"/>
  <c r="F468" i="12" s="1"/>
  <c r="F469" i="12" s="1"/>
  <c r="F470" i="12" s="1"/>
  <c r="F471" i="12" s="1"/>
  <c r="F472" i="12" s="1"/>
  <c r="F473" i="12" s="1"/>
  <c r="F474" i="12" s="1"/>
  <c r="F475" i="12" s="1"/>
  <c r="F476" i="12" s="1"/>
  <c r="F477" i="12" s="1"/>
  <c r="F478" i="12" s="1"/>
  <c r="S443" i="12"/>
  <c r="S444" i="12" s="1"/>
  <c r="S445" i="12" s="1"/>
  <c r="S446" i="12" s="1"/>
  <c r="S447" i="12" s="1"/>
  <c r="S448" i="12" s="1"/>
  <c r="S449" i="12" s="1"/>
  <c r="S450" i="12" s="1"/>
  <c r="S451" i="12" s="1"/>
  <c r="S452" i="12" s="1"/>
  <c r="S453" i="12" s="1"/>
  <c r="S454" i="12" s="1"/>
  <c r="S455" i="12" s="1"/>
  <c r="S456" i="12" s="1"/>
  <c r="S457" i="12" s="1"/>
  <c r="S458" i="12" s="1"/>
  <c r="S459" i="12" s="1"/>
  <c r="S460" i="12" s="1"/>
  <c r="S461" i="12" s="1"/>
  <c r="S462" i="12" s="1"/>
  <c r="S463" i="12" s="1"/>
  <c r="S464" i="12" s="1"/>
  <c r="S465" i="12" s="1"/>
  <c r="S466" i="12" s="1"/>
  <c r="S467" i="12" s="1"/>
  <c r="S468" i="12" s="1"/>
  <c r="S469" i="12" s="1"/>
  <c r="S470" i="12" s="1"/>
  <c r="S471" i="12" s="1"/>
  <c r="S472" i="12" s="1"/>
  <c r="S473" i="12" s="1"/>
  <c r="S474" i="12" s="1"/>
  <c r="S475" i="12" s="1"/>
  <c r="S476" i="12" s="1"/>
  <c r="S477" i="12" s="1"/>
  <c r="S478" i="12" s="1"/>
  <c r="K443" i="12"/>
  <c r="K444" i="12" s="1"/>
  <c r="K445" i="12" s="1"/>
  <c r="K446" i="12" s="1"/>
  <c r="K447" i="12" s="1"/>
  <c r="K448" i="12" s="1"/>
  <c r="K449" i="12" s="1"/>
  <c r="K450" i="12" s="1"/>
  <c r="K451" i="12" s="1"/>
  <c r="K452" i="12" s="1"/>
  <c r="K453" i="12" s="1"/>
  <c r="K454" i="12" s="1"/>
  <c r="K455" i="12" s="1"/>
  <c r="K456" i="12" s="1"/>
  <c r="K457" i="12" s="1"/>
  <c r="K458" i="12" s="1"/>
  <c r="K459" i="12" s="1"/>
  <c r="K460" i="12" s="1"/>
  <c r="K461" i="12" s="1"/>
  <c r="K462" i="12" s="1"/>
  <c r="K463" i="12" s="1"/>
  <c r="K464" i="12" s="1"/>
  <c r="K465" i="12" s="1"/>
  <c r="K466" i="12" s="1"/>
  <c r="K467" i="12" s="1"/>
  <c r="K468" i="12" s="1"/>
  <c r="K469" i="12" s="1"/>
  <c r="K470" i="12" s="1"/>
  <c r="K471" i="12" s="1"/>
  <c r="K472" i="12" s="1"/>
  <c r="K473" i="12" s="1"/>
  <c r="K474" i="12" s="1"/>
  <c r="K475" i="12" s="1"/>
  <c r="K476" i="12" s="1"/>
  <c r="K477" i="12" s="1"/>
  <c r="K478" i="12" s="1"/>
  <c r="AD443" i="12"/>
  <c r="AD444" i="12" s="1"/>
  <c r="AD445" i="12" s="1"/>
  <c r="AD446" i="12" s="1"/>
  <c r="AD447" i="12" s="1"/>
  <c r="AD448" i="12" s="1"/>
  <c r="AD449" i="12" s="1"/>
  <c r="AD450" i="12" s="1"/>
  <c r="AD451" i="12" s="1"/>
  <c r="AD452" i="12" s="1"/>
  <c r="AD453" i="12" s="1"/>
  <c r="AD454" i="12" s="1"/>
  <c r="AD455" i="12" s="1"/>
  <c r="AD456" i="12" s="1"/>
  <c r="AD457" i="12" s="1"/>
  <c r="AD458" i="12" s="1"/>
  <c r="AD459" i="12" s="1"/>
  <c r="AD460" i="12" s="1"/>
  <c r="AD461" i="12" s="1"/>
  <c r="AD462" i="12" s="1"/>
  <c r="AD463" i="12" s="1"/>
  <c r="AD464" i="12" s="1"/>
  <c r="AD465" i="12" s="1"/>
  <c r="AD466" i="12" s="1"/>
  <c r="AD467" i="12" s="1"/>
  <c r="AD468" i="12" s="1"/>
  <c r="AD469" i="12" s="1"/>
  <c r="AD470" i="12" s="1"/>
  <c r="AD471" i="12" s="1"/>
  <c r="AD472" i="12" s="1"/>
  <c r="AD473" i="12" s="1"/>
  <c r="AD474" i="12" s="1"/>
  <c r="AD475" i="12" s="1"/>
  <c r="AD476" i="12" s="1"/>
  <c r="AD477" i="12" s="1"/>
  <c r="AD478" i="12" s="1"/>
  <c r="U443" i="12"/>
  <c r="U444" i="12" s="1"/>
  <c r="U445" i="12" s="1"/>
  <c r="U446" i="12" s="1"/>
  <c r="U447" i="12" s="1"/>
  <c r="U448" i="12" s="1"/>
  <c r="U449" i="12" s="1"/>
  <c r="U450" i="12" s="1"/>
  <c r="U451" i="12" s="1"/>
  <c r="U452" i="12" s="1"/>
  <c r="U453" i="12" s="1"/>
  <c r="U454" i="12" s="1"/>
  <c r="U455" i="12" s="1"/>
  <c r="U456" i="12" s="1"/>
  <c r="U457" i="12" s="1"/>
  <c r="U458" i="12" s="1"/>
  <c r="U459" i="12" s="1"/>
  <c r="U460" i="12" s="1"/>
  <c r="U461" i="12" s="1"/>
  <c r="U462" i="12" s="1"/>
  <c r="U463" i="12" s="1"/>
  <c r="U464" i="12" s="1"/>
  <c r="U465" i="12" s="1"/>
  <c r="U466" i="12" s="1"/>
  <c r="U467" i="12" s="1"/>
  <c r="U468" i="12" s="1"/>
  <c r="U469" i="12" s="1"/>
  <c r="U470" i="12" s="1"/>
  <c r="U471" i="12" s="1"/>
  <c r="U472" i="12" s="1"/>
  <c r="U473" i="12" s="1"/>
  <c r="U474" i="12" s="1"/>
  <c r="U475" i="12" s="1"/>
  <c r="U476" i="12" s="1"/>
  <c r="U477" i="12" s="1"/>
  <c r="U478" i="12" s="1"/>
  <c r="AE443" i="12"/>
  <c r="AE444" i="12" s="1"/>
  <c r="AE445" i="12" s="1"/>
  <c r="AE446" i="12" s="1"/>
  <c r="AE447" i="12" s="1"/>
  <c r="AE448" i="12" s="1"/>
  <c r="AE449" i="12" s="1"/>
  <c r="AE450" i="12" s="1"/>
  <c r="AE451" i="12" s="1"/>
  <c r="AE452" i="12" s="1"/>
  <c r="AE453" i="12" s="1"/>
  <c r="AE454" i="12" s="1"/>
  <c r="AE455" i="12" s="1"/>
  <c r="AE456" i="12" s="1"/>
  <c r="AE457" i="12" s="1"/>
  <c r="AE458" i="12" s="1"/>
  <c r="AE459" i="12" s="1"/>
  <c r="AE460" i="12" s="1"/>
  <c r="AE461" i="12" s="1"/>
  <c r="AE462" i="12" s="1"/>
  <c r="AE463" i="12" s="1"/>
  <c r="AE464" i="12" s="1"/>
  <c r="AE465" i="12" s="1"/>
  <c r="AE466" i="12" s="1"/>
  <c r="AE467" i="12" s="1"/>
  <c r="AE468" i="12" s="1"/>
  <c r="AE469" i="12" s="1"/>
  <c r="AE470" i="12" s="1"/>
  <c r="AE471" i="12" s="1"/>
  <c r="AE472" i="12" s="1"/>
  <c r="AE473" i="12" s="1"/>
  <c r="AE474" i="12" s="1"/>
  <c r="AE475" i="12" s="1"/>
  <c r="AE476" i="12" s="1"/>
  <c r="AE477" i="12" s="1"/>
  <c r="AE478" i="12" s="1"/>
  <c r="R443" i="12"/>
  <c r="R444" i="12" s="1"/>
  <c r="R445" i="12" s="1"/>
  <c r="R446" i="12" s="1"/>
  <c r="R447" i="12" s="1"/>
  <c r="R448" i="12" s="1"/>
  <c r="R449" i="12" s="1"/>
  <c r="R450" i="12" s="1"/>
  <c r="R451" i="12" s="1"/>
  <c r="R452" i="12" s="1"/>
  <c r="R453" i="12" s="1"/>
  <c r="R454" i="12" s="1"/>
  <c r="R455" i="12" s="1"/>
  <c r="R456" i="12" s="1"/>
  <c r="R457" i="12" s="1"/>
  <c r="R458" i="12" s="1"/>
  <c r="R459" i="12" s="1"/>
  <c r="R460" i="12" s="1"/>
  <c r="R461" i="12" s="1"/>
  <c r="R462" i="12" s="1"/>
  <c r="R463" i="12" s="1"/>
  <c r="R464" i="12" s="1"/>
  <c r="R465" i="12" s="1"/>
  <c r="R466" i="12" s="1"/>
  <c r="R467" i="12" s="1"/>
  <c r="R468" i="12" s="1"/>
  <c r="R469" i="12" s="1"/>
  <c r="R470" i="12" s="1"/>
  <c r="R471" i="12" s="1"/>
  <c r="R472" i="12" s="1"/>
  <c r="R473" i="12" s="1"/>
  <c r="R474" i="12" s="1"/>
  <c r="R475" i="12" s="1"/>
  <c r="R476" i="12" s="1"/>
  <c r="R477" i="12" s="1"/>
  <c r="R478" i="12" s="1"/>
  <c r="W443" i="12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I443" i="12"/>
  <c r="I444" i="12" s="1"/>
  <c r="I445" i="12" s="1"/>
  <c r="I446" i="12" s="1"/>
  <c r="I447" i="12" s="1"/>
  <c r="I448" i="12" s="1"/>
  <c r="I449" i="12" s="1"/>
  <c r="I450" i="12" s="1"/>
  <c r="I451" i="12" s="1"/>
  <c r="I452" i="12" s="1"/>
  <c r="I453" i="12" s="1"/>
  <c r="I454" i="12" s="1"/>
  <c r="I455" i="12" s="1"/>
  <c r="I456" i="12" s="1"/>
  <c r="I457" i="12" s="1"/>
  <c r="I458" i="12" s="1"/>
  <c r="I459" i="12" s="1"/>
  <c r="I460" i="12" s="1"/>
  <c r="I461" i="12" s="1"/>
  <c r="I462" i="12" s="1"/>
  <c r="I463" i="12" s="1"/>
  <c r="I464" i="12" s="1"/>
  <c r="I465" i="12" s="1"/>
  <c r="I466" i="12" s="1"/>
  <c r="I467" i="12" s="1"/>
  <c r="I468" i="12" s="1"/>
  <c r="I469" i="12" s="1"/>
  <c r="I470" i="12" s="1"/>
  <c r="I471" i="12" s="1"/>
  <c r="I472" i="12" s="1"/>
  <c r="I473" i="12" s="1"/>
  <c r="I474" i="12" s="1"/>
  <c r="I475" i="12" s="1"/>
  <c r="I476" i="12" s="1"/>
  <c r="I477" i="12" s="1"/>
  <c r="I478" i="12" s="1"/>
  <c r="AA443" i="12"/>
  <c r="AA444" i="12" s="1"/>
  <c r="AA445" i="12" s="1"/>
  <c r="AA446" i="12" s="1"/>
  <c r="AA447" i="12" s="1"/>
  <c r="AA448" i="12" s="1"/>
  <c r="AA449" i="12" s="1"/>
  <c r="AA450" i="12" s="1"/>
  <c r="AA451" i="12" s="1"/>
  <c r="AA452" i="12" s="1"/>
  <c r="AA453" i="12" s="1"/>
  <c r="AA454" i="12" s="1"/>
  <c r="AA455" i="12" s="1"/>
  <c r="AA456" i="12" s="1"/>
  <c r="AA457" i="12" s="1"/>
  <c r="AA458" i="12" s="1"/>
  <c r="AA459" i="12" s="1"/>
  <c r="AA460" i="12" s="1"/>
  <c r="AA461" i="12" s="1"/>
  <c r="AA462" i="12" s="1"/>
  <c r="AA463" i="12" s="1"/>
  <c r="AA464" i="12" s="1"/>
  <c r="AA465" i="12" s="1"/>
  <c r="AA466" i="12" s="1"/>
  <c r="AA467" i="12" s="1"/>
  <c r="AA468" i="12" s="1"/>
  <c r="AA469" i="12" s="1"/>
  <c r="AA470" i="12" s="1"/>
  <c r="AA471" i="12" s="1"/>
  <c r="AA472" i="12" s="1"/>
  <c r="AA473" i="12" s="1"/>
  <c r="AA474" i="12" s="1"/>
  <c r="AA475" i="12" s="1"/>
  <c r="AA476" i="12" s="1"/>
  <c r="AA477" i="12" s="1"/>
  <c r="AA478" i="12" s="1"/>
  <c r="Z443" i="12"/>
  <c r="Z444" i="12" s="1"/>
  <c r="Z445" i="12" s="1"/>
  <c r="Z446" i="12" s="1"/>
  <c r="Z447" i="12" s="1"/>
  <c r="Z448" i="12" s="1"/>
  <c r="Z449" i="12" s="1"/>
  <c r="Z450" i="12" s="1"/>
  <c r="Z451" i="12" s="1"/>
  <c r="Z452" i="12" s="1"/>
  <c r="Z453" i="12" s="1"/>
  <c r="Z454" i="12" s="1"/>
  <c r="Z455" i="12" s="1"/>
  <c r="Z456" i="12" s="1"/>
  <c r="Z457" i="12" s="1"/>
  <c r="Z458" i="12" s="1"/>
  <c r="Z459" i="12" s="1"/>
  <c r="Z460" i="12" s="1"/>
  <c r="Z461" i="12" s="1"/>
  <c r="Z462" i="12" s="1"/>
  <c r="Z463" i="12" s="1"/>
  <c r="Z464" i="12" s="1"/>
  <c r="Z465" i="12" s="1"/>
  <c r="Z466" i="12" s="1"/>
  <c r="Z467" i="12" s="1"/>
  <c r="Z468" i="12" s="1"/>
  <c r="Z469" i="12" s="1"/>
  <c r="Z470" i="12" s="1"/>
  <c r="Z471" i="12" s="1"/>
  <c r="Z472" i="12" s="1"/>
  <c r="Z473" i="12" s="1"/>
  <c r="Z474" i="12" s="1"/>
  <c r="Z475" i="12" s="1"/>
  <c r="Z476" i="12" s="1"/>
  <c r="Z477" i="12" s="1"/>
  <c r="Z478" i="12" s="1"/>
  <c r="P443" i="12"/>
  <c r="P444" i="12" s="1"/>
  <c r="P445" i="12" s="1"/>
  <c r="P446" i="12" s="1"/>
  <c r="P447" i="12" s="1"/>
  <c r="P448" i="12" s="1"/>
  <c r="P449" i="12" s="1"/>
  <c r="P450" i="12" s="1"/>
  <c r="P451" i="12" s="1"/>
  <c r="P452" i="12" s="1"/>
  <c r="P453" i="12" s="1"/>
  <c r="P454" i="12" s="1"/>
  <c r="P455" i="12" s="1"/>
  <c r="P456" i="12" s="1"/>
  <c r="P457" i="12" s="1"/>
  <c r="P458" i="12" s="1"/>
  <c r="P459" i="12" s="1"/>
  <c r="P460" i="12" s="1"/>
  <c r="P461" i="12" s="1"/>
  <c r="P462" i="12" s="1"/>
  <c r="P463" i="12" s="1"/>
  <c r="P464" i="12" s="1"/>
  <c r="P465" i="12" s="1"/>
  <c r="P466" i="12" s="1"/>
  <c r="P467" i="12" s="1"/>
  <c r="P468" i="12" s="1"/>
  <c r="P469" i="12" s="1"/>
  <c r="P470" i="12" s="1"/>
  <c r="P471" i="12" s="1"/>
  <c r="P472" i="12" s="1"/>
  <c r="P473" i="12" s="1"/>
  <c r="P474" i="12" s="1"/>
  <c r="P475" i="12" s="1"/>
  <c r="P476" i="12" s="1"/>
  <c r="P477" i="12" s="1"/>
  <c r="P478" i="12" s="1"/>
  <c r="N443" i="12"/>
  <c r="N444" i="12" s="1"/>
  <c r="N445" i="12" s="1"/>
  <c r="N446" i="12" s="1"/>
  <c r="N447" i="12" s="1"/>
  <c r="N448" i="12" s="1"/>
  <c r="N449" i="12" s="1"/>
  <c r="N450" i="12" s="1"/>
  <c r="N451" i="12" s="1"/>
  <c r="N452" i="12" s="1"/>
  <c r="N453" i="12" s="1"/>
  <c r="N454" i="12" s="1"/>
  <c r="N455" i="12" s="1"/>
  <c r="N456" i="12" s="1"/>
  <c r="N457" i="12" s="1"/>
  <c r="N458" i="12" s="1"/>
  <c r="N459" i="12" s="1"/>
  <c r="N460" i="12" s="1"/>
  <c r="N461" i="12" s="1"/>
  <c r="N462" i="12" s="1"/>
  <c r="N463" i="12" s="1"/>
  <c r="N464" i="12" s="1"/>
  <c r="N465" i="12" s="1"/>
  <c r="N466" i="12" s="1"/>
  <c r="N467" i="12" s="1"/>
  <c r="N468" i="12" s="1"/>
  <c r="N469" i="12" s="1"/>
  <c r="N470" i="12" s="1"/>
  <c r="N471" i="12" s="1"/>
  <c r="N472" i="12" s="1"/>
  <c r="N473" i="12" s="1"/>
  <c r="N474" i="12" s="1"/>
  <c r="N475" i="12" s="1"/>
  <c r="N476" i="12" s="1"/>
  <c r="N477" i="12" s="1"/>
  <c r="N478" i="12" s="1"/>
  <c r="AJ443" i="12"/>
  <c r="AJ444" i="12" s="1"/>
  <c r="AJ445" i="12" s="1"/>
  <c r="AJ446" i="12" s="1"/>
  <c r="AJ447" i="12" s="1"/>
  <c r="AJ448" i="12" s="1"/>
  <c r="AJ449" i="12" s="1"/>
  <c r="AJ450" i="12" s="1"/>
  <c r="AJ451" i="12" s="1"/>
  <c r="AJ452" i="12" s="1"/>
  <c r="AJ453" i="12" s="1"/>
  <c r="AJ454" i="12" s="1"/>
  <c r="AJ455" i="12" s="1"/>
  <c r="AJ456" i="12" s="1"/>
  <c r="AJ457" i="12" s="1"/>
  <c r="AJ458" i="12" s="1"/>
  <c r="AJ459" i="12" s="1"/>
  <c r="AJ460" i="12" s="1"/>
  <c r="AJ461" i="12" s="1"/>
  <c r="AJ462" i="12" s="1"/>
  <c r="AJ463" i="12" s="1"/>
  <c r="AJ464" i="12" s="1"/>
  <c r="AJ465" i="12" s="1"/>
  <c r="AJ466" i="12" s="1"/>
  <c r="AJ467" i="12" s="1"/>
  <c r="AJ468" i="12" s="1"/>
  <c r="AJ469" i="12" s="1"/>
  <c r="AJ470" i="12" s="1"/>
  <c r="AJ471" i="12" s="1"/>
  <c r="AJ472" i="12" s="1"/>
  <c r="AJ473" i="12" s="1"/>
  <c r="AJ474" i="12" s="1"/>
  <c r="AJ475" i="12" s="1"/>
  <c r="AJ476" i="12" s="1"/>
  <c r="AJ477" i="12" s="1"/>
  <c r="AJ478" i="12" s="1"/>
  <c r="AB443" i="12"/>
  <c r="AB444" i="12" s="1"/>
  <c r="AB445" i="12" s="1"/>
  <c r="AB446" i="12" s="1"/>
  <c r="AB447" i="12" s="1"/>
  <c r="AB448" i="12" s="1"/>
  <c r="AB449" i="12" s="1"/>
  <c r="AB450" i="12" s="1"/>
  <c r="AB451" i="12" s="1"/>
  <c r="AB452" i="12" s="1"/>
  <c r="AB453" i="12" s="1"/>
  <c r="AB454" i="12" s="1"/>
  <c r="AB455" i="12" s="1"/>
  <c r="AB456" i="12" s="1"/>
  <c r="AB457" i="12" s="1"/>
  <c r="AB458" i="12" s="1"/>
  <c r="AB459" i="12" s="1"/>
  <c r="AB460" i="12" s="1"/>
  <c r="AB461" i="12" s="1"/>
  <c r="AB462" i="12" s="1"/>
  <c r="AB463" i="12" s="1"/>
  <c r="AB464" i="12" s="1"/>
  <c r="AB465" i="12" s="1"/>
  <c r="AB466" i="12" s="1"/>
  <c r="AB467" i="12" s="1"/>
  <c r="AB468" i="12" s="1"/>
  <c r="AB469" i="12" s="1"/>
  <c r="AB470" i="12" s="1"/>
  <c r="AB471" i="12" s="1"/>
  <c r="AB472" i="12" s="1"/>
  <c r="AB473" i="12" s="1"/>
  <c r="AB474" i="12" s="1"/>
  <c r="AB475" i="12" s="1"/>
  <c r="AB476" i="12" s="1"/>
  <c r="AB477" i="12" s="1"/>
  <c r="AB478" i="12" s="1"/>
  <c r="G443" i="12"/>
  <c r="G444" i="12" s="1"/>
  <c r="G445" i="12" s="1"/>
  <c r="G446" i="12" s="1"/>
  <c r="G447" i="12" s="1"/>
  <c r="G448" i="12" s="1"/>
  <c r="G449" i="12" s="1"/>
  <c r="G450" i="12" s="1"/>
  <c r="G451" i="12" s="1"/>
  <c r="G452" i="12" s="1"/>
  <c r="G453" i="12" s="1"/>
  <c r="G454" i="12" s="1"/>
  <c r="G455" i="12" s="1"/>
  <c r="G456" i="12" s="1"/>
  <c r="G457" i="12" s="1"/>
  <c r="G458" i="12" s="1"/>
  <c r="G459" i="12" s="1"/>
  <c r="G460" i="12" s="1"/>
  <c r="G461" i="12" s="1"/>
  <c r="G462" i="12" s="1"/>
  <c r="G463" i="12" s="1"/>
  <c r="G464" i="12" s="1"/>
  <c r="G465" i="12" s="1"/>
  <c r="G466" i="12" s="1"/>
  <c r="G467" i="12" s="1"/>
  <c r="G468" i="12" s="1"/>
  <c r="G469" i="12" s="1"/>
  <c r="G470" i="12" s="1"/>
  <c r="G471" i="12" s="1"/>
  <c r="G472" i="12" s="1"/>
  <c r="G473" i="12" s="1"/>
  <c r="G474" i="12" s="1"/>
  <c r="G475" i="12" s="1"/>
  <c r="G476" i="12" s="1"/>
  <c r="G477" i="12" s="1"/>
  <c r="G478" i="12" s="1"/>
  <c r="C443" i="12"/>
  <c r="C444" i="12" s="1"/>
  <c r="C445" i="12" s="1"/>
  <c r="C446" i="12" s="1"/>
  <c r="C447" i="12" s="1"/>
  <c r="C448" i="12" s="1"/>
  <c r="C449" i="12" s="1"/>
  <c r="C450" i="12" s="1"/>
  <c r="C451" i="12" s="1"/>
  <c r="C452" i="12" s="1"/>
  <c r="C453" i="12" s="1"/>
  <c r="C454" i="12" s="1"/>
  <c r="C455" i="12" s="1"/>
  <c r="C456" i="12" s="1"/>
  <c r="C457" i="12" s="1"/>
  <c r="C458" i="12" s="1"/>
  <c r="C459" i="12" s="1"/>
  <c r="C460" i="12" s="1"/>
  <c r="C461" i="12" s="1"/>
  <c r="C462" i="12" s="1"/>
  <c r="C463" i="12" s="1"/>
  <c r="C464" i="12" s="1"/>
  <c r="C465" i="12" s="1"/>
  <c r="C466" i="12" s="1"/>
  <c r="C467" i="12" s="1"/>
  <c r="C468" i="12" s="1"/>
  <c r="C469" i="12" s="1"/>
  <c r="C470" i="12" s="1"/>
  <c r="C471" i="12" s="1"/>
  <c r="C472" i="12" s="1"/>
  <c r="C473" i="12" s="1"/>
  <c r="C474" i="12" s="1"/>
  <c r="C475" i="12" s="1"/>
  <c r="C476" i="12" s="1"/>
  <c r="C477" i="12" s="1"/>
  <c r="C478" i="12" s="1"/>
  <c r="M443" i="12"/>
  <c r="M444" i="12" s="1"/>
  <c r="M445" i="12" s="1"/>
  <c r="M446" i="12" s="1"/>
  <c r="M447" i="12" s="1"/>
  <c r="M448" i="12" s="1"/>
  <c r="M449" i="12" s="1"/>
  <c r="M450" i="12" s="1"/>
  <c r="M451" i="12" s="1"/>
  <c r="M452" i="12" s="1"/>
  <c r="M453" i="12" s="1"/>
  <c r="M454" i="12" s="1"/>
  <c r="M455" i="12" s="1"/>
  <c r="M456" i="12" s="1"/>
  <c r="M457" i="12" s="1"/>
  <c r="M458" i="12" s="1"/>
  <c r="M459" i="12" s="1"/>
  <c r="M460" i="12" s="1"/>
  <c r="M461" i="12" s="1"/>
  <c r="M462" i="12" s="1"/>
  <c r="M463" i="12" s="1"/>
  <c r="M464" i="12" s="1"/>
  <c r="M465" i="12" s="1"/>
  <c r="M466" i="12" s="1"/>
  <c r="M467" i="12" s="1"/>
  <c r="M468" i="12" s="1"/>
  <c r="M469" i="12" s="1"/>
  <c r="M470" i="12" s="1"/>
  <c r="M471" i="12" s="1"/>
  <c r="M472" i="12" s="1"/>
  <c r="M473" i="12" s="1"/>
  <c r="M474" i="12" s="1"/>
  <c r="M475" i="12" s="1"/>
  <c r="M476" i="12" s="1"/>
  <c r="M477" i="12" s="1"/>
  <c r="M478" i="12" s="1"/>
  <c r="AC443" i="12"/>
  <c r="AC444" i="12" s="1"/>
  <c r="AC445" i="12" s="1"/>
  <c r="AC446" i="12" s="1"/>
  <c r="AC447" i="12" s="1"/>
  <c r="AC448" i="12" s="1"/>
  <c r="AC449" i="12" s="1"/>
  <c r="AC450" i="12" s="1"/>
  <c r="AC451" i="12" s="1"/>
  <c r="AC452" i="12" s="1"/>
  <c r="AC453" i="12" s="1"/>
  <c r="AC454" i="12" s="1"/>
  <c r="AC455" i="12" s="1"/>
  <c r="AC456" i="12" s="1"/>
  <c r="AC457" i="12" s="1"/>
  <c r="AC458" i="12" s="1"/>
  <c r="AC459" i="12" s="1"/>
  <c r="AC460" i="12" s="1"/>
  <c r="AC461" i="12" s="1"/>
  <c r="AC462" i="12" s="1"/>
  <c r="AC463" i="12" s="1"/>
  <c r="AC464" i="12" s="1"/>
  <c r="AC465" i="12" s="1"/>
  <c r="AC466" i="12" s="1"/>
  <c r="AC467" i="12" s="1"/>
  <c r="AC468" i="12" s="1"/>
  <c r="AC469" i="12" s="1"/>
  <c r="AC470" i="12" s="1"/>
  <c r="AC471" i="12" s="1"/>
  <c r="AC472" i="12" s="1"/>
  <c r="AC473" i="12" s="1"/>
  <c r="AC474" i="12" s="1"/>
  <c r="AC475" i="12" s="1"/>
  <c r="AC476" i="12" s="1"/>
  <c r="AC477" i="12" s="1"/>
  <c r="AC478" i="12" s="1"/>
  <c r="J45" i="16"/>
  <c r="I60" i="16"/>
  <c r="J239" i="12"/>
  <c r="AG159" i="12"/>
  <c r="K199" i="12"/>
  <c r="Z199" i="12"/>
  <c r="AI279" i="12"/>
  <c r="AG279" i="12"/>
  <c r="AF159" i="12"/>
  <c r="J279" i="12"/>
  <c r="AC239" i="12"/>
  <c r="Q239" i="12"/>
  <c r="X159" i="12"/>
  <c r="AC279" i="12"/>
  <c r="AH239" i="12"/>
  <c r="AA239" i="12"/>
  <c r="L279" i="12"/>
  <c r="L159" i="12"/>
  <c r="M119" i="12"/>
  <c r="AF279" i="12"/>
  <c r="I59" i="16"/>
  <c r="P239" i="12"/>
  <c r="W279" i="12"/>
  <c r="I58" i="16"/>
  <c r="I57" i="16"/>
  <c r="W199" i="12"/>
  <c r="I56" i="16"/>
  <c r="O159" i="12"/>
  <c r="D199" i="12"/>
  <c r="L199" i="12"/>
  <c r="L119" i="12"/>
  <c r="AD279" i="12"/>
  <c r="I159" i="12"/>
  <c r="X119" i="12"/>
  <c r="AH119" i="12"/>
  <c r="AA159" i="12"/>
  <c r="AF239" i="12"/>
  <c r="AH199" i="12"/>
  <c r="AB199" i="12"/>
  <c r="F239" i="12"/>
  <c r="F279" i="12"/>
  <c r="F199" i="12"/>
  <c r="AB239" i="12"/>
  <c r="AH159" i="12"/>
  <c r="AA199" i="12"/>
  <c r="S199" i="12"/>
  <c r="Y199" i="12"/>
  <c r="O279" i="12"/>
  <c r="AJ199" i="12"/>
  <c r="Z119" i="12"/>
  <c r="Y279" i="12"/>
  <c r="AH279" i="12"/>
  <c r="AE199" i="12"/>
  <c r="S239" i="12"/>
  <c r="AB279" i="12"/>
  <c r="O119" i="12"/>
  <c r="AD239" i="12"/>
  <c r="R119" i="12"/>
  <c r="Y239" i="12"/>
  <c r="X239" i="12"/>
  <c r="Y119" i="12"/>
  <c r="X199" i="12"/>
  <c r="U239" i="12"/>
  <c r="O199" i="12"/>
  <c r="Z239" i="12"/>
  <c r="Z159" i="12"/>
  <c r="R199" i="12"/>
  <c r="S119" i="12"/>
  <c r="R159" i="12"/>
  <c r="S159" i="12"/>
  <c r="R279" i="12"/>
  <c r="AA279" i="12"/>
  <c r="C239" i="12"/>
  <c r="AD119" i="12"/>
  <c r="AE279" i="12"/>
  <c r="U279" i="12"/>
  <c r="S279" i="12"/>
  <c r="U159" i="12"/>
  <c r="AB159" i="12"/>
  <c r="AF119" i="12"/>
  <c r="AB119" i="12"/>
  <c r="AF199" i="12"/>
  <c r="Y159" i="12"/>
  <c r="O239" i="12"/>
  <c r="AJ279" i="12"/>
  <c r="R239" i="12"/>
  <c r="AA119" i="12"/>
  <c r="AJ239" i="12"/>
  <c r="I119" i="12"/>
  <c r="I239" i="12"/>
  <c r="W239" i="12"/>
  <c r="W159" i="12"/>
  <c r="X279" i="12"/>
  <c r="AJ159" i="12"/>
  <c r="Z279" i="12"/>
  <c r="J39" i="14" l="1"/>
  <c r="I40" i="14"/>
  <c r="I41" i="14"/>
  <c r="I42" i="14" s="1"/>
  <c r="J9" i="16"/>
  <c r="I49" i="16"/>
  <c r="J8" i="16"/>
  <c r="I48" i="16"/>
  <c r="J12" i="16"/>
  <c r="I52" i="16"/>
  <c r="H54" i="16"/>
  <c r="I14" i="16"/>
  <c r="H53" i="16"/>
  <c r="I13" i="16"/>
  <c r="J11" i="16"/>
  <c r="I51" i="16"/>
  <c r="H43" i="16"/>
  <c r="I44" i="16"/>
  <c r="J4" i="16"/>
  <c r="J6" i="16"/>
  <c r="I46" i="16"/>
  <c r="H42" i="16"/>
  <c r="I2" i="16"/>
  <c r="S55" i="16"/>
  <c r="T15" i="16"/>
  <c r="J10" i="16"/>
  <c r="I50" i="16"/>
  <c r="J7" i="16"/>
  <c r="I47" i="16"/>
  <c r="I43" i="16"/>
  <c r="J3" i="16"/>
  <c r="BG12" i="12"/>
  <c r="BG8" i="12"/>
  <c r="BH7" i="12" s="1"/>
  <c r="BG2" i="12"/>
  <c r="BH1" i="12" s="1"/>
  <c r="BG6" i="12"/>
  <c r="BH5" i="12" s="1"/>
  <c r="BG4" i="12"/>
  <c r="BH3" i="12" s="1"/>
  <c r="AV23" i="12"/>
  <c r="AO23" i="12" s="1"/>
  <c r="AV25" i="12"/>
  <c r="AO25" i="12" s="1"/>
  <c r="AV36" i="12"/>
  <c r="AO36" i="12" s="1"/>
  <c r="AV16" i="12"/>
  <c r="AO16" i="12" s="1"/>
  <c r="AV28" i="12"/>
  <c r="AO28" i="12" s="1"/>
  <c r="AV11" i="12"/>
  <c r="AO11" i="12" s="1"/>
  <c r="AV26" i="12"/>
  <c r="AO26" i="12" s="1"/>
  <c r="AV34" i="12"/>
  <c r="AO34" i="12" s="1"/>
  <c r="AV32" i="12"/>
  <c r="AO32" i="12" s="1"/>
  <c r="AV24" i="12"/>
  <c r="AO24" i="12" s="1"/>
  <c r="AV9" i="12"/>
  <c r="AO9" i="12" s="1"/>
  <c r="AV33" i="12"/>
  <c r="AO33" i="12" s="1"/>
  <c r="AV8" i="12"/>
  <c r="AO8" i="12" s="1"/>
  <c r="AV13" i="12"/>
  <c r="AO13" i="12" s="1"/>
  <c r="AV19" i="12"/>
  <c r="AO19" i="12" s="1"/>
  <c r="G20" i="7" s="1"/>
  <c r="AV22" i="12"/>
  <c r="AO22" i="12" s="1"/>
  <c r="AV29" i="12"/>
  <c r="AO29" i="12" s="1"/>
  <c r="AV4" i="12"/>
  <c r="AO4" i="12" s="1"/>
  <c r="AV31" i="12"/>
  <c r="AO31" i="12" s="1"/>
  <c r="AV38" i="12"/>
  <c r="AO38" i="12" s="1"/>
  <c r="AV20" i="12"/>
  <c r="AO20" i="12" s="1"/>
  <c r="AV35" i="12"/>
  <c r="AO35" i="12" s="1"/>
  <c r="AV14" i="12"/>
  <c r="AO14" i="12" s="1"/>
  <c r="AV30" i="12"/>
  <c r="AO30" i="12" s="1"/>
  <c r="AV18" i="12"/>
  <c r="AO18" i="12" s="1"/>
  <c r="AV2" i="12"/>
  <c r="AO2" i="12" s="1"/>
  <c r="AV6" i="12"/>
  <c r="AO6" i="12" s="1"/>
  <c r="AV27" i="12"/>
  <c r="AO27" i="12" s="1"/>
  <c r="A523" i="12"/>
  <c r="AV17" i="12"/>
  <c r="AO17" i="12" s="1"/>
  <c r="AV3" i="12"/>
  <c r="AO3" i="12" s="1"/>
  <c r="AV21" i="12"/>
  <c r="AO21" i="12" s="1"/>
  <c r="AV15" i="12"/>
  <c r="AO15" i="12" s="1"/>
  <c r="AV7" i="12"/>
  <c r="AO7" i="12" s="1"/>
  <c r="AV10" i="12"/>
  <c r="AO10" i="12" s="1"/>
  <c r="AV12" i="12"/>
  <c r="AO12" i="12" s="1"/>
  <c r="AV5" i="12"/>
  <c r="AO5" i="12" s="1"/>
  <c r="K45" i="16"/>
  <c r="J60" i="16"/>
  <c r="J57" i="16"/>
  <c r="J59" i="16"/>
  <c r="J56" i="16"/>
  <c r="J58" i="16"/>
  <c r="K31" i="7" l="1"/>
  <c r="AZ31" i="12"/>
  <c r="BA31" i="12"/>
  <c r="BB31" i="12"/>
  <c r="AY31" i="12"/>
  <c r="AX31" i="12"/>
  <c r="BA26" i="12"/>
  <c r="AX26" i="12"/>
  <c r="AY26" i="12"/>
  <c r="BB26" i="12"/>
  <c r="AZ26" i="12"/>
  <c r="F29" i="7"/>
  <c r="AZ29" i="12"/>
  <c r="BB29" i="12"/>
  <c r="AY29" i="12"/>
  <c r="AX29" i="12"/>
  <c r="BA29" i="12"/>
  <c r="F30" i="7"/>
  <c r="AZ30" i="12"/>
  <c r="AX30" i="12"/>
  <c r="AY30" i="12"/>
  <c r="BB30" i="12"/>
  <c r="BA30" i="12"/>
  <c r="BA33" i="12"/>
  <c r="AY33" i="12"/>
  <c r="AX33" i="12"/>
  <c r="BB33" i="12"/>
  <c r="AZ33" i="12"/>
  <c r="BB28" i="12"/>
  <c r="BA28" i="12"/>
  <c r="AX28" i="12"/>
  <c r="AY28" i="12"/>
  <c r="AZ28" i="12"/>
  <c r="BB35" i="12"/>
  <c r="AZ35" i="12"/>
  <c r="AY35" i="12"/>
  <c r="AX35" i="12"/>
  <c r="BA35" i="12"/>
  <c r="AZ27" i="12"/>
  <c r="BA27" i="12"/>
  <c r="AX27" i="12"/>
  <c r="BB27" i="12"/>
  <c r="AY27" i="12"/>
  <c r="F32" i="7"/>
  <c r="BB32" i="12"/>
  <c r="AY32" i="12"/>
  <c r="AX32" i="12"/>
  <c r="BA32" i="12"/>
  <c r="AZ32" i="12"/>
  <c r="BB36" i="12"/>
  <c r="AX36" i="12"/>
  <c r="BA36" i="12"/>
  <c r="AZ36" i="12"/>
  <c r="AY36" i="12"/>
  <c r="AX38" i="12"/>
  <c r="BB38" i="12"/>
  <c r="BA38" i="12"/>
  <c r="AY38" i="12"/>
  <c r="AZ38" i="12"/>
  <c r="AZ34" i="12"/>
  <c r="AY34" i="12"/>
  <c r="BB34" i="12"/>
  <c r="AX34" i="12"/>
  <c r="BA34" i="12"/>
  <c r="H30" i="7"/>
  <c r="G30" i="7"/>
  <c r="J29" i="7"/>
  <c r="I24" i="7"/>
  <c r="G24" i="7"/>
  <c r="K24" i="7"/>
  <c r="F24" i="7"/>
  <c r="J24" i="7"/>
  <c r="H24" i="7"/>
  <c r="H26" i="7"/>
  <c r="F26" i="7"/>
  <c r="K26" i="7"/>
  <c r="J26" i="7"/>
  <c r="I26" i="7"/>
  <c r="G26" i="7"/>
  <c r="F17" i="7"/>
  <c r="G17" i="7"/>
  <c r="H17" i="7"/>
  <c r="I17" i="7"/>
  <c r="J17" i="7"/>
  <c r="K17" i="7"/>
  <c r="F20" i="7"/>
  <c r="H20" i="7"/>
  <c r="K20" i="7"/>
  <c r="I20" i="7"/>
  <c r="J20" i="7"/>
  <c r="F16" i="7"/>
  <c r="G16" i="7"/>
  <c r="H16" i="7"/>
  <c r="I16" i="7"/>
  <c r="J16" i="7"/>
  <c r="K16" i="7"/>
  <c r="F18" i="7"/>
  <c r="G18" i="7"/>
  <c r="H18" i="7"/>
  <c r="I18" i="7"/>
  <c r="J18" i="7"/>
  <c r="K18" i="7"/>
  <c r="K39" i="14"/>
  <c r="J40" i="14"/>
  <c r="J41" i="14"/>
  <c r="J42" i="14" s="1"/>
  <c r="BB25" i="12"/>
  <c r="BA25" i="12"/>
  <c r="AZ25" i="12"/>
  <c r="AX25" i="12"/>
  <c r="AY25" i="12"/>
  <c r="AX22" i="12"/>
  <c r="AZ22" i="12"/>
  <c r="AY22" i="12"/>
  <c r="BA22" i="12"/>
  <c r="BB22" i="12"/>
  <c r="AZ23" i="12"/>
  <c r="BA23" i="12"/>
  <c r="AX23" i="12"/>
  <c r="AY23" i="12"/>
  <c r="BB23" i="12"/>
  <c r="AX24" i="12"/>
  <c r="BB24" i="12"/>
  <c r="AY24" i="12"/>
  <c r="BA24" i="12"/>
  <c r="AZ24" i="12"/>
  <c r="BA21" i="12"/>
  <c r="AY21" i="12"/>
  <c r="AZ21" i="12"/>
  <c r="BB21" i="12"/>
  <c r="AX21" i="12"/>
  <c r="K11" i="16"/>
  <c r="J51" i="16"/>
  <c r="I53" i="16"/>
  <c r="J13" i="16"/>
  <c r="I54" i="16"/>
  <c r="J14" i="16"/>
  <c r="K12" i="16"/>
  <c r="J52" i="16"/>
  <c r="K8" i="16"/>
  <c r="J48" i="16"/>
  <c r="K9" i="16"/>
  <c r="J49" i="16"/>
  <c r="K6" i="16"/>
  <c r="J46" i="16"/>
  <c r="J44" i="16"/>
  <c r="K4" i="16"/>
  <c r="I42" i="16"/>
  <c r="J2" i="16"/>
  <c r="T55" i="16"/>
  <c r="U15" i="16"/>
  <c r="K10" i="16"/>
  <c r="J50" i="16"/>
  <c r="K7" i="16"/>
  <c r="J47" i="16"/>
  <c r="J43" i="16"/>
  <c r="K3" i="16"/>
  <c r="AX2" i="12"/>
  <c r="K2" i="7"/>
  <c r="AY2" i="12"/>
  <c r="AZ2" i="12"/>
  <c r="BB2" i="12"/>
  <c r="BA2" i="12"/>
  <c r="K13" i="7"/>
  <c r="AY13" i="12"/>
  <c r="BA13" i="12"/>
  <c r="BB13" i="12"/>
  <c r="AZ13" i="12"/>
  <c r="AX13" i="12"/>
  <c r="K3" i="7"/>
  <c r="AX3" i="12"/>
  <c r="AY3" i="12"/>
  <c r="AZ3" i="12"/>
  <c r="BA3" i="12"/>
  <c r="BB3" i="12"/>
  <c r="K12" i="7"/>
  <c r="AX12" i="12"/>
  <c r="BB12" i="12"/>
  <c r="AZ12" i="12"/>
  <c r="BA12" i="12"/>
  <c r="AY12" i="12"/>
  <c r="BB17" i="12"/>
  <c r="AX17" i="12"/>
  <c r="AY17" i="12"/>
  <c r="AZ17" i="12"/>
  <c r="BA17" i="12"/>
  <c r="K4" i="7"/>
  <c r="AX4" i="12"/>
  <c r="AY4" i="12"/>
  <c r="AZ4" i="12"/>
  <c r="BA4" i="12"/>
  <c r="BB4" i="12"/>
  <c r="K11" i="7"/>
  <c r="AZ11" i="12"/>
  <c r="AY11" i="12"/>
  <c r="BB11" i="12"/>
  <c r="AX11" i="12"/>
  <c r="BA11" i="12"/>
  <c r="K7" i="7"/>
  <c r="AX7" i="12"/>
  <c r="BB7" i="12"/>
  <c r="BA7" i="12"/>
  <c r="AZ7" i="12"/>
  <c r="AY7" i="12"/>
  <c r="BA16" i="12"/>
  <c r="AX16" i="12"/>
  <c r="BB16" i="12"/>
  <c r="AY16" i="12"/>
  <c r="AZ16" i="12"/>
  <c r="K9" i="7"/>
  <c r="AX9" i="12"/>
  <c r="BB9" i="12"/>
  <c r="AY9" i="12"/>
  <c r="AZ9" i="12"/>
  <c r="BA9" i="12"/>
  <c r="K15" i="7"/>
  <c r="BB15" i="12"/>
  <c r="AX15" i="12"/>
  <c r="AZ15" i="12"/>
  <c r="AY15" i="12"/>
  <c r="BA15" i="12"/>
  <c r="K6" i="7"/>
  <c r="AZ6" i="12"/>
  <c r="BB6" i="12"/>
  <c r="AY6" i="12"/>
  <c r="BA6" i="12"/>
  <c r="AX6" i="12"/>
  <c r="AZ20" i="12"/>
  <c r="N18" i="10" s="1"/>
  <c r="BB20" i="12"/>
  <c r="P18" i="10" s="1"/>
  <c r="BA20" i="12"/>
  <c r="O18" i="10" s="1"/>
  <c r="AY20" i="12"/>
  <c r="M18" i="10" s="1"/>
  <c r="AX20" i="12"/>
  <c r="L18" i="10" s="1"/>
  <c r="AZ19" i="12"/>
  <c r="BA19" i="12"/>
  <c r="AY19" i="12"/>
  <c r="AX19" i="12"/>
  <c r="BB19" i="12"/>
  <c r="K10" i="7"/>
  <c r="AY10" i="12"/>
  <c r="AX10" i="12"/>
  <c r="BA10" i="12"/>
  <c r="BB10" i="12"/>
  <c r="AZ10" i="12"/>
  <c r="K14" i="7"/>
  <c r="AX14" i="12"/>
  <c r="AZ14" i="12"/>
  <c r="BA14" i="12"/>
  <c r="AY14" i="12"/>
  <c r="BB14" i="12"/>
  <c r="K5" i="7"/>
  <c r="AX5" i="12"/>
  <c r="AZ5" i="12"/>
  <c r="BB5" i="12"/>
  <c r="BA5" i="12"/>
  <c r="AY5" i="12"/>
  <c r="BB18" i="12"/>
  <c r="BA18" i="12"/>
  <c r="AX18" i="12"/>
  <c r="AY18" i="12"/>
  <c r="AZ18" i="12"/>
  <c r="K8" i="7"/>
  <c r="BB8" i="12"/>
  <c r="AX8" i="12"/>
  <c r="BA8" i="12"/>
  <c r="AZ8" i="12"/>
  <c r="AY8" i="12"/>
  <c r="L45" i="16"/>
  <c r="K60" i="16"/>
  <c r="K59" i="16"/>
  <c r="K58" i="16"/>
  <c r="K57" i="16"/>
  <c r="K56" i="16"/>
  <c r="AI30" i="1"/>
  <c r="F30" i="1"/>
  <c r="AB30" i="1"/>
  <c r="Q30" i="1"/>
  <c r="I30" i="7" l="1"/>
  <c r="G29" i="7"/>
  <c r="H29" i="7"/>
  <c r="I29" i="7"/>
  <c r="J30" i="7"/>
  <c r="G31" i="7"/>
  <c r="F31" i="7"/>
  <c r="K29" i="7"/>
  <c r="K30" i="7"/>
  <c r="K32" i="7"/>
  <c r="H31" i="7"/>
  <c r="I31" i="7"/>
  <c r="H32" i="7"/>
  <c r="I32" i="7"/>
  <c r="G32" i="7"/>
  <c r="J32" i="7"/>
  <c r="J31" i="7"/>
  <c r="L39" i="14"/>
  <c r="K41" i="14"/>
  <c r="K42" i="14" s="1"/>
  <c r="L8" i="16"/>
  <c r="K48" i="16"/>
  <c r="L12" i="16"/>
  <c r="K52" i="16"/>
  <c r="J54" i="16"/>
  <c r="K14" i="16"/>
  <c r="J53" i="16"/>
  <c r="K13" i="16"/>
  <c r="L9" i="16"/>
  <c r="K49" i="16"/>
  <c r="L11" i="16"/>
  <c r="K51" i="16"/>
  <c r="K44" i="16"/>
  <c r="L4" i="16"/>
  <c r="L6" i="16"/>
  <c r="K46" i="16"/>
  <c r="J42" i="16"/>
  <c r="K2" i="16"/>
  <c r="U55" i="16"/>
  <c r="V15" i="16"/>
  <c r="L10" i="16"/>
  <c r="K50" i="16"/>
  <c r="L7" i="16"/>
  <c r="K47" i="16"/>
  <c r="K43" i="16"/>
  <c r="L3" i="16"/>
  <c r="G8" i="7"/>
  <c r="H8" i="7"/>
  <c r="I8" i="7"/>
  <c r="F8" i="7"/>
  <c r="J8" i="7"/>
  <c r="G5" i="7"/>
  <c r="H5" i="7"/>
  <c r="F5" i="7"/>
  <c r="I5" i="7"/>
  <c r="J5" i="7"/>
  <c r="H14" i="7"/>
  <c r="F14" i="7"/>
  <c r="G14" i="7"/>
  <c r="J14" i="7"/>
  <c r="I14" i="7"/>
  <c r="H15" i="7"/>
  <c r="J15" i="7"/>
  <c r="I15" i="7"/>
  <c r="G15" i="7"/>
  <c r="F15" i="7"/>
  <c r="G9" i="7"/>
  <c r="H9" i="7"/>
  <c r="J9" i="7"/>
  <c r="I9" i="7"/>
  <c r="H7" i="7"/>
  <c r="J7" i="7"/>
  <c r="G7" i="7"/>
  <c r="F7" i="7"/>
  <c r="I7" i="7"/>
  <c r="J11" i="7"/>
  <c r="I11" i="7"/>
  <c r="F11" i="7"/>
  <c r="G11" i="7"/>
  <c r="H11" i="7"/>
  <c r="J3" i="7"/>
  <c r="F3" i="7"/>
  <c r="H3" i="7"/>
  <c r="I3" i="7"/>
  <c r="G3" i="7"/>
  <c r="BG13" i="12"/>
  <c r="BH11" i="12" s="1"/>
  <c r="G2" i="7"/>
  <c r="F2" i="7"/>
  <c r="I2" i="7"/>
  <c r="H2" i="7"/>
  <c r="J2" i="7"/>
  <c r="BC2" i="12" s="1"/>
  <c r="H10" i="7"/>
  <c r="I10" i="7"/>
  <c r="J10" i="7"/>
  <c r="G10" i="7"/>
  <c r="F10" i="7"/>
  <c r="G6" i="7"/>
  <c r="I6" i="7"/>
  <c r="J6" i="7"/>
  <c r="F6" i="7"/>
  <c r="H6" i="7"/>
  <c r="H4" i="7"/>
  <c r="F4" i="7"/>
  <c r="G4" i="7"/>
  <c r="I4" i="7"/>
  <c r="J4" i="7"/>
  <c r="F12" i="7"/>
  <c r="H12" i="7"/>
  <c r="G12" i="7"/>
  <c r="I12" i="7"/>
  <c r="J12" i="7"/>
  <c r="G13" i="7"/>
  <c r="I13" i="7"/>
  <c r="F13" i="7"/>
  <c r="J13" i="7"/>
  <c r="H13" i="7"/>
  <c r="BH14" i="12"/>
  <c r="M45" i="16"/>
  <c r="L60" i="16"/>
  <c r="L56" i="16"/>
  <c r="L59" i="16"/>
  <c r="L57" i="16"/>
  <c r="L58" i="16"/>
  <c r="AN45" i="1"/>
  <c r="AN47" i="1"/>
  <c r="AN44" i="1"/>
  <c r="AN46" i="1"/>
  <c r="AN48" i="1"/>
  <c r="AN49" i="1"/>
  <c r="B50" i="1"/>
  <c r="M39" i="14" l="1"/>
  <c r="L41" i="14"/>
  <c r="L42" i="14" s="1"/>
  <c r="M9" i="16"/>
  <c r="L49" i="16"/>
  <c r="K53" i="16"/>
  <c r="L13" i="16"/>
  <c r="K54" i="16"/>
  <c r="L14" i="16"/>
  <c r="M12" i="16"/>
  <c r="L52" i="16"/>
  <c r="M11" i="16"/>
  <c r="L51" i="16"/>
  <c r="M8" i="16"/>
  <c r="L48" i="16"/>
  <c r="M6" i="16"/>
  <c r="L46" i="16"/>
  <c r="L44" i="16"/>
  <c r="M4" i="16"/>
  <c r="K42" i="16"/>
  <c r="L2" i="16"/>
  <c r="V55" i="16"/>
  <c r="W15" i="16"/>
  <c r="M10" i="16"/>
  <c r="L50" i="16"/>
  <c r="M7" i="16"/>
  <c r="L47" i="16"/>
  <c r="L43" i="16"/>
  <c r="M3" i="16"/>
  <c r="R25" i="2"/>
  <c r="X25" i="2" s="1"/>
  <c r="R15" i="2"/>
  <c r="R11" i="2"/>
  <c r="R37" i="2"/>
  <c r="X37" i="2" s="1"/>
  <c r="BC3" i="12"/>
  <c r="N45" i="16"/>
  <c r="M60" i="16"/>
  <c r="M58" i="16"/>
  <c r="M57" i="16"/>
  <c r="M59" i="16"/>
  <c r="M56" i="16"/>
  <c r="N39" i="14" l="1"/>
  <c r="M41" i="14"/>
  <c r="M42" i="14" s="1"/>
  <c r="N11" i="16"/>
  <c r="M51" i="16"/>
  <c r="N8" i="16"/>
  <c r="M48" i="16"/>
  <c r="N12" i="16"/>
  <c r="M52" i="16"/>
  <c r="L54" i="16"/>
  <c r="M14" i="16"/>
  <c r="L53" i="16"/>
  <c r="M13" i="16"/>
  <c r="N9" i="16"/>
  <c r="M49" i="16"/>
  <c r="M44" i="16"/>
  <c r="N4" i="16"/>
  <c r="N6" i="16"/>
  <c r="M46" i="16"/>
  <c r="L42" i="16"/>
  <c r="M2" i="16"/>
  <c r="W55" i="16"/>
  <c r="X15" i="16"/>
  <c r="M50" i="16"/>
  <c r="N10" i="16"/>
  <c r="N7" i="16"/>
  <c r="M47" i="16"/>
  <c r="M43" i="16"/>
  <c r="N3" i="16"/>
  <c r="BC4" i="12"/>
  <c r="BC5" i="12" s="1"/>
  <c r="BC6" i="12" s="1"/>
  <c r="BC7" i="12" s="1"/>
  <c r="BC8" i="12" s="1"/>
  <c r="BC9" i="12" s="1"/>
  <c r="BC10" i="12" s="1"/>
  <c r="BC11" i="12" s="1"/>
  <c r="BC12" i="12" s="1"/>
  <c r="BC13" i="12" s="1"/>
  <c r="BC14" i="12" s="1"/>
  <c r="BC15" i="12" s="1"/>
  <c r="BC16" i="12" s="1"/>
  <c r="BC17" i="12" s="1"/>
  <c r="BC18" i="12" s="1"/>
  <c r="BC19" i="12" s="1"/>
  <c r="BC20" i="12" s="1"/>
  <c r="O45" i="16"/>
  <c r="N60" i="16"/>
  <c r="N59" i="16"/>
  <c r="N57" i="16"/>
  <c r="N56" i="16"/>
  <c r="N58" i="16"/>
  <c r="O39" i="14" l="1"/>
  <c r="N41" i="14"/>
  <c r="N42" i="14" s="1"/>
  <c r="M53" i="16"/>
  <c r="N13" i="16"/>
  <c r="N14" i="16"/>
  <c r="M54" i="16"/>
  <c r="N49" i="16"/>
  <c r="O9" i="16"/>
  <c r="N52" i="16"/>
  <c r="O12" i="16"/>
  <c r="N48" i="16"/>
  <c r="O8" i="16"/>
  <c r="N51" i="16"/>
  <c r="O11" i="16"/>
  <c r="N46" i="16"/>
  <c r="O6" i="16"/>
  <c r="N44" i="16"/>
  <c r="O4" i="16"/>
  <c r="M42" i="16"/>
  <c r="N2" i="16"/>
  <c r="X55" i="16"/>
  <c r="Y15" i="16"/>
  <c r="N50" i="16"/>
  <c r="O10" i="16"/>
  <c r="N47" i="16"/>
  <c r="O7" i="16"/>
  <c r="N43" i="16"/>
  <c r="O3" i="16"/>
  <c r="BC21" i="12"/>
  <c r="BC42" i="12"/>
  <c r="P45" i="16"/>
  <c r="O60" i="16"/>
  <c r="O57" i="16"/>
  <c r="O58" i="16"/>
  <c r="O56" i="16"/>
  <c r="O59" i="16"/>
  <c r="B43" i="14" l="1"/>
  <c r="C43" i="14" s="1"/>
  <c r="D43" i="14" s="1"/>
  <c r="E43" i="14" s="1"/>
  <c r="F43" i="14" s="1"/>
  <c r="G43" i="14" s="1"/>
  <c r="O41" i="14"/>
  <c r="O42" i="14" s="1"/>
  <c r="O51" i="16"/>
  <c r="P11" i="16"/>
  <c r="P8" i="16"/>
  <c r="O48" i="16"/>
  <c r="O52" i="16"/>
  <c r="P12" i="16"/>
  <c r="O49" i="16"/>
  <c r="P9" i="16"/>
  <c r="N54" i="16"/>
  <c r="O14" i="16"/>
  <c r="O13" i="16"/>
  <c r="N53" i="16"/>
  <c r="O44" i="16"/>
  <c r="P4" i="16"/>
  <c r="O46" i="16"/>
  <c r="P6" i="16"/>
  <c r="O2" i="16"/>
  <c r="N42" i="16"/>
  <c r="Y55" i="16"/>
  <c r="Z15" i="16"/>
  <c r="O50" i="16"/>
  <c r="P10" i="16"/>
  <c r="O47" i="16"/>
  <c r="P7" i="16"/>
  <c r="O43" i="16"/>
  <c r="P3" i="16"/>
  <c r="BC22" i="12"/>
  <c r="BC23" i="12" s="1"/>
  <c r="BC24" i="12" s="1"/>
  <c r="BC25" i="12" s="1"/>
  <c r="BC26" i="12" s="1"/>
  <c r="BC27" i="12" s="1"/>
  <c r="BC28" i="12" s="1"/>
  <c r="BC29" i="12" s="1"/>
  <c r="BC30" i="12" s="1"/>
  <c r="BC31" i="12" s="1"/>
  <c r="BC32" i="12" s="1"/>
  <c r="BC33" i="12" s="1"/>
  <c r="BC34" i="12" s="1"/>
  <c r="BC35" i="12" s="1"/>
  <c r="BC36" i="12" s="1"/>
  <c r="BC38" i="12" s="1"/>
  <c r="Q45" i="16"/>
  <c r="P60" i="16"/>
  <c r="P57" i="16"/>
  <c r="P58" i="16"/>
  <c r="P59" i="16"/>
  <c r="P56" i="16"/>
  <c r="H43" i="14" l="1"/>
  <c r="I43" i="14" s="1"/>
  <c r="J43" i="14" s="1"/>
  <c r="K43" i="14" s="1"/>
  <c r="L43" i="14" s="1"/>
  <c r="M43" i="14" s="1"/>
  <c r="N43" i="14" s="1"/>
  <c r="O43" i="14" s="1"/>
  <c r="G45" i="14"/>
  <c r="G46" i="14" s="1"/>
  <c r="O53" i="16"/>
  <c r="P13" i="16"/>
  <c r="O54" i="16"/>
  <c r="P14" i="16"/>
  <c r="P49" i="16"/>
  <c r="Q9" i="16"/>
  <c r="P52" i="16"/>
  <c r="Q12" i="16"/>
  <c r="P48" i="16"/>
  <c r="Q8" i="16"/>
  <c r="P51" i="16"/>
  <c r="Q11" i="16"/>
  <c r="Q6" i="16"/>
  <c r="P46" i="16"/>
  <c r="P44" i="16"/>
  <c r="Q4" i="16"/>
  <c r="O42" i="16"/>
  <c r="P2" i="16"/>
  <c r="Z55" i="16"/>
  <c r="AA15" i="16"/>
  <c r="P50" i="16"/>
  <c r="Q10" i="16"/>
  <c r="P47" i="16"/>
  <c r="Q7" i="16"/>
  <c r="P43" i="16"/>
  <c r="Q3" i="16"/>
  <c r="BC39" i="12"/>
  <c r="BG23" i="12" s="1"/>
  <c r="B28" i="9" s="1"/>
  <c r="R45" i="16"/>
  <c r="Q60" i="16"/>
  <c r="Q56" i="16"/>
  <c r="Q58" i="16"/>
  <c r="Q57" i="16"/>
  <c r="Q59" i="16"/>
  <c r="Q51" i="16" l="1"/>
  <c r="R11" i="16"/>
  <c r="R8" i="16"/>
  <c r="Q48" i="16"/>
  <c r="Q52" i="16"/>
  <c r="R12" i="16"/>
  <c r="Q49" i="16"/>
  <c r="R9" i="16"/>
  <c r="Q14" i="16"/>
  <c r="P54" i="16"/>
  <c r="P53" i="16"/>
  <c r="Q13" i="16"/>
  <c r="Q44" i="16"/>
  <c r="R4" i="16"/>
  <c r="Q46" i="16"/>
  <c r="R6" i="16"/>
  <c r="P42" i="16"/>
  <c r="Q2" i="16"/>
  <c r="AA55" i="16"/>
  <c r="AB15" i="16"/>
  <c r="Q50" i="16"/>
  <c r="R10" i="16"/>
  <c r="Q47" i="16"/>
  <c r="R7" i="16"/>
  <c r="Q43" i="16"/>
  <c r="R3" i="16"/>
  <c r="S45" i="16"/>
  <c r="R60" i="16"/>
  <c r="R59" i="16"/>
  <c r="R58" i="16"/>
  <c r="R57" i="16"/>
  <c r="R56" i="16"/>
  <c r="Q53" i="16" l="1"/>
  <c r="R13" i="16"/>
  <c r="R14" i="16"/>
  <c r="Q54" i="16"/>
  <c r="R49" i="16"/>
  <c r="S9" i="16"/>
  <c r="R52" i="16"/>
  <c r="S12" i="16"/>
  <c r="R48" i="16"/>
  <c r="S8" i="16"/>
  <c r="R51" i="16"/>
  <c r="S11" i="16"/>
  <c r="S6" i="16"/>
  <c r="R46" i="16"/>
  <c r="R44" i="16"/>
  <c r="S4" i="16"/>
  <c r="R2" i="16"/>
  <c r="Q42" i="16"/>
  <c r="AB55" i="16"/>
  <c r="AC15" i="16"/>
  <c r="R50" i="16"/>
  <c r="S10" i="16"/>
  <c r="R47" i="16"/>
  <c r="S7" i="16"/>
  <c r="R43" i="16"/>
  <c r="S3" i="16"/>
  <c r="T45" i="16"/>
  <c r="S60" i="16"/>
  <c r="S59" i="16"/>
  <c r="S56" i="16"/>
  <c r="S58" i="16"/>
  <c r="S57" i="16"/>
  <c r="S51" i="16" l="1"/>
  <c r="T11" i="16"/>
  <c r="S48" i="16"/>
  <c r="T8" i="16"/>
  <c r="S52" i="16"/>
  <c r="T12" i="16"/>
  <c r="S49" i="16"/>
  <c r="T9" i="16"/>
  <c r="R54" i="16"/>
  <c r="S14" i="16"/>
  <c r="R53" i="16"/>
  <c r="S13" i="16"/>
  <c r="S44" i="16"/>
  <c r="T4" i="16"/>
  <c r="S46" i="16"/>
  <c r="T6" i="16"/>
  <c r="S2" i="16"/>
  <c r="R42" i="16"/>
  <c r="AC55" i="16"/>
  <c r="AD15" i="16"/>
  <c r="S50" i="16"/>
  <c r="T10" i="16"/>
  <c r="S47" i="16"/>
  <c r="T7" i="16"/>
  <c r="S43" i="16"/>
  <c r="T3" i="16"/>
  <c r="U45" i="16"/>
  <c r="T60" i="16"/>
  <c r="T57" i="16"/>
  <c r="T59" i="16"/>
  <c r="T58" i="16"/>
  <c r="T56" i="16"/>
  <c r="T13" i="16" l="1"/>
  <c r="S53" i="16"/>
  <c r="S54" i="16"/>
  <c r="T14" i="16"/>
  <c r="T49" i="16"/>
  <c r="U9" i="16"/>
  <c r="T52" i="16"/>
  <c r="U12" i="16"/>
  <c r="T48" i="16"/>
  <c r="U8" i="16"/>
  <c r="U11" i="16"/>
  <c r="T51" i="16"/>
  <c r="T46" i="16"/>
  <c r="U6" i="16"/>
  <c r="T44" i="16"/>
  <c r="U4" i="16"/>
  <c r="T2" i="16"/>
  <c r="S42" i="16"/>
  <c r="AD55" i="16"/>
  <c r="AE15" i="16"/>
  <c r="T50" i="16"/>
  <c r="U10" i="16"/>
  <c r="U7" i="16"/>
  <c r="T47" i="16"/>
  <c r="T43" i="16"/>
  <c r="U3" i="16"/>
  <c r="V45" i="16"/>
  <c r="U60" i="16"/>
  <c r="U56" i="16"/>
  <c r="U57" i="16"/>
  <c r="U58" i="16"/>
  <c r="U59" i="16"/>
  <c r="V15" i="5"/>
  <c r="L15" i="5"/>
  <c r="I15" i="5"/>
  <c r="F15" i="5"/>
  <c r="G15" i="5"/>
  <c r="J15" i="5"/>
  <c r="Q15" i="5"/>
  <c r="U15" i="5"/>
  <c r="W15" i="5"/>
  <c r="P15" i="5"/>
  <c r="M15" i="5"/>
  <c r="H15" i="5"/>
  <c r="K15" i="5"/>
  <c r="N15" i="5"/>
  <c r="R15" i="5"/>
  <c r="T15" i="5"/>
  <c r="S15" i="5"/>
  <c r="O15" i="5"/>
  <c r="U51" i="16" l="1"/>
  <c r="V11" i="16"/>
  <c r="U48" i="16"/>
  <c r="V8" i="16"/>
  <c r="U52" i="16"/>
  <c r="V12" i="16"/>
  <c r="U49" i="16"/>
  <c r="V9" i="16"/>
  <c r="T54" i="16"/>
  <c r="U14" i="16"/>
  <c r="T53" i="16"/>
  <c r="U13" i="16"/>
  <c r="U44" i="16"/>
  <c r="V4" i="16"/>
  <c r="U46" i="16"/>
  <c r="V6" i="16"/>
  <c r="U2" i="16"/>
  <c r="T42" i="16"/>
  <c r="AE55" i="16"/>
  <c r="AF15" i="16"/>
  <c r="U50" i="16"/>
  <c r="V10" i="16"/>
  <c r="U47" i="16"/>
  <c r="V7" i="16"/>
  <c r="V3" i="16"/>
  <c r="U43" i="16"/>
  <c r="W45" i="16"/>
  <c r="V60" i="16"/>
  <c r="V59" i="16"/>
  <c r="V58" i="16"/>
  <c r="V57" i="16"/>
  <c r="V56" i="16"/>
  <c r="AF55" i="16" l="1"/>
  <c r="AG15" i="16"/>
  <c r="AG55" i="16" s="1"/>
  <c r="U53" i="16"/>
  <c r="V13" i="16"/>
  <c r="U54" i="16"/>
  <c r="V14" i="16"/>
  <c r="V49" i="16"/>
  <c r="W9" i="16"/>
  <c r="V52" i="16"/>
  <c r="W12" i="16"/>
  <c r="V48" i="16"/>
  <c r="W8" i="16"/>
  <c r="V51" i="16"/>
  <c r="W11" i="16"/>
  <c r="V46" i="16"/>
  <c r="W6" i="16"/>
  <c r="V44" i="16"/>
  <c r="W4" i="16"/>
  <c r="V2" i="16"/>
  <c r="U42" i="16"/>
  <c r="V50" i="16"/>
  <c r="W10" i="16"/>
  <c r="W7" i="16"/>
  <c r="V47" i="16"/>
  <c r="W3" i="16"/>
  <c r="V43" i="16"/>
  <c r="X45" i="16"/>
  <c r="W60" i="16"/>
  <c r="W57" i="16"/>
  <c r="W58" i="16"/>
  <c r="W56" i="16"/>
  <c r="W59" i="16"/>
  <c r="AN15" i="16" l="1"/>
  <c r="W51" i="16"/>
  <c r="X11" i="16"/>
  <c r="W48" i="16"/>
  <c r="X8" i="16"/>
  <c r="W52" i="16"/>
  <c r="X12" i="16"/>
  <c r="W49" i="16"/>
  <c r="X9" i="16"/>
  <c r="V54" i="16"/>
  <c r="W14" i="16"/>
  <c r="W13" i="16"/>
  <c r="V53" i="16"/>
  <c r="W46" i="16"/>
  <c r="X6" i="16"/>
  <c r="W44" i="16"/>
  <c r="X4" i="16"/>
  <c r="V42" i="16"/>
  <c r="W2" i="16"/>
  <c r="X10" i="16"/>
  <c r="W50" i="16"/>
  <c r="X7" i="16"/>
  <c r="W47" i="16"/>
  <c r="W43" i="16"/>
  <c r="X3" i="16"/>
  <c r="Y45" i="16"/>
  <c r="X60" i="16"/>
  <c r="X56" i="16"/>
  <c r="X58" i="16"/>
  <c r="X59" i="16"/>
  <c r="X57" i="16"/>
  <c r="W53" i="16" l="1"/>
  <c r="X13" i="16"/>
  <c r="W54" i="16"/>
  <c r="X14" i="16"/>
  <c r="X49" i="16"/>
  <c r="Y9" i="16"/>
  <c r="X52" i="16"/>
  <c r="Y12" i="16"/>
  <c r="X48" i="16"/>
  <c r="Y8" i="16"/>
  <c r="X51" i="16"/>
  <c r="Y11" i="16"/>
  <c r="Y6" i="16"/>
  <c r="X46" i="16"/>
  <c r="X44" i="16"/>
  <c r="Y4" i="16"/>
  <c r="X2" i="16"/>
  <c r="W42" i="16"/>
  <c r="X50" i="16"/>
  <c r="Y10" i="16"/>
  <c r="X47" i="16"/>
  <c r="Y7" i="16"/>
  <c r="X43" i="16"/>
  <c r="Y3" i="16"/>
  <c r="Z45" i="16"/>
  <c r="Y60" i="16"/>
  <c r="Y57" i="16"/>
  <c r="Y56" i="16"/>
  <c r="Y59" i="16"/>
  <c r="Y58" i="16"/>
  <c r="Y51" i="16" l="1"/>
  <c r="Z11" i="16"/>
  <c r="X53" i="16"/>
  <c r="Y13" i="16"/>
  <c r="Y48" i="16"/>
  <c r="Z8" i="16"/>
  <c r="Y52" i="16"/>
  <c r="Z12" i="16"/>
  <c r="Y49" i="16"/>
  <c r="Z9" i="16"/>
  <c r="X54" i="16"/>
  <c r="Y14" i="16"/>
  <c r="Y46" i="16"/>
  <c r="Z6" i="16"/>
  <c r="Z4" i="16"/>
  <c r="Y44" i="16"/>
  <c r="Y2" i="16"/>
  <c r="X42" i="16"/>
  <c r="Y50" i="16"/>
  <c r="Z10" i="16"/>
  <c r="Y47" i="16"/>
  <c r="Z7" i="16"/>
  <c r="Y43" i="16"/>
  <c r="Z3" i="16"/>
  <c r="AA45" i="16"/>
  <c r="Z60" i="16"/>
  <c r="Z56" i="16"/>
  <c r="Z59" i="16"/>
  <c r="Z57" i="16"/>
  <c r="Z58" i="16"/>
  <c r="AA11" i="16" l="1"/>
  <c r="Z51" i="16"/>
  <c r="Y54" i="16"/>
  <c r="Z14" i="16"/>
  <c r="Z49" i="16"/>
  <c r="AA9" i="16"/>
  <c r="AA12" i="16"/>
  <c r="Z52" i="16"/>
  <c r="AA8" i="16"/>
  <c r="Z48" i="16"/>
  <c r="Y53" i="16"/>
  <c r="Z13" i="16"/>
  <c r="Z44" i="16"/>
  <c r="AA4" i="16"/>
  <c r="Z46" i="16"/>
  <c r="AA6" i="16"/>
  <c r="Z2" i="16"/>
  <c r="Y42" i="16"/>
  <c r="Z50" i="16"/>
  <c r="AA10" i="16"/>
  <c r="Z47" i="16"/>
  <c r="AA7" i="16"/>
  <c r="Z43" i="16"/>
  <c r="AA3" i="16"/>
  <c r="AB45" i="16"/>
  <c r="AA60" i="16"/>
  <c r="AA57" i="16"/>
  <c r="AA58" i="16"/>
  <c r="AA56" i="16"/>
  <c r="AA59" i="16"/>
  <c r="AA13" i="16" l="1"/>
  <c r="Z53" i="16"/>
  <c r="AA48" i="16"/>
  <c r="AB8" i="16"/>
  <c r="AA52" i="16"/>
  <c r="AB12" i="16"/>
  <c r="AA49" i="16"/>
  <c r="AB9" i="16"/>
  <c r="Z54" i="16"/>
  <c r="AA14" i="16"/>
  <c r="AA51" i="16"/>
  <c r="AB11" i="16"/>
  <c r="AA46" i="16"/>
  <c r="AB6" i="16"/>
  <c r="AA44" i="16"/>
  <c r="AB4" i="16"/>
  <c r="AA2" i="16"/>
  <c r="Z42" i="16"/>
  <c r="AA50" i="16"/>
  <c r="AB10" i="16"/>
  <c r="AA47" i="16"/>
  <c r="AB7" i="16"/>
  <c r="AA43" i="16"/>
  <c r="AB3" i="16"/>
  <c r="AC45" i="16"/>
  <c r="AB60" i="16"/>
  <c r="AB58" i="16"/>
  <c r="AB59" i="16"/>
  <c r="AB57" i="16"/>
  <c r="AB56" i="16"/>
  <c r="AB51" i="16" l="1"/>
  <c r="AC11" i="16"/>
  <c r="AA54" i="16"/>
  <c r="AB14" i="16"/>
  <c r="AC9" i="16"/>
  <c r="AB49" i="16"/>
  <c r="AC12" i="16"/>
  <c r="AB52" i="16"/>
  <c r="AB48" i="16"/>
  <c r="AC8" i="16"/>
  <c r="AA53" i="16"/>
  <c r="AB13" i="16"/>
  <c r="AB46" i="16"/>
  <c r="AC6" i="16"/>
  <c r="AB44" i="16"/>
  <c r="AC4" i="16"/>
  <c r="AB2" i="16"/>
  <c r="AA42" i="16"/>
  <c r="AB50" i="16"/>
  <c r="AC10" i="16"/>
  <c r="AB47" i="16"/>
  <c r="AC7" i="16"/>
  <c r="AB43" i="16"/>
  <c r="AC3" i="16"/>
  <c r="AD45" i="16"/>
  <c r="AC60" i="16"/>
  <c r="AC57" i="16"/>
  <c r="AC59" i="16"/>
  <c r="AC56" i="16"/>
  <c r="AC58" i="16"/>
  <c r="AB53" i="16" l="1"/>
  <c r="AC13" i="16"/>
  <c r="AC48" i="16"/>
  <c r="AD8" i="16"/>
  <c r="AC52" i="16"/>
  <c r="AD12" i="16"/>
  <c r="AC49" i="16"/>
  <c r="AD9" i="16"/>
  <c r="AB54" i="16"/>
  <c r="AC14" i="16"/>
  <c r="AC51" i="16"/>
  <c r="AD11" i="16"/>
  <c r="AC46" i="16"/>
  <c r="AD6" i="16"/>
  <c r="AC44" i="16"/>
  <c r="AD4" i="16"/>
  <c r="AC2" i="16"/>
  <c r="AB42" i="16"/>
  <c r="AC50" i="16"/>
  <c r="AD10" i="16"/>
  <c r="AC47" i="16"/>
  <c r="AD7" i="16"/>
  <c r="AC43" i="16"/>
  <c r="AD3" i="16"/>
  <c r="AE45" i="16"/>
  <c r="AD60" i="16"/>
  <c r="AD58" i="16"/>
  <c r="AD57" i="16"/>
  <c r="AD56" i="16"/>
  <c r="AD59" i="16"/>
  <c r="V16" i="5"/>
  <c r="H16" i="5"/>
  <c r="L16" i="5"/>
  <c r="M16" i="5"/>
  <c r="W16" i="5"/>
  <c r="S16" i="5"/>
  <c r="N16" i="5"/>
  <c r="G16" i="5"/>
  <c r="P16" i="5"/>
  <c r="I16" i="5"/>
  <c r="Q16" i="5"/>
  <c r="F16" i="5"/>
  <c r="O16" i="5"/>
  <c r="T16" i="5"/>
  <c r="K16" i="5"/>
  <c r="R16" i="5"/>
  <c r="J16" i="5"/>
  <c r="U16" i="5"/>
  <c r="AD51" i="16" l="1"/>
  <c r="AE11" i="16"/>
  <c r="AC54" i="16"/>
  <c r="AD14" i="16"/>
  <c r="AD49" i="16"/>
  <c r="AE9" i="16"/>
  <c r="AD52" i="16"/>
  <c r="AE12" i="16"/>
  <c r="AD48" i="16"/>
  <c r="AE8" i="16"/>
  <c r="AC53" i="16"/>
  <c r="AD13" i="16"/>
  <c r="AD46" i="16"/>
  <c r="AE6" i="16"/>
  <c r="AD44" i="16"/>
  <c r="AE4" i="16"/>
  <c r="AD2" i="16"/>
  <c r="AC42" i="16"/>
  <c r="AD50" i="16"/>
  <c r="AE10" i="16"/>
  <c r="AE7" i="16"/>
  <c r="AD47" i="16"/>
  <c r="AD43" i="16"/>
  <c r="AE3" i="16"/>
  <c r="AF45" i="16"/>
  <c r="AE60" i="16"/>
  <c r="AE58" i="16"/>
  <c r="AE56" i="16"/>
  <c r="AE57" i="16"/>
  <c r="AE59" i="16"/>
  <c r="P8" i="5"/>
  <c r="S10" i="5"/>
  <c r="K5" i="5"/>
  <c r="U7" i="5"/>
  <c r="H6" i="5"/>
  <c r="I6" i="5"/>
  <c r="J12" i="5"/>
  <c r="H9" i="5"/>
  <c r="J11" i="5"/>
  <c r="O5" i="5"/>
  <c r="F8" i="5"/>
  <c r="J9" i="5"/>
  <c r="K10" i="5"/>
  <c r="V8" i="5"/>
  <c r="S6" i="5"/>
  <c r="I5" i="5"/>
  <c r="O10" i="5"/>
  <c r="V4" i="5"/>
  <c r="V10" i="5"/>
  <c r="W9" i="5"/>
  <c r="L12" i="5"/>
  <c r="N12" i="5"/>
  <c r="M10" i="5"/>
  <c r="R10" i="5"/>
  <c r="L10" i="5"/>
  <c r="P9" i="5"/>
  <c r="V9" i="5"/>
  <c r="W10" i="5"/>
  <c r="J5" i="5"/>
  <c r="N6" i="5"/>
  <c r="N11" i="5"/>
  <c r="U4" i="5"/>
  <c r="W7" i="5"/>
  <c r="I10" i="5"/>
  <c r="K12" i="5"/>
  <c r="U10" i="5"/>
  <c r="G8" i="5"/>
  <c r="Q5" i="5"/>
  <c r="Q12" i="5"/>
  <c r="M8" i="5"/>
  <c r="F11" i="5"/>
  <c r="Q9" i="5"/>
  <c r="S5" i="5"/>
  <c r="O11" i="5"/>
  <c r="T9" i="5"/>
  <c r="V5" i="5"/>
  <c r="P10" i="5"/>
  <c r="F9" i="5"/>
  <c r="L9" i="5"/>
  <c r="O7" i="5"/>
  <c r="M6" i="5"/>
  <c r="V12" i="5"/>
  <c r="H8" i="5"/>
  <c r="N8" i="5"/>
  <c r="W6" i="5"/>
  <c r="M9" i="5"/>
  <c r="J7" i="5"/>
  <c r="H5" i="5"/>
  <c r="K8" i="5"/>
  <c r="O4" i="5"/>
  <c r="V6" i="5"/>
  <c r="M11" i="5"/>
  <c r="R7" i="5"/>
  <c r="T5" i="5"/>
  <c r="N5" i="5"/>
  <c r="I12" i="5"/>
  <c r="J4" i="5"/>
  <c r="F4" i="5"/>
  <c r="G7" i="5"/>
  <c r="R4" i="5"/>
  <c r="N10" i="5"/>
  <c r="V11" i="5"/>
  <c r="U9" i="5"/>
  <c r="W11" i="5"/>
  <c r="W5" i="5"/>
  <c r="Q11" i="5"/>
  <c r="M12" i="5"/>
  <c r="N7" i="5"/>
  <c r="N9" i="5"/>
  <c r="S12" i="5"/>
  <c r="M5" i="5"/>
  <c r="K9" i="5"/>
  <c r="O8" i="5"/>
  <c r="L11" i="5"/>
  <c r="U12" i="5"/>
  <c r="Q6" i="5"/>
  <c r="I9" i="5"/>
  <c r="F10" i="5"/>
  <c r="T4" i="5"/>
  <c r="L4" i="5"/>
  <c r="P12" i="5"/>
  <c r="S7" i="5"/>
  <c r="G9" i="5"/>
  <c r="T6" i="5"/>
  <c r="K4" i="5"/>
  <c r="F12" i="5"/>
  <c r="K11" i="5"/>
  <c r="R8" i="5"/>
  <c r="J8" i="5"/>
  <c r="U8" i="5"/>
  <c r="L8" i="5"/>
  <c r="O9" i="5"/>
  <c r="S9" i="5"/>
  <c r="I8" i="5"/>
  <c r="H7" i="5"/>
  <c r="T12" i="5"/>
  <c r="Q7" i="5"/>
  <c r="F7" i="5"/>
  <c r="U11" i="5"/>
  <c r="O12" i="5"/>
  <c r="L7" i="5"/>
  <c r="G12" i="5"/>
  <c r="U6" i="5"/>
  <c r="S8" i="5"/>
  <c r="W8" i="5"/>
  <c r="S4" i="5"/>
  <c r="P5" i="5"/>
  <c r="G10" i="5"/>
  <c r="G11" i="5"/>
  <c r="N4" i="5"/>
  <c r="P4" i="5"/>
  <c r="V7" i="5"/>
  <c r="K6" i="5"/>
  <c r="J10" i="5"/>
  <c r="J6" i="5"/>
  <c r="T10" i="5"/>
  <c r="R12" i="5"/>
  <c r="I7" i="5"/>
  <c r="F6" i="5"/>
  <c r="M7" i="5"/>
  <c r="P6" i="5"/>
  <c r="R11" i="5"/>
  <c r="S11" i="5"/>
  <c r="H12" i="5"/>
  <c r="L6" i="5"/>
  <c r="F5" i="5"/>
  <c r="R5" i="5"/>
  <c r="R6" i="5"/>
  <c r="O6" i="5"/>
  <c r="G6" i="5"/>
  <c r="R9" i="5"/>
  <c r="H10" i="5"/>
  <c r="W4" i="5"/>
  <c r="L5" i="5"/>
  <c r="P11" i="5"/>
  <c r="Q8" i="5"/>
  <c r="G4" i="5"/>
  <c r="Q4" i="5"/>
  <c r="K7" i="5"/>
  <c r="I4" i="5"/>
  <c r="M4" i="5"/>
  <c r="T7" i="5"/>
  <c r="I11" i="5"/>
  <c r="G5" i="5"/>
  <c r="H11" i="5"/>
  <c r="T8" i="5"/>
  <c r="Q10" i="5"/>
  <c r="T11" i="5"/>
  <c r="U5" i="5"/>
  <c r="P7" i="5"/>
  <c r="W12" i="5"/>
  <c r="H4" i="5"/>
  <c r="AD53" i="16" l="1"/>
  <c r="AE13" i="16"/>
  <c r="AE48" i="16"/>
  <c r="AF8" i="16"/>
  <c r="AE52" i="16"/>
  <c r="AF12" i="16"/>
  <c r="AE49" i="16"/>
  <c r="AF9" i="16"/>
  <c r="AD54" i="16"/>
  <c r="AE14" i="16"/>
  <c r="AF11" i="16"/>
  <c r="AE51" i="16"/>
  <c r="AE44" i="16"/>
  <c r="AF4" i="16"/>
  <c r="AG4" i="16" s="1"/>
  <c r="AG44" i="16" s="1"/>
  <c r="AE46" i="16"/>
  <c r="AF6" i="16"/>
  <c r="AE2" i="16"/>
  <c r="AD42" i="16"/>
  <c r="AE50" i="16"/>
  <c r="AF10" i="16"/>
  <c r="AE47" i="16"/>
  <c r="AF7" i="16"/>
  <c r="AF3" i="16"/>
  <c r="AG3" i="16" s="1"/>
  <c r="AG43" i="16" s="1"/>
  <c r="AE43" i="16"/>
  <c r="AG45" i="16"/>
  <c r="AN5" i="16" s="1"/>
  <c r="AF60" i="16"/>
  <c r="AF56" i="16"/>
  <c r="AF57" i="16"/>
  <c r="AF58" i="16"/>
  <c r="AF59" i="16"/>
  <c r="W19" i="5"/>
  <c r="G2" i="5"/>
  <c r="J19" i="5"/>
  <c r="O2" i="5"/>
  <c r="P19" i="5"/>
  <c r="R18" i="5"/>
  <c r="K19" i="5"/>
  <c r="M13" i="5"/>
  <c r="N20" i="5"/>
  <c r="R17" i="5"/>
  <c r="S2" i="5"/>
  <c r="N17" i="5"/>
  <c r="R14" i="5"/>
  <c r="U2" i="5"/>
  <c r="L17" i="5"/>
  <c r="O19" i="5"/>
  <c r="P18" i="5"/>
  <c r="Q19" i="5"/>
  <c r="T14" i="5"/>
  <c r="W14" i="5"/>
  <c r="U19" i="5"/>
  <c r="Q18" i="5"/>
  <c r="H18" i="5"/>
  <c r="N13" i="5"/>
  <c r="S19" i="5"/>
  <c r="U17" i="5"/>
  <c r="W18" i="5"/>
  <c r="R20" i="5"/>
  <c r="F2" i="5"/>
  <c r="S18" i="5"/>
  <c r="W2" i="5"/>
  <c r="J2" i="5"/>
  <c r="I18" i="5"/>
  <c r="H2" i="5"/>
  <c r="F20" i="5"/>
  <c r="J17" i="5"/>
  <c r="Q2" i="5"/>
  <c r="M17" i="5"/>
  <c r="N19" i="5"/>
  <c r="G20" i="5"/>
  <c r="G17" i="5"/>
  <c r="G18" i="5"/>
  <c r="N2" i="5"/>
  <c r="H13" i="5"/>
  <c r="Q14" i="5"/>
  <c r="O14" i="5"/>
  <c r="U13" i="5"/>
  <c r="G13" i="5"/>
  <c r="M2" i="5"/>
  <c r="S13" i="5"/>
  <c r="S17" i="5"/>
  <c r="P13" i="5"/>
  <c r="F14" i="5"/>
  <c r="L19" i="5"/>
  <c r="I14" i="5"/>
  <c r="F13" i="5"/>
  <c r="V2" i="5"/>
  <c r="J18" i="5"/>
  <c r="V18" i="5"/>
  <c r="J20" i="5"/>
  <c r="S14" i="5"/>
  <c r="P14" i="5"/>
  <c r="Q13" i="5"/>
  <c r="U20" i="5"/>
  <c r="M14" i="5"/>
  <c r="U14" i="5"/>
  <c r="R2" i="5"/>
  <c r="P2" i="5"/>
  <c r="T17" i="5"/>
  <c r="H19" i="5"/>
  <c r="T2" i="5"/>
  <c r="G19" i="5"/>
  <c r="T18" i="5"/>
  <c r="L20" i="5"/>
  <c r="V19" i="5"/>
  <c r="J14" i="5"/>
  <c r="O20" i="5"/>
  <c r="K17" i="5"/>
  <c r="L13" i="5"/>
  <c r="S20" i="5"/>
  <c r="N18" i="5"/>
  <c r="L18" i="5"/>
  <c r="R19" i="5"/>
  <c r="O13" i="5"/>
  <c r="M18" i="5"/>
  <c r="T20" i="5"/>
  <c r="I13" i="5"/>
  <c r="P17" i="5"/>
  <c r="U18" i="5"/>
  <c r="W17" i="5"/>
  <c r="I2" i="5"/>
  <c r="G14" i="5"/>
  <c r="M19" i="5"/>
  <c r="I19" i="5"/>
  <c r="V13" i="5"/>
  <c r="N14" i="5"/>
  <c r="K18" i="5"/>
  <c r="T13" i="5"/>
  <c r="V20" i="5"/>
  <c r="I17" i="5"/>
  <c r="J13" i="5"/>
  <c r="H17" i="5"/>
  <c r="I20" i="5"/>
  <c r="F19" i="5"/>
  <c r="W20" i="5"/>
  <c r="T19" i="5"/>
  <c r="L2" i="5"/>
  <c r="O18" i="5"/>
  <c r="K13" i="5"/>
  <c r="L14" i="5"/>
  <c r="H14" i="5"/>
  <c r="P20" i="5"/>
  <c r="Q20" i="5"/>
  <c r="W13" i="5"/>
  <c r="V17" i="5"/>
  <c r="F17" i="5"/>
  <c r="O17" i="5"/>
  <c r="F18" i="5"/>
  <c r="R13" i="5"/>
  <c r="K2" i="5"/>
  <c r="M20" i="5"/>
  <c r="K20" i="5"/>
  <c r="K14" i="5"/>
  <c r="H20" i="5"/>
  <c r="V14" i="5"/>
  <c r="Q17" i="5"/>
  <c r="AF52" i="16" l="1"/>
  <c r="AG12" i="16"/>
  <c r="AG52" i="16" s="1"/>
  <c r="AF51" i="16"/>
  <c r="AG11" i="16"/>
  <c r="AG51" i="16" s="1"/>
  <c r="AF47" i="16"/>
  <c r="AG7" i="16"/>
  <c r="AG47" i="16" s="1"/>
  <c r="AF46" i="16"/>
  <c r="AG6" i="16"/>
  <c r="AG46" i="16" s="1"/>
  <c r="AF48" i="16"/>
  <c r="AG8" i="16"/>
  <c r="AG48" i="16" s="1"/>
  <c r="AF50" i="16"/>
  <c r="AG10" i="16"/>
  <c r="AG50" i="16" s="1"/>
  <c r="AF49" i="16"/>
  <c r="AG9" i="16"/>
  <c r="AG49" i="16" s="1"/>
  <c r="AF44" i="16"/>
  <c r="AN4" i="16" s="1"/>
  <c r="AT4" i="16"/>
  <c r="AU4" i="16" s="1"/>
  <c r="AF43" i="16"/>
  <c r="AN3" i="16" s="1"/>
  <c r="J399" i="12" s="1"/>
  <c r="AT3" i="16"/>
  <c r="AU3" i="16" s="1"/>
  <c r="F319" i="12"/>
  <c r="AJ359" i="12"/>
  <c r="Q359" i="12"/>
  <c r="E399" i="12"/>
  <c r="C359" i="12"/>
  <c r="E479" i="12"/>
  <c r="R399" i="12"/>
  <c r="U439" i="12"/>
  <c r="N479" i="12"/>
  <c r="AD399" i="12"/>
  <c r="L399" i="12"/>
  <c r="AE54" i="16"/>
  <c r="AF14" i="16"/>
  <c r="F399" i="12"/>
  <c r="AE53" i="16"/>
  <c r="AF13" i="16"/>
  <c r="X439" i="12"/>
  <c r="T439" i="12"/>
  <c r="H439" i="12"/>
  <c r="C319" i="12"/>
  <c r="W359" i="12"/>
  <c r="AH479" i="12"/>
  <c r="T399" i="12"/>
  <c r="M359" i="12"/>
  <c r="W319" i="12"/>
  <c r="I359" i="12"/>
  <c r="AE479" i="12"/>
  <c r="P479" i="12"/>
  <c r="M319" i="12"/>
  <c r="R359" i="12"/>
  <c r="AE439" i="12"/>
  <c r="L439" i="12"/>
  <c r="F39" i="2"/>
  <c r="AF2" i="16"/>
  <c r="AG2" i="16" s="1"/>
  <c r="AG42" i="16" s="1"/>
  <c r="AE42" i="16"/>
  <c r="AG60" i="16"/>
  <c r="AN20" i="16" s="1"/>
  <c r="AG58" i="16"/>
  <c r="AN18" i="16" s="1"/>
  <c r="AG57" i="16"/>
  <c r="AN17" i="16" s="1"/>
  <c r="AG56" i="16"/>
  <c r="AN16" i="16" s="1"/>
  <c r="AG59" i="16"/>
  <c r="AN19" i="16" s="1"/>
  <c r="O45" i="1"/>
  <c r="R3" i="5"/>
  <c r="AD46" i="1"/>
  <c r="Y46" i="1"/>
  <c r="P3" i="5"/>
  <c r="O46" i="1"/>
  <c r="M3" i="5"/>
  <c r="AT7" i="1"/>
  <c r="B37" i="1"/>
  <c r="AL9" i="1"/>
  <c r="Y45" i="1"/>
  <c r="Q3" i="5"/>
  <c r="V3" i="5"/>
  <c r="B39" i="1"/>
  <c r="E46" i="1"/>
  <c r="T3" i="5"/>
  <c r="AT8" i="1"/>
  <c r="E44" i="1"/>
  <c r="AL6" i="1"/>
  <c r="W3" i="5"/>
  <c r="B12" i="1" s="1"/>
  <c r="AP9" i="1"/>
  <c r="AL4" i="1"/>
  <c r="Z10" i="1"/>
  <c r="J44" i="1"/>
  <c r="Y44" i="1"/>
  <c r="F3" i="5"/>
  <c r="AT4" i="1"/>
  <c r="E45" i="1"/>
  <c r="AI49" i="1"/>
  <c r="AI46" i="1"/>
  <c r="I3" i="5"/>
  <c r="AI45" i="1"/>
  <c r="Z7" i="1"/>
  <c r="AD44" i="1"/>
  <c r="B38" i="1"/>
  <c r="AP4" i="1"/>
  <c r="J45" i="1"/>
  <c r="Z9" i="1"/>
  <c r="E47" i="1"/>
  <c r="AI32" i="1"/>
  <c r="U3" i="5"/>
  <c r="J48" i="1"/>
  <c r="T49" i="1"/>
  <c r="L3" i="5"/>
  <c r="V8" i="1" s="1"/>
  <c r="O49" i="1"/>
  <c r="H3" i="5"/>
  <c r="J47" i="1"/>
  <c r="AI47" i="1"/>
  <c r="T46" i="1"/>
  <c r="Z8" i="1"/>
  <c r="AT6" i="1"/>
  <c r="J3" i="5"/>
  <c r="B28" i="1"/>
  <c r="E48" i="1"/>
  <c r="B29" i="1"/>
  <c r="J46" i="1"/>
  <c r="N3" i="5"/>
  <c r="K3" i="5"/>
  <c r="G3" i="5"/>
  <c r="B26" i="9"/>
  <c r="B9" i="1"/>
  <c r="AD4" i="1"/>
  <c r="AL7" i="1"/>
  <c r="J7" i="1"/>
  <c r="V9" i="1"/>
  <c r="Z6" i="1"/>
  <c r="T47" i="1"/>
  <c r="B11" i="1"/>
  <c r="B7" i="1"/>
  <c r="AD45" i="1"/>
  <c r="O47" i="1"/>
  <c r="J8" i="1"/>
  <c r="B6" i="1"/>
  <c r="R8" i="1"/>
  <c r="AI44" i="1"/>
  <c r="N9" i="1"/>
  <c r="O3" i="5"/>
  <c r="AD6" i="1"/>
  <c r="V7" i="1"/>
  <c r="T44" i="1"/>
  <c r="S3" i="5"/>
  <c r="T45" i="1"/>
  <c r="AP6" i="1"/>
  <c r="O44" i="1"/>
  <c r="V6" i="1"/>
  <c r="F8" i="1"/>
  <c r="AP7" i="1"/>
  <c r="Y49" i="1"/>
  <c r="AD49" i="1"/>
  <c r="Y47" i="1"/>
  <c r="AD47" i="1"/>
  <c r="O48" i="1"/>
  <c r="Y48" i="1"/>
  <c r="F9" i="1"/>
  <c r="F7" i="1"/>
  <c r="F6" i="1"/>
  <c r="N7" i="1"/>
  <c r="N6" i="1"/>
  <c r="N8" i="1"/>
  <c r="AD9" i="1"/>
  <c r="AD7" i="1"/>
  <c r="R9" i="1"/>
  <c r="R7" i="1"/>
  <c r="B10" i="1"/>
  <c r="B8" i="1"/>
  <c r="AH7" i="1"/>
  <c r="AH8" i="1"/>
  <c r="AH6" i="1"/>
  <c r="AH4" i="1"/>
  <c r="Q33" i="1"/>
  <c r="F33" i="1"/>
  <c r="AB33" i="1"/>
  <c r="F32" i="1"/>
  <c r="Q32" i="1"/>
  <c r="AN10" i="16" l="1"/>
  <c r="AN7" i="16"/>
  <c r="AF53" i="16"/>
  <c r="AG13" i="16"/>
  <c r="AG53" i="16" s="1"/>
  <c r="AN8" i="16"/>
  <c r="AN11" i="16"/>
  <c r="AF54" i="16"/>
  <c r="AG14" i="16"/>
  <c r="AG54" i="16" s="1"/>
  <c r="AN9" i="16"/>
  <c r="AN6" i="16"/>
  <c r="AN12" i="16"/>
  <c r="M399" i="12"/>
  <c r="AA359" i="12"/>
  <c r="H359" i="12"/>
  <c r="AG479" i="12"/>
  <c r="BG21" i="12" s="1"/>
  <c r="F359" i="12"/>
  <c r="AA439" i="12"/>
  <c r="G319" i="12"/>
  <c r="T319" i="12"/>
  <c r="AE359" i="12"/>
  <c r="AH439" i="12"/>
  <c r="P359" i="12"/>
  <c r="AJ439" i="12"/>
  <c r="Q319" i="12"/>
  <c r="AH399" i="12"/>
  <c r="W439" i="12"/>
  <c r="AA399" i="12"/>
  <c r="AG439" i="12"/>
  <c r="BG19" i="12" s="1"/>
  <c r="X359" i="12"/>
  <c r="N359" i="12"/>
  <c r="N319" i="12"/>
  <c r="V359" i="12"/>
  <c r="X399" i="12"/>
  <c r="AA479" i="12"/>
  <c r="G399" i="12"/>
  <c r="J479" i="12"/>
  <c r="G359" i="12"/>
  <c r="D439" i="12"/>
  <c r="I479" i="12"/>
  <c r="T479" i="12"/>
  <c r="L319" i="12"/>
  <c r="J359" i="12"/>
  <c r="O479" i="12"/>
  <c r="D319" i="12"/>
  <c r="I439" i="12"/>
  <c r="M479" i="12"/>
  <c r="AJ399" i="12"/>
  <c r="Z479" i="12"/>
  <c r="E439" i="12"/>
  <c r="W479" i="12"/>
  <c r="AI439" i="12"/>
  <c r="Q479" i="12"/>
  <c r="V319" i="12"/>
  <c r="C399" i="12"/>
  <c r="H479" i="12"/>
  <c r="Y399" i="12"/>
  <c r="AF439" i="12"/>
  <c r="AF359" i="12"/>
  <c r="AG319" i="12"/>
  <c r="AD439" i="12"/>
  <c r="K319" i="12"/>
  <c r="K359" i="12"/>
  <c r="AF479" i="12"/>
  <c r="S319" i="12"/>
  <c r="F439" i="12"/>
  <c r="Y319" i="12"/>
  <c r="J319" i="12"/>
  <c r="AF399" i="12"/>
  <c r="AB359" i="12"/>
  <c r="P319" i="12"/>
  <c r="AG359" i="12"/>
  <c r="BG15" i="12" s="1"/>
  <c r="AD359" i="12"/>
  <c r="X479" i="12"/>
  <c r="U399" i="12"/>
  <c r="O359" i="12"/>
  <c r="O399" i="12"/>
  <c r="K439" i="12"/>
  <c r="O439" i="12"/>
  <c r="AB399" i="12"/>
  <c r="AI359" i="12"/>
  <c r="AB319" i="12"/>
  <c r="Z399" i="12"/>
  <c r="W399" i="12"/>
  <c r="J439" i="12"/>
  <c r="L479" i="12"/>
  <c r="I319" i="12"/>
  <c r="Z359" i="12"/>
  <c r="P439" i="12"/>
  <c r="C479" i="12"/>
  <c r="U319" i="12"/>
  <c r="N439" i="12"/>
  <c r="AB439" i="12"/>
  <c r="R319" i="12"/>
  <c r="D359" i="12"/>
  <c r="U359" i="12"/>
  <c r="Z439" i="12"/>
  <c r="AH319" i="12"/>
  <c r="AH359" i="12"/>
  <c r="S399" i="12"/>
  <c r="R479" i="12"/>
  <c r="H319" i="12"/>
  <c r="X319" i="12"/>
  <c r="AI479" i="12"/>
  <c r="AE399" i="12"/>
  <c r="K479" i="12"/>
  <c r="Q399" i="12"/>
  <c r="K399" i="12"/>
  <c r="AC359" i="12"/>
  <c r="AA319" i="12"/>
  <c r="V479" i="12"/>
  <c r="AC319" i="12"/>
  <c r="AC479" i="12"/>
  <c r="AD319" i="12"/>
  <c r="AI399" i="12"/>
  <c r="S439" i="12"/>
  <c r="P399" i="12"/>
  <c r="AI319" i="12"/>
  <c r="M439" i="12"/>
  <c r="S479" i="12"/>
  <c r="V399" i="12"/>
  <c r="AE319" i="12"/>
  <c r="C439" i="12"/>
  <c r="G439" i="12"/>
  <c r="L359" i="12"/>
  <c r="AB479" i="12"/>
  <c r="I399" i="12"/>
  <c r="Y479" i="12"/>
  <c r="AG399" i="12"/>
  <c r="BG10" i="12" s="1"/>
  <c r="BH9" i="12" s="1"/>
  <c r="Y439" i="12"/>
  <c r="V439" i="12"/>
  <c r="G479" i="12"/>
  <c r="Z319" i="12"/>
  <c r="AD479" i="12"/>
  <c r="O319" i="12"/>
  <c r="E319" i="12"/>
  <c r="T359" i="12"/>
  <c r="N399" i="12"/>
  <c r="D479" i="12"/>
  <c r="Q439" i="12"/>
  <c r="E359" i="12"/>
  <c r="S359" i="12"/>
  <c r="AJ319" i="12"/>
  <c r="Y359" i="12"/>
  <c r="D399" i="12"/>
  <c r="AC439" i="12"/>
  <c r="AJ479" i="12"/>
  <c r="R439" i="12"/>
  <c r="F479" i="12"/>
  <c r="H399" i="12"/>
  <c r="AF319" i="12"/>
  <c r="L11" i="2"/>
  <c r="AI38" i="1"/>
  <c r="AS45" i="1"/>
  <c r="L15" i="2"/>
  <c r="AI28" i="1"/>
  <c r="AI39" i="1"/>
  <c r="AI29" i="1"/>
  <c r="AI37" i="1"/>
  <c r="AS46" i="1"/>
  <c r="AC399" i="12"/>
  <c r="F27" i="2"/>
  <c r="F29" i="2"/>
  <c r="U479" i="12"/>
  <c r="F41" i="2"/>
  <c r="AF42" i="16"/>
  <c r="AN2" i="16" s="1"/>
  <c r="AT2" i="16"/>
  <c r="AU2" i="16" s="1"/>
  <c r="L35" i="2"/>
  <c r="AS47" i="1"/>
  <c r="AT11" i="1"/>
  <c r="F11" i="2"/>
  <c r="AS44" i="1"/>
  <c r="AT12" i="1"/>
  <c r="AB32" i="1"/>
  <c r="AN50" i="1"/>
  <c r="B36" i="1"/>
  <c r="AD8" i="1"/>
  <c r="T48" i="1"/>
  <c r="E49" i="1"/>
  <c r="B27" i="9"/>
  <c r="B35" i="1"/>
  <c r="AP8" i="1"/>
  <c r="J49" i="1"/>
  <c r="J6" i="1"/>
  <c r="B13" i="1"/>
  <c r="AD48" i="1"/>
  <c r="AH9" i="1"/>
  <c r="J9" i="1"/>
  <c r="AL8" i="1"/>
  <c r="B34" i="1"/>
  <c r="AI48" i="1"/>
  <c r="R6" i="1"/>
  <c r="L23" i="2" l="1"/>
  <c r="AN14" i="16"/>
  <c r="AN13" i="16"/>
  <c r="AT13" i="1"/>
  <c r="F35" i="2"/>
  <c r="AS49" i="1"/>
  <c r="BG17" i="12"/>
  <c r="X11" i="2"/>
  <c r="AS48" i="1"/>
  <c r="F23" i="2"/>
  <c r="X23" i="2" s="1"/>
  <c r="X15" i="2"/>
  <c r="X35" i="2"/>
  <c r="AI36" i="1"/>
  <c r="AI35" i="1"/>
  <c r="AI34" i="1"/>
  <c r="B40" i="1"/>
  <c r="AI40" i="1" l="1"/>
  <c r="AM28" i="1" s="1"/>
</calcChain>
</file>

<file path=xl/comments1.xml><?xml version="1.0" encoding="utf-8"?>
<comments xmlns="http://schemas.openxmlformats.org/spreadsheetml/2006/main">
  <authors>
    <author>spfhadmin</author>
  </authors>
  <commentList>
    <comment ref="A50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spfhadmin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16 / 18 / 20 / 22 / 24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假 / 退 / ""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細明體"/>
            <family val="3"/>
            <charset val="136"/>
          </rPr>
          <t>否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 / 否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spfhadmin: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 / 否</t>
        </r>
      </text>
    </comment>
  </commentList>
</comments>
</file>

<file path=xl/comments3.xml><?xml version="1.0" encoding="utf-8"?>
<comments xmlns="http://schemas.openxmlformats.org/spreadsheetml/2006/main">
  <authors>
    <author>Home PC</author>
  </authors>
  <commentList>
    <comment ref="J26" authorId="0" shapeId="0">
      <text>
        <r>
          <rPr>
            <sz val="12"/>
            <rFont val="新細明體"/>
            <family val="1"/>
            <charset val="136"/>
          </rPr>
          <t>所有人員之差假人數會自動套用及計算，不須再修改。</t>
        </r>
      </text>
    </comment>
    <comment ref="F33" authorId="0" shapeId="0">
      <text>
        <r>
          <rPr>
            <sz val="12"/>
            <rFont val="新細明體"/>
            <family val="1"/>
            <charset val="136"/>
          </rPr>
          <t xml:space="preserve">如果勤務分配表數字正確，這個範圍就會自動套用人數，不須再修改。
</t>
        </r>
      </text>
    </comment>
    <comment ref="J34" authorId="0" shapeId="0">
      <text>
        <r>
          <rPr>
            <sz val="12"/>
            <rFont val="新細明體"/>
            <family val="1"/>
            <charset val="136"/>
          </rPr>
          <t xml:space="preserve">如果勤務分配表數字正確，這個範圍就會自動套用人數，不須再修改。
</t>
        </r>
      </text>
    </comment>
  </commentList>
</comments>
</file>

<file path=xl/sharedStrings.xml><?xml version="1.0" encoding="utf-8"?>
<sst xmlns="http://schemas.openxmlformats.org/spreadsheetml/2006/main" count="1896" uniqueCount="779">
  <si>
    <t>主管：</t>
  </si>
  <si>
    <t>08-09</t>
  </si>
  <si>
    <t>09-10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</si>
  <si>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</si>
  <si>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</si>
  <si>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</si>
  <si>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</si>
  <si>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</si>
  <si>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</si>
  <si>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</si>
  <si>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</si>
  <si>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</si>
  <si>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</si>
  <si>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</si>
  <si>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</si>
  <si>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</si>
  <si>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</si>
  <si>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00-01</t>
  </si>
  <si>
    <t>01-02</t>
  </si>
  <si>
    <t>02-03</t>
  </si>
  <si>
    <t>03-04</t>
  </si>
  <si>
    <t>04-05</t>
  </si>
  <si>
    <t>05-06</t>
  </si>
  <si>
    <t>06-07</t>
  </si>
  <si>
    <t>07-08</t>
  </si>
  <si>
    <t>備勤</t>
  </si>
  <si>
    <t>L</t>
  </si>
  <si>
    <t>待命服勤</t>
  </si>
  <si>
    <t>大隊值日</t>
  </si>
  <si>
    <t>非立即警力</t>
  </si>
  <si>
    <t>幹部</t>
  </si>
  <si>
    <t>A</t>
  </si>
  <si>
    <t>中隊長</t>
  </si>
  <si>
    <t>B</t>
  </si>
  <si>
    <t>副中隊長</t>
  </si>
  <si>
    <t>警務員</t>
  </si>
  <si>
    <t>警務佐</t>
  </si>
  <si>
    <t>E</t>
  </si>
  <si>
    <t>分隊長</t>
  </si>
  <si>
    <t>I</t>
  </si>
  <si>
    <t>小隊長</t>
  </si>
  <si>
    <t>J</t>
  </si>
  <si>
    <t>K</t>
  </si>
  <si>
    <t>M</t>
  </si>
  <si>
    <t>N</t>
  </si>
  <si>
    <t>O</t>
  </si>
  <si>
    <t>P</t>
  </si>
  <si>
    <t>Q</t>
  </si>
  <si>
    <t>差           假</t>
  </si>
  <si>
    <t>小計</t>
  </si>
  <si>
    <t>合計</t>
  </si>
  <si>
    <t>幹部輪休</t>
  </si>
  <si>
    <t>警員輪休</t>
  </si>
  <si>
    <t>全日休：</t>
  </si>
  <si>
    <t>18時收：</t>
  </si>
  <si>
    <t>退勤</t>
  </si>
  <si>
    <t>公假</t>
  </si>
  <si>
    <t>喪假</t>
  </si>
  <si>
    <t>病(事)假</t>
  </si>
  <si>
    <t>婚(產)假</t>
  </si>
  <si>
    <t>補休</t>
  </si>
  <si>
    <t>休假</t>
  </si>
  <si>
    <t>警力管制現況</t>
  </si>
  <si>
    <t>官警人數統計</t>
  </si>
  <si>
    <t>警員</t>
  </si>
  <si>
    <t>役男</t>
  </si>
  <si>
    <t>人員總數</t>
  </si>
  <si>
    <t>差假人數</t>
  </si>
  <si>
    <t>支援總(大)隊</t>
  </si>
  <si>
    <t>支援(其他)</t>
  </si>
  <si>
    <t>現有機動警力(日)</t>
  </si>
  <si>
    <t>現有機動警力(夜)</t>
  </si>
  <si>
    <t>備註</t>
  </si>
  <si>
    <t>執勤官</t>
  </si>
  <si>
    <t>代訓班期
幹部</t>
  </si>
  <si>
    <t>原定勤務時間</t>
  </si>
  <si>
    <t>原定勤務</t>
  </si>
  <si>
    <t>勤務人員</t>
  </si>
  <si>
    <t>變更勤務時間</t>
  </si>
  <si>
    <t>變更勤務及事由</t>
  </si>
  <si>
    <t>主管核章</t>
  </si>
  <si>
    <t>警力現況表</t>
  </si>
  <si>
    <t>警力人數</t>
  </si>
  <si>
    <t>A.現有
警力</t>
  </si>
  <si>
    <t>警職</t>
  </si>
  <si>
    <t>B.輪休警力
(含休.公.補.事.病假)</t>
  </si>
  <si>
    <t>E.日間出勤警力</t>
  </si>
  <si>
    <t>F.日間在隊警力</t>
  </si>
  <si>
    <t>正(副)主官(管)</t>
  </si>
  <si>
    <t>G.夜間出勤警力</t>
  </si>
  <si>
    <t>H.夜間在隊警力</t>
  </si>
  <si>
    <t xml:space="preserve">內政部警政署保安警察第一總隊第二大隊108年 </t>
  </si>
  <si>
    <t>月</t>
  </si>
  <si>
    <t>日</t>
  </si>
  <si>
    <t>在營警力統計表</t>
  </si>
  <si>
    <t>大隊部</t>
  </si>
  <si>
    <t>ㄧ中</t>
  </si>
  <si>
    <t>二中</t>
  </si>
  <si>
    <t>三中</t>
  </si>
  <si>
    <t>四中</t>
  </si>
  <si>
    <t>A 建制警力總人數</t>
  </si>
  <si>
    <t>警務員/佐</t>
  </si>
  <si>
    <t>雇員/辦事員</t>
  </si>
  <si>
    <t>B 當日支援總隊公差
(扣除差假人數)</t>
  </si>
  <si>
    <t>警務員/警務佐</t>
  </si>
  <si>
    <t>C 當日支援大隊公差
(扣除差假人數)</t>
  </si>
  <si>
    <t>D 固定支援警衛分隊/槍械室</t>
  </si>
  <si>
    <t xml:space="preserve"> </t>
  </si>
  <si>
    <t>E 其他因素不能出勤人數(支援伙食團)</t>
  </si>
  <si>
    <t>F 輪休  
(差假)人數</t>
  </si>
  <si>
    <t>役  男</t>
  </si>
  <si>
    <t>G 實有在隊可出勤警力人數</t>
  </si>
  <si>
    <t>日、夜間警力人數</t>
  </si>
  <si>
    <t>夜</t>
  </si>
  <si>
    <t>B+C 可出勤公差役男</t>
  </si>
  <si>
    <t>代號</t>
    <phoneticPr fontId="2" type="noConversion"/>
  </si>
  <si>
    <t>代號</t>
    <phoneticPr fontId="2" type="noConversion"/>
  </si>
  <si>
    <t>副中隊長</t>
    <phoneticPr fontId="2" type="noConversion"/>
  </si>
  <si>
    <t>分隊長</t>
    <phoneticPr fontId="2" type="noConversion"/>
  </si>
  <si>
    <t>小隊長</t>
    <phoneticPr fontId="2" type="noConversion"/>
  </si>
  <si>
    <t>08-10</t>
    <phoneticPr fontId="2" type="noConversion"/>
  </si>
  <si>
    <t>10-12</t>
    <phoneticPr fontId="2" type="noConversion"/>
  </si>
  <si>
    <t>12-14</t>
    <phoneticPr fontId="2" type="noConversion"/>
  </si>
  <si>
    <t>14-16</t>
    <phoneticPr fontId="2" type="noConversion"/>
  </si>
  <si>
    <t>16-18</t>
    <phoneticPr fontId="2" type="noConversion"/>
  </si>
  <si>
    <t>18-20</t>
    <phoneticPr fontId="2" type="noConversion"/>
  </si>
  <si>
    <t>20-22</t>
    <phoneticPr fontId="2" type="noConversion"/>
  </si>
  <si>
    <t>22-24</t>
    <phoneticPr fontId="2" type="noConversion"/>
  </si>
  <si>
    <t>00-02</t>
    <phoneticPr fontId="2" type="noConversion"/>
  </si>
  <si>
    <t>02-04</t>
    <phoneticPr fontId="2" type="noConversion"/>
  </si>
  <si>
    <t>04-06</t>
    <phoneticPr fontId="2" type="noConversion"/>
  </si>
  <si>
    <t>06-08</t>
    <phoneticPr fontId="2" type="noConversion"/>
  </si>
  <si>
    <t>08-10</t>
    <phoneticPr fontId="2" type="noConversion"/>
  </si>
  <si>
    <t>立即警力</t>
    <phoneticPr fontId="2" type="noConversion"/>
  </si>
  <si>
    <t>代號</t>
    <phoneticPr fontId="2" type="noConversion"/>
  </si>
  <si>
    <t>勤務</t>
    <phoneticPr fontId="2" type="noConversion"/>
  </si>
  <si>
    <t>喪假</t>
    <phoneticPr fontId="2" type="noConversion"/>
  </si>
  <si>
    <t>公假</t>
    <phoneticPr fontId="2" type="noConversion"/>
  </si>
  <si>
    <t>退勤</t>
    <phoneticPr fontId="2" type="noConversion"/>
  </si>
  <si>
    <t>退勤</t>
    <phoneticPr fontId="2" type="noConversion"/>
  </si>
  <si>
    <t>退</t>
    <phoneticPr fontId="2" type="noConversion"/>
  </si>
  <si>
    <t>是</t>
    <phoneticPr fontId="2" type="noConversion"/>
  </si>
  <si>
    <t>職稱</t>
    <phoneticPr fontId="2" type="noConversion"/>
  </si>
  <si>
    <t>役男</t>
    <phoneticPr fontId="2" type="noConversion"/>
  </si>
  <si>
    <t>管制現況</t>
  </si>
  <si>
    <t>管制現況</t>
    <phoneticPr fontId="2" type="noConversion"/>
  </si>
  <si>
    <t>18放</t>
    <phoneticPr fontId="2" type="noConversion"/>
  </si>
  <si>
    <t>全日休</t>
    <phoneticPr fontId="2" type="noConversion"/>
  </si>
  <si>
    <t>全日勤</t>
    <phoneticPr fontId="2" type="noConversion"/>
  </si>
  <si>
    <t>夜間機動</t>
    <phoneticPr fontId="2" type="noConversion"/>
  </si>
  <si>
    <t>日間機動</t>
    <phoneticPr fontId="2" type="noConversion"/>
  </si>
  <si>
    <t>在隊</t>
    <phoneticPr fontId="2" type="noConversion"/>
  </si>
  <si>
    <t>立即警力</t>
    <phoneticPr fontId="2" type="noConversion"/>
  </si>
  <si>
    <t>管制現況</t>
    <phoneticPr fontId="2" type="noConversion"/>
  </si>
  <si>
    <t>合計</t>
    <phoneticPr fontId="2" type="noConversion"/>
  </si>
  <si>
    <t>勤務分配表系統使用說明</t>
    <phoneticPr fontId="2" type="noConversion"/>
  </si>
  <si>
    <t>勤務定義 - 定義各種勤務的實質內容比如值班時間、退勤時間等等</t>
    <phoneticPr fontId="2" type="noConversion"/>
  </si>
  <si>
    <t>4. 檢查與更正，然後列印、複印、蓋章、再送至對應的單位</t>
    <phoneticPr fontId="2" type="noConversion"/>
  </si>
  <si>
    <t>警力狀況表 - 要列印的警力狀況表，由"勤務分配表"中的數據生成</t>
    <phoneticPr fontId="2" type="noConversion"/>
  </si>
  <si>
    <t>每日在營警力 - 此表目前沒有在使用，其中的數據沒有更新</t>
    <phoneticPr fontId="2" type="noConversion"/>
  </si>
  <si>
    <t>值勤官</t>
    <phoneticPr fontId="2" type="noConversion"/>
  </si>
  <si>
    <t>值勤官</t>
    <phoneticPr fontId="2" type="noConversion"/>
  </si>
  <si>
    <t>月</t>
    <phoneticPr fontId="2" type="noConversion"/>
  </si>
  <si>
    <t>日</t>
    <phoneticPr fontId="2" type="noConversion"/>
  </si>
  <si>
    <t>主管：</t>
    <phoneticPr fontId="2" type="noConversion"/>
  </si>
  <si>
    <t>中隊輪值</t>
    <phoneticPr fontId="2" type="noConversion"/>
  </si>
  <si>
    <t>日期</t>
    <phoneticPr fontId="2" type="noConversion"/>
  </si>
  <si>
    <t>1. 在"其他輸入"表中輸入日期、中隊輪值等內容。需要輸入的格子會有黃色背景提示</t>
    <phoneticPr fontId="2" type="noConversion"/>
  </si>
  <si>
    <t>2. 在"役男人力"的"勤務"欄中選擇役男同仁的勤務種類。需要輸入的格子會有黃色背景提示</t>
    <phoneticPr fontId="2" type="noConversion"/>
  </si>
  <si>
    <t>1. 在"勤務定義"中加入新的一行，並且輸入其代號和各欄位的內容。各欄位接受的選項可以參考其他已經定義的勤務的內容</t>
    <phoneticPr fontId="2" type="noConversion"/>
  </si>
  <si>
    <t>勤務分配 - 用來輸入各警職的勤務種類，其他數據會自動從勤務定義中讀取。</t>
    <phoneticPr fontId="2" type="noConversion"/>
  </si>
  <si>
    <t>役男人力 - 用來輸入役男的勤務種類，其他數據會自動計算。</t>
    <phoneticPr fontId="2" type="noConversion"/>
  </si>
  <si>
    <t>勤務分配表 - 要列印的勤務表，由"其他輸入"、"勤務分配"和"役男人力"中的內容生成</t>
    <phoneticPr fontId="2" type="noConversion"/>
  </si>
  <si>
    <t>日間機動</t>
    <phoneticPr fontId="2" type="noConversion"/>
  </si>
  <si>
    <t>勤教時間</t>
    <phoneticPr fontId="2" type="noConversion"/>
  </si>
  <si>
    <t>選項</t>
    <phoneticPr fontId="2" type="noConversion"/>
  </si>
  <si>
    <t>生成勤務表步驟</t>
    <phoneticPr fontId="2" type="noConversion"/>
  </si>
  <si>
    <t>定義勤務種類步驟</t>
    <phoneticPr fontId="2" type="noConversion"/>
  </si>
  <si>
    <t>14勤教</t>
    <phoneticPr fontId="2" type="noConversion"/>
  </si>
  <si>
    <t>22勤教</t>
    <phoneticPr fontId="2" type="noConversion"/>
  </si>
  <si>
    <t>如果系統詢問是否要開啟宏的功能，請點選開啟</t>
    <phoneticPr fontId="2" type="noConversion"/>
  </si>
  <si>
    <t>注: 如果"勤務分配表"沒有自動反應更新內容請按Ctrl-Alt-F9 執行運算</t>
    <phoneticPr fontId="2" type="noConversion"/>
  </si>
  <si>
    <t>各表的簡介</t>
    <phoneticPr fontId="2" type="noConversion"/>
  </si>
  <si>
    <t>其他輸入 - 用來輸入一些勤務表相關的資料，比如日期和勤教時間。</t>
    <phoneticPr fontId="2" type="noConversion"/>
  </si>
  <si>
    <t>西元年</t>
    <phoneticPr fontId="2" type="noConversion"/>
  </si>
  <si>
    <t>立即警力番號</t>
    <phoneticPr fontId="2" type="noConversion"/>
  </si>
  <si>
    <t>選項</t>
    <phoneticPr fontId="2" type="noConversion"/>
  </si>
  <si>
    <t>甲</t>
    <phoneticPr fontId="2" type="noConversion"/>
  </si>
  <si>
    <t>乙</t>
    <phoneticPr fontId="2" type="noConversion"/>
  </si>
  <si>
    <t>丙</t>
    <phoneticPr fontId="2" type="noConversion"/>
  </si>
  <si>
    <t>備註</t>
    <phoneticPr fontId="2" type="noConversion"/>
  </si>
  <si>
    <t>手改某些內容</t>
    <phoneticPr fontId="2" type="noConversion"/>
  </si>
  <si>
    <t>如果是要提高一個數字 可以在原來的公式加上`+1`</t>
    <phoneticPr fontId="2" type="noConversion"/>
  </si>
  <si>
    <t>如果是要增加一個人 可以在原來的公式後加上`&amp; "要加的內容"`</t>
    <phoneticPr fontId="2" type="noConversion"/>
  </si>
  <si>
    <t>3. 在"勤務分配"的"勤務"欄中輸入各警職同仁的勤務種類。需要輸入的格子會有黃色背景提示，另外如果沒有對應的勤務種類，可以手動輸入各欄位或定義新的勤務種類(見右方說明)</t>
    <phoneticPr fontId="2" type="noConversion"/>
  </si>
  <si>
    <t>乙.丙</t>
    <phoneticPr fontId="2" type="noConversion"/>
  </si>
  <si>
    <t>※有沒有番號跑出格子或者被在換行時被切開</t>
    <phoneticPr fontId="2" type="noConversion"/>
  </si>
  <si>
    <t xml:space="preserve">勤務表檢查提醒
</t>
    <phoneticPr fontId="2" type="noConversion"/>
  </si>
  <si>
    <t>※複製桌面的模板 才不會不小心複製到之前手改的部分</t>
    <phoneticPr fontId="2" type="noConversion"/>
  </si>
  <si>
    <t>※名字部分格式是否正確 (可能在調整欄寬的時候出錯)</t>
    <phoneticPr fontId="2" type="noConversion"/>
  </si>
  <si>
    <t>※備註欄的內容是否正確 (可以和前一天的勤務表比較)</t>
    <phoneticPr fontId="2" type="noConversion"/>
  </si>
  <si>
    <t>※記得掃一眼隔天的勤務 看有沒有人8點以前上班</t>
    <phoneticPr fontId="2" type="noConversion"/>
  </si>
  <si>
    <t>退</t>
  </si>
  <si>
    <t>否</t>
  </si>
  <si>
    <t>是</t>
  </si>
  <si>
    <t>待命</t>
  </si>
  <si>
    <t>※記得更新警力現況表中的正副主官上班時間</t>
    <phoneticPr fontId="2" type="noConversion"/>
  </si>
  <si>
    <t>18時放：</t>
    <phoneticPr fontId="2" type="noConversion"/>
  </si>
  <si>
    <t>姓名</t>
    <phoneticPr fontId="2" type="noConversion"/>
  </si>
  <si>
    <t>14勤教</t>
    <phoneticPr fontId="2" type="noConversion"/>
  </si>
  <si>
    <t>役男</t>
    <phoneticPr fontId="2" type="noConversion"/>
  </si>
  <si>
    <t>※第二中隊副中隊長黃俊吉</t>
    <phoneticPr fontId="2" type="noConversion"/>
  </si>
  <si>
    <t>※第三中隊中隊長林文證</t>
    <phoneticPr fontId="2" type="noConversion"/>
  </si>
  <si>
    <t>※第三中隊副中隊長陳文樹</t>
    <phoneticPr fontId="2" type="noConversion"/>
  </si>
  <si>
    <t>※第四中隊副中隊長葉子斌</t>
    <phoneticPr fontId="2" type="noConversion"/>
  </si>
  <si>
    <t>中隊值班</t>
  </si>
  <si>
    <t>22時退：</t>
    <phoneticPr fontId="2" type="noConversion"/>
  </si>
  <si>
    <t>12時退：</t>
    <phoneticPr fontId="2" type="noConversion"/>
  </si>
  <si>
    <t>※第一中隊副中隊長薛信東</t>
    <phoneticPr fontId="2" type="noConversion"/>
  </si>
  <si>
    <t>D.支援總隊/大隊/槍械室</t>
    <phoneticPr fontId="2" type="noConversion"/>
  </si>
  <si>
    <t>假</t>
    <phoneticPr fontId="2" type="noConversion"/>
  </si>
  <si>
    <t>是</t>
    <phoneticPr fontId="2" type="noConversion"/>
  </si>
  <si>
    <t>是</t>
    <phoneticPr fontId="2" type="noConversion"/>
  </si>
  <si>
    <t>是</t>
    <phoneticPr fontId="2" type="noConversion"/>
  </si>
  <si>
    <t>是</t>
    <phoneticPr fontId="2" type="noConversion"/>
  </si>
  <si>
    <t>是</t>
    <phoneticPr fontId="2" type="noConversion"/>
  </si>
  <si>
    <t>18收</t>
    <phoneticPr fontId="2" type="noConversion"/>
  </si>
  <si>
    <t xml:space="preserve"> </t>
    <phoneticPr fontId="2" type="noConversion"/>
  </si>
  <si>
    <t>退</t>
    <phoneticPr fontId="2" type="noConversion"/>
  </si>
  <si>
    <t>役男輪休</t>
    <phoneticPr fontId="2" type="noConversion"/>
  </si>
  <si>
    <t>備註</t>
    <phoneticPr fontId="2" type="noConversion"/>
  </si>
  <si>
    <t>選項</t>
    <phoneticPr fontId="2" type="noConversion"/>
  </si>
  <si>
    <t>※第二中隊中隊長莊凱進</t>
    <phoneticPr fontId="2" type="noConversion"/>
  </si>
  <si>
    <t>18時退：</t>
    <phoneticPr fontId="2" type="noConversion"/>
  </si>
  <si>
    <t>20時退：</t>
    <phoneticPr fontId="2" type="noConversion"/>
  </si>
  <si>
    <t>榮譽假</t>
    <phoneticPr fontId="2" type="noConversion"/>
  </si>
  <si>
    <t>服勤人員姓名代號對照表</t>
    <phoneticPr fontId="2" type="noConversion"/>
  </si>
  <si>
    <t>警員</t>
    <phoneticPr fontId="2" type="noConversion"/>
  </si>
  <si>
    <t>姓名</t>
    <phoneticPr fontId="2" type="noConversion"/>
  </si>
  <si>
    <t>職稱</t>
    <phoneticPr fontId="2" type="noConversion"/>
  </si>
  <si>
    <t>幹部</t>
    <phoneticPr fontId="2" type="noConversion"/>
  </si>
  <si>
    <t>役別</t>
    <phoneticPr fontId="2" type="noConversion"/>
  </si>
  <si>
    <t>普通</t>
    <phoneticPr fontId="2" type="noConversion"/>
  </si>
  <si>
    <t>專案勤務</t>
    <phoneticPr fontId="2" type="noConversion"/>
  </si>
  <si>
    <t>16時退：</t>
    <phoneticPr fontId="2" type="noConversion"/>
  </si>
  <si>
    <t>6 時退：</t>
    <phoneticPr fontId="2" type="noConversion"/>
  </si>
  <si>
    <t>勤教人員姓名 (上傳勤教用)</t>
  </si>
  <si>
    <t>14勤教人員</t>
  </si>
  <si>
    <t>22勤教人員</t>
  </si>
  <si>
    <t>常年訓練</t>
    <phoneticPr fontId="2" type="noConversion"/>
  </si>
  <si>
    <t>假</t>
    <phoneticPr fontId="2" type="noConversion"/>
  </si>
  <si>
    <t>補休</t>
    <phoneticPr fontId="2" type="noConversion"/>
  </si>
  <si>
    <t>當日退伍</t>
    <phoneticPr fontId="2" type="noConversion"/>
  </si>
  <si>
    <t>是</t>
    <phoneticPr fontId="2" type="noConversion"/>
  </si>
  <si>
    <t>退</t>
    <phoneticPr fontId="2" type="noConversion"/>
  </si>
  <si>
    <t>役男總人數:</t>
    <phoneticPr fontId="38" type="noConversion"/>
  </si>
  <si>
    <t>家因役男番號:</t>
    <phoneticPr fontId="38" type="noConversion"/>
  </si>
  <si>
    <t>番號</t>
  </si>
  <si>
    <t>姓名</t>
  </si>
  <si>
    <t>榮譽假時間點</t>
  </si>
  <si>
    <t>番號</t>
    <phoneticPr fontId="38" type="noConversion"/>
  </si>
  <si>
    <t xml:space="preserve"> 姓名</t>
    <phoneticPr fontId="38" type="noConversion"/>
  </si>
  <si>
    <t>是否為家因</t>
    <phoneticPr fontId="38" type="noConversion"/>
  </si>
  <si>
    <t>特殊時間</t>
    <phoneticPr fontId="38" type="noConversion"/>
  </si>
  <si>
    <t>榮譽假時間點</t>
    <phoneticPr fontId="38" type="noConversion"/>
  </si>
  <si>
    <t>全日休</t>
    <phoneticPr fontId="38" type="noConversion"/>
  </si>
  <si>
    <t>17放</t>
    <phoneticPr fontId="38" type="noConversion"/>
  </si>
  <si>
    <t>18放</t>
    <phoneticPr fontId="38" type="noConversion"/>
  </si>
  <si>
    <t>18收</t>
    <phoneticPr fontId="38" type="noConversion"/>
  </si>
  <si>
    <t>※本日在隊役男：</t>
    <phoneticPr fontId="38" type="noConversion"/>
  </si>
  <si>
    <t>18後放假總人數</t>
    <phoneticPr fontId="38" type="noConversion"/>
  </si>
  <si>
    <t>病假</t>
    <phoneticPr fontId="38" type="noConversion"/>
  </si>
  <si>
    <t>補休</t>
    <phoneticPr fontId="38" type="noConversion"/>
  </si>
  <si>
    <t>榮譽假</t>
    <phoneticPr fontId="38" type="noConversion"/>
  </si>
  <si>
    <t>勤務變更紀錄</t>
    <phoneticPr fontId="2" type="noConversion"/>
  </si>
  <si>
    <t>職別</t>
    <phoneticPr fontId="38" type="noConversion"/>
  </si>
  <si>
    <t>小隊長</t>
    <phoneticPr fontId="38" type="noConversion"/>
  </si>
  <si>
    <t>警員</t>
    <phoneticPr fontId="38" type="noConversion"/>
  </si>
  <si>
    <t>姓名</t>
    <phoneticPr fontId="38" type="noConversion"/>
  </si>
  <si>
    <t>黃健明</t>
    <phoneticPr fontId="38" type="noConversion"/>
  </si>
  <si>
    <t>曾永晃</t>
  </si>
  <si>
    <t>郭俊宏</t>
  </si>
  <si>
    <t>陳泓凱</t>
  </si>
  <si>
    <t>吳國揚</t>
  </si>
  <si>
    <t>備考</t>
    <phoneticPr fontId="38" type="noConversion"/>
  </si>
  <si>
    <t>自動偵測番號</t>
    <phoneticPr fontId="38" type="noConversion"/>
  </si>
  <si>
    <t>自動偵測番號</t>
  </si>
  <si>
    <t>內政部警政署保安警察第一總隊督訓科室內靶場110年3月份勤休預定表</t>
    <phoneticPr fontId="38" type="noConversion"/>
  </si>
  <si>
    <t>附                         錄</t>
    <phoneticPr fontId="38" type="noConversion"/>
  </si>
  <si>
    <t>.</t>
    <phoneticPr fontId="2" type="noConversion"/>
  </si>
  <si>
    <t>役男總人數:</t>
  </si>
  <si>
    <t>家因役男番號:</t>
  </si>
  <si>
    <t>14勤教人員(役男)</t>
    <phoneticPr fontId="2" type="noConversion"/>
  </si>
  <si>
    <t>勤教(役男)</t>
  </si>
  <si>
    <t>勤教</t>
  </si>
  <si>
    <t>※第四中隊中隊長黃嘉得</t>
    <phoneticPr fontId="2" type="noConversion"/>
  </si>
  <si>
    <t>值班(中隊)</t>
    <phoneticPr fontId="2" type="noConversion"/>
  </si>
  <si>
    <t>18放早走</t>
    <phoneticPr fontId="2" type="noConversion"/>
  </si>
  <si>
    <t>謝昕融</t>
  </si>
  <si>
    <t>許峰銘</t>
  </si>
  <si>
    <t>全日勤免勤教</t>
    <phoneticPr fontId="2" type="noConversion"/>
  </si>
  <si>
    <t xml:space="preserve"> (自  日  時  分起至勤務結束 日 時 分返隊續待命服勤，於 日  時 分退勤)</t>
    <phoneticPr fontId="2" type="noConversion"/>
  </si>
  <si>
    <t>休假天數</t>
    <phoneticPr fontId="2" type="noConversion"/>
  </si>
  <si>
    <t>(支援大隊不管控)</t>
    <phoneticPr fontId="2" type="noConversion"/>
  </si>
  <si>
    <r>
      <rPr>
        <b/>
        <sz val="18"/>
        <color indexed="8"/>
        <rFont val="標楷體"/>
        <family val="4"/>
        <charset val="136"/>
      </rPr>
      <t>備考</t>
    </r>
  </si>
  <si>
    <r>
      <t>X:</t>
    </r>
    <r>
      <rPr>
        <b/>
        <sz val="18"/>
        <color indexed="8"/>
        <rFont val="標楷體"/>
        <family val="4"/>
        <charset val="136"/>
      </rPr>
      <t>輪休</t>
    </r>
  </si>
  <si>
    <r>
      <rPr>
        <b/>
        <sz val="18"/>
        <color indexed="8"/>
        <rFont val="標楷體"/>
        <family val="4"/>
        <charset val="136"/>
      </rPr>
      <t>榮:榮譽假</t>
    </r>
  </si>
  <si>
    <t>輪休</t>
  </si>
  <si>
    <t>假</t>
  </si>
  <si>
    <t>空班</t>
  </si>
  <si>
    <t>值1(早)</t>
  </si>
  <si>
    <t>早</t>
  </si>
  <si>
    <t>值1(早) 丙案</t>
  </si>
  <si>
    <t>值2(中)</t>
  </si>
  <si>
    <t>中</t>
  </si>
  <si>
    <t>值2(中) 乙案</t>
  </si>
  <si>
    <t>夜值(晚)</t>
  </si>
  <si>
    <t>晚</t>
  </si>
  <si>
    <t>夜值(晚) 甲案</t>
  </si>
  <si>
    <t>▲ 甲案</t>
  </si>
  <si>
    <t>▲ 甲案 值20-22</t>
  </si>
  <si>
    <t>▲ 甲案 值06-08</t>
  </si>
  <si>
    <t>☆ 乙案</t>
  </si>
  <si>
    <t>※ 丙案</t>
  </si>
  <si>
    <t>常訓</t>
  </si>
  <si>
    <t>槍械室值班(日)</t>
  </si>
  <si>
    <t>槍械室值班</t>
  </si>
  <si>
    <t>槍械室值班(夜)</t>
  </si>
  <si>
    <t>槍械室值班(大夜)</t>
  </si>
  <si>
    <t>榮譽假</t>
  </si>
  <si>
    <t>08-16</t>
  </si>
  <si>
    <t>08-18</t>
  </si>
  <si>
    <t>12-22</t>
  </si>
  <si>
    <t>16-24</t>
  </si>
  <si>
    <t>22-08</t>
  </si>
  <si>
    <t>24-08</t>
  </si>
  <si>
    <t>出勤 日間</t>
  </si>
  <si>
    <t>出勤 夜間</t>
  </si>
  <si>
    <t>靶場</t>
  </si>
  <si>
    <t>保持訓練</t>
  </si>
  <si>
    <t>※ 丙案(靶場)</t>
  </si>
  <si>
    <t>08-12</t>
  </si>
  <si>
    <t>甲夜 值勤官</t>
  </si>
  <si>
    <t>8-18 大隊支援</t>
  </si>
  <si>
    <t>22-06</t>
  </si>
  <si>
    <t>支援檢疫所</t>
  </si>
  <si>
    <t>支援秘書室</t>
  </si>
  <si>
    <t>支援出納室</t>
  </si>
  <si>
    <t>支援警務科</t>
  </si>
  <si>
    <t>支援事務股</t>
  </si>
  <si>
    <t>測試</t>
  </si>
  <si>
    <t>陳奕欣</t>
  </si>
  <si>
    <t>黃品傑</t>
  </si>
  <si>
    <t>莊博竣</t>
  </si>
  <si>
    <t>內政部警政署</t>
    <phoneticPr fontId="55" type="noConversion"/>
  </si>
  <si>
    <t>主管：</t>
    <phoneticPr fontId="55" type="noConversion"/>
  </si>
  <si>
    <t>保  安  警  察  第  一  總  隊</t>
    <phoneticPr fontId="55" type="noConversion"/>
  </si>
  <si>
    <r>
      <t xml:space="preserve">       
</t>
    </r>
    <r>
      <rPr>
        <sz val="16"/>
        <color theme="1"/>
        <rFont val="標楷體"/>
        <family val="4"/>
        <charset val="136"/>
      </rPr>
      <t xml:space="preserve">
代號職稱</t>
    </r>
    <phoneticPr fontId="55" type="noConversion"/>
  </si>
  <si>
    <t>日       期</t>
    <phoneticPr fontId="55" type="noConversion"/>
  </si>
  <si>
    <t>本月輪休10日</t>
    <phoneticPr fontId="55" type="noConversion"/>
  </si>
  <si>
    <t>輪休</t>
    <phoneticPr fontId="55" type="noConversion"/>
  </si>
  <si>
    <t>空翻</t>
    <phoneticPr fontId="55" type="noConversion"/>
  </si>
  <si>
    <t>假日</t>
    <phoneticPr fontId="55" type="noConversion"/>
  </si>
  <si>
    <t>值1</t>
    <phoneticPr fontId="55" type="noConversion"/>
  </si>
  <si>
    <t>值2</t>
    <phoneticPr fontId="55" type="noConversion"/>
  </si>
  <si>
    <t>夜值</t>
    <phoneticPr fontId="55" type="noConversion"/>
  </si>
  <si>
    <t>管控總數</t>
    <phoneticPr fontId="55" type="noConversion"/>
  </si>
  <si>
    <t>星       期</t>
    <phoneticPr fontId="55" type="noConversion"/>
  </si>
  <si>
    <t>案別</t>
    <phoneticPr fontId="55" type="noConversion"/>
  </si>
  <si>
    <t>甲</t>
    <phoneticPr fontId="55" type="noConversion"/>
  </si>
  <si>
    <t>A</t>
    <phoneticPr fontId="55" type="noConversion"/>
  </si>
  <si>
    <t>中隊長</t>
    <phoneticPr fontId="55" type="noConversion"/>
  </si>
  <si>
    <t>B</t>
    <phoneticPr fontId="55" type="noConversion"/>
  </si>
  <si>
    <t>副中隊長</t>
    <phoneticPr fontId="55" type="noConversion"/>
  </si>
  <si>
    <t>薛信東</t>
    <phoneticPr fontId="55" type="noConversion"/>
  </si>
  <si>
    <t>E</t>
    <phoneticPr fontId="55" type="noConversion"/>
  </si>
  <si>
    <t>分隊長</t>
    <phoneticPr fontId="55" type="noConversion"/>
  </si>
  <si>
    <t>洪偉傑</t>
    <phoneticPr fontId="55" type="noConversion"/>
  </si>
  <si>
    <t>F</t>
    <phoneticPr fontId="55" type="noConversion"/>
  </si>
  <si>
    <t xml:space="preserve"> </t>
    <phoneticPr fontId="55" type="noConversion"/>
  </si>
  <si>
    <t>G</t>
    <phoneticPr fontId="55" type="noConversion"/>
  </si>
  <si>
    <t>小隊長</t>
    <phoneticPr fontId="55" type="noConversion"/>
  </si>
  <si>
    <t>K</t>
    <phoneticPr fontId="55" type="noConversion"/>
  </si>
  <si>
    <t>L</t>
    <phoneticPr fontId="55" type="noConversion"/>
  </si>
  <si>
    <t>黃慶生</t>
    <phoneticPr fontId="55" type="noConversion"/>
  </si>
  <si>
    <t>M</t>
    <phoneticPr fontId="55" type="noConversion"/>
  </si>
  <si>
    <t>洪奇昌</t>
    <phoneticPr fontId="55" type="noConversion"/>
  </si>
  <si>
    <t>N</t>
    <phoneticPr fontId="55" type="noConversion"/>
  </si>
  <si>
    <t>O</t>
    <phoneticPr fontId="55" type="noConversion"/>
  </si>
  <si>
    <t>陳佑任</t>
    <phoneticPr fontId="55" type="noConversion"/>
  </si>
  <si>
    <t>P</t>
    <phoneticPr fontId="55" type="noConversion"/>
  </si>
  <si>
    <r>
      <rPr>
        <sz val="18"/>
        <color theme="1"/>
        <rFont val="標楷體"/>
        <family val="4"/>
        <charset val="136"/>
      </rPr>
      <t>林明道</t>
    </r>
    <r>
      <rPr>
        <sz val="12"/>
        <color theme="1"/>
        <rFont val="標楷體"/>
        <family val="4"/>
        <charset val="136"/>
      </rPr>
      <t>(支援總隊)</t>
    </r>
    <phoneticPr fontId="55" type="noConversion"/>
  </si>
  <si>
    <t>Q</t>
    <phoneticPr fontId="55" type="noConversion"/>
  </si>
  <si>
    <r>
      <rPr>
        <sz val="18"/>
        <color theme="1"/>
        <rFont val="標楷體"/>
        <family val="4"/>
        <charset val="136"/>
      </rPr>
      <t>謝福生</t>
    </r>
    <r>
      <rPr>
        <sz val="12"/>
        <color theme="1"/>
        <rFont val="標楷體"/>
        <family val="4"/>
        <charset val="136"/>
      </rPr>
      <t>(支援總隊)</t>
    </r>
    <phoneticPr fontId="55" type="noConversion"/>
  </si>
  <si>
    <t>警員</t>
    <phoneticPr fontId="55" type="noConversion"/>
  </si>
  <si>
    <t>陳俊印</t>
    <phoneticPr fontId="55" type="noConversion"/>
  </si>
  <si>
    <t>甲丙案</t>
    <phoneticPr fontId="55" type="noConversion"/>
  </si>
  <si>
    <t>曾文彬</t>
    <phoneticPr fontId="55" type="noConversion"/>
  </si>
  <si>
    <t>鄒本強</t>
    <phoneticPr fontId="55" type="noConversion"/>
  </si>
  <si>
    <t>王俊欽</t>
    <phoneticPr fontId="55" type="noConversion"/>
  </si>
  <si>
    <t>林明慧</t>
    <phoneticPr fontId="55" type="noConversion"/>
  </si>
  <si>
    <t>王美惠</t>
    <phoneticPr fontId="55" type="noConversion"/>
  </si>
  <si>
    <t>管控人數</t>
    <phoneticPr fontId="55" type="noConversion"/>
  </si>
  <si>
    <t>管控人數</t>
  </si>
  <si>
    <t>管控案別</t>
    <phoneticPr fontId="55" type="noConversion"/>
  </si>
  <si>
    <t>丙案</t>
    <phoneticPr fontId="55" type="noConversion"/>
  </si>
  <si>
    <t>甲案</t>
    <phoneticPr fontId="55" type="noConversion"/>
  </si>
  <si>
    <t>乙案</t>
    <phoneticPr fontId="55" type="noConversion"/>
  </si>
  <si>
    <t>第5分隊：丙
第10分隊：/</t>
    <phoneticPr fontId="55" type="noConversion"/>
  </si>
  <si>
    <t>第2分隊：甲
第15分隊：/</t>
    <phoneticPr fontId="55" type="noConversion"/>
  </si>
  <si>
    <t>第8分隊：乙
第13分隊：/</t>
    <phoneticPr fontId="55" type="noConversion"/>
  </si>
  <si>
    <t>備
註</t>
    <phoneticPr fontId="55" type="noConversion"/>
  </si>
  <si>
    <r>
      <t>丙：08時至20時服勤或管控
乙</t>
    </r>
    <r>
      <rPr>
        <sz val="13"/>
        <color theme="1"/>
        <rFont val="新細明體"/>
        <family val="1"/>
        <charset val="136"/>
      </rPr>
      <t>：</t>
    </r>
    <r>
      <rPr>
        <sz val="13"/>
        <color theme="1"/>
        <rFont val="標楷體"/>
        <family val="4"/>
        <charset val="136"/>
      </rPr>
      <t xml:space="preserve">12時至22時服勤或管控
甲：20時至08時服勤或管控
值1：08時至18時值日或服勤
值2：12時至22時值日或服勤             夜值：22時至08時值日或服勤
</t>
    </r>
    <phoneticPr fontId="55" type="noConversion"/>
  </si>
  <si>
    <t>大日：大隊值日(日值) 
大值：大隊值日(夜值)
日械值：08時至18時械彈室值班
夜械值：22時至08時械彈室值班
械值：12-22服勤
      (18-22時械彈室值班)</t>
    <phoneticPr fontId="55" type="noConversion"/>
  </si>
  <si>
    <t>備
考</t>
    <phoneticPr fontId="55" type="noConversion"/>
  </si>
  <si>
    <t xml:space="preserve">一、本月輪休10天。(本表內容如有事由欲變更，應報請正(副)主管核可)
二、一至六月行政院勤務由本中隊負責帶隊，因疫情無限期暫停。
三、總隊部支援人員P.Q.1等3員，備勤時段:為退勤前2小時。
</t>
    <phoneticPr fontId="55" type="noConversion"/>
  </si>
  <si>
    <t>值日計算</t>
    <phoneticPr fontId="55" type="noConversion"/>
  </si>
  <si>
    <t>警職總人數:</t>
    <phoneticPr fontId="2" type="noConversion"/>
  </si>
  <si>
    <t>洪偉傑</t>
    <phoneticPr fontId="2" type="noConversion"/>
  </si>
  <si>
    <t>黃慶生</t>
    <phoneticPr fontId="2" type="noConversion"/>
  </si>
  <si>
    <t>洪奇昌</t>
    <phoneticPr fontId="2" type="noConversion"/>
  </si>
  <si>
    <t>陳佑任</t>
    <phoneticPr fontId="2" type="noConversion"/>
  </si>
  <si>
    <t>林明道</t>
    <phoneticPr fontId="2" type="noConversion"/>
  </si>
  <si>
    <t>謝福生</t>
    <phoneticPr fontId="2" type="noConversion"/>
  </si>
  <si>
    <t>陳俊印</t>
    <phoneticPr fontId="2" type="noConversion"/>
  </si>
  <si>
    <t>曾文彬</t>
    <phoneticPr fontId="2" type="noConversion"/>
  </si>
  <si>
    <t>鄒本強</t>
    <phoneticPr fontId="2" type="noConversion"/>
  </si>
  <si>
    <t>王俊欽</t>
    <phoneticPr fontId="2" type="noConversion"/>
  </si>
  <si>
    <t>林明慧</t>
    <phoneticPr fontId="2" type="noConversion"/>
  </si>
  <si>
    <t>王美惠</t>
    <phoneticPr fontId="2" type="noConversion"/>
  </si>
  <si>
    <t xml:space="preserve">
警員</t>
    <phoneticPr fontId="2" type="noConversion"/>
  </si>
  <si>
    <t xml:space="preserve">
役男</t>
    <phoneticPr fontId="2" type="noConversion"/>
  </si>
  <si>
    <t>全日勤</t>
    <phoneticPr fontId="38" type="noConversion"/>
  </si>
  <si>
    <t xml:space="preserve"> 姓名</t>
  </si>
  <si>
    <t>內政部警政署保安警察第一總隊第二大隊第一中隊勤務分配表</t>
    <phoneticPr fontId="2" type="noConversion"/>
  </si>
  <si>
    <t>保安警察第一總隊第二大隊第一中隊</t>
    <phoneticPr fontId="2" type="noConversion"/>
  </si>
  <si>
    <t>薛信東</t>
    <phoneticPr fontId="2" type="noConversion"/>
  </si>
  <si>
    <t>※第一中隊分隊長洪偉傑</t>
    <phoneticPr fontId="2" type="noConversion"/>
  </si>
  <si>
    <t>勤務時段
人員代號
勤務項目</t>
    <phoneticPr fontId="2" type="noConversion"/>
  </si>
  <si>
    <t>08-18水電科</t>
    <phoneticPr fontId="2" type="noConversion"/>
  </si>
  <si>
    <t>支援水電科:</t>
    <phoneticPr fontId="2" type="noConversion"/>
  </si>
  <si>
    <t>P</t>
    <phoneticPr fontId="2" type="noConversion"/>
  </si>
  <si>
    <t>Q</t>
    <phoneticPr fontId="2" type="noConversion"/>
  </si>
  <si>
    <t>※ 丙案 常訓</t>
    <phoneticPr fontId="2" type="noConversion"/>
  </si>
  <si>
    <t>病(事)假</t>
    <phoneticPr fontId="2" type="noConversion"/>
  </si>
  <si>
    <t>支援大隊部</t>
    <phoneticPr fontId="2" type="noConversion"/>
  </si>
  <si>
    <t>免勤教</t>
    <phoneticPr fontId="2" type="noConversion"/>
  </si>
  <si>
    <t>14勤教</t>
  </si>
  <si>
    <t>是否勤教</t>
    <phoneticPr fontId="2" type="noConversion"/>
  </si>
  <si>
    <t>退伍</t>
    <phoneticPr fontId="2" type="noConversion"/>
  </si>
  <si>
    <t>08-12</t>
    <phoneticPr fontId="2" type="noConversion"/>
  </si>
  <si>
    <t>免勤教警職番號:</t>
    <phoneticPr fontId="2" type="noConversion"/>
  </si>
  <si>
    <t>四</t>
    <phoneticPr fontId="55" type="noConversion"/>
  </si>
  <si>
    <t>五</t>
    <phoneticPr fontId="55" type="noConversion"/>
  </si>
  <si>
    <t>六</t>
    <phoneticPr fontId="55" type="noConversion"/>
  </si>
  <si>
    <t>日</t>
    <phoneticPr fontId="55" type="noConversion"/>
  </si>
  <si>
    <t>一</t>
    <phoneticPr fontId="55" type="noConversion"/>
  </si>
  <si>
    <t>二</t>
    <phoneticPr fontId="55" type="noConversion"/>
  </si>
  <si>
    <t>三</t>
    <phoneticPr fontId="55" type="noConversion"/>
  </si>
  <si>
    <t>20-08</t>
    <phoneticPr fontId="2" type="noConversion"/>
  </si>
  <si>
    <t>王志鋒</t>
    <phoneticPr fontId="55" type="noConversion"/>
  </si>
  <si>
    <t>袁郁章</t>
    <phoneticPr fontId="55" type="noConversion"/>
  </si>
  <si>
    <t>陳正輝</t>
    <phoneticPr fontId="55" type="noConversion"/>
  </si>
  <si>
    <t>分隊長</t>
    <phoneticPr fontId="2" type="noConversion"/>
  </si>
  <si>
    <t>李佳萱</t>
    <phoneticPr fontId="55" type="noConversion"/>
  </si>
  <si>
    <t>F</t>
    <phoneticPr fontId="2" type="noConversion"/>
  </si>
  <si>
    <t>李佳萱</t>
    <phoneticPr fontId="2" type="noConversion"/>
  </si>
  <si>
    <t>袁郁章</t>
    <phoneticPr fontId="2" type="noConversion"/>
  </si>
  <si>
    <t>陳正輝</t>
    <phoneticPr fontId="2" type="noConversion"/>
  </si>
  <si>
    <t>王志鋒</t>
    <phoneticPr fontId="2" type="noConversion"/>
  </si>
  <si>
    <t>分隊長</t>
    <phoneticPr fontId="2" type="noConversion"/>
  </si>
  <si>
    <t>B</t>
    <phoneticPr fontId="2" type="noConversion"/>
  </si>
  <si>
    <t>薛信東</t>
    <phoneticPr fontId="2" type="noConversion"/>
  </si>
  <si>
    <t>E</t>
    <phoneticPr fontId="2" type="noConversion"/>
  </si>
  <si>
    <t>洪偉傑</t>
    <phoneticPr fontId="2" type="noConversion"/>
  </si>
  <si>
    <t>F</t>
    <phoneticPr fontId="2" type="noConversion"/>
  </si>
  <si>
    <t>李佳萱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</si>
  <si>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</si>
  <si>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</si>
  <si>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</si>
  <si>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袁郁章</t>
    <phoneticPr fontId="2" type="noConversion"/>
  </si>
  <si>
    <t>L</t>
    <phoneticPr fontId="2" type="noConversion"/>
  </si>
  <si>
    <t>黃慶生</t>
    <phoneticPr fontId="2" type="noConversion"/>
  </si>
  <si>
    <t>M</t>
    <phoneticPr fontId="2" type="noConversion"/>
  </si>
  <si>
    <t>洪奇昌</t>
    <phoneticPr fontId="2" type="noConversion"/>
  </si>
  <si>
    <t>N</t>
    <phoneticPr fontId="2" type="noConversion"/>
  </si>
  <si>
    <t>陳正輝</t>
    <phoneticPr fontId="2" type="noConversion"/>
  </si>
  <si>
    <t>O</t>
    <phoneticPr fontId="2" type="noConversion"/>
  </si>
  <si>
    <t>陳佑任</t>
    <phoneticPr fontId="2" type="noConversion"/>
  </si>
  <si>
    <t>P</t>
    <phoneticPr fontId="2" type="noConversion"/>
  </si>
  <si>
    <t>林明道</t>
    <phoneticPr fontId="2" type="noConversion"/>
  </si>
  <si>
    <t>Q</t>
    <phoneticPr fontId="2" type="noConversion"/>
  </si>
  <si>
    <t>謝福生</t>
    <phoneticPr fontId="2" type="noConversion"/>
  </si>
  <si>
    <t>陳俊印</t>
    <phoneticPr fontId="2" type="noConversion"/>
  </si>
  <si>
    <t>曾文彬</t>
    <phoneticPr fontId="2" type="noConversion"/>
  </si>
  <si>
    <t>鄒本強</t>
    <phoneticPr fontId="2" type="noConversion"/>
  </si>
  <si>
    <t>王俊欽</t>
    <phoneticPr fontId="2" type="noConversion"/>
  </si>
  <si>
    <t>林明慧</t>
    <phoneticPr fontId="2" type="noConversion"/>
  </si>
  <si>
    <t>王美惠</t>
    <phoneticPr fontId="2" type="noConversion"/>
  </si>
  <si>
    <t>I</t>
    <phoneticPr fontId="55" type="noConversion"/>
  </si>
  <si>
    <t>J</t>
    <phoneticPr fontId="55" type="noConversion"/>
  </si>
  <si>
    <t>王志峰</t>
    <phoneticPr fontId="2" type="noConversion"/>
  </si>
  <si>
    <t>勤務狀態</t>
    <phoneticPr fontId="2" type="noConversion"/>
  </si>
  <si>
    <t>值2(中)休半日</t>
    <phoneticPr fontId="2" type="noConversion"/>
  </si>
  <si>
    <t>退</t>
    <phoneticPr fontId="2" type="noConversion"/>
  </si>
  <si>
    <t>育嬰假</t>
    <phoneticPr fontId="55" type="noConversion"/>
  </si>
  <si>
    <t>支援秘書室</t>
    <phoneticPr fontId="55" type="noConversion"/>
  </si>
  <si>
    <t>支援出納室</t>
    <phoneticPr fontId="55" type="noConversion"/>
  </si>
  <si>
    <t>支援警務科</t>
    <phoneticPr fontId="55" type="noConversion"/>
  </si>
  <si>
    <t>支援事務股</t>
    <phoneticPr fontId="55" type="noConversion"/>
  </si>
  <si>
    <t>陳正賢</t>
    <phoneticPr fontId="55" type="noConversion"/>
  </si>
  <si>
    <t>阮成山</t>
  </si>
  <si>
    <t>是</t>
    <phoneticPr fontId="2" type="noConversion"/>
  </si>
  <si>
    <t>中隊長</t>
    <phoneticPr fontId="2" type="noConversion"/>
  </si>
  <si>
    <t>A</t>
    <phoneticPr fontId="2" type="noConversion"/>
  </si>
  <si>
    <t>陳正賢</t>
    <phoneticPr fontId="2" type="noConversion"/>
  </si>
  <si>
    <r>
      <t xml:space="preserve"> </t>
    </r>
    <r>
      <rPr>
        <sz val="11"/>
        <color indexed="10"/>
        <rFont val="標楷體"/>
        <family val="4"/>
      </rPr>
      <t xml:space="preserve">勤務時段
</t>
    </r>
    <r>
      <rPr>
        <sz val="11"/>
        <color indexed="10"/>
        <rFont val="Times New Roman"/>
        <family val="1"/>
      </rPr>
      <t xml:space="preserve"> </t>
    </r>
    <r>
      <rPr>
        <sz val="11"/>
        <color indexed="10"/>
        <rFont val="標楷體"/>
        <family val="4"/>
      </rPr>
      <t xml:space="preserve">人員代號
</t>
    </r>
    <r>
      <rPr>
        <sz val="11"/>
        <color indexed="10"/>
        <rFont val="Times New Roman"/>
        <family val="1"/>
      </rPr>
      <t xml:space="preserve"> </t>
    </r>
    <r>
      <rPr>
        <sz val="11"/>
        <color indexed="10"/>
        <rFont val="標楷體"/>
        <family val="4"/>
      </rPr>
      <t>勤務項目</t>
    </r>
    <phoneticPr fontId="2" type="noConversion"/>
  </si>
  <si>
    <t>12-14</t>
    <phoneticPr fontId="2" type="noConversion"/>
  </si>
  <si>
    <t>14-16</t>
    <phoneticPr fontId="2" type="noConversion"/>
  </si>
  <si>
    <t>18-20</t>
    <phoneticPr fontId="2" type="noConversion"/>
  </si>
  <si>
    <t>20-22</t>
    <phoneticPr fontId="2" type="noConversion"/>
  </si>
  <si>
    <r>
      <rPr>
        <sz val="22"/>
        <rFont val="標楷體"/>
        <family val="4"/>
      </rPr>
      <t>勤務變更</t>
    </r>
    <phoneticPr fontId="2" type="noConversion"/>
  </si>
  <si>
    <r>
      <rPr>
        <sz val="22"/>
        <rFont val="標楷體"/>
        <family val="4"/>
      </rPr>
      <t>核章</t>
    </r>
    <phoneticPr fontId="2" type="noConversion"/>
  </si>
  <si>
    <r>
      <rPr>
        <sz val="14"/>
        <rFont val="標楷體"/>
        <family val="4"/>
      </rPr>
      <t>日期</t>
    </r>
    <phoneticPr fontId="2" type="noConversion"/>
  </si>
  <si>
    <r>
      <rPr>
        <sz val="14"/>
        <rFont val="標楷體"/>
        <family val="4"/>
      </rPr>
      <t>日期</t>
    </r>
    <phoneticPr fontId="2" type="noConversion"/>
  </si>
  <si>
    <r>
      <rPr>
        <sz val="14"/>
        <rFont val="標楷體"/>
        <family val="4"/>
      </rPr>
      <t>番號</t>
    </r>
    <phoneticPr fontId="2" type="noConversion"/>
  </si>
  <si>
    <r>
      <rPr>
        <sz val="14"/>
        <rFont val="標楷體"/>
        <family val="4"/>
      </rPr>
      <t>番號</t>
    </r>
    <phoneticPr fontId="2" type="noConversion"/>
  </si>
  <si>
    <r>
      <rPr>
        <sz val="12"/>
        <rFont val="標楷體"/>
        <family val="4"/>
      </rPr>
      <t>番號</t>
    </r>
    <phoneticPr fontId="2" type="noConversion"/>
  </si>
  <si>
    <r>
      <rPr>
        <sz val="12"/>
        <rFont val="標楷體"/>
        <family val="4"/>
      </rPr>
      <t>姓名</t>
    </r>
    <phoneticPr fontId="2" type="noConversion"/>
  </si>
  <si>
    <r>
      <rPr>
        <sz val="12"/>
        <rFont val="標楷體"/>
        <family val="4"/>
      </rPr>
      <t>值勤次數</t>
    </r>
    <phoneticPr fontId="2" type="noConversion"/>
  </si>
  <si>
    <r>
      <rPr>
        <sz val="12"/>
        <rFont val="標楷體"/>
        <family val="4"/>
      </rPr>
      <t>累積時數</t>
    </r>
    <phoneticPr fontId="2" type="noConversion"/>
  </si>
  <si>
    <r>
      <rPr>
        <sz val="12"/>
        <rFont val="標楷體"/>
        <family val="4"/>
      </rPr>
      <t>姓名</t>
    </r>
    <phoneticPr fontId="2" type="noConversion"/>
  </si>
  <si>
    <r>
      <rPr>
        <sz val="12"/>
        <rFont val="標楷體"/>
        <family val="4"/>
      </rPr>
      <t>值勤次數</t>
    </r>
    <phoneticPr fontId="2" type="noConversion"/>
  </si>
  <si>
    <t>綜合大樓(守望)</t>
    <phoneticPr fontId="2" type="noConversion"/>
  </si>
  <si>
    <t>陳正賢</t>
  </si>
  <si>
    <t>08-20</t>
    <phoneticPr fontId="2" type="noConversion"/>
  </si>
  <si>
    <t>育嬰假</t>
    <phoneticPr fontId="2" type="noConversion"/>
  </si>
  <si>
    <t>※第一中隊中隊長陳正賢</t>
    <phoneticPr fontId="2" type="noConversion"/>
  </si>
  <si>
    <t>支援檢疫所</t>
    <phoneticPr fontId="2" type="noConversion"/>
  </si>
  <si>
    <t>丙</t>
    <phoneticPr fontId="55" type="noConversion"/>
  </si>
  <si>
    <t>X：輪休
 /：8~18時服勤
/●：16-24時服勤
★：(早)晚點名
●：08時至16時服勤</t>
    <phoneticPr fontId="55" type="noConversion"/>
  </si>
  <si>
    <t>乙</t>
    <phoneticPr fontId="55" type="noConversion"/>
  </si>
  <si>
    <t>08-18秘書室</t>
    <phoneticPr fontId="2" type="noConversion"/>
  </si>
  <si>
    <t>退</t>
    <phoneticPr fontId="2" type="noConversion"/>
  </si>
  <si>
    <t>否</t>
    <phoneticPr fontId="2" type="noConversion"/>
  </si>
  <si>
    <t>備勤</t>
    <phoneticPr fontId="2" type="noConversion"/>
  </si>
  <si>
    <t>備勤</t>
    <phoneticPr fontId="2" type="noConversion"/>
  </si>
  <si>
    <t>待命</t>
    <phoneticPr fontId="2" type="noConversion"/>
  </si>
  <si>
    <t>待命</t>
    <phoneticPr fontId="2" type="noConversion"/>
  </si>
  <si>
    <t>08-18秘書室</t>
    <phoneticPr fontId="55" type="noConversion"/>
  </si>
  <si>
    <t>大夜</t>
    <phoneticPr fontId="2" type="noConversion"/>
  </si>
  <si>
    <t>大值</t>
    <phoneticPr fontId="2" type="noConversion"/>
  </si>
  <si>
    <t>翌晨在隊</t>
    <phoneticPr fontId="2" type="noConversion"/>
  </si>
  <si>
    <t>是</t>
    <phoneticPr fontId="2" type="noConversion"/>
  </si>
  <si>
    <t>是</t>
    <phoneticPr fontId="2" type="noConversion"/>
  </si>
  <si>
    <t xml:space="preserve"> </t>
    <phoneticPr fontId="2" type="noConversion"/>
  </si>
  <si>
    <t xml:space="preserve"> </t>
    <phoneticPr fontId="2" type="noConversion"/>
  </si>
  <si>
    <t xml:space="preserve"> </t>
    <phoneticPr fontId="2" type="noConversion"/>
  </si>
  <si>
    <t xml:space="preserve"> </t>
    <phoneticPr fontId="2" type="noConversion"/>
  </si>
  <si>
    <t xml:space="preserve"> </t>
    <phoneticPr fontId="2" type="noConversion"/>
  </si>
  <si>
    <t>/</t>
    <phoneticPr fontId="2" type="noConversion"/>
  </si>
  <si>
    <t>/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</si>
  <si>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</si>
  <si>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</si>
  <si>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</si>
  <si>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08-18秘書室</t>
    <phoneticPr fontId="55" type="noConversion"/>
  </si>
  <si>
    <t>20-06</t>
    <phoneticPr fontId="2" type="noConversion"/>
  </si>
  <si>
    <t>五</t>
  </si>
  <si>
    <t>五</t>
    <phoneticPr fontId="55" type="noConversion"/>
  </si>
  <si>
    <t>六</t>
  </si>
  <si>
    <t>六</t>
    <phoneticPr fontId="55" type="noConversion"/>
  </si>
  <si>
    <t>楊鈞翔</t>
  </si>
  <si>
    <t>x</t>
  </si>
  <si>
    <t>唐正瑋</t>
  </si>
  <si>
    <t>曾慶鈞</t>
  </si>
  <si>
    <t>游瀚翔</t>
  </si>
  <si>
    <t>一</t>
  </si>
  <si>
    <t>二</t>
  </si>
  <si>
    <t>三</t>
  </si>
  <si>
    <t>四</t>
  </si>
  <si>
    <t>本假23人+(大隊2人不管控) 請假 在隊人數需管控過半數</t>
    <phoneticPr fontId="2" type="noConversion"/>
  </si>
  <si>
    <t>N</t>
    <phoneticPr fontId="2" type="noConversion"/>
  </si>
  <si>
    <t>10/1</t>
    <phoneticPr fontId="2" type="noConversion"/>
  </si>
  <si>
    <t>10/2</t>
  </si>
  <si>
    <t>10/3</t>
  </si>
  <si>
    <t>10/4</t>
  </si>
  <si>
    <t>10/5</t>
  </si>
  <si>
    <t>10/6</t>
  </si>
  <si>
    <t>10/7</t>
  </si>
  <si>
    <t>10/8</t>
  </si>
  <si>
    <t>10/9</t>
  </si>
  <si>
    <t>10/10</t>
  </si>
  <si>
    <t>10/11</t>
  </si>
  <si>
    <t>10/12</t>
  </si>
  <si>
    <t>10/13</t>
  </si>
  <si>
    <t>10/14</t>
  </si>
  <si>
    <t>10/15</t>
  </si>
  <si>
    <t>10/16</t>
  </si>
  <si>
    <t>10/17</t>
  </si>
  <si>
    <t>10/18</t>
  </si>
  <si>
    <t>10/19</t>
  </si>
  <si>
    <t>10/20</t>
  </si>
  <si>
    <t>10/21</t>
  </si>
  <si>
    <t>10/22</t>
  </si>
  <si>
    <t>10/23</t>
  </si>
  <si>
    <t>10/24</t>
  </si>
  <si>
    <t>10/25</t>
  </si>
  <si>
    <t>10/26</t>
  </si>
  <si>
    <t>10/27</t>
  </si>
  <si>
    <t>10/28</t>
  </si>
  <si>
    <t>10/29</t>
  </si>
  <si>
    <t>10/30</t>
  </si>
  <si>
    <t>10/31</t>
  </si>
  <si>
    <r>
      <t>110</t>
    </r>
    <r>
      <rPr>
        <b/>
        <sz val="28"/>
        <rFont val="標楷體"/>
        <family val="4"/>
      </rPr>
      <t>年</t>
    </r>
    <r>
      <rPr>
        <b/>
        <sz val="28"/>
        <rFont val="Times New Roman"/>
        <family val="1"/>
      </rPr>
      <t xml:space="preserve"> 10</t>
    </r>
    <r>
      <rPr>
        <b/>
        <sz val="28"/>
        <rFont val="標楷體"/>
        <family val="4"/>
      </rPr>
      <t>月</t>
    </r>
    <phoneticPr fontId="2" type="noConversion"/>
  </si>
  <si>
    <r>
      <rPr>
        <sz val="18"/>
        <rFont val="標楷體"/>
        <family val="4"/>
        <charset val="136"/>
      </rPr>
      <t>第二大隊第一中隊</t>
    </r>
    <r>
      <rPr>
        <sz val="18"/>
        <rFont val="Times New Roman"/>
        <family val="1"/>
      </rPr>
      <t xml:space="preserve">  </t>
    </r>
    <r>
      <rPr>
        <sz val="18"/>
        <rFont val="標楷體"/>
        <family val="4"/>
        <charset val="136"/>
      </rPr>
      <t>役男中隊</t>
    </r>
    <r>
      <rPr>
        <sz val="18"/>
        <rFont val="Times New Roman"/>
        <family val="1"/>
      </rPr>
      <t xml:space="preserve">  </t>
    </r>
    <r>
      <rPr>
        <sz val="18"/>
        <rFont val="標楷體"/>
        <family val="4"/>
        <charset val="136"/>
      </rPr>
      <t>值班勤務分配表</t>
    </r>
    <r>
      <rPr>
        <sz val="18"/>
        <rFont val="Times New Roman"/>
        <family val="1"/>
      </rPr>
      <t>(110.09.29</t>
    </r>
    <r>
      <rPr>
        <sz val="18"/>
        <rFont val="標楷體"/>
        <family val="4"/>
        <charset val="136"/>
      </rPr>
      <t>更新</t>
    </r>
    <r>
      <rPr>
        <sz val="18"/>
        <rFont val="Times New Roman"/>
        <family val="1"/>
      </rPr>
      <t>)</t>
    </r>
    <phoneticPr fontId="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</si>
  <si>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</si>
  <si>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</si>
  <si>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</si>
  <si>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邱俊閎</t>
    <phoneticPr fontId="2" type="noConversion"/>
  </si>
  <si>
    <t>x</t>
    <phoneticPr fontId="2" type="noConversion"/>
  </si>
  <si>
    <t>x</t>
    <phoneticPr fontId="2" type="noConversion"/>
  </si>
  <si>
    <t>邱俊閎</t>
    <phoneticPr fontId="2" type="noConversion"/>
  </si>
  <si>
    <t xml:space="preserve"> 保 安 警 察 第 一 總 隊 第 二 大 隊 第 一 中 隊 110 年 10月 份 役 男 輪 休 預 定 表         主管：</t>
    <phoneticPr fontId="2" type="noConversion"/>
  </si>
  <si>
    <t>林建誠</t>
    <phoneticPr fontId="2" type="noConversion"/>
  </si>
  <si>
    <t>x</t>
    <phoneticPr fontId="2" type="noConversion"/>
  </si>
  <si>
    <t>X</t>
    <phoneticPr fontId="2" type="noConversion"/>
  </si>
  <si>
    <t>08-18備</t>
    <phoneticPr fontId="2" type="noConversion"/>
  </si>
  <si>
    <t>補</t>
    <phoneticPr fontId="2" type="noConversion"/>
  </si>
  <si>
    <t>大夜</t>
    <phoneticPr fontId="2" type="noConversion"/>
  </si>
  <si>
    <t>x</t>
    <phoneticPr fontId="2" type="noConversion"/>
  </si>
  <si>
    <t>值1早</t>
    <phoneticPr fontId="2" type="noConversion"/>
  </si>
  <si>
    <t>值1</t>
    <phoneticPr fontId="2" type="noConversion"/>
  </si>
  <si>
    <t>值1</t>
    <phoneticPr fontId="2" type="noConversion"/>
  </si>
  <si>
    <t>x</t>
    <phoneticPr fontId="2" type="noConversion"/>
  </si>
  <si>
    <t>夜值</t>
    <phoneticPr fontId="2" type="noConversion"/>
  </si>
  <si>
    <t>夜值</t>
    <phoneticPr fontId="2" type="noConversion"/>
  </si>
  <si>
    <t>/</t>
    <phoneticPr fontId="2" type="noConversion"/>
  </si>
  <si>
    <t>/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</si>
  <si>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</si>
  <si>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</si>
  <si>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</si>
  <si>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休</t>
    <phoneticPr fontId="2" type="noConversion"/>
  </si>
  <si>
    <t>夜值</t>
    <phoneticPr fontId="2" type="noConversion"/>
  </si>
  <si>
    <t>夜值</t>
    <phoneticPr fontId="2" type="noConversion"/>
  </si>
  <si>
    <t>X</t>
    <phoneticPr fontId="2" type="noConversion"/>
  </si>
  <si>
    <t>/</t>
    <phoneticPr fontId="2" type="noConversion"/>
  </si>
  <si>
    <t>/</t>
    <phoneticPr fontId="2" type="noConversion"/>
  </si>
  <si>
    <t>大日</t>
    <phoneticPr fontId="2" type="noConversion"/>
  </si>
  <si>
    <t>X</t>
    <phoneticPr fontId="2" type="noConversion"/>
  </si>
  <si>
    <t>08-18秘書室</t>
    <phoneticPr fontId="55" type="noConversion"/>
  </si>
  <si>
    <t>X</t>
    <phoneticPr fontId="55" type="noConversion"/>
  </si>
  <si>
    <t>/</t>
    <phoneticPr fontId="2" type="noConversion"/>
  </si>
  <si>
    <t>x</t>
    <phoneticPr fontId="55" type="noConversion"/>
  </si>
  <si>
    <t>x榮18-22</t>
    <phoneticPr fontId="55" type="noConversion"/>
  </si>
  <si>
    <t>x榮18-22</t>
    <phoneticPr fontId="2" type="noConversion"/>
  </si>
  <si>
    <t>榮14-18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</si>
  <si>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</si>
  <si>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</si>
  <si>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</si>
  <si>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值1早</t>
    <phoneticPr fontId="2" type="noConversion"/>
  </si>
  <si>
    <t>08-18備</t>
    <phoneticPr fontId="2" type="noConversion"/>
  </si>
  <si>
    <t>補</t>
    <phoneticPr fontId="2" type="noConversion"/>
  </si>
  <si>
    <t>補</t>
    <phoneticPr fontId="2" type="noConversion"/>
  </si>
  <si>
    <t>※F番分隊長李佳萱申請「留職停薪」，自10月1日起至11月30日止。</t>
    <phoneticPr fontId="2" type="noConversion"/>
  </si>
  <si>
    <t>正(副)主官(管)</t>
    <phoneticPr fontId="2" type="noConversion"/>
  </si>
  <si>
    <t>x榮18-22</t>
    <phoneticPr fontId="55" type="noConversion"/>
  </si>
  <si>
    <t>x</t>
    <phoneticPr fontId="2" type="noConversion"/>
  </si>
  <si>
    <t>唐正瑋</t>
    <phoneticPr fontId="55" type="noConversion"/>
  </si>
  <si>
    <t>病8-12</t>
    <phoneticPr fontId="2" type="noConversion"/>
  </si>
  <si>
    <t>游瀚翔</t>
    <phoneticPr fontId="55" type="noConversion"/>
  </si>
  <si>
    <t>x18-22</t>
    <phoneticPr fontId="2" type="noConversion"/>
  </si>
  <si>
    <t>x榮18-22</t>
    <phoneticPr fontId="2" type="noConversion"/>
  </si>
  <si>
    <t>病17-21</t>
    <phoneticPr fontId="2" type="noConversion"/>
  </si>
  <si>
    <t>榮18-22</t>
    <phoneticPr fontId="2" type="noConversion"/>
  </si>
  <si>
    <t>高仲廷</t>
    <phoneticPr fontId="55" type="noConversion"/>
  </si>
  <si>
    <t>陳羲</t>
    <phoneticPr fontId="55" type="noConversion"/>
  </si>
  <si>
    <t>病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</si>
  <si>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</si>
  <si>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</si>
  <si>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</si>
  <si>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</si>
  <si>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曾慶鈞</t>
    <phoneticPr fontId="55" type="noConversion"/>
  </si>
  <si>
    <t>黃臺境</t>
    <phoneticPr fontId="2" type="noConversion"/>
  </si>
  <si>
    <t>黃臺境</t>
    <phoneticPr fontId="2" type="noConversion"/>
  </si>
  <si>
    <t>第二大隊第一中隊110年10月勤休預定表</t>
    <phoneticPr fontId="55" type="noConversion"/>
  </si>
  <si>
    <t>08-18備</t>
    <phoneticPr fontId="2" type="noConversion"/>
  </si>
  <si>
    <t>08-18備</t>
    <phoneticPr fontId="2" type="noConversion"/>
  </si>
  <si>
    <t>08-18備</t>
    <phoneticPr fontId="2" type="noConversion"/>
  </si>
  <si>
    <t>08-18備</t>
    <phoneticPr fontId="2" type="noConversion"/>
  </si>
  <si>
    <t>值1</t>
    <phoneticPr fontId="2" type="noConversion"/>
  </si>
  <si>
    <t>黃臺境</t>
    <phoneticPr fontId="55" type="noConversion"/>
  </si>
  <si>
    <t>邱俊閎</t>
  </si>
  <si>
    <t>高仲廷</t>
  </si>
  <si>
    <t>陳羲</t>
  </si>
  <si>
    <t>08-18水電科</t>
  </si>
  <si>
    <t>全日勤</t>
  </si>
  <si>
    <t>※支援士林檢疫所:B番</t>
    <phoneticPr fontId="2" type="noConversion"/>
  </si>
  <si>
    <t>x</t>
    <phoneticPr fontId="2" type="noConversion"/>
  </si>
  <si>
    <t xml:space="preserve"> </t>
    <phoneticPr fontId="2" type="noConversion"/>
  </si>
  <si>
    <t xml:space="preserve"> </t>
    <phoneticPr fontId="2" type="noConversion"/>
  </si>
  <si>
    <t xml:space="preserve"> </t>
    <phoneticPr fontId="2" type="noConversion"/>
  </si>
  <si>
    <t>x榮18-22</t>
    <phoneticPr fontId="2" type="noConversion"/>
  </si>
  <si>
    <t>榮14-18</t>
    <phoneticPr fontId="2" type="noConversion"/>
  </si>
  <si>
    <t>病13-17</t>
    <phoneticPr fontId="2" type="noConversion"/>
  </si>
  <si>
    <t>榮14-22</t>
    <phoneticPr fontId="2" type="noConversion"/>
  </si>
  <si>
    <t>x榮18-22</t>
    <phoneticPr fontId="2" type="noConversion"/>
  </si>
  <si>
    <t>x榮18-22</t>
    <phoneticPr fontId="55" type="noConversion"/>
  </si>
  <si>
    <t>病17-21</t>
    <phoneticPr fontId="2" type="noConversion"/>
  </si>
  <si>
    <t>x榮18-22</t>
    <phoneticPr fontId="55" type="noConversion"/>
  </si>
  <si>
    <t>51</t>
    <phoneticPr fontId="2" type="noConversion"/>
  </si>
  <si>
    <t>53</t>
    <phoneticPr fontId="2" type="noConversion"/>
  </si>
  <si>
    <t>全日休</t>
  </si>
  <si>
    <t>榮14-22</t>
    <phoneticPr fontId="2" type="noConversion"/>
  </si>
  <si>
    <t>榮14-18</t>
    <phoneticPr fontId="2" type="noConversion"/>
  </si>
  <si>
    <t>榮14-22</t>
    <phoneticPr fontId="2" type="noConversion"/>
  </si>
  <si>
    <t>榮18-22</t>
    <phoneticPr fontId="55" type="noConversion"/>
  </si>
  <si>
    <t>※役男33號(莊博竣)病假自09月22日18時起至11月6日18時止。</t>
    <phoneticPr fontId="2" type="noConversion"/>
  </si>
  <si>
    <t>邱昱銘</t>
  </si>
  <si>
    <t>鄭凱文</t>
  </si>
  <si>
    <t>葉家豪</t>
  </si>
  <si>
    <t>鄭智謙</t>
  </si>
  <si>
    <t>蔡政倫</t>
  </si>
  <si>
    <t>洪長昇</t>
  </si>
  <si>
    <t>許翊呈</t>
  </si>
  <si>
    <t>李政聰</t>
  </si>
  <si>
    <t>劉威志</t>
  </si>
  <si>
    <t>梁展碩</t>
  </si>
  <si>
    <t>王敍安</t>
  </si>
  <si>
    <t>何奕諠</t>
  </si>
  <si>
    <t>楊瑞麟</t>
  </si>
  <si>
    <t>鄭品豪</t>
  </si>
  <si>
    <t>林晉弘</t>
  </si>
  <si>
    <t>張恩齊</t>
  </si>
  <si>
    <t>周承澔</t>
  </si>
  <si>
    <t>蕭敬哲</t>
  </si>
  <si>
    <t>葉家豪</t>
    <phoneticPr fontId="2" type="noConversion"/>
  </si>
  <si>
    <t>鄭智謙</t>
    <phoneticPr fontId="2" type="noConversion"/>
  </si>
  <si>
    <t>王敍安</t>
    <phoneticPr fontId="2" type="noConversion"/>
  </si>
  <si>
    <t>鄭凱文</t>
    <phoneticPr fontId="2" type="noConversion"/>
  </si>
  <si>
    <t>蔡政倫</t>
    <phoneticPr fontId="2" type="noConversion"/>
  </si>
  <si>
    <t>邱昱銘</t>
    <phoneticPr fontId="2" type="noConversion"/>
  </si>
  <si>
    <t>洪長昇</t>
    <phoneticPr fontId="2" type="noConversion"/>
  </si>
  <si>
    <t>許翊呈</t>
    <phoneticPr fontId="2" type="noConversion"/>
  </si>
  <si>
    <t>李政聰</t>
    <phoneticPr fontId="2" type="noConversion"/>
  </si>
  <si>
    <t>劉威志</t>
    <phoneticPr fontId="2" type="noConversion"/>
  </si>
  <si>
    <t>梁展碩</t>
    <phoneticPr fontId="2" type="noConversion"/>
  </si>
  <si>
    <t>何奕諠</t>
    <phoneticPr fontId="2" type="noConversion"/>
  </si>
  <si>
    <t>楊瑞麟</t>
    <phoneticPr fontId="2" type="noConversion"/>
  </si>
  <si>
    <t>鄭品豪</t>
    <phoneticPr fontId="2" type="noConversion"/>
  </si>
  <si>
    <t xml:space="preserve">                           </t>
    <phoneticPr fontId="2" type="noConversion"/>
  </si>
  <si>
    <t>許翊呈</t>
    <phoneticPr fontId="2" type="noConversion"/>
  </si>
  <si>
    <t>18收</t>
  </si>
  <si>
    <t>病06-22</t>
  </si>
  <si>
    <t>病06-22</t>
    <phoneticPr fontId="2" type="noConversion"/>
  </si>
  <si>
    <t>病06-22</t>
    <phoneticPr fontId="2" type="noConversion"/>
  </si>
  <si>
    <t>榮12-18</t>
    <phoneticPr fontId="55" type="noConversion"/>
  </si>
  <si>
    <t>是</t>
    <phoneticPr fontId="2" type="noConversion"/>
  </si>
  <si>
    <t>是</t>
    <phoneticPr fontId="2" type="noConversion"/>
  </si>
  <si>
    <t>病08-22</t>
    <phoneticPr fontId="2" type="noConversion"/>
  </si>
  <si>
    <t>※借調支援:支援總隊後勤科:51.52.53.54.55.56.P.Q。</t>
    <phoneticPr fontId="2" type="noConversion"/>
  </si>
  <si>
    <t>育嬰假</t>
  </si>
  <si>
    <t>大值</t>
  </si>
  <si>
    <t>榮18-22</t>
  </si>
  <si>
    <t>榮18-22</t>
    <phoneticPr fontId="2" type="noConversion"/>
  </si>
  <si>
    <t>x榮18-22</t>
    <phoneticPr fontId="55" type="noConversion"/>
  </si>
  <si>
    <t>榮12-18</t>
    <phoneticPr fontId="2" type="noConversion"/>
  </si>
  <si>
    <t>榮18-22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</si>
  <si>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</si>
  <si>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</si>
  <si>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</si>
  <si>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</si>
  <si>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接兵1</t>
    <phoneticPr fontId="2" type="noConversion"/>
  </si>
  <si>
    <t>否</t>
    <phoneticPr fontId="2" type="noConversion"/>
  </si>
  <si>
    <t>J.K</t>
    <phoneticPr fontId="2" type="noConversion"/>
  </si>
  <si>
    <t>至成功嶺撥接226梯役男</t>
    <phoneticPr fontId="2" type="noConversion"/>
  </si>
  <si>
    <t>翌日晨點名在隊役男：2.3.4.5.6.7.8.9.11.12.13.14.16.17.18.19.20.21.22.24.26.27.29.31等共24名</t>
    <phoneticPr fontId="2" type="noConversion"/>
  </si>
  <si>
    <t>補</t>
    <phoneticPr fontId="2" type="noConversion"/>
  </si>
  <si>
    <t>補</t>
    <phoneticPr fontId="2" type="noConversion"/>
  </si>
  <si>
    <t>※第四中隊副中隊長葉子斌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</si>
</sst>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0_);[Red]\(0\)"/>
    <numFmt numFmtId="178" formatCode="[$-404]aaaa;@"/>
    <numFmt numFmtId="179" formatCode="[$-404]e&quot;年&quot;m&quot;月&quot;d&quot;日&quot;;@"/>
    <numFmt numFmtId="180" formatCode="0.00_);[Red]\(0.00\)"/>
    <numFmt numFmtId="181" formatCode="[$-404]aaa;@"/>
    <numFmt numFmtId="182" formatCode="[$-404]e&quot;年&quot;mm&quot;月&quot;dd&quot;日&quot;aaaa;@"/>
    <numFmt numFmtId="183" formatCode="m&quot;月&quot;d&quot;日&quot;"/>
  </numFmts>
  <fonts count="10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標楷體"/>
      <family val="4"/>
      <charset val="136"/>
    </font>
    <font>
      <sz val="11"/>
      <name val="新細明體"/>
      <family val="1"/>
      <charset val="136"/>
    </font>
    <font>
      <sz val="11"/>
      <name val="標楷體"/>
      <family val="4"/>
      <charset val="136"/>
    </font>
    <font>
      <sz val="16"/>
      <name val="標楷體"/>
      <family val="4"/>
      <charset val="136"/>
    </font>
    <font>
      <sz val="20"/>
      <name val="標楷體"/>
      <family val="4"/>
      <charset val="136"/>
    </font>
    <font>
      <sz val="14"/>
      <name val="標楷體"/>
      <family val="4"/>
      <charset val="136"/>
    </font>
    <font>
      <sz val="12"/>
      <color indexed="10"/>
      <name val="標楷體"/>
      <family val="4"/>
      <charset val="136"/>
    </font>
    <font>
      <sz val="18"/>
      <name val="標楷體"/>
      <family val="4"/>
      <charset val="136"/>
    </font>
    <font>
      <sz val="12"/>
      <color indexed="8"/>
      <name val="標楷體"/>
      <family val="4"/>
      <charset val="136"/>
    </font>
    <font>
      <b/>
      <sz val="36"/>
      <name val="標楷體"/>
      <family val="4"/>
      <charset val="136"/>
    </font>
    <font>
      <sz val="36"/>
      <name val="標楷體"/>
      <family val="4"/>
      <charset val="136"/>
    </font>
    <font>
      <sz val="12"/>
      <name val="宋体"/>
      <family val="3"/>
      <charset val="136"/>
    </font>
    <font>
      <b/>
      <sz val="14"/>
      <name val="標楷體"/>
      <family val="4"/>
      <charset val="136"/>
    </font>
    <font>
      <b/>
      <sz val="14"/>
      <color indexed="12"/>
      <name val="標楷體"/>
      <family val="4"/>
      <charset val="136"/>
    </font>
    <font>
      <b/>
      <sz val="14"/>
      <color indexed="10"/>
      <name val="標楷體"/>
      <family val="4"/>
      <charset val="136"/>
    </font>
    <font>
      <sz val="13"/>
      <name val="標楷體"/>
      <family val="4"/>
      <charset val="136"/>
    </font>
    <font>
      <b/>
      <sz val="10"/>
      <color indexed="10"/>
      <name val="標楷體"/>
      <family val="4"/>
      <charset val="136"/>
    </font>
    <font>
      <b/>
      <sz val="12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8"/>
      <name val="新細明體"/>
      <family val="1"/>
      <charset val="136"/>
    </font>
    <font>
      <b/>
      <u/>
      <sz val="20"/>
      <name val="新細明體"/>
      <family val="1"/>
      <charset val="136"/>
    </font>
    <font>
      <sz val="16"/>
      <name val="新細明體"/>
      <family val="1"/>
      <charset val="136"/>
    </font>
    <font>
      <sz val="18"/>
      <name val="新細明體"/>
      <family val="1"/>
      <charset val="136"/>
    </font>
    <font>
      <sz val="12"/>
      <color theme="1"/>
      <name val="標楷體"/>
      <family val="4"/>
      <charset val="136"/>
    </font>
    <font>
      <b/>
      <sz val="16"/>
      <color rgb="FFFF0000"/>
      <name val="新細明體"/>
      <family val="1"/>
      <charset val="136"/>
    </font>
    <font>
      <sz val="11"/>
      <name val="新細明體"/>
      <family val="1"/>
      <charset val="136"/>
      <scheme val="minor"/>
    </font>
    <font>
      <sz val="8"/>
      <color rgb="FFFF0000"/>
      <name val="標楷體"/>
      <family val="4"/>
      <charset val="136"/>
    </font>
    <font>
      <sz val="12"/>
      <color rgb="FFFF0000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sz val="36"/>
      <color rgb="FFFF0000"/>
      <name val="標楷體"/>
      <family val="4"/>
      <charset val="136"/>
    </font>
    <font>
      <sz val="12"/>
      <color rgb="FFFF0000"/>
      <name val="新細明體"/>
      <family val="1"/>
      <charset val="136"/>
    </font>
    <font>
      <sz val="12"/>
      <color indexed="8"/>
      <name val="新細明體"/>
      <family val="1"/>
      <charset val="136"/>
      <scheme val="major"/>
    </font>
    <font>
      <sz val="12"/>
      <name val="新細明體"/>
      <family val="1"/>
      <charset val="136"/>
      <scheme val="major"/>
    </font>
    <font>
      <sz val="9"/>
      <name val="微軟正黑體"/>
      <family val="2"/>
      <charset val="136"/>
    </font>
    <font>
      <sz val="18"/>
      <color theme="1"/>
      <name val="標楷體"/>
      <family val="4"/>
      <charset val="136"/>
    </font>
    <font>
      <sz val="18"/>
      <color rgb="FFFF0000"/>
      <name val="標楷體"/>
      <family val="4"/>
      <charset val="136"/>
    </font>
    <font>
      <sz val="24"/>
      <name val="標楷體"/>
      <family val="4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name val="Times New Roman"/>
      <family val="1"/>
    </font>
    <font>
      <sz val="11"/>
      <name val="Times New Roman"/>
      <family val="1"/>
    </font>
    <font>
      <sz val="12"/>
      <color rgb="FF006100"/>
      <name val="Times New Roman"/>
      <family val="1"/>
    </font>
    <font>
      <sz val="12"/>
      <color rgb="FF9C6500"/>
      <name val="Times New Roman"/>
      <family val="1"/>
    </font>
    <font>
      <b/>
      <sz val="28"/>
      <color indexed="8"/>
      <name val="標楷體"/>
      <family val="4"/>
    </font>
    <font>
      <b/>
      <sz val="18"/>
      <color indexed="8"/>
      <name val="標楷體"/>
      <family val="4"/>
      <charset val="136"/>
    </font>
    <font>
      <b/>
      <sz val="18"/>
      <color rgb="FF000000"/>
      <name val="標楷體"/>
      <family val="4"/>
    </font>
    <font>
      <b/>
      <sz val="18"/>
      <color rgb="FF000000"/>
      <name val="Microsoft YaHei"/>
      <family val="2"/>
      <charset val="134"/>
    </font>
    <font>
      <b/>
      <sz val="18"/>
      <color theme="1"/>
      <name val="標楷體"/>
      <family val="4"/>
    </font>
    <font>
      <b/>
      <sz val="18"/>
      <color rgb="FF363636"/>
      <name val="標楷體"/>
      <family val="4"/>
    </font>
    <font>
      <sz val="18"/>
      <color theme="1"/>
      <name val="Microsoft YaHei"/>
      <family val="2"/>
      <charset val="134"/>
    </font>
    <font>
      <sz val="9"/>
      <name val="新細明體"/>
      <family val="2"/>
      <charset val="136"/>
      <scheme val="minor"/>
    </font>
    <font>
      <b/>
      <sz val="18"/>
      <color theme="1"/>
      <name val="標楷體"/>
      <family val="4"/>
      <charset val="136"/>
    </font>
    <font>
      <b/>
      <sz val="18"/>
      <color rgb="FF000000"/>
      <name val="標楷體"/>
      <family val="4"/>
      <charset val="136"/>
    </font>
    <font>
      <b/>
      <sz val="18"/>
      <color rgb="FFFF0000"/>
      <name val="標楷體"/>
      <family val="4"/>
      <charset val="136"/>
    </font>
    <font>
      <sz val="18"/>
      <color rgb="FF000000"/>
      <name val="Microsoft YaHei"/>
      <family val="2"/>
      <charset val="134"/>
    </font>
    <font>
      <b/>
      <sz val="18"/>
      <color theme="0"/>
      <name val="標楷體"/>
      <family val="4"/>
      <charset val="136"/>
    </font>
    <font>
      <b/>
      <sz val="18"/>
      <color theme="1" tint="4.9989318521683403E-2"/>
      <name val="標楷體"/>
      <family val="4"/>
      <charset val="136"/>
    </font>
    <font>
      <b/>
      <sz val="18"/>
      <color rgb="FF363636"/>
      <name val="標楷體"/>
      <family val="4"/>
      <charset val="136"/>
    </font>
    <font>
      <b/>
      <sz val="14"/>
      <color rgb="FF000000"/>
      <name val="標楷體"/>
      <family val="4"/>
    </font>
    <font>
      <sz val="12"/>
      <name val="DFKai-SB"/>
      <family val="4"/>
      <charset val="136"/>
    </font>
    <font>
      <sz val="12"/>
      <color indexed="8"/>
      <name val="DFKai-SB"/>
      <family val="4"/>
      <charset val="136"/>
    </font>
    <font>
      <b/>
      <sz val="28"/>
      <name val="標楷體"/>
      <family val="4"/>
    </font>
    <font>
      <sz val="11"/>
      <color indexed="10"/>
      <name val="標楷體"/>
      <family val="4"/>
    </font>
    <font>
      <sz val="12"/>
      <name val="標楷體"/>
      <family val="4"/>
    </font>
    <font>
      <sz val="22"/>
      <name val="標楷體"/>
      <family val="4"/>
    </font>
    <font>
      <sz val="14"/>
      <name val="標楷體"/>
      <family val="4"/>
    </font>
    <font>
      <sz val="24"/>
      <color theme="1"/>
      <name val="標楷體"/>
      <family val="4"/>
      <charset val="136"/>
    </font>
    <font>
      <sz val="18"/>
      <color theme="1"/>
      <name val="新細明體"/>
      <family val="2"/>
      <charset val="136"/>
      <scheme val="minor"/>
    </font>
    <font>
      <sz val="16"/>
      <color theme="1"/>
      <name val="標楷體"/>
      <family val="4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標楷體"/>
      <family val="4"/>
      <charset val="136"/>
    </font>
    <font>
      <b/>
      <sz val="16"/>
      <color theme="1"/>
      <name val="標楷體"/>
      <family val="4"/>
      <charset val="136"/>
    </font>
    <font>
      <b/>
      <sz val="16"/>
      <color theme="1"/>
      <name val="新細明體"/>
      <family val="1"/>
      <charset val="136"/>
      <scheme val="minor"/>
    </font>
    <font>
      <sz val="13"/>
      <color theme="1"/>
      <name val="標楷體"/>
      <family val="4"/>
      <charset val="136"/>
    </font>
    <font>
      <sz val="13"/>
      <color theme="1"/>
      <name val="新細明體"/>
      <family val="1"/>
      <charset val="136"/>
    </font>
    <font>
      <sz val="18"/>
      <color theme="1"/>
      <name val="新細明體"/>
      <family val="1"/>
      <charset val="136"/>
      <scheme val="minor"/>
    </font>
    <font>
      <sz val="12"/>
      <name val="標楷體"/>
      <family val="4"/>
      <charset val="136"/>
    </font>
    <font>
      <sz val="11"/>
      <color rgb="FFFF0000"/>
      <name val="標楷體"/>
      <family val="4"/>
      <charset val="136"/>
    </font>
    <font>
      <sz val="11"/>
      <color rgb="FFFF0000"/>
      <name val="新細明體"/>
      <family val="1"/>
      <charset val="136"/>
    </font>
    <font>
      <sz val="10"/>
      <color rgb="FFFF0000"/>
      <name val="標楷體"/>
      <family val="4"/>
      <charset val="136"/>
    </font>
    <font>
      <b/>
      <sz val="12"/>
      <name val="標楷體"/>
      <family val="4"/>
      <charset val="136"/>
    </font>
    <font>
      <sz val="10"/>
      <color rgb="FFFF0000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8"/>
      <color rgb="FF0000FF"/>
      <name val="標楷體"/>
      <family val="4"/>
      <charset val="136"/>
    </font>
    <font>
      <b/>
      <sz val="16"/>
      <color theme="0"/>
      <name val="標楷體"/>
      <family val="4"/>
      <charset val="136"/>
    </font>
    <font>
      <b/>
      <sz val="18"/>
      <name val="標楷體"/>
      <family val="4"/>
    </font>
    <font>
      <b/>
      <sz val="18"/>
      <color rgb="FFC00000"/>
      <name val="標楷體"/>
      <family val="4"/>
      <charset val="136"/>
    </font>
    <font>
      <sz val="11"/>
      <color theme="0"/>
      <name val="標楷體"/>
      <family val="4"/>
      <charset val="136"/>
    </font>
    <font>
      <sz val="18"/>
      <color indexed="8"/>
      <name val="標楷體"/>
      <family val="4"/>
      <charset val="136"/>
    </font>
    <font>
      <sz val="18"/>
      <color rgb="FF000000"/>
      <name val="標楷體"/>
      <family val="4"/>
      <charset val="136"/>
    </font>
    <font>
      <b/>
      <sz val="16"/>
      <name val="標楷體"/>
      <family val="4"/>
      <charset val="136"/>
    </font>
    <font>
      <sz val="18"/>
      <name val="Times New Roman"/>
      <family val="1"/>
    </font>
    <font>
      <b/>
      <sz val="28"/>
      <name val="Times New Roman"/>
      <family val="1"/>
    </font>
    <font>
      <sz val="11"/>
      <color indexed="10"/>
      <name val="Times New Roman"/>
      <family val="1"/>
    </font>
    <font>
      <sz val="22"/>
      <name val="Times New Roman"/>
      <family val="1"/>
    </font>
    <font>
      <sz val="16"/>
      <color indexed="10"/>
      <name val="Times New Roman"/>
      <family val="1"/>
    </font>
    <font>
      <sz val="16"/>
      <color indexed="10"/>
      <name val="標楷體"/>
      <family val="4"/>
      <charset val="136"/>
    </font>
    <font>
      <sz val="14"/>
      <name val="Times New Roman"/>
      <family val="1"/>
    </font>
    <font>
      <sz val="12"/>
      <color rgb="FF000000"/>
      <name val="Times New Roman"/>
      <family val="1"/>
    </font>
    <font>
      <sz val="12"/>
      <color indexed="8"/>
      <name val="Times New Roman"/>
      <family val="1"/>
    </font>
    <font>
      <b/>
      <sz val="16"/>
      <color rgb="FF000000"/>
      <name val="標楷體"/>
      <family val="4"/>
      <charset val="136"/>
    </font>
    <font>
      <sz val="11"/>
      <color theme="1"/>
      <name val="標楷體"/>
      <family val="4"/>
      <charset val="136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BD4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0"/>
        <bgColor rgb="FFF2F2F2"/>
      </patternFill>
    </fill>
    <fill>
      <patternFill patternType="solid">
        <fgColor theme="0" tint="-0.14999847407452621"/>
        <bgColor rgb="FFF2F2F2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7" tint="0.59999389629810485"/>
        <bgColor rgb="FFFFFFFF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FFFF00"/>
      </patternFill>
    </fill>
    <fill>
      <patternFill patternType="solid">
        <fgColor theme="0" tint="-0.249977111117893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8"/>
      </left>
      <right/>
      <top style="thick">
        <color indexed="8"/>
      </top>
      <bottom style="thin">
        <color indexed="8"/>
      </bottom>
      <diagonal/>
    </border>
    <border>
      <left/>
      <right style="thick">
        <color indexed="8"/>
      </right>
      <top style="thick">
        <color indexed="8"/>
      </top>
      <bottom style="thin">
        <color indexed="8"/>
      </bottom>
      <diagonal/>
    </border>
    <border diagonalDown="1">
      <left style="thick">
        <color indexed="8"/>
      </left>
      <right style="thin">
        <color indexed="8"/>
      </right>
      <top style="thin">
        <color indexed="8"/>
      </top>
      <bottom style="thin">
        <color indexed="8"/>
      </bottom>
      <diagonal style="thin">
        <color indexed="64"/>
      </diagonal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/>
      <bottom/>
      <diagonal/>
    </border>
    <border>
      <left style="thick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ck">
        <color indexed="8"/>
      </bottom>
      <diagonal/>
    </border>
    <border>
      <left/>
      <right style="thick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ck">
        <color indexed="8"/>
      </bottom>
      <diagonal/>
    </border>
    <border>
      <left/>
      <right style="thin">
        <color indexed="8"/>
      </right>
      <top style="thin">
        <color indexed="64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64"/>
      </bottom>
      <diagonal/>
    </border>
    <border>
      <left/>
      <right style="thin">
        <color indexed="8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ck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/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/>
      <right/>
      <top style="thin">
        <color indexed="8"/>
      </top>
      <bottom style="thick">
        <color indexed="8"/>
      </bottom>
      <diagonal/>
    </border>
    <border>
      <left/>
      <right/>
      <top style="thick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 style="thin">
        <color indexed="8"/>
      </top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medium">
        <color indexed="64"/>
      </diagonal>
    </border>
    <border diagonalDown="1">
      <left/>
      <right style="thin">
        <color indexed="64"/>
      </right>
      <top style="medium">
        <color indexed="64"/>
      </top>
      <bottom/>
      <diagonal style="medium">
        <color indexed="64"/>
      </diagonal>
    </border>
    <border diagonalDown="1">
      <left style="medium">
        <color indexed="64"/>
      </left>
      <right/>
      <top/>
      <bottom/>
      <diagonal style="medium">
        <color indexed="64"/>
      </diagonal>
    </border>
    <border diagonalDown="1">
      <left/>
      <right style="thin">
        <color indexed="64"/>
      </right>
      <top/>
      <bottom/>
      <diagonal style="medium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medium">
        <color indexed="64"/>
      </diagonal>
    </border>
    <border diagonalDown="1">
      <left/>
      <right style="thin">
        <color indexed="64"/>
      </right>
      <top/>
      <bottom style="medium">
        <color indexed="64"/>
      </bottom>
      <diagonal style="medium">
        <color indexed="64"/>
      </diagonal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5">
    <xf numFmtId="0" fontId="0" fillId="0" borderId="0"/>
    <xf numFmtId="0" fontId="1" fillId="0" borderId="0">
      <alignment vertical="center"/>
    </xf>
    <xf numFmtId="0" fontId="14" fillId="0" borderId="0">
      <alignment vertical="center"/>
    </xf>
    <xf numFmtId="0" fontId="42" fillId="8" borderId="0" applyNumberFormat="0" applyBorder="0" applyAlignment="0" applyProtection="0">
      <alignment vertical="center"/>
    </xf>
    <xf numFmtId="0" fontId="43" fillId="9" borderId="0" applyNumberFormat="0" applyBorder="0" applyAlignment="0" applyProtection="0">
      <alignment vertical="center"/>
    </xf>
  </cellStyleXfs>
  <cellXfs count="1072">
    <xf numFmtId="0" fontId="0" fillId="0" borderId="0" xfId="0"/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distributed" vertical="center"/>
    </xf>
    <xf numFmtId="49" fontId="5" fillId="0" borderId="0" xfId="0" applyNumberFormat="1" applyFont="1" applyAlignment="1">
      <alignment horizontal="distributed" vertical="center" shrinkToFit="1"/>
    </xf>
    <xf numFmtId="49" fontId="3" fillId="0" borderId="1" xfId="0" applyNumberFormat="1" applyFont="1" applyBorder="1" applyAlignment="1" applyProtection="1">
      <alignment horizontal="distributed" vertical="center"/>
      <protection locked="0"/>
    </xf>
    <xf numFmtId="49" fontId="3" fillId="0" borderId="3" xfId="0" applyNumberFormat="1" applyFont="1" applyBorder="1" applyAlignment="1" applyProtection="1">
      <alignment horizontal="distributed" vertical="center"/>
      <protection locked="0"/>
    </xf>
    <xf numFmtId="49" fontId="3" fillId="0" borderId="4" xfId="0" applyNumberFormat="1" applyFont="1" applyBorder="1" applyAlignment="1" applyProtection="1">
      <alignment horizontal="distributed" vertical="center"/>
      <protection locked="0"/>
    </xf>
    <xf numFmtId="49" fontId="3" fillId="0" borderId="5" xfId="0" applyNumberFormat="1" applyFont="1" applyBorder="1" applyAlignment="1" applyProtection="1">
      <alignment horizontal="distributed" vertical="center"/>
      <protection locked="0"/>
    </xf>
    <xf numFmtId="49" fontId="3" fillId="0" borderId="6" xfId="0" applyNumberFormat="1" applyFont="1" applyBorder="1" applyAlignment="1" applyProtection="1">
      <alignment horizontal="distributed" vertical="center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49" fontId="3" fillId="0" borderId="7" xfId="0" applyNumberFormat="1" applyFont="1" applyBorder="1" applyAlignment="1" applyProtection="1">
      <alignment horizontal="distributed" vertical="center"/>
      <protection locked="0"/>
    </xf>
    <xf numFmtId="0" fontId="1" fillId="0" borderId="0" xfId="2" applyFont="1" applyAlignment="1"/>
    <xf numFmtId="0" fontId="16" fillId="0" borderId="9" xfId="1" applyFont="1" applyBorder="1" applyAlignment="1"/>
    <xf numFmtId="0" fontId="15" fillId="0" borderId="9" xfId="1" applyFont="1" applyBorder="1" applyAlignment="1"/>
    <xf numFmtId="0" fontId="1" fillId="0" borderId="0" xfId="1" applyAlignment="1" applyProtection="1">
      <protection locked="0"/>
    </xf>
    <xf numFmtId="0" fontId="18" fillId="0" borderId="10" xfId="1" applyFont="1" applyBorder="1" applyAlignment="1" applyProtection="1">
      <alignment horizontal="center" vertical="center"/>
      <protection locked="0"/>
    </xf>
    <xf numFmtId="0" fontId="8" fillId="2" borderId="11" xfId="1" applyFont="1" applyFill="1" applyBorder="1" applyAlignment="1" applyProtection="1">
      <alignment horizontal="center"/>
      <protection locked="0"/>
    </xf>
    <xf numFmtId="0" fontId="8" fillId="0" borderId="11" xfId="1" applyFont="1" applyBorder="1" applyAlignment="1">
      <alignment horizontal="center"/>
    </xf>
    <xf numFmtId="0" fontId="15" fillId="3" borderId="11" xfId="1" applyFont="1" applyFill="1" applyBorder="1" applyAlignment="1">
      <alignment horizontal="center"/>
    </xf>
    <xf numFmtId="0" fontId="15" fillId="3" borderId="12" xfId="1" applyFont="1" applyFill="1" applyBorder="1" applyAlignment="1" applyProtection="1">
      <alignment horizontal="center" vertical="center"/>
      <protection locked="0"/>
    </xf>
    <xf numFmtId="0" fontId="8" fillId="2" borderId="10" xfId="1" applyFont="1" applyFill="1" applyBorder="1" applyAlignment="1" applyProtection="1">
      <alignment horizontal="center"/>
      <protection locked="0"/>
    </xf>
    <xf numFmtId="0" fontId="1" fillId="0" borderId="10" xfId="1" applyBorder="1" applyAlignment="1" applyProtection="1">
      <protection locked="0"/>
    </xf>
    <xf numFmtId="0" fontId="17" fillId="3" borderId="10" xfId="1" applyFont="1" applyFill="1" applyBorder="1" applyAlignment="1">
      <alignment horizontal="center"/>
    </xf>
    <xf numFmtId="0" fontId="15" fillId="0" borderId="10" xfId="1" applyFont="1" applyBorder="1" applyAlignment="1">
      <alignment horizontal="center"/>
    </xf>
    <xf numFmtId="0" fontId="15" fillId="3" borderId="13" xfId="1" applyFont="1" applyFill="1" applyBorder="1" applyAlignment="1">
      <alignment horizontal="center" vertical="center"/>
    </xf>
    <xf numFmtId="0" fontId="8" fillId="2" borderId="14" xfId="1" applyFont="1" applyFill="1" applyBorder="1" applyAlignment="1" applyProtection="1">
      <alignment horizontal="center"/>
      <protection locked="0"/>
    </xf>
    <xf numFmtId="0" fontId="1" fillId="0" borderId="15" xfId="1" applyBorder="1" applyAlignment="1" applyProtection="1">
      <protection locked="0"/>
    </xf>
    <xf numFmtId="0" fontId="17" fillId="3" borderId="14" xfId="1" applyFont="1" applyFill="1" applyBorder="1" applyAlignment="1" applyProtection="1">
      <alignment horizontal="center"/>
      <protection locked="0"/>
    </xf>
    <xf numFmtId="0" fontId="15" fillId="0" borderId="14" xfId="1" applyFont="1" applyBorder="1" applyAlignment="1">
      <alignment horizontal="center"/>
    </xf>
    <xf numFmtId="0" fontId="15" fillId="3" borderId="16" xfId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distributed" vertical="center"/>
    </xf>
    <xf numFmtId="0" fontId="8" fillId="0" borderId="11" xfId="1" applyFont="1" applyBorder="1" applyAlignment="1" applyProtection="1">
      <alignment horizontal="center"/>
      <protection locked="0"/>
    </xf>
    <xf numFmtId="0" fontId="8" fillId="0" borderId="10" xfId="1" applyFont="1" applyBorder="1" applyAlignment="1" applyProtection="1">
      <alignment horizontal="center" vertical="center"/>
      <protection locked="0"/>
    </xf>
    <xf numFmtId="0" fontId="8" fillId="0" borderId="14" xfId="1" applyFont="1" applyBorder="1" applyAlignment="1" applyProtection="1">
      <alignment horizontal="center"/>
      <protection locked="0"/>
    </xf>
    <xf numFmtId="0" fontId="8" fillId="0" borderId="14" xfId="1" applyFont="1" applyBorder="1" applyAlignment="1" applyProtection="1">
      <alignment horizontal="center"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17" fillId="4" borderId="10" xfId="1" applyFont="1" applyFill="1" applyBorder="1" applyAlignment="1">
      <alignment horizontal="center"/>
    </xf>
    <xf numFmtId="0" fontId="17" fillId="4" borderId="14" xfId="1" applyFont="1" applyFill="1" applyBorder="1" applyAlignment="1" applyProtection="1">
      <alignment horizontal="center"/>
      <protection locked="0"/>
    </xf>
    <xf numFmtId="0" fontId="8" fillId="0" borderId="10" xfId="1" applyFont="1" applyBorder="1" applyAlignment="1" applyProtection="1">
      <alignment horizontal="center"/>
      <protection locked="0"/>
    </xf>
    <xf numFmtId="49" fontId="0" fillId="0" borderId="0" xfId="0" applyNumberFormat="1"/>
    <xf numFmtId="0" fontId="1" fillId="0" borderId="0" xfId="1">
      <alignment vertical="center"/>
    </xf>
    <xf numFmtId="0" fontId="0" fillId="0" borderId="0" xfId="0" applyAlignment="1">
      <alignment horizontal="center"/>
    </xf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4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49" fontId="0" fillId="0" borderId="0" xfId="0" applyNumberFormat="1" applyFill="1"/>
    <xf numFmtId="0" fontId="0" fillId="0" borderId="0" xfId="0" applyFill="1"/>
    <xf numFmtId="0" fontId="0" fillId="0" borderId="0" xfId="1" applyFont="1">
      <alignment vertical="center"/>
    </xf>
    <xf numFmtId="0" fontId="0" fillId="0" borderId="0" xfId="0" applyNumberFormat="1"/>
    <xf numFmtId="0" fontId="0" fillId="0" borderId="0" xfId="0" applyNumberFormat="1" applyFill="1"/>
    <xf numFmtId="0" fontId="1" fillId="0" borderId="0" xfId="1" applyNumberFormat="1">
      <alignment vertical="center"/>
    </xf>
    <xf numFmtId="49" fontId="5" fillId="0" borderId="0" xfId="0" applyNumberFormat="1" applyFont="1" applyAlignment="1">
      <alignment horizontal="distributed" vertical="center"/>
    </xf>
    <xf numFmtId="49" fontId="5" fillId="0" borderId="0" xfId="0" applyNumberFormat="1" applyFont="1" applyAlignment="1">
      <alignment horizontal="distributed" vertical="center"/>
    </xf>
    <xf numFmtId="49" fontId="5" fillId="0" borderId="0" xfId="0" applyNumberFormat="1" applyFont="1" applyAlignment="1">
      <alignment horizontal="distributed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0" borderId="99" xfId="0" applyFont="1" applyBorder="1" applyAlignment="1">
      <alignment horizontal="center" vertical="center" wrapText="1"/>
    </xf>
    <xf numFmtId="0" fontId="10" fillId="0" borderId="99" xfId="0" applyFont="1" applyBorder="1" applyAlignment="1">
      <alignment horizontal="center" vertical="center"/>
    </xf>
    <xf numFmtId="14" fontId="10" fillId="0" borderId="99" xfId="0" applyNumberFormat="1" applyFont="1" applyBorder="1" applyAlignment="1">
      <alignment horizontal="center" vertical="center"/>
    </xf>
    <xf numFmtId="0" fontId="10" fillId="0" borderId="0" xfId="0" applyFont="1"/>
    <xf numFmtId="0" fontId="10" fillId="0" borderId="99" xfId="0" applyFont="1" applyBorder="1"/>
    <xf numFmtId="0" fontId="10" fillId="0" borderId="100" xfId="0" applyFont="1" applyBorder="1" applyAlignment="1">
      <alignment horizontal="center"/>
    </xf>
    <xf numFmtId="0" fontId="10" fillId="0" borderId="99" xfId="0" applyFont="1" applyBorder="1" applyAlignment="1">
      <alignment horizontal="center" vertical="center" wrapText="1"/>
    </xf>
    <xf numFmtId="0" fontId="10" fillId="0" borderId="105" xfId="0" applyFont="1" applyBorder="1" applyAlignment="1">
      <alignment horizontal="center"/>
    </xf>
    <xf numFmtId="0" fontId="40" fillId="0" borderId="100" xfId="0" applyFont="1" applyBorder="1" applyAlignment="1">
      <alignment horizontal="center"/>
    </xf>
    <xf numFmtId="0" fontId="40" fillId="0" borderId="106" xfId="0" applyFont="1" applyBorder="1" applyAlignment="1">
      <alignment horizontal="center" vertical="center"/>
    </xf>
    <xf numFmtId="0" fontId="40" fillId="0" borderId="10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98" xfId="0" applyFont="1" applyBorder="1" applyAlignment="1">
      <alignment horizontal="center" vertical="center" wrapText="1"/>
    </xf>
    <xf numFmtId="0" fontId="10" fillId="0" borderId="83" xfId="0" applyFont="1" applyBorder="1" applyAlignment="1">
      <alignment horizontal="center" vertical="center" wrapText="1"/>
    </xf>
    <xf numFmtId="0" fontId="10" fillId="7" borderId="101" xfId="0" applyFont="1" applyFill="1" applyBorder="1" applyAlignment="1">
      <alignment horizontal="center"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7" borderId="108" xfId="0" applyFont="1" applyFill="1" applyBorder="1" applyAlignment="1">
      <alignment horizontal="center" vertical="center" wrapText="1"/>
    </xf>
    <xf numFmtId="0" fontId="10" fillId="7" borderId="109" xfId="0" applyFont="1" applyFill="1" applyBorder="1" applyAlignment="1">
      <alignment horizontal="center" vertical="center" wrapText="1"/>
    </xf>
    <xf numFmtId="0" fontId="10" fillId="7" borderId="88" xfId="0" applyFont="1" applyFill="1" applyBorder="1" applyAlignment="1">
      <alignment horizontal="center" vertical="center" wrapText="1"/>
    </xf>
    <xf numFmtId="0" fontId="10" fillId="7" borderId="99" xfId="0" applyFont="1" applyFill="1" applyBorder="1" applyAlignment="1">
      <alignment horizontal="center" vertical="center" wrapText="1"/>
    </xf>
    <xf numFmtId="0" fontId="10" fillId="7" borderId="89" xfId="0" applyFont="1" applyFill="1" applyBorder="1" applyAlignment="1">
      <alignment horizontal="center" vertical="center" wrapText="1"/>
    </xf>
    <xf numFmtId="0" fontId="10" fillId="0" borderId="85" xfId="0" applyFont="1" applyBorder="1" applyAlignment="1">
      <alignment horizontal="center" vertical="center" wrapText="1"/>
    </xf>
    <xf numFmtId="0" fontId="10" fillId="7" borderId="93" xfId="0" applyFont="1" applyFill="1" applyBorder="1" applyAlignment="1">
      <alignment horizontal="center" vertical="center" wrapText="1"/>
    </xf>
    <xf numFmtId="0" fontId="10" fillId="7" borderId="98" xfId="0" applyFont="1" applyFill="1" applyBorder="1" applyAlignment="1">
      <alignment horizontal="center" vertical="center" wrapText="1"/>
    </xf>
    <xf numFmtId="0" fontId="10" fillId="7" borderId="94" xfId="0" applyFont="1" applyFill="1" applyBorder="1" applyAlignment="1">
      <alignment horizontal="center" vertical="center" wrapText="1"/>
    </xf>
    <xf numFmtId="0" fontId="7" fillId="0" borderId="0" xfId="0" applyFont="1"/>
    <xf numFmtId="0" fontId="41" fillId="0" borderId="107" xfId="0" applyFont="1" applyBorder="1" applyAlignment="1">
      <alignment horizontal="center" vertical="center" wrapText="1"/>
    </xf>
    <xf numFmtId="0" fontId="41" fillId="0" borderId="105" xfId="0" applyFont="1" applyBorder="1" applyAlignment="1">
      <alignment horizontal="center" vertical="center" wrapText="1"/>
    </xf>
    <xf numFmtId="49" fontId="41" fillId="0" borderId="105" xfId="0" applyNumberFormat="1" applyFont="1" applyBorder="1" applyAlignment="1">
      <alignment horizontal="center" vertical="center" wrapText="1" shrinkToFit="1"/>
    </xf>
    <xf numFmtId="181" fontId="7" fillId="0" borderId="84" xfId="0" applyNumberFormat="1" applyFont="1" applyBorder="1" applyAlignment="1">
      <alignment horizontal="center" vertical="center" wrapText="1"/>
    </xf>
    <xf numFmtId="0" fontId="0" fillId="0" borderId="0" xfId="0" applyBorder="1"/>
    <xf numFmtId="0" fontId="0" fillId="0" borderId="27" xfId="0" applyBorder="1"/>
    <xf numFmtId="0" fontId="10" fillId="0" borderId="100" xfId="0" applyFont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0" borderId="110" xfId="0" applyFont="1" applyBorder="1" applyAlignment="1">
      <alignment horizontal="center" vertical="center"/>
    </xf>
    <xf numFmtId="0" fontId="10" fillId="0" borderId="99" xfId="0" applyNumberFormat="1" applyFont="1" applyBorder="1" applyAlignment="1">
      <alignment horizontal="center" vertical="center"/>
    </xf>
    <xf numFmtId="0" fontId="3" fillId="0" borderId="0" xfId="0" applyFont="1"/>
    <xf numFmtId="0" fontId="33" fillId="0" borderId="0" xfId="0" applyFont="1" applyAlignment="1"/>
    <xf numFmtId="0" fontId="33" fillId="0" borderId="0" xfId="0" applyFont="1"/>
    <xf numFmtId="0" fontId="3" fillId="0" borderId="0" xfId="0" applyFont="1" applyFill="1" applyBorder="1"/>
    <xf numFmtId="0" fontId="3" fillId="0" borderId="31" xfId="0" applyFont="1" applyBorder="1"/>
    <xf numFmtId="0" fontId="3" fillId="0" borderId="32" xfId="0" applyFont="1" applyBorder="1"/>
    <xf numFmtId="0" fontId="3" fillId="0" borderId="33" xfId="0" applyFont="1" applyBorder="1"/>
    <xf numFmtId="0" fontId="3" fillId="0" borderId="0" xfId="0" applyFont="1" applyBorder="1"/>
    <xf numFmtId="0" fontId="10" fillId="0" borderId="111" xfId="0" applyFont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0" fillId="0" borderId="96" xfId="0" applyFont="1" applyBorder="1" applyAlignment="1">
      <alignment horizontal="center" vertical="center"/>
    </xf>
    <xf numFmtId="0" fontId="0" fillId="0" borderId="23" xfId="0" applyBorder="1"/>
    <xf numFmtId="0" fontId="0" fillId="0" borderId="22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9" fillId="0" borderId="0" xfId="0" applyFont="1" applyAlignment="1">
      <alignment vertical="center"/>
    </xf>
    <xf numFmtId="0" fontId="49" fillId="0" borderId="114" xfId="0" applyFont="1" applyBorder="1" applyAlignment="1">
      <alignment vertical="center"/>
    </xf>
    <xf numFmtId="0" fontId="50" fillId="12" borderId="34" xfId="0" applyFont="1" applyFill="1" applyBorder="1" applyAlignment="1">
      <alignment horizontal="center" vertical="center"/>
    </xf>
    <xf numFmtId="0" fontId="50" fillId="12" borderId="35" xfId="0" applyFont="1" applyFill="1" applyBorder="1" applyAlignment="1">
      <alignment horizontal="center" vertical="center"/>
    </xf>
    <xf numFmtId="0" fontId="50" fillId="13" borderId="30" xfId="0" applyFont="1" applyFill="1" applyBorder="1" applyAlignment="1">
      <alignment horizontal="center" vertical="center"/>
    </xf>
    <xf numFmtId="0" fontId="50" fillId="14" borderId="30" xfId="0" applyFont="1" applyFill="1" applyBorder="1" applyAlignment="1">
      <alignment horizontal="center" vertical="center"/>
    </xf>
    <xf numFmtId="0" fontId="50" fillId="5" borderId="30" xfId="0" applyFont="1" applyFill="1" applyBorder="1" applyAlignment="1">
      <alignment horizontal="center" vertical="center"/>
    </xf>
    <xf numFmtId="0" fontId="51" fillId="12" borderId="0" xfId="0" applyFont="1" applyFill="1" applyAlignment="1">
      <alignment vertical="center"/>
    </xf>
    <xf numFmtId="0" fontId="51" fillId="0" borderId="0" xfId="0" applyFont="1" applyAlignment="1">
      <alignment vertical="center"/>
    </xf>
    <xf numFmtId="0" fontId="51" fillId="5" borderId="0" xfId="0" applyFont="1" applyFill="1" applyAlignment="1">
      <alignment vertical="center"/>
    </xf>
    <xf numFmtId="0" fontId="52" fillId="5" borderId="83" xfId="0" applyFont="1" applyFill="1" applyBorder="1" applyAlignment="1">
      <alignment horizontal="center" vertical="center"/>
    </xf>
    <xf numFmtId="0" fontId="53" fillId="0" borderId="84" xfId="0" applyFont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4" fillId="5" borderId="0" xfId="0" applyFont="1" applyFill="1" applyAlignment="1">
      <alignment horizontal="center" vertical="center"/>
    </xf>
    <xf numFmtId="0" fontId="54" fillId="5" borderId="0" xfId="0" applyFont="1" applyFill="1" applyAlignment="1">
      <alignment vertical="center"/>
    </xf>
    <xf numFmtId="0" fontId="54" fillId="0" borderId="121" xfId="0" applyFont="1" applyBorder="1" applyAlignment="1">
      <alignment vertical="center"/>
    </xf>
    <xf numFmtId="0" fontId="54" fillId="0" borderId="122" xfId="0" applyFont="1" applyBorder="1" applyAlignment="1">
      <alignment vertical="center"/>
    </xf>
    <xf numFmtId="0" fontId="54" fillId="12" borderId="0" xfId="0" applyFont="1" applyFill="1" applyAlignment="1">
      <alignment vertical="center"/>
    </xf>
    <xf numFmtId="0" fontId="54" fillId="13" borderId="0" xfId="0" applyFont="1" applyFill="1" applyAlignment="1">
      <alignment vertical="center"/>
    </xf>
    <xf numFmtId="0" fontId="54" fillId="18" borderId="0" xfId="0" applyFont="1" applyFill="1" applyAlignment="1">
      <alignment vertical="center"/>
    </xf>
    <xf numFmtId="0" fontId="57" fillId="0" borderId="84" xfId="0" applyFont="1" applyBorder="1" applyAlignment="1">
      <alignment horizontal="center" vertical="center"/>
    </xf>
    <xf numFmtId="0" fontId="59" fillId="20" borderId="0" xfId="0" applyFont="1" applyFill="1" applyAlignment="1">
      <alignment vertical="center"/>
    </xf>
    <xf numFmtId="0" fontId="59" fillId="5" borderId="0" xfId="0" applyFont="1" applyFill="1" applyAlignment="1">
      <alignment vertical="center"/>
    </xf>
    <xf numFmtId="0" fontId="59" fillId="19" borderId="0" xfId="0" applyFont="1" applyFill="1" applyAlignment="1">
      <alignment vertical="center"/>
    </xf>
    <xf numFmtId="0" fontId="59" fillId="0" borderId="0" xfId="0" applyFont="1" applyAlignment="1">
      <alignment horizontal="center" vertical="center"/>
    </xf>
    <xf numFmtId="0" fontId="59" fillId="5" borderId="0" xfId="0" applyFont="1" applyFill="1" applyAlignment="1">
      <alignment horizontal="center" vertical="center"/>
    </xf>
    <xf numFmtId="0" fontId="59" fillId="0" borderId="0" xfId="0" applyFont="1" applyAlignment="1">
      <alignment vertical="center"/>
    </xf>
    <xf numFmtId="0" fontId="57" fillId="5" borderId="84" xfId="0" applyFont="1" applyFill="1" applyBorder="1" applyAlignment="1">
      <alignment horizontal="center" vertical="center"/>
    </xf>
    <xf numFmtId="0" fontId="56" fillId="5" borderId="83" xfId="0" applyFont="1" applyFill="1" applyBorder="1" applyAlignment="1">
      <alignment horizontal="center" vertical="center"/>
    </xf>
    <xf numFmtId="0" fontId="57" fillId="13" borderId="93" xfId="0" applyFont="1" applyFill="1" applyBorder="1" applyAlignment="1">
      <alignment vertical="center"/>
    </xf>
    <xf numFmtId="0" fontId="56" fillId="13" borderId="98" xfId="0" applyFont="1" applyFill="1" applyBorder="1" applyAlignment="1">
      <alignment horizontal="center" vertical="center"/>
    </xf>
    <xf numFmtId="0" fontId="60" fillId="13" borderId="98" xfId="0" applyFont="1" applyFill="1" applyBorder="1" applyAlignment="1">
      <alignment horizontal="center" vertical="center" wrapText="1"/>
    </xf>
    <xf numFmtId="0" fontId="57" fillId="13" borderId="98" xfId="0" applyFont="1" applyFill="1" applyBorder="1" applyAlignment="1">
      <alignment horizontal="center" vertical="center"/>
    </xf>
    <xf numFmtId="0" fontId="57" fillId="13" borderId="98" xfId="0" applyFont="1" applyFill="1" applyBorder="1" applyAlignment="1">
      <alignment horizontal="center" vertical="center" wrapText="1"/>
    </xf>
    <xf numFmtId="183" fontId="61" fillId="13" borderId="98" xfId="0" applyNumberFormat="1" applyFont="1" applyFill="1" applyBorder="1" applyAlignment="1">
      <alignment horizontal="center" vertical="center" wrapText="1"/>
    </xf>
    <xf numFmtId="183" fontId="60" fillId="13" borderId="98" xfId="0" applyNumberFormat="1" applyFont="1" applyFill="1" applyBorder="1" applyAlignment="1">
      <alignment horizontal="center" vertical="center" wrapText="1"/>
    </xf>
    <xf numFmtId="183" fontId="56" fillId="13" borderId="98" xfId="0" applyNumberFormat="1" applyFont="1" applyFill="1" applyBorder="1" applyAlignment="1">
      <alignment horizontal="center" vertical="center" wrapText="1"/>
    </xf>
    <xf numFmtId="0" fontId="57" fillId="0" borderId="119" xfId="0" applyFont="1" applyBorder="1" applyAlignment="1">
      <alignment horizontal="center" vertical="center"/>
    </xf>
    <xf numFmtId="0" fontId="56" fillId="5" borderId="38" xfId="0" applyFont="1" applyFill="1" applyBorder="1" applyAlignment="1">
      <alignment horizontal="center" vertical="center"/>
    </xf>
    <xf numFmtId="0" fontId="57" fillId="0" borderId="108" xfId="0" applyFont="1" applyBorder="1" applyAlignment="1">
      <alignment vertical="center"/>
    </xf>
    <xf numFmtId="0" fontId="57" fillId="0" borderId="108" xfId="0" applyFont="1" applyBorder="1" applyAlignment="1">
      <alignment horizontal="center" vertical="center"/>
    </xf>
    <xf numFmtId="0" fontId="57" fillId="5" borderId="108" xfId="0" applyFont="1" applyFill="1" applyBorder="1" applyAlignment="1">
      <alignment vertical="center"/>
    </xf>
    <xf numFmtId="0" fontId="57" fillId="0" borderId="112" xfId="0" applyFont="1" applyBorder="1" applyAlignment="1">
      <alignment horizontal="center" vertical="center"/>
    </xf>
    <xf numFmtId="0" fontId="57" fillId="5" borderId="112" xfId="0" applyFont="1" applyFill="1" applyBorder="1" applyAlignment="1">
      <alignment horizontal="center" vertical="center"/>
    </xf>
    <xf numFmtId="0" fontId="59" fillId="21" borderId="0" xfId="0" applyFont="1" applyFill="1" applyAlignment="1">
      <alignment horizontal="center" vertical="center"/>
    </xf>
    <xf numFmtId="0" fontId="59" fillId="12" borderId="0" xfId="0" applyFont="1" applyFill="1" applyAlignment="1">
      <alignment horizontal="center" vertical="center"/>
    </xf>
    <xf numFmtId="0" fontId="20" fillId="0" borderId="0" xfId="0" applyFont="1" applyFill="1"/>
    <xf numFmtId="0" fontId="28" fillId="0" borderId="23" xfId="0" applyFont="1" applyBorder="1" applyAlignment="1">
      <alignment vertical="center" wrapText="1"/>
    </xf>
    <xf numFmtId="0" fontId="28" fillId="0" borderId="23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72" fillId="0" borderId="23" xfId="0" applyFont="1" applyBorder="1" applyAlignment="1">
      <alignment horizontal="center" vertical="center"/>
    </xf>
    <xf numFmtId="0" fontId="28" fillId="0" borderId="0" xfId="0" applyFont="1" applyAlignment="1">
      <alignment vertical="center" wrapText="1"/>
    </xf>
    <xf numFmtId="0" fontId="28" fillId="0" borderId="0" xfId="0" applyFont="1" applyAlignment="1">
      <alignment vertical="center"/>
    </xf>
    <xf numFmtId="0" fontId="72" fillId="0" borderId="0" xfId="0" applyFont="1" applyAlignment="1">
      <alignment horizontal="center" vertical="center"/>
    </xf>
    <xf numFmtId="0" fontId="73" fillId="0" borderId="35" xfId="0" applyFont="1" applyBorder="1" applyAlignment="1">
      <alignment horizontal="distributed" vertical="center"/>
    </xf>
    <xf numFmtId="0" fontId="39" fillId="0" borderId="29" xfId="0" applyFont="1" applyBorder="1" applyAlignment="1">
      <alignment horizontal="center" vertical="center" wrapText="1"/>
    </xf>
    <xf numFmtId="0" fontId="39" fillId="0" borderId="113" xfId="0" applyFont="1" applyBorder="1" applyAlignment="1">
      <alignment horizontal="center" vertical="center" wrapText="1"/>
    </xf>
    <xf numFmtId="0" fontId="39" fillId="5" borderId="113" xfId="0" applyFont="1" applyFill="1" applyBorder="1" applyAlignment="1">
      <alignment horizontal="center" vertical="center" wrapText="1"/>
    </xf>
    <xf numFmtId="0" fontId="73" fillId="0" borderId="40" xfId="0" applyFont="1" applyBorder="1" applyAlignment="1">
      <alignment horizontal="distributed" vertical="center"/>
    </xf>
    <xf numFmtId="178" fontId="39" fillId="0" borderId="93" xfId="0" applyNumberFormat="1" applyFont="1" applyBorder="1" applyAlignment="1">
      <alignment horizontal="center" vertical="center"/>
    </xf>
    <xf numFmtId="178" fontId="39" fillId="0" borderId="98" xfId="0" applyNumberFormat="1" applyFont="1" applyBorder="1" applyAlignment="1">
      <alignment horizontal="center" vertical="center"/>
    </xf>
    <xf numFmtId="0" fontId="73" fillId="0" borderId="136" xfId="0" applyFont="1" applyBorder="1" applyAlignment="1">
      <alignment horizontal="distributed" vertical="center"/>
    </xf>
    <xf numFmtId="0" fontId="3" fillId="0" borderId="88" xfId="0" applyFont="1" applyBorder="1" applyAlignment="1">
      <alignment horizontal="center" vertical="center" wrapText="1"/>
    </xf>
    <xf numFmtId="0" fontId="39" fillId="0" borderId="34" xfId="0" applyFont="1" applyBorder="1" applyAlignment="1">
      <alignment horizontal="center" vertical="center"/>
    </xf>
    <xf numFmtId="0" fontId="39" fillId="0" borderId="30" xfId="0" applyFont="1" applyBorder="1" applyAlignment="1">
      <alignment horizontal="distributed" vertical="center"/>
    </xf>
    <xf numFmtId="0" fontId="39" fillId="0" borderId="35" xfId="0" applyFont="1" applyBorder="1" applyAlignment="1">
      <alignment horizontal="distributed" vertical="center"/>
    </xf>
    <xf numFmtId="0" fontId="39" fillId="0" borderId="104" xfId="0" applyFont="1" applyBorder="1" applyAlignment="1">
      <alignment horizontal="distributed" vertical="center"/>
    </xf>
    <xf numFmtId="0" fontId="56" fillId="0" borderId="88" xfId="0" applyFont="1" applyBorder="1" applyAlignment="1">
      <alignment horizontal="distributed" vertical="center"/>
    </xf>
    <xf numFmtId="0" fontId="39" fillId="0" borderId="137" xfId="0" applyFont="1" applyBorder="1" applyAlignment="1">
      <alignment horizontal="center" vertical="center"/>
    </xf>
    <xf numFmtId="0" fontId="73" fillId="0" borderId="138" xfId="0" applyFont="1" applyBorder="1" applyAlignment="1">
      <alignment horizontal="distributed" vertical="center"/>
    </xf>
    <xf numFmtId="0" fontId="39" fillId="0" borderId="139" xfId="0" applyFont="1" applyBorder="1" applyAlignment="1">
      <alignment horizontal="distributed" vertical="center"/>
    </xf>
    <xf numFmtId="0" fontId="10" fillId="0" borderId="141" xfId="0" applyFont="1" applyBorder="1" applyAlignment="1">
      <alignment horizontal="center" vertical="center"/>
    </xf>
    <xf numFmtId="0" fontId="39" fillId="5" borderId="26" xfId="0" applyFont="1" applyFill="1" applyBorder="1" applyAlignment="1">
      <alignment horizontal="center" vertical="center"/>
    </xf>
    <xf numFmtId="0" fontId="39" fillId="5" borderId="108" xfId="0" applyFont="1" applyFill="1" applyBorder="1" applyAlignment="1">
      <alignment horizontal="distributed" vertical="center"/>
    </xf>
    <xf numFmtId="0" fontId="39" fillId="5" borderId="41" xfId="0" applyFont="1" applyFill="1" applyBorder="1" applyAlignment="1">
      <alignment horizontal="distributed" vertical="center"/>
    </xf>
    <xf numFmtId="0" fontId="10" fillId="0" borderId="4" xfId="0" applyFont="1" applyBorder="1" applyAlignment="1">
      <alignment horizontal="center" vertical="center"/>
    </xf>
    <xf numFmtId="0" fontId="76" fillId="5" borderId="88" xfId="0" applyFont="1" applyFill="1" applyBorder="1" applyAlignment="1">
      <alignment horizontal="distributed" vertical="center"/>
    </xf>
    <xf numFmtId="0" fontId="76" fillId="5" borderId="99" xfId="0" applyFont="1" applyFill="1" applyBorder="1" applyAlignment="1">
      <alignment horizontal="distributed" vertical="center"/>
    </xf>
    <xf numFmtId="0" fontId="77" fillId="0" borderId="99" xfId="0" applyFont="1" applyBorder="1" applyAlignment="1">
      <alignment horizontal="center" vertical="center"/>
    </xf>
    <xf numFmtId="0" fontId="39" fillId="5" borderId="91" xfId="0" applyFont="1" applyFill="1" applyBorder="1" applyAlignment="1">
      <alignment horizontal="center" vertical="center"/>
    </xf>
    <xf numFmtId="0" fontId="39" fillId="5" borderId="98" xfId="0" applyFont="1" applyFill="1" applyBorder="1" applyAlignment="1">
      <alignment horizontal="distributed" vertical="center"/>
    </xf>
    <xf numFmtId="0" fontId="39" fillId="5" borderId="119" xfId="0" applyFont="1" applyFill="1" applyBorder="1" applyAlignment="1">
      <alignment horizontal="distributed" vertical="center"/>
    </xf>
    <xf numFmtId="0" fontId="39" fillId="0" borderId="99" xfId="0" applyFont="1" applyBorder="1" applyAlignment="1">
      <alignment horizontal="center" vertical="center"/>
    </xf>
    <xf numFmtId="0" fontId="10" fillId="0" borderId="118" xfId="0" applyFont="1" applyBorder="1" applyAlignment="1">
      <alignment horizontal="center" vertical="center"/>
    </xf>
    <xf numFmtId="0" fontId="39" fillId="5" borderId="137" xfId="0" applyFont="1" applyFill="1" applyBorder="1" applyAlignment="1">
      <alignment horizontal="center" vertical="center"/>
    </xf>
    <xf numFmtId="0" fontId="39" fillId="5" borderId="138" xfId="0" applyFont="1" applyFill="1" applyBorder="1" applyAlignment="1">
      <alignment horizontal="distributed" vertical="center"/>
    </xf>
    <xf numFmtId="0" fontId="39" fillId="5" borderId="139" xfId="0" applyFont="1" applyFill="1" applyBorder="1" applyAlignment="1">
      <alignment horizontal="distributed" vertical="center"/>
    </xf>
    <xf numFmtId="0" fontId="10" fillId="0" borderId="137" xfId="0" applyFont="1" applyBorder="1" applyAlignment="1">
      <alignment horizontal="center" vertical="center"/>
    </xf>
    <xf numFmtId="0" fontId="39" fillId="0" borderId="26" xfId="0" applyFont="1" applyBorder="1" applyAlignment="1">
      <alignment horizontal="center" vertical="center"/>
    </xf>
    <xf numFmtId="0" fontId="39" fillId="0" borderId="108" xfId="0" applyFont="1" applyBorder="1" applyAlignment="1">
      <alignment horizontal="distributed" vertical="center"/>
    </xf>
    <xf numFmtId="0" fontId="39" fillId="0" borderId="83" xfId="0" applyFont="1" applyBorder="1" applyAlignment="1">
      <alignment horizontal="center" vertical="center"/>
    </xf>
    <xf numFmtId="0" fontId="39" fillId="0" borderId="99" xfId="0" applyFont="1" applyBorder="1" applyAlignment="1">
      <alignment horizontal="distributed" vertical="center"/>
    </xf>
    <xf numFmtId="0" fontId="39" fillId="0" borderId="84" xfId="0" applyFont="1" applyBorder="1" applyAlignment="1">
      <alignment horizontal="distributed" vertical="center"/>
    </xf>
    <xf numFmtId="0" fontId="73" fillId="0" borderId="99" xfId="0" applyFont="1" applyBorder="1" applyAlignment="1">
      <alignment horizontal="center" vertical="center"/>
    </xf>
    <xf numFmtId="0" fontId="76" fillId="0" borderId="88" xfId="0" applyFont="1" applyBorder="1" applyAlignment="1">
      <alignment horizontal="distributed" vertical="center"/>
    </xf>
    <xf numFmtId="0" fontId="76" fillId="0" borderId="99" xfId="0" applyFont="1" applyBorder="1" applyAlignment="1">
      <alignment horizontal="distributed" vertical="center"/>
    </xf>
    <xf numFmtId="0" fontId="73" fillId="0" borderId="84" xfId="0" applyFont="1" applyBorder="1" applyAlignment="1">
      <alignment horizontal="center" vertical="center"/>
    </xf>
    <xf numFmtId="0" fontId="10" fillId="0" borderId="117" xfId="0" applyFont="1" applyBorder="1" applyAlignment="1">
      <alignment horizontal="center" vertical="center"/>
    </xf>
    <xf numFmtId="0" fontId="39" fillId="0" borderId="91" xfId="0" applyFont="1" applyBorder="1" applyAlignment="1">
      <alignment horizontal="center" vertical="center"/>
    </xf>
    <xf numFmtId="0" fontId="39" fillId="0" borderId="98" xfId="0" applyFont="1" applyBorder="1" applyAlignment="1">
      <alignment horizontal="distributed" vertical="center"/>
    </xf>
    <xf numFmtId="0" fontId="39" fillId="0" borderId="119" xfId="0" applyFont="1" applyBorder="1" applyAlignment="1">
      <alignment horizontal="distributed" vertical="center"/>
    </xf>
    <xf numFmtId="0" fontId="39" fillId="0" borderId="89" xfId="0" applyFont="1" applyBorder="1" applyAlignment="1">
      <alignment horizontal="distributed" vertical="center"/>
    </xf>
    <xf numFmtId="0" fontId="10" fillId="0" borderId="103" xfId="0" applyFont="1" applyBorder="1" applyAlignment="1">
      <alignment horizontal="center" vertical="center"/>
    </xf>
    <xf numFmtId="0" fontId="39" fillId="0" borderId="41" xfId="0" applyFont="1" applyBorder="1" applyAlignment="1">
      <alignment horizontal="distributed" vertical="center"/>
    </xf>
    <xf numFmtId="0" fontId="10" fillId="0" borderId="87" xfId="0" applyFont="1" applyBorder="1" applyAlignment="1">
      <alignment horizontal="center" vertical="center"/>
    </xf>
    <xf numFmtId="0" fontId="39" fillId="0" borderId="138" xfId="0" applyFont="1" applyBorder="1" applyAlignment="1">
      <alignment horizontal="distributed" vertical="center"/>
    </xf>
    <xf numFmtId="0" fontId="28" fillId="0" borderId="84" xfId="0" applyFont="1" applyBorder="1" applyAlignment="1">
      <alignment horizontal="distributed" vertical="center"/>
    </xf>
    <xf numFmtId="0" fontId="10" fillId="0" borderId="101" xfId="0" applyFont="1" applyBorder="1" applyAlignment="1">
      <alignment horizontal="center" vertical="center"/>
    </xf>
    <xf numFmtId="0" fontId="75" fillId="0" borderId="41" xfId="0" applyFont="1" applyBorder="1" applyAlignment="1">
      <alignment horizontal="distributed" vertical="center"/>
    </xf>
    <xf numFmtId="0" fontId="39" fillId="0" borderId="38" xfId="0" applyFont="1" applyBorder="1" applyAlignment="1">
      <alignment horizontal="center" vertical="center"/>
    </xf>
    <xf numFmtId="0" fontId="39" fillId="0" borderId="112" xfId="0" applyFont="1" applyBorder="1" applyAlignment="1">
      <alignment horizontal="distributed" vertical="center"/>
    </xf>
    <xf numFmtId="0" fontId="28" fillId="0" borderId="40" xfId="0" applyFont="1" applyBorder="1" applyAlignment="1">
      <alignment horizontal="distributed" vertical="center"/>
    </xf>
    <xf numFmtId="0" fontId="10" fillId="0" borderId="125" xfId="0" applyFont="1" applyBorder="1" applyAlignment="1">
      <alignment horizontal="center" vertical="center"/>
    </xf>
    <xf numFmtId="0" fontId="75" fillId="0" borderId="40" xfId="0" applyFont="1" applyBorder="1" applyAlignment="1">
      <alignment horizontal="distributed" vertical="center"/>
    </xf>
    <xf numFmtId="0" fontId="76" fillId="5" borderId="112" xfId="0" applyFont="1" applyFill="1" applyBorder="1" applyAlignment="1">
      <alignment horizontal="distributed" vertical="center"/>
    </xf>
    <xf numFmtId="0" fontId="76" fillId="0" borderId="112" xfId="0" applyFont="1" applyBorder="1" applyAlignment="1">
      <alignment horizontal="distributed" vertical="center"/>
    </xf>
    <xf numFmtId="0" fontId="77" fillId="0" borderId="112" xfId="0" applyFont="1" applyBorder="1" applyAlignment="1">
      <alignment horizontal="center" vertical="center"/>
    </xf>
    <xf numFmtId="0" fontId="39" fillId="5" borderId="35" xfId="0" applyFont="1" applyFill="1" applyBorder="1" applyAlignment="1">
      <alignment horizontal="distributed" vertical="center"/>
    </xf>
    <xf numFmtId="0" fontId="76" fillId="5" borderId="108" xfId="0" applyFont="1" applyFill="1" applyBorder="1" applyAlignment="1">
      <alignment horizontal="distributed" vertical="center"/>
    </xf>
    <xf numFmtId="0" fontId="76" fillId="5" borderId="108" xfId="0" applyFont="1" applyFill="1" applyBorder="1" applyAlignment="1">
      <alignment horizontal="center" vertical="center"/>
    </xf>
    <xf numFmtId="0" fontId="77" fillId="0" borderId="108" xfId="0" applyFont="1" applyBorder="1" applyAlignment="1">
      <alignment horizontal="center" vertical="center"/>
    </xf>
    <xf numFmtId="0" fontId="39" fillId="5" borderId="84" xfId="0" applyFont="1" applyFill="1" applyBorder="1" applyAlignment="1">
      <alignment horizontal="distributed" vertical="center"/>
    </xf>
    <xf numFmtId="0" fontId="39" fillId="5" borderId="87" xfId="0" applyFont="1" applyFill="1" applyBorder="1" applyAlignment="1">
      <alignment horizontal="center" vertical="center"/>
    </xf>
    <xf numFmtId="0" fontId="39" fillId="5" borderId="117" xfId="0" applyFont="1" applyFill="1" applyBorder="1" applyAlignment="1">
      <alignment horizontal="center" vertical="center"/>
    </xf>
    <xf numFmtId="0" fontId="39" fillId="0" borderId="117" xfId="0" applyFont="1" applyBorder="1" applyAlignment="1">
      <alignment horizontal="center" vertical="center"/>
    </xf>
    <xf numFmtId="0" fontId="73" fillId="5" borderId="2" xfId="0" applyFont="1" applyFill="1" applyBorder="1" applyAlignment="1">
      <alignment horizontal="center" vertical="center"/>
    </xf>
    <xf numFmtId="0" fontId="73" fillId="5" borderId="120" xfId="0" applyFont="1" applyFill="1" applyBorder="1" applyAlignment="1">
      <alignment horizontal="center" vertical="center"/>
    </xf>
    <xf numFmtId="0" fontId="73" fillId="5" borderId="98" xfId="0" applyFont="1" applyFill="1" applyBorder="1" applyAlignment="1">
      <alignment horizontal="center" vertical="center"/>
    </xf>
    <xf numFmtId="0" fontId="73" fillId="5" borderId="99" xfId="0" applyFont="1" applyFill="1" applyBorder="1" applyAlignment="1">
      <alignment horizontal="center" vertical="center"/>
    </xf>
    <xf numFmtId="0" fontId="73" fillId="5" borderId="84" xfId="0" applyFont="1" applyFill="1" applyBorder="1" applyAlignment="1">
      <alignment horizontal="center" vertical="center"/>
    </xf>
    <xf numFmtId="0" fontId="73" fillId="0" borderId="88" xfId="0" applyFont="1" applyBorder="1" applyAlignment="1">
      <alignment horizontal="center" vertical="center"/>
    </xf>
    <xf numFmtId="0" fontId="73" fillId="0" borderId="108" xfId="0" applyFont="1" applyBorder="1" applyAlignment="1">
      <alignment horizontal="center" vertical="center"/>
    </xf>
    <xf numFmtId="0" fontId="73" fillId="0" borderId="98" xfId="0" applyFont="1" applyBorder="1" applyAlignment="1">
      <alignment horizontal="center" vertical="center"/>
    </xf>
    <xf numFmtId="0" fontId="73" fillId="0" borderId="120" xfId="0" applyFont="1" applyBorder="1" applyAlignment="1">
      <alignment horizontal="center" vertical="center"/>
    </xf>
    <xf numFmtId="0" fontId="73" fillId="5" borderId="88" xfId="0" applyFont="1" applyFill="1" applyBorder="1" applyAlignment="1">
      <alignment horizontal="center" vertical="center"/>
    </xf>
    <xf numFmtId="0" fontId="73" fillId="5" borderId="108" xfId="0" applyFont="1" applyFill="1" applyBorder="1" applyAlignment="1">
      <alignment horizontal="center" vertical="center"/>
    </xf>
    <xf numFmtId="0" fontId="58" fillId="5" borderId="101" xfId="0" applyFont="1" applyFill="1" applyBorder="1" applyAlignment="1">
      <alignment horizontal="center" vertical="center"/>
    </xf>
    <xf numFmtId="0" fontId="58" fillId="5" borderId="10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71" fillId="0" borderId="117" xfId="0" applyFont="1" applyBorder="1" applyAlignment="1">
      <alignment horizontal="left" vertical="center" wrapText="1"/>
    </xf>
    <xf numFmtId="0" fontId="71" fillId="5" borderId="114" xfId="0" applyFont="1" applyFill="1" applyBorder="1" applyAlignment="1">
      <alignment horizontal="center" vertical="center" wrapText="1"/>
    </xf>
    <xf numFmtId="0" fontId="28" fillId="0" borderId="87" xfId="0" applyFont="1" applyBorder="1" applyAlignment="1">
      <alignment vertical="center"/>
    </xf>
    <xf numFmtId="0" fontId="80" fillId="0" borderId="87" xfId="0" applyFont="1" applyBorder="1" applyAlignment="1">
      <alignment horizontal="center" vertical="center"/>
    </xf>
    <xf numFmtId="0" fontId="75" fillId="5" borderId="3" xfId="0" applyFont="1" applyFill="1" applyBorder="1" applyAlignment="1">
      <alignment horizontal="center" vertical="center"/>
    </xf>
    <xf numFmtId="0" fontId="75" fillId="5" borderId="0" xfId="0" applyFont="1" applyFill="1" applyAlignment="1">
      <alignment horizontal="center" vertical="center"/>
    </xf>
    <xf numFmtId="49" fontId="75" fillId="5" borderId="0" xfId="0" applyNumberFormat="1" applyFont="1" applyFill="1" applyAlignment="1">
      <alignment vertical="center"/>
    </xf>
    <xf numFmtId="49" fontId="39" fillId="5" borderId="0" xfId="0" applyNumberFormat="1" applyFont="1" applyFill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7" fillId="0" borderId="0" xfId="1" applyFont="1" applyAlignment="1">
      <alignment horizontal="center" vertical="center"/>
    </xf>
    <xf numFmtId="49" fontId="3" fillId="0" borderId="98" xfId="1" applyNumberFormat="1" applyFont="1" applyBorder="1" applyAlignment="1">
      <alignment horizontal="distributed" vertical="center" shrinkToFit="1"/>
    </xf>
    <xf numFmtId="0" fontId="81" fillId="0" borderId="99" xfId="0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8" fillId="0" borderId="99" xfId="0" applyFont="1" applyBorder="1" applyAlignment="1">
      <alignment horizontal="center" vertical="center"/>
    </xf>
    <xf numFmtId="49" fontId="5" fillId="0" borderId="0" xfId="0" applyNumberFormat="1" applyFont="1" applyAlignment="1">
      <alignment horizontal="distributed" vertical="center"/>
    </xf>
    <xf numFmtId="0" fontId="3" fillId="0" borderId="0" xfId="0" applyFont="1" applyBorder="1" applyAlignment="1">
      <alignment horizontal="right" vertical="center"/>
    </xf>
    <xf numFmtId="0" fontId="10" fillId="0" borderId="99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10" fillId="0" borderId="0" xfId="0" applyFont="1" applyFill="1"/>
    <xf numFmtId="0" fontId="39" fillId="0" borderId="99" xfId="0" applyFont="1" applyFill="1" applyBorder="1" applyAlignment="1">
      <alignment horizontal="center" vertical="center" wrapText="1"/>
    </xf>
    <xf numFmtId="0" fontId="10" fillId="0" borderId="99" xfId="0" applyFont="1" applyFill="1" applyBorder="1"/>
    <xf numFmtId="0" fontId="10" fillId="0" borderId="100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49" fontId="39" fillId="0" borderId="99" xfId="0" applyNumberFormat="1" applyFont="1" applyBorder="1" applyAlignment="1">
      <alignment horizontal="center" vertical="center"/>
    </xf>
    <xf numFmtId="49" fontId="39" fillId="0" borderId="88" xfId="0" applyNumberFormat="1" applyFont="1" applyBorder="1" applyAlignment="1">
      <alignment horizontal="center" vertical="center"/>
    </xf>
    <xf numFmtId="0" fontId="91" fillId="13" borderId="30" xfId="0" applyFont="1" applyFill="1" applyBorder="1" applyAlignment="1">
      <alignment horizontal="center" vertical="center"/>
    </xf>
    <xf numFmtId="0" fontId="91" fillId="5" borderId="30" xfId="0" applyFont="1" applyFill="1" applyBorder="1" applyAlignment="1">
      <alignment horizontal="center" vertical="center"/>
    </xf>
    <xf numFmtId="0" fontId="91" fillId="13" borderId="88" xfId="0" applyFont="1" applyFill="1" applyBorder="1" applyAlignment="1">
      <alignment horizontal="center" vertical="center"/>
    </xf>
    <xf numFmtId="0" fontId="91" fillId="14" borderId="30" xfId="0" applyFont="1" applyFill="1" applyBorder="1" applyAlignment="1">
      <alignment horizontal="center" vertical="center"/>
    </xf>
    <xf numFmtId="0" fontId="57" fillId="5" borderId="108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6" fillId="13" borderId="0" xfId="0" applyFont="1" applyFill="1" applyBorder="1" applyAlignment="1">
      <alignment horizontal="left" vertical="center"/>
    </xf>
    <xf numFmtId="0" fontId="76" fillId="17" borderId="0" xfId="0" applyFont="1" applyFill="1" applyBorder="1" applyAlignment="1">
      <alignment horizontal="left" vertical="center"/>
    </xf>
    <xf numFmtId="0" fontId="90" fillId="13" borderId="0" xfId="0" applyFont="1" applyFill="1" applyBorder="1" applyAlignment="1">
      <alignment horizontal="left" vertical="center"/>
    </xf>
    <xf numFmtId="0" fontId="76" fillId="16" borderId="0" xfId="0" applyFont="1" applyFill="1" applyBorder="1" applyAlignment="1">
      <alignment horizontal="left" vertical="center"/>
    </xf>
    <xf numFmtId="0" fontId="54" fillId="0" borderId="0" xfId="0" applyFont="1" applyBorder="1" applyAlignment="1">
      <alignment vertical="center"/>
    </xf>
    <xf numFmtId="0" fontId="59" fillId="19" borderId="0" xfId="0" applyFont="1" applyFill="1" applyBorder="1" applyAlignment="1">
      <alignment vertical="center"/>
    </xf>
    <xf numFmtId="0" fontId="59" fillId="20" borderId="0" xfId="0" applyFont="1" applyFill="1" applyBorder="1" applyAlignment="1">
      <alignment vertical="center"/>
    </xf>
    <xf numFmtId="0" fontId="59" fillId="0" borderId="0" xfId="0" applyFont="1" applyBorder="1" applyAlignment="1">
      <alignment horizontal="center" vertical="center"/>
    </xf>
    <xf numFmtId="0" fontId="59" fillId="0" borderId="0" xfId="0" applyFont="1" applyBorder="1" applyAlignment="1">
      <alignment vertical="center"/>
    </xf>
    <xf numFmtId="0" fontId="59" fillId="5" borderId="0" xfId="0" applyFont="1" applyFill="1" applyBorder="1" applyAlignment="1">
      <alignment vertical="center"/>
    </xf>
    <xf numFmtId="0" fontId="57" fillId="0" borderId="8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/>
    <xf numFmtId="0" fontId="50" fillId="14" borderId="127" xfId="0" applyFont="1" applyFill="1" applyBorder="1" applyAlignment="1">
      <alignment horizontal="center" vertical="center"/>
    </xf>
    <xf numFmtId="0" fontId="57" fillId="13" borderId="94" xfId="0" applyFont="1" applyFill="1" applyBorder="1" applyAlignment="1">
      <alignment horizontal="center" vertical="center"/>
    </xf>
    <xf numFmtId="0" fontId="57" fillId="5" borderId="109" xfId="0" applyFont="1" applyFill="1" applyBorder="1" applyAlignment="1">
      <alignment vertical="center"/>
    </xf>
    <xf numFmtId="0" fontId="57" fillId="0" borderId="148" xfId="0" applyFont="1" applyBorder="1" applyAlignment="1">
      <alignment horizontal="center" vertical="center"/>
    </xf>
    <xf numFmtId="0" fontId="50" fillId="14" borderId="34" xfId="0" applyFont="1" applyFill="1" applyBorder="1" applyAlignment="1">
      <alignment horizontal="center" vertical="center"/>
    </xf>
    <xf numFmtId="0" fontId="50" fillId="11" borderId="83" xfId="0" applyFont="1" applyFill="1" applyBorder="1" applyAlignment="1">
      <alignment horizontal="center" vertical="center"/>
    </xf>
    <xf numFmtId="0" fontId="57" fillId="0" borderId="83" xfId="0" applyFont="1" applyBorder="1" applyAlignment="1">
      <alignment horizontal="center" vertical="center"/>
    </xf>
    <xf numFmtId="0" fontId="57" fillId="5" borderId="83" xfId="0" applyFont="1" applyFill="1" applyBorder="1" applyAlignment="1">
      <alignment horizontal="center" vertical="center"/>
    </xf>
    <xf numFmtId="0" fontId="57" fillId="5" borderId="91" xfId="0" applyFont="1" applyFill="1" applyBorder="1" applyAlignment="1">
      <alignment horizontal="center" vertical="center"/>
    </xf>
    <xf numFmtId="0" fontId="57" fillId="0" borderId="26" xfId="0" applyFont="1" applyBorder="1" applyAlignment="1">
      <alignment vertical="center"/>
    </xf>
    <xf numFmtId="0" fontId="57" fillId="0" borderId="38" xfId="0" applyFont="1" applyBorder="1" applyAlignment="1">
      <alignment horizontal="center" vertical="center"/>
    </xf>
    <xf numFmtId="0" fontId="39" fillId="0" borderId="101" xfId="0" applyFont="1" applyFill="1" applyBorder="1" applyAlignment="1">
      <alignment horizontal="center" vertical="center"/>
    </xf>
    <xf numFmtId="0" fontId="39" fillId="0" borderId="108" xfId="0" applyFont="1" applyFill="1" applyBorder="1" applyAlignment="1">
      <alignment horizontal="center" vertical="center"/>
    </xf>
    <xf numFmtId="0" fontId="39" fillId="0" borderId="120" xfId="0" applyFont="1" applyFill="1" applyBorder="1" applyAlignment="1">
      <alignment horizontal="center" vertical="center"/>
    </xf>
    <xf numFmtId="0" fontId="39" fillId="0" borderId="108" xfId="0" applyFont="1" applyFill="1" applyBorder="1" applyAlignment="1">
      <alignment horizontal="center" vertical="center" wrapText="1"/>
    </xf>
    <xf numFmtId="0" fontId="73" fillId="0" borderId="109" xfId="0" applyFont="1" applyFill="1" applyBorder="1" applyAlignment="1">
      <alignment horizontal="center" vertical="center"/>
    </xf>
    <xf numFmtId="0" fontId="39" fillId="5" borderId="138" xfId="0" applyFont="1" applyFill="1" applyBorder="1" applyAlignment="1">
      <alignment horizontal="center" vertical="center"/>
    </xf>
    <xf numFmtId="0" fontId="73" fillId="5" borderId="139" xfId="0" applyFont="1" applyFill="1" applyBorder="1" applyAlignment="1">
      <alignment horizontal="center" vertical="center"/>
    </xf>
    <xf numFmtId="0" fontId="39" fillId="5" borderId="108" xfId="0" applyFont="1" applyFill="1" applyBorder="1" applyAlignment="1">
      <alignment horizontal="center" vertical="center"/>
    </xf>
    <xf numFmtId="0" fontId="39" fillId="5" borderId="41" xfId="0" applyFont="1" applyFill="1" applyBorder="1" applyAlignment="1">
      <alignment horizontal="center" vertical="center"/>
    </xf>
    <xf numFmtId="0" fontId="39" fillId="5" borderId="40" xfId="0" applyFont="1" applyFill="1" applyBorder="1" applyAlignment="1">
      <alignment horizontal="center" vertical="center"/>
    </xf>
    <xf numFmtId="0" fontId="39" fillId="5" borderId="142" xfId="0" applyFont="1" applyFill="1" applyBorder="1" applyAlignment="1">
      <alignment horizontal="center" vertical="center"/>
    </xf>
    <xf numFmtId="49" fontId="3" fillId="0" borderId="18" xfId="0" applyNumberFormat="1" applyFont="1" applyBorder="1" applyAlignment="1" applyProtection="1">
      <alignment horizontal="distributed" vertical="center"/>
      <protection locked="0"/>
    </xf>
    <xf numFmtId="49" fontId="3" fillId="0" borderId="19" xfId="0" applyNumberFormat="1" applyFont="1" applyBorder="1" applyAlignment="1" applyProtection="1">
      <alignment horizontal="distributed" vertical="center"/>
      <protection locked="0"/>
    </xf>
    <xf numFmtId="49" fontId="3" fillId="0" borderId="20" xfId="0" applyNumberFormat="1" applyFont="1" applyBorder="1" applyAlignment="1" applyProtection="1">
      <alignment horizontal="distributed" vertical="center"/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103" xfId="0" applyNumberFormat="1" applyFont="1" applyBorder="1" applyAlignment="1" applyProtection="1">
      <alignment horizontal="center" vertical="center"/>
      <protection locked="0"/>
    </xf>
    <xf numFmtId="49" fontId="3" fillId="0" borderId="101" xfId="0" applyNumberFormat="1" applyFont="1" applyBorder="1" applyAlignment="1" applyProtection="1">
      <alignment horizontal="center" vertical="center"/>
      <protection locked="0"/>
    </xf>
    <xf numFmtId="49" fontId="8" fillId="0" borderId="0" xfId="0" applyNumberFormat="1" applyFont="1" applyBorder="1" applyAlignment="1">
      <alignment horizontal="center" vertical="center"/>
    </xf>
    <xf numFmtId="49" fontId="8" fillId="0" borderId="103" xfId="0" applyNumberFormat="1" applyFont="1" applyBorder="1" applyAlignment="1">
      <alignment horizontal="left" vertical="center"/>
    </xf>
    <xf numFmtId="49" fontId="3" fillId="0" borderId="118" xfId="0" applyNumberFormat="1" applyFont="1" applyBorder="1" applyAlignment="1" applyProtection="1">
      <alignment horizontal="center" vertical="center"/>
      <protection locked="0"/>
    </xf>
    <xf numFmtId="49" fontId="3" fillId="0" borderId="92" xfId="0" applyNumberFormat="1" applyFont="1" applyBorder="1" applyAlignment="1" applyProtection="1">
      <alignment horizontal="center" vertical="center"/>
      <protection locked="0"/>
    </xf>
    <xf numFmtId="49" fontId="3" fillId="0" borderId="93" xfId="0" applyNumberFormat="1" applyFont="1" applyBorder="1" applyAlignment="1" applyProtection="1">
      <alignment horizontal="center" vertical="center"/>
      <protection locked="0"/>
    </xf>
    <xf numFmtId="49" fontId="3" fillId="0" borderId="94" xfId="0" applyNumberFormat="1" applyFont="1" applyBorder="1" applyAlignment="1" applyProtection="1">
      <alignment horizontal="distributed" vertical="center"/>
      <protection locked="0"/>
    </xf>
    <xf numFmtId="49" fontId="3" fillId="0" borderId="92" xfId="0" applyNumberFormat="1" applyFont="1" applyBorder="1" applyAlignment="1" applyProtection="1">
      <alignment horizontal="distributed" vertical="center"/>
      <protection locked="0"/>
    </xf>
    <xf numFmtId="49" fontId="3" fillId="0" borderId="93" xfId="0" applyNumberFormat="1" applyFont="1" applyBorder="1" applyAlignment="1" applyProtection="1">
      <alignment horizontal="distributed" vertical="center"/>
      <protection locked="0"/>
    </xf>
    <xf numFmtId="49" fontId="3" fillId="0" borderId="95" xfId="0" applyNumberFormat="1" applyFont="1" applyBorder="1" applyAlignment="1" applyProtection="1">
      <alignment horizontal="distributed"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49" fontId="3" fillId="0" borderId="149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 applyAlignment="1" applyProtection="1">
      <alignment horizontal="distributed" vertical="center"/>
      <protection locked="0"/>
    </xf>
    <xf numFmtId="49" fontId="3" fillId="0" borderId="149" xfId="0" applyNumberFormat="1" applyFont="1" applyBorder="1" applyAlignment="1" applyProtection="1">
      <alignment horizontal="distributed" vertical="center"/>
      <protection locked="0"/>
    </xf>
    <xf numFmtId="49" fontId="3" fillId="0" borderId="109" xfId="0" applyNumberFormat="1" applyFont="1" applyBorder="1" applyAlignment="1" applyProtection="1">
      <alignment horizontal="distributed" vertical="center"/>
      <protection locked="0"/>
    </xf>
    <xf numFmtId="49" fontId="3" fillId="0" borderId="103" xfId="0" applyNumberFormat="1" applyFont="1" applyBorder="1" applyAlignment="1" applyProtection="1">
      <alignment horizontal="distributed" vertical="center"/>
      <protection locked="0"/>
    </xf>
    <xf numFmtId="49" fontId="3" fillId="0" borderId="101" xfId="0" applyNumberFormat="1" applyFont="1" applyBorder="1" applyAlignment="1" applyProtection="1">
      <alignment horizontal="distributed" vertical="center"/>
      <protection locked="0"/>
    </xf>
    <xf numFmtId="49" fontId="3" fillId="0" borderId="104" xfId="0" applyNumberFormat="1" applyFont="1" applyBorder="1" applyAlignment="1" applyProtection="1">
      <alignment horizontal="distributed" vertical="center"/>
      <protection locked="0"/>
    </xf>
    <xf numFmtId="49" fontId="3" fillId="0" borderId="118" xfId="0" applyNumberFormat="1" applyFont="1" applyBorder="1" applyAlignment="1" applyProtection="1">
      <alignment horizontal="distributed" vertical="center"/>
      <protection locked="0"/>
    </xf>
    <xf numFmtId="0" fontId="92" fillId="13" borderId="98" xfId="0" applyFont="1" applyFill="1" applyBorder="1" applyAlignment="1">
      <alignment horizontal="center" vertical="center"/>
    </xf>
    <xf numFmtId="49" fontId="87" fillId="0" borderId="17" xfId="0" applyNumberFormat="1" applyFont="1" applyBorder="1" applyAlignment="1">
      <alignment horizontal="center" vertical="center" wrapText="1"/>
    </xf>
    <xf numFmtId="0" fontId="88" fillId="0" borderId="17" xfId="0" applyFont="1" applyBorder="1" applyAlignment="1">
      <alignment horizontal="distributed" vertical="center"/>
    </xf>
    <xf numFmtId="49" fontId="87" fillId="0" borderId="151" xfId="0" applyNumberFormat="1" applyFont="1" applyBorder="1" applyAlignment="1">
      <alignment horizontal="distributed" vertical="center"/>
    </xf>
    <xf numFmtId="49" fontId="88" fillId="0" borderId="17" xfId="0" applyNumberFormat="1" applyFont="1" applyBorder="1" applyAlignment="1">
      <alignment horizontal="distributed" vertical="center"/>
    </xf>
    <xf numFmtId="49" fontId="88" fillId="0" borderId="156" xfId="0" applyNumberFormat="1" applyFont="1" applyBorder="1" applyAlignment="1">
      <alignment horizontal="center" vertical="center"/>
    </xf>
    <xf numFmtId="49" fontId="88" fillId="0" borderId="17" xfId="0" applyNumberFormat="1" applyFont="1" applyBorder="1" applyAlignment="1">
      <alignment horizontal="distributed" vertical="center" wrapText="1"/>
    </xf>
    <xf numFmtId="0" fontId="88" fillId="0" borderId="17" xfId="0" applyNumberFormat="1" applyFont="1" applyBorder="1" applyAlignment="1">
      <alignment horizontal="distributed" vertical="center" wrapText="1"/>
    </xf>
    <xf numFmtId="49" fontId="88" fillId="0" borderId="17" xfId="0" applyNumberFormat="1" applyFont="1" applyBorder="1" applyAlignment="1">
      <alignment horizontal="center" vertical="center" wrapText="1"/>
    </xf>
    <xf numFmtId="49" fontId="87" fillId="0" borderId="17" xfId="0" applyNumberFormat="1" applyFont="1" applyBorder="1" applyAlignment="1">
      <alignment horizontal="distributed" vertical="center" wrapText="1"/>
    </xf>
    <xf numFmtId="49" fontId="3" fillId="0" borderId="8" xfId="1" applyNumberFormat="1" applyFont="1" applyBorder="1" applyAlignment="1">
      <alignment horizontal="distributed" vertical="center"/>
    </xf>
    <xf numFmtId="49" fontId="3" fillId="0" borderId="8" xfId="1" applyNumberFormat="1" applyFont="1" applyBorder="1" applyAlignment="1">
      <alignment horizontal="center" vertical="center" shrinkToFit="1"/>
    </xf>
    <xf numFmtId="49" fontId="5" fillId="0" borderId="154" xfId="1" applyNumberFormat="1" applyFont="1" applyBorder="1" applyAlignment="1">
      <alignment horizontal="distributed" vertical="center"/>
    </xf>
    <xf numFmtId="49" fontId="11" fillId="0" borderId="8" xfId="1" applyNumberFormat="1" applyFont="1" applyBorder="1" applyAlignment="1">
      <alignment horizontal="distributed" vertical="center"/>
    </xf>
    <xf numFmtId="49" fontId="3" fillId="0" borderId="8" xfId="1" applyNumberFormat="1" applyFont="1" applyBorder="1" applyAlignment="1">
      <alignment horizontal="distributed" vertical="center" shrinkToFit="1"/>
    </xf>
    <xf numFmtId="49" fontId="28" fillId="0" borderId="8" xfId="0" applyNumberFormat="1" applyFont="1" applyBorder="1" applyAlignment="1">
      <alignment horizontal="distributed" vertical="center" shrinkToFit="1"/>
    </xf>
    <xf numFmtId="49" fontId="5" fillId="0" borderId="8" xfId="1" applyNumberFormat="1" applyFont="1" applyBorder="1" applyAlignment="1">
      <alignment horizontal="center" vertical="center" shrinkToFit="1"/>
    </xf>
    <xf numFmtId="49" fontId="5" fillId="5" borderId="8" xfId="1" applyNumberFormat="1" applyFont="1" applyFill="1" applyBorder="1" applyAlignment="1">
      <alignment horizontal="center" vertical="center" shrinkToFit="1"/>
    </xf>
    <xf numFmtId="49" fontId="5" fillId="0" borderId="8" xfId="0" applyNumberFormat="1" applyFont="1" applyBorder="1" applyAlignment="1">
      <alignment horizontal="center" vertical="center" shrinkToFit="1"/>
    </xf>
    <xf numFmtId="0" fontId="5" fillId="0" borderId="8" xfId="1" applyNumberFormat="1" applyFont="1" applyBorder="1" applyAlignment="1">
      <alignment horizontal="center" vertical="center" shrinkToFit="1"/>
    </xf>
    <xf numFmtId="0" fontId="5" fillId="5" borderId="8" xfId="1" applyNumberFormat="1" applyFont="1" applyFill="1" applyBorder="1" applyAlignment="1">
      <alignment horizontal="center" vertical="center" shrinkToFit="1"/>
    </xf>
    <xf numFmtId="0" fontId="5" fillId="0" borderId="155" xfId="1" applyNumberFormat="1" applyFont="1" applyBorder="1" applyAlignment="1">
      <alignment horizontal="center" vertical="center" shrinkToFit="1"/>
    </xf>
    <xf numFmtId="49" fontId="6" fillId="0" borderId="17" xfId="0" applyNumberFormat="1" applyFont="1" applyBorder="1" applyAlignment="1">
      <alignment horizontal="center" vertical="center" shrinkToFit="1"/>
    </xf>
    <xf numFmtId="49" fontId="3" fillId="0" borderId="17" xfId="0" applyNumberFormat="1" applyFont="1" applyBorder="1" applyAlignment="1">
      <alignment horizontal="distributed" vertical="center" shrinkToFit="1"/>
    </xf>
    <xf numFmtId="0" fontId="93" fillId="0" borderId="8" xfId="1" applyNumberFormat="1" applyFont="1" applyBorder="1" applyAlignment="1">
      <alignment horizontal="center" vertical="center" shrinkToFit="1"/>
    </xf>
    <xf numFmtId="0" fontId="93" fillId="0" borderId="8" xfId="0" applyNumberFormat="1" applyFont="1" applyBorder="1" applyAlignment="1">
      <alignment horizontal="center" vertical="center" shrinkToFit="1"/>
    </xf>
    <xf numFmtId="49" fontId="10" fillId="0" borderId="153" xfId="0" applyNumberFormat="1" applyFont="1" applyFill="1" applyBorder="1" applyAlignment="1">
      <alignment horizontal="center" vertical="center"/>
    </xf>
    <xf numFmtId="49" fontId="10" fillId="0" borderId="8" xfId="0" applyNumberFormat="1" applyFont="1" applyFill="1" applyBorder="1" applyAlignment="1">
      <alignment horizontal="center" vertical="center"/>
    </xf>
    <xf numFmtId="49" fontId="10" fillId="0" borderId="8" xfId="0" applyNumberFormat="1" applyFont="1" applyFill="1" applyBorder="1" applyAlignment="1">
      <alignment horizontal="center" vertical="center" wrapText="1"/>
    </xf>
    <xf numFmtId="0" fontId="39" fillId="0" borderId="143" xfId="0" applyFont="1" applyFill="1" applyBorder="1" applyAlignment="1">
      <alignment horizontal="center" vertical="center"/>
    </xf>
    <xf numFmtId="0" fontId="39" fillId="0" borderId="138" xfId="0" applyFont="1" applyFill="1" applyBorder="1" applyAlignment="1">
      <alignment horizontal="center" vertical="center"/>
    </xf>
    <xf numFmtId="0" fontId="73" fillId="0" borderId="144" xfId="0" applyFont="1" applyFill="1" applyBorder="1" applyAlignment="1">
      <alignment horizontal="center" vertical="center"/>
    </xf>
    <xf numFmtId="0" fontId="73" fillId="0" borderId="108" xfId="0" applyFont="1" applyFill="1" applyBorder="1" applyAlignment="1">
      <alignment horizontal="center" vertical="center"/>
    </xf>
    <xf numFmtId="0" fontId="39" fillId="0" borderId="155" xfId="0" applyFont="1" applyFill="1" applyBorder="1" applyAlignment="1">
      <alignment horizontal="center" vertical="center"/>
    </xf>
    <xf numFmtId="0" fontId="39" fillId="0" borderId="8" xfId="0" applyFont="1" applyFill="1" applyBorder="1" applyAlignment="1">
      <alignment horizontal="center" vertical="center"/>
    </xf>
    <xf numFmtId="0" fontId="73" fillId="0" borderId="21" xfId="0" applyFont="1" applyFill="1" applyBorder="1" applyAlignment="1">
      <alignment horizontal="center" vertical="center"/>
    </xf>
    <xf numFmtId="0" fontId="39" fillId="0" borderId="8" xfId="0" applyFont="1" applyFill="1" applyBorder="1" applyAlignment="1">
      <alignment horizontal="center" vertical="center" wrapText="1"/>
    </xf>
    <xf numFmtId="0" fontId="73" fillId="0" borderId="154" xfId="0" applyFont="1" applyFill="1" applyBorder="1" applyAlignment="1">
      <alignment horizontal="center" vertical="center"/>
    </xf>
    <xf numFmtId="0" fontId="39" fillId="0" borderId="17" xfId="0" applyFont="1" applyFill="1" applyBorder="1" applyAlignment="1">
      <alignment horizontal="center" vertical="center"/>
    </xf>
    <xf numFmtId="0" fontId="39" fillId="5" borderId="39" xfId="0" applyFont="1" applyFill="1" applyBorder="1" applyAlignment="1">
      <alignment horizontal="center" vertical="center"/>
    </xf>
    <xf numFmtId="0" fontId="39" fillId="5" borderId="17" xfId="0" applyFont="1" applyFill="1" applyBorder="1" applyAlignment="1">
      <alignment horizontal="center" vertical="center"/>
    </xf>
    <xf numFmtId="0" fontId="39" fillId="5" borderId="155" xfId="0" applyFont="1" applyFill="1" applyBorder="1" applyAlignment="1">
      <alignment horizontal="center" vertical="center"/>
    </xf>
    <xf numFmtId="0" fontId="39" fillId="5" borderId="8" xfId="0" applyFont="1" applyFill="1" applyBorder="1" applyAlignment="1">
      <alignment horizontal="center" vertical="center"/>
    </xf>
    <xf numFmtId="0" fontId="94" fillId="0" borderId="17" xfId="0" applyFont="1" applyBorder="1" applyAlignment="1">
      <alignment horizontal="center" vertical="center"/>
    </xf>
    <xf numFmtId="0" fontId="95" fillId="0" borderId="21" xfId="0" applyFont="1" applyBorder="1" applyAlignment="1">
      <alignment horizontal="center" vertical="center"/>
    </xf>
    <xf numFmtId="0" fontId="57" fillId="13" borderId="8" xfId="0" applyFont="1" applyFill="1" applyBorder="1" applyAlignment="1">
      <alignment horizontal="center" vertical="center"/>
    </xf>
    <xf numFmtId="0" fontId="57" fillId="5" borderId="8" xfId="0" applyFont="1" applyFill="1" applyBorder="1" applyAlignment="1">
      <alignment horizontal="center" vertical="center"/>
    </xf>
    <xf numFmtId="0" fontId="49" fillId="5" borderId="8" xfId="0" applyFont="1" applyFill="1" applyBorder="1" applyAlignment="1">
      <alignment horizontal="center" vertical="center"/>
    </xf>
    <xf numFmtId="0" fontId="56" fillId="15" borderId="154" xfId="0" applyFont="1" applyFill="1" applyBorder="1" applyAlignment="1">
      <alignment horizontal="center" vertical="center"/>
    </xf>
    <xf numFmtId="0" fontId="56" fillId="16" borderId="154" xfId="0" applyFont="1" applyFill="1" applyBorder="1" applyAlignment="1">
      <alignment horizontal="center" vertical="center"/>
    </xf>
    <xf numFmtId="0" fontId="56" fillId="13" borderId="154" xfId="0" applyFont="1" applyFill="1" applyBorder="1" applyAlignment="1">
      <alignment horizontal="center" vertical="center"/>
    </xf>
    <xf numFmtId="0" fontId="56" fillId="17" borderId="154" xfId="0" applyFont="1" applyFill="1" applyBorder="1" applyAlignment="1">
      <alignment horizontal="center" vertical="center"/>
    </xf>
    <xf numFmtId="0" fontId="56" fillId="5" borderId="154" xfId="0" applyFont="1" applyFill="1" applyBorder="1" applyAlignment="1">
      <alignment horizontal="center" vertical="center"/>
    </xf>
    <xf numFmtId="0" fontId="73" fillId="5" borderId="31" xfId="0" applyFont="1" applyFill="1" applyBorder="1" applyAlignment="1">
      <alignment horizontal="center" vertical="center" wrapText="1"/>
    </xf>
    <xf numFmtId="0" fontId="73" fillId="5" borderId="8" xfId="0" applyFont="1" applyFill="1" applyBorder="1" applyAlignment="1">
      <alignment horizontal="center" vertical="center" wrapText="1"/>
    </xf>
    <xf numFmtId="0" fontId="91" fillId="13" borderId="97" xfId="0" applyFont="1" applyFill="1" applyBorder="1" applyAlignment="1">
      <alignment horizontal="center" vertical="center"/>
    </xf>
    <xf numFmtId="0" fontId="59" fillId="5" borderId="0" xfId="0" applyFont="1" applyFill="1" applyAlignment="1">
      <alignment horizontal="left" vertical="center"/>
    </xf>
    <xf numFmtId="0" fontId="59" fillId="13" borderId="0" xfId="0" applyFont="1" applyFill="1" applyAlignment="1">
      <alignment horizontal="center" vertical="center"/>
    </xf>
    <xf numFmtId="49" fontId="40" fillId="0" borderId="8" xfId="0" applyNumberFormat="1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44" fillId="0" borderId="113" xfId="0" applyNumberFormat="1" applyFont="1" applyFill="1" applyBorder="1" applyAlignment="1">
      <alignment horizontal="center" vertical="center"/>
    </xf>
    <xf numFmtId="49" fontId="44" fillId="0" borderId="28" xfId="0" applyNumberFormat="1" applyFont="1" applyFill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49" fontId="101" fillId="0" borderId="24" xfId="0" applyNumberFormat="1" applyFont="1" applyFill="1" applyBorder="1" applyAlignment="1">
      <alignment horizontal="right" vertical="center"/>
    </xf>
    <xf numFmtId="181" fontId="102" fillId="0" borderId="128" xfId="0" applyNumberFormat="1" applyFont="1" applyFill="1" applyBorder="1" applyAlignment="1">
      <alignment vertical="center"/>
    </xf>
    <xf numFmtId="0" fontId="44" fillId="10" borderId="30" xfId="0" applyFont="1" applyFill="1" applyBorder="1" applyAlignment="1">
      <alignment horizontal="center" vertical="center" wrapText="1"/>
    </xf>
    <xf numFmtId="0" fontId="44" fillId="10" borderId="35" xfId="0" applyFont="1" applyFill="1" applyBorder="1" applyAlignment="1">
      <alignment horizontal="center" vertical="center" wrapText="1"/>
    </xf>
    <xf numFmtId="0" fontId="103" fillId="0" borderId="114" xfId="0" applyFont="1" applyFill="1" applyBorder="1" applyAlignment="1">
      <alignment horizontal="center" vertical="center" wrapText="1"/>
    </xf>
    <xf numFmtId="0" fontId="103" fillId="0" borderId="115" xfId="0" applyFont="1" applyFill="1" applyBorder="1" applyAlignment="1">
      <alignment horizontal="center" vertical="center" wrapText="1"/>
    </xf>
    <xf numFmtId="0" fontId="103" fillId="0" borderId="116" xfId="0" applyFont="1" applyFill="1" applyBorder="1" applyAlignment="1">
      <alignment horizontal="center" vertical="center" wrapText="1"/>
    </xf>
    <xf numFmtId="181" fontId="102" fillId="0" borderId="152" xfId="0" applyNumberFormat="1" applyFont="1" applyFill="1" applyBorder="1" applyAlignment="1">
      <alignment vertical="center"/>
    </xf>
    <xf numFmtId="0" fontId="44" fillId="11" borderId="8" xfId="0" applyFont="1" applyFill="1" applyBorder="1" applyAlignment="1">
      <alignment horizontal="center" vertical="center" wrapText="1"/>
    </xf>
    <xf numFmtId="0" fontId="44" fillId="11" borderId="21" xfId="0" applyFont="1" applyFill="1" applyBorder="1" applyAlignment="1">
      <alignment horizontal="center" vertical="center" wrapText="1"/>
    </xf>
    <xf numFmtId="0" fontId="44" fillId="10" borderId="8" xfId="0" applyFont="1" applyFill="1" applyBorder="1" applyAlignment="1">
      <alignment horizontal="center" vertical="center" wrapText="1"/>
    </xf>
    <xf numFmtId="0" fontId="44" fillId="10" borderId="21" xfId="0" applyFont="1" applyFill="1" applyBorder="1" applyAlignment="1">
      <alignment horizontal="center" vertical="center" wrapText="1"/>
    </xf>
    <xf numFmtId="49" fontId="5" fillId="5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5" borderId="0" xfId="0" applyFill="1" applyBorder="1" applyAlignment="1">
      <alignment horizontal="center"/>
    </xf>
    <xf numFmtId="49" fontId="6" fillId="0" borderId="0" xfId="0" applyNumberFormat="1" applyFont="1" applyBorder="1" applyAlignment="1">
      <alignment horizontal="center" vertical="center"/>
    </xf>
    <xf numFmtId="49" fontId="6" fillId="5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 shrinkToFit="1"/>
    </xf>
    <xf numFmtId="49" fontId="5" fillId="5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Border="1" applyAlignment="1">
      <alignment horizontal="center" vertical="center"/>
    </xf>
    <xf numFmtId="0" fontId="65" fillId="0" borderId="8" xfId="1" applyFont="1" applyBorder="1" applyAlignment="1">
      <alignment horizontal="center" vertical="center"/>
    </xf>
    <xf numFmtId="0" fontId="104" fillId="0" borderId="8" xfId="1" applyFont="1" applyBorder="1" applyAlignment="1">
      <alignment horizontal="center" vertical="center"/>
    </xf>
    <xf numFmtId="0" fontId="105" fillId="0" borderId="8" xfId="1" applyFont="1" applyBorder="1" applyAlignment="1">
      <alignment horizontal="center" vertical="center"/>
    </xf>
    <xf numFmtId="0" fontId="46" fillId="8" borderId="8" xfId="3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 shrinkToFit="1"/>
    </xf>
    <xf numFmtId="49" fontId="3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177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49" fontId="9" fillId="0" borderId="0" xfId="0" applyNumberFormat="1" applyFont="1" applyFill="1" applyBorder="1" applyAlignment="1">
      <alignment horizontal="center" vertical="top"/>
    </xf>
    <xf numFmtId="49" fontId="32" fillId="0" borderId="0" xfId="0" applyNumberFormat="1" applyFont="1" applyBorder="1" applyAlignment="1">
      <alignment horizontal="center" vertical="top"/>
    </xf>
    <xf numFmtId="49" fontId="32" fillId="5" borderId="0" xfId="0" applyNumberFormat="1" applyFont="1" applyFill="1" applyBorder="1" applyAlignment="1">
      <alignment horizontal="center" vertical="top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85" fillId="0" borderId="0" xfId="0" applyNumberFormat="1" applyFont="1" applyBorder="1" applyAlignment="1">
      <alignment vertical="center" wrapText="1"/>
    </xf>
    <xf numFmtId="49" fontId="3" fillId="0" borderId="0" xfId="0" applyNumberFormat="1" applyFont="1" applyFill="1" applyBorder="1" applyAlignment="1">
      <alignment vertical="center" wrapText="1"/>
    </xf>
    <xf numFmtId="49" fontId="8" fillId="0" borderId="0" xfId="0" applyNumberFormat="1" applyFont="1" applyBorder="1" applyAlignment="1">
      <alignment vertical="center"/>
    </xf>
    <xf numFmtId="0" fontId="56" fillId="5" borderId="34" xfId="0" applyFont="1" applyFill="1" applyBorder="1" applyAlignment="1">
      <alignment horizontal="center" vertical="center"/>
    </xf>
    <xf numFmtId="0" fontId="76" fillId="17" borderId="8" xfId="0" applyFont="1" applyFill="1" applyBorder="1" applyAlignment="1">
      <alignment horizontal="left" vertical="center"/>
    </xf>
    <xf numFmtId="49" fontId="76" fillId="13" borderId="8" xfId="0" applyNumberFormat="1" applyFont="1" applyFill="1" applyBorder="1" applyAlignment="1">
      <alignment horizontal="left" vertical="center"/>
    </xf>
    <xf numFmtId="0" fontId="76" fillId="13" borderId="8" xfId="0" applyFont="1" applyFill="1" applyBorder="1" applyAlignment="1">
      <alignment horizontal="left" vertical="center"/>
    </xf>
    <xf numFmtId="0" fontId="62" fillId="5" borderId="35" xfId="0" applyFont="1" applyFill="1" applyBorder="1" applyAlignment="1">
      <alignment horizontal="center" vertical="center"/>
    </xf>
    <xf numFmtId="49" fontId="10" fillId="0" borderId="150" xfId="0" applyNumberFormat="1" applyFont="1" applyFill="1" applyBorder="1" applyAlignment="1">
      <alignment vertical="center"/>
    </xf>
    <xf numFmtId="0" fontId="39" fillId="5" borderId="101" xfId="0" applyFont="1" applyFill="1" applyBorder="1" applyAlignment="1">
      <alignment horizontal="center" vertical="center"/>
    </xf>
    <xf numFmtId="0" fontId="39" fillId="5" borderId="101" xfId="0" applyFont="1" applyFill="1" applyBorder="1" applyAlignment="1">
      <alignment horizontal="center" vertical="center" wrapText="1"/>
    </xf>
    <xf numFmtId="0" fontId="73" fillId="5" borderId="101" xfId="0" applyFont="1" applyFill="1" applyBorder="1" applyAlignment="1">
      <alignment horizontal="center" vertical="center"/>
    </xf>
    <xf numFmtId="0" fontId="0" fillId="0" borderId="23" xfId="0" applyBorder="1"/>
    <xf numFmtId="0" fontId="39" fillId="0" borderId="144" xfId="0" applyFont="1" applyBorder="1" applyAlignment="1">
      <alignment horizontal="distributed" vertical="center"/>
    </xf>
    <xf numFmtId="0" fontId="10" fillId="0" borderId="140" xfId="0" applyFont="1" applyBorder="1" applyAlignment="1">
      <alignment horizontal="center" vertical="center"/>
    </xf>
    <xf numFmtId="0" fontId="56" fillId="6" borderId="8" xfId="0" applyFont="1" applyFill="1" applyBorder="1" applyAlignment="1">
      <alignment horizontal="center" vertical="center"/>
    </xf>
    <xf numFmtId="0" fontId="106" fillId="13" borderId="8" xfId="0" applyFont="1" applyFill="1" applyBorder="1" applyAlignment="1">
      <alignment horizontal="left" vertical="center"/>
    </xf>
    <xf numFmtId="0" fontId="62" fillId="5" borderId="8" xfId="0" applyFont="1" applyFill="1" applyBorder="1" applyAlignment="1">
      <alignment horizontal="center" vertical="center"/>
    </xf>
    <xf numFmtId="0" fontId="56" fillId="5" borderId="8" xfId="0" applyFont="1" applyFill="1" applyBorder="1" applyAlignment="1">
      <alignment horizontal="center" vertical="center"/>
    </xf>
    <xf numFmtId="0" fontId="76" fillId="13" borderId="8" xfId="0" applyFont="1" applyFill="1" applyBorder="1" applyAlignment="1">
      <alignment vertical="center"/>
    </xf>
    <xf numFmtId="49" fontId="76" fillId="13" borderId="8" xfId="0" applyNumberFormat="1" applyFont="1" applyFill="1" applyBorder="1" applyAlignment="1">
      <alignment vertical="center"/>
    </xf>
    <xf numFmtId="0" fontId="107" fillId="0" borderId="8" xfId="1" applyNumberFormat="1" applyFont="1" applyBorder="1" applyAlignment="1">
      <alignment horizontal="center" vertical="center" shrinkToFit="1"/>
    </xf>
    <xf numFmtId="49" fontId="101" fillId="0" borderId="27" xfId="0" applyNumberFormat="1" applyFont="1" applyFill="1" applyBorder="1" applyAlignment="1">
      <alignment horizontal="right" vertical="center"/>
    </xf>
    <xf numFmtId="181" fontId="102" fillId="0" borderId="92" xfId="0" applyNumberFormat="1" applyFont="1" applyFill="1" applyBorder="1" applyAlignment="1">
      <alignment vertical="center"/>
    </xf>
    <xf numFmtId="0" fontId="44" fillId="10" borderId="98" xfId="0" applyFont="1" applyFill="1" applyBorder="1" applyAlignment="1">
      <alignment vertical="center" wrapText="1"/>
    </xf>
    <xf numFmtId="0" fontId="44" fillId="10" borderId="157" xfId="0" applyFont="1" applyFill="1" applyBorder="1" applyAlignment="1">
      <alignment vertical="center" wrapText="1"/>
    </xf>
    <xf numFmtId="0" fontId="44" fillId="0" borderId="8" xfId="0" applyFont="1" applyBorder="1" applyAlignment="1">
      <alignment horizontal="center" vertical="center"/>
    </xf>
    <xf numFmtId="0" fontId="45" fillId="0" borderId="8" xfId="0" applyNumberFormat="1" applyFont="1" applyBorder="1" applyAlignment="1">
      <alignment horizontal="center" vertical="center" wrapText="1"/>
    </xf>
    <xf numFmtId="0" fontId="64" fillId="0" borderId="8" xfId="0" applyFont="1" applyBorder="1" applyAlignment="1">
      <alignment horizontal="center" vertical="center"/>
    </xf>
    <xf numFmtId="0" fontId="47" fillId="9" borderId="8" xfId="4" applyNumberFormat="1" applyFont="1" applyBorder="1" applyAlignment="1">
      <alignment horizontal="center" vertical="center" wrapText="1"/>
    </xf>
    <xf numFmtId="49" fontId="5" fillId="0" borderId="155" xfId="1" applyNumberFormat="1" applyFont="1" applyBorder="1" applyAlignment="1">
      <alignment horizontal="center" vertical="center" shrinkToFit="1"/>
    </xf>
    <xf numFmtId="0" fontId="52" fillId="5" borderId="17" xfId="0" applyFont="1" applyFill="1" applyBorder="1" applyAlignment="1">
      <alignment horizontal="center" vertical="center"/>
    </xf>
    <xf numFmtId="0" fontId="96" fillId="13" borderId="8" xfId="0" applyFont="1" applyFill="1" applyBorder="1" applyAlignment="1">
      <alignment vertical="center" wrapText="1"/>
    </xf>
    <xf numFmtId="0" fontId="76" fillId="13" borderId="8" xfId="0" applyFont="1" applyFill="1" applyBorder="1" applyAlignment="1">
      <alignment vertical="center" wrapText="1"/>
    </xf>
    <xf numFmtId="0" fontId="76" fillId="13" borderId="8" xfId="0" applyFont="1" applyFill="1" applyBorder="1" applyAlignment="1">
      <alignment horizontal="left" vertical="center" wrapText="1"/>
    </xf>
    <xf numFmtId="0" fontId="76" fillId="13" borderId="154" xfId="0" applyFont="1" applyFill="1" applyBorder="1" applyAlignment="1">
      <alignment horizontal="center" vertical="center" wrapText="1"/>
    </xf>
    <xf numFmtId="0" fontId="76" fillId="13" borderId="108" xfId="0" applyFont="1" applyFill="1" applyBorder="1" applyAlignment="1">
      <alignment horizontal="left" vertical="center"/>
    </xf>
    <xf numFmtId="0" fontId="54" fillId="0" borderId="8" xfId="0" applyFont="1" applyBorder="1" applyAlignment="1">
      <alignment vertical="center"/>
    </xf>
    <xf numFmtId="0" fontId="50" fillId="0" borderId="30" xfId="0" applyFont="1" applyFill="1" applyBorder="1" applyAlignment="1">
      <alignment horizontal="center" vertical="center"/>
    </xf>
    <xf numFmtId="0" fontId="57" fillId="0" borderId="8" xfId="0" applyFont="1" applyFill="1" applyBorder="1" applyAlignment="1">
      <alignment horizontal="center" vertical="center"/>
    </xf>
    <xf numFmtId="0" fontId="57" fillId="0" borderId="88" xfId="0" applyNumberFormat="1" applyFont="1" applyFill="1" applyBorder="1" applyAlignment="1">
      <alignment horizontal="center" vertical="center"/>
    </xf>
    <xf numFmtId="0" fontId="91" fillId="0" borderId="30" xfId="0" applyFont="1" applyFill="1" applyBorder="1" applyAlignment="1">
      <alignment horizontal="center" vertical="center"/>
    </xf>
    <xf numFmtId="0" fontId="57" fillId="0" borderId="83" xfId="0" applyFont="1" applyFill="1" applyBorder="1" applyAlignment="1">
      <alignment vertical="center"/>
    </xf>
    <xf numFmtId="0" fontId="57" fillId="0" borderId="84" xfId="0" applyFont="1" applyFill="1" applyBorder="1" applyAlignment="1">
      <alignment vertical="center" wrapText="1"/>
    </xf>
    <xf numFmtId="0" fontId="57" fillId="0" borderId="88" xfId="0" applyFont="1" applyFill="1" applyBorder="1" applyAlignment="1">
      <alignment horizontal="center" vertical="center" wrapText="1"/>
    </xf>
    <xf numFmtId="0" fontId="57" fillId="0" borderId="99" xfId="0" applyFont="1" applyFill="1" applyBorder="1" applyAlignment="1">
      <alignment horizontal="center" vertical="center"/>
    </xf>
    <xf numFmtId="0" fontId="57" fillId="0" borderId="89" xfId="0" applyFont="1" applyFill="1" applyBorder="1" applyAlignment="1">
      <alignment horizontal="center" vertical="center"/>
    </xf>
    <xf numFmtId="0" fontId="52" fillId="0" borderId="83" xfId="0" applyFont="1" applyFill="1" applyBorder="1" applyAlignment="1">
      <alignment horizontal="center" vertical="center"/>
    </xf>
    <xf numFmtId="0" fontId="53" fillId="0" borderId="84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vertical="center"/>
    </xf>
    <xf numFmtId="0" fontId="59" fillId="0" borderId="0" xfId="0" applyFont="1" applyFill="1" applyAlignment="1">
      <alignment vertical="center"/>
    </xf>
    <xf numFmtId="0" fontId="56" fillId="0" borderId="83" xfId="0" applyFont="1" applyFill="1" applyBorder="1" applyAlignment="1">
      <alignment horizontal="center" vertical="center"/>
    </xf>
    <xf numFmtId="0" fontId="56" fillId="0" borderId="99" xfId="0" applyFont="1" applyFill="1" applyBorder="1" applyAlignment="1">
      <alignment horizontal="center" vertical="center"/>
    </xf>
    <xf numFmtId="0" fontId="56" fillId="0" borderId="89" xfId="0" applyFont="1" applyFill="1" applyBorder="1" applyAlignment="1">
      <alignment horizontal="center" vertical="center"/>
    </xf>
    <xf numFmtId="49" fontId="10" fillId="0" borderId="155" xfId="0" applyNumberFormat="1" applyFont="1" applyFill="1" applyBorder="1" applyAlignment="1">
      <alignment horizontal="center" vertical="center"/>
    </xf>
    <xf numFmtId="0" fontId="76" fillId="0" borderId="8" xfId="0" applyFont="1" applyFill="1" applyBorder="1" applyAlignment="1">
      <alignment vertical="center"/>
    </xf>
    <xf numFmtId="0" fontId="96" fillId="0" borderId="8" xfId="0" applyFont="1" applyFill="1" applyBorder="1" applyAlignment="1">
      <alignment vertical="center" wrapText="1"/>
    </xf>
    <xf numFmtId="0" fontId="54" fillId="0" borderId="0" xfId="0" applyFont="1" applyFill="1" applyAlignment="1">
      <alignment vertical="center"/>
    </xf>
    <xf numFmtId="0" fontId="76" fillId="0" borderId="8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8" xfId="0" applyFont="1" applyBorder="1"/>
    <xf numFmtId="49" fontId="107" fillId="5" borderId="8" xfId="1" applyNumberFormat="1" applyFont="1" applyFill="1" applyBorder="1" applyAlignment="1">
      <alignment horizontal="center" vertical="center" shrinkToFit="1"/>
    </xf>
    <xf numFmtId="0" fontId="5" fillId="0" borderId="8" xfId="0" applyNumberFormat="1" applyFont="1" applyBorder="1" applyAlignment="1">
      <alignment horizontal="distributed" vertical="center" shrinkToFit="1"/>
    </xf>
    <xf numFmtId="0" fontId="39" fillId="0" borderId="83" xfId="0" applyFont="1" applyFill="1" applyBorder="1" applyAlignment="1">
      <alignment vertical="center"/>
    </xf>
    <xf numFmtId="0" fontId="39" fillId="0" borderId="99" xfId="0" applyFont="1" applyFill="1" applyBorder="1" applyAlignment="1">
      <alignment vertical="center"/>
    </xf>
    <xf numFmtId="0" fontId="39" fillId="0" borderId="84" xfId="0" applyFont="1" applyFill="1" applyBorder="1" applyAlignment="1">
      <alignment vertical="center"/>
    </xf>
    <xf numFmtId="0" fontId="49" fillId="0" borderId="0" xfId="0" applyFont="1" applyBorder="1" applyAlignment="1">
      <alignment horizontal="center" vertical="center" wrapText="1"/>
    </xf>
    <xf numFmtId="0" fontId="57" fillId="0" borderId="127" xfId="0" applyFont="1" applyBorder="1" applyAlignment="1">
      <alignment horizontal="center" vertical="center"/>
    </xf>
    <xf numFmtId="0" fontId="57" fillId="0" borderId="128" xfId="0" applyFont="1" applyBorder="1" applyAlignment="1">
      <alignment horizontal="center" vertical="center"/>
    </xf>
    <xf numFmtId="0" fontId="57" fillId="0" borderId="97" xfId="0" applyFont="1" applyBorder="1" applyAlignment="1">
      <alignment horizontal="center" vertical="center"/>
    </xf>
    <xf numFmtId="0" fontId="57" fillId="5" borderId="108" xfId="0" applyFont="1" applyFill="1" applyBorder="1" applyAlignment="1">
      <alignment horizontal="center" vertical="center"/>
    </xf>
    <xf numFmtId="0" fontId="63" fillId="0" borderId="112" xfId="0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48" fillId="0" borderId="23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48" fillId="0" borderId="18" xfId="0" applyFont="1" applyBorder="1" applyAlignment="1">
      <alignment horizontal="center" vertical="center"/>
    </xf>
    <xf numFmtId="0" fontId="48" fillId="0" borderId="19" xfId="0" applyFont="1" applyBorder="1" applyAlignment="1">
      <alignment horizontal="center" vertical="center"/>
    </xf>
    <xf numFmtId="0" fontId="48" fillId="0" borderId="20" xfId="0" applyFont="1" applyBorder="1" applyAlignment="1">
      <alignment horizontal="center" vertical="center"/>
    </xf>
    <xf numFmtId="183" fontId="50" fillId="12" borderId="35" xfId="0" applyNumberFormat="1" applyFont="1" applyFill="1" applyBorder="1" applyAlignment="1">
      <alignment horizontal="center" vertical="center" wrapText="1"/>
    </xf>
    <xf numFmtId="183" fontId="50" fillId="12" borderId="84" xfId="0" applyNumberFormat="1" applyFont="1" applyFill="1" applyBorder="1" applyAlignment="1">
      <alignment horizontal="center" vertical="center" wrapText="1"/>
    </xf>
    <xf numFmtId="0" fontId="57" fillId="13" borderId="123" xfId="0" applyFont="1" applyFill="1" applyBorder="1" applyAlignment="1">
      <alignment horizontal="center" vertical="center" wrapText="1"/>
    </xf>
    <xf numFmtId="0" fontId="57" fillId="13" borderId="124" xfId="0" applyFont="1" applyFill="1" applyBorder="1" applyAlignment="1">
      <alignment horizontal="center" vertical="center" wrapText="1"/>
    </xf>
    <xf numFmtId="0" fontId="57" fillId="0" borderId="126" xfId="0" applyFont="1" applyBorder="1" applyAlignment="1">
      <alignment horizontal="center" vertical="center"/>
    </xf>
    <xf numFmtId="0" fontId="57" fillId="0" borderId="129" xfId="0" applyFont="1" applyBorder="1" applyAlignment="1">
      <alignment horizontal="center" vertical="center"/>
    </xf>
    <xf numFmtId="0" fontId="78" fillId="0" borderId="31" xfId="0" applyFont="1" applyBorder="1" applyAlignment="1">
      <alignment horizontal="left" vertical="top" wrapText="1"/>
    </xf>
    <xf numFmtId="0" fontId="78" fillId="0" borderId="102" xfId="0" applyFont="1" applyBorder="1" applyAlignment="1">
      <alignment horizontal="left" vertical="top" wrapText="1"/>
    </xf>
    <xf numFmtId="0" fontId="78" fillId="0" borderId="147" xfId="0" applyFont="1" applyBorder="1" applyAlignment="1">
      <alignment horizontal="left" vertical="top" wrapText="1"/>
    </xf>
    <xf numFmtId="0" fontId="78" fillId="0" borderId="32" xfId="0" applyFont="1" applyBorder="1" applyAlignment="1">
      <alignment horizontal="left" vertical="top" wrapText="1"/>
    </xf>
    <xf numFmtId="0" fontId="78" fillId="0" borderId="33" xfId="0" applyFont="1" applyBorder="1" applyAlignment="1">
      <alignment horizontal="left" vertical="top" wrapText="1"/>
    </xf>
    <xf numFmtId="0" fontId="75" fillId="0" borderId="147" xfId="0" applyFont="1" applyBorder="1" applyAlignment="1">
      <alignment horizontal="left" vertical="top" wrapText="1"/>
    </xf>
    <xf numFmtId="0" fontId="75" fillId="0" borderId="32" xfId="0" applyFont="1" applyBorder="1" applyAlignment="1">
      <alignment horizontal="left" vertical="top" wrapText="1"/>
    </xf>
    <xf numFmtId="0" fontId="75" fillId="0" borderId="33" xfId="0" applyFont="1" applyBorder="1" applyAlignment="1">
      <alignment horizontal="left" vertical="top" wrapText="1"/>
    </xf>
    <xf numFmtId="0" fontId="56" fillId="22" borderId="118" xfId="0" applyFont="1" applyFill="1" applyBorder="1" applyAlignment="1">
      <alignment horizontal="center" vertical="center" wrapText="1"/>
    </xf>
    <xf numFmtId="0" fontId="56" fillId="22" borderId="92" xfId="0" applyFont="1" applyFill="1" applyBorder="1" applyAlignment="1">
      <alignment horizontal="center" vertical="center" wrapText="1"/>
    </xf>
    <xf numFmtId="0" fontId="56" fillId="22" borderId="95" xfId="0" applyFont="1" applyFill="1" applyBorder="1" applyAlignment="1">
      <alignment horizontal="center" vertical="center" wrapText="1"/>
    </xf>
    <xf numFmtId="0" fontId="56" fillId="5" borderId="118" xfId="0" applyFont="1" applyFill="1" applyBorder="1" applyAlignment="1">
      <alignment horizontal="center" vertical="center" wrapText="1"/>
    </xf>
    <xf numFmtId="0" fontId="56" fillId="5" borderId="92" xfId="0" applyFont="1" applyFill="1" applyBorder="1" applyAlignment="1">
      <alignment horizontal="center" vertical="center" wrapText="1"/>
    </xf>
    <xf numFmtId="0" fontId="56" fillId="5" borderId="95" xfId="0" applyFont="1" applyFill="1" applyBorder="1" applyAlignment="1">
      <alignment horizontal="center" vertical="center" wrapText="1"/>
    </xf>
    <xf numFmtId="0" fontId="56" fillId="5" borderId="123" xfId="0" applyFont="1" applyFill="1" applyBorder="1" applyAlignment="1">
      <alignment horizontal="center" vertical="center" wrapText="1"/>
    </xf>
    <xf numFmtId="0" fontId="56" fillId="5" borderId="146" xfId="0" applyFont="1" applyFill="1" applyBorder="1" applyAlignment="1">
      <alignment horizontal="center" vertical="center" wrapText="1"/>
    </xf>
    <xf numFmtId="0" fontId="56" fillId="5" borderId="124" xfId="0" applyFont="1" applyFill="1" applyBorder="1" applyAlignment="1">
      <alignment horizontal="center" vertical="center" wrapText="1"/>
    </xf>
    <xf numFmtId="0" fontId="73" fillId="5" borderId="87" xfId="0" applyFont="1" applyFill="1" applyBorder="1" applyAlignment="1">
      <alignment horizontal="center" vertical="center"/>
    </xf>
    <xf numFmtId="0" fontId="73" fillId="5" borderId="90" xfId="0" applyFont="1" applyFill="1" applyBorder="1" applyAlignment="1">
      <alignment horizontal="center" vertical="center"/>
    </xf>
    <xf numFmtId="0" fontId="58" fillId="5" borderId="4" xfId="0" applyFont="1" applyFill="1" applyBorder="1" applyAlignment="1">
      <alignment horizontal="center" vertical="center"/>
    </xf>
    <xf numFmtId="0" fontId="58" fillId="5" borderId="104" xfId="0" applyFont="1" applyFill="1" applyBorder="1" applyAlignment="1">
      <alignment horizontal="center" vertical="center"/>
    </xf>
    <xf numFmtId="0" fontId="56" fillId="0" borderId="34" xfId="0" applyFont="1" applyBorder="1" applyAlignment="1">
      <alignment horizontal="distributed" vertical="center"/>
    </xf>
    <xf numFmtId="0" fontId="56" fillId="0" borderId="30" xfId="0" applyFont="1" applyBorder="1" applyAlignment="1">
      <alignment horizontal="distributed" vertical="center"/>
    </xf>
    <xf numFmtId="0" fontId="56" fillId="0" borderId="127" xfId="0" applyFont="1" applyBorder="1" applyAlignment="1">
      <alignment horizontal="distributed" vertical="center"/>
    </xf>
    <xf numFmtId="0" fontId="56" fillId="0" borderId="91" xfId="0" applyFont="1" applyBorder="1" applyAlignment="1">
      <alignment horizontal="distributed" vertical="center"/>
    </xf>
    <xf numFmtId="0" fontId="56" fillId="0" borderId="98" xfId="0" applyFont="1" applyBorder="1" applyAlignment="1">
      <alignment horizontal="distributed" vertical="center"/>
    </xf>
    <xf numFmtId="0" fontId="56" fillId="0" borderId="94" xfId="0" applyFont="1" applyBorder="1" applyAlignment="1">
      <alignment horizontal="distributed" vertical="center"/>
    </xf>
    <xf numFmtId="0" fontId="56" fillId="22" borderId="24" xfId="0" applyFont="1" applyFill="1" applyBorder="1" applyAlignment="1">
      <alignment horizontal="center" vertical="center"/>
    </xf>
    <xf numFmtId="0" fontId="56" fillId="22" borderId="128" xfId="0" applyFont="1" applyFill="1" applyBorder="1" applyAlignment="1">
      <alignment horizontal="center" vertical="center"/>
    </xf>
    <xf numFmtId="0" fontId="56" fillId="22" borderId="145" xfId="0" applyFont="1" applyFill="1" applyBorder="1" applyAlignment="1">
      <alignment horizontal="center" vertical="center"/>
    </xf>
    <xf numFmtId="0" fontId="56" fillId="5" borderId="24" xfId="0" applyFont="1" applyFill="1" applyBorder="1" applyAlignment="1">
      <alignment horizontal="center" vertical="center"/>
    </xf>
    <xf numFmtId="0" fontId="56" fillId="5" borderId="128" xfId="0" applyFont="1" applyFill="1" applyBorder="1" applyAlignment="1">
      <alignment horizontal="center" vertical="center"/>
    </xf>
    <xf numFmtId="0" fontId="56" fillId="5" borderId="145" xfId="0" applyFont="1" applyFill="1" applyBorder="1" applyAlignment="1">
      <alignment horizontal="center" vertical="center"/>
    </xf>
    <xf numFmtId="0" fontId="56" fillId="5" borderId="34" xfId="0" applyFont="1" applyFill="1" applyBorder="1" applyAlignment="1">
      <alignment horizontal="center" vertical="center"/>
    </xf>
    <xf numFmtId="0" fontId="56" fillId="5" borderId="30" xfId="0" applyFont="1" applyFill="1" applyBorder="1" applyAlignment="1">
      <alignment horizontal="center" vertical="center"/>
    </xf>
    <xf numFmtId="0" fontId="56" fillId="5" borderId="127" xfId="0" applyFont="1" applyFill="1" applyBorder="1" applyAlignment="1">
      <alignment horizontal="center" vertical="center"/>
    </xf>
    <xf numFmtId="0" fontId="56" fillId="5" borderId="35" xfId="0" applyFont="1" applyFill="1" applyBorder="1" applyAlignment="1">
      <alignment horizontal="center" vertical="center"/>
    </xf>
    <xf numFmtId="0" fontId="56" fillId="5" borderId="27" xfId="0" applyFont="1" applyFill="1" applyBorder="1" applyAlignment="1">
      <alignment horizontal="center" vertical="center"/>
    </xf>
    <xf numFmtId="0" fontId="56" fillId="5" borderId="22" xfId="0" applyFont="1" applyFill="1" applyBorder="1" applyAlignment="1">
      <alignment horizontal="center" vertical="center"/>
    </xf>
    <xf numFmtId="0" fontId="56" fillId="5" borderId="3" xfId="0" applyFont="1" applyFill="1" applyBorder="1" applyAlignment="1">
      <alignment horizontal="center" vertical="center"/>
    </xf>
    <xf numFmtId="0" fontId="56" fillId="5" borderId="7" xfId="0" applyFont="1" applyFill="1" applyBorder="1" applyAlignment="1">
      <alignment horizontal="center" vertical="center"/>
    </xf>
    <xf numFmtId="0" fontId="0" fillId="0" borderId="98" xfId="0" applyBorder="1" applyAlignment="1">
      <alignment horizontal="center" vertical="center"/>
    </xf>
    <xf numFmtId="0" fontId="74" fillId="0" borderId="120" xfId="0" applyFont="1" applyBorder="1" applyAlignment="1">
      <alignment horizontal="center" vertical="center"/>
    </xf>
    <xf numFmtId="0" fontId="74" fillId="0" borderId="108" xfId="0" applyFont="1" applyBorder="1" applyAlignment="1">
      <alignment horizontal="center" vertical="center"/>
    </xf>
    <xf numFmtId="0" fontId="73" fillId="5" borderId="152" xfId="0" applyFont="1" applyFill="1" applyBorder="1" applyAlignment="1">
      <alignment horizontal="center" vertical="center"/>
    </xf>
    <xf numFmtId="0" fontId="73" fillId="5" borderId="153" xfId="0" applyFont="1" applyFill="1" applyBorder="1" applyAlignment="1">
      <alignment horizontal="center" vertical="center"/>
    </xf>
    <xf numFmtId="0" fontId="73" fillId="5" borderId="103" xfId="0" applyFont="1" applyFill="1" applyBorder="1" applyAlignment="1">
      <alignment horizontal="center" vertical="center"/>
    </xf>
    <xf numFmtId="0" fontId="73" fillId="5" borderId="104" xfId="0" applyFont="1" applyFill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28" fillId="0" borderId="99" xfId="0" applyFont="1" applyBorder="1" applyAlignment="1">
      <alignment horizontal="center" vertical="center"/>
    </xf>
    <xf numFmtId="0" fontId="39" fillId="0" borderId="151" xfId="0" applyFont="1" applyFill="1" applyBorder="1" applyAlignment="1">
      <alignment horizontal="center" vertical="center"/>
    </xf>
    <xf numFmtId="0" fontId="39" fillId="0" borderId="152" xfId="0" applyFont="1" applyFill="1" applyBorder="1" applyAlignment="1">
      <alignment horizontal="center" vertical="center"/>
    </xf>
    <xf numFmtId="0" fontId="39" fillId="0" borderId="153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center" vertical="center" wrapText="1"/>
    </xf>
    <xf numFmtId="0" fontId="3" fillId="0" borderId="99" xfId="0" applyFont="1" applyBorder="1" applyAlignment="1">
      <alignment horizontal="center" vertical="center"/>
    </xf>
    <xf numFmtId="49" fontId="10" fillId="0" borderId="154" xfId="0" applyNumberFormat="1" applyFont="1" applyFill="1" applyBorder="1" applyAlignment="1">
      <alignment horizontal="center" vertical="center"/>
    </xf>
    <xf numFmtId="49" fontId="10" fillId="0" borderId="152" xfId="0" applyNumberFormat="1" applyFont="1" applyFill="1" applyBorder="1" applyAlignment="1">
      <alignment horizontal="center" vertical="center"/>
    </xf>
    <xf numFmtId="49" fontId="10" fillId="0" borderId="155" xfId="0" applyNumberFormat="1" applyFont="1" applyFill="1" applyBorder="1" applyAlignment="1">
      <alignment horizontal="center" vertical="center"/>
    </xf>
    <xf numFmtId="0" fontId="71" fillId="0" borderId="34" xfId="0" applyFont="1" applyBorder="1" applyAlignment="1">
      <alignment horizontal="distributed" vertical="center"/>
    </xf>
    <xf numFmtId="0" fontId="71" fillId="0" borderId="30" xfId="0" applyFont="1" applyBorder="1" applyAlignment="1">
      <alignment horizontal="distributed" vertical="center"/>
    </xf>
    <xf numFmtId="0" fontId="71" fillId="0" borderId="28" xfId="0" applyFont="1" applyBorder="1" applyAlignment="1">
      <alignment horizontal="center" vertical="center"/>
    </xf>
    <xf numFmtId="0" fontId="71" fillId="0" borderId="23" xfId="0" applyFont="1" applyBorder="1" applyAlignment="1">
      <alignment horizontal="center" vertical="center"/>
    </xf>
    <xf numFmtId="0" fontId="71" fillId="0" borderId="29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1" fillId="0" borderId="28" xfId="0" applyFont="1" applyBorder="1" applyAlignment="1">
      <alignment horizontal="left" vertical="center"/>
    </xf>
    <xf numFmtId="0" fontId="71" fillId="0" borderId="23" xfId="0" applyFont="1" applyBorder="1" applyAlignment="1">
      <alignment horizontal="left" vertical="center"/>
    </xf>
    <xf numFmtId="0" fontId="71" fillId="0" borderId="22" xfId="0" applyFont="1" applyBorder="1" applyAlignment="1">
      <alignment horizontal="left" vertical="center"/>
    </xf>
    <xf numFmtId="0" fontId="71" fillId="0" borderId="1" xfId="0" applyFont="1" applyBorder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1" fillId="0" borderId="7" xfId="0" applyFont="1" applyBorder="1" applyAlignment="1">
      <alignment horizontal="left" vertical="center"/>
    </xf>
    <xf numFmtId="0" fontId="71" fillId="0" borderId="91" xfId="0" applyFont="1" applyBorder="1" applyAlignment="1">
      <alignment horizontal="distributed" vertical="center"/>
    </xf>
    <xf numFmtId="0" fontId="71" fillId="0" borderId="98" xfId="0" applyFont="1" applyBorder="1" applyAlignment="1">
      <alignment horizontal="distributed" vertical="center"/>
    </xf>
    <xf numFmtId="0" fontId="28" fillId="0" borderId="130" xfId="0" applyFont="1" applyBorder="1" applyAlignment="1">
      <alignment horizontal="center" wrapText="1"/>
    </xf>
    <xf numFmtId="0" fontId="28" fillId="0" borderId="131" xfId="0" applyFont="1" applyBorder="1" applyAlignment="1">
      <alignment horizontal="center" wrapText="1"/>
    </xf>
    <xf numFmtId="0" fontId="28" fillId="0" borderId="132" xfId="0" applyFont="1" applyBorder="1" applyAlignment="1">
      <alignment horizontal="center" wrapText="1"/>
    </xf>
    <xf numFmtId="0" fontId="28" fillId="0" borderId="133" xfId="0" applyFont="1" applyBorder="1" applyAlignment="1">
      <alignment horizontal="center" wrapText="1"/>
    </xf>
    <xf numFmtId="0" fontId="28" fillId="0" borderId="134" xfId="0" applyFont="1" applyBorder="1" applyAlignment="1">
      <alignment horizontal="center" wrapText="1"/>
    </xf>
    <xf numFmtId="0" fontId="28" fillId="0" borderId="135" xfId="0" applyFont="1" applyBorder="1" applyAlignment="1">
      <alignment horizontal="center" wrapText="1"/>
    </xf>
    <xf numFmtId="0" fontId="73" fillId="5" borderId="27" xfId="0" applyFont="1" applyFill="1" applyBorder="1" applyAlignment="1">
      <alignment horizontal="center" vertical="center" wrapText="1"/>
    </xf>
    <xf numFmtId="0" fontId="73" fillId="5" borderId="22" xfId="0" applyFont="1" applyFill="1" applyBorder="1" applyAlignment="1">
      <alignment horizontal="center" vertical="center" wrapText="1"/>
    </xf>
    <xf numFmtId="0" fontId="73" fillId="5" borderId="18" xfId="0" applyFont="1" applyFill="1" applyBorder="1" applyAlignment="1">
      <alignment horizontal="center" vertical="center" wrapText="1"/>
    </xf>
    <xf numFmtId="0" fontId="73" fillId="5" borderId="7" xfId="0" applyFont="1" applyFill="1" applyBorder="1" applyAlignment="1">
      <alignment horizontal="center" vertical="center" wrapText="1"/>
    </xf>
    <xf numFmtId="0" fontId="44" fillId="0" borderId="17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44" fillId="0" borderId="21" xfId="0" applyFont="1" applyFill="1" applyBorder="1" applyAlignment="1">
      <alignment horizontal="center" vertical="center" wrapText="1"/>
    </xf>
    <xf numFmtId="0" fontId="44" fillId="0" borderId="156" xfId="0" applyFont="1" applyFill="1" applyBorder="1" applyAlignment="1">
      <alignment horizontal="center" vertical="center" wrapText="1"/>
    </xf>
    <xf numFmtId="0" fontId="44" fillId="0" borderId="98" xfId="0" applyFont="1" applyFill="1" applyBorder="1" applyAlignment="1">
      <alignment horizontal="center" vertical="center" wrapText="1"/>
    </xf>
    <xf numFmtId="0" fontId="44" fillId="0" borderId="157" xfId="0" applyFont="1" applyFill="1" applyBorder="1" applyAlignment="1">
      <alignment horizontal="center" vertical="center" wrapText="1"/>
    </xf>
    <xf numFmtId="49" fontId="97" fillId="0" borderId="34" xfId="0" applyNumberFormat="1" applyFont="1" applyBorder="1" applyAlignment="1">
      <alignment horizontal="center" vertical="center" wrapText="1"/>
    </xf>
    <xf numFmtId="49" fontId="97" fillId="0" borderId="30" xfId="0" applyNumberFormat="1" applyFont="1" applyBorder="1" applyAlignment="1">
      <alignment horizontal="center" vertical="center" wrapText="1"/>
    </xf>
    <xf numFmtId="49" fontId="97" fillId="0" borderId="38" xfId="0" applyNumberFormat="1" applyFont="1" applyBorder="1" applyAlignment="1">
      <alignment horizontal="center" vertical="center" wrapText="1"/>
    </xf>
    <xf numFmtId="49" fontId="97" fillId="0" borderId="39" xfId="0" applyNumberFormat="1" applyFont="1" applyBorder="1" applyAlignment="1">
      <alignment horizontal="center" vertical="center" wrapText="1"/>
    </xf>
    <xf numFmtId="182" fontId="98" fillId="0" borderId="30" xfId="0" applyNumberFormat="1" applyFont="1" applyBorder="1" applyAlignment="1">
      <alignment horizontal="center" vertical="center"/>
    </xf>
    <xf numFmtId="182" fontId="98" fillId="0" borderId="35" xfId="0" applyNumberFormat="1" applyFont="1" applyBorder="1" applyAlignment="1">
      <alignment horizontal="center" vertical="center"/>
    </xf>
    <xf numFmtId="182" fontId="98" fillId="0" borderId="39" xfId="0" applyNumberFormat="1" applyFont="1" applyBorder="1" applyAlignment="1">
      <alignment horizontal="center" vertical="center"/>
    </xf>
    <xf numFmtId="182" fontId="98" fillId="0" borderId="40" xfId="0" applyNumberFormat="1" applyFont="1" applyBorder="1" applyAlignment="1">
      <alignment horizontal="center" vertical="center"/>
    </xf>
    <xf numFmtId="49" fontId="99" fillId="0" borderId="126" xfId="0" applyNumberFormat="1" applyFont="1" applyBorder="1" applyAlignment="1">
      <alignment horizontal="center" vertical="center" wrapText="1"/>
    </xf>
    <xf numFmtId="49" fontId="99" fillId="0" borderId="113" xfId="0" applyNumberFormat="1" applyFont="1" applyBorder="1" applyAlignment="1">
      <alignment horizontal="center" vertical="center" wrapText="1"/>
    </xf>
    <xf numFmtId="49" fontId="100" fillId="0" borderId="114" xfId="0" applyNumberFormat="1" applyFont="1" applyFill="1" applyBorder="1" applyAlignment="1">
      <alignment horizontal="center" vertical="center"/>
    </xf>
    <xf numFmtId="49" fontId="100" fillId="0" borderId="115" xfId="0" applyNumberFormat="1" applyFont="1" applyFill="1" applyBorder="1" applyAlignment="1">
      <alignment horizontal="center" vertical="center"/>
    </xf>
    <xf numFmtId="49" fontId="100" fillId="0" borderId="116" xfId="0" applyNumberFormat="1" applyFont="1" applyFill="1" applyBorder="1" applyAlignment="1">
      <alignment horizontal="center" vertical="center"/>
    </xf>
    <xf numFmtId="49" fontId="100" fillId="0" borderId="23" xfId="0" applyNumberFormat="1" applyFont="1" applyFill="1" applyBorder="1" applyAlignment="1">
      <alignment horizontal="center" vertical="center"/>
    </xf>
    <xf numFmtId="49" fontId="100" fillId="0" borderId="22" xfId="0" applyNumberFormat="1" applyFont="1" applyFill="1" applyBorder="1" applyAlignment="1">
      <alignment horizontal="center" vertical="center"/>
    </xf>
    <xf numFmtId="49" fontId="100" fillId="0" borderId="19" xfId="0" applyNumberFormat="1" applyFont="1" applyFill="1" applyBorder="1" applyAlignment="1">
      <alignment horizontal="center" vertical="center"/>
    </xf>
    <xf numFmtId="49" fontId="100" fillId="0" borderId="20" xfId="0" applyNumberFormat="1" applyFont="1" applyFill="1" applyBorder="1" applyAlignment="1">
      <alignment horizontal="center" vertical="center"/>
    </xf>
    <xf numFmtId="0" fontId="44" fillId="0" borderId="26" xfId="0" applyFont="1" applyFill="1" applyBorder="1" applyAlignment="1">
      <alignment horizontal="center" vertical="center" wrapText="1"/>
    </xf>
    <xf numFmtId="0" fontId="44" fillId="0" borderId="108" xfId="0" applyFont="1" applyFill="1" applyBorder="1" applyAlignment="1">
      <alignment horizontal="center" vertical="center" wrapText="1"/>
    </xf>
    <xf numFmtId="0" fontId="44" fillId="0" borderId="41" xfId="0" applyFont="1" applyFill="1" applyBorder="1" applyAlignment="1">
      <alignment horizontal="center" vertical="center" wrapText="1"/>
    </xf>
    <xf numFmtId="0" fontId="32" fillId="0" borderId="8" xfId="0" applyNumberFormat="1" applyFont="1" applyBorder="1" applyAlignment="1" applyProtection="1">
      <alignment horizontal="center"/>
    </xf>
    <xf numFmtId="0" fontId="84" fillId="0" borderId="8" xfId="0" applyNumberFormat="1" applyFont="1" applyBorder="1" applyAlignment="1">
      <alignment horizontal="center" vertical="center" wrapText="1"/>
    </xf>
    <xf numFmtId="0" fontId="86" fillId="0" borderId="8" xfId="0" applyNumberFormat="1" applyFont="1" applyBorder="1"/>
    <xf numFmtId="0" fontId="86" fillId="0" borderId="21" xfId="0" applyNumberFormat="1" applyFont="1" applyBorder="1"/>
    <xf numFmtId="178" fontId="3" fillId="0" borderId="22" xfId="0" applyNumberFormat="1" applyFont="1" applyBorder="1" applyAlignment="1">
      <alignment horizontal="center" vertical="center"/>
    </xf>
    <xf numFmtId="0" fontId="0" fillId="0" borderId="23" xfId="0" applyBorder="1"/>
    <xf numFmtId="0" fontId="0" fillId="0" borderId="22" xfId="0" applyBorder="1"/>
    <xf numFmtId="179" fontId="8" fillId="0" borderId="23" xfId="0" applyNumberFormat="1" applyFont="1" applyFill="1" applyBorder="1" applyAlignment="1">
      <alignment horizontal="center" vertical="center"/>
    </xf>
    <xf numFmtId="0" fontId="0" fillId="0" borderId="23" xfId="0" applyFill="1" applyBorder="1"/>
    <xf numFmtId="0" fontId="32" fillId="0" borderId="154" xfId="0" applyNumberFormat="1" applyFont="1" applyBorder="1" applyAlignment="1" applyProtection="1">
      <alignment horizontal="center" vertical="center"/>
      <protection locked="0"/>
    </xf>
    <xf numFmtId="0" fontId="35" fillId="0" borderId="152" xfId="0" applyFont="1" applyBorder="1" applyAlignment="1"/>
    <xf numFmtId="0" fontId="35" fillId="0" borderId="155" xfId="0" applyFont="1" applyBorder="1" applyAlignment="1"/>
    <xf numFmtId="49" fontId="30" fillId="0" borderId="98" xfId="0" applyNumberFormat="1" applyFont="1" applyBorder="1" applyAlignment="1">
      <alignment horizontal="center" vertical="center"/>
    </xf>
    <xf numFmtId="0" fontId="0" fillId="0" borderId="93" xfId="0" applyFont="1" applyBorder="1"/>
    <xf numFmtId="49" fontId="30" fillId="0" borderId="8" xfId="0" applyNumberFormat="1" applyFont="1" applyBorder="1" applyAlignment="1">
      <alignment horizontal="center" vertical="center"/>
    </xf>
    <xf numFmtId="0" fontId="0" fillId="0" borderId="153" xfId="0" applyFont="1" applyBorder="1"/>
    <xf numFmtId="49" fontId="8" fillId="0" borderId="103" xfId="0" applyNumberFormat="1" applyFont="1" applyBorder="1" applyAlignment="1">
      <alignment horizontal="center" vertical="center"/>
    </xf>
    <xf numFmtId="49" fontId="8" fillId="0" borderId="104" xfId="0" applyNumberFormat="1" applyFont="1" applyBorder="1" applyAlignment="1">
      <alignment horizontal="center" vertical="center"/>
    </xf>
    <xf numFmtId="49" fontId="7" fillId="0" borderId="24" xfId="0" applyNumberFormat="1" applyFont="1" applyBorder="1" applyAlignment="1">
      <alignment horizontal="center" vertical="center" wrapText="1"/>
    </xf>
    <xf numFmtId="0" fontId="0" fillId="0" borderId="4" xfId="0" applyBorder="1"/>
    <xf numFmtId="0" fontId="0" fillId="0" borderId="103" xfId="0" applyBorder="1"/>
    <xf numFmtId="0" fontId="35" fillId="0" borderId="153" xfId="0" applyFont="1" applyBorder="1" applyAlignment="1"/>
    <xf numFmtId="0" fontId="0" fillId="0" borderId="155" xfId="0" applyFont="1" applyBorder="1"/>
    <xf numFmtId="49" fontId="5" fillId="0" borderId="8" xfId="1" applyNumberFormat="1" applyFont="1" applyBorder="1" applyAlignment="1">
      <alignment horizontal="center" vertical="center" wrapText="1" shrinkToFit="1"/>
    </xf>
    <xf numFmtId="0" fontId="4" fillId="0" borderId="152" xfId="0" applyFont="1" applyBorder="1"/>
    <xf numFmtId="0" fontId="4" fillId="0" borderId="155" xfId="0" applyFont="1" applyBorder="1"/>
    <xf numFmtId="49" fontId="5" fillId="5" borderId="8" xfId="1" applyNumberFormat="1" applyFont="1" applyFill="1" applyBorder="1" applyAlignment="1">
      <alignment horizontal="center" vertical="center" wrapText="1" shrinkToFit="1"/>
    </xf>
    <xf numFmtId="49" fontId="5" fillId="0" borderId="154" xfId="0" applyNumberFormat="1" applyFont="1" applyBorder="1" applyAlignment="1">
      <alignment horizontal="center" vertical="center" wrapText="1" shrinkToFit="1"/>
    </xf>
    <xf numFmtId="49" fontId="5" fillId="0" borderId="152" xfId="0" applyNumberFormat="1" applyFont="1" applyBorder="1" applyAlignment="1">
      <alignment horizontal="center" vertical="center" wrapText="1" shrinkToFit="1"/>
    </xf>
    <xf numFmtId="49" fontId="5" fillId="0" borderId="155" xfId="0" applyNumberFormat="1" applyFont="1" applyBorder="1" applyAlignment="1">
      <alignment horizontal="center" vertical="center" wrapText="1" shrinkToFit="1"/>
    </xf>
    <xf numFmtId="49" fontId="3" fillId="0" borderId="8" xfId="1" applyNumberFormat="1" applyFont="1" applyBorder="1" applyAlignment="1">
      <alignment horizontal="distributed" vertical="center" shrinkToFit="1"/>
    </xf>
    <xf numFmtId="0" fontId="0" fillId="0" borderId="152" xfId="0" applyBorder="1"/>
    <xf numFmtId="0" fontId="0" fillId="0" borderId="155" xfId="0" applyBorder="1"/>
    <xf numFmtId="49" fontId="5" fillId="0" borderId="154" xfId="1" applyNumberFormat="1" applyFont="1" applyBorder="1" applyAlignment="1">
      <alignment horizontal="center" vertical="center" wrapText="1" shrinkToFit="1"/>
    </xf>
    <xf numFmtId="49" fontId="5" fillId="0" borderId="152" xfId="1" applyNumberFormat="1" applyFont="1" applyBorder="1" applyAlignment="1">
      <alignment horizontal="center" vertical="center" wrapText="1" shrinkToFit="1"/>
    </xf>
    <xf numFmtId="49" fontId="5" fillId="0" borderId="155" xfId="1" applyNumberFormat="1" applyFont="1" applyBorder="1" applyAlignment="1">
      <alignment horizontal="center" vertical="center" wrapText="1" shrinkToFit="1"/>
    </xf>
    <xf numFmtId="49" fontId="5" fillId="0" borderId="8" xfId="1" applyNumberFormat="1" applyFont="1" applyBorder="1" applyAlignment="1">
      <alignment horizontal="distributed" vertical="center"/>
    </xf>
    <xf numFmtId="0" fontId="32" fillId="0" borderId="8" xfId="0" applyNumberFormat="1" applyFont="1" applyBorder="1" applyAlignment="1">
      <alignment horizontal="center" vertical="center" wrapText="1"/>
    </xf>
    <xf numFmtId="0" fontId="35" fillId="0" borderId="152" xfId="0" applyNumberFormat="1" applyFont="1" applyBorder="1"/>
    <xf numFmtId="0" fontId="35" fillId="0" borderId="155" xfId="0" applyNumberFormat="1" applyFont="1" applyBorder="1"/>
    <xf numFmtId="0" fontId="32" fillId="0" borderId="154" xfId="0" applyNumberFormat="1" applyFont="1" applyBorder="1" applyAlignment="1">
      <alignment horizontal="center" vertical="center" wrapText="1"/>
    </xf>
    <xf numFmtId="0" fontId="32" fillId="0" borderId="152" xfId="0" applyNumberFormat="1" applyFont="1" applyBorder="1" applyAlignment="1">
      <alignment horizontal="center" vertical="center" wrapText="1"/>
    </xf>
    <xf numFmtId="0" fontId="32" fillId="0" borderId="155" xfId="0" applyNumberFormat="1" applyFont="1" applyBorder="1" applyAlignment="1">
      <alignment horizontal="center" vertical="center" wrapText="1"/>
    </xf>
    <xf numFmtId="49" fontId="32" fillId="0" borderId="8" xfId="0" applyNumberFormat="1" applyFont="1" applyBorder="1" applyAlignment="1">
      <alignment horizontal="left" vertical="center"/>
    </xf>
    <xf numFmtId="0" fontId="35" fillId="0" borderId="152" xfId="0" applyFont="1" applyBorder="1" applyAlignment="1">
      <alignment horizontal="left" vertical="center"/>
    </xf>
    <xf numFmtId="0" fontId="35" fillId="0" borderId="155" xfId="0" applyFont="1" applyBorder="1" applyAlignment="1">
      <alignment horizontal="left" vertical="center"/>
    </xf>
    <xf numFmtId="0" fontId="32" fillId="0" borderId="21" xfId="0" applyFont="1" applyBorder="1" applyAlignment="1">
      <alignment horizontal="center" vertical="center"/>
    </xf>
    <xf numFmtId="0" fontId="35" fillId="0" borderId="152" xfId="0" applyFont="1" applyBorder="1"/>
    <xf numFmtId="0" fontId="35" fillId="0" borderId="153" xfId="0" applyFont="1" applyBorder="1"/>
    <xf numFmtId="0" fontId="86" fillId="0" borderId="8" xfId="0" applyNumberFormat="1" applyFont="1" applyBorder="1" applyAlignment="1">
      <alignment wrapText="1"/>
    </xf>
    <xf numFmtId="0" fontId="86" fillId="0" borderId="21" xfId="0" applyNumberFormat="1" applyFont="1" applyBorder="1" applyAlignment="1">
      <alignment wrapText="1"/>
    </xf>
    <xf numFmtId="180" fontId="32" fillId="0" borderId="8" xfId="0" applyNumberFormat="1" applyFont="1" applyBorder="1" applyAlignment="1" applyProtection="1">
      <alignment horizontal="center" vertical="center"/>
    </xf>
    <xf numFmtId="180" fontId="35" fillId="0" borderId="152" xfId="0" applyNumberFormat="1" applyFont="1" applyBorder="1" applyProtection="1"/>
    <xf numFmtId="180" fontId="35" fillId="0" borderId="153" xfId="0" applyNumberFormat="1" applyFont="1" applyBorder="1" applyProtection="1"/>
    <xf numFmtId="180" fontId="35" fillId="0" borderId="155" xfId="0" applyNumberFormat="1" applyFont="1" applyBorder="1" applyProtection="1"/>
    <xf numFmtId="0" fontId="32" fillId="0" borderId="153" xfId="0" applyNumberFormat="1" applyFont="1" applyBorder="1" applyAlignment="1">
      <alignment horizontal="center" vertical="center" wrapText="1"/>
    </xf>
    <xf numFmtId="0" fontId="32" fillId="0" borderId="8" xfId="0" applyNumberFormat="1" applyFont="1" applyFill="1" applyBorder="1" applyAlignment="1">
      <alignment horizontal="left" vertical="center" wrapText="1"/>
    </xf>
    <xf numFmtId="0" fontId="35" fillId="0" borderId="152" xfId="0" applyNumberFormat="1" applyFont="1" applyFill="1" applyBorder="1"/>
    <xf numFmtId="0" fontId="35" fillId="0" borderId="155" xfId="0" applyNumberFormat="1" applyFont="1" applyFill="1" applyBorder="1"/>
    <xf numFmtId="0" fontId="35" fillId="0" borderId="153" xfId="0" applyNumberFormat="1" applyFont="1" applyBorder="1"/>
    <xf numFmtId="49" fontId="31" fillId="0" borderId="8" xfId="0" applyNumberFormat="1" applyFont="1" applyBorder="1" applyAlignment="1">
      <alignment horizontal="center" vertical="center" shrinkToFit="1"/>
    </xf>
    <xf numFmtId="49" fontId="5" fillId="0" borderId="8" xfId="0" applyNumberFormat="1" applyFont="1" applyBorder="1" applyAlignment="1">
      <alignment horizontal="center" vertical="center" wrapText="1" shrinkToFit="1"/>
    </xf>
    <xf numFmtId="49" fontId="5" fillId="0" borderId="153" xfId="1" applyNumberFormat="1" applyFont="1" applyBorder="1" applyAlignment="1">
      <alignment horizontal="center" vertical="center" wrapText="1" shrinkToFit="1"/>
    </xf>
    <xf numFmtId="49" fontId="5" fillId="0" borderId="21" xfId="1" applyNumberFormat="1" applyFont="1" applyBorder="1" applyAlignment="1">
      <alignment horizontal="center" vertical="center" wrapText="1" shrinkToFit="1"/>
    </xf>
    <xf numFmtId="0" fontId="4" fillId="0" borderId="153" xfId="0" applyFont="1" applyBorder="1"/>
    <xf numFmtId="49" fontId="6" fillId="0" borderId="151" xfId="0" applyNumberFormat="1" applyFont="1" applyBorder="1" applyAlignment="1">
      <alignment horizontal="center" vertical="center"/>
    </xf>
    <xf numFmtId="49" fontId="6" fillId="0" borderId="152" xfId="0" applyNumberFormat="1" applyFont="1" applyBorder="1" applyAlignment="1">
      <alignment horizontal="center" vertical="center"/>
    </xf>
    <xf numFmtId="49" fontId="6" fillId="0" borderId="153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distributed" vertical="center"/>
    </xf>
    <xf numFmtId="0" fontId="0" fillId="0" borderId="25" xfId="0" applyBorder="1"/>
    <xf numFmtId="0" fontId="0" fillId="0" borderId="26" xfId="0" applyBorder="1"/>
    <xf numFmtId="49" fontId="3" fillId="0" borderId="8" xfId="1" applyNumberFormat="1" applyFont="1" applyBorder="1" applyAlignment="1">
      <alignment horizontal="distributed" vertical="center" wrapText="1" shrinkToFit="1"/>
    </xf>
    <xf numFmtId="49" fontId="3" fillId="0" borderId="154" xfId="1" applyNumberFormat="1" applyFont="1" applyBorder="1" applyAlignment="1">
      <alignment horizontal="distributed" vertical="center" shrinkToFit="1"/>
    </xf>
    <xf numFmtId="49" fontId="32" fillId="0" borderId="157" xfId="0" applyNumberFormat="1" applyFont="1" applyBorder="1" applyAlignment="1">
      <alignment horizontal="distributed" vertical="center" shrinkToFit="1"/>
    </xf>
    <xf numFmtId="0" fontId="0" fillId="0" borderId="92" xfId="0" applyBorder="1"/>
    <xf numFmtId="0" fontId="0" fillId="0" borderId="95" xfId="0" applyBorder="1"/>
    <xf numFmtId="0" fontId="0" fillId="0" borderId="1" xfId="0" applyBorder="1"/>
    <xf numFmtId="49" fontId="5" fillId="0" borderId="0" xfId="0" applyNumberFormat="1" applyFont="1" applyBorder="1" applyAlignment="1">
      <alignment horizontal="distributed" vertical="center"/>
    </xf>
    <xf numFmtId="0" fontId="0" fillId="0" borderId="7" xfId="0" applyBorder="1"/>
    <xf numFmtId="49" fontId="5" fillId="0" borderId="0" xfId="0" applyNumberFormat="1" applyFont="1" applyBorder="1" applyAlignment="1">
      <alignment horizontal="distributed" vertical="center" shrinkToFit="1"/>
    </xf>
    <xf numFmtId="0" fontId="82" fillId="0" borderId="154" xfId="1" applyNumberFormat="1" applyFont="1" applyBorder="1" applyAlignment="1">
      <alignment horizontal="center" vertical="center" wrapText="1" shrinkToFit="1"/>
    </xf>
    <xf numFmtId="0" fontId="82" fillId="0" borderId="152" xfId="1" applyNumberFormat="1" applyFont="1" applyBorder="1" applyAlignment="1">
      <alignment horizontal="center" vertical="center" wrapText="1" shrinkToFit="1"/>
    </xf>
    <xf numFmtId="0" fontId="82" fillId="0" borderId="153" xfId="1" applyNumberFormat="1" applyFont="1" applyBorder="1" applyAlignment="1">
      <alignment horizontal="center" vertical="center" wrapText="1" shrinkToFit="1"/>
    </xf>
    <xf numFmtId="0" fontId="82" fillId="0" borderId="154" xfId="0" applyNumberFormat="1" applyFont="1" applyBorder="1" applyAlignment="1">
      <alignment horizontal="center" vertical="center" wrapText="1"/>
    </xf>
    <xf numFmtId="0" fontId="82" fillId="0" borderId="152" xfId="0" applyNumberFormat="1" applyFont="1" applyBorder="1" applyAlignment="1">
      <alignment horizontal="center" vertical="center" wrapText="1"/>
    </xf>
    <xf numFmtId="0" fontId="82" fillId="0" borderId="155" xfId="0" applyNumberFormat="1" applyFont="1" applyBorder="1" applyAlignment="1">
      <alignment horizontal="center" vertical="center" wrapText="1"/>
    </xf>
    <xf numFmtId="0" fontId="82" fillId="0" borderId="155" xfId="1" applyNumberFormat="1" applyFont="1" applyBorder="1" applyAlignment="1">
      <alignment horizontal="center" vertical="center" wrapText="1" shrinkToFit="1"/>
    </xf>
    <xf numFmtId="0" fontId="32" fillId="0" borderId="8" xfId="0" applyNumberFormat="1" applyFont="1" applyBorder="1" applyAlignment="1">
      <alignment horizontal="left" vertical="center" wrapText="1"/>
    </xf>
    <xf numFmtId="0" fontId="35" fillId="0" borderId="152" xfId="0" applyNumberFormat="1" applyFont="1" applyBorder="1" applyAlignment="1">
      <alignment horizontal="left"/>
    </xf>
    <xf numFmtId="0" fontId="35" fillId="0" borderId="155" xfId="0" applyNumberFormat="1" applyFont="1" applyBorder="1" applyAlignment="1">
      <alignment horizontal="left"/>
    </xf>
    <xf numFmtId="0" fontId="32" fillId="0" borderId="154" xfId="0" applyNumberFormat="1" applyFont="1" applyBorder="1" applyAlignment="1" applyProtection="1">
      <alignment horizontal="left" vertical="center" wrapText="1"/>
    </xf>
    <xf numFmtId="0" fontId="35" fillId="0" borderId="152" xfId="0" applyNumberFormat="1" applyFont="1" applyBorder="1" applyAlignment="1"/>
    <xf numFmtId="0" fontId="35" fillId="0" borderId="155" xfId="0" applyNumberFormat="1" applyFont="1" applyBorder="1" applyAlignment="1"/>
    <xf numFmtId="0" fontId="82" fillId="0" borderId="8" xfId="1" applyNumberFormat="1" applyFont="1" applyBorder="1" applyAlignment="1">
      <alignment horizontal="center" vertical="center" wrapText="1" shrinkToFit="1"/>
    </xf>
    <xf numFmtId="0" fontId="83" fillId="0" borderId="152" xfId="0" applyNumberFormat="1" applyFont="1" applyBorder="1"/>
    <xf numFmtId="0" fontId="83" fillId="0" borderId="155" xfId="0" applyNumberFormat="1" applyFont="1" applyBorder="1"/>
    <xf numFmtId="49" fontId="5" fillId="5" borderId="154" xfId="1" applyNumberFormat="1" applyFont="1" applyFill="1" applyBorder="1" applyAlignment="1">
      <alignment horizontal="center" vertical="center" wrapText="1" shrinkToFit="1"/>
    </xf>
    <xf numFmtId="49" fontId="5" fillId="5" borderId="152" xfId="1" applyNumberFormat="1" applyFont="1" applyFill="1" applyBorder="1" applyAlignment="1">
      <alignment horizontal="center" vertical="center" wrapText="1" shrinkToFit="1"/>
    </xf>
    <xf numFmtId="49" fontId="5" fillId="5" borderId="155" xfId="1" applyNumberFormat="1" applyFont="1" applyFill="1" applyBorder="1" applyAlignment="1">
      <alignment horizontal="center" vertical="center" wrapText="1" shrinkToFit="1"/>
    </xf>
    <xf numFmtId="0" fontId="82" fillId="0" borderId="154" xfId="0" applyNumberFormat="1" applyFont="1" applyBorder="1" applyAlignment="1">
      <alignment horizontal="center" vertical="center" shrinkToFit="1"/>
    </xf>
    <xf numFmtId="0" fontId="82" fillId="0" borderId="152" xfId="0" applyNumberFormat="1" applyFont="1" applyBorder="1" applyAlignment="1">
      <alignment horizontal="center" vertical="center" shrinkToFit="1"/>
    </xf>
    <xf numFmtId="0" fontId="82" fillId="0" borderId="155" xfId="0" applyNumberFormat="1" applyFont="1" applyBorder="1" applyAlignment="1">
      <alignment horizontal="center" vertical="center" shrinkToFit="1"/>
    </xf>
    <xf numFmtId="49" fontId="6" fillId="0" borderId="154" xfId="0" applyNumberFormat="1" applyFont="1" applyBorder="1" applyAlignment="1">
      <alignment horizontal="center" vertical="center" shrinkToFit="1"/>
    </xf>
    <xf numFmtId="49" fontId="6" fillId="0" borderId="152" xfId="0" applyNumberFormat="1" applyFont="1" applyBorder="1" applyAlignment="1">
      <alignment horizontal="center" vertical="center" shrinkToFit="1"/>
    </xf>
    <xf numFmtId="49" fontId="6" fillId="0" borderId="153" xfId="0" applyNumberFormat="1" applyFont="1" applyBorder="1" applyAlignment="1">
      <alignment horizontal="center" vertical="center" shrinkToFit="1"/>
    </xf>
    <xf numFmtId="49" fontId="6" fillId="0" borderId="8" xfId="0" applyNumberFormat="1" applyFont="1" applyBorder="1" applyAlignment="1">
      <alignment horizontal="center" vertical="center" shrinkToFit="1"/>
    </xf>
    <xf numFmtId="0" fontId="82" fillId="0" borderId="8" xfId="0" applyNumberFormat="1" applyFont="1" applyBorder="1" applyAlignment="1">
      <alignment horizontal="center" vertical="center" wrapText="1" shrinkToFit="1"/>
    </xf>
    <xf numFmtId="0" fontId="4" fillId="0" borderId="92" xfId="0" applyFont="1" applyBorder="1"/>
    <xf numFmtId="0" fontId="4" fillId="0" borderId="93" xfId="0" applyFont="1" applyBorder="1"/>
    <xf numFmtId="0" fontId="4" fillId="0" borderId="109" xfId="0" applyFont="1" applyBorder="1"/>
    <xf numFmtId="0" fontId="4" fillId="0" borderId="103" xfId="0" applyFont="1" applyBorder="1"/>
    <xf numFmtId="0" fontId="4" fillId="0" borderId="101" xfId="0" applyFont="1" applyBorder="1"/>
    <xf numFmtId="0" fontId="84" fillId="0" borderId="154" xfId="1" applyNumberFormat="1" applyFont="1" applyBorder="1" applyAlignment="1">
      <alignment horizontal="center" vertical="center" wrapText="1" shrinkToFit="1"/>
    </xf>
    <xf numFmtId="0" fontId="35" fillId="0" borderId="152" xfId="0" applyNumberFormat="1" applyFont="1" applyBorder="1" applyAlignment="1">
      <alignment horizontal="center" vertical="center"/>
    </xf>
    <xf numFmtId="0" fontId="35" fillId="0" borderId="155" xfId="0" applyNumberFormat="1" applyFont="1" applyBorder="1" applyAlignment="1">
      <alignment horizontal="center" vertical="center"/>
    </xf>
    <xf numFmtId="49" fontId="5" fillId="0" borderId="94" xfId="0" applyNumberFormat="1" applyFont="1" applyBorder="1" applyAlignment="1">
      <alignment horizontal="center" vertical="center" wrapText="1"/>
    </xf>
    <xf numFmtId="0" fontId="4" fillId="0" borderId="92" xfId="0" applyFont="1" applyBorder="1" applyAlignment="1">
      <alignment horizontal="center" wrapText="1"/>
    </xf>
    <xf numFmtId="0" fontId="4" fillId="0" borderId="93" xfId="0" applyFont="1" applyBorder="1" applyAlignment="1">
      <alignment horizontal="center" wrapText="1"/>
    </xf>
    <xf numFmtId="0" fontId="82" fillId="0" borderId="94" xfId="0" applyFont="1" applyBorder="1" applyAlignment="1">
      <alignment horizontal="center" vertical="center" wrapText="1" shrinkToFit="1"/>
    </xf>
    <xf numFmtId="0" fontId="83" fillId="0" borderId="92" xfId="0" applyFont="1" applyBorder="1" applyAlignment="1">
      <alignment horizontal="center"/>
    </xf>
    <xf numFmtId="0" fontId="83" fillId="0" borderId="93" xfId="0" applyFont="1" applyBorder="1" applyAlignment="1">
      <alignment horizontal="center"/>
    </xf>
    <xf numFmtId="0" fontId="82" fillId="5" borderId="21" xfId="1" applyNumberFormat="1" applyFont="1" applyFill="1" applyBorder="1" applyAlignment="1">
      <alignment horizontal="center" vertical="center" wrapText="1" shrinkToFit="1"/>
    </xf>
    <xf numFmtId="0" fontId="83" fillId="0" borderId="153" xfId="0" applyNumberFormat="1" applyFont="1" applyBorder="1"/>
    <xf numFmtId="0" fontId="82" fillId="0" borderId="8" xfId="0" applyNumberFormat="1" applyFont="1" applyBorder="1" applyAlignment="1">
      <alignment horizontal="center" vertical="center" wrapText="1"/>
    </xf>
    <xf numFmtId="180" fontId="32" fillId="0" borderId="8" xfId="1" applyNumberFormat="1" applyFont="1" applyFill="1" applyBorder="1" applyAlignment="1">
      <alignment horizontal="left" vertical="center" shrinkToFit="1"/>
    </xf>
    <xf numFmtId="180" fontId="35" fillId="0" borderId="152" xfId="0" applyNumberFormat="1" applyFont="1" applyFill="1" applyBorder="1"/>
    <xf numFmtId="180" fontId="35" fillId="0" borderId="155" xfId="0" applyNumberFormat="1" applyFont="1" applyFill="1" applyBorder="1"/>
    <xf numFmtId="49" fontId="5" fillId="0" borderId="94" xfId="0" applyNumberFormat="1" applyFont="1" applyBorder="1" applyAlignment="1">
      <alignment horizontal="center" vertical="center" wrapText="1" shrinkToFit="1"/>
    </xf>
    <xf numFmtId="49" fontId="5" fillId="0" borderId="92" xfId="0" applyNumberFormat="1" applyFont="1" applyBorder="1" applyAlignment="1">
      <alignment horizontal="center" vertical="center" wrapText="1" shrinkToFit="1"/>
    </xf>
    <xf numFmtId="49" fontId="5" fillId="0" borderId="93" xfId="0" applyNumberFormat="1" applyFont="1" applyBorder="1" applyAlignment="1">
      <alignment horizontal="center" vertical="center" wrapText="1" shrinkToFit="1"/>
    </xf>
    <xf numFmtId="0" fontId="4" fillId="0" borderId="109" xfId="0" applyFont="1" applyBorder="1" applyAlignment="1">
      <alignment horizontal="center"/>
    </xf>
    <xf numFmtId="0" fontId="4" fillId="0" borderId="103" xfId="0" applyFont="1" applyBorder="1" applyAlignment="1">
      <alignment horizontal="center"/>
    </xf>
    <xf numFmtId="0" fontId="4" fillId="0" borderId="101" xfId="0" applyFont="1" applyBorder="1" applyAlignment="1">
      <alignment horizontal="center"/>
    </xf>
    <xf numFmtId="49" fontId="6" fillId="0" borderId="151" xfId="0" applyNumberFormat="1" applyFont="1" applyBorder="1" applyAlignment="1">
      <alignment horizontal="center" vertical="center" shrinkToFit="1"/>
    </xf>
    <xf numFmtId="49" fontId="6" fillId="0" borderId="155" xfId="0" applyNumberFormat="1" applyFont="1" applyBorder="1" applyAlignment="1">
      <alignment horizontal="center" vertical="center" shrinkToFit="1"/>
    </xf>
    <xf numFmtId="0" fontId="82" fillId="5" borderId="8" xfId="1" applyNumberFormat="1" applyFont="1" applyFill="1" applyBorder="1" applyAlignment="1">
      <alignment horizontal="center" vertical="center" wrapText="1" shrinkToFit="1"/>
    </xf>
    <xf numFmtId="0" fontId="6" fillId="0" borderId="17" xfId="0" applyFont="1" applyBorder="1" applyAlignment="1">
      <alignment horizontal="center" vertical="center" shrinkToFit="1"/>
    </xf>
    <xf numFmtId="49" fontId="3" fillId="0" borderId="17" xfId="0" applyNumberFormat="1" applyFont="1" applyBorder="1" applyAlignment="1">
      <alignment horizontal="center" vertical="center" shrinkToFit="1"/>
    </xf>
    <xf numFmtId="0" fontId="84" fillId="0" borderId="94" xfId="0" applyNumberFormat="1" applyFont="1" applyFill="1" applyBorder="1" applyAlignment="1">
      <alignment horizontal="center" vertical="center"/>
    </xf>
    <xf numFmtId="0" fontId="35" fillId="0" borderId="92" xfId="0" applyNumberFormat="1" applyFont="1" applyBorder="1" applyAlignment="1">
      <alignment horizontal="center" vertical="center"/>
    </xf>
    <xf numFmtId="0" fontId="35" fillId="0" borderId="93" xfId="0" applyNumberFormat="1" applyFont="1" applyBorder="1" applyAlignment="1">
      <alignment horizontal="center" vertical="center"/>
    </xf>
    <xf numFmtId="0" fontId="35" fillId="0" borderId="109" xfId="0" applyNumberFormat="1" applyFont="1" applyBorder="1" applyAlignment="1">
      <alignment horizontal="center" vertical="center"/>
    </xf>
    <xf numFmtId="0" fontId="35" fillId="0" borderId="103" xfId="0" applyNumberFormat="1" applyFont="1" applyBorder="1" applyAlignment="1">
      <alignment horizontal="center" vertical="center"/>
    </xf>
    <xf numFmtId="0" fontId="35" fillId="0" borderId="101" xfId="0" applyNumberFormat="1" applyFont="1" applyBorder="1" applyAlignment="1">
      <alignment horizontal="center" vertical="center"/>
    </xf>
    <xf numFmtId="0" fontId="82" fillId="0" borderId="8" xfId="0" applyNumberFormat="1" applyFont="1" applyBorder="1" applyAlignment="1">
      <alignment horizontal="center" vertical="center" shrinkToFit="1"/>
    </xf>
    <xf numFmtId="0" fontId="82" fillId="0" borderId="8" xfId="0" applyNumberFormat="1" applyFont="1" applyFill="1" applyBorder="1" applyAlignment="1">
      <alignment horizontal="center" vertical="center" wrapText="1" shrinkToFit="1"/>
    </xf>
    <xf numFmtId="0" fontId="83" fillId="0" borderId="92" xfId="0" applyNumberFormat="1" applyFont="1" applyFill="1" applyBorder="1"/>
    <xf numFmtId="0" fontId="83" fillId="0" borderId="93" xfId="0" applyNumberFormat="1" applyFont="1" applyFill="1" applyBorder="1"/>
    <xf numFmtId="0" fontId="83" fillId="0" borderId="109" xfId="0" applyNumberFormat="1" applyFont="1" applyFill="1" applyBorder="1"/>
    <xf numFmtId="0" fontId="83" fillId="0" borderId="103" xfId="0" applyNumberFormat="1" applyFont="1" applyFill="1" applyBorder="1"/>
    <xf numFmtId="0" fontId="83" fillId="0" borderId="101" xfId="0" applyNumberFormat="1" applyFont="1" applyFill="1" applyBorder="1"/>
    <xf numFmtId="180" fontId="32" fillId="0" borderId="8" xfId="0" applyNumberFormat="1" applyFont="1" applyBorder="1" applyAlignment="1">
      <alignment horizontal="left" vertical="center" shrinkToFit="1"/>
    </xf>
    <xf numFmtId="180" fontId="35" fillId="0" borderId="152" xfId="0" applyNumberFormat="1" applyFont="1" applyBorder="1"/>
    <xf numFmtId="180" fontId="35" fillId="0" borderId="155" xfId="0" applyNumberFormat="1" applyFont="1" applyBorder="1"/>
    <xf numFmtId="0" fontId="82" fillId="0" borderId="154" xfId="0" applyFont="1" applyBorder="1" applyAlignment="1">
      <alignment horizontal="center" vertical="center" wrapText="1" shrinkToFit="1"/>
    </xf>
    <xf numFmtId="0" fontId="82" fillId="0" borderId="152" xfId="0" applyFont="1" applyBorder="1" applyAlignment="1">
      <alignment horizontal="center" vertical="center" wrapText="1" shrinkToFit="1"/>
    </xf>
    <xf numFmtId="0" fontId="82" fillId="0" borderId="155" xfId="0" applyFont="1" applyBorder="1" applyAlignment="1">
      <alignment horizontal="center" vertical="center" wrapText="1" shrinkToFit="1"/>
    </xf>
    <xf numFmtId="0" fontId="5" fillId="0" borderId="94" xfId="0" applyFont="1" applyBorder="1" applyAlignment="1">
      <alignment horizontal="center" vertical="center" wrapText="1"/>
    </xf>
    <xf numFmtId="0" fontId="4" fillId="0" borderId="92" xfId="0" applyFont="1" applyBorder="1" applyAlignment="1">
      <alignment horizontal="center"/>
    </xf>
    <xf numFmtId="0" fontId="4" fillId="0" borderId="93" xfId="0" applyFont="1" applyBorder="1" applyAlignment="1">
      <alignment horizontal="center"/>
    </xf>
    <xf numFmtId="0" fontId="82" fillId="0" borderId="94" xfId="0" applyNumberFormat="1" applyFont="1" applyFill="1" applyBorder="1" applyAlignment="1">
      <alignment horizontal="center" vertical="center" wrapText="1" shrinkToFit="1"/>
    </xf>
    <xf numFmtId="0" fontId="82" fillId="0" borderId="92" xfId="0" applyNumberFormat="1" applyFont="1" applyFill="1" applyBorder="1" applyAlignment="1">
      <alignment horizontal="center" vertical="center" wrapText="1" shrinkToFit="1"/>
    </xf>
    <xf numFmtId="0" fontId="82" fillId="0" borderId="93" xfId="0" applyNumberFormat="1" applyFont="1" applyFill="1" applyBorder="1" applyAlignment="1">
      <alignment horizontal="center" vertical="center" wrapText="1" shrinkToFit="1"/>
    </xf>
    <xf numFmtId="0" fontId="83" fillId="0" borderId="109" xfId="0" applyFont="1" applyBorder="1" applyAlignment="1">
      <alignment horizontal="center"/>
    </xf>
    <xf numFmtId="0" fontId="83" fillId="0" borderId="103" xfId="0" applyFont="1" applyBorder="1" applyAlignment="1">
      <alignment horizontal="center"/>
    </xf>
    <xf numFmtId="0" fontId="83" fillId="0" borderId="101" xfId="0" applyFont="1" applyBorder="1" applyAlignment="1">
      <alignment horizontal="center"/>
    </xf>
    <xf numFmtId="177" fontId="82" fillId="0" borderId="8" xfId="1" applyNumberFormat="1" applyFont="1" applyFill="1" applyBorder="1" applyAlignment="1">
      <alignment horizontal="distributed" vertical="center"/>
    </xf>
    <xf numFmtId="177" fontId="35" fillId="0" borderId="152" xfId="0" applyNumberFormat="1" applyFont="1" applyFill="1" applyBorder="1"/>
    <xf numFmtId="177" fontId="35" fillId="0" borderId="155" xfId="0" applyNumberFormat="1" applyFont="1" applyFill="1" applyBorder="1"/>
    <xf numFmtId="176" fontId="82" fillId="0" borderId="8" xfId="1" applyNumberFormat="1" applyFont="1" applyFill="1" applyBorder="1" applyAlignment="1">
      <alignment horizontal="distributed" vertical="center"/>
    </xf>
    <xf numFmtId="0" fontId="35" fillId="0" borderId="152" xfId="0" applyFont="1" applyFill="1" applyBorder="1"/>
    <xf numFmtId="0" fontId="35" fillId="0" borderId="155" xfId="0" applyFont="1" applyFill="1" applyBorder="1"/>
    <xf numFmtId="49" fontId="3" fillId="0" borderId="154" xfId="0" applyNumberFormat="1" applyFont="1" applyBorder="1" applyAlignment="1">
      <alignment horizontal="distributed" vertical="center"/>
    </xf>
    <xf numFmtId="49" fontId="3" fillId="0" borderId="152" xfId="0" applyNumberFormat="1" applyFont="1" applyBorder="1" applyAlignment="1">
      <alignment horizontal="distributed" vertical="center"/>
    </xf>
    <xf numFmtId="49" fontId="3" fillId="0" borderId="153" xfId="0" applyNumberFormat="1" applyFont="1" applyBorder="1" applyAlignment="1">
      <alignment horizontal="distributed" vertical="center"/>
    </xf>
    <xf numFmtId="49" fontId="3" fillId="0" borderId="8" xfId="0" applyNumberFormat="1" applyFont="1" applyBorder="1" applyAlignment="1">
      <alignment horizontal="distributed" vertical="center"/>
    </xf>
    <xf numFmtId="49" fontId="3" fillId="0" borderId="151" xfId="0" applyNumberFormat="1" applyFont="1" applyBorder="1" applyAlignment="1">
      <alignment horizontal="distributed" vertical="center"/>
    </xf>
    <xf numFmtId="49" fontId="3" fillId="0" borderId="155" xfId="0" applyNumberFormat="1" applyFont="1" applyBorder="1" applyAlignment="1">
      <alignment horizontal="distributed" vertical="center"/>
    </xf>
    <xf numFmtId="180" fontId="32" fillId="0" borderId="154" xfId="0" applyNumberFormat="1" applyFont="1" applyBorder="1" applyAlignment="1">
      <alignment horizontal="left" vertical="center" shrinkToFit="1"/>
    </xf>
    <xf numFmtId="180" fontId="32" fillId="0" borderId="152" xfId="0" applyNumberFormat="1" applyFont="1" applyBorder="1" applyAlignment="1">
      <alignment horizontal="left" vertical="center" shrinkToFit="1"/>
    </xf>
    <xf numFmtId="180" fontId="32" fillId="0" borderId="155" xfId="0" applyNumberFormat="1" applyFont="1" applyBorder="1" applyAlignment="1">
      <alignment horizontal="left" vertical="center" shrinkToFit="1"/>
    </xf>
    <xf numFmtId="177" fontId="32" fillId="0" borderId="94" xfId="0" applyNumberFormat="1" applyFont="1" applyBorder="1" applyAlignment="1">
      <alignment horizontal="center" vertical="center" wrapText="1" shrinkToFit="1"/>
    </xf>
    <xf numFmtId="177" fontId="32" fillId="0" borderId="92" xfId="0" applyNumberFormat="1" applyFont="1" applyBorder="1" applyAlignment="1">
      <alignment horizontal="center" vertical="center" wrapText="1" shrinkToFit="1"/>
    </xf>
    <xf numFmtId="177" fontId="32" fillId="0" borderId="95" xfId="0" applyNumberFormat="1" applyFont="1" applyBorder="1" applyAlignment="1">
      <alignment horizontal="center" vertical="center" wrapText="1" shrinkToFit="1"/>
    </xf>
    <xf numFmtId="177" fontId="32" fillId="0" borderId="1" xfId="0" applyNumberFormat="1" applyFont="1" applyBorder="1" applyAlignment="1">
      <alignment horizontal="center" vertical="center" wrapText="1" shrinkToFit="1"/>
    </xf>
    <xf numFmtId="177" fontId="32" fillId="0" borderId="0" xfId="0" applyNumberFormat="1" applyFont="1" applyBorder="1" applyAlignment="1">
      <alignment horizontal="center" vertical="center" wrapText="1" shrinkToFit="1"/>
    </xf>
    <xf numFmtId="177" fontId="32" fillId="0" borderId="7" xfId="0" applyNumberFormat="1" applyFont="1" applyBorder="1" applyAlignment="1">
      <alignment horizontal="center" vertical="center" wrapText="1" shrinkToFit="1"/>
    </xf>
    <xf numFmtId="177" fontId="32" fillId="0" borderId="109" xfId="0" applyNumberFormat="1" applyFont="1" applyBorder="1" applyAlignment="1">
      <alignment horizontal="center" vertical="center" wrapText="1" shrinkToFit="1"/>
    </xf>
    <xf numFmtId="177" fontId="32" fillId="0" borderId="103" xfId="0" applyNumberFormat="1" applyFont="1" applyBorder="1" applyAlignment="1">
      <alignment horizontal="center" vertical="center" wrapText="1" shrinkToFit="1"/>
    </xf>
    <xf numFmtId="177" fontId="32" fillId="0" borderId="104" xfId="0" applyNumberFormat="1" applyFont="1" applyBorder="1" applyAlignment="1">
      <alignment horizontal="center" vertical="center" wrapText="1" shrinkToFit="1"/>
    </xf>
    <xf numFmtId="176" fontId="82" fillId="0" borderId="154" xfId="1" applyNumberFormat="1" applyFont="1" applyBorder="1" applyAlignment="1">
      <alignment horizontal="center" vertical="center"/>
    </xf>
    <xf numFmtId="176" fontId="82" fillId="0" borderId="152" xfId="1" applyNumberFormat="1" applyFont="1" applyBorder="1" applyAlignment="1">
      <alignment horizontal="center" vertical="center"/>
    </xf>
    <xf numFmtId="176" fontId="82" fillId="0" borderId="153" xfId="1" applyNumberFormat="1" applyFont="1" applyBorder="1" applyAlignment="1">
      <alignment horizontal="center" vertical="center"/>
    </xf>
    <xf numFmtId="49" fontId="3" fillId="0" borderId="151" xfId="0" applyNumberFormat="1" applyFont="1" applyBorder="1" applyAlignment="1">
      <alignment horizontal="left" vertical="center"/>
    </xf>
    <xf numFmtId="49" fontId="3" fillId="0" borderId="152" xfId="0" applyNumberFormat="1" applyFont="1" applyBorder="1" applyAlignment="1">
      <alignment horizontal="left" vertical="center"/>
    </xf>
    <xf numFmtId="49" fontId="3" fillId="0" borderId="155" xfId="0" applyNumberFormat="1" applyFont="1" applyBorder="1" applyAlignment="1">
      <alignment horizontal="left" vertical="center"/>
    </xf>
    <xf numFmtId="176" fontId="82" fillId="5" borderId="154" xfId="1" applyNumberFormat="1" applyFont="1" applyFill="1" applyBorder="1" applyAlignment="1">
      <alignment horizontal="center" vertical="center"/>
    </xf>
    <xf numFmtId="176" fontId="82" fillId="5" borderId="152" xfId="1" applyNumberFormat="1" applyFont="1" applyFill="1" applyBorder="1" applyAlignment="1">
      <alignment horizontal="center" vertical="center"/>
    </xf>
    <xf numFmtId="176" fontId="82" fillId="5" borderId="153" xfId="1" applyNumberFormat="1" applyFont="1" applyFill="1" applyBorder="1" applyAlignment="1">
      <alignment horizontal="center" vertical="center"/>
    </xf>
    <xf numFmtId="0" fontId="82" fillId="0" borderId="8" xfId="0" applyNumberFormat="1" applyFont="1" applyFill="1" applyBorder="1" applyAlignment="1">
      <alignment horizontal="left" vertical="top" wrapText="1"/>
    </xf>
    <xf numFmtId="0" fontId="32" fillId="0" borderId="8" xfId="0" applyNumberFormat="1" applyFont="1" applyFill="1" applyBorder="1" applyAlignment="1">
      <alignment horizontal="left" vertical="top" wrapText="1"/>
    </xf>
    <xf numFmtId="0" fontId="9" fillId="0" borderId="8" xfId="0" applyNumberFormat="1" applyFont="1" applyFill="1" applyBorder="1" applyAlignment="1">
      <alignment horizontal="left" vertical="top" wrapText="1"/>
    </xf>
    <xf numFmtId="0" fontId="0" fillId="0" borderId="8" xfId="0" applyNumberFormat="1" applyFont="1" applyFill="1" applyBorder="1"/>
    <xf numFmtId="49" fontId="85" fillId="0" borderId="8" xfId="0" applyNumberFormat="1" applyFont="1" applyBorder="1" applyAlignment="1">
      <alignment horizontal="center" vertical="center"/>
    </xf>
    <xf numFmtId="0" fontId="0" fillId="0" borderId="92" xfId="0" applyFont="1" applyBorder="1"/>
    <xf numFmtId="0" fontId="0" fillId="0" borderId="1" xfId="0" applyFont="1" applyBorder="1"/>
    <xf numFmtId="0" fontId="0" fillId="0" borderId="149" xfId="0" applyFont="1" applyBorder="1"/>
    <xf numFmtId="0" fontId="0" fillId="0" borderId="103" xfId="0" applyFont="1" applyBorder="1"/>
    <xf numFmtId="0" fontId="0" fillId="0" borderId="101" xfId="0" applyFont="1" applyBorder="1"/>
    <xf numFmtId="176" fontId="82" fillId="0" borderId="154" xfId="1" applyNumberFormat="1" applyFont="1" applyFill="1" applyBorder="1" applyAlignment="1">
      <alignment horizontal="distributed" vertical="center"/>
    </xf>
    <xf numFmtId="176" fontId="82" fillId="0" borderId="152" xfId="1" applyNumberFormat="1" applyFont="1" applyFill="1" applyBorder="1" applyAlignment="1">
      <alignment horizontal="distributed" vertical="center"/>
    </xf>
    <xf numFmtId="176" fontId="82" fillId="0" borderId="155" xfId="1" applyNumberFormat="1" applyFont="1" applyFill="1" applyBorder="1" applyAlignment="1">
      <alignment horizontal="distributed" vertical="center"/>
    </xf>
    <xf numFmtId="0" fontId="3" fillId="0" borderId="154" xfId="0" applyNumberFormat="1" applyFont="1" applyBorder="1" applyAlignment="1">
      <alignment vertical="center" wrapText="1"/>
    </xf>
    <xf numFmtId="0" fontId="3" fillId="0" borderId="152" xfId="0" applyNumberFormat="1" applyFont="1" applyBorder="1" applyAlignment="1">
      <alignment vertical="center" wrapText="1"/>
    </xf>
    <xf numFmtId="0" fontId="3" fillId="0" borderId="155" xfId="0" applyNumberFormat="1" applyFont="1" applyBorder="1" applyAlignment="1">
      <alignment vertical="center" wrapText="1"/>
    </xf>
    <xf numFmtId="49" fontId="8" fillId="0" borderId="8" xfId="0" applyNumberFormat="1" applyFont="1" applyBorder="1" applyAlignment="1">
      <alignment horizontal="center" vertical="center"/>
    </xf>
    <xf numFmtId="49" fontId="85" fillId="0" borderId="17" xfId="0" applyNumberFormat="1" applyFont="1" applyBorder="1" applyAlignment="1">
      <alignment horizontal="center" vertical="center"/>
    </xf>
    <xf numFmtId="179" fontId="8" fillId="0" borderId="27" xfId="0" applyNumberFormat="1" applyFont="1" applyBorder="1" applyAlignment="1" applyProtection="1">
      <alignment horizontal="center" vertical="center"/>
      <protection locked="0"/>
    </xf>
    <xf numFmtId="179" fontId="8" fillId="0" borderId="23" xfId="0" applyNumberFormat="1" applyFont="1" applyBorder="1" applyAlignment="1" applyProtection="1">
      <alignment horizontal="center" vertical="center"/>
      <protection locked="0"/>
    </xf>
    <xf numFmtId="179" fontId="8" fillId="0" borderId="18" xfId="0" applyNumberFormat="1" applyFont="1" applyBorder="1" applyAlignment="1" applyProtection="1">
      <alignment horizontal="center" vertical="center"/>
      <protection locked="0"/>
    </xf>
    <xf numFmtId="179" fontId="8" fillId="0" borderId="19" xfId="0" applyNumberFormat="1" applyFont="1" applyBorder="1" applyAlignment="1" applyProtection="1">
      <alignment horizontal="center" vertical="center"/>
      <protection locked="0"/>
    </xf>
    <xf numFmtId="178" fontId="3" fillId="0" borderId="23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8" fontId="3" fillId="0" borderId="20" xfId="0" applyNumberFormat="1" applyFont="1" applyBorder="1" applyAlignment="1">
      <alignment horizontal="center" vertical="center"/>
    </xf>
    <xf numFmtId="0" fontId="3" fillId="0" borderId="8" xfId="0" applyNumberFormat="1" applyFont="1" applyFill="1" applyBorder="1" applyAlignment="1">
      <alignment horizontal="left" vertical="top" wrapText="1"/>
    </xf>
    <xf numFmtId="0" fontId="3" fillId="0" borderId="8" xfId="0" applyNumberFormat="1" applyFont="1" applyBorder="1" applyAlignment="1">
      <alignment horizontal="left" vertical="center" wrapText="1"/>
    </xf>
    <xf numFmtId="49" fontId="3" fillId="0" borderId="28" xfId="0" applyNumberFormat="1" applyFont="1" applyBorder="1" applyAlignment="1" applyProtection="1">
      <alignment horizontal="center" vertical="center"/>
      <protection locked="0"/>
    </xf>
    <xf numFmtId="49" fontId="3" fillId="0" borderId="23" xfId="0" applyNumberFormat="1" applyFont="1" applyBorder="1" applyAlignment="1" applyProtection="1">
      <alignment horizontal="center" vertical="center"/>
      <protection locked="0"/>
    </xf>
    <xf numFmtId="49" fontId="3" fillId="0" borderId="29" xfId="0" applyNumberFormat="1" applyFont="1" applyBorder="1" applyAlignment="1" applyProtection="1">
      <alignment horizontal="center" vertical="center"/>
      <protection locked="0"/>
    </xf>
    <xf numFmtId="49" fontId="3" fillId="0" borderId="109" xfId="0" applyNumberFormat="1" applyFont="1" applyBorder="1" applyAlignment="1" applyProtection="1">
      <alignment horizontal="center" vertical="center"/>
      <protection locked="0"/>
    </xf>
    <xf numFmtId="49" fontId="3" fillId="0" borderId="103" xfId="0" applyNumberFormat="1" applyFont="1" applyBorder="1" applyAlignment="1" applyProtection="1">
      <alignment horizontal="center" vertical="center"/>
      <protection locked="0"/>
    </xf>
    <xf numFmtId="49" fontId="3" fillId="0" borderId="101" xfId="0" applyNumberFormat="1" applyFont="1" applyBorder="1" applyAlignment="1" applyProtection="1">
      <alignment horizontal="center" vertical="center"/>
      <protection locked="0"/>
    </xf>
    <xf numFmtId="49" fontId="3" fillId="0" borderId="27" xfId="0" applyNumberFormat="1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22" xfId="0" applyNumberFormat="1" applyFont="1" applyBorder="1" applyAlignment="1" applyProtection="1">
      <alignment horizontal="center" vertical="center"/>
      <protection locked="0"/>
    </xf>
    <xf numFmtId="49" fontId="3" fillId="0" borderId="104" xfId="0" applyNumberFormat="1" applyFont="1" applyBorder="1" applyAlignment="1" applyProtection="1">
      <alignment horizontal="center" vertical="center"/>
      <protection locked="0"/>
    </xf>
    <xf numFmtId="49" fontId="10" fillId="0" borderId="27" xfId="0" applyNumberFormat="1" applyFont="1" applyBorder="1" applyAlignment="1" applyProtection="1">
      <alignment horizontal="center" vertical="center"/>
      <protection locked="0"/>
    </xf>
    <xf numFmtId="49" fontId="10" fillId="0" borderId="23" xfId="0" applyNumberFormat="1" applyFont="1" applyBorder="1" applyAlignment="1" applyProtection="1">
      <alignment horizontal="center" vertical="center"/>
      <protection locked="0"/>
    </xf>
    <xf numFmtId="49" fontId="10" fillId="0" borderId="22" xfId="0" applyNumberFormat="1" applyFont="1" applyBorder="1" applyAlignment="1" applyProtection="1">
      <alignment horizontal="center" vertical="center"/>
      <protection locked="0"/>
    </xf>
    <xf numFmtId="49" fontId="10" fillId="0" borderId="18" xfId="0" applyNumberFormat="1" applyFont="1" applyBorder="1" applyAlignment="1" applyProtection="1">
      <alignment horizontal="center" vertical="center"/>
      <protection locked="0"/>
    </xf>
    <xf numFmtId="49" fontId="10" fillId="0" borderId="19" xfId="0" applyNumberFormat="1" applyFont="1" applyBorder="1" applyAlignment="1" applyProtection="1">
      <alignment horizontal="center" vertical="center"/>
      <protection locked="0"/>
    </xf>
    <xf numFmtId="49" fontId="10" fillId="0" borderId="20" xfId="0" applyNumberFormat="1" applyFont="1" applyBorder="1" applyAlignment="1" applyProtection="1">
      <alignment horizontal="center" vertical="center"/>
      <protection locked="0"/>
    </xf>
    <xf numFmtId="0" fontId="32" fillId="0" borderId="154" xfId="0" applyNumberFormat="1" applyFont="1" applyBorder="1" applyAlignment="1">
      <alignment horizontal="left" vertical="center" wrapText="1"/>
    </xf>
    <xf numFmtId="49" fontId="85" fillId="0" borderId="8" xfId="0" applyNumberFormat="1" applyFont="1" applyBorder="1" applyAlignment="1">
      <alignment horizontal="center" vertical="center" wrapText="1"/>
    </xf>
    <xf numFmtId="49" fontId="3" fillId="0" borderId="8" xfId="0" applyNumberFormat="1" applyFont="1" applyFill="1" applyBorder="1" applyAlignment="1">
      <alignment horizontal="center" vertical="center" wrapText="1"/>
    </xf>
    <xf numFmtId="0" fontId="3" fillId="0" borderId="146" xfId="0" applyNumberFormat="1" applyFont="1" applyBorder="1" applyAlignment="1">
      <alignment horizontal="center" vertical="center" wrapText="1"/>
    </xf>
    <xf numFmtId="0" fontId="32" fillId="5" borderId="94" xfId="0" applyNumberFormat="1" applyFont="1" applyFill="1" applyBorder="1" applyAlignment="1" applyProtection="1">
      <alignment horizontal="center" vertical="center" wrapText="1"/>
    </xf>
    <xf numFmtId="0" fontId="32" fillId="5" borderId="92" xfId="0" applyNumberFormat="1" applyFont="1" applyFill="1" applyBorder="1" applyAlignment="1" applyProtection="1">
      <alignment horizontal="center" vertical="center" wrapText="1"/>
    </xf>
    <xf numFmtId="0" fontId="32" fillId="5" borderId="93" xfId="0" applyNumberFormat="1" applyFont="1" applyFill="1" applyBorder="1" applyAlignment="1" applyProtection="1">
      <alignment horizontal="center" vertical="center" wrapText="1"/>
    </xf>
    <xf numFmtId="0" fontId="32" fillId="5" borderId="1" xfId="0" applyNumberFormat="1" applyFont="1" applyFill="1" applyBorder="1" applyAlignment="1" applyProtection="1">
      <alignment horizontal="center" vertical="center" wrapText="1"/>
    </xf>
    <xf numFmtId="0" fontId="32" fillId="5" borderId="0" xfId="0" applyNumberFormat="1" applyFont="1" applyFill="1" applyBorder="1" applyAlignment="1" applyProtection="1">
      <alignment horizontal="center" vertical="center" wrapText="1"/>
    </xf>
    <xf numFmtId="0" fontId="32" fillId="5" borderId="149" xfId="0" applyNumberFormat="1" applyFont="1" applyFill="1" applyBorder="1" applyAlignment="1" applyProtection="1">
      <alignment horizontal="center" vertical="center" wrapText="1"/>
    </xf>
    <xf numFmtId="0" fontId="32" fillId="5" borderId="109" xfId="0" applyNumberFormat="1" applyFont="1" applyFill="1" applyBorder="1" applyAlignment="1" applyProtection="1">
      <alignment horizontal="center" vertical="center" wrapText="1"/>
    </xf>
    <xf numFmtId="0" fontId="32" fillId="5" borderId="103" xfId="0" applyNumberFormat="1" applyFont="1" applyFill="1" applyBorder="1" applyAlignment="1" applyProtection="1">
      <alignment horizontal="center" vertical="center" wrapText="1"/>
    </xf>
    <xf numFmtId="0" fontId="32" fillId="5" borderId="101" xfId="0" applyNumberFormat="1" applyFont="1" applyFill="1" applyBorder="1" applyAlignment="1" applyProtection="1">
      <alignment horizontal="center" vertical="center" wrapText="1"/>
    </xf>
    <xf numFmtId="0" fontId="12" fillId="0" borderId="31" xfId="2" applyFont="1" applyBorder="1" applyAlignment="1" applyProtection="1">
      <alignment horizontal="right" vertical="center"/>
      <protection locked="0"/>
    </xf>
    <xf numFmtId="0" fontId="0" fillId="0" borderId="18" xfId="0" applyBorder="1"/>
    <xf numFmtId="0" fontId="0" fillId="0" borderId="19" xfId="0" applyBorder="1"/>
    <xf numFmtId="179" fontId="12" fillId="0" borderId="32" xfId="2" applyNumberFormat="1" applyFont="1" applyBorder="1" applyAlignment="1" applyProtection="1">
      <alignment horizontal="center" vertical="center"/>
      <protection locked="0"/>
    </xf>
    <xf numFmtId="0" fontId="12" fillId="0" borderId="33" xfId="2" applyFont="1" applyBorder="1" applyAlignment="1" applyProtection="1">
      <alignment horizontal="left" vertical="center"/>
      <protection locked="0"/>
    </xf>
    <xf numFmtId="0" fontId="0" fillId="0" borderId="20" xfId="0" applyBorder="1"/>
    <xf numFmtId="49" fontId="12" fillId="0" borderId="34" xfId="2" applyNumberFormat="1" applyFont="1" applyBorder="1" applyAlignment="1" applyProtection="1">
      <alignment horizontal="center" vertical="center"/>
      <protection locked="0"/>
    </xf>
    <xf numFmtId="0" fontId="0" fillId="0" borderId="29" xfId="0" applyBorder="1"/>
    <xf numFmtId="0" fontId="0" fillId="0" borderId="3" xfId="0" applyBorder="1"/>
    <xf numFmtId="0" fontId="1" fillId="0" borderId="0" xfId="2" applyFont="1" applyBorder="1" applyAlignment="1"/>
    <xf numFmtId="0" fontId="0" fillId="0" borderId="149" xfId="0" applyBorder="1"/>
    <xf numFmtId="0" fontId="0" fillId="0" borderId="101" xfId="0" applyBorder="1"/>
    <xf numFmtId="49" fontId="12" fillId="0" borderId="30" xfId="2" applyNumberFormat="1" applyFont="1" applyBorder="1" applyAlignment="1">
      <alignment horizontal="center" vertical="center"/>
    </xf>
    <xf numFmtId="0" fontId="0" fillId="0" borderId="109" xfId="0" applyBorder="1"/>
    <xf numFmtId="0" fontId="12" fillId="0" borderId="30" xfId="2" applyFont="1" applyBorder="1" applyAlignment="1">
      <alignment horizontal="center" vertical="center"/>
    </xf>
    <xf numFmtId="49" fontId="12" fillId="0" borderId="35" xfId="2" applyNumberFormat="1" applyFont="1" applyBorder="1" applyAlignment="1">
      <alignment horizontal="center" vertical="center"/>
    </xf>
    <xf numFmtId="0" fontId="0" fillId="0" borderId="104" xfId="0" applyBorder="1"/>
    <xf numFmtId="0" fontId="12" fillId="0" borderId="21" xfId="2" applyFont="1" applyBorder="1" applyAlignment="1">
      <alignment horizontal="center" vertical="center"/>
    </xf>
    <xf numFmtId="0" fontId="12" fillId="0" borderId="21" xfId="1" applyFont="1" applyBorder="1" applyAlignment="1">
      <alignment horizontal="center" vertical="center" wrapText="1"/>
    </xf>
    <xf numFmtId="49" fontId="12" fillId="0" borderId="8" xfId="2" applyNumberFormat="1" applyFont="1" applyBorder="1" applyAlignment="1" applyProtection="1">
      <alignment horizontal="center" vertical="center"/>
      <protection locked="0"/>
    </xf>
    <xf numFmtId="0" fontId="0" fillId="0" borderId="93" xfId="0" applyBorder="1"/>
    <xf numFmtId="0" fontId="13" fillId="0" borderId="36" xfId="2" applyFont="1" applyBorder="1" applyAlignment="1">
      <alignment horizontal="center" vertical="center"/>
    </xf>
    <xf numFmtId="0" fontId="12" fillId="0" borderId="36" xfId="1" applyFont="1" applyBorder="1" applyAlignment="1">
      <alignment horizontal="center" vertical="center" wrapText="1"/>
    </xf>
    <xf numFmtId="0" fontId="12" fillId="0" borderId="8" xfId="1" applyFont="1" applyBorder="1" applyAlignment="1">
      <alignment horizontal="center" vertical="center" wrapText="1"/>
    </xf>
    <xf numFmtId="49" fontId="12" fillId="0" borderId="17" xfId="2" applyNumberFormat="1" applyFont="1" applyBorder="1" applyAlignment="1" applyProtection="1">
      <alignment horizontal="center" vertical="center" wrapText="1"/>
      <protection locked="0"/>
    </xf>
    <xf numFmtId="176" fontId="12" fillId="0" borderId="8" xfId="2" applyNumberFormat="1" applyFont="1" applyBorder="1" applyAlignment="1">
      <alignment horizontal="center" vertical="center"/>
    </xf>
    <xf numFmtId="177" fontId="12" fillId="0" borderId="8" xfId="1" applyNumberFormat="1" applyFont="1" applyBorder="1" applyAlignment="1">
      <alignment horizontal="center" vertical="center"/>
    </xf>
    <xf numFmtId="0" fontId="0" fillId="0" borderId="158" xfId="0" applyBorder="1"/>
    <xf numFmtId="0" fontId="0" fillId="0" borderId="159" xfId="0" applyBorder="1"/>
    <xf numFmtId="0" fontId="0" fillId="0" borderId="160" xfId="0" applyBorder="1"/>
    <xf numFmtId="0" fontId="0" fillId="0" borderId="161" xfId="0" applyBorder="1"/>
    <xf numFmtId="0" fontId="0" fillId="0" borderId="162" xfId="0" applyBorder="1"/>
    <xf numFmtId="49" fontId="12" fillId="0" borderId="17" xfId="2" applyNumberFormat="1" applyFont="1" applyBorder="1" applyAlignment="1" applyProtection="1">
      <alignment horizontal="center" vertical="center"/>
      <protection locked="0"/>
    </xf>
    <xf numFmtId="0" fontId="34" fillId="0" borderId="8" xfId="2" applyFont="1" applyBorder="1" applyAlignment="1">
      <alignment horizontal="center" vertical="center"/>
    </xf>
    <xf numFmtId="0" fontId="35" fillId="0" borderId="92" xfId="0" applyFont="1" applyBorder="1"/>
    <xf numFmtId="0" fontId="35" fillId="0" borderId="93" xfId="0" applyFont="1" applyBorder="1"/>
    <xf numFmtId="0" fontId="35" fillId="0" borderId="1" xfId="0" applyFont="1" applyBorder="1"/>
    <xf numFmtId="0" fontId="35" fillId="0" borderId="0" xfId="2" applyFont="1" applyBorder="1" applyAlignment="1"/>
    <xf numFmtId="0" fontId="35" fillId="0" borderId="149" xfId="0" applyFont="1" applyBorder="1"/>
    <xf numFmtId="0" fontId="35" fillId="0" borderId="109" xfId="0" applyFont="1" applyBorder="1"/>
    <xf numFmtId="0" fontId="35" fillId="0" borderId="103" xfId="0" applyFont="1" applyBorder="1"/>
    <xf numFmtId="0" fontId="35" fillId="0" borderId="101" xfId="0" applyFont="1" applyBorder="1"/>
    <xf numFmtId="0" fontId="34" fillId="5" borderId="8" xfId="2" applyFont="1" applyFill="1" applyBorder="1" applyAlignment="1">
      <alignment horizontal="center" vertical="center"/>
    </xf>
    <xf numFmtId="0" fontId="35" fillId="5" borderId="92" xfId="0" applyFont="1" applyFill="1" applyBorder="1"/>
    <xf numFmtId="0" fontId="35" fillId="5" borderId="93" xfId="0" applyFont="1" applyFill="1" applyBorder="1"/>
    <xf numFmtId="0" fontId="35" fillId="5" borderId="1" xfId="0" applyFont="1" applyFill="1" applyBorder="1"/>
    <xf numFmtId="0" fontId="35" fillId="5" borderId="0" xfId="2" applyFont="1" applyFill="1" applyBorder="1" applyAlignment="1"/>
    <xf numFmtId="0" fontId="35" fillId="5" borderId="149" xfId="0" applyFont="1" applyFill="1" applyBorder="1"/>
    <xf numFmtId="0" fontId="35" fillId="5" borderId="109" xfId="0" applyFont="1" applyFill="1" applyBorder="1"/>
    <xf numFmtId="0" fontId="35" fillId="5" borderId="103" xfId="0" applyFont="1" applyFill="1" applyBorder="1"/>
    <xf numFmtId="0" fontId="35" fillId="5" borderId="101" xfId="0" applyFont="1" applyFill="1" applyBorder="1"/>
    <xf numFmtId="0" fontId="1" fillId="0" borderId="92" xfId="0" applyFont="1" applyBorder="1"/>
    <xf numFmtId="0" fontId="1" fillId="0" borderId="95" xfId="0" applyFont="1" applyBorder="1"/>
    <xf numFmtId="0" fontId="1" fillId="0" borderId="1" xfId="0" applyFont="1" applyBorder="1"/>
    <xf numFmtId="0" fontId="1" fillId="0" borderId="7" xfId="0" applyFont="1" applyBorder="1"/>
    <xf numFmtId="0" fontId="1" fillId="0" borderId="109" xfId="0" applyFont="1" applyBorder="1"/>
    <xf numFmtId="0" fontId="1" fillId="0" borderId="103" xfId="0" applyFont="1" applyBorder="1"/>
    <xf numFmtId="0" fontId="1" fillId="0" borderId="104" xfId="0" applyFont="1" applyBorder="1"/>
    <xf numFmtId="176" fontId="12" fillId="0" borderId="8" xfId="1" applyNumberFormat="1" applyFont="1" applyBorder="1" applyAlignment="1">
      <alignment horizontal="center" vertical="center" wrapText="1"/>
    </xf>
    <xf numFmtId="176" fontId="12" fillId="0" borderId="21" xfId="1" applyNumberFormat="1" applyFont="1" applyBorder="1" applyAlignment="1">
      <alignment horizontal="center" vertical="center" wrapText="1"/>
    </xf>
    <xf numFmtId="0" fontId="13" fillId="0" borderId="42" xfId="2" applyFont="1" applyBorder="1" applyAlignment="1">
      <alignment horizontal="center" vertical="center"/>
    </xf>
    <xf numFmtId="0" fontId="12" fillId="0" borderId="28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0" borderId="29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2" fillId="0" borderId="19" xfId="2" applyFont="1" applyBorder="1" applyAlignment="1">
      <alignment horizontal="center" vertical="center"/>
    </xf>
    <xf numFmtId="0" fontId="12" fillId="0" borderId="5" xfId="2" applyFont="1" applyBorder="1" applyAlignment="1">
      <alignment horizontal="center" vertical="center"/>
    </xf>
    <xf numFmtId="0" fontId="12" fillId="0" borderId="37" xfId="2" applyNumberFormat="1" applyFont="1" applyBorder="1" applyAlignment="1">
      <alignment horizontal="center" vertical="center"/>
    </xf>
    <xf numFmtId="0" fontId="1" fillId="0" borderId="0" xfId="2" applyNumberFormat="1" applyFont="1" applyBorder="1" applyAlignment="1"/>
    <xf numFmtId="0" fontId="0" fillId="0" borderId="149" xfId="0" applyNumberFormat="1" applyBorder="1"/>
    <xf numFmtId="0" fontId="0" fillId="0" borderId="6" xfId="0" applyNumberFormat="1" applyBorder="1"/>
    <xf numFmtId="0" fontId="0" fillId="0" borderId="19" xfId="0" applyNumberFormat="1" applyBorder="1"/>
    <xf numFmtId="0" fontId="0" fillId="0" borderId="5" xfId="0" applyNumberFormat="1" applyBorder="1"/>
    <xf numFmtId="49" fontId="12" fillId="0" borderId="38" xfId="2" applyNumberFormat="1" applyFont="1" applyBorder="1" applyAlignment="1" applyProtection="1">
      <alignment horizontal="center" vertical="center"/>
      <protection locked="0"/>
    </xf>
    <xf numFmtId="0" fontId="0" fillId="0" borderId="5" xfId="0" applyBorder="1"/>
    <xf numFmtId="0" fontId="34" fillId="0" borderId="108" xfId="2" applyFont="1" applyBorder="1" applyAlignment="1">
      <alignment horizontal="center" vertical="center"/>
    </xf>
    <xf numFmtId="0" fontId="12" fillId="0" borderId="37" xfId="2" applyFont="1" applyBorder="1" applyAlignment="1">
      <alignment horizontal="center" vertical="center"/>
    </xf>
    <xf numFmtId="0" fontId="0" fillId="0" borderId="6" xfId="0" applyBorder="1"/>
    <xf numFmtId="0" fontId="13" fillId="0" borderId="39" xfId="2" applyFont="1" applyBorder="1" applyAlignment="1">
      <alignment horizontal="center" vertical="center"/>
    </xf>
    <xf numFmtId="0" fontId="13" fillId="0" borderId="40" xfId="2" applyFont="1" applyBorder="1" applyAlignment="1">
      <alignment horizontal="center" vertical="center"/>
    </xf>
    <xf numFmtId="176" fontId="12" fillId="0" borderId="41" xfId="1" applyNumberFormat="1" applyFont="1" applyBorder="1" applyAlignment="1">
      <alignment horizontal="center" vertical="center" wrapText="1"/>
    </xf>
    <xf numFmtId="0" fontId="13" fillId="0" borderId="98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 wrapText="1"/>
    </xf>
    <xf numFmtId="0" fontId="41" fillId="0" borderId="35" xfId="0" applyFont="1" applyBorder="1" applyAlignment="1">
      <alignment horizontal="center" vertical="center" wrapText="1"/>
    </xf>
    <xf numFmtId="0" fontId="41" fillId="0" borderId="83" xfId="0" applyFont="1" applyBorder="1" applyAlignment="1">
      <alignment horizontal="center" vertical="center" wrapText="1"/>
    </xf>
    <xf numFmtId="0" fontId="41" fillId="0" borderId="84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85" xfId="0" applyFont="1" applyBorder="1" applyAlignment="1">
      <alignment horizontal="center" vertical="center" wrapText="1"/>
    </xf>
    <xf numFmtId="0" fontId="10" fillId="0" borderId="86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 wrapText="1" shrinkToFit="1"/>
    </xf>
    <xf numFmtId="49" fontId="10" fillId="0" borderId="0" xfId="0" applyNumberFormat="1" applyFont="1" applyBorder="1" applyAlignment="1">
      <alignment horizontal="center" vertical="center" wrapText="1" shrinkToFit="1"/>
    </xf>
    <xf numFmtId="49" fontId="10" fillId="0" borderId="7" xfId="0" applyNumberFormat="1" applyFont="1" applyBorder="1" applyAlignment="1">
      <alignment horizontal="center" vertical="center" wrapText="1" shrinkToFit="1"/>
    </xf>
    <xf numFmtId="49" fontId="10" fillId="0" borderId="18" xfId="0" applyNumberFormat="1" applyFont="1" applyBorder="1" applyAlignment="1">
      <alignment horizontal="center" vertical="center" wrapText="1" shrinkToFit="1"/>
    </xf>
    <xf numFmtId="49" fontId="10" fillId="0" borderId="19" xfId="0" applyNumberFormat="1" applyFont="1" applyBorder="1" applyAlignment="1">
      <alignment horizontal="center" vertical="center" wrapText="1" shrinkToFit="1"/>
    </xf>
    <xf numFmtId="49" fontId="10" fillId="0" borderId="20" xfId="0" applyNumberFormat="1" applyFont="1" applyBorder="1" applyAlignment="1">
      <alignment horizontal="center" vertical="center" wrapText="1" shrinkToFit="1"/>
    </xf>
    <xf numFmtId="0" fontId="8" fillId="0" borderId="10" xfId="1" applyFont="1" applyBorder="1" applyAlignment="1" applyProtection="1">
      <alignment horizontal="center"/>
      <protection locked="0"/>
    </xf>
    <xf numFmtId="0" fontId="0" fillId="0" borderId="46" xfId="0" applyBorder="1"/>
    <xf numFmtId="0" fontId="15" fillId="4" borderId="10" xfId="1" applyFont="1" applyFill="1" applyBorder="1" applyAlignment="1" applyProtection="1">
      <alignment horizontal="center"/>
      <protection locked="0"/>
    </xf>
    <xf numFmtId="0" fontId="15" fillId="0" borderId="10" xfId="1" applyFont="1" applyBorder="1" applyAlignment="1" applyProtection="1">
      <alignment horizontal="center"/>
      <protection locked="0"/>
    </xf>
    <xf numFmtId="0" fontId="15" fillId="0" borderId="10" xfId="1" applyFont="1" applyBorder="1" applyAlignment="1" applyProtection="1">
      <alignment horizontal="center" vertical="center"/>
      <protection locked="0"/>
    </xf>
    <xf numFmtId="0" fontId="8" fillId="0" borderId="14" xfId="1" applyFont="1" applyBorder="1" applyAlignment="1" applyProtection="1">
      <alignment horizontal="center"/>
      <protection locked="0"/>
    </xf>
    <xf numFmtId="0" fontId="0" fillId="0" borderId="52" xfId="0" applyBorder="1"/>
    <xf numFmtId="0" fontId="1" fillId="0" borderId="14" xfId="1" applyBorder="1" applyAlignment="1" applyProtection="1">
      <protection locked="0"/>
    </xf>
    <xf numFmtId="0" fontId="17" fillId="4" borderId="14" xfId="1" applyFont="1" applyFill="1" applyBorder="1" applyAlignment="1" applyProtection="1">
      <alignment horizontal="center"/>
      <protection locked="0"/>
    </xf>
    <xf numFmtId="0" fontId="15" fillId="0" borderId="14" xfId="1" applyFont="1" applyBorder="1" applyAlignment="1" applyProtection="1">
      <alignment horizontal="center"/>
      <protection locked="0"/>
    </xf>
    <xf numFmtId="0" fontId="17" fillId="4" borderId="10" xfId="1" applyFont="1" applyFill="1" applyBorder="1" applyAlignment="1" applyProtection="1">
      <alignment horizontal="center"/>
      <protection locked="0"/>
    </xf>
    <xf numFmtId="0" fontId="1" fillId="0" borderId="10" xfId="1" applyBorder="1" applyAlignment="1" applyProtection="1">
      <protection locked="0"/>
    </xf>
    <xf numFmtId="0" fontId="15" fillId="0" borderId="16" xfId="1" applyFont="1" applyBorder="1" applyAlignment="1" applyProtection="1">
      <alignment horizontal="center" vertical="center"/>
      <protection locked="0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5" fillId="0" borderId="43" xfId="1" applyFont="1" applyBorder="1" applyAlignment="1">
      <alignment horizontal="center"/>
    </xf>
    <xf numFmtId="0" fontId="0" fillId="0" borderId="9" xfId="0" applyBorder="1"/>
    <xf numFmtId="0" fontId="15" fillId="0" borderId="44" xfId="1" applyFont="1" applyBorder="1" applyAlignment="1">
      <alignment horizontal="center"/>
    </xf>
    <xf numFmtId="0" fontId="0" fillId="0" borderId="44" xfId="0" applyBorder="1"/>
    <xf numFmtId="0" fontId="8" fillId="0" borderId="45" xfId="1" applyFont="1" applyBorder="1" applyAlignment="1" applyProtection="1">
      <alignment horizontal="center"/>
      <protection locked="0"/>
    </xf>
    <xf numFmtId="0" fontId="8" fillId="0" borderId="47" xfId="1" applyFont="1" applyBorder="1" applyAlignment="1" applyProtection="1">
      <alignment horizontal="center" vertical="center" wrapText="1"/>
      <protection locked="0"/>
    </xf>
    <xf numFmtId="0" fontId="0" fillId="0" borderId="48" xfId="0" applyBorder="1"/>
    <xf numFmtId="0" fontId="0" fillId="0" borderId="49" xfId="0" applyBorder="1"/>
    <xf numFmtId="0" fontId="1" fillId="0" borderId="50" xfId="1" applyBorder="1" applyAlignment="1" applyProtection="1">
      <protection locked="0"/>
    </xf>
    <xf numFmtId="0" fontId="0" fillId="0" borderId="51" xfId="0" applyBorder="1"/>
    <xf numFmtId="0" fontId="8" fillId="0" borderId="14" xfId="1" applyFont="1" applyBorder="1" applyAlignment="1" applyProtection="1">
      <alignment horizontal="center" vertical="center"/>
      <protection locked="0"/>
    </xf>
    <xf numFmtId="0" fontId="1" fillId="0" borderId="64" xfId="1" applyBorder="1" applyAlignment="1" applyProtection="1">
      <protection locked="0"/>
    </xf>
    <xf numFmtId="0" fontId="0" fillId="0" borderId="65" xfId="0" applyBorder="1"/>
    <xf numFmtId="0" fontId="15" fillId="0" borderId="58" xfId="1" applyFont="1" applyBorder="1" applyAlignment="1" applyProtection="1">
      <alignment horizontal="center" vertical="center"/>
      <protection locked="0"/>
    </xf>
    <xf numFmtId="0" fontId="0" fillId="0" borderId="59" xfId="0" applyBorder="1"/>
    <xf numFmtId="0" fontId="8" fillId="0" borderId="10" xfId="1" applyFont="1" applyBorder="1" applyAlignment="1" applyProtection="1">
      <alignment horizontal="center" vertical="center"/>
      <protection locked="0"/>
    </xf>
    <xf numFmtId="0" fontId="1" fillId="0" borderId="60" xfId="1" applyBorder="1" applyAlignment="1" applyProtection="1">
      <protection locked="0"/>
    </xf>
    <xf numFmtId="0" fontId="0" fillId="0" borderId="61" xfId="0" applyBorder="1"/>
    <xf numFmtId="0" fontId="15" fillId="0" borderId="11" xfId="1" applyFont="1" applyBorder="1" applyAlignment="1" applyProtection="1">
      <alignment horizontal="center"/>
      <protection locked="0"/>
    </xf>
    <xf numFmtId="0" fontId="0" fillId="0" borderId="67" xfId="0" applyBorder="1"/>
    <xf numFmtId="0" fontId="8" fillId="0" borderId="66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0" fontId="1" fillId="0" borderId="68" xfId="1" applyBorder="1" applyAlignment="1" applyProtection="1">
      <protection locked="0"/>
    </xf>
    <xf numFmtId="0" fontId="0" fillId="0" borderId="69" xfId="0" applyBorder="1"/>
    <xf numFmtId="0" fontId="17" fillId="4" borderId="11" xfId="1" applyFont="1" applyFill="1" applyBorder="1" applyAlignment="1" applyProtection="1">
      <alignment horizontal="center"/>
      <protection locked="0"/>
    </xf>
    <xf numFmtId="0" fontId="1" fillId="0" borderId="62" xfId="1" applyBorder="1" applyAlignment="1" applyProtection="1">
      <protection locked="0"/>
    </xf>
    <xf numFmtId="0" fontId="0" fillId="0" borderId="63" xfId="0" applyBorder="1"/>
    <xf numFmtId="0" fontId="17" fillId="4" borderId="70" xfId="1" applyFont="1" applyFill="1" applyBorder="1" applyAlignment="1" applyProtection="1">
      <alignment horizontal="center"/>
      <protection locked="0"/>
    </xf>
    <xf numFmtId="0" fontId="0" fillId="0" borderId="71" xfId="0" applyBorder="1"/>
    <xf numFmtId="0" fontId="17" fillId="4" borderId="50" xfId="1" applyFont="1" applyFill="1" applyBorder="1" applyAlignment="1" applyProtection="1">
      <alignment horizontal="center"/>
      <protection locked="0"/>
    </xf>
    <xf numFmtId="0" fontId="1" fillId="0" borderId="11" xfId="1" applyBorder="1" applyAlignment="1" applyProtection="1">
      <protection locked="0"/>
    </xf>
    <xf numFmtId="0" fontId="15" fillId="0" borderId="11" xfId="1" applyFont="1" applyBorder="1" applyAlignment="1" applyProtection="1">
      <alignment horizontal="center" vertical="center" textRotation="255"/>
      <protection locked="0"/>
    </xf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3" fillId="0" borderId="75" xfId="1" applyFont="1" applyBorder="1" applyAlignment="1" applyProtection="1">
      <alignment horizontal="left" vertical="center" wrapText="1" indent="1"/>
      <protection locked="0"/>
    </xf>
    <xf numFmtId="0" fontId="0" fillId="0" borderId="76" xfId="0" applyBorder="1"/>
    <xf numFmtId="0" fontId="15" fillId="0" borderId="11" xfId="1" applyFont="1" applyBorder="1" applyAlignment="1" applyProtection="1">
      <alignment horizontal="distributed" vertical="distributed"/>
      <protection locked="0"/>
    </xf>
    <xf numFmtId="0" fontId="17" fillId="4" borderId="10" xfId="1" applyFont="1" applyFill="1" applyBorder="1" applyAlignment="1">
      <alignment horizontal="center"/>
    </xf>
    <xf numFmtId="0" fontId="17" fillId="4" borderId="14" xfId="1" applyFont="1" applyFill="1" applyBorder="1" applyAlignment="1">
      <alignment horizontal="center"/>
    </xf>
    <xf numFmtId="0" fontId="17" fillId="4" borderId="11" xfId="1" applyFont="1" applyFill="1" applyBorder="1" applyAlignment="1">
      <alignment horizontal="center"/>
    </xf>
    <xf numFmtId="0" fontId="15" fillId="0" borderId="79" xfId="1" applyFont="1" applyBorder="1" applyAlignment="1" applyProtection="1">
      <alignment horizontal="left" vertical="top"/>
      <protection locked="0"/>
    </xf>
    <xf numFmtId="0" fontId="0" fillId="0" borderId="79" xfId="0" applyBorder="1"/>
    <xf numFmtId="0" fontId="8" fillId="0" borderId="77" xfId="1" applyFont="1" applyBorder="1" applyAlignment="1" applyProtection="1">
      <alignment horizontal="center" vertical="center"/>
      <protection locked="0"/>
    </xf>
    <xf numFmtId="0" fontId="0" fillId="0" borderId="78" xfId="0" applyBorder="1"/>
    <xf numFmtId="0" fontId="19" fillId="0" borderId="50" xfId="1" applyFont="1" applyBorder="1" applyAlignment="1">
      <alignment horizontal="center" vertical="center"/>
    </xf>
    <xf numFmtId="0" fontId="0" fillId="0" borderId="80" xfId="0" applyBorder="1"/>
    <xf numFmtId="0" fontId="19" fillId="3" borderId="81" xfId="1" applyFont="1" applyFill="1" applyBorder="1" applyAlignment="1">
      <alignment horizontal="center" vertical="center"/>
    </xf>
    <xf numFmtId="0" fontId="0" fillId="0" borderId="82" xfId="0" applyBorder="1"/>
  </cellXfs>
  <cellStyles count="5">
    <cellStyle name="一般" xfId="0" builtinId="0"/>
    <cellStyle name="一般 2" xfId="1"/>
    <cellStyle name="一般 3" xfId="2"/>
    <cellStyle name="中等" xfId="4" builtinId="28"/>
    <cellStyle name="好" xfId="3" builtinId="26"/>
  </cellStyles>
  <dxfs count="9"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66675</xdr:colOff>
          <xdr:row>1</xdr:row>
          <xdr:rowOff>19050</xdr:rowOff>
        </xdr:from>
        <xdr:to>
          <xdr:col>50</xdr:col>
          <xdr:colOff>9525</xdr:colOff>
          <xdr:row>3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TW" altLang="en-US" sz="2800" b="0" i="0" u="none" strike="noStrike" baseline="0">
                  <a:solidFill>
                    <a:srgbClr val="0000FF"/>
                  </a:solidFill>
                  <a:latin typeface="標楷體"/>
                  <a:ea typeface="標楷體"/>
                </a:rPr>
                <a:t>資料刷新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esktop\&#26367;&#20195;&#24441;\&#24441;&#30007;&#30456;&#38364;\&#20108;&#22823;&#22235;&#20013;&#33258;&#21205;&#21270;&#21220;&#21209;&#34920;by&#21338;&#209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資料輸入"/>
      <sheetName val="勤務表"/>
      <sheetName val="警力現況表"/>
      <sheetName val="參考用簡易大表"/>
      <sheetName val="警職大表"/>
      <sheetName val="役男大表"/>
      <sheetName val="靶場班表"/>
      <sheetName val=" 警職表自動整理區"/>
      <sheetName val="役男人力"/>
      <sheetName val=" 役男表自動整理區"/>
      <sheetName val="勤務定義"/>
    </sheetNames>
    <sheetDataSet>
      <sheetData sheetId="0">
        <row r="2">
          <cell r="B2">
            <v>31</v>
          </cell>
        </row>
      </sheetData>
      <sheetData sheetId="1"/>
      <sheetData sheetId="2"/>
      <sheetData sheetId="3"/>
      <sheetData sheetId="4"/>
      <sheetData sheetId="5">
        <row r="1">
          <cell r="A1" t="str">
            <v>內政部警政署保安警察第一總隊    第二大隊第四中隊110年3月份機動隊役男輪休預定表  110.2.25 主管：</v>
          </cell>
        </row>
      </sheetData>
      <sheetData sheetId="6"/>
      <sheetData sheetId="7">
        <row r="4">
          <cell r="B4">
            <v>1</v>
          </cell>
        </row>
      </sheetData>
      <sheetData sheetId="8"/>
      <sheetData sheetId="9">
        <row r="39">
          <cell r="B39">
            <v>0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50"/>
  </sheetPr>
  <dimension ref="A1:R28"/>
  <sheetViews>
    <sheetView workbookViewId="0">
      <selection activeCell="A10" sqref="A10"/>
    </sheetView>
  </sheetViews>
  <sheetFormatPr defaultColWidth="9" defaultRowHeight="16.5"/>
  <cols>
    <col min="1" max="1" width="28.125" style="101" customWidth="1"/>
    <col min="2" max="8" width="9" style="101"/>
    <col min="9" max="9" width="9.5" style="101" bestFit="1" customWidth="1"/>
    <col min="10" max="16384" width="9" style="101"/>
  </cols>
  <sheetData>
    <row r="1" spans="1:13">
      <c r="A1" s="101" t="s">
        <v>166</v>
      </c>
    </row>
    <row r="2" spans="1:13">
      <c r="A2" s="101" t="s">
        <v>184</v>
      </c>
      <c r="B2" s="101" t="s">
        <v>162</v>
      </c>
      <c r="C2" s="101" t="s">
        <v>163</v>
      </c>
      <c r="G2" s="102" t="s">
        <v>197</v>
      </c>
    </row>
    <row r="3" spans="1:13">
      <c r="A3" s="101">
        <v>2021</v>
      </c>
      <c r="B3" s="101">
        <v>10</v>
      </c>
      <c r="C3" s="101">
        <v>31</v>
      </c>
      <c r="E3" s="103"/>
      <c r="G3" s="103" t="s">
        <v>198</v>
      </c>
      <c r="M3" s="103" t="s">
        <v>200</v>
      </c>
    </row>
    <row r="4" spans="1:13">
      <c r="G4" s="103" t="s">
        <v>196</v>
      </c>
      <c r="M4" s="103" t="s">
        <v>201</v>
      </c>
    </row>
    <row r="5" spans="1:13">
      <c r="A5" s="101" t="s">
        <v>417</v>
      </c>
      <c r="B5" s="101">
        <v>19</v>
      </c>
      <c r="G5" s="103" t="s">
        <v>199</v>
      </c>
      <c r="M5" s="103" t="s">
        <v>206</v>
      </c>
    </row>
    <row r="6" spans="1:13">
      <c r="A6" s="101" t="s">
        <v>290</v>
      </c>
      <c r="B6" s="101">
        <v>32</v>
      </c>
    </row>
    <row r="7" spans="1:13">
      <c r="A7" s="101" t="s">
        <v>291</v>
      </c>
      <c r="B7" s="101">
        <v>111</v>
      </c>
      <c r="C7" s="101">
        <v>112</v>
      </c>
      <c r="D7" s="101">
        <v>113</v>
      </c>
      <c r="E7" s="101">
        <v>114</v>
      </c>
    </row>
    <row r="9" spans="1:13">
      <c r="A9" s="101" t="s">
        <v>165</v>
      </c>
      <c r="C9" s="101" t="s">
        <v>174</v>
      </c>
      <c r="E9" s="101" t="s">
        <v>185</v>
      </c>
    </row>
    <row r="10" spans="1:13">
      <c r="A10" s="101" t="s">
        <v>778</v>
      </c>
      <c r="C10" s="101" t="s">
        <v>447</v>
      </c>
      <c r="E10" s="104">
        <v>2</v>
      </c>
    </row>
    <row r="11" spans="1:13">
      <c r="A11" s="101" t="s">
        <v>231</v>
      </c>
      <c r="C11" s="101" t="s">
        <v>175</v>
      </c>
      <c r="D11" s="101" t="s">
        <v>230</v>
      </c>
      <c r="E11" s="101" t="s">
        <v>186</v>
      </c>
      <c r="F11" s="101" t="s">
        <v>190</v>
      </c>
    </row>
    <row r="12" spans="1:13">
      <c r="A12" s="101" t="s">
        <v>537</v>
      </c>
      <c r="C12" s="101" t="s">
        <v>178</v>
      </c>
      <c r="D12" s="101" t="s">
        <v>195</v>
      </c>
      <c r="E12" s="101">
        <v>2</v>
      </c>
      <c r="F12" s="101" t="s">
        <v>187</v>
      </c>
    </row>
    <row r="13" spans="1:13">
      <c r="A13" s="101" t="s">
        <v>437</v>
      </c>
    </row>
    <row r="14" spans="1:13">
      <c r="A14" s="101" t="s">
        <v>218</v>
      </c>
      <c r="C14" s="101" t="s">
        <v>179</v>
      </c>
      <c r="D14" s="101" t="s">
        <v>187</v>
      </c>
      <c r="E14" s="101">
        <v>8</v>
      </c>
      <c r="F14" s="101" t="s">
        <v>188</v>
      </c>
    </row>
    <row r="15" spans="1:13">
      <c r="A15" s="101" t="s">
        <v>232</v>
      </c>
      <c r="E15" s="101">
        <v>5</v>
      </c>
      <c r="F15" s="101" t="s">
        <v>189</v>
      </c>
    </row>
    <row r="16" spans="1:13">
      <c r="A16" s="101" t="s">
        <v>211</v>
      </c>
    </row>
    <row r="17" spans="1:18">
      <c r="A17" s="101" t="s">
        <v>212</v>
      </c>
    </row>
    <row r="18" spans="1:18">
      <c r="A18" s="101" t="s">
        <v>213</v>
      </c>
    </row>
    <row r="19" spans="1:18">
      <c r="A19" s="101" t="s">
        <v>295</v>
      </c>
    </row>
    <row r="20" spans="1:18">
      <c r="A20" s="101" t="s">
        <v>214</v>
      </c>
    </row>
    <row r="21" spans="1:18" ht="17.25" thickBot="1"/>
    <row r="22" spans="1:18" ht="17.25" thickBot="1">
      <c r="A22" s="105" t="s">
        <v>451</v>
      </c>
      <c r="B22" s="106"/>
      <c r="C22" s="106" t="s">
        <v>45</v>
      </c>
      <c r="D22" s="106" t="s">
        <v>46</v>
      </c>
      <c r="E22" s="106" t="s">
        <v>47</v>
      </c>
      <c r="F22" s="106" t="s">
        <v>581</v>
      </c>
      <c r="G22" s="106">
        <v>1</v>
      </c>
      <c r="H22" s="106">
        <v>2</v>
      </c>
      <c r="I22" s="106">
        <v>3</v>
      </c>
      <c r="J22" s="106">
        <v>4</v>
      </c>
      <c r="K22" s="106">
        <v>5</v>
      </c>
      <c r="L22" s="106">
        <v>6</v>
      </c>
      <c r="M22" s="106"/>
      <c r="N22" s="106"/>
      <c r="O22" s="106"/>
      <c r="P22" s="106"/>
      <c r="Q22" s="106"/>
      <c r="R22" s="107"/>
    </row>
    <row r="23" spans="1:18">
      <c r="A23" s="273" t="s">
        <v>440</v>
      </c>
      <c r="B23" s="273" t="s">
        <v>441</v>
      </c>
      <c r="C23" s="273" t="s">
        <v>442</v>
      </c>
      <c r="D23" s="108">
        <v>2</v>
      </c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</row>
    <row r="25" spans="1:18">
      <c r="A25" s="101" t="s">
        <v>246</v>
      </c>
    </row>
    <row r="26" spans="1:18">
      <c r="A26" s="101" t="s">
        <v>247</v>
      </c>
      <c r="B26" s="101" t="str">
        <f>SUBSTITUTE(  SUBSTITUTE(  SUBSTITUTE(  SUBSTITUTE(  SUBSTITUTE(  SUBSTITUTE(  SUBSTITUTE(  SUBSTITUTE(  SUBSTITUTE(  SUBSTITUTE(  SUBSTITUTE(      FormattedPeopleNames("勤務分配", {"14-16","待命","備勤","中隊值班"}),暫1!A18,"",1),暫1!B18,"",1),暫1!C18,"",1),暫1!D18,"",1),暫1!E18,"",1),暫1!F18,"",1),暫1!G18,"",1),暫1!H18,"",1),暫1!I18,"",1),暫1!J18,"",1),暫1!K18,"",1)</f>
        <v>陳正賢、黃慶生、洪奇昌</v>
      </c>
    </row>
    <row r="27" spans="1:18">
      <c r="A27" s="101" t="s">
        <v>248</v>
      </c>
      <c r="B27" s="101" t="str">
        <f>FormattedPeopleNames("勤務分配", {"22-24","待命","備勤","中隊值班"})</f>
        <v>袁郁章</v>
      </c>
    </row>
    <row r="28" spans="1:18">
      <c r="A28" s="101" t="s">
        <v>292</v>
      </c>
      <c r="B28" s="101" t="str">
        <f>' 役男公式'!BG23</f>
        <v>鄭智謙、鄭凱文、邱昱銘、李政聰、梁展碩、何奕諠、鄭品豪、張恩齊、周承澔、楊鈞翔、游瀚翔、陳羲</v>
      </c>
    </row>
  </sheetData>
  <phoneticPr fontId="2" type="noConversion"/>
  <conditionalFormatting sqref="A3:C3">
    <cfRule type="containsBlanks" dxfId="8" priority="7">
      <formula>LEN(TRIM(A3))=0</formula>
    </cfRule>
  </conditionalFormatting>
  <conditionalFormatting sqref="C10">
    <cfRule type="containsBlanks" dxfId="7" priority="2">
      <formula>LEN(TRIM(C10))=0</formula>
    </cfRule>
  </conditionalFormatting>
  <conditionalFormatting sqref="E10">
    <cfRule type="containsBlanks" dxfId="6" priority="1">
      <formula>LEN(TRIM(E10))=0</formula>
    </cfRule>
  </conditionalFormatting>
  <dataValidations count="3">
    <dataValidation type="list" allowBlank="1" showInputMessage="1" showErrorMessage="1" sqref="C10">
      <formula1>$C$12:$C$14</formula1>
    </dataValidation>
    <dataValidation type="list" allowBlank="1" showInputMessage="1" showErrorMessage="1" sqref="E10">
      <formula1>$E$12:$E$15</formula1>
    </dataValidation>
    <dataValidation type="list" allowBlank="1" showInputMessage="1" showErrorMessage="1" sqref="A10">
      <formula1>$A$12:$A$21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B050"/>
    <pageSetUpPr fitToPage="1"/>
  </sheetPr>
  <dimension ref="A1:GU69"/>
  <sheetViews>
    <sheetView topLeftCell="G2" zoomScale="70" zoomScaleNormal="70" workbookViewId="0">
      <pane ySplit="3" topLeftCell="A10" activePane="bottomLeft" state="frozen"/>
      <selection activeCell="A2" sqref="A2"/>
      <selection pane="bottomLeft" activeCell="AG33" sqref="AG33"/>
    </sheetView>
  </sheetViews>
  <sheetFormatPr defaultColWidth="9" defaultRowHeight="24.75"/>
  <cols>
    <col min="1" max="1" width="10.625" style="125" customWidth="1"/>
    <col min="2" max="2" width="12.375" style="125" customWidth="1"/>
    <col min="3" max="5" width="10.625" style="141" customWidth="1"/>
    <col min="6" max="6" width="10.625" style="161" customWidth="1"/>
    <col min="7" max="12" width="10.625" style="141" customWidth="1"/>
    <col min="13" max="13" width="10.625" style="161" customWidth="1"/>
    <col min="14" max="18" width="10.625" style="141" customWidth="1"/>
    <col min="19" max="20" width="10.625" style="161" customWidth="1"/>
    <col min="21" max="25" width="10.625" style="141" customWidth="1"/>
    <col min="26" max="27" width="10.625" style="161" customWidth="1"/>
    <col min="28" max="34" width="10.625" style="162" customWidth="1"/>
    <col min="35" max="35" width="14.75" style="162" customWidth="1"/>
    <col min="36" max="36" width="10.625" style="162" customWidth="1"/>
    <col min="37" max="38" width="10.625" style="143" customWidth="1"/>
    <col min="39" max="16384" width="9" style="143"/>
  </cols>
  <sheetData>
    <row r="1" spans="1:203" s="118" customFormat="1" ht="25.5" customHeight="1" thickBot="1">
      <c r="A1" s="521" t="s">
        <v>622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  <c r="AD1" s="522"/>
      <c r="AE1" s="522"/>
      <c r="AF1" s="522"/>
      <c r="AG1" s="522"/>
      <c r="AH1" s="522"/>
      <c r="AI1" s="522"/>
      <c r="AJ1" s="522"/>
      <c r="AK1" s="522"/>
      <c r="AL1" s="523"/>
      <c r="AM1" s="515"/>
      <c r="AN1" s="515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7"/>
    </row>
    <row r="2" spans="1:203" s="118" customFormat="1" ht="25.5" customHeight="1" thickBot="1">
      <c r="A2" s="524"/>
      <c r="B2" s="525"/>
      <c r="C2" s="525"/>
      <c r="D2" s="525"/>
      <c r="E2" s="525"/>
      <c r="F2" s="525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  <c r="Z2" s="525"/>
      <c r="AA2" s="525"/>
      <c r="AB2" s="525"/>
      <c r="AC2" s="525"/>
      <c r="AD2" s="525"/>
      <c r="AE2" s="525"/>
      <c r="AF2" s="525"/>
      <c r="AG2" s="525"/>
      <c r="AH2" s="525"/>
      <c r="AI2" s="525"/>
      <c r="AJ2" s="525"/>
      <c r="AK2" s="525"/>
      <c r="AL2" s="526"/>
      <c r="AM2" s="515"/>
      <c r="AN2" s="515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</row>
    <row r="3" spans="1:203" s="124" customFormat="1" ht="25.5" customHeight="1">
      <c r="A3" s="119"/>
      <c r="B3" s="120"/>
      <c r="C3" s="405">
        <v>1</v>
      </c>
      <c r="D3" s="284">
        <v>2</v>
      </c>
      <c r="E3" s="489">
        <v>3</v>
      </c>
      <c r="F3" s="287">
        <v>4</v>
      </c>
      <c r="G3" s="285">
        <v>5</v>
      </c>
      <c r="H3" s="285">
        <v>6</v>
      </c>
      <c r="I3" s="287">
        <v>7</v>
      </c>
      <c r="J3" s="284">
        <v>8</v>
      </c>
      <c r="K3" s="121">
        <v>9</v>
      </c>
      <c r="L3" s="121">
        <v>10</v>
      </c>
      <c r="M3" s="121">
        <v>11</v>
      </c>
      <c r="N3" s="123">
        <v>12</v>
      </c>
      <c r="O3" s="123">
        <v>13</v>
      </c>
      <c r="P3" s="122">
        <v>14</v>
      </c>
      <c r="Q3" s="121">
        <v>15</v>
      </c>
      <c r="R3" s="121">
        <v>16</v>
      </c>
      <c r="S3" s="486">
        <v>17</v>
      </c>
      <c r="T3" s="121">
        <v>18</v>
      </c>
      <c r="U3" s="123">
        <v>19</v>
      </c>
      <c r="V3" s="123">
        <v>20</v>
      </c>
      <c r="W3" s="122">
        <v>21</v>
      </c>
      <c r="X3" s="121">
        <v>22</v>
      </c>
      <c r="Y3" s="486">
        <v>23</v>
      </c>
      <c r="Z3" s="121">
        <v>24</v>
      </c>
      <c r="AA3" s="121">
        <v>25</v>
      </c>
      <c r="AB3" s="123">
        <v>26</v>
      </c>
      <c r="AC3" s="123">
        <v>27</v>
      </c>
      <c r="AD3" s="122">
        <v>28</v>
      </c>
      <c r="AE3" s="122">
        <v>29</v>
      </c>
      <c r="AF3" s="486">
        <v>30</v>
      </c>
      <c r="AG3" s="122">
        <v>31</v>
      </c>
      <c r="AH3" s="122"/>
      <c r="AI3" s="122"/>
      <c r="AJ3" s="304"/>
      <c r="AK3" s="308"/>
      <c r="AL3" s="527" t="s">
        <v>302</v>
      </c>
      <c r="AM3" s="515"/>
      <c r="AN3" s="515"/>
    </row>
    <row r="4" spans="1:203" s="125" customFormat="1" ht="25.5" customHeight="1">
      <c r="A4" s="393" t="s">
        <v>257</v>
      </c>
      <c r="B4" s="394" t="s">
        <v>258</v>
      </c>
      <c r="C4" s="395" t="s">
        <v>567</v>
      </c>
      <c r="D4" s="395" t="s">
        <v>569</v>
      </c>
      <c r="E4" s="487" t="s">
        <v>93</v>
      </c>
      <c r="F4" s="397" t="s">
        <v>576</v>
      </c>
      <c r="G4" s="395" t="s">
        <v>577</v>
      </c>
      <c r="H4" s="395" t="s">
        <v>578</v>
      </c>
      <c r="I4" s="395" t="s">
        <v>579</v>
      </c>
      <c r="J4" s="395" t="s">
        <v>567</v>
      </c>
      <c r="K4" s="395" t="s">
        <v>569</v>
      </c>
      <c r="L4" s="396" t="s">
        <v>93</v>
      </c>
      <c r="M4" s="397" t="s">
        <v>576</v>
      </c>
      <c r="N4" s="395" t="s">
        <v>577</v>
      </c>
      <c r="O4" s="395" t="s">
        <v>578</v>
      </c>
      <c r="P4" s="395" t="s">
        <v>579</v>
      </c>
      <c r="Q4" s="395" t="s">
        <v>567</v>
      </c>
      <c r="R4" s="395" t="s">
        <v>569</v>
      </c>
      <c r="S4" s="487" t="s">
        <v>93</v>
      </c>
      <c r="T4" s="397" t="s">
        <v>576</v>
      </c>
      <c r="U4" s="395" t="s">
        <v>577</v>
      </c>
      <c r="V4" s="395" t="s">
        <v>578</v>
      </c>
      <c r="W4" s="395" t="s">
        <v>579</v>
      </c>
      <c r="X4" s="395" t="s">
        <v>567</v>
      </c>
      <c r="Y4" s="487" t="s">
        <v>569</v>
      </c>
      <c r="Z4" s="396" t="s">
        <v>93</v>
      </c>
      <c r="AA4" s="397" t="s">
        <v>576</v>
      </c>
      <c r="AB4" s="395" t="s">
        <v>577</v>
      </c>
      <c r="AC4" s="395" t="s">
        <v>578</v>
      </c>
      <c r="AD4" s="395" t="s">
        <v>579</v>
      </c>
      <c r="AE4" s="395" t="s">
        <v>567</v>
      </c>
      <c r="AF4" s="487" t="s">
        <v>569</v>
      </c>
      <c r="AG4" s="396" t="s">
        <v>93</v>
      </c>
      <c r="AH4" s="286"/>
      <c r="AI4" s="286"/>
      <c r="AJ4" s="286"/>
      <c r="AK4" s="309"/>
      <c r="AL4" s="528"/>
      <c r="AM4" s="515"/>
      <c r="AN4" s="515"/>
      <c r="AO4" s="126"/>
      <c r="AP4" s="126"/>
      <c r="AQ4" s="126"/>
      <c r="AR4" s="126"/>
      <c r="AS4" s="126"/>
      <c r="AT4" s="126"/>
      <c r="AU4" s="126"/>
      <c r="AV4" s="126"/>
      <c r="AW4" s="126"/>
      <c r="AX4" s="126"/>
      <c r="AY4" s="126"/>
      <c r="AZ4" s="126"/>
      <c r="BA4" s="126"/>
      <c r="BB4" s="126"/>
      <c r="BC4" s="126"/>
      <c r="BD4" s="126"/>
      <c r="BE4" s="126"/>
      <c r="BF4" s="126"/>
      <c r="BG4" s="126"/>
      <c r="BH4" s="126"/>
      <c r="BI4" s="126"/>
      <c r="BJ4" s="126"/>
      <c r="BK4" s="126"/>
      <c r="BL4" s="126"/>
      <c r="BM4" s="126"/>
      <c r="BN4" s="126"/>
      <c r="BO4" s="126"/>
      <c r="BP4" s="126"/>
      <c r="BQ4" s="126"/>
      <c r="BR4" s="126"/>
      <c r="BS4" s="126"/>
      <c r="BT4" s="126"/>
      <c r="BU4" s="126"/>
      <c r="BV4" s="126"/>
      <c r="BW4" s="126"/>
      <c r="BX4" s="126"/>
      <c r="BY4" s="126"/>
      <c r="BZ4" s="126"/>
      <c r="CA4" s="126"/>
      <c r="CB4" s="126"/>
      <c r="CC4" s="126"/>
      <c r="CD4" s="126"/>
      <c r="CE4" s="126"/>
      <c r="CF4" s="126"/>
      <c r="CG4" s="126"/>
      <c r="CH4" s="126"/>
      <c r="CI4" s="126"/>
      <c r="CJ4" s="126"/>
      <c r="CK4" s="126"/>
      <c r="CL4" s="126"/>
      <c r="CM4" s="126"/>
      <c r="CN4" s="126"/>
      <c r="CO4" s="126"/>
      <c r="CP4" s="126"/>
      <c r="CQ4" s="126"/>
      <c r="CR4" s="126"/>
      <c r="CS4" s="126"/>
      <c r="CT4" s="126"/>
      <c r="CU4" s="126"/>
      <c r="CV4" s="126"/>
      <c r="CW4" s="126"/>
      <c r="CX4" s="126"/>
      <c r="CY4" s="126"/>
      <c r="CZ4" s="126"/>
      <c r="DA4" s="126"/>
      <c r="DB4" s="126"/>
      <c r="DC4" s="126"/>
      <c r="DD4" s="126"/>
      <c r="DE4" s="126"/>
      <c r="DF4" s="126"/>
      <c r="DG4" s="126"/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126"/>
      <c r="DV4" s="126"/>
      <c r="DW4" s="126"/>
      <c r="DX4" s="126"/>
      <c r="DY4" s="126"/>
      <c r="DZ4" s="126"/>
      <c r="EA4" s="126"/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6"/>
      <c r="EN4" s="126"/>
      <c r="EO4" s="126"/>
      <c r="EP4" s="126"/>
      <c r="EQ4" s="126"/>
      <c r="ER4" s="126"/>
      <c r="ES4" s="126"/>
      <c r="ET4" s="126"/>
      <c r="EU4" s="126"/>
      <c r="EV4" s="126"/>
      <c r="EW4" s="126"/>
      <c r="EX4" s="126"/>
      <c r="EY4" s="126"/>
      <c r="EZ4" s="126"/>
      <c r="FA4" s="126"/>
      <c r="FB4" s="126"/>
      <c r="FC4" s="126"/>
      <c r="FD4" s="126"/>
      <c r="FE4" s="126"/>
      <c r="FF4" s="126"/>
      <c r="FG4" s="126"/>
      <c r="FH4" s="126"/>
      <c r="FI4" s="126"/>
      <c r="FJ4" s="126"/>
      <c r="FK4" s="126"/>
      <c r="FL4" s="126"/>
      <c r="FM4" s="126"/>
      <c r="FN4" s="126"/>
      <c r="FO4" s="126"/>
      <c r="FP4" s="126"/>
      <c r="FQ4" s="126"/>
      <c r="FR4" s="126"/>
      <c r="FS4" s="126"/>
      <c r="FT4" s="126"/>
      <c r="FU4" s="126"/>
      <c r="FV4" s="126"/>
      <c r="FW4" s="126"/>
      <c r="FX4" s="126"/>
      <c r="FY4" s="126"/>
      <c r="FZ4" s="126"/>
      <c r="GA4" s="126"/>
      <c r="GB4" s="126"/>
      <c r="GC4" s="126"/>
      <c r="GD4" s="126"/>
      <c r="GE4" s="126"/>
      <c r="GF4" s="126"/>
      <c r="GG4" s="126"/>
      <c r="GH4" s="126"/>
      <c r="GI4" s="126"/>
      <c r="GJ4" s="126"/>
      <c r="GK4" s="126"/>
      <c r="GL4" s="126"/>
      <c r="GM4" s="126"/>
      <c r="GN4" s="126"/>
      <c r="GO4" s="126"/>
      <c r="GP4" s="126"/>
      <c r="GQ4" s="126"/>
      <c r="GR4" s="126"/>
      <c r="GS4" s="126"/>
      <c r="GT4" s="126"/>
      <c r="GU4" s="126"/>
    </row>
    <row r="5" spans="1:203" ht="25.5">
      <c r="A5" s="466">
        <v>1</v>
      </c>
      <c r="B5" s="398" t="s">
        <v>735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 t="s">
        <v>767</v>
      </c>
      <c r="AH5" s="466">
        <v>1</v>
      </c>
      <c r="AI5" s="398" t="s">
        <v>735</v>
      </c>
      <c r="AJ5" s="465"/>
      <c r="AK5" s="127"/>
      <c r="AL5" s="128"/>
    </row>
    <row r="6" spans="1:203" ht="25.5">
      <c r="A6" s="463">
        <v>2</v>
      </c>
      <c r="B6" s="398" t="s">
        <v>736</v>
      </c>
      <c r="C6" s="454"/>
      <c r="D6" s="454"/>
      <c r="E6" s="454"/>
      <c r="F6" s="454"/>
      <c r="G6" s="454"/>
      <c r="H6" s="454"/>
      <c r="I6" s="454"/>
      <c r="J6" s="454"/>
      <c r="K6" s="454"/>
      <c r="L6" s="484"/>
      <c r="M6" s="485"/>
      <c r="N6" s="485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63">
        <v>2</v>
      </c>
      <c r="AI6" s="398" t="s">
        <v>736</v>
      </c>
      <c r="AJ6" s="465"/>
      <c r="AK6" s="127"/>
      <c r="AL6" s="128"/>
    </row>
    <row r="7" spans="1:203" s="129" customFormat="1" ht="25.5" customHeight="1">
      <c r="A7" s="466">
        <v>3</v>
      </c>
      <c r="B7" s="398" t="s">
        <v>737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 t="s">
        <v>562</v>
      </c>
      <c r="AH7" s="466">
        <v>3</v>
      </c>
      <c r="AI7" s="398" t="s">
        <v>737</v>
      </c>
      <c r="AJ7" s="465"/>
      <c r="AK7" s="127"/>
      <c r="AL7" s="128"/>
      <c r="AM7" s="290"/>
      <c r="AN7" s="290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</row>
    <row r="8" spans="1:203" s="132" customFormat="1" ht="25.5" customHeight="1">
      <c r="A8" s="466">
        <v>4</v>
      </c>
      <c r="B8" s="398" t="s">
        <v>738</v>
      </c>
      <c r="C8" s="467"/>
      <c r="D8" s="467"/>
      <c r="E8" s="467"/>
      <c r="F8" s="467"/>
      <c r="G8" s="467"/>
      <c r="H8" s="467"/>
      <c r="I8" s="467"/>
      <c r="J8" s="467"/>
      <c r="K8" s="467"/>
      <c r="L8" s="467"/>
      <c r="M8" s="467"/>
      <c r="N8" s="467"/>
      <c r="O8" s="467"/>
      <c r="P8" s="467"/>
      <c r="Q8" s="467"/>
      <c r="R8" s="467"/>
      <c r="S8" s="467"/>
      <c r="T8" s="467"/>
      <c r="U8" s="467"/>
      <c r="V8" s="467"/>
      <c r="W8" s="467"/>
      <c r="X8" s="467"/>
      <c r="Y8" s="467"/>
      <c r="Z8" s="467"/>
      <c r="AA8" s="467"/>
      <c r="AB8" s="467"/>
      <c r="AC8" s="467"/>
      <c r="AD8" s="467"/>
      <c r="AE8" s="467"/>
      <c r="AF8" s="467"/>
      <c r="AG8" s="454"/>
      <c r="AH8" s="466">
        <v>4</v>
      </c>
      <c r="AI8" s="398" t="s">
        <v>738</v>
      </c>
      <c r="AJ8" s="465"/>
      <c r="AK8" s="127"/>
      <c r="AL8" s="128"/>
      <c r="AM8" s="291"/>
      <c r="AN8" s="291"/>
      <c r="AO8" s="130"/>
      <c r="AP8" s="130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1"/>
      <c r="BQ8" s="131"/>
      <c r="BR8" s="131"/>
      <c r="BS8" s="131"/>
      <c r="BT8" s="131"/>
      <c r="BU8" s="131"/>
      <c r="BV8" s="131"/>
      <c r="BW8" s="131"/>
      <c r="BX8" s="131"/>
      <c r="BY8" s="131"/>
      <c r="BZ8" s="131"/>
      <c r="CA8" s="131"/>
      <c r="CB8" s="131"/>
      <c r="CC8" s="131"/>
      <c r="CD8" s="131"/>
      <c r="CE8" s="131"/>
      <c r="CF8" s="131"/>
      <c r="CG8" s="131"/>
      <c r="CH8" s="131"/>
      <c r="CI8" s="131"/>
      <c r="CJ8" s="131"/>
      <c r="CK8" s="131"/>
      <c r="CL8" s="131"/>
      <c r="CM8" s="131"/>
      <c r="CN8" s="131"/>
      <c r="CO8" s="131"/>
      <c r="CP8" s="131"/>
      <c r="CQ8" s="131"/>
      <c r="CR8" s="131"/>
      <c r="CS8" s="131"/>
      <c r="CT8" s="131"/>
      <c r="CU8" s="131"/>
      <c r="CV8" s="131"/>
      <c r="CW8" s="131"/>
      <c r="CX8" s="131"/>
      <c r="CY8" s="131"/>
      <c r="CZ8" s="131"/>
      <c r="DA8" s="131"/>
      <c r="DB8" s="131"/>
      <c r="DC8" s="131"/>
      <c r="DD8" s="131"/>
      <c r="DE8" s="131"/>
      <c r="DF8" s="131"/>
      <c r="DG8" s="131"/>
      <c r="DH8" s="131"/>
      <c r="DI8" s="131"/>
      <c r="DJ8" s="131"/>
      <c r="DK8" s="131"/>
      <c r="DL8" s="131"/>
      <c r="DM8" s="131"/>
      <c r="DN8" s="131"/>
      <c r="DO8" s="131"/>
      <c r="DP8" s="131"/>
      <c r="DQ8" s="131"/>
      <c r="DR8" s="131"/>
      <c r="DS8" s="131"/>
      <c r="DT8" s="131"/>
      <c r="DU8" s="131"/>
      <c r="DV8" s="131"/>
      <c r="DW8" s="131"/>
      <c r="DX8" s="131"/>
      <c r="DY8" s="131"/>
      <c r="DZ8" s="131"/>
      <c r="EA8" s="131"/>
      <c r="EB8" s="131"/>
      <c r="EC8" s="131"/>
      <c r="ED8" s="131"/>
      <c r="EE8" s="131"/>
      <c r="EF8" s="131"/>
      <c r="EG8" s="131"/>
      <c r="EH8" s="131"/>
      <c r="EI8" s="131"/>
      <c r="EJ8" s="131"/>
      <c r="EK8" s="131"/>
      <c r="EL8" s="131"/>
      <c r="EM8" s="131"/>
      <c r="EN8" s="131"/>
      <c r="EO8" s="131"/>
      <c r="EP8" s="131"/>
      <c r="EQ8" s="131"/>
      <c r="ER8" s="131"/>
      <c r="ES8" s="131"/>
      <c r="ET8" s="131"/>
      <c r="EU8" s="131"/>
      <c r="EV8" s="131"/>
      <c r="EW8" s="131"/>
      <c r="EX8" s="131"/>
      <c r="EY8" s="131"/>
      <c r="EZ8" s="131"/>
      <c r="FA8" s="131"/>
      <c r="FB8" s="131"/>
      <c r="FC8" s="131"/>
      <c r="FD8" s="131"/>
      <c r="FE8" s="131"/>
      <c r="FF8" s="131"/>
      <c r="FG8" s="131"/>
      <c r="FH8" s="131"/>
      <c r="FI8" s="131"/>
      <c r="FJ8" s="131"/>
      <c r="FK8" s="131"/>
      <c r="FL8" s="131"/>
      <c r="FM8" s="131"/>
      <c r="FN8" s="131"/>
      <c r="FO8" s="131"/>
      <c r="FP8" s="131"/>
      <c r="FQ8" s="131"/>
      <c r="FR8" s="131"/>
      <c r="FS8" s="131"/>
      <c r="FT8" s="131"/>
      <c r="FU8" s="131"/>
      <c r="FV8" s="131"/>
      <c r="FW8" s="131"/>
      <c r="FX8" s="131"/>
      <c r="FY8" s="131"/>
      <c r="FZ8" s="131"/>
      <c r="GA8" s="131"/>
      <c r="GB8" s="131"/>
      <c r="GC8" s="131"/>
      <c r="GD8" s="131"/>
      <c r="GE8" s="131"/>
      <c r="GF8" s="131"/>
      <c r="GG8" s="131"/>
      <c r="GH8" s="131"/>
      <c r="GI8" s="131"/>
      <c r="GJ8" s="131"/>
      <c r="GK8" s="131"/>
      <c r="GL8" s="131"/>
      <c r="GM8" s="131"/>
      <c r="GN8" s="131"/>
      <c r="GO8" s="131"/>
      <c r="GP8" s="131"/>
      <c r="GQ8" s="131"/>
      <c r="GR8" s="131"/>
      <c r="GS8" s="131"/>
      <c r="GT8" s="131"/>
      <c r="GU8" s="131"/>
    </row>
    <row r="9" spans="1:203" s="133" customFormat="1" ht="25.5" customHeight="1">
      <c r="A9" s="466">
        <v>5</v>
      </c>
      <c r="B9" s="398" t="s">
        <v>739</v>
      </c>
      <c r="C9" s="467"/>
      <c r="D9" s="467"/>
      <c r="E9" s="467"/>
      <c r="F9" s="467"/>
      <c r="G9" s="467"/>
      <c r="H9" s="467"/>
      <c r="I9" s="467"/>
      <c r="J9" s="467"/>
      <c r="K9" s="467"/>
      <c r="L9" s="467"/>
      <c r="M9" s="467"/>
      <c r="N9" s="467"/>
      <c r="O9" s="467"/>
      <c r="P9" s="467"/>
      <c r="Q9" s="467"/>
      <c r="R9" s="467"/>
      <c r="S9" s="467"/>
      <c r="T9" s="467"/>
      <c r="U9" s="467"/>
      <c r="V9" s="467"/>
      <c r="W9" s="467"/>
      <c r="X9" s="467"/>
      <c r="Y9" s="467"/>
      <c r="Z9" s="467"/>
      <c r="AA9" s="467"/>
      <c r="AB9" s="467"/>
      <c r="AC9" s="467"/>
      <c r="AD9" s="467"/>
      <c r="AE9" s="467"/>
      <c r="AF9" s="467" t="s">
        <v>753</v>
      </c>
      <c r="AG9" s="467" t="s">
        <v>752</v>
      </c>
      <c r="AH9" s="466">
        <v>5</v>
      </c>
      <c r="AI9" s="398" t="s">
        <v>739</v>
      </c>
      <c r="AJ9" s="465"/>
      <c r="AK9" s="127"/>
      <c r="AL9" s="128"/>
      <c r="AM9" s="290"/>
      <c r="AN9" s="290"/>
      <c r="AO9" s="130"/>
      <c r="AP9" s="130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1"/>
      <c r="BQ9" s="131"/>
      <c r="BR9" s="131"/>
      <c r="BS9" s="131"/>
      <c r="BT9" s="131"/>
      <c r="BU9" s="131"/>
      <c r="BV9" s="131"/>
      <c r="BW9" s="131"/>
      <c r="BX9" s="131"/>
      <c r="BY9" s="131"/>
      <c r="BZ9" s="131"/>
      <c r="CA9" s="131"/>
      <c r="CB9" s="131"/>
      <c r="CC9" s="131"/>
      <c r="CD9" s="131"/>
      <c r="CE9" s="131"/>
      <c r="CF9" s="131"/>
      <c r="CG9" s="131"/>
      <c r="CH9" s="131"/>
      <c r="CI9" s="131"/>
      <c r="CJ9" s="131"/>
      <c r="CK9" s="131"/>
      <c r="CL9" s="131"/>
      <c r="CM9" s="131"/>
      <c r="CN9" s="131"/>
      <c r="CO9" s="131"/>
      <c r="CP9" s="131"/>
      <c r="CQ9" s="131"/>
      <c r="CR9" s="131"/>
      <c r="CS9" s="131"/>
      <c r="CT9" s="131"/>
      <c r="CU9" s="131"/>
      <c r="CV9" s="131"/>
      <c r="CW9" s="131"/>
      <c r="CX9" s="131"/>
      <c r="CY9" s="131"/>
      <c r="CZ9" s="131"/>
      <c r="DA9" s="131"/>
      <c r="DB9" s="131"/>
      <c r="DC9" s="131"/>
      <c r="DD9" s="131"/>
      <c r="DE9" s="131"/>
      <c r="DF9" s="131"/>
      <c r="DG9" s="131"/>
      <c r="DH9" s="131"/>
      <c r="DI9" s="131"/>
      <c r="DJ9" s="131"/>
      <c r="DK9" s="131"/>
      <c r="DL9" s="131"/>
      <c r="DM9" s="131"/>
      <c r="DN9" s="131"/>
      <c r="DO9" s="131"/>
      <c r="DP9" s="131"/>
      <c r="DQ9" s="131"/>
      <c r="DR9" s="131"/>
      <c r="DS9" s="131"/>
      <c r="DT9" s="131"/>
      <c r="DU9" s="131"/>
      <c r="DV9" s="131"/>
      <c r="DW9" s="131"/>
      <c r="DX9" s="131"/>
      <c r="DY9" s="131"/>
      <c r="DZ9" s="131"/>
      <c r="EA9" s="131"/>
      <c r="EB9" s="131"/>
      <c r="EC9" s="131"/>
      <c r="ED9" s="131"/>
      <c r="EE9" s="131"/>
      <c r="EF9" s="131"/>
      <c r="EG9" s="131"/>
      <c r="EH9" s="131"/>
      <c r="EI9" s="131"/>
      <c r="EJ9" s="131"/>
      <c r="EK9" s="131"/>
      <c r="EL9" s="131"/>
      <c r="EM9" s="131"/>
      <c r="EN9" s="131"/>
      <c r="EO9" s="131"/>
      <c r="EP9" s="131"/>
      <c r="EQ9" s="131"/>
      <c r="ER9" s="131"/>
      <c r="ES9" s="131"/>
      <c r="ET9" s="131"/>
      <c r="EU9" s="131"/>
      <c r="EV9" s="131"/>
      <c r="EW9" s="131"/>
      <c r="EX9" s="131"/>
      <c r="EY9" s="131"/>
      <c r="EZ9" s="131"/>
      <c r="FA9" s="131"/>
      <c r="FB9" s="131"/>
      <c r="FC9" s="131"/>
      <c r="FD9" s="131"/>
      <c r="FE9" s="131"/>
      <c r="FF9" s="131"/>
      <c r="FG9" s="131"/>
      <c r="FH9" s="131"/>
      <c r="FI9" s="131"/>
      <c r="FJ9" s="131"/>
      <c r="FK9" s="131"/>
      <c r="FL9" s="131"/>
      <c r="FM9" s="131"/>
      <c r="FN9" s="131"/>
      <c r="FO9" s="131"/>
      <c r="FP9" s="131"/>
      <c r="FQ9" s="131"/>
      <c r="FR9" s="131"/>
      <c r="FS9" s="131"/>
      <c r="FT9" s="131"/>
      <c r="FU9" s="131"/>
      <c r="FV9" s="131"/>
      <c r="FW9" s="131"/>
      <c r="FX9" s="131"/>
      <c r="FY9" s="131"/>
      <c r="FZ9" s="131"/>
      <c r="GA9" s="131"/>
      <c r="GB9" s="131"/>
      <c r="GC9" s="131"/>
      <c r="GD9" s="131"/>
      <c r="GE9" s="131"/>
      <c r="GF9" s="131"/>
      <c r="GG9" s="131"/>
      <c r="GH9" s="131"/>
      <c r="GI9" s="131"/>
      <c r="GJ9" s="131"/>
      <c r="GK9" s="131"/>
      <c r="GL9" s="131"/>
      <c r="GM9" s="131"/>
      <c r="GN9" s="131"/>
      <c r="GO9" s="131"/>
      <c r="GP9" s="131"/>
      <c r="GQ9" s="131"/>
      <c r="GR9" s="131"/>
      <c r="GS9" s="131"/>
      <c r="GT9" s="131"/>
      <c r="GU9" s="131"/>
    </row>
    <row r="10" spans="1:203" s="129" customFormat="1" ht="25.5" customHeight="1">
      <c r="A10" s="466">
        <v>6</v>
      </c>
      <c r="B10" s="398" t="s">
        <v>740</v>
      </c>
      <c r="C10" s="467"/>
      <c r="D10" s="467"/>
      <c r="E10" s="467"/>
      <c r="F10" s="467"/>
      <c r="G10" s="467"/>
      <c r="H10" s="467"/>
      <c r="I10" s="468"/>
      <c r="J10" s="467"/>
      <c r="K10" s="467"/>
      <c r="L10" s="468"/>
      <c r="M10" s="467"/>
      <c r="N10" s="468"/>
      <c r="O10" s="467"/>
      <c r="P10" s="468"/>
      <c r="Q10" s="467"/>
      <c r="R10" s="467"/>
      <c r="S10" s="467"/>
      <c r="T10" s="467"/>
      <c r="U10" s="468"/>
      <c r="V10" s="467"/>
      <c r="W10" s="468"/>
      <c r="X10" s="467"/>
      <c r="Y10" s="467"/>
      <c r="Z10" s="468"/>
      <c r="AA10" s="468"/>
      <c r="AB10" s="468"/>
      <c r="AC10" s="467"/>
      <c r="AD10" s="467"/>
      <c r="AE10" s="468"/>
      <c r="AF10" s="467"/>
      <c r="AG10" s="468"/>
      <c r="AH10" s="466">
        <v>6</v>
      </c>
      <c r="AI10" s="398" t="s">
        <v>740</v>
      </c>
      <c r="AJ10" s="465"/>
      <c r="AK10" s="127"/>
      <c r="AL10" s="128"/>
      <c r="AM10" s="291"/>
      <c r="AN10" s="29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/>
      <c r="CK10" s="131"/>
      <c r="CL10" s="131"/>
      <c r="CM10" s="131"/>
      <c r="CN10" s="131"/>
      <c r="CO10" s="131"/>
      <c r="CP10" s="131"/>
      <c r="CQ10" s="131"/>
      <c r="CR10" s="131"/>
      <c r="CS10" s="131"/>
      <c r="CT10" s="131"/>
      <c r="CU10" s="131"/>
      <c r="CV10" s="131"/>
      <c r="CW10" s="131"/>
      <c r="CX10" s="131"/>
      <c r="CY10" s="131"/>
      <c r="CZ10" s="131"/>
      <c r="DA10" s="131"/>
      <c r="DB10" s="131"/>
      <c r="DC10" s="131"/>
      <c r="DD10" s="131"/>
      <c r="DE10" s="131"/>
      <c r="DF10" s="131"/>
      <c r="DG10" s="131"/>
      <c r="DH10" s="131"/>
      <c r="DI10" s="131"/>
      <c r="DJ10" s="131"/>
      <c r="DK10" s="131"/>
      <c r="DL10" s="131"/>
      <c r="DM10" s="131"/>
      <c r="DN10" s="131"/>
      <c r="DO10" s="131"/>
      <c r="DP10" s="131"/>
      <c r="DQ10" s="131"/>
      <c r="DR10" s="131"/>
      <c r="DS10" s="131"/>
      <c r="DT10" s="131"/>
      <c r="DU10" s="131"/>
      <c r="DV10" s="131"/>
      <c r="DW10" s="131"/>
      <c r="DX10" s="131"/>
      <c r="DY10" s="131"/>
      <c r="DZ10" s="131"/>
      <c r="EA10" s="131"/>
      <c r="EB10" s="131"/>
      <c r="EC10" s="131"/>
      <c r="ED10" s="131"/>
      <c r="EE10" s="131"/>
      <c r="EF10" s="131"/>
      <c r="EG10" s="131"/>
      <c r="EH10" s="131"/>
      <c r="EI10" s="131"/>
      <c r="EJ10" s="131"/>
      <c r="EK10" s="131"/>
      <c r="EL10" s="131"/>
      <c r="EM10" s="131"/>
      <c r="EN10" s="131"/>
      <c r="EO10" s="131"/>
      <c r="EP10" s="131"/>
      <c r="EQ10" s="131"/>
      <c r="ER10" s="131"/>
      <c r="ES10" s="131"/>
      <c r="ET10" s="131"/>
      <c r="EU10" s="131"/>
      <c r="EV10" s="131"/>
      <c r="EW10" s="131"/>
      <c r="EX10" s="131"/>
      <c r="EY10" s="131"/>
      <c r="EZ10" s="131"/>
      <c r="FA10" s="131"/>
      <c r="FB10" s="131"/>
      <c r="FC10" s="131"/>
      <c r="FD10" s="131"/>
      <c r="FE10" s="131"/>
      <c r="FF10" s="131"/>
      <c r="FG10" s="131"/>
      <c r="FH10" s="131"/>
      <c r="FI10" s="131"/>
      <c r="FJ10" s="131"/>
      <c r="FK10" s="131"/>
      <c r="FL10" s="131"/>
      <c r="FM10" s="131"/>
      <c r="FN10" s="131"/>
      <c r="FO10" s="131"/>
      <c r="FP10" s="131"/>
      <c r="FQ10" s="131"/>
      <c r="FR10" s="131"/>
      <c r="FS10" s="131"/>
      <c r="FT10" s="131"/>
      <c r="FU10" s="131"/>
      <c r="FV10" s="131"/>
      <c r="FW10" s="131"/>
      <c r="FX10" s="131"/>
      <c r="FY10" s="131"/>
      <c r="FZ10" s="131"/>
      <c r="GA10" s="131"/>
      <c r="GB10" s="131"/>
      <c r="GC10" s="131"/>
      <c r="GD10" s="131"/>
      <c r="GE10" s="131"/>
      <c r="GF10" s="131"/>
      <c r="GG10" s="131"/>
      <c r="GH10" s="131"/>
      <c r="GI10" s="131"/>
      <c r="GJ10" s="131"/>
      <c r="GK10" s="131"/>
      <c r="GL10" s="131"/>
      <c r="GM10" s="131"/>
      <c r="GN10" s="131"/>
      <c r="GO10" s="131"/>
      <c r="GP10" s="131"/>
      <c r="GQ10" s="131"/>
      <c r="GR10" s="131"/>
      <c r="GS10" s="131"/>
      <c r="GT10" s="131"/>
      <c r="GU10" s="131"/>
    </row>
    <row r="11" spans="1:203" s="129" customFormat="1" ht="25.5" customHeight="1">
      <c r="A11" s="466">
        <v>7</v>
      </c>
      <c r="B11" s="398" t="s">
        <v>741</v>
      </c>
      <c r="C11" s="467"/>
      <c r="D11" s="467"/>
      <c r="E11" s="467"/>
      <c r="F11" s="467"/>
      <c r="G11" s="467"/>
      <c r="H11" s="467"/>
      <c r="I11" s="467"/>
      <c r="J11" s="467"/>
      <c r="K11" s="467"/>
      <c r="L11" s="467"/>
      <c r="M11" s="467"/>
      <c r="N11" s="467"/>
      <c r="O11" s="467"/>
      <c r="P11" s="467"/>
      <c r="Q11" s="467"/>
      <c r="R11" s="467"/>
      <c r="S11" s="467"/>
      <c r="T11" s="467"/>
      <c r="U11" s="467"/>
      <c r="V11" s="467"/>
      <c r="W11" s="467"/>
      <c r="X11" s="467"/>
      <c r="Y11" s="467"/>
      <c r="Z11" s="467"/>
      <c r="AA11" s="467"/>
      <c r="AB11" s="467"/>
      <c r="AC11" s="467"/>
      <c r="AD11" s="467"/>
      <c r="AE11" s="467"/>
      <c r="AF11" s="467"/>
      <c r="AG11" s="467" t="s">
        <v>768</v>
      </c>
      <c r="AH11" s="466">
        <v>7</v>
      </c>
      <c r="AI11" s="398" t="s">
        <v>741</v>
      </c>
      <c r="AJ11" s="465"/>
      <c r="AK11" s="127"/>
      <c r="AL11" s="128"/>
      <c r="AM11" s="290"/>
      <c r="AN11" s="290"/>
      <c r="AO11" s="130"/>
      <c r="AP11" s="130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1"/>
      <c r="CY11" s="131"/>
      <c r="CZ11" s="131"/>
      <c r="DA11" s="131"/>
      <c r="DB11" s="131"/>
      <c r="DC11" s="131"/>
      <c r="DD11" s="131"/>
      <c r="DE11" s="131"/>
      <c r="DF11" s="131"/>
      <c r="DG11" s="131"/>
      <c r="DH11" s="131"/>
      <c r="DI11" s="131"/>
      <c r="DJ11" s="131"/>
      <c r="DK11" s="131"/>
      <c r="DL11" s="131"/>
      <c r="DM11" s="131"/>
      <c r="DN11" s="131"/>
      <c r="DO11" s="131"/>
      <c r="DP11" s="131"/>
      <c r="DQ11" s="131"/>
      <c r="DR11" s="131"/>
      <c r="DS11" s="131"/>
      <c r="DT11" s="131"/>
      <c r="DU11" s="131"/>
      <c r="DV11" s="131"/>
      <c r="DW11" s="131"/>
      <c r="DX11" s="131"/>
      <c r="DY11" s="131"/>
      <c r="DZ11" s="131"/>
      <c r="EA11" s="131"/>
      <c r="EB11" s="131"/>
      <c r="EC11" s="131"/>
      <c r="ED11" s="131"/>
      <c r="EE11" s="131"/>
      <c r="EF11" s="131"/>
      <c r="EG11" s="131"/>
      <c r="EH11" s="131"/>
      <c r="EI11" s="131"/>
      <c r="EJ11" s="131"/>
      <c r="EK11" s="131"/>
      <c r="EL11" s="131"/>
      <c r="EM11" s="131"/>
      <c r="EN11" s="131"/>
      <c r="EO11" s="131"/>
      <c r="EP11" s="131"/>
      <c r="EQ11" s="131"/>
      <c r="ER11" s="131"/>
      <c r="ES11" s="131"/>
      <c r="ET11" s="131"/>
      <c r="EU11" s="131"/>
      <c r="EV11" s="131"/>
      <c r="EW11" s="131"/>
      <c r="EX11" s="131"/>
      <c r="EY11" s="131"/>
      <c r="EZ11" s="131"/>
      <c r="FA11" s="131"/>
      <c r="FB11" s="131"/>
      <c r="FC11" s="131"/>
      <c r="FD11" s="131"/>
      <c r="FE11" s="131"/>
      <c r="FF11" s="131"/>
      <c r="FG11" s="131"/>
      <c r="FH11" s="131"/>
      <c r="FI11" s="131"/>
      <c r="FJ11" s="131"/>
      <c r="FK11" s="131"/>
      <c r="FL11" s="131"/>
      <c r="FM11" s="131"/>
      <c r="FN11" s="131"/>
      <c r="FO11" s="131"/>
      <c r="FP11" s="131"/>
      <c r="FQ11" s="131"/>
      <c r="FR11" s="131"/>
      <c r="FS11" s="131"/>
      <c r="FT11" s="131"/>
      <c r="FU11" s="131"/>
      <c r="FV11" s="131"/>
      <c r="FW11" s="131"/>
      <c r="FX11" s="131"/>
      <c r="FY11" s="131"/>
      <c r="FZ11" s="131"/>
      <c r="GA11" s="131"/>
      <c r="GB11" s="131"/>
      <c r="GC11" s="131"/>
      <c r="GD11" s="131"/>
      <c r="GE11" s="131"/>
      <c r="GF11" s="131"/>
      <c r="GG11" s="131"/>
      <c r="GH11" s="131"/>
      <c r="GI11" s="131"/>
      <c r="GJ11" s="131"/>
      <c r="GK11" s="131"/>
      <c r="GL11" s="131"/>
      <c r="GM11" s="131"/>
      <c r="GN11" s="131"/>
      <c r="GO11" s="131"/>
      <c r="GP11" s="131"/>
      <c r="GQ11" s="131"/>
      <c r="GR11" s="131"/>
      <c r="GS11" s="131"/>
      <c r="GT11" s="131"/>
      <c r="GU11" s="131"/>
    </row>
    <row r="12" spans="1:203" s="129" customFormat="1" ht="25.5" customHeight="1">
      <c r="A12" s="463">
        <v>8</v>
      </c>
      <c r="B12" s="398" t="s">
        <v>742</v>
      </c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68"/>
      <c r="O12" s="454"/>
      <c r="P12" s="454"/>
      <c r="Q12" s="454"/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 t="s">
        <v>769</v>
      </c>
      <c r="AH12" s="463">
        <v>8</v>
      </c>
      <c r="AI12" s="398" t="s">
        <v>750</v>
      </c>
      <c r="AJ12" s="465"/>
      <c r="AK12" s="127"/>
      <c r="AL12" s="128"/>
      <c r="AM12" s="291"/>
      <c r="AN12" s="29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/>
      <c r="CK12" s="131"/>
      <c r="CL12" s="131"/>
      <c r="CM12" s="131"/>
      <c r="CN12" s="131"/>
      <c r="CO12" s="131"/>
      <c r="CP12" s="131"/>
      <c r="CQ12" s="131"/>
      <c r="CR12" s="131"/>
      <c r="CS12" s="131"/>
      <c r="CT12" s="131"/>
      <c r="CU12" s="131"/>
      <c r="CV12" s="131"/>
      <c r="CW12" s="131"/>
      <c r="CX12" s="131"/>
      <c r="CY12" s="131"/>
      <c r="CZ12" s="131"/>
      <c r="DA12" s="131"/>
      <c r="DB12" s="131"/>
      <c r="DC12" s="131"/>
      <c r="DD12" s="131"/>
      <c r="DE12" s="131"/>
      <c r="DF12" s="131"/>
      <c r="DG12" s="131"/>
      <c r="DH12" s="131"/>
      <c r="DI12" s="131"/>
      <c r="DJ12" s="131"/>
      <c r="DK12" s="131"/>
      <c r="DL12" s="131"/>
      <c r="DM12" s="131"/>
      <c r="DN12" s="131"/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1"/>
      <c r="ES12" s="131"/>
      <c r="ET12" s="131"/>
      <c r="EU12" s="131"/>
      <c r="EV12" s="131"/>
      <c r="EW12" s="131"/>
      <c r="EX12" s="131"/>
      <c r="EY12" s="131"/>
      <c r="EZ12" s="131"/>
      <c r="FA12" s="131"/>
      <c r="FB12" s="131"/>
      <c r="FC12" s="131"/>
      <c r="FD12" s="131"/>
      <c r="FE12" s="131"/>
      <c r="FF12" s="131"/>
      <c r="FG12" s="131"/>
      <c r="FH12" s="131"/>
      <c r="FI12" s="131"/>
      <c r="FJ12" s="131"/>
      <c r="FK12" s="131"/>
      <c r="FL12" s="131"/>
      <c r="FM12" s="131"/>
      <c r="FN12" s="131"/>
      <c r="FO12" s="131"/>
      <c r="FP12" s="131"/>
      <c r="FQ12" s="131"/>
      <c r="FR12" s="131"/>
      <c r="FS12" s="131"/>
      <c r="FT12" s="131"/>
      <c r="FU12" s="131"/>
      <c r="FV12" s="131"/>
      <c r="FW12" s="131"/>
      <c r="FX12" s="131"/>
      <c r="FY12" s="131"/>
      <c r="FZ12" s="131"/>
      <c r="GA12" s="131"/>
      <c r="GB12" s="131"/>
      <c r="GC12" s="131"/>
      <c r="GD12" s="131"/>
      <c r="GE12" s="131"/>
      <c r="GF12" s="131"/>
      <c r="GG12" s="131"/>
      <c r="GH12" s="131"/>
      <c r="GI12" s="131"/>
      <c r="GJ12" s="131"/>
      <c r="GK12" s="131"/>
      <c r="GL12" s="131"/>
      <c r="GM12" s="131"/>
      <c r="GN12" s="131"/>
      <c r="GO12" s="131"/>
      <c r="GP12" s="131"/>
      <c r="GQ12" s="131"/>
      <c r="GR12" s="131"/>
      <c r="GS12" s="131"/>
      <c r="GT12" s="131"/>
      <c r="GU12" s="131"/>
    </row>
    <row r="13" spans="1:203" s="134" customFormat="1" ht="25.5" customHeight="1">
      <c r="A13" s="466">
        <v>9</v>
      </c>
      <c r="B13" s="398" t="s">
        <v>743</v>
      </c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66">
        <v>9</v>
      </c>
      <c r="AI13" s="398" t="s">
        <v>743</v>
      </c>
      <c r="AJ13" s="465"/>
      <c r="AK13" s="127"/>
      <c r="AL13" s="128"/>
      <c r="AM13" s="290"/>
      <c r="AN13" s="290"/>
      <c r="AO13" s="135"/>
      <c r="AP13" s="135"/>
      <c r="AQ13" s="131"/>
      <c r="AR13" s="135"/>
      <c r="AS13" s="135"/>
      <c r="AT13" s="135"/>
      <c r="AU13" s="135"/>
      <c r="AV13" s="135"/>
      <c r="AW13" s="135"/>
      <c r="AX13" s="135"/>
      <c r="AY13" s="135"/>
      <c r="AZ13" s="135"/>
      <c r="BA13" s="135"/>
      <c r="BB13" s="135"/>
      <c r="BC13" s="135"/>
      <c r="BD13" s="135"/>
      <c r="BE13" s="135"/>
      <c r="BF13" s="135"/>
      <c r="BG13" s="135"/>
      <c r="BH13" s="135"/>
      <c r="BI13" s="135"/>
      <c r="BJ13" s="135"/>
      <c r="BK13" s="135"/>
      <c r="BL13" s="135"/>
      <c r="BM13" s="135"/>
      <c r="BN13" s="135"/>
      <c r="BO13" s="135"/>
      <c r="BP13" s="135"/>
      <c r="BQ13" s="135"/>
      <c r="BR13" s="135"/>
      <c r="BS13" s="135"/>
      <c r="BT13" s="135"/>
      <c r="BU13" s="135"/>
      <c r="BV13" s="135"/>
      <c r="BW13" s="135"/>
      <c r="BX13" s="135"/>
      <c r="BY13" s="135"/>
      <c r="BZ13" s="135"/>
      <c r="CA13" s="135"/>
      <c r="CB13" s="135"/>
      <c r="CC13" s="135"/>
      <c r="CD13" s="135"/>
      <c r="CE13" s="135"/>
      <c r="CF13" s="135"/>
      <c r="CG13" s="135"/>
      <c r="CH13" s="135"/>
      <c r="CI13" s="135"/>
      <c r="CJ13" s="135"/>
      <c r="CK13" s="135"/>
      <c r="CL13" s="135"/>
      <c r="CM13" s="135"/>
      <c r="CN13" s="135"/>
      <c r="CO13" s="135"/>
      <c r="CP13" s="135"/>
      <c r="CQ13" s="135"/>
      <c r="CR13" s="135"/>
      <c r="CS13" s="135"/>
      <c r="CT13" s="135"/>
      <c r="CU13" s="135"/>
      <c r="CV13" s="135"/>
      <c r="CW13" s="135"/>
      <c r="CX13" s="135"/>
      <c r="CY13" s="135"/>
      <c r="CZ13" s="135"/>
      <c r="DA13" s="135"/>
      <c r="DB13" s="135"/>
      <c r="DC13" s="135"/>
      <c r="DD13" s="135"/>
      <c r="DE13" s="135"/>
      <c r="DF13" s="135"/>
      <c r="DG13" s="135"/>
      <c r="DH13" s="135"/>
      <c r="DI13" s="135"/>
      <c r="DJ13" s="135"/>
      <c r="DK13" s="135"/>
      <c r="DL13" s="135"/>
      <c r="DM13" s="135"/>
      <c r="DN13" s="135"/>
      <c r="DO13" s="135"/>
      <c r="DP13" s="135"/>
      <c r="DQ13" s="135"/>
      <c r="DR13" s="135"/>
      <c r="DS13" s="135"/>
      <c r="DT13" s="135"/>
      <c r="DU13" s="135"/>
      <c r="DV13" s="135"/>
      <c r="DW13" s="135"/>
      <c r="DX13" s="135"/>
      <c r="DY13" s="135"/>
      <c r="DZ13" s="135"/>
      <c r="EA13" s="135"/>
      <c r="EB13" s="135"/>
      <c r="EC13" s="135"/>
      <c r="ED13" s="135"/>
      <c r="EE13" s="135"/>
      <c r="EF13" s="135"/>
      <c r="EG13" s="135"/>
      <c r="EH13" s="135"/>
      <c r="EI13" s="135"/>
      <c r="EJ13" s="135"/>
      <c r="EK13" s="135"/>
      <c r="EL13" s="135"/>
      <c r="EM13" s="135"/>
      <c r="EN13" s="135"/>
      <c r="EO13" s="135"/>
      <c r="EP13" s="135"/>
      <c r="EQ13" s="135"/>
      <c r="ER13" s="135"/>
      <c r="ES13" s="135"/>
      <c r="ET13" s="135"/>
      <c r="EU13" s="135"/>
      <c r="EV13" s="135"/>
      <c r="EW13" s="135"/>
      <c r="EX13" s="135"/>
      <c r="EY13" s="135"/>
      <c r="EZ13" s="135"/>
      <c r="FA13" s="135"/>
      <c r="FB13" s="135"/>
      <c r="FC13" s="135"/>
      <c r="FD13" s="135"/>
      <c r="FE13" s="135"/>
      <c r="FF13" s="135"/>
      <c r="FG13" s="135"/>
      <c r="FH13" s="135"/>
      <c r="FI13" s="135"/>
      <c r="FJ13" s="135"/>
      <c r="FK13" s="135"/>
      <c r="FL13" s="135"/>
      <c r="FM13" s="135"/>
      <c r="FN13" s="135"/>
      <c r="FO13" s="135"/>
      <c r="FP13" s="135"/>
      <c r="FQ13" s="135"/>
      <c r="FR13" s="135"/>
      <c r="FS13" s="135"/>
      <c r="FT13" s="135"/>
      <c r="FU13" s="135"/>
      <c r="FV13" s="135"/>
      <c r="FW13" s="135"/>
      <c r="FX13" s="135"/>
      <c r="FY13" s="135"/>
      <c r="FZ13" s="135"/>
      <c r="GA13" s="135"/>
      <c r="GB13" s="135"/>
      <c r="GC13" s="135"/>
      <c r="GD13" s="135"/>
      <c r="GE13" s="135"/>
      <c r="GF13" s="135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</row>
    <row r="14" spans="1:203" s="134" customFormat="1" ht="25.5" customHeight="1">
      <c r="A14" s="463">
        <v>10</v>
      </c>
      <c r="B14" s="398" t="s">
        <v>744</v>
      </c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 t="s">
        <v>770</v>
      </c>
      <c r="AH14" s="463">
        <v>10</v>
      </c>
      <c r="AI14" s="398" t="s">
        <v>744</v>
      </c>
      <c r="AJ14" s="465"/>
      <c r="AK14" s="127"/>
      <c r="AL14" s="128"/>
      <c r="AM14" s="291"/>
      <c r="AN14" s="291"/>
      <c r="AO14" s="135"/>
      <c r="AP14" s="135"/>
      <c r="AQ14" s="131"/>
      <c r="AR14" s="135"/>
      <c r="AS14" s="135"/>
      <c r="AT14" s="135"/>
      <c r="AU14" s="135"/>
      <c r="AV14" s="135"/>
      <c r="AW14" s="135"/>
      <c r="AX14" s="135"/>
      <c r="AY14" s="135"/>
      <c r="AZ14" s="135"/>
      <c r="BA14" s="135"/>
      <c r="BB14" s="135"/>
      <c r="BC14" s="135"/>
      <c r="BD14" s="135"/>
      <c r="BE14" s="135"/>
      <c r="BF14" s="135"/>
      <c r="BG14" s="135"/>
      <c r="BH14" s="135"/>
      <c r="BI14" s="135"/>
      <c r="BJ14" s="135"/>
      <c r="BK14" s="135"/>
      <c r="BL14" s="135"/>
      <c r="BM14" s="135"/>
      <c r="BN14" s="135"/>
      <c r="BO14" s="135"/>
      <c r="BP14" s="135"/>
      <c r="BQ14" s="135"/>
      <c r="BR14" s="135"/>
      <c r="BS14" s="135"/>
      <c r="BT14" s="135"/>
      <c r="BU14" s="135"/>
      <c r="BV14" s="135"/>
      <c r="BW14" s="135"/>
      <c r="BX14" s="135"/>
      <c r="BY14" s="135"/>
      <c r="BZ14" s="135"/>
      <c r="CA14" s="135"/>
      <c r="CB14" s="135"/>
      <c r="CC14" s="135"/>
      <c r="CD14" s="135"/>
      <c r="CE14" s="135"/>
      <c r="CF14" s="135"/>
      <c r="CG14" s="135"/>
      <c r="CH14" s="135"/>
      <c r="CI14" s="135"/>
      <c r="CJ14" s="135"/>
      <c r="CK14" s="135"/>
      <c r="CL14" s="135"/>
      <c r="CM14" s="135"/>
      <c r="CN14" s="135"/>
      <c r="CO14" s="135"/>
      <c r="CP14" s="135"/>
      <c r="CQ14" s="135"/>
      <c r="CR14" s="135"/>
      <c r="CS14" s="135"/>
      <c r="CT14" s="135"/>
      <c r="CU14" s="135"/>
      <c r="CV14" s="135"/>
      <c r="CW14" s="135"/>
      <c r="CX14" s="135"/>
      <c r="CY14" s="135"/>
      <c r="CZ14" s="135"/>
      <c r="DA14" s="135"/>
      <c r="DB14" s="135"/>
      <c r="DC14" s="135"/>
      <c r="DD14" s="135"/>
      <c r="DE14" s="135"/>
      <c r="DF14" s="135"/>
      <c r="DG14" s="135"/>
      <c r="DH14" s="135"/>
      <c r="DI14" s="135"/>
      <c r="DJ14" s="135"/>
      <c r="DK14" s="135"/>
      <c r="DL14" s="135"/>
      <c r="DM14" s="135"/>
      <c r="DN14" s="135"/>
      <c r="DO14" s="135"/>
      <c r="DP14" s="135"/>
      <c r="DQ14" s="135"/>
      <c r="DR14" s="135"/>
      <c r="DS14" s="135"/>
      <c r="DT14" s="135"/>
      <c r="DU14" s="135"/>
      <c r="DV14" s="135"/>
      <c r="DW14" s="135"/>
      <c r="DX14" s="135"/>
      <c r="DY14" s="135"/>
      <c r="DZ14" s="135"/>
      <c r="EA14" s="135"/>
      <c r="EB14" s="135"/>
      <c r="EC14" s="135"/>
      <c r="ED14" s="135"/>
      <c r="EE14" s="135"/>
      <c r="EF14" s="135"/>
      <c r="EG14" s="135"/>
      <c r="EH14" s="135"/>
      <c r="EI14" s="135"/>
      <c r="EJ14" s="135"/>
      <c r="EK14" s="135"/>
      <c r="EL14" s="135"/>
      <c r="EM14" s="135"/>
      <c r="EN14" s="135"/>
      <c r="EO14" s="135"/>
      <c r="EP14" s="135"/>
      <c r="EQ14" s="135"/>
      <c r="ER14" s="135"/>
      <c r="ES14" s="135"/>
      <c r="ET14" s="135"/>
      <c r="EU14" s="135"/>
      <c r="EV14" s="135"/>
      <c r="EW14" s="135"/>
      <c r="EX14" s="135"/>
      <c r="EY14" s="135"/>
      <c r="EZ14" s="135"/>
      <c r="FA14" s="135"/>
      <c r="FB14" s="135"/>
      <c r="FC14" s="135"/>
      <c r="FD14" s="135"/>
      <c r="FE14" s="135"/>
      <c r="FF14" s="135"/>
      <c r="FG14" s="135"/>
      <c r="FH14" s="135"/>
      <c r="FI14" s="135"/>
      <c r="FJ14" s="135"/>
      <c r="FK14" s="135"/>
      <c r="FL14" s="135"/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  <c r="FW14" s="135"/>
      <c r="FX14" s="135"/>
      <c r="FY14" s="135"/>
      <c r="FZ14" s="135"/>
      <c r="GA14" s="135"/>
      <c r="GB14" s="135"/>
      <c r="GC14" s="135"/>
      <c r="GD14" s="135"/>
      <c r="GE14" s="135"/>
      <c r="GF14" s="135"/>
      <c r="GG14" s="135"/>
      <c r="GH14" s="135"/>
      <c r="GI14" s="135"/>
      <c r="GJ14" s="135"/>
      <c r="GK14" s="135"/>
      <c r="GL14" s="135"/>
      <c r="GM14" s="135"/>
      <c r="GN14" s="135"/>
      <c r="GO14" s="135"/>
      <c r="GP14" s="135"/>
      <c r="GQ14" s="135"/>
      <c r="GR14" s="135"/>
      <c r="GS14" s="135"/>
      <c r="GT14" s="135"/>
      <c r="GU14" s="135"/>
    </row>
    <row r="15" spans="1:203" s="134" customFormat="1" ht="25.5" customHeight="1">
      <c r="A15" s="466">
        <v>11</v>
      </c>
      <c r="B15" s="398" t="s">
        <v>745</v>
      </c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66">
        <v>11</v>
      </c>
      <c r="AI15" s="398" t="s">
        <v>745</v>
      </c>
      <c r="AJ15" s="465"/>
      <c r="AK15" s="127"/>
      <c r="AL15" s="128"/>
      <c r="AM15" s="290"/>
      <c r="AN15" s="290"/>
      <c r="AO15" s="135"/>
      <c r="AP15" s="135"/>
      <c r="AQ15" s="131"/>
      <c r="AR15" s="135"/>
      <c r="AS15" s="135"/>
      <c r="AT15" s="135"/>
      <c r="AU15" s="135"/>
      <c r="AV15" s="135"/>
      <c r="AW15" s="135"/>
      <c r="AX15" s="135"/>
      <c r="AY15" s="135"/>
      <c r="AZ15" s="135"/>
      <c r="BA15" s="135"/>
      <c r="BB15" s="135"/>
      <c r="BC15" s="135"/>
      <c r="BD15" s="135"/>
      <c r="BE15" s="135"/>
      <c r="BF15" s="135"/>
      <c r="BG15" s="135"/>
      <c r="BH15" s="135"/>
      <c r="BI15" s="135"/>
      <c r="BJ15" s="135"/>
      <c r="BK15" s="135"/>
      <c r="BL15" s="135"/>
      <c r="BM15" s="135"/>
      <c r="BN15" s="135"/>
      <c r="BO15" s="135"/>
      <c r="BP15" s="135"/>
      <c r="BQ15" s="135"/>
      <c r="BR15" s="135"/>
      <c r="BS15" s="135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5"/>
      <c r="CE15" s="135"/>
      <c r="CF15" s="135"/>
      <c r="CG15" s="135"/>
      <c r="CH15" s="135"/>
      <c r="CI15" s="135"/>
      <c r="CJ15" s="135"/>
      <c r="CK15" s="135"/>
      <c r="CL15" s="135"/>
      <c r="CM15" s="135"/>
      <c r="CN15" s="135"/>
      <c r="CO15" s="135"/>
      <c r="CP15" s="135"/>
      <c r="CQ15" s="135"/>
      <c r="CR15" s="135"/>
      <c r="CS15" s="135"/>
      <c r="CT15" s="135"/>
      <c r="CU15" s="135"/>
      <c r="CV15" s="135"/>
      <c r="CW15" s="135"/>
      <c r="CX15" s="135"/>
      <c r="CY15" s="135"/>
      <c r="CZ15" s="135"/>
      <c r="DA15" s="135"/>
      <c r="DB15" s="135"/>
      <c r="DC15" s="135"/>
      <c r="DD15" s="135"/>
      <c r="DE15" s="135"/>
      <c r="DF15" s="135"/>
      <c r="DG15" s="135"/>
      <c r="DH15" s="135"/>
      <c r="DI15" s="135"/>
      <c r="DJ15" s="135"/>
      <c r="DK15" s="135"/>
      <c r="DL15" s="135"/>
      <c r="DM15" s="135"/>
      <c r="DN15" s="135"/>
      <c r="DO15" s="135"/>
      <c r="DP15" s="135"/>
      <c r="DQ15" s="135"/>
      <c r="DR15" s="135"/>
      <c r="DS15" s="135"/>
      <c r="DT15" s="135"/>
      <c r="DU15" s="135"/>
      <c r="DV15" s="135"/>
      <c r="DW15" s="135"/>
      <c r="DX15" s="135"/>
      <c r="DY15" s="135"/>
      <c r="DZ15" s="135"/>
      <c r="EA15" s="135"/>
      <c r="EB15" s="135"/>
      <c r="EC15" s="135"/>
      <c r="ED15" s="135"/>
      <c r="EE15" s="135"/>
      <c r="EF15" s="135"/>
      <c r="EG15" s="135"/>
      <c r="EH15" s="135"/>
      <c r="EI15" s="135"/>
      <c r="EJ15" s="135"/>
      <c r="EK15" s="135"/>
      <c r="EL15" s="135"/>
      <c r="EM15" s="135"/>
      <c r="EN15" s="135"/>
      <c r="EO15" s="135"/>
      <c r="EP15" s="135"/>
      <c r="EQ15" s="135"/>
      <c r="ER15" s="135"/>
      <c r="ES15" s="135"/>
      <c r="ET15" s="135"/>
      <c r="EU15" s="135"/>
      <c r="EV15" s="135"/>
      <c r="EW15" s="135"/>
      <c r="EX15" s="135"/>
      <c r="EY15" s="135"/>
      <c r="EZ15" s="135"/>
      <c r="FA15" s="135"/>
      <c r="FB15" s="135"/>
      <c r="FC15" s="135"/>
      <c r="FD15" s="135"/>
      <c r="FE15" s="135"/>
      <c r="FF15" s="135"/>
      <c r="FG15" s="135"/>
      <c r="FH15" s="135"/>
      <c r="FI15" s="135"/>
      <c r="FJ15" s="135"/>
      <c r="FK15" s="135"/>
      <c r="FL15" s="135"/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  <c r="FW15" s="135"/>
      <c r="FX15" s="135"/>
      <c r="FY15" s="135"/>
      <c r="FZ15" s="135"/>
      <c r="GA15" s="135"/>
      <c r="GB15" s="135"/>
      <c r="GC15" s="135"/>
      <c r="GD15" s="135"/>
      <c r="GE15" s="135"/>
      <c r="GF15" s="135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</row>
    <row r="16" spans="1:203" s="134" customFormat="1" ht="25.5" customHeight="1">
      <c r="A16" s="463">
        <v>12</v>
      </c>
      <c r="B16" s="398" t="s">
        <v>746</v>
      </c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AF16" s="454"/>
      <c r="AG16" s="454"/>
      <c r="AH16" s="463">
        <v>12</v>
      </c>
      <c r="AI16" s="398" t="s">
        <v>746</v>
      </c>
      <c r="AJ16" s="465"/>
      <c r="AK16" s="127"/>
      <c r="AL16" s="128"/>
      <c r="AM16" s="291"/>
      <c r="AN16" s="291"/>
      <c r="AO16" s="135"/>
      <c r="AP16" s="135"/>
      <c r="AQ16" s="131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/>
      <c r="BC16" s="135"/>
      <c r="BD16" s="135"/>
      <c r="BE16" s="135"/>
      <c r="BF16" s="135"/>
      <c r="BG16" s="135"/>
      <c r="BH16" s="135"/>
      <c r="BI16" s="135"/>
      <c r="BJ16" s="135"/>
      <c r="BK16" s="135"/>
      <c r="BL16" s="135"/>
      <c r="BM16" s="135"/>
      <c r="BN16" s="135"/>
      <c r="BO16" s="135"/>
      <c r="BP16" s="135"/>
      <c r="BQ16" s="135"/>
      <c r="BR16" s="135"/>
      <c r="BS16" s="135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  <c r="CK16" s="135"/>
      <c r="CL16" s="135"/>
      <c r="CM16" s="135"/>
      <c r="CN16" s="135"/>
      <c r="CO16" s="135"/>
      <c r="CP16" s="135"/>
      <c r="CQ16" s="135"/>
      <c r="CR16" s="135"/>
      <c r="CS16" s="135"/>
      <c r="CT16" s="135"/>
      <c r="CU16" s="135"/>
      <c r="CV16" s="135"/>
      <c r="CW16" s="135"/>
      <c r="CX16" s="135"/>
      <c r="CY16" s="135"/>
      <c r="CZ16" s="135"/>
      <c r="DA16" s="135"/>
      <c r="DB16" s="135"/>
      <c r="DC16" s="135"/>
      <c r="DD16" s="135"/>
      <c r="DE16" s="135"/>
      <c r="DF16" s="135"/>
      <c r="DG16" s="135"/>
      <c r="DH16" s="135"/>
      <c r="DI16" s="135"/>
      <c r="DJ16" s="135"/>
      <c r="DK16" s="135"/>
      <c r="DL16" s="135"/>
      <c r="DM16" s="135"/>
      <c r="DN16" s="135"/>
      <c r="DO16" s="135"/>
      <c r="DP16" s="135"/>
      <c r="DQ16" s="135"/>
      <c r="DR16" s="135"/>
      <c r="DS16" s="135"/>
      <c r="DT16" s="135"/>
      <c r="DU16" s="135"/>
      <c r="DV16" s="135"/>
      <c r="DW16" s="135"/>
      <c r="DX16" s="135"/>
      <c r="DY16" s="135"/>
      <c r="DZ16" s="135"/>
      <c r="EA16" s="135"/>
      <c r="EB16" s="135"/>
      <c r="EC16" s="135"/>
      <c r="ED16" s="135"/>
      <c r="EE16" s="135"/>
      <c r="EF16" s="135"/>
      <c r="EG16" s="135"/>
      <c r="EH16" s="135"/>
      <c r="EI16" s="135"/>
      <c r="EJ16" s="135"/>
      <c r="EK16" s="135"/>
      <c r="EL16" s="135"/>
      <c r="EM16" s="135"/>
      <c r="EN16" s="135"/>
      <c r="EO16" s="135"/>
      <c r="EP16" s="135"/>
      <c r="EQ16" s="135"/>
      <c r="ER16" s="135"/>
      <c r="ES16" s="135"/>
      <c r="ET16" s="135"/>
      <c r="EU16" s="135"/>
      <c r="EV16" s="135"/>
      <c r="EW16" s="135"/>
      <c r="EX16" s="135"/>
      <c r="EY16" s="135"/>
      <c r="EZ16" s="135"/>
      <c r="FA16" s="135"/>
      <c r="FB16" s="135"/>
      <c r="FC16" s="135"/>
      <c r="FD16" s="135"/>
      <c r="FE16" s="135"/>
      <c r="FF16" s="135"/>
      <c r="FG16" s="135"/>
      <c r="FH16" s="135"/>
      <c r="FI16" s="135"/>
      <c r="FJ16" s="135"/>
      <c r="FK16" s="135"/>
      <c r="FL16" s="135"/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35"/>
      <c r="FX16" s="135"/>
      <c r="FY16" s="135"/>
      <c r="FZ16" s="135"/>
      <c r="GA16" s="135"/>
      <c r="GB16" s="135"/>
      <c r="GC16" s="135"/>
      <c r="GD16" s="135"/>
      <c r="GE16" s="135"/>
      <c r="GF16" s="135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</row>
    <row r="17" spans="1:203" s="134" customFormat="1" ht="25.5" customHeight="1">
      <c r="A17" s="466">
        <v>13</v>
      </c>
      <c r="B17" s="398" t="s">
        <v>747</v>
      </c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AF17" s="454"/>
      <c r="AG17" s="454" t="s">
        <v>769</v>
      </c>
      <c r="AH17" s="466">
        <v>13</v>
      </c>
      <c r="AI17" s="398" t="s">
        <v>747</v>
      </c>
      <c r="AJ17" s="465"/>
      <c r="AK17" s="127"/>
      <c r="AL17" s="128"/>
      <c r="AM17" s="290"/>
      <c r="AN17" s="290"/>
      <c r="AO17" s="135"/>
      <c r="AP17" s="135"/>
      <c r="AQ17" s="131"/>
      <c r="AR17" s="135"/>
      <c r="AS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35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135"/>
      <c r="CN17" s="135"/>
      <c r="CO17" s="135"/>
      <c r="CP17" s="135"/>
      <c r="CQ17" s="135"/>
      <c r="CR17" s="135"/>
      <c r="CS17" s="135"/>
      <c r="CT17" s="135"/>
      <c r="CU17" s="135"/>
      <c r="CV17" s="135"/>
      <c r="CW17" s="135"/>
      <c r="CX17" s="135"/>
      <c r="CY17" s="135"/>
      <c r="CZ17" s="135"/>
      <c r="DA17" s="135"/>
      <c r="DB17" s="135"/>
      <c r="DC17" s="135"/>
      <c r="DD17" s="135"/>
      <c r="DE17" s="135"/>
      <c r="DF17" s="135"/>
      <c r="DG17" s="135"/>
      <c r="DH17" s="135"/>
      <c r="DI17" s="135"/>
      <c r="DJ17" s="135"/>
      <c r="DK17" s="135"/>
      <c r="DL17" s="135"/>
      <c r="DM17" s="135"/>
      <c r="DN17" s="135"/>
      <c r="DO17" s="135"/>
      <c r="DP17" s="135"/>
      <c r="DQ17" s="135"/>
      <c r="DR17" s="135"/>
      <c r="DS17" s="135"/>
      <c r="DT17" s="135"/>
      <c r="DU17" s="135"/>
      <c r="DV17" s="135"/>
      <c r="DW17" s="135"/>
      <c r="DX17" s="135"/>
      <c r="DY17" s="135"/>
      <c r="DZ17" s="135"/>
      <c r="EA17" s="135"/>
      <c r="EB17" s="135"/>
      <c r="EC17" s="135"/>
      <c r="ED17" s="135"/>
      <c r="EE17" s="135"/>
      <c r="EF17" s="135"/>
      <c r="EG17" s="135"/>
      <c r="EH17" s="135"/>
      <c r="EI17" s="135"/>
      <c r="EJ17" s="135"/>
      <c r="EK17" s="135"/>
      <c r="EL17" s="135"/>
      <c r="EM17" s="135"/>
      <c r="EN17" s="135"/>
      <c r="EO17" s="135"/>
      <c r="EP17" s="135"/>
      <c r="EQ17" s="135"/>
      <c r="ER17" s="135"/>
      <c r="ES17" s="135"/>
      <c r="ET17" s="135"/>
      <c r="EU17" s="135"/>
      <c r="EV17" s="135"/>
      <c r="EW17" s="135"/>
      <c r="EX17" s="135"/>
      <c r="EY17" s="135"/>
      <c r="EZ17" s="135"/>
      <c r="FA17" s="135"/>
      <c r="FB17" s="135"/>
      <c r="FC17" s="135"/>
      <c r="FD17" s="135"/>
      <c r="FE17" s="135"/>
      <c r="FF17" s="135"/>
      <c r="FG17" s="135"/>
      <c r="FH17" s="135"/>
      <c r="FI17" s="135"/>
      <c r="FJ17" s="135"/>
      <c r="FK17" s="135"/>
      <c r="FL17" s="135"/>
      <c r="FM17" s="135"/>
      <c r="FN17" s="135"/>
      <c r="FO17" s="135"/>
      <c r="FP17" s="135"/>
      <c r="FQ17" s="135"/>
      <c r="FR17" s="135"/>
      <c r="FS17" s="135"/>
      <c r="FT17" s="135"/>
      <c r="FU17" s="135"/>
      <c r="FV17" s="135"/>
      <c r="FW17" s="135"/>
      <c r="FX17" s="135"/>
      <c r="FY17" s="135"/>
      <c r="FZ17" s="135"/>
      <c r="GA17" s="135"/>
      <c r="GB17" s="135"/>
      <c r="GC17" s="135"/>
      <c r="GD17" s="135"/>
      <c r="GE17" s="135"/>
      <c r="GF17" s="135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</row>
    <row r="18" spans="1:203" s="134" customFormat="1" ht="25.5" customHeight="1">
      <c r="A18" s="463">
        <v>14</v>
      </c>
      <c r="B18" s="398" t="s">
        <v>748</v>
      </c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506"/>
      <c r="AC18" s="506"/>
      <c r="AD18" s="506"/>
      <c r="AE18" s="506"/>
      <c r="AF18" s="504"/>
      <c r="AG18" s="504"/>
      <c r="AH18" s="463">
        <v>14</v>
      </c>
      <c r="AI18" s="398" t="s">
        <v>748</v>
      </c>
      <c r="AJ18" s="465"/>
      <c r="AK18" s="127"/>
      <c r="AL18" s="128"/>
      <c r="AM18" s="291"/>
      <c r="AN18" s="291"/>
      <c r="AO18" s="135"/>
      <c r="AP18" s="135"/>
      <c r="AQ18" s="131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  <c r="DP18" s="135"/>
      <c r="DQ18" s="135"/>
      <c r="DR18" s="135"/>
      <c r="DS18" s="135"/>
      <c r="DT18" s="135"/>
      <c r="DU18" s="135"/>
      <c r="DV18" s="135"/>
      <c r="DW18" s="135"/>
      <c r="DX18" s="135"/>
      <c r="DY18" s="135"/>
      <c r="DZ18" s="135"/>
      <c r="EA18" s="135"/>
      <c r="EB18" s="135"/>
      <c r="EC18" s="135"/>
      <c r="ED18" s="135"/>
      <c r="EE18" s="135"/>
      <c r="EF18" s="135"/>
      <c r="EG18" s="135"/>
      <c r="EH18" s="135"/>
      <c r="EI18" s="135"/>
      <c r="EJ18" s="135"/>
      <c r="EK18" s="135"/>
      <c r="EL18" s="135"/>
      <c r="EM18" s="135"/>
      <c r="EN18" s="135"/>
      <c r="EO18" s="135"/>
      <c r="EP18" s="135"/>
      <c r="EQ18" s="135"/>
      <c r="ER18" s="135"/>
      <c r="ES18" s="135"/>
      <c r="ET18" s="135"/>
      <c r="EU18" s="135"/>
      <c r="EV18" s="135"/>
      <c r="EW18" s="135"/>
      <c r="EX18" s="135"/>
      <c r="EY18" s="135"/>
      <c r="EZ18" s="135"/>
      <c r="FA18" s="135"/>
      <c r="FB18" s="135"/>
      <c r="FC18" s="135"/>
      <c r="FD18" s="135"/>
      <c r="FE18" s="135"/>
      <c r="FF18" s="135"/>
      <c r="FG18" s="135"/>
      <c r="FH18" s="135"/>
      <c r="FI18" s="135"/>
      <c r="FJ18" s="135"/>
      <c r="FK18" s="135"/>
      <c r="FL18" s="135"/>
      <c r="FM18" s="135"/>
      <c r="FN18" s="135"/>
      <c r="FO18" s="135"/>
      <c r="FP18" s="135"/>
      <c r="FQ18" s="135"/>
      <c r="FR18" s="135"/>
      <c r="FS18" s="135"/>
      <c r="FT18" s="135"/>
      <c r="FU18" s="135"/>
      <c r="FV18" s="135"/>
      <c r="FW18" s="135"/>
      <c r="FX18" s="135"/>
      <c r="FY18" s="135"/>
      <c r="FZ18" s="135"/>
      <c r="GA18" s="135"/>
      <c r="GB18" s="135"/>
      <c r="GC18" s="135"/>
      <c r="GD18" s="135"/>
      <c r="GE18" s="135"/>
      <c r="GF18" s="135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</row>
    <row r="19" spans="1:203" s="129" customFormat="1" ht="25.5" customHeight="1">
      <c r="A19" s="466">
        <v>15</v>
      </c>
      <c r="B19" s="398" t="s">
        <v>731</v>
      </c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504"/>
      <c r="AC19" s="504"/>
      <c r="AD19" s="504"/>
      <c r="AE19" s="504"/>
      <c r="AF19" s="504"/>
      <c r="AG19" s="504" t="s">
        <v>769</v>
      </c>
      <c r="AH19" s="466">
        <v>15</v>
      </c>
      <c r="AI19" s="398" t="s">
        <v>731</v>
      </c>
      <c r="AJ19" s="465"/>
      <c r="AK19" s="127"/>
      <c r="AL19" s="128"/>
      <c r="AM19" s="290"/>
      <c r="AN19" s="290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131"/>
      <c r="CI19" s="131"/>
      <c r="CJ19" s="131"/>
      <c r="CK19" s="131"/>
      <c r="CL19" s="131"/>
      <c r="CM19" s="131"/>
      <c r="CN19" s="131"/>
      <c r="CO19" s="131"/>
      <c r="CP19" s="131"/>
      <c r="CQ19" s="131"/>
      <c r="CR19" s="131"/>
      <c r="CS19" s="131"/>
      <c r="CT19" s="131"/>
      <c r="CU19" s="131"/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1"/>
      <c r="DK19" s="131"/>
      <c r="DL19" s="131"/>
      <c r="DM19" s="131"/>
      <c r="DN19" s="131"/>
      <c r="DO19" s="131"/>
      <c r="DP19" s="131"/>
      <c r="DQ19" s="131"/>
      <c r="DR19" s="131"/>
      <c r="DS19" s="131"/>
      <c r="DT19" s="131"/>
      <c r="DU19" s="131"/>
      <c r="DV19" s="131"/>
      <c r="DW19" s="131"/>
      <c r="DX19" s="131"/>
      <c r="DY19" s="131"/>
      <c r="DZ19" s="131"/>
      <c r="EA19" s="131"/>
      <c r="EB19" s="131"/>
      <c r="EC19" s="131"/>
      <c r="ED19" s="131"/>
      <c r="EE19" s="131"/>
      <c r="EF19" s="131"/>
      <c r="EG19" s="131"/>
      <c r="EH19" s="131"/>
      <c r="EI19" s="131"/>
      <c r="EJ19" s="131"/>
      <c r="EK19" s="131"/>
      <c r="EL19" s="131"/>
      <c r="EM19" s="131"/>
      <c r="EN19" s="131"/>
      <c r="EO19" s="131"/>
      <c r="EP19" s="131"/>
      <c r="EQ19" s="131"/>
      <c r="ER19" s="131"/>
      <c r="ES19" s="131"/>
      <c r="ET19" s="131"/>
      <c r="EU19" s="131"/>
      <c r="EV19" s="131"/>
      <c r="EW19" s="131"/>
      <c r="EX19" s="131"/>
      <c r="EY19" s="131"/>
      <c r="EZ19" s="131"/>
      <c r="FA19" s="131"/>
      <c r="FB19" s="131"/>
      <c r="FC19" s="131"/>
      <c r="FD19" s="131"/>
      <c r="FE19" s="131"/>
      <c r="FF19" s="131"/>
      <c r="FG19" s="131"/>
      <c r="FH19" s="131"/>
      <c r="FI19" s="131"/>
      <c r="FJ19" s="131"/>
      <c r="FK19" s="131"/>
      <c r="FL19" s="131"/>
      <c r="FM19" s="131"/>
      <c r="FN19" s="131"/>
      <c r="FO19" s="131"/>
      <c r="FP19" s="131"/>
      <c r="FQ19" s="131"/>
      <c r="FR19" s="131"/>
      <c r="FS19" s="131"/>
      <c r="FT19" s="131"/>
      <c r="FU19" s="131"/>
      <c r="FV19" s="131"/>
      <c r="FW19" s="131"/>
      <c r="FX19" s="131"/>
      <c r="FY19" s="131"/>
      <c r="FZ19" s="131"/>
      <c r="GA19" s="131"/>
      <c r="GB19" s="131"/>
      <c r="GC19" s="131"/>
      <c r="GD19" s="131"/>
      <c r="GE19" s="131"/>
      <c r="GF19" s="131"/>
      <c r="GG19" s="131"/>
      <c r="GH19" s="131"/>
      <c r="GI19" s="131"/>
      <c r="GJ19" s="131"/>
      <c r="GK19" s="131"/>
      <c r="GL19" s="131"/>
      <c r="GM19" s="131"/>
      <c r="GN19" s="131"/>
      <c r="GO19" s="131"/>
      <c r="GP19" s="131"/>
      <c r="GQ19" s="131"/>
      <c r="GR19" s="131"/>
      <c r="GS19" s="131"/>
      <c r="GT19" s="131"/>
      <c r="GU19" s="131"/>
    </row>
    <row r="20" spans="1:203" s="136" customFormat="1" ht="25.5" customHeight="1">
      <c r="A20" s="463">
        <v>16</v>
      </c>
      <c r="B20" s="398" t="s">
        <v>732</v>
      </c>
      <c r="C20" s="467"/>
      <c r="D20" s="467"/>
      <c r="E20" s="467"/>
      <c r="F20" s="467"/>
      <c r="G20" s="467"/>
      <c r="H20" s="467"/>
      <c r="I20" s="467"/>
      <c r="J20" s="467"/>
      <c r="K20" s="467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Z20" s="467"/>
      <c r="AA20" s="467"/>
      <c r="AB20" s="504"/>
      <c r="AC20" s="504"/>
      <c r="AD20" s="504"/>
      <c r="AE20" s="504"/>
      <c r="AF20" s="504"/>
      <c r="AG20" s="504"/>
      <c r="AH20" s="463">
        <v>16</v>
      </c>
      <c r="AI20" s="398" t="s">
        <v>732</v>
      </c>
      <c r="AJ20" s="465"/>
      <c r="AK20" s="127"/>
      <c r="AL20" s="128"/>
      <c r="AM20" s="291"/>
      <c r="AN20" s="291"/>
      <c r="AO20" s="131"/>
      <c r="AP20" s="131"/>
      <c r="AQ20" s="131"/>
      <c r="AR20" s="131"/>
      <c r="AS20" s="131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  <c r="BS20" s="135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  <c r="CK20" s="135"/>
      <c r="CL20" s="135"/>
      <c r="CM20" s="135"/>
      <c r="CN20" s="135"/>
      <c r="CO20" s="135"/>
      <c r="CP20" s="135"/>
      <c r="CQ20" s="135"/>
      <c r="CR20" s="135"/>
      <c r="CS20" s="135"/>
      <c r="CT20" s="135"/>
      <c r="CU20" s="135"/>
      <c r="CV20" s="135"/>
      <c r="CW20" s="135"/>
      <c r="CX20" s="135"/>
      <c r="CY20" s="135"/>
      <c r="CZ20" s="135"/>
      <c r="DA20" s="135"/>
      <c r="DB20" s="135"/>
      <c r="DC20" s="135"/>
      <c r="DD20" s="135"/>
      <c r="DE20" s="135"/>
      <c r="DF20" s="135"/>
      <c r="DG20" s="135"/>
      <c r="DH20" s="135"/>
      <c r="DI20" s="135"/>
      <c r="DJ20" s="135"/>
      <c r="DK20" s="135"/>
      <c r="DL20" s="135"/>
      <c r="DM20" s="135"/>
      <c r="DN20" s="135"/>
      <c r="DO20" s="135"/>
      <c r="DP20" s="135"/>
      <c r="DQ20" s="135"/>
      <c r="DR20" s="135"/>
      <c r="DS20" s="135"/>
      <c r="DT20" s="135"/>
      <c r="DU20" s="135"/>
      <c r="DV20" s="135"/>
      <c r="DW20" s="135"/>
      <c r="DX20" s="135"/>
      <c r="DY20" s="135"/>
      <c r="DZ20" s="135"/>
      <c r="EA20" s="135"/>
      <c r="EB20" s="135"/>
      <c r="EC20" s="135"/>
      <c r="ED20" s="135"/>
      <c r="EE20" s="135"/>
      <c r="EF20" s="135"/>
      <c r="EG20" s="135"/>
      <c r="EH20" s="135"/>
      <c r="EI20" s="135"/>
      <c r="EJ20" s="135"/>
      <c r="EK20" s="135"/>
      <c r="EL20" s="135"/>
      <c r="EM20" s="135"/>
      <c r="EN20" s="135"/>
      <c r="EO20" s="135"/>
      <c r="EP20" s="135"/>
      <c r="EQ20" s="135"/>
      <c r="ER20" s="135"/>
      <c r="ES20" s="135"/>
      <c r="ET20" s="135"/>
      <c r="EU20" s="135"/>
      <c r="EV20" s="135"/>
      <c r="EW20" s="135"/>
      <c r="EX20" s="135"/>
      <c r="EY20" s="135"/>
      <c r="EZ20" s="135"/>
      <c r="FA20" s="135"/>
      <c r="FB20" s="135"/>
      <c r="FC20" s="135"/>
      <c r="FD20" s="135"/>
      <c r="FE20" s="135"/>
      <c r="FF20" s="135"/>
      <c r="FG20" s="135"/>
      <c r="FH20" s="135"/>
      <c r="FI20" s="135"/>
      <c r="FJ20" s="135"/>
      <c r="FK20" s="135"/>
      <c r="FL20" s="135"/>
      <c r="FM20" s="135"/>
      <c r="FN20" s="135"/>
      <c r="FO20" s="135"/>
      <c r="FP20" s="135"/>
      <c r="FQ20" s="135"/>
      <c r="FR20" s="135"/>
      <c r="FS20" s="135"/>
      <c r="FT20" s="135"/>
      <c r="FU20" s="135"/>
      <c r="FV20" s="135"/>
      <c r="FW20" s="135"/>
      <c r="FX20" s="135"/>
      <c r="FY20" s="135"/>
      <c r="FZ20" s="135"/>
      <c r="GA20" s="135"/>
      <c r="GB20" s="135"/>
      <c r="GC20" s="135"/>
      <c r="GD20" s="135"/>
      <c r="GE20" s="135"/>
      <c r="GF20" s="135"/>
      <c r="GG20" s="135"/>
      <c r="GH20" s="135"/>
      <c r="GI20" s="135"/>
      <c r="GJ20" s="135"/>
      <c r="GK20" s="135"/>
      <c r="GL20" s="135"/>
      <c r="GM20" s="135"/>
      <c r="GN20" s="135"/>
      <c r="GO20" s="135"/>
      <c r="GP20" s="135"/>
      <c r="GQ20" s="135"/>
      <c r="GR20" s="135"/>
      <c r="GS20" s="135"/>
      <c r="GT20" s="135"/>
      <c r="GU20" s="135"/>
    </row>
    <row r="21" spans="1:203" s="136" customFormat="1" ht="25.5" customHeight="1">
      <c r="A21" s="466">
        <v>17</v>
      </c>
      <c r="B21" s="398" t="s">
        <v>733</v>
      </c>
      <c r="C21" s="467"/>
      <c r="D21" s="467"/>
      <c r="E21" s="467"/>
      <c r="F21" s="467"/>
      <c r="G21" s="467"/>
      <c r="H21" s="467"/>
      <c r="I21" s="467"/>
      <c r="J21" s="467"/>
      <c r="K21" s="467"/>
      <c r="L21" s="467"/>
      <c r="M21" s="467"/>
      <c r="N21" s="467"/>
      <c r="O21" s="467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4"/>
      <c r="AG21" s="504"/>
      <c r="AH21" s="466">
        <v>17</v>
      </c>
      <c r="AI21" s="398" t="s">
        <v>733</v>
      </c>
      <c r="AJ21" s="465"/>
      <c r="AK21" s="127"/>
      <c r="AL21" s="128"/>
      <c r="AM21" s="290"/>
      <c r="AN21" s="290"/>
      <c r="AO21" s="131"/>
      <c r="AP21" s="131"/>
      <c r="AQ21" s="131"/>
      <c r="AR21" s="131"/>
      <c r="AS21" s="131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</row>
    <row r="22" spans="1:203" s="136" customFormat="1" ht="25.5" customHeight="1">
      <c r="A22" s="466">
        <v>18</v>
      </c>
      <c r="B22" s="398" t="s">
        <v>721</v>
      </c>
      <c r="C22" s="467"/>
      <c r="D22" s="467"/>
      <c r="E22" s="467"/>
      <c r="F22" s="467"/>
      <c r="G22" s="467"/>
      <c r="H22" s="467"/>
      <c r="I22" s="467"/>
      <c r="J22" s="503"/>
      <c r="K22" s="505"/>
      <c r="L22" s="505"/>
      <c r="M22" s="503"/>
      <c r="N22" s="503"/>
      <c r="O22" s="503"/>
      <c r="P22" s="503"/>
      <c r="Q22" s="504"/>
      <c r="R22" s="504"/>
      <c r="S22" s="504"/>
      <c r="T22" s="504"/>
      <c r="U22" s="504"/>
      <c r="V22" s="504"/>
      <c r="W22" s="504"/>
      <c r="X22" s="504"/>
      <c r="Y22" s="504"/>
      <c r="Z22" s="504"/>
      <c r="AA22" s="504"/>
      <c r="AB22" s="504"/>
      <c r="AC22" s="504"/>
      <c r="AD22" s="504"/>
      <c r="AE22" s="504"/>
      <c r="AF22" s="504"/>
      <c r="AG22" s="504"/>
      <c r="AH22" s="466">
        <v>18</v>
      </c>
      <c r="AI22" s="398" t="s">
        <v>721</v>
      </c>
      <c r="AJ22" s="465"/>
      <c r="AK22" s="127"/>
      <c r="AL22" s="128"/>
      <c r="AM22" s="291"/>
      <c r="AN22" s="291"/>
      <c r="AO22" s="131"/>
      <c r="AP22" s="131"/>
      <c r="AQ22" s="131"/>
      <c r="AR22" s="131"/>
      <c r="AS22" s="131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5"/>
      <c r="CY22" s="135"/>
      <c r="CZ22" s="135"/>
      <c r="DA22" s="135"/>
      <c r="DB22" s="135"/>
      <c r="DC22" s="135"/>
      <c r="DD22" s="135"/>
      <c r="DE22" s="135"/>
      <c r="DF22" s="135"/>
      <c r="DG22" s="135"/>
      <c r="DH22" s="135"/>
      <c r="DI22" s="135"/>
      <c r="DJ22" s="135"/>
      <c r="DK22" s="135"/>
      <c r="DL22" s="135"/>
      <c r="DM22" s="135"/>
      <c r="DN22" s="135"/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135"/>
      <c r="EE22" s="135"/>
      <c r="EF22" s="135"/>
      <c r="EG22" s="135"/>
      <c r="EH22" s="135"/>
      <c r="EI22" s="135"/>
      <c r="EJ22" s="135"/>
      <c r="EK22" s="135"/>
      <c r="EL22" s="135"/>
      <c r="EM22" s="135"/>
      <c r="EN22" s="135"/>
      <c r="EO22" s="135"/>
      <c r="EP22" s="135"/>
      <c r="EQ22" s="135"/>
      <c r="ER22" s="135"/>
      <c r="ES22" s="135"/>
      <c r="ET22" s="135"/>
      <c r="EU22" s="135"/>
      <c r="EV22" s="135"/>
      <c r="EW22" s="135"/>
      <c r="EX22" s="135"/>
      <c r="EY22" s="135"/>
      <c r="EZ22" s="135"/>
      <c r="FA22" s="135"/>
      <c r="FB22" s="135"/>
      <c r="FC22" s="135"/>
      <c r="FD22" s="135"/>
      <c r="FE22" s="135"/>
      <c r="FF22" s="135"/>
      <c r="FG22" s="135"/>
      <c r="FH22" s="135"/>
      <c r="FI22" s="135"/>
      <c r="FJ22" s="135"/>
      <c r="FK22" s="135"/>
      <c r="FL22" s="135"/>
      <c r="FM22" s="135"/>
      <c r="FN22" s="135"/>
      <c r="FO22" s="135"/>
      <c r="FP22" s="135"/>
      <c r="FQ22" s="135"/>
      <c r="FR22" s="135"/>
      <c r="FS22" s="135"/>
      <c r="FT22" s="135"/>
      <c r="FU22" s="135"/>
      <c r="FV22" s="135"/>
      <c r="FW22" s="135"/>
      <c r="FX22" s="135"/>
      <c r="FY22" s="135"/>
      <c r="FZ22" s="135"/>
      <c r="GA22" s="135"/>
      <c r="GB22" s="135"/>
      <c r="GC22" s="135"/>
      <c r="GD22" s="135"/>
      <c r="GE22" s="135"/>
      <c r="GF22" s="135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</row>
    <row r="23" spans="1:203" s="134" customFormat="1" ht="25.5" customHeight="1">
      <c r="A23" s="466">
        <v>19</v>
      </c>
      <c r="B23" s="398" t="s">
        <v>734</v>
      </c>
      <c r="C23" s="467"/>
      <c r="D23" s="467"/>
      <c r="E23" s="467"/>
      <c r="F23" s="467"/>
      <c r="G23" s="467"/>
      <c r="H23" s="467"/>
      <c r="I23" s="467"/>
      <c r="J23" s="503"/>
      <c r="K23" s="503"/>
      <c r="L23" s="504"/>
      <c r="M23" s="504"/>
      <c r="N23" s="504"/>
      <c r="O23" s="504"/>
      <c r="P23" s="504"/>
      <c r="Q23" s="504"/>
      <c r="R23" s="504"/>
      <c r="S23" s="504"/>
      <c r="T23" s="504"/>
      <c r="U23" s="504"/>
      <c r="V23" s="504"/>
      <c r="W23" s="504"/>
      <c r="X23" s="504"/>
      <c r="Y23" s="504"/>
      <c r="Z23" s="504"/>
      <c r="AA23" s="504"/>
      <c r="AB23" s="504"/>
      <c r="AC23" s="504"/>
      <c r="AD23" s="504"/>
      <c r="AE23" s="504"/>
      <c r="AF23" s="504"/>
      <c r="AG23" s="504"/>
      <c r="AH23" s="466">
        <v>19</v>
      </c>
      <c r="AI23" s="398" t="s">
        <v>734</v>
      </c>
      <c r="AJ23" s="465"/>
      <c r="AK23" s="127"/>
      <c r="AL23" s="128"/>
      <c r="AM23" s="292"/>
      <c r="AN23" s="292"/>
      <c r="AO23" s="135"/>
      <c r="AP23" s="135"/>
      <c r="AQ23" s="131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5"/>
      <c r="CY23" s="135"/>
      <c r="CZ23" s="135"/>
      <c r="DA23" s="135"/>
      <c r="DB23" s="135"/>
      <c r="DC23" s="135"/>
      <c r="DD23" s="135"/>
      <c r="DE23" s="135"/>
      <c r="DF23" s="135"/>
      <c r="DG23" s="135"/>
      <c r="DH23" s="135"/>
      <c r="DI23" s="135"/>
      <c r="DJ23" s="135"/>
      <c r="DK23" s="135"/>
      <c r="DL23" s="135"/>
      <c r="DM23" s="135"/>
      <c r="DN23" s="135"/>
      <c r="DO23" s="135"/>
      <c r="DP23" s="135"/>
      <c r="DQ23" s="135"/>
      <c r="DR23" s="135"/>
      <c r="DS23" s="135"/>
      <c r="DT23" s="135"/>
      <c r="DU23" s="135"/>
      <c r="DV23" s="135"/>
      <c r="DW23" s="135"/>
      <c r="DX23" s="135"/>
      <c r="DY23" s="135"/>
      <c r="DZ23" s="135"/>
      <c r="EA23" s="135"/>
      <c r="EB23" s="135"/>
      <c r="EC23" s="135"/>
      <c r="ED23" s="135"/>
      <c r="EE23" s="135"/>
      <c r="EF23" s="135"/>
      <c r="EG23" s="135"/>
      <c r="EH23" s="135"/>
      <c r="EI23" s="135"/>
      <c r="EJ23" s="135"/>
      <c r="EK23" s="135"/>
      <c r="EL23" s="135"/>
      <c r="EM23" s="135"/>
      <c r="EN23" s="135"/>
      <c r="EO23" s="135"/>
      <c r="EP23" s="135"/>
      <c r="EQ23" s="135"/>
      <c r="ER23" s="135"/>
      <c r="ES23" s="135"/>
      <c r="ET23" s="135"/>
      <c r="EU23" s="135"/>
      <c r="EV23" s="135"/>
      <c r="EW23" s="135"/>
      <c r="EX23" s="135"/>
      <c r="EY23" s="135"/>
      <c r="EZ23" s="135"/>
      <c r="FA23" s="135"/>
      <c r="FB23" s="135"/>
      <c r="FC23" s="135"/>
      <c r="FD23" s="135"/>
      <c r="FE23" s="135"/>
      <c r="FF23" s="135"/>
      <c r="FG23" s="135"/>
      <c r="FH23" s="135"/>
      <c r="FI23" s="135"/>
      <c r="FJ23" s="135"/>
      <c r="FK23" s="135"/>
      <c r="FL23" s="135"/>
      <c r="FM23" s="135"/>
      <c r="FN23" s="135"/>
      <c r="FO23" s="135"/>
      <c r="FP23" s="135"/>
      <c r="FQ23" s="135"/>
      <c r="FR23" s="135"/>
      <c r="FS23" s="135"/>
      <c r="FT23" s="135"/>
      <c r="FU23" s="135"/>
      <c r="FV23" s="135"/>
      <c r="FW23" s="135"/>
      <c r="FX23" s="135"/>
      <c r="FY23" s="135"/>
      <c r="FZ23" s="135"/>
      <c r="GA23" s="135"/>
      <c r="GB23" s="135"/>
      <c r="GC23" s="135"/>
      <c r="GD23" s="135"/>
      <c r="GE23" s="135"/>
      <c r="GF23" s="135"/>
      <c r="GG23" s="135"/>
      <c r="GH23" s="135"/>
      <c r="GI23" s="135"/>
      <c r="GJ23" s="135"/>
      <c r="GK23" s="135"/>
      <c r="GL23" s="135"/>
      <c r="GM23" s="135"/>
      <c r="GN23" s="135"/>
      <c r="GO23" s="135"/>
      <c r="GP23" s="135"/>
      <c r="GQ23" s="135"/>
      <c r="GR23" s="135"/>
      <c r="GS23" s="135"/>
      <c r="GT23" s="135"/>
      <c r="GU23" s="135"/>
    </row>
    <row r="24" spans="1:203" s="129" customFormat="1" ht="25.5" customHeight="1">
      <c r="A24" s="466">
        <v>22</v>
      </c>
      <c r="B24" s="398" t="s">
        <v>351</v>
      </c>
      <c r="C24" s="452"/>
      <c r="D24" s="452"/>
      <c r="E24" s="452" t="s">
        <v>615</v>
      </c>
      <c r="F24" s="452" t="s">
        <v>653</v>
      </c>
      <c r="G24" s="452"/>
      <c r="H24" s="452"/>
      <c r="I24" s="452"/>
      <c r="J24" s="452" t="s">
        <v>677</v>
      </c>
      <c r="K24" s="452"/>
      <c r="L24" s="452"/>
      <c r="M24" s="452"/>
      <c r="N24" s="452"/>
      <c r="O24" s="452"/>
      <c r="P24" s="452"/>
      <c r="Q24" s="452"/>
      <c r="R24" s="452" t="s">
        <v>702</v>
      </c>
      <c r="S24" s="452" t="s">
        <v>615</v>
      </c>
      <c r="T24" s="452" t="s">
        <v>708</v>
      </c>
      <c r="U24" s="452"/>
      <c r="V24" s="452"/>
      <c r="W24" s="452" t="s">
        <v>704</v>
      </c>
      <c r="X24" s="452"/>
      <c r="Y24" s="452" t="s">
        <v>678</v>
      </c>
      <c r="Z24" s="452" t="s">
        <v>615</v>
      </c>
      <c r="AA24" s="452" t="s">
        <v>616</v>
      </c>
      <c r="AB24" s="452"/>
      <c r="AC24" s="452"/>
      <c r="AD24" s="452"/>
      <c r="AE24" s="452" t="s">
        <v>624</v>
      </c>
      <c r="AF24" s="452" t="s">
        <v>624</v>
      </c>
      <c r="AG24" s="452"/>
      <c r="AH24" s="466">
        <v>22</v>
      </c>
      <c r="AI24" s="398" t="s">
        <v>351</v>
      </c>
      <c r="AJ24" s="465">
        <f>COUNTIF(C24:AG24,"x*")</f>
        <v>10</v>
      </c>
      <c r="AK24" s="127">
        <v>13</v>
      </c>
      <c r="AL24" s="128">
        <f>COUNTIF(C24:AJ24,"x*")</f>
        <v>10</v>
      </c>
      <c r="AM24" s="293"/>
      <c r="AN24" s="293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Q24" s="131"/>
      <c r="DR24" s="131"/>
      <c r="DS24" s="131"/>
      <c r="DT24" s="131"/>
      <c r="DU24" s="131"/>
      <c r="DV24" s="131"/>
      <c r="DW24" s="131"/>
      <c r="DX24" s="131"/>
      <c r="DY24" s="131"/>
      <c r="DZ24" s="131"/>
      <c r="EA24" s="131"/>
      <c r="EB24" s="131"/>
      <c r="EC24" s="131"/>
      <c r="ED24" s="131"/>
      <c r="EE24" s="131"/>
      <c r="EF24" s="131"/>
      <c r="EG24" s="131"/>
      <c r="EH24" s="131"/>
      <c r="EI24" s="131"/>
      <c r="EJ24" s="131"/>
      <c r="EK24" s="131"/>
      <c r="EL24" s="131"/>
      <c r="EM24" s="131"/>
      <c r="EN24" s="131"/>
      <c r="EO24" s="131"/>
      <c r="EP24" s="131"/>
      <c r="EQ24" s="131"/>
      <c r="ER24" s="131"/>
      <c r="ES24" s="131"/>
      <c r="ET24" s="131"/>
      <c r="EU24" s="131"/>
      <c r="EV24" s="131"/>
      <c r="EW24" s="131"/>
      <c r="EX24" s="131"/>
      <c r="EY24" s="131"/>
      <c r="EZ24" s="131"/>
      <c r="FA24" s="131"/>
      <c r="FB24" s="131"/>
      <c r="FC24" s="131"/>
      <c r="FD24" s="131"/>
      <c r="FE24" s="131"/>
      <c r="FF24" s="131"/>
      <c r="FG24" s="131"/>
      <c r="FH24" s="131"/>
      <c r="FI24" s="131"/>
      <c r="FJ24" s="131"/>
      <c r="FK24" s="131"/>
      <c r="FL24" s="131"/>
      <c r="FM24" s="131"/>
      <c r="FN24" s="131"/>
      <c r="FO24" s="131"/>
      <c r="FP24" s="131"/>
      <c r="FQ24" s="131"/>
      <c r="FR24" s="131"/>
      <c r="FS24" s="131"/>
      <c r="FT24" s="131"/>
      <c r="FU24" s="131"/>
      <c r="FV24" s="131"/>
      <c r="FW24" s="131"/>
      <c r="FX24" s="131"/>
      <c r="FY24" s="131"/>
      <c r="FZ24" s="131"/>
      <c r="GA24" s="131"/>
      <c r="GB24" s="131"/>
      <c r="GC24" s="131"/>
      <c r="GD24" s="131"/>
      <c r="GE24" s="131"/>
      <c r="GF24" s="131"/>
      <c r="GG24" s="131"/>
      <c r="GH24" s="131"/>
      <c r="GI24" s="131"/>
      <c r="GJ24" s="131"/>
      <c r="GK24" s="131"/>
      <c r="GL24" s="131"/>
      <c r="GM24" s="131"/>
      <c r="GN24" s="131"/>
      <c r="GO24" s="131"/>
      <c r="GP24" s="131"/>
      <c r="GQ24" s="131"/>
      <c r="GR24" s="131"/>
      <c r="GS24" s="131"/>
      <c r="GT24" s="131"/>
      <c r="GU24" s="131"/>
    </row>
    <row r="25" spans="1:203" s="129" customFormat="1" ht="25.5" customHeight="1">
      <c r="A25" s="463">
        <v>23</v>
      </c>
      <c r="B25" s="399" t="s">
        <v>511</v>
      </c>
      <c r="C25" s="454" t="s">
        <v>615</v>
      </c>
      <c r="D25" s="454" t="s">
        <v>677</v>
      </c>
      <c r="E25" s="454" t="s">
        <v>678</v>
      </c>
      <c r="F25" s="454" t="s">
        <v>679</v>
      </c>
      <c r="G25" s="454"/>
      <c r="H25" s="454"/>
      <c r="I25" s="454"/>
      <c r="J25" s="454" t="s">
        <v>616</v>
      </c>
      <c r="K25" s="454" t="s">
        <v>615</v>
      </c>
      <c r="L25" s="484" t="s">
        <v>616</v>
      </c>
      <c r="M25" s="485"/>
      <c r="N25" s="485"/>
      <c r="O25" s="454"/>
      <c r="P25" s="454"/>
      <c r="Q25" s="454"/>
      <c r="R25" s="454" t="s">
        <v>678</v>
      </c>
      <c r="S25" s="454" t="s">
        <v>616</v>
      </c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 t="s">
        <v>755</v>
      </c>
      <c r="AG25" s="454" t="s">
        <v>617</v>
      </c>
      <c r="AH25" s="463">
        <v>23</v>
      </c>
      <c r="AI25" s="399" t="s">
        <v>511</v>
      </c>
      <c r="AJ25" s="465">
        <f>COUNTIF(C25:AG25,"x*")</f>
        <v>10</v>
      </c>
      <c r="AK25" s="127">
        <v>14</v>
      </c>
      <c r="AL25" s="128">
        <f t="shared" ref="AL25:AL34" si="0">COUNTIF(C25:AJ25,"x*")</f>
        <v>10</v>
      </c>
      <c r="AM25" s="294"/>
      <c r="AN25" s="294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1"/>
      <c r="CV25" s="131"/>
      <c r="CW25" s="131"/>
      <c r="CX25" s="131"/>
      <c r="CY25" s="131"/>
      <c r="CZ25" s="131"/>
      <c r="DA25" s="131"/>
      <c r="DB25" s="131"/>
      <c r="DC25" s="131"/>
      <c r="DD25" s="131"/>
      <c r="DE25" s="131"/>
      <c r="DF25" s="131"/>
      <c r="DG25" s="131"/>
      <c r="DH25" s="131"/>
      <c r="DI25" s="131"/>
      <c r="DJ25" s="131"/>
      <c r="DK25" s="131"/>
      <c r="DL25" s="131"/>
      <c r="DM25" s="131"/>
      <c r="DN25" s="131"/>
      <c r="DO25" s="131"/>
      <c r="DP25" s="131"/>
      <c r="DQ25" s="131"/>
      <c r="DR25" s="131"/>
      <c r="DS25" s="131"/>
      <c r="DT25" s="131"/>
      <c r="DU25" s="131"/>
      <c r="DV25" s="131"/>
      <c r="DW25" s="131"/>
      <c r="DX25" s="131"/>
      <c r="DY25" s="131"/>
      <c r="DZ25" s="131"/>
      <c r="EA25" s="131"/>
      <c r="EB25" s="131"/>
      <c r="EC25" s="131"/>
      <c r="ED25" s="131"/>
      <c r="EE25" s="131"/>
      <c r="EF25" s="131"/>
      <c r="EG25" s="131"/>
      <c r="EH25" s="131"/>
      <c r="EI25" s="131"/>
      <c r="EJ25" s="131"/>
      <c r="EK25" s="131"/>
      <c r="EL25" s="131"/>
      <c r="EM25" s="131"/>
      <c r="EN25" s="131"/>
      <c r="EO25" s="131"/>
      <c r="EP25" s="131"/>
      <c r="EQ25" s="131"/>
      <c r="ER25" s="131"/>
      <c r="ES25" s="131"/>
      <c r="ET25" s="131"/>
      <c r="EU25" s="131"/>
      <c r="EV25" s="131"/>
      <c r="EW25" s="131"/>
      <c r="EX25" s="131"/>
      <c r="EY25" s="131"/>
      <c r="EZ25" s="131"/>
      <c r="FA25" s="131"/>
      <c r="FB25" s="131"/>
      <c r="FC25" s="131"/>
      <c r="FD25" s="131"/>
      <c r="FE25" s="131"/>
      <c r="FF25" s="131"/>
      <c r="FG25" s="131"/>
      <c r="FH25" s="131"/>
      <c r="FI25" s="131"/>
      <c r="FJ25" s="131"/>
      <c r="FK25" s="131"/>
      <c r="FL25" s="131"/>
      <c r="FM25" s="131"/>
      <c r="FN25" s="131"/>
      <c r="FO25" s="131"/>
      <c r="FP25" s="131"/>
      <c r="FQ25" s="131"/>
      <c r="FR25" s="131"/>
      <c r="FS25" s="131"/>
      <c r="FT25" s="131"/>
      <c r="FU25" s="131"/>
      <c r="FV25" s="131"/>
      <c r="FW25" s="131"/>
      <c r="FX25" s="131"/>
      <c r="FY25" s="131"/>
      <c r="FZ25" s="131"/>
      <c r="GA25" s="131"/>
      <c r="GB25" s="131"/>
      <c r="GC25" s="131"/>
      <c r="GD25" s="131"/>
      <c r="GE25" s="131"/>
      <c r="GF25" s="131"/>
      <c r="GG25" s="131"/>
      <c r="GH25" s="131"/>
      <c r="GI25" s="131"/>
      <c r="GJ25" s="131"/>
      <c r="GK25" s="131"/>
      <c r="GL25" s="131"/>
      <c r="GM25" s="131"/>
      <c r="GN25" s="131"/>
      <c r="GO25" s="131"/>
      <c r="GP25" s="131"/>
      <c r="GQ25" s="131"/>
      <c r="GR25" s="131"/>
      <c r="GS25" s="131"/>
      <c r="GT25" s="131"/>
      <c r="GU25" s="131"/>
    </row>
    <row r="26" spans="1:203" s="129" customFormat="1" ht="25.5" customHeight="1">
      <c r="A26" s="466">
        <v>24</v>
      </c>
      <c r="B26" s="400" t="s">
        <v>352</v>
      </c>
      <c r="C26" s="452" t="s">
        <v>615</v>
      </c>
      <c r="D26" s="452" t="s">
        <v>616</v>
      </c>
      <c r="E26" s="452" t="s">
        <v>671</v>
      </c>
      <c r="F26" s="452"/>
      <c r="G26" s="452"/>
      <c r="H26" s="452"/>
      <c r="I26" s="452"/>
      <c r="J26" s="452"/>
      <c r="K26" s="452"/>
      <c r="L26" s="452"/>
      <c r="M26" s="452"/>
      <c r="N26" s="452"/>
      <c r="O26" s="452" t="s">
        <v>666</v>
      </c>
      <c r="P26" s="452" t="s">
        <v>666</v>
      </c>
      <c r="Q26" s="452" t="s">
        <v>562</v>
      </c>
      <c r="R26" s="452"/>
      <c r="S26" s="452"/>
      <c r="T26" s="452"/>
      <c r="U26" s="452"/>
      <c r="V26" s="452"/>
      <c r="W26" s="452"/>
      <c r="X26" s="452" t="s">
        <v>616</v>
      </c>
      <c r="Y26" s="452" t="s">
        <v>701</v>
      </c>
      <c r="Z26" s="452"/>
      <c r="AA26" s="452"/>
      <c r="AB26" s="452"/>
      <c r="AC26" s="452"/>
      <c r="AD26" s="452"/>
      <c r="AE26" s="452"/>
      <c r="AF26" s="452" t="s">
        <v>616</v>
      </c>
      <c r="AG26" s="452" t="s">
        <v>617</v>
      </c>
      <c r="AH26" s="466">
        <v>24</v>
      </c>
      <c r="AI26" s="400" t="s">
        <v>352</v>
      </c>
      <c r="AJ26" s="465">
        <f>COUNTIF(C26:AG26,"x*")</f>
        <v>10</v>
      </c>
      <c r="AK26" s="127">
        <v>15</v>
      </c>
      <c r="AL26" s="128">
        <f t="shared" si="0"/>
        <v>10</v>
      </c>
      <c r="AM26" s="294"/>
      <c r="AN26" s="294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1"/>
      <c r="CS26" s="131"/>
      <c r="CT26" s="131"/>
      <c r="CU26" s="131"/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1"/>
      <c r="DI26" s="131"/>
      <c r="DJ26" s="131"/>
      <c r="DK26" s="131"/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1"/>
      <c r="DY26" s="131"/>
      <c r="DZ26" s="131"/>
      <c r="EA26" s="131"/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1"/>
      <c r="EO26" s="131"/>
      <c r="EP26" s="131"/>
      <c r="EQ26" s="131"/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1"/>
      <c r="FE26" s="131"/>
      <c r="FF26" s="131"/>
      <c r="FG26" s="131"/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1"/>
      <c r="FU26" s="131"/>
      <c r="FV26" s="131"/>
      <c r="FW26" s="131"/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1"/>
      <c r="GK26" s="131"/>
      <c r="GL26" s="131"/>
      <c r="GM26" s="131"/>
      <c r="GN26" s="131"/>
      <c r="GO26" s="131"/>
      <c r="GP26" s="131"/>
      <c r="GQ26" s="131"/>
      <c r="GR26" s="131"/>
      <c r="GS26" s="131"/>
      <c r="GT26" s="131"/>
      <c r="GU26" s="131"/>
    </row>
    <row r="27" spans="1:203" s="129" customFormat="1" ht="25.5" customHeight="1">
      <c r="A27" s="463">
        <v>25</v>
      </c>
      <c r="B27" s="400" t="s">
        <v>667</v>
      </c>
      <c r="C27" s="467"/>
      <c r="D27" s="467" t="s">
        <v>677</v>
      </c>
      <c r="E27" s="467" t="s">
        <v>616</v>
      </c>
      <c r="F27" s="467" t="s">
        <v>615</v>
      </c>
      <c r="G27" s="467"/>
      <c r="H27" s="467"/>
      <c r="I27" s="467" t="s">
        <v>668</v>
      </c>
      <c r="J27" s="467"/>
      <c r="K27" s="467" t="s">
        <v>616</v>
      </c>
      <c r="L27" s="467" t="s">
        <v>616</v>
      </c>
      <c r="M27" s="467" t="s">
        <v>679</v>
      </c>
      <c r="N27" s="467"/>
      <c r="O27" s="467"/>
      <c r="P27" s="467"/>
      <c r="Q27" s="467"/>
      <c r="R27" s="467"/>
      <c r="S27" s="467"/>
      <c r="T27" s="467" t="s">
        <v>703</v>
      </c>
      <c r="U27" s="467"/>
      <c r="V27" s="467"/>
      <c r="W27" s="467" t="s">
        <v>668</v>
      </c>
      <c r="X27" s="467"/>
      <c r="Y27" s="467" t="s">
        <v>680</v>
      </c>
      <c r="Z27" s="467" t="s">
        <v>616</v>
      </c>
      <c r="AA27" s="467" t="s">
        <v>563</v>
      </c>
      <c r="AB27" s="467"/>
      <c r="AC27" s="467"/>
      <c r="AD27" s="467"/>
      <c r="AE27" s="467"/>
      <c r="AF27" s="467" t="s">
        <v>617</v>
      </c>
      <c r="AG27" s="454" t="s">
        <v>617</v>
      </c>
      <c r="AH27" s="463">
        <v>25</v>
      </c>
      <c r="AI27" s="400" t="s">
        <v>667</v>
      </c>
      <c r="AJ27" s="465">
        <v>11</v>
      </c>
      <c r="AK27" s="127">
        <v>16</v>
      </c>
      <c r="AL27" s="128">
        <f t="shared" si="0"/>
        <v>11</v>
      </c>
      <c r="AM27" s="294"/>
      <c r="AN27" s="294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G27" s="131"/>
      <c r="CH27" s="131"/>
      <c r="CI27" s="131"/>
      <c r="CJ27" s="131"/>
      <c r="CK27" s="131"/>
      <c r="CL27" s="131"/>
      <c r="CM27" s="131"/>
      <c r="CN27" s="131"/>
      <c r="CO27" s="131"/>
      <c r="CP27" s="131"/>
      <c r="CQ27" s="131"/>
      <c r="CR27" s="131"/>
      <c r="CS27" s="131"/>
      <c r="CT27" s="131"/>
      <c r="CU27" s="131"/>
      <c r="CV27" s="131"/>
      <c r="CW27" s="131"/>
      <c r="CX27" s="131"/>
      <c r="CY27" s="131"/>
      <c r="CZ27" s="131"/>
      <c r="DA27" s="131"/>
      <c r="DB27" s="131"/>
      <c r="DC27" s="131"/>
      <c r="DD27" s="131"/>
      <c r="DE27" s="131"/>
      <c r="DF27" s="131"/>
      <c r="DG27" s="131"/>
      <c r="DH27" s="131"/>
      <c r="DI27" s="131"/>
      <c r="DJ27" s="131"/>
      <c r="DK27" s="131"/>
      <c r="DL27" s="131"/>
      <c r="DM27" s="131"/>
      <c r="DN27" s="131"/>
      <c r="DO27" s="131"/>
      <c r="DP27" s="131"/>
      <c r="DQ27" s="131"/>
      <c r="DR27" s="131"/>
      <c r="DS27" s="131"/>
      <c r="DT27" s="131"/>
      <c r="DU27" s="131"/>
      <c r="DV27" s="131"/>
      <c r="DW27" s="131"/>
      <c r="DX27" s="131"/>
      <c r="DY27" s="131"/>
      <c r="DZ27" s="131"/>
      <c r="EA27" s="131"/>
      <c r="EB27" s="131"/>
      <c r="EC27" s="131"/>
      <c r="ED27" s="131"/>
      <c r="EE27" s="131"/>
      <c r="EF27" s="131"/>
      <c r="EG27" s="131"/>
      <c r="EH27" s="131"/>
      <c r="EI27" s="131"/>
      <c r="EJ27" s="131"/>
      <c r="EK27" s="131"/>
      <c r="EL27" s="131"/>
      <c r="EM27" s="131"/>
      <c r="EN27" s="131"/>
      <c r="EO27" s="131"/>
      <c r="EP27" s="131"/>
      <c r="EQ27" s="131"/>
      <c r="ER27" s="131"/>
      <c r="ES27" s="131"/>
      <c r="ET27" s="131"/>
      <c r="EU27" s="131"/>
      <c r="EV27" s="131"/>
      <c r="EW27" s="131"/>
      <c r="EX27" s="131"/>
      <c r="EY27" s="131"/>
      <c r="EZ27" s="131"/>
      <c r="FA27" s="131"/>
      <c r="FB27" s="131"/>
      <c r="FC27" s="131"/>
      <c r="FD27" s="131"/>
      <c r="FE27" s="131"/>
      <c r="FF27" s="131"/>
      <c r="FG27" s="131"/>
      <c r="FH27" s="131"/>
      <c r="FI27" s="131"/>
      <c r="FJ27" s="131"/>
      <c r="FK27" s="131"/>
      <c r="FL27" s="131"/>
      <c r="FM27" s="131"/>
      <c r="FN27" s="131"/>
      <c r="FO27" s="131"/>
      <c r="FP27" s="131"/>
      <c r="FQ27" s="131"/>
      <c r="FR27" s="131"/>
      <c r="FS27" s="131"/>
      <c r="FT27" s="131"/>
      <c r="FU27" s="131"/>
      <c r="FV27" s="131"/>
      <c r="FW27" s="131"/>
      <c r="FX27" s="131"/>
      <c r="FY27" s="131"/>
      <c r="FZ27" s="131"/>
      <c r="GA27" s="131"/>
      <c r="GB27" s="131"/>
      <c r="GC27" s="131"/>
      <c r="GD27" s="131"/>
      <c r="GE27" s="131"/>
      <c r="GF27" s="131"/>
      <c r="GG27" s="131"/>
      <c r="GH27" s="131"/>
      <c r="GI27" s="131"/>
      <c r="GJ27" s="131"/>
      <c r="GK27" s="131"/>
      <c r="GL27" s="131"/>
      <c r="GM27" s="131"/>
      <c r="GN27" s="131"/>
      <c r="GO27" s="131"/>
      <c r="GP27" s="131"/>
      <c r="GQ27" s="131"/>
      <c r="GR27" s="131"/>
      <c r="GS27" s="131"/>
      <c r="GT27" s="131"/>
      <c r="GU27" s="131"/>
    </row>
    <row r="28" spans="1:203" s="129" customFormat="1" ht="25.5" customHeight="1">
      <c r="A28" s="466">
        <v>26</v>
      </c>
      <c r="B28" s="402" t="s">
        <v>681</v>
      </c>
      <c r="C28" s="467"/>
      <c r="D28" s="467"/>
      <c r="E28" s="467"/>
      <c r="F28" s="467"/>
      <c r="G28" s="467"/>
      <c r="H28" s="467"/>
      <c r="I28" s="467"/>
      <c r="J28" s="467"/>
      <c r="K28" s="467"/>
      <c r="L28" s="467"/>
      <c r="M28" s="467" t="s">
        <v>572</v>
      </c>
      <c r="N28" s="467" t="s">
        <v>572</v>
      </c>
      <c r="O28" s="467" t="s">
        <v>572</v>
      </c>
      <c r="P28" s="467"/>
      <c r="Q28" s="467"/>
      <c r="R28" s="467"/>
      <c r="S28" s="467" t="s">
        <v>572</v>
      </c>
      <c r="T28" s="467" t="s">
        <v>572</v>
      </c>
      <c r="U28" s="467" t="s">
        <v>572</v>
      </c>
      <c r="V28" s="467" t="s">
        <v>572</v>
      </c>
      <c r="W28" s="467"/>
      <c r="X28" s="467"/>
      <c r="Y28" s="467"/>
      <c r="Z28" s="467"/>
      <c r="AA28" s="467"/>
      <c r="AB28" s="467" t="s">
        <v>572</v>
      </c>
      <c r="AC28" s="467" t="s">
        <v>572</v>
      </c>
      <c r="AD28" s="467" t="s">
        <v>572</v>
      </c>
      <c r="AE28" s="467" t="s">
        <v>572</v>
      </c>
      <c r="AF28" s="467"/>
      <c r="AG28" s="467"/>
      <c r="AH28" s="466">
        <v>26</v>
      </c>
      <c r="AI28" s="402" t="s">
        <v>681</v>
      </c>
      <c r="AJ28" s="465">
        <v>11</v>
      </c>
      <c r="AK28" s="127">
        <v>17</v>
      </c>
      <c r="AL28" s="128">
        <f t="shared" si="0"/>
        <v>11</v>
      </c>
      <c r="AM28" s="294"/>
      <c r="AN28" s="294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G28" s="131"/>
      <c r="CH28" s="131"/>
      <c r="CI28" s="131"/>
      <c r="CJ28" s="131"/>
      <c r="CK28" s="131"/>
      <c r="CL28" s="131"/>
      <c r="CM28" s="131"/>
      <c r="CN28" s="131"/>
      <c r="CO28" s="131"/>
      <c r="CP28" s="131"/>
      <c r="CQ28" s="131"/>
      <c r="CR28" s="131"/>
      <c r="CS28" s="131"/>
      <c r="CT28" s="131"/>
      <c r="CU28" s="131"/>
      <c r="CV28" s="131"/>
      <c r="CW28" s="131"/>
      <c r="CX28" s="131"/>
      <c r="CY28" s="131"/>
      <c r="CZ28" s="131"/>
      <c r="DA28" s="131"/>
      <c r="DB28" s="131"/>
      <c r="DC28" s="131"/>
      <c r="DD28" s="131"/>
      <c r="DE28" s="131"/>
      <c r="DF28" s="131"/>
      <c r="DG28" s="131"/>
      <c r="DH28" s="131"/>
      <c r="DI28" s="131"/>
      <c r="DJ28" s="131"/>
      <c r="DK28" s="131"/>
      <c r="DL28" s="131"/>
      <c r="DM28" s="131"/>
      <c r="DN28" s="131"/>
      <c r="DO28" s="131"/>
      <c r="DP28" s="131"/>
      <c r="DQ28" s="131"/>
      <c r="DR28" s="131"/>
      <c r="DS28" s="131"/>
      <c r="DT28" s="131"/>
      <c r="DU28" s="131"/>
      <c r="DV28" s="131"/>
      <c r="DW28" s="131"/>
      <c r="DX28" s="131"/>
      <c r="DY28" s="131"/>
      <c r="DZ28" s="131"/>
      <c r="EA28" s="131"/>
      <c r="EB28" s="131"/>
      <c r="EC28" s="131"/>
      <c r="ED28" s="131"/>
      <c r="EE28" s="131"/>
      <c r="EF28" s="131"/>
      <c r="EG28" s="131"/>
      <c r="EH28" s="131"/>
      <c r="EI28" s="131"/>
      <c r="EJ28" s="131"/>
      <c r="EK28" s="131"/>
      <c r="EL28" s="131"/>
      <c r="EM28" s="131"/>
      <c r="EN28" s="131"/>
      <c r="EO28" s="131"/>
      <c r="EP28" s="131"/>
      <c r="EQ28" s="131"/>
      <c r="ER28" s="131"/>
      <c r="ES28" s="131"/>
      <c r="ET28" s="131"/>
      <c r="EU28" s="131"/>
      <c r="EV28" s="131"/>
      <c r="EW28" s="131"/>
      <c r="EX28" s="131"/>
      <c r="EY28" s="131"/>
      <c r="EZ28" s="131"/>
      <c r="FA28" s="131"/>
      <c r="FB28" s="131"/>
      <c r="FC28" s="131"/>
      <c r="FD28" s="131"/>
      <c r="FE28" s="131"/>
      <c r="FF28" s="131"/>
      <c r="FG28" s="131"/>
      <c r="FH28" s="131"/>
      <c r="FI28" s="131"/>
      <c r="FJ28" s="131"/>
      <c r="FK28" s="131"/>
      <c r="FL28" s="131"/>
      <c r="FM28" s="131"/>
      <c r="FN28" s="131"/>
      <c r="FO28" s="131"/>
      <c r="FP28" s="131"/>
      <c r="FQ28" s="131"/>
      <c r="FR28" s="131"/>
      <c r="FS28" s="131"/>
      <c r="FT28" s="131"/>
      <c r="FU28" s="131"/>
      <c r="FV28" s="131"/>
      <c r="FW28" s="131"/>
      <c r="FX28" s="131"/>
      <c r="FY28" s="131"/>
      <c r="FZ28" s="131"/>
      <c r="GA28" s="131"/>
      <c r="GB28" s="131"/>
      <c r="GC28" s="131"/>
      <c r="GD28" s="131"/>
      <c r="GE28" s="131"/>
      <c r="GF28" s="131"/>
      <c r="GG28" s="131"/>
      <c r="GH28" s="131"/>
      <c r="GI28" s="131"/>
      <c r="GJ28" s="131"/>
      <c r="GK28" s="131"/>
      <c r="GL28" s="131"/>
      <c r="GM28" s="131"/>
      <c r="GN28" s="131"/>
      <c r="GO28" s="131"/>
      <c r="GP28" s="131"/>
      <c r="GQ28" s="131"/>
      <c r="GR28" s="131"/>
      <c r="GS28" s="131"/>
      <c r="GT28" s="131"/>
      <c r="GU28" s="131"/>
    </row>
    <row r="29" spans="1:203" s="140" customFormat="1" ht="25.5" customHeight="1">
      <c r="A29" s="463">
        <v>27</v>
      </c>
      <c r="B29" s="398" t="s">
        <v>669</v>
      </c>
      <c r="C29" s="467"/>
      <c r="D29" s="467" t="s">
        <v>572</v>
      </c>
      <c r="E29" s="467" t="s">
        <v>670</v>
      </c>
      <c r="F29" s="467"/>
      <c r="G29" s="467"/>
      <c r="H29" s="467"/>
      <c r="I29" s="468"/>
      <c r="J29" s="467" t="s">
        <v>572</v>
      </c>
      <c r="K29" s="467" t="s">
        <v>572</v>
      </c>
      <c r="L29" s="468" t="s">
        <v>654</v>
      </c>
      <c r="M29" s="467" t="s">
        <v>672</v>
      </c>
      <c r="N29" s="468" t="s">
        <v>673</v>
      </c>
      <c r="O29" s="467"/>
      <c r="P29" s="468"/>
      <c r="Q29" s="467"/>
      <c r="R29" s="467" t="s">
        <v>572</v>
      </c>
      <c r="S29" s="467" t="s">
        <v>671</v>
      </c>
      <c r="T29" s="467" t="s">
        <v>707</v>
      </c>
      <c r="U29" s="468" t="s">
        <v>672</v>
      </c>
      <c r="V29" s="467" t="s">
        <v>763</v>
      </c>
      <c r="W29" s="468" t="s">
        <v>672</v>
      </c>
      <c r="X29" s="467"/>
      <c r="Y29" s="467" t="s">
        <v>572</v>
      </c>
      <c r="Z29" s="468" t="s">
        <v>572</v>
      </c>
      <c r="AA29" s="468"/>
      <c r="AB29" s="468"/>
      <c r="AC29" s="467"/>
      <c r="AD29" s="467"/>
      <c r="AE29" s="468"/>
      <c r="AF29" s="467" t="s">
        <v>572</v>
      </c>
      <c r="AG29" s="468" t="s">
        <v>654</v>
      </c>
      <c r="AH29" s="463">
        <v>27</v>
      </c>
      <c r="AI29" s="398" t="s">
        <v>669</v>
      </c>
      <c r="AJ29" s="465">
        <v>11</v>
      </c>
      <c r="AK29" s="127">
        <v>18</v>
      </c>
      <c r="AL29" s="128">
        <f t="shared" si="0"/>
        <v>11</v>
      </c>
      <c r="AM29" s="295"/>
      <c r="AN29" s="296"/>
      <c r="AO29" s="139"/>
      <c r="AP29" s="139"/>
      <c r="AQ29" s="139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  <c r="CK29" s="138"/>
      <c r="CL29" s="138"/>
      <c r="CM29" s="138"/>
      <c r="CN29" s="138"/>
      <c r="CO29" s="138"/>
      <c r="CP29" s="138"/>
      <c r="CQ29" s="138"/>
      <c r="CR29" s="138"/>
      <c r="CS29" s="138"/>
      <c r="CT29" s="138"/>
      <c r="CU29" s="138"/>
      <c r="CV29" s="138"/>
      <c r="CW29" s="138"/>
      <c r="CX29" s="138"/>
      <c r="CY29" s="138"/>
      <c r="CZ29" s="138"/>
      <c r="DA29" s="138"/>
      <c r="DB29" s="138"/>
      <c r="DC29" s="138"/>
      <c r="DD29" s="138"/>
      <c r="DE29" s="138"/>
      <c r="DF29" s="138"/>
      <c r="DG29" s="138"/>
      <c r="DH29" s="138"/>
      <c r="DI29" s="138"/>
      <c r="DJ29" s="138"/>
      <c r="DK29" s="138"/>
      <c r="DL29" s="138"/>
      <c r="DM29" s="138"/>
      <c r="DN29" s="138"/>
      <c r="DO29" s="138"/>
      <c r="DP29" s="138"/>
      <c r="DQ29" s="138"/>
      <c r="DR29" s="138"/>
      <c r="DS29" s="138"/>
      <c r="DT29" s="138"/>
      <c r="DU29" s="138"/>
      <c r="DV29" s="138"/>
      <c r="DW29" s="138"/>
      <c r="DX29" s="138"/>
      <c r="DY29" s="138"/>
      <c r="DZ29" s="138"/>
      <c r="EA29" s="138"/>
      <c r="EB29" s="138"/>
      <c r="EC29" s="138"/>
      <c r="ED29" s="138"/>
      <c r="EE29" s="138"/>
      <c r="EF29" s="138"/>
      <c r="EG29" s="138"/>
      <c r="EH29" s="138"/>
      <c r="EI29" s="138"/>
      <c r="EJ29" s="138"/>
      <c r="EK29" s="138"/>
      <c r="EL29" s="138"/>
      <c r="EM29" s="138"/>
      <c r="EN29" s="138"/>
      <c r="EO29" s="138"/>
      <c r="EP29" s="138"/>
      <c r="EQ29" s="138"/>
      <c r="ER29" s="138"/>
      <c r="ES29" s="138"/>
      <c r="ET29" s="138"/>
      <c r="EU29" s="138"/>
      <c r="EV29" s="138"/>
      <c r="EW29" s="138"/>
      <c r="EX29" s="138"/>
      <c r="EY29" s="138"/>
      <c r="EZ29" s="138"/>
      <c r="FA29" s="138"/>
      <c r="FB29" s="138"/>
      <c r="FC29" s="138"/>
      <c r="FD29" s="138"/>
      <c r="FE29" s="138"/>
      <c r="FF29" s="138"/>
      <c r="FG29" s="138"/>
      <c r="FH29" s="138"/>
      <c r="FI29" s="138"/>
      <c r="FJ29" s="138"/>
      <c r="FK29" s="138"/>
      <c r="FL29" s="138"/>
      <c r="FM29" s="138"/>
      <c r="FN29" s="138"/>
      <c r="FO29" s="138"/>
      <c r="FP29" s="138"/>
      <c r="FQ29" s="138"/>
      <c r="FR29" s="138"/>
      <c r="FS29" s="138"/>
      <c r="FT29" s="138"/>
      <c r="FU29" s="138"/>
      <c r="FV29" s="138"/>
      <c r="FW29" s="138"/>
      <c r="FX29" s="138"/>
      <c r="FY29" s="138"/>
      <c r="FZ29" s="138"/>
      <c r="GA29" s="138"/>
      <c r="GB29" s="138"/>
      <c r="GC29" s="138"/>
      <c r="GD29" s="138"/>
      <c r="GE29" s="138"/>
      <c r="GF29" s="138"/>
      <c r="GG29" s="138"/>
      <c r="GH29" s="138"/>
      <c r="GI29" s="138"/>
      <c r="GJ29" s="138"/>
      <c r="GK29" s="138"/>
      <c r="GL29" s="138"/>
      <c r="GM29" s="138"/>
      <c r="GN29" s="138"/>
      <c r="GO29" s="138"/>
      <c r="GP29" s="138"/>
      <c r="GQ29" s="138"/>
      <c r="GR29" s="138"/>
      <c r="GS29" s="138"/>
      <c r="GT29" s="138"/>
      <c r="GU29" s="138"/>
    </row>
    <row r="30" spans="1:203" s="140" customFormat="1" ht="25.5" customHeight="1">
      <c r="A30" s="466">
        <v>28</v>
      </c>
      <c r="B30" s="401" t="s">
        <v>674</v>
      </c>
      <c r="C30" s="454"/>
      <c r="D30" s="454"/>
      <c r="E30" s="454" t="s">
        <v>615</v>
      </c>
      <c r="F30" s="454" t="s">
        <v>665</v>
      </c>
      <c r="G30" s="454"/>
      <c r="H30" s="454"/>
      <c r="I30" s="454"/>
      <c r="J30" s="454"/>
      <c r="K30" s="454"/>
      <c r="L30" s="454" t="s">
        <v>616</v>
      </c>
      <c r="M30" s="454" t="s">
        <v>616</v>
      </c>
      <c r="N30" s="468" t="s">
        <v>671</v>
      </c>
      <c r="O30" s="454"/>
      <c r="P30" s="454"/>
      <c r="Q30" s="454"/>
      <c r="R30" s="454"/>
      <c r="S30" s="454"/>
      <c r="T30" s="454" t="s">
        <v>615</v>
      </c>
      <c r="U30" s="454" t="s">
        <v>705</v>
      </c>
      <c r="V30" s="454"/>
      <c r="W30" s="454" t="s">
        <v>712</v>
      </c>
      <c r="X30" s="454" t="s">
        <v>713</v>
      </c>
      <c r="Y30" s="454" t="s">
        <v>616</v>
      </c>
      <c r="Z30" s="454" t="s">
        <v>616</v>
      </c>
      <c r="AA30" s="454" t="s">
        <v>616</v>
      </c>
      <c r="AB30" s="454"/>
      <c r="AC30" s="454"/>
      <c r="AD30" s="454"/>
      <c r="AE30" s="454"/>
      <c r="AF30" s="454"/>
      <c r="AG30" s="454" t="s">
        <v>617</v>
      </c>
      <c r="AH30" s="466">
        <v>28</v>
      </c>
      <c r="AI30" s="401" t="s">
        <v>674</v>
      </c>
      <c r="AJ30" s="465">
        <f t="shared" ref="AJ30:AJ34" si="1">COUNTIF(C30:AG30,"x*")</f>
        <v>11</v>
      </c>
      <c r="AK30" s="127">
        <v>20</v>
      </c>
      <c r="AL30" s="128">
        <f t="shared" si="0"/>
        <v>11</v>
      </c>
      <c r="AM30" s="295"/>
      <c r="AN30" s="296"/>
      <c r="AO30" s="139"/>
      <c r="AP30" s="139"/>
      <c r="AQ30" s="139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  <c r="CK30" s="138"/>
      <c r="CL30" s="138"/>
      <c r="CM30" s="138"/>
      <c r="CN30" s="138"/>
      <c r="CO30" s="138"/>
      <c r="CP30" s="138"/>
      <c r="CQ30" s="138"/>
      <c r="CR30" s="138"/>
      <c r="CS30" s="138"/>
      <c r="CT30" s="138"/>
      <c r="CU30" s="138"/>
      <c r="CV30" s="138"/>
      <c r="CW30" s="138"/>
      <c r="CX30" s="138"/>
      <c r="CY30" s="138"/>
      <c r="CZ30" s="138"/>
      <c r="DA30" s="138"/>
      <c r="DB30" s="138"/>
      <c r="DC30" s="138"/>
      <c r="DD30" s="138"/>
      <c r="DE30" s="138"/>
      <c r="DF30" s="138"/>
      <c r="DG30" s="138"/>
      <c r="DH30" s="138"/>
      <c r="DI30" s="138"/>
      <c r="DJ30" s="138"/>
      <c r="DK30" s="138"/>
      <c r="DL30" s="138"/>
      <c r="DM30" s="138"/>
      <c r="DN30" s="138"/>
      <c r="DO30" s="138"/>
      <c r="DP30" s="138"/>
      <c r="DQ30" s="138"/>
      <c r="DR30" s="138"/>
      <c r="DS30" s="138"/>
      <c r="DT30" s="138"/>
      <c r="DU30" s="138"/>
      <c r="DV30" s="138"/>
      <c r="DW30" s="138"/>
      <c r="DX30" s="138"/>
      <c r="DY30" s="138"/>
      <c r="DZ30" s="138"/>
      <c r="EA30" s="138"/>
      <c r="EB30" s="138"/>
      <c r="EC30" s="138"/>
      <c r="ED30" s="138"/>
      <c r="EE30" s="138"/>
      <c r="EF30" s="138"/>
      <c r="EG30" s="138"/>
      <c r="EH30" s="138"/>
      <c r="EI30" s="138"/>
      <c r="EJ30" s="138"/>
      <c r="EK30" s="138"/>
      <c r="EL30" s="138"/>
      <c r="EM30" s="138"/>
      <c r="EN30" s="138"/>
      <c r="EO30" s="138"/>
      <c r="EP30" s="138"/>
      <c r="EQ30" s="138"/>
      <c r="ER30" s="138"/>
      <c r="ES30" s="138"/>
      <c r="ET30" s="138"/>
      <c r="EU30" s="138"/>
      <c r="EV30" s="138"/>
      <c r="EW30" s="138"/>
      <c r="EX30" s="138"/>
      <c r="EY30" s="138"/>
      <c r="EZ30" s="138"/>
      <c r="FA30" s="138"/>
      <c r="FB30" s="138"/>
      <c r="FC30" s="138"/>
      <c r="FD30" s="138"/>
      <c r="FE30" s="138"/>
      <c r="FF30" s="138"/>
      <c r="FG30" s="138"/>
      <c r="FH30" s="138"/>
      <c r="FI30" s="138"/>
      <c r="FJ30" s="138"/>
      <c r="FK30" s="138"/>
      <c r="FL30" s="138"/>
      <c r="FM30" s="138"/>
      <c r="FN30" s="138"/>
      <c r="FO30" s="138"/>
      <c r="FP30" s="138"/>
      <c r="FQ30" s="138"/>
      <c r="FR30" s="138"/>
      <c r="FS30" s="138"/>
      <c r="FT30" s="138"/>
      <c r="FU30" s="138"/>
      <c r="FV30" s="138"/>
      <c r="FW30" s="138"/>
      <c r="FX30" s="138"/>
      <c r="FY30" s="138"/>
      <c r="FZ30" s="138"/>
      <c r="GA30" s="138"/>
      <c r="GB30" s="138"/>
      <c r="GC30" s="138"/>
      <c r="GD30" s="138"/>
      <c r="GE30" s="138"/>
      <c r="GF30" s="138"/>
      <c r="GG30" s="138"/>
      <c r="GH30" s="138"/>
      <c r="GI30" s="138"/>
      <c r="GJ30" s="138"/>
      <c r="GK30" s="138"/>
      <c r="GL30" s="138"/>
      <c r="GM30" s="138"/>
      <c r="GN30" s="138"/>
      <c r="GO30" s="138"/>
      <c r="GP30" s="138"/>
      <c r="GQ30" s="138"/>
      <c r="GR30" s="138"/>
      <c r="GS30" s="138"/>
      <c r="GT30" s="138"/>
      <c r="GU30" s="138"/>
    </row>
    <row r="31" spans="1:203" s="141" customFormat="1" ht="25.5" customHeight="1">
      <c r="A31" s="463">
        <v>29</v>
      </c>
      <c r="B31" s="398" t="s">
        <v>675</v>
      </c>
      <c r="C31" s="452"/>
      <c r="D31" s="452"/>
      <c r="E31" s="452"/>
      <c r="F31" s="452"/>
      <c r="G31" s="452" t="s">
        <v>615</v>
      </c>
      <c r="H31" s="452"/>
      <c r="I31" s="452" t="s">
        <v>665</v>
      </c>
      <c r="J31" s="452"/>
      <c r="K31" s="452"/>
      <c r="L31" s="452"/>
      <c r="M31" s="452"/>
      <c r="N31" s="452" t="s">
        <v>616</v>
      </c>
      <c r="O31" s="452" t="s">
        <v>616</v>
      </c>
      <c r="P31" s="452" t="s">
        <v>616</v>
      </c>
      <c r="Q31" s="452"/>
      <c r="R31" s="452"/>
      <c r="S31" s="452"/>
      <c r="T31" s="452"/>
      <c r="U31" s="452" t="s">
        <v>615</v>
      </c>
      <c r="V31" s="452"/>
      <c r="W31" s="452" t="s">
        <v>706</v>
      </c>
      <c r="X31" s="452"/>
      <c r="Y31" s="452"/>
      <c r="Z31" s="452"/>
      <c r="AA31" s="452"/>
      <c r="AB31" s="452" t="s">
        <v>617</v>
      </c>
      <c r="AC31" s="452"/>
      <c r="AD31" s="452" t="s">
        <v>617</v>
      </c>
      <c r="AE31" s="452"/>
      <c r="AF31" s="452"/>
      <c r="AG31" s="452"/>
      <c r="AH31" s="463">
        <v>29</v>
      </c>
      <c r="AI31" s="398" t="s">
        <v>675</v>
      </c>
      <c r="AJ31" s="465">
        <f t="shared" si="1"/>
        <v>9</v>
      </c>
      <c r="AK31" s="127">
        <v>21</v>
      </c>
      <c r="AL31" s="128">
        <f t="shared" si="0"/>
        <v>9</v>
      </c>
      <c r="AM31" s="297"/>
      <c r="AN31" s="297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2"/>
      <c r="DB31" s="142"/>
      <c r="DC31" s="142"/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DN31" s="142"/>
      <c r="DO31" s="142"/>
      <c r="DP31" s="142"/>
      <c r="DQ31" s="142"/>
      <c r="DR31" s="142"/>
      <c r="DS31" s="142"/>
      <c r="DT31" s="142"/>
      <c r="DU31" s="142"/>
      <c r="DV31" s="142"/>
      <c r="DW31" s="142"/>
      <c r="DX31" s="142"/>
      <c r="DY31" s="142"/>
      <c r="DZ31" s="142"/>
      <c r="EA31" s="142"/>
      <c r="EB31" s="142"/>
      <c r="EC31" s="142"/>
      <c r="ED31" s="142"/>
      <c r="EE31" s="142"/>
      <c r="EF31" s="142"/>
      <c r="EG31" s="142"/>
      <c r="EH31" s="142"/>
      <c r="EI31" s="142"/>
      <c r="EJ31" s="142"/>
      <c r="EK31" s="142"/>
      <c r="EL31" s="142"/>
      <c r="EM31" s="142"/>
      <c r="EN31" s="142"/>
      <c r="EO31" s="142"/>
      <c r="EP31" s="142"/>
      <c r="EQ31" s="142"/>
      <c r="ER31" s="142"/>
      <c r="ES31" s="142"/>
      <c r="ET31" s="142"/>
      <c r="EU31" s="142"/>
      <c r="EV31" s="142"/>
      <c r="EW31" s="142"/>
      <c r="EX31" s="142"/>
      <c r="EY31" s="142"/>
      <c r="EZ31" s="142"/>
      <c r="FA31" s="142"/>
      <c r="FB31" s="142"/>
      <c r="FC31" s="142"/>
      <c r="FD31" s="142"/>
      <c r="FE31" s="142"/>
      <c r="FF31" s="142"/>
      <c r="FG31" s="142"/>
      <c r="FH31" s="142"/>
      <c r="FI31" s="142"/>
      <c r="FJ31" s="142"/>
      <c r="FK31" s="142"/>
      <c r="FL31" s="142"/>
      <c r="FM31" s="142"/>
      <c r="FN31" s="142"/>
      <c r="FO31" s="142"/>
      <c r="FP31" s="142"/>
      <c r="FQ31" s="142"/>
      <c r="FR31" s="142"/>
      <c r="FS31" s="142"/>
      <c r="FT31" s="142"/>
      <c r="FU31" s="142"/>
      <c r="FV31" s="142"/>
      <c r="FW31" s="142"/>
      <c r="FX31" s="142"/>
      <c r="FY31" s="142"/>
      <c r="FZ31" s="142"/>
      <c r="GA31" s="142"/>
      <c r="GB31" s="142"/>
      <c r="GC31" s="142"/>
      <c r="GD31" s="142"/>
      <c r="GE31" s="142"/>
      <c r="GF31" s="142"/>
      <c r="GG31" s="142"/>
      <c r="GH31" s="142"/>
      <c r="GI31" s="142"/>
      <c r="GJ31" s="142"/>
      <c r="GK31" s="142"/>
      <c r="GL31" s="142"/>
      <c r="GM31" s="142"/>
      <c r="GN31" s="142"/>
      <c r="GO31" s="142"/>
      <c r="GP31" s="142"/>
      <c r="GQ31" s="142"/>
      <c r="GR31" s="142"/>
      <c r="GS31" s="142"/>
      <c r="GT31" s="142"/>
      <c r="GU31" s="142"/>
    </row>
    <row r="32" spans="1:203" ht="25.5" customHeight="1">
      <c r="A32" s="466">
        <v>30</v>
      </c>
      <c r="B32" s="401" t="s">
        <v>298</v>
      </c>
      <c r="C32" s="454" t="s">
        <v>676</v>
      </c>
      <c r="D32" s="454" t="s">
        <v>676</v>
      </c>
      <c r="E32" s="454"/>
      <c r="F32" s="454"/>
      <c r="G32" s="454"/>
      <c r="H32" s="454"/>
      <c r="I32" s="454"/>
      <c r="J32" s="454" t="s">
        <v>572</v>
      </c>
      <c r="K32" s="454" t="s">
        <v>572</v>
      </c>
      <c r="L32" s="454" t="s">
        <v>616</v>
      </c>
      <c r="M32" s="454" t="s">
        <v>616</v>
      </c>
      <c r="N32" s="454" t="s">
        <v>616</v>
      </c>
      <c r="O32" s="454"/>
      <c r="P32" s="454"/>
      <c r="Q32" s="454"/>
      <c r="R32" s="454"/>
      <c r="S32" s="454"/>
      <c r="T32" s="454" t="s">
        <v>616</v>
      </c>
      <c r="U32" s="454" t="s">
        <v>697</v>
      </c>
      <c r="V32" s="454"/>
      <c r="W32" s="454"/>
      <c r="X32" s="454"/>
      <c r="Y32" s="454"/>
      <c r="Z32" s="454" t="s">
        <v>616</v>
      </c>
      <c r="AA32" s="454" t="s">
        <v>616</v>
      </c>
      <c r="AB32" s="454" t="s">
        <v>617</v>
      </c>
      <c r="AC32" s="454"/>
      <c r="AD32" s="454"/>
      <c r="AE32" s="454"/>
      <c r="AF32" s="454"/>
      <c r="AG32" s="454" t="s">
        <v>617</v>
      </c>
      <c r="AH32" s="466">
        <v>30</v>
      </c>
      <c r="AI32" s="401" t="s">
        <v>298</v>
      </c>
      <c r="AJ32" s="465">
        <f t="shared" si="1"/>
        <v>11</v>
      </c>
      <c r="AK32" s="127">
        <v>22</v>
      </c>
      <c r="AL32" s="128">
        <f t="shared" si="0"/>
        <v>11</v>
      </c>
      <c r="AM32" s="298"/>
      <c r="AN32" s="298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  <c r="BB32" s="139"/>
      <c r="BC32" s="139"/>
      <c r="BD32" s="139"/>
      <c r="BE32" s="139"/>
      <c r="BF32" s="139"/>
      <c r="BG32" s="139"/>
      <c r="BH32" s="139"/>
      <c r="BI32" s="139"/>
      <c r="BJ32" s="139"/>
      <c r="BK32" s="139"/>
      <c r="BL32" s="139"/>
      <c r="BM32" s="139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39"/>
      <c r="CC32" s="139"/>
      <c r="CD32" s="139"/>
      <c r="CE32" s="139"/>
      <c r="CF32" s="139"/>
      <c r="CG32" s="139"/>
      <c r="CH32" s="139"/>
      <c r="CI32" s="139"/>
      <c r="CJ32" s="139"/>
      <c r="CK32" s="139"/>
      <c r="CL32" s="139"/>
      <c r="CM32" s="139"/>
      <c r="CN32" s="139"/>
      <c r="CO32" s="139"/>
      <c r="CP32" s="139"/>
      <c r="CQ32" s="139"/>
      <c r="CR32" s="139"/>
      <c r="CS32" s="139"/>
      <c r="CT32" s="139"/>
      <c r="CU32" s="139"/>
      <c r="CV32" s="139"/>
      <c r="CW32" s="139"/>
      <c r="CX32" s="139"/>
      <c r="CY32" s="139"/>
      <c r="CZ32" s="139"/>
      <c r="DA32" s="139"/>
      <c r="DB32" s="139"/>
      <c r="DC32" s="139"/>
      <c r="DD32" s="139"/>
      <c r="DE32" s="139"/>
      <c r="DF32" s="139"/>
      <c r="DG32" s="139"/>
      <c r="DH32" s="139"/>
      <c r="DI32" s="139"/>
      <c r="DJ32" s="139"/>
      <c r="DK32" s="139"/>
      <c r="DL32" s="139"/>
      <c r="DM32" s="139"/>
      <c r="DN32" s="139"/>
      <c r="DO32" s="139"/>
      <c r="DP32" s="139"/>
      <c r="DQ32" s="139"/>
      <c r="DR32" s="139"/>
      <c r="DS32" s="139"/>
      <c r="DT32" s="139"/>
      <c r="DU32" s="139"/>
      <c r="DV32" s="139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139"/>
      <c r="EH32" s="139"/>
      <c r="EI32" s="139"/>
      <c r="EJ32" s="139"/>
      <c r="EK32" s="139"/>
      <c r="EL32" s="139"/>
      <c r="EM32" s="139"/>
      <c r="EN32" s="139"/>
      <c r="EO32" s="139"/>
      <c r="EP32" s="139"/>
      <c r="EQ32" s="139"/>
      <c r="ER32" s="139"/>
      <c r="ES32" s="139"/>
      <c r="ET32" s="139"/>
      <c r="EU32" s="139"/>
      <c r="EV32" s="139"/>
      <c r="EW32" s="139"/>
      <c r="EX32" s="139"/>
      <c r="EY32" s="139"/>
      <c r="EZ32" s="139"/>
      <c r="FA32" s="139"/>
      <c r="FB32" s="139"/>
      <c r="FC32" s="139"/>
      <c r="FD32" s="139"/>
      <c r="FE32" s="139"/>
      <c r="FF32" s="139"/>
      <c r="FG32" s="139"/>
      <c r="FH32" s="139"/>
      <c r="FI32" s="139"/>
      <c r="FJ32" s="139"/>
      <c r="FK32" s="139"/>
      <c r="FL32" s="139"/>
      <c r="FM32" s="139"/>
      <c r="FN32" s="139"/>
      <c r="FO32" s="139"/>
      <c r="FP32" s="139"/>
      <c r="FQ32" s="139"/>
      <c r="FR32" s="139"/>
      <c r="FS32" s="139"/>
      <c r="FT32" s="139"/>
      <c r="FU32" s="139"/>
      <c r="FV32" s="139"/>
      <c r="FW32" s="139"/>
      <c r="FX32" s="139"/>
      <c r="FY32" s="139"/>
      <c r="FZ32" s="139"/>
      <c r="GA32" s="139"/>
      <c r="GB32" s="139"/>
      <c r="GC32" s="139"/>
      <c r="GD32" s="139"/>
      <c r="GE32" s="139"/>
      <c r="GF32" s="139"/>
      <c r="GG32" s="139"/>
      <c r="GH32" s="139"/>
      <c r="GI32" s="139"/>
      <c r="GJ32" s="139"/>
      <c r="GK32" s="139"/>
      <c r="GL32" s="139"/>
      <c r="GM32" s="139"/>
      <c r="GN32" s="139"/>
      <c r="GO32" s="139"/>
      <c r="GP32" s="139"/>
      <c r="GQ32" s="139"/>
      <c r="GR32" s="139"/>
      <c r="GS32" s="139"/>
      <c r="GT32" s="139"/>
      <c r="GU32" s="139"/>
    </row>
    <row r="33" spans="1:203" s="139" customFormat="1" ht="25.5" customHeight="1">
      <c r="A33" s="463">
        <v>31</v>
      </c>
      <c r="B33" s="398" t="s">
        <v>299</v>
      </c>
      <c r="C33" s="452"/>
      <c r="D33" s="452"/>
      <c r="E33" s="452" t="s">
        <v>655</v>
      </c>
      <c r="F33" s="452" t="s">
        <v>616</v>
      </c>
      <c r="G33" s="452" t="s">
        <v>616</v>
      </c>
      <c r="H33" s="452" t="s">
        <v>562</v>
      </c>
      <c r="I33" s="452"/>
      <c r="J33" s="452"/>
      <c r="K33" s="452"/>
      <c r="L33" s="452"/>
      <c r="M33" s="452"/>
      <c r="N33" s="452" t="s">
        <v>616</v>
      </c>
      <c r="O33" s="452" t="s">
        <v>572</v>
      </c>
      <c r="P33" s="452"/>
      <c r="Q33" s="452"/>
      <c r="R33" s="452"/>
      <c r="S33" s="452" t="s">
        <v>616</v>
      </c>
      <c r="T33" s="452" t="s">
        <v>680</v>
      </c>
      <c r="U33" s="452"/>
      <c r="V33" s="452"/>
      <c r="W33" s="452"/>
      <c r="X33" s="452"/>
      <c r="Y33" s="452" t="s">
        <v>615</v>
      </c>
      <c r="Z33" s="452" t="s">
        <v>616</v>
      </c>
      <c r="AA33" s="452" t="s">
        <v>616</v>
      </c>
      <c r="AB33" s="452"/>
      <c r="AC33" s="452"/>
      <c r="AD33" s="452"/>
      <c r="AE33" s="452"/>
      <c r="AF33" s="452" t="s">
        <v>617</v>
      </c>
      <c r="AG33" s="452" t="s">
        <v>615</v>
      </c>
      <c r="AH33" s="463">
        <v>31</v>
      </c>
      <c r="AI33" s="398" t="s">
        <v>299</v>
      </c>
      <c r="AJ33" s="465">
        <f t="shared" si="1"/>
        <v>12</v>
      </c>
      <c r="AK33" s="127">
        <v>23</v>
      </c>
      <c r="AL33" s="128">
        <f t="shared" si="0"/>
        <v>12</v>
      </c>
      <c r="AM33" s="299"/>
      <c r="AN33" s="299"/>
    </row>
    <row r="34" spans="1:203" s="139" customFormat="1" ht="25.5" customHeight="1">
      <c r="A34" s="466">
        <v>32</v>
      </c>
      <c r="B34" s="398" t="s">
        <v>353</v>
      </c>
      <c r="C34" s="454" t="s">
        <v>676</v>
      </c>
      <c r="D34" s="454" t="s">
        <v>676</v>
      </c>
      <c r="E34" s="454" t="s">
        <v>676</v>
      </c>
      <c r="F34" s="454" t="s">
        <v>676</v>
      </c>
      <c r="G34" s="454" t="s">
        <v>676</v>
      </c>
      <c r="H34" s="454" t="s">
        <v>676</v>
      </c>
      <c r="I34" s="454" t="s">
        <v>676</v>
      </c>
      <c r="J34" s="454" t="s">
        <v>676</v>
      </c>
      <c r="K34" s="454" t="s">
        <v>676</v>
      </c>
      <c r="L34" s="454" t="s">
        <v>676</v>
      </c>
      <c r="M34" s="454" t="s">
        <v>676</v>
      </c>
      <c r="N34" s="454" t="s">
        <v>676</v>
      </c>
      <c r="O34" s="454" t="s">
        <v>676</v>
      </c>
      <c r="P34" s="454" t="s">
        <v>676</v>
      </c>
      <c r="Q34" s="454" t="s">
        <v>676</v>
      </c>
      <c r="R34" s="454" t="s">
        <v>676</v>
      </c>
      <c r="S34" s="454" t="s">
        <v>676</v>
      </c>
      <c r="T34" s="454" t="s">
        <v>676</v>
      </c>
      <c r="U34" s="454" t="s">
        <v>676</v>
      </c>
      <c r="V34" s="454" t="s">
        <v>676</v>
      </c>
      <c r="W34" s="454" t="s">
        <v>676</v>
      </c>
      <c r="X34" s="454" t="s">
        <v>676</v>
      </c>
      <c r="Y34" s="454" t="s">
        <v>676</v>
      </c>
      <c r="Z34" s="454" t="s">
        <v>676</v>
      </c>
      <c r="AA34" s="454" t="s">
        <v>676</v>
      </c>
      <c r="AB34" s="454" t="s">
        <v>676</v>
      </c>
      <c r="AC34" s="454" t="s">
        <v>676</v>
      </c>
      <c r="AD34" s="454" t="s">
        <v>676</v>
      </c>
      <c r="AE34" s="454" t="s">
        <v>676</v>
      </c>
      <c r="AF34" s="454" t="s">
        <v>676</v>
      </c>
      <c r="AG34" s="454" t="s">
        <v>676</v>
      </c>
      <c r="AH34" s="466">
        <v>32</v>
      </c>
      <c r="AI34" s="398" t="s">
        <v>353</v>
      </c>
      <c r="AJ34" s="465">
        <f t="shared" si="1"/>
        <v>0</v>
      </c>
      <c r="AK34" s="127">
        <v>24</v>
      </c>
      <c r="AL34" s="128">
        <f t="shared" si="0"/>
        <v>0</v>
      </c>
      <c r="AM34" s="299"/>
      <c r="AN34" s="299"/>
    </row>
    <row r="35" spans="1:203" ht="25.5" customHeight="1">
      <c r="A35" s="490"/>
      <c r="B35" s="491"/>
      <c r="C35" s="492"/>
      <c r="D35" s="492"/>
      <c r="E35" s="492"/>
      <c r="F35" s="492"/>
      <c r="G35" s="492"/>
      <c r="H35" s="492"/>
      <c r="I35" s="492"/>
      <c r="J35" s="492"/>
      <c r="K35" s="492"/>
      <c r="L35" s="492"/>
      <c r="M35" s="492"/>
      <c r="N35" s="492"/>
      <c r="O35" s="492"/>
      <c r="P35" s="492"/>
      <c r="Q35" s="492"/>
      <c r="R35" s="492"/>
      <c r="S35" s="492"/>
      <c r="T35" s="492"/>
      <c r="U35" s="492"/>
      <c r="V35" s="492"/>
      <c r="W35" s="492"/>
      <c r="X35" s="492"/>
      <c r="Y35" s="492"/>
      <c r="Z35" s="492"/>
      <c r="AA35" s="492"/>
      <c r="AB35" s="492"/>
      <c r="AC35" s="492"/>
      <c r="AD35" s="492"/>
      <c r="AE35" s="492"/>
      <c r="AF35" s="492"/>
      <c r="AG35" s="492"/>
      <c r="AH35" s="493"/>
      <c r="AI35" s="493"/>
      <c r="AJ35" s="494"/>
      <c r="AK35" s="495"/>
      <c r="AL35" s="496"/>
      <c r="AM35" s="298"/>
      <c r="AN35" s="298"/>
      <c r="AO35" s="139"/>
      <c r="AP35" s="139"/>
      <c r="AQ35" s="139"/>
      <c r="AR35" s="139"/>
      <c r="AS35" s="139"/>
      <c r="AT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F35" s="139"/>
      <c r="BG35" s="139"/>
      <c r="BH35" s="139"/>
      <c r="BI35" s="139"/>
      <c r="BJ35" s="139"/>
      <c r="BK35" s="139"/>
      <c r="BL35" s="139"/>
      <c r="BM35" s="139"/>
      <c r="BN35" s="139"/>
      <c r="BO35" s="139"/>
      <c r="BP35" s="139"/>
      <c r="BQ35" s="139"/>
      <c r="BR35" s="139"/>
      <c r="BS35" s="139"/>
      <c r="BT35" s="139"/>
      <c r="BU35" s="139"/>
      <c r="BV35" s="139"/>
      <c r="BW35" s="139"/>
      <c r="BX35" s="139"/>
      <c r="BY35" s="139"/>
      <c r="BZ35" s="139"/>
      <c r="CA35" s="139"/>
      <c r="CB35" s="139"/>
      <c r="CC35" s="139"/>
      <c r="CD35" s="139"/>
      <c r="CE35" s="139"/>
      <c r="CF35" s="139"/>
      <c r="CG35" s="139"/>
      <c r="CH35" s="139"/>
      <c r="CI35" s="139"/>
      <c r="CJ35" s="139"/>
      <c r="CK35" s="139"/>
      <c r="CL35" s="139"/>
      <c r="CM35" s="139"/>
      <c r="CN35" s="139"/>
      <c r="CO35" s="139"/>
      <c r="CP35" s="139"/>
      <c r="CQ35" s="139"/>
      <c r="CR35" s="139"/>
      <c r="CS35" s="139"/>
      <c r="CT35" s="139"/>
      <c r="CU35" s="139"/>
      <c r="CV35" s="139"/>
      <c r="CW35" s="139"/>
      <c r="CX35" s="139"/>
      <c r="CY35" s="139"/>
      <c r="CZ35" s="139"/>
      <c r="DA35" s="139"/>
      <c r="DB35" s="139"/>
      <c r="DC35" s="139"/>
      <c r="DD35" s="139"/>
      <c r="DE35" s="139"/>
      <c r="DF35" s="139"/>
      <c r="DG35" s="139"/>
      <c r="DH35" s="139"/>
      <c r="DI35" s="139"/>
      <c r="DJ35" s="139"/>
      <c r="DK35" s="139"/>
      <c r="DL35" s="139"/>
      <c r="DM35" s="139"/>
      <c r="DN35" s="139"/>
      <c r="DO35" s="139"/>
      <c r="DP35" s="139"/>
      <c r="DQ35" s="139"/>
      <c r="DR35" s="139"/>
      <c r="DS35" s="139"/>
      <c r="DT35" s="139"/>
      <c r="DU35" s="139"/>
      <c r="DV35" s="139"/>
      <c r="DW35" s="139"/>
      <c r="DX35" s="139"/>
      <c r="DY35" s="139"/>
      <c r="DZ35" s="139"/>
      <c r="EA35" s="139"/>
      <c r="EB35" s="139"/>
      <c r="EC35" s="139"/>
      <c r="ED35" s="139"/>
      <c r="EE35" s="139"/>
      <c r="EF35" s="139"/>
      <c r="EG35" s="139"/>
      <c r="EH35" s="139"/>
      <c r="EI35" s="139"/>
      <c r="EJ35" s="139"/>
      <c r="EK35" s="139"/>
      <c r="EL35" s="139"/>
      <c r="EM35" s="139"/>
      <c r="EN35" s="139"/>
      <c r="EO35" s="139"/>
      <c r="EP35" s="139"/>
      <c r="EQ35" s="139"/>
      <c r="ER35" s="139"/>
      <c r="ES35" s="139"/>
      <c r="ET35" s="139"/>
      <c r="EU35" s="139"/>
      <c r="EV35" s="139"/>
      <c r="EW35" s="139"/>
      <c r="EX35" s="139"/>
      <c r="EY35" s="139"/>
      <c r="EZ35" s="139"/>
      <c r="FA35" s="139"/>
      <c r="FB35" s="139"/>
      <c r="FC35" s="139"/>
      <c r="FD35" s="139"/>
      <c r="FE35" s="139"/>
      <c r="FF35" s="139"/>
      <c r="FG35" s="139"/>
      <c r="FH35" s="139"/>
      <c r="FI35" s="139"/>
      <c r="FJ35" s="139"/>
      <c r="FK35" s="139"/>
      <c r="FL35" s="139"/>
      <c r="FM35" s="139"/>
      <c r="FN35" s="139"/>
      <c r="FO35" s="139"/>
      <c r="FP35" s="139"/>
      <c r="FQ35" s="139"/>
      <c r="FR35" s="139"/>
      <c r="FS35" s="139"/>
      <c r="FT35" s="139"/>
      <c r="FU35" s="139"/>
      <c r="FV35" s="139"/>
      <c r="FW35" s="139"/>
      <c r="FX35" s="139"/>
      <c r="FY35" s="139"/>
      <c r="FZ35" s="139"/>
      <c r="GA35" s="139"/>
      <c r="GB35" s="139"/>
      <c r="GC35" s="139"/>
      <c r="GD35" s="139"/>
      <c r="GE35" s="139"/>
      <c r="GF35" s="139"/>
      <c r="GG35" s="139"/>
      <c r="GH35" s="139"/>
      <c r="GI35" s="139"/>
      <c r="GJ35" s="139"/>
      <c r="GK35" s="139"/>
      <c r="GL35" s="139"/>
      <c r="GM35" s="139"/>
      <c r="GN35" s="139"/>
      <c r="GO35" s="139"/>
      <c r="GP35" s="139"/>
      <c r="GQ35" s="139"/>
      <c r="GR35" s="139"/>
      <c r="GS35" s="139"/>
      <c r="GT35" s="139"/>
      <c r="GU35" s="139"/>
    </row>
    <row r="36" spans="1:203" ht="25.5" customHeight="1">
      <c r="A36" s="499"/>
      <c r="B36" s="491"/>
      <c r="C36" s="488"/>
      <c r="D36" s="488"/>
      <c r="E36" s="488"/>
      <c r="F36" s="488"/>
      <c r="G36" s="488"/>
      <c r="H36" s="488"/>
      <c r="I36" s="488"/>
      <c r="J36" s="488"/>
      <c r="K36" s="488"/>
      <c r="L36" s="488"/>
      <c r="M36" s="488"/>
      <c r="N36" s="488"/>
      <c r="O36" s="488"/>
      <c r="P36" s="488"/>
      <c r="Q36" s="488"/>
      <c r="R36" s="488"/>
      <c r="S36" s="488"/>
      <c r="T36" s="488"/>
      <c r="U36" s="488"/>
      <c r="V36" s="488"/>
      <c r="W36" s="488"/>
      <c r="X36" s="488"/>
      <c r="Y36" s="488"/>
      <c r="Z36" s="488"/>
      <c r="AA36" s="488"/>
      <c r="AB36" s="488"/>
      <c r="AC36" s="488"/>
      <c r="AD36" s="488"/>
      <c r="AE36" s="488"/>
      <c r="AF36" s="488"/>
      <c r="AG36" s="488"/>
      <c r="AH36" s="500"/>
      <c r="AI36" s="500"/>
      <c r="AJ36" s="501"/>
      <c r="AK36" s="495"/>
      <c r="AL36" s="496"/>
      <c r="AM36" s="298"/>
      <c r="AN36" s="298"/>
      <c r="AO36" s="139"/>
      <c r="AP36" s="139"/>
      <c r="AQ36" s="139"/>
      <c r="AR36" s="139"/>
      <c r="AS36" s="139"/>
      <c r="AT36" s="139"/>
      <c r="AU36" s="139"/>
      <c r="AV36" s="139"/>
      <c r="AW36" s="139"/>
      <c r="AX36" s="139"/>
      <c r="AY36" s="139"/>
      <c r="AZ36" s="139"/>
      <c r="BA36" s="139"/>
      <c r="BB36" s="139"/>
      <c r="BC36" s="139"/>
      <c r="BD36" s="139"/>
      <c r="BE36" s="139"/>
      <c r="BF36" s="139"/>
      <c r="BG36" s="139"/>
      <c r="BH36" s="139"/>
      <c r="BI36" s="139"/>
      <c r="BJ36" s="139"/>
      <c r="BK36" s="139"/>
      <c r="BL36" s="139"/>
      <c r="BM36" s="139"/>
      <c r="BN36" s="139"/>
      <c r="BO36" s="139"/>
      <c r="BP36" s="139"/>
      <c r="BQ36" s="139"/>
      <c r="BR36" s="139"/>
      <c r="BS36" s="139"/>
      <c r="BT36" s="139"/>
      <c r="BU36" s="139"/>
      <c r="BV36" s="139"/>
      <c r="BW36" s="139"/>
      <c r="BX36" s="139"/>
      <c r="BY36" s="139"/>
      <c r="BZ36" s="139"/>
      <c r="CA36" s="139"/>
      <c r="CB36" s="139"/>
      <c r="CC36" s="139"/>
      <c r="CD36" s="139"/>
      <c r="CE36" s="139"/>
      <c r="CF36" s="139"/>
      <c r="CG36" s="139"/>
      <c r="CH36" s="139"/>
      <c r="CI36" s="139"/>
      <c r="CJ36" s="139"/>
      <c r="CK36" s="139"/>
      <c r="CL36" s="139"/>
      <c r="CM36" s="139"/>
      <c r="CN36" s="139"/>
      <c r="CO36" s="139"/>
      <c r="CP36" s="139"/>
      <c r="CQ36" s="139"/>
      <c r="CR36" s="139"/>
      <c r="CS36" s="139"/>
      <c r="CT36" s="139"/>
      <c r="CU36" s="139"/>
      <c r="CV36" s="139"/>
      <c r="CW36" s="139"/>
      <c r="CX36" s="139"/>
      <c r="CY36" s="139"/>
      <c r="CZ36" s="139"/>
      <c r="DA36" s="139"/>
      <c r="DB36" s="139"/>
      <c r="DC36" s="139"/>
      <c r="DD36" s="139"/>
      <c r="DE36" s="139"/>
      <c r="DF36" s="139"/>
      <c r="DG36" s="139"/>
      <c r="DH36" s="139"/>
      <c r="DI36" s="139"/>
      <c r="DJ36" s="139"/>
      <c r="DK36" s="139"/>
      <c r="DL36" s="139"/>
      <c r="DM36" s="139"/>
      <c r="DN36" s="139"/>
      <c r="DO36" s="139"/>
      <c r="DP36" s="139"/>
      <c r="DQ36" s="139"/>
      <c r="DR36" s="139"/>
      <c r="DS36" s="139"/>
      <c r="DT36" s="139"/>
      <c r="DU36" s="139"/>
      <c r="DV36" s="139"/>
      <c r="DW36" s="139"/>
      <c r="DX36" s="139"/>
      <c r="DY36" s="139"/>
      <c r="DZ36" s="139"/>
      <c r="EA36" s="139"/>
      <c r="EB36" s="139"/>
      <c r="EC36" s="139"/>
      <c r="ED36" s="139"/>
      <c r="EE36" s="139"/>
      <c r="EF36" s="139"/>
      <c r="EG36" s="139"/>
      <c r="EH36" s="139"/>
      <c r="EI36" s="139"/>
      <c r="EJ36" s="139"/>
      <c r="EK36" s="139"/>
      <c r="EL36" s="139"/>
      <c r="EM36" s="139"/>
      <c r="EN36" s="139"/>
      <c r="EO36" s="139"/>
      <c r="EP36" s="139"/>
      <c r="EQ36" s="139"/>
      <c r="ER36" s="139"/>
      <c r="ES36" s="139"/>
      <c r="ET36" s="139"/>
      <c r="EU36" s="139"/>
      <c r="EV36" s="139"/>
      <c r="EW36" s="139"/>
      <c r="EX36" s="139"/>
      <c r="EY36" s="139"/>
      <c r="EZ36" s="139"/>
      <c r="FA36" s="139"/>
      <c r="FB36" s="139"/>
      <c r="FC36" s="139"/>
      <c r="FD36" s="139"/>
      <c r="FE36" s="139"/>
      <c r="FF36" s="139"/>
      <c r="FG36" s="139"/>
      <c r="FH36" s="139"/>
      <c r="FI36" s="139"/>
      <c r="FJ36" s="139"/>
      <c r="FK36" s="139"/>
      <c r="FL36" s="139"/>
      <c r="FM36" s="139"/>
      <c r="FN36" s="139"/>
      <c r="FO36" s="139"/>
      <c r="FP36" s="139"/>
      <c r="FQ36" s="139"/>
      <c r="FR36" s="139"/>
      <c r="FS36" s="139"/>
      <c r="FT36" s="139"/>
      <c r="FU36" s="139"/>
      <c r="FV36" s="139"/>
      <c r="FW36" s="139"/>
      <c r="FX36" s="139"/>
      <c r="FY36" s="139"/>
      <c r="FZ36" s="139"/>
      <c r="GA36" s="139"/>
      <c r="GB36" s="139"/>
      <c r="GC36" s="139"/>
      <c r="GD36" s="139"/>
      <c r="GE36" s="139"/>
      <c r="GF36" s="139"/>
      <c r="GG36" s="139"/>
      <c r="GH36" s="139"/>
      <c r="GI36" s="139"/>
      <c r="GJ36" s="139"/>
      <c r="GK36" s="139"/>
      <c r="GL36" s="139"/>
      <c r="GM36" s="139"/>
      <c r="GN36" s="139"/>
      <c r="GO36" s="139"/>
      <c r="GP36" s="139"/>
      <c r="GQ36" s="139"/>
      <c r="GR36" s="139"/>
      <c r="GS36" s="139"/>
      <c r="GT36" s="139"/>
      <c r="GU36" s="139"/>
    </row>
    <row r="37" spans="1:203" ht="25.5" customHeight="1" thickBot="1">
      <c r="A37" s="529" t="s">
        <v>303</v>
      </c>
      <c r="B37" s="530"/>
      <c r="C37" s="146"/>
      <c r="D37" s="147"/>
      <c r="E37" s="148"/>
      <c r="F37" s="149"/>
      <c r="G37" s="149"/>
      <c r="H37" s="149"/>
      <c r="I37" s="350"/>
      <c r="J37" s="149"/>
      <c r="K37" s="149"/>
      <c r="L37" s="150"/>
      <c r="M37" s="151"/>
      <c r="N37" s="149"/>
      <c r="O37" s="149"/>
      <c r="P37" s="152"/>
      <c r="Q37" s="153"/>
      <c r="R37" s="153"/>
      <c r="S37" s="153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  <c r="AJ37" s="305"/>
      <c r="AK37" s="127"/>
      <c r="AL37" s="128">
        <f>COUNTIF(C33:AF33,"x*")</f>
        <v>11</v>
      </c>
      <c r="AM37" s="298"/>
      <c r="AN37" s="298"/>
      <c r="AP37" s="139"/>
      <c r="AQ37" s="139"/>
      <c r="AR37" s="139"/>
      <c r="AS37" s="139"/>
      <c r="AT37" s="139"/>
      <c r="AU37" s="139"/>
      <c r="AV37" s="139"/>
      <c r="AW37" s="139"/>
      <c r="AX37" s="139"/>
      <c r="AY37" s="139"/>
      <c r="AZ37" s="139"/>
      <c r="BA37" s="139"/>
      <c r="BB37" s="139"/>
      <c r="BC37" s="139"/>
      <c r="BD37" s="139"/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39"/>
      <c r="BX37" s="139"/>
      <c r="BY37" s="139"/>
      <c r="BZ37" s="139"/>
      <c r="CA37" s="139"/>
      <c r="CB37" s="139"/>
      <c r="CC37" s="139"/>
      <c r="CD37" s="139"/>
      <c r="CE37" s="139"/>
      <c r="CF37" s="139"/>
      <c r="CG37" s="139"/>
      <c r="CH37" s="139"/>
      <c r="CI37" s="139"/>
      <c r="CJ37" s="139"/>
      <c r="CK37" s="139"/>
      <c r="CL37" s="139"/>
      <c r="CM37" s="139"/>
      <c r="CN37" s="139"/>
      <c r="CO37" s="139"/>
      <c r="CP37" s="139"/>
      <c r="CQ37" s="139"/>
      <c r="CR37" s="139"/>
      <c r="CS37" s="139"/>
      <c r="CT37" s="139"/>
      <c r="CU37" s="139"/>
      <c r="CV37" s="139"/>
      <c r="CW37" s="139"/>
      <c r="CX37" s="139"/>
      <c r="CY37" s="139"/>
      <c r="CZ37" s="139"/>
      <c r="DA37" s="139"/>
      <c r="DB37" s="139"/>
      <c r="DC37" s="139"/>
      <c r="DD37" s="139"/>
      <c r="DE37" s="139"/>
      <c r="DF37" s="139"/>
      <c r="DG37" s="139"/>
      <c r="DH37" s="139"/>
      <c r="DI37" s="139"/>
      <c r="DJ37" s="139"/>
      <c r="DK37" s="139"/>
      <c r="DL37" s="139"/>
      <c r="DM37" s="139"/>
      <c r="DN37" s="139"/>
      <c r="DO37" s="139"/>
      <c r="DP37" s="139"/>
      <c r="DQ37" s="139"/>
      <c r="DR37" s="139"/>
      <c r="DS37" s="139"/>
      <c r="DT37" s="139"/>
      <c r="DU37" s="139"/>
      <c r="DV37" s="139"/>
      <c r="DW37" s="139"/>
      <c r="DX37" s="139"/>
      <c r="DY37" s="139"/>
      <c r="DZ37" s="139"/>
      <c r="EA37" s="139"/>
      <c r="EB37" s="139"/>
      <c r="EC37" s="139"/>
      <c r="ED37" s="139"/>
      <c r="EE37" s="139"/>
      <c r="EF37" s="139"/>
      <c r="EG37" s="139"/>
      <c r="EH37" s="139"/>
      <c r="EI37" s="139"/>
      <c r="EJ37" s="139"/>
      <c r="EK37" s="139"/>
      <c r="EL37" s="139"/>
      <c r="EM37" s="139"/>
      <c r="EN37" s="139"/>
      <c r="EO37" s="139"/>
      <c r="EP37" s="139"/>
      <c r="EQ37" s="139"/>
      <c r="ER37" s="139"/>
      <c r="ES37" s="139"/>
      <c r="ET37" s="139"/>
      <c r="EU37" s="139"/>
      <c r="EV37" s="139"/>
      <c r="EW37" s="139"/>
      <c r="EX37" s="139"/>
      <c r="EY37" s="139"/>
      <c r="EZ37" s="139"/>
      <c r="FA37" s="139"/>
      <c r="FB37" s="139"/>
      <c r="FC37" s="139"/>
      <c r="FD37" s="139"/>
      <c r="FE37" s="139"/>
      <c r="FF37" s="139"/>
      <c r="FG37" s="139"/>
      <c r="FH37" s="139"/>
      <c r="FI37" s="139"/>
      <c r="FJ37" s="139"/>
      <c r="FK37" s="139"/>
      <c r="FL37" s="139"/>
      <c r="FM37" s="139"/>
      <c r="FN37" s="139"/>
      <c r="FO37" s="139"/>
      <c r="FP37" s="139"/>
      <c r="FQ37" s="139"/>
      <c r="FR37" s="139"/>
      <c r="FS37" s="139"/>
      <c r="FT37" s="139"/>
      <c r="FU37" s="139"/>
      <c r="FV37" s="139"/>
      <c r="FW37" s="139"/>
      <c r="FX37" s="139"/>
      <c r="FY37" s="139"/>
      <c r="FZ37" s="139"/>
    </row>
    <row r="38" spans="1:203" ht="25.5" customHeight="1">
      <c r="A38" s="463">
        <v>20</v>
      </c>
      <c r="B38" s="399" t="s">
        <v>571</v>
      </c>
      <c r="C38" s="453"/>
      <c r="D38" s="464" t="s">
        <v>652</v>
      </c>
      <c r="E38" s="454" t="s">
        <v>653</v>
      </c>
      <c r="F38" s="454"/>
      <c r="G38" s="454"/>
      <c r="H38" s="454"/>
      <c r="I38" s="454"/>
      <c r="J38" s="454"/>
      <c r="K38" s="454" t="s">
        <v>615</v>
      </c>
      <c r="L38" s="454" t="s">
        <v>617</v>
      </c>
      <c r="M38" s="454" t="s">
        <v>615</v>
      </c>
      <c r="N38" s="454"/>
      <c r="O38" s="454"/>
      <c r="P38" s="454"/>
      <c r="Q38" s="454"/>
      <c r="R38" s="454" t="s">
        <v>615</v>
      </c>
      <c r="S38" s="454" t="s">
        <v>616</v>
      </c>
      <c r="T38" s="454"/>
      <c r="U38" s="454"/>
      <c r="V38" s="454"/>
      <c r="W38" s="454" t="s">
        <v>714</v>
      </c>
      <c r="X38" s="454"/>
      <c r="Y38" s="454" t="s">
        <v>616</v>
      </c>
      <c r="Z38" s="454" t="s">
        <v>715</v>
      </c>
      <c r="AA38" s="454"/>
      <c r="AB38" s="454"/>
      <c r="AC38" s="454"/>
      <c r="AD38" s="454"/>
      <c r="AE38" s="454"/>
      <c r="AF38" s="454" t="s">
        <v>615</v>
      </c>
      <c r="AG38" s="454" t="s">
        <v>764</v>
      </c>
      <c r="AH38" s="463">
        <v>20</v>
      </c>
      <c r="AI38" s="399" t="s">
        <v>571</v>
      </c>
      <c r="AJ38" s="465">
        <f>COUNTIF(C38:AG38,"x*")</f>
        <v>10</v>
      </c>
      <c r="AK38" s="127">
        <v>11</v>
      </c>
      <c r="AL38" s="128">
        <f>COUNTIF(C38:AJ38,"x*")</f>
        <v>10</v>
      </c>
      <c r="AM38" s="298"/>
      <c r="AN38" s="298"/>
      <c r="AP38" s="139"/>
      <c r="AQ38" s="139"/>
      <c r="AR38" s="139"/>
      <c r="AS38" s="139"/>
      <c r="AT38" s="139"/>
      <c r="AU38" s="139"/>
      <c r="AV38" s="139"/>
      <c r="AW38" s="139"/>
      <c r="AX38" s="139"/>
      <c r="AY38" s="139"/>
      <c r="AZ38" s="139"/>
      <c r="BA38" s="139"/>
      <c r="BB38" s="139"/>
      <c r="BC38" s="139"/>
      <c r="BD38" s="139"/>
      <c r="BE38" s="139"/>
      <c r="BF38" s="139"/>
      <c r="BG38" s="139"/>
      <c r="BH38" s="139"/>
      <c r="BI38" s="139"/>
      <c r="BJ38" s="139"/>
      <c r="BK38" s="139"/>
      <c r="BL38" s="139"/>
      <c r="BM38" s="139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39"/>
      <c r="CB38" s="139"/>
      <c r="CC38" s="139"/>
      <c r="CD38" s="139"/>
      <c r="CE38" s="139"/>
      <c r="CF38" s="139"/>
      <c r="CG38" s="139"/>
      <c r="CH38" s="139"/>
      <c r="CI38" s="139"/>
      <c r="CJ38" s="139"/>
      <c r="CK38" s="139"/>
      <c r="CL38" s="139"/>
      <c r="CM38" s="139"/>
      <c r="CN38" s="139"/>
      <c r="CO38" s="139"/>
      <c r="CP38" s="139"/>
      <c r="CQ38" s="139"/>
      <c r="CR38" s="139"/>
      <c r="CS38" s="139"/>
      <c r="CT38" s="139"/>
      <c r="CU38" s="139"/>
      <c r="CV38" s="139"/>
      <c r="CW38" s="139"/>
      <c r="CX38" s="139"/>
      <c r="CY38" s="139"/>
      <c r="CZ38" s="139"/>
      <c r="DA38" s="139"/>
      <c r="DB38" s="139"/>
      <c r="DC38" s="139"/>
      <c r="DD38" s="139"/>
      <c r="DE38" s="139"/>
      <c r="DF38" s="139"/>
      <c r="DG38" s="139"/>
      <c r="DH38" s="139"/>
      <c r="DI38" s="139"/>
      <c r="DJ38" s="139"/>
      <c r="DK38" s="139"/>
      <c r="DL38" s="139"/>
      <c r="DM38" s="139"/>
      <c r="DN38" s="139"/>
      <c r="DO38" s="139"/>
      <c r="DP38" s="139"/>
      <c r="DQ38" s="139"/>
      <c r="DR38" s="139"/>
      <c r="DS38" s="139"/>
      <c r="DT38" s="139"/>
      <c r="DU38" s="139"/>
      <c r="DV38" s="139"/>
      <c r="DW38" s="139"/>
      <c r="DX38" s="139"/>
      <c r="DY38" s="139"/>
      <c r="DZ38" s="139"/>
      <c r="EA38" s="139"/>
      <c r="EB38" s="139"/>
      <c r="EC38" s="139"/>
      <c r="ED38" s="139"/>
      <c r="EE38" s="139"/>
      <c r="EF38" s="139"/>
      <c r="EG38" s="139"/>
      <c r="EH38" s="139"/>
      <c r="EI38" s="139"/>
      <c r="EJ38" s="139"/>
      <c r="EK38" s="139"/>
      <c r="EL38" s="139"/>
      <c r="EM38" s="139"/>
      <c r="EN38" s="139"/>
      <c r="EO38" s="139"/>
      <c r="EP38" s="139"/>
      <c r="EQ38" s="139"/>
      <c r="ER38" s="139"/>
      <c r="ES38" s="139"/>
      <c r="ET38" s="139"/>
      <c r="EU38" s="139"/>
      <c r="EV38" s="139"/>
      <c r="EW38" s="139"/>
      <c r="EX38" s="139"/>
      <c r="EY38" s="139"/>
      <c r="EZ38" s="139"/>
      <c r="FA38" s="139"/>
      <c r="FB38" s="139"/>
      <c r="FC38" s="139"/>
      <c r="FD38" s="139"/>
      <c r="FE38" s="139"/>
      <c r="FF38" s="139"/>
      <c r="FG38" s="139"/>
      <c r="FH38" s="139"/>
      <c r="FI38" s="139"/>
      <c r="FJ38" s="139"/>
      <c r="FK38" s="139"/>
      <c r="FL38" s="139"/>
      <c r="FM38" s="139"/>
      <c r="FN38" s="139"/>
      <c r="FO38" s="139"/>
      <c r="FP38" s="139"/>
      <c r="FQ38" s="139"/>
      <c r="FR38" s="139"/>
      <c r="FS38" s="139"/>
      <c r="FT38" s="139"/>
      <c r="FU38" s="139"/>
      <c r="FV38" s="139"/>
      <c r="FW38" s="139"/>
      <c r="FX38" s="139"/>
      <c r="FY38" s="139"/>
      <c r="FZ38" s="139"/>
    </row>
    <row r="39" spans="1:203" s="498" customFormat="1" ht="25.5" customHeight="1" thickBot="1">
      <c r="A39" s="479">
        <v>21</v>
      </c>
      <c r="B39" s="400" t="s">
        <v>618</v>
      </c>
      <c r="C39" s="504"/>
      <c r="D39" s="480" t="s">
        <v>657</v>
      </c>
      <c r="E39" s="480" t="s">
        <v>656</v>
      </c>
      <c r="F39" s="480" t="s">
        <v>658</v>
      </c>
      <c r="G39" s="480"/>
      <c r="H39" s="480"/>
      <c r="I39" s="480"/>
      <c r="J39" s="480"/>
      <c r="K39" s="480" t="s">
        <v>572</v>
      </c>
      <c r="L39" s="480" t="s">
        <v>572</v>
      </c>
      <c r="M39" s="454" t="s">
        <v>615</v>
      </c>
      <c r="N39" s="480"/>
      <c r="O39" s="480"/>
      <c r="P39" s="481"/>
      <c r="Q39" s="481"/>
      <c r="R39" s="481" t="s">
        <v>619</v>
      </c>
      <c r="S39" s="481" t="s">
        <v>620</v>
      </c>
      <c r="T39" s="481"/>
      <c r="U39" s="481"/>
      <c r="V39" s="481"/>
      <c r="W39" s="481"/>
      <c r="X39" s="481"/>
      <c r="Y39" s="481" t="s">
        <v>572</v>
      </c>
      <c r="Z39" s="481" t="s">
        <v>562</v>
      </c>
      <c r="AA39" s="481"/>
      <c r="AB39" s="481"/>
      <c r="AC39" s="481"/>
      <c r="AD39" s="481"/>
      <c r="AE39" s="481"/>
      <c r="AF39" s="481" t="s">
        <v>572</v>
      </c>
      <c r="AG39" s="482" t="s">
        <v>572</v>
      </c>
      <c r="AH39" s="479">
        <v>21</v>
      </c>
      <c r="AI39" s="400" t="s">
        <v>621</v>
      </c>
      <c r="AJ39" s="483">
        <v>12</v>
      </c>
      <c r="AK39" s="127">
        <v>12</v>
      </c>
      <c r="AL39" s="128">
        <f>COUNTIF(C39:AJ39,"x*")</f>
        <v>12</v>
      </c>
      <c r="AM39" s="497"/>
      <c r="AN39" s="497"/>
    </row>
    <row r="40" spans="1:203" s="498" customFormat="1" ht="25.5" customHeight="1">
      <c r="A40" s="531" t="s">
        <v>304</v>
      </c>
      <c r="B40" s="516" t="s">
        <v>305</v>
      </c>
      <c r="C40" s="517"/>
      <c r="D40" s="517"/>
      <c r="E40" s="518"/>
      <c r="F40" s="519" t="s">
        <v>306</v>
      </c>
      <c r="G40" s="519"/>
      <c r="H40" s="519"/>
      <c r="I40" s="519"/>
      <c r="J40" s="156"/>
      <c r="K40" s="156"/>
      <c r="L40" s="156"/>
      <c r="M40" s="156"/>
      <c r="N40" s="157"/>
      <c r="O40" s="157"/>
      <c r="P40" s="157"/>
      <c r="Q40" s="157"/>
      <c r="R40" s="157"/>
      <c r="S40" s="288"/>
      <c r="T40" s="288"/>
      <c r="U40" s="157"/>
      <c r="V40" s="157"/>
      <c r="W40" s="157"/>
      <c r="X40" s="157"/>
      <c r="Y40" s="157"/>
      <c r="Z40" s="288"/>
      <c r="AA40" s="288"/>
      <c r="AB40" s="157"/>
      <c r="AC40" s="157"/>
      <c r="AD40" s="157"/>
      <c r="AE40" s="157"/>
      <c r="AF40" s="158"/>
      <c r="AG40" s="158"/>
      <c r="AH40" s="158"/>
      <c r="AI40" s="158"/>
      <c r="AJ40" s="306"/>
      <c r="AK40" s="127"/>
      <c r="AL40" s="137"/>
    </row>
    <row r="41" spans="1:203" ht="25.5" customHeight="1" thickBot="1">
      <c r="A41" s="532"/>
      <c r="B41" s="520" t="s">
        <v>580</v>
      </c>
      <c r="C41" s="520"/>
      <c r="D41" s="520"/>
      <c r="E41" s="520"/>
      <c r="F41" s="520"/>
      <c r="G41" s="520"/>
      <c r="H41" s="520"/>
      <c r="I41" s="520"/>
      <c r="J41" s="159"/>
      <c r="K41" s="159"/>
      <c r="L41" s="159"/>
      <c r="M41" s="159"/>
      <c r="N41" s="159"/>
      <c r="O41" s="159"/>
      <c r="P41" s="159"/>
      <c r="Q41" s="159"/>
      <c r="R41" s="159"/>
      <c r="S41" s="160"/>
      <c r="T41" s="160"/>
      <c r="U41" s="159"/>
      <c r="V41" s="159"/>
      <c r="W41" s="159"/>
      <c r="X41" s="159"/>
      <c r="Y41" s="159"/>
      <c r="Z41" s="160"/>
      <c r="AA41" s="160"/>
      <c r="AB41" s="159"/>
      <c r="AC41" s="159"/>
      <c r="AD41" s="159"/>
      <c r="AE41" s="159"/>
      <c r="AF41" s="159"/>
      <c r="AG41" s="159"/>
      <c r="AH41" s="159"/>
      <c r="AI41" s="159"/>
      <c r="AJ41" s="307"/>
      <c r="AK41" s="127"/>
      <c r="AL41" s="137"/>
    </row>
    <row r="42" spans="1:203" s="129" customFormat="1" ht="25.5" customHeight="1">
      <c r="A42" s="125"/>
      <c r="B42" s="125"/>
      <c r="C42" s="405">
        <v>1</v>
      </c>
      <c r="D42" s="284">
        <v>2</v>
      </c>
      <c r="E42" s="284">
        <v>3</v>
      </c>
      <c r="F42" s="287">
        <v>4</v>
      </c>
      <c r="G42" s="285">
        <v>5</v>
      </c>
      <c r="H42" s="285">
        <v>6</v>
      </c>
      <c r="I42" s="287">
        <v>7</v>
      </c>
      <c r="J42" s="284">
        <v>8</v>
      </c>
      <c r="K42" s="121">
        <v>9</v>
      </c>
      <c r="L42" s="121">
        <v>10</v>
      </c>
      <c r="M42" s="121">
        <v>11</v>
      </c>
      <c r="N42" s="123">
        <v>12</v>
      </c>
      <c r="O42" s="123">
        <v>13</v>
      </c>
      <c r="P42" s="122">
        <v>14</v>
      </c>
      <c r="Q42" s="121">
        <v>15</v>
      </c>
      <c r="R42" s="121">
        <v>16</v>
      </c>
      <c r="S42" s="121">
        <v>17</v>
      </c>
      <c r="T42" s="121">
        <v>18</v>
      </c>
      <c r="U42" s="123">
        <v>19</v>
      </c>
      <c r="V42" s="123">
        <v>20</v>
      </c>
      <c r="W42" s="122">
        <v>21</v>
      </c>
      <c r="X42" s="121">
        <v>22</v>
      </c>
      <c r="Y42" s="121">
        <v>23</v>
      </c>
      <c r="Z42" s="121">
        <v>24</v>
      </c>
      <c r="AA42" s="121">
        <v>25</v>
      </c>
      <c r="AB42" s="123">
        <v>26</v>
      </c>
      <c r="AC42" s="123">
        <v>27</v>
      </c>
      <c r="AD42" s="122">
        <v>28</v>
      </c>
      <c r="AE42" s="122">
        <v>29</v>
      </c>
      <c r="AF42" s="122">
        <v>30</v>
      </c>
      <c r="AG42" s="122">
        <v>31</v>
      </c>
      <c r="AH42" s="122">
        <v>32</v>
      </c>
      <c r="AI42" s="122">
        <v>33</v>
      </c>
      <c r="AJ42" s="304">
        <v>34</v>
      </c>
      <c r="AK42" s="145"/>
      <c r="AL42" s="137"/>
      <c r="AM42" s="290"/>
      <c r="AN42" s="290"/>
      <c r="AO42" s="130"/>
      <c r="AP42" s="130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B42" s="131"/>
      <c r="DC42" s="131"/>
      <c r="DD42" s="131"/>
      <c r="DE42" s="131"/>
      <c r="DF42" s="131"/>
      <c r="DG42" s="131"/>
      <c r="DH42" s="131"/>
      <c r="DI42" s="131"/>
      <c r="DJ42" s="131"/>
      <c r="DK42" s="131"/>
      <c r="DL42" s="131"/>
      <c r="DM42" s="131"/>
      <c r="DN42" s="131"/>
      <c r="DO42" s="131"/>
      <c r="DP42" s="131"/>
      <c r="DQ42" s="131"/>
      <c r="DR42" s="131"/>
      <c r="DS42" s="131"/>
      <c r="DT42" s="131"/>
      <c r="DU42" s="131"/>
      <c r="DV42" s="131"/>
      <c r="DW42" s="131"/>
      <c r="DX42" s="131"/>
      <c r="DY42" s="131"/>
      <c r="DZ42" s="131"/>
      <c r="EA42" s="131"/>
      <c r="EB42" s="131"/>
      <c r="EC42" s="131"/>
      <c r="ED42" s="131"/>
      <c r="EE42" s="131"/>
      <c r="EF42" s="131"/>
      <c r="EG42" s="131"/>
      <c r="EH42" s="131"/>
      <c r="EI42" s="131"/>
      <c r="EJ42" s="131"/>
      <c r="EK42" s="131"/>
      <c r="EL42" s="131"/>
      <c r="EM42" s="131"/>
      <c r="EN42" s="131"/>
      <c r="EO42" s="131"/>
      <c r="EP42" s="131"/>
      <c r="EQ42" s="131"/>
      <c r="ER42" s="131"/>
      <c r="ES42" s="131"/>
      <c r="ET42" s="131"/>
      <c r="EU42" s="131"/>
      <c r="EV42" s="131"/>
      <c r="EW42" s="131"/>
      <c r="EX42" s="131"/>
      <c r="EY42" s="131"/>
      <c r="EZ42" s="131"/>
      <c r="FA42" s="131"/>
      <c r="FB42" s="131"/>
      <c r="FC42" s="131"/>
      <c r="FD42" s="131"/>
      <c r="FE42" s="131"/>
      <c r="FF42" s="131"/>
      <c r="FG42" s="131"/>
      <c r="FH42" s="131"/>
      <c r="FI42" s="131"/>
      <c r="FJ42" s="131"/>
      <c r="FK42" s="131"/>
      <c r="FL42" s="131"/>
      <c r="FM42" s="131"/>
      <c r="FN42" s="131"/>
      <c r="FO42" s="131"/>
      <c r="FP42" s="131"/>
      <c r="FQ42" s="131"/>
      <c r="FR42" s="131"/>
      <c r="FS42" s="131"/>
      <c r="FT42" s="131"/>
      <c r="FU42" s="131"/>
      <c r="FV42" s="131"/>
      <c r="FW42" s="131"/>
      <c r="FX42" s="131"/>
      <c r="FY42" s="131"/>
      <c r="FZ42" s="131"/>
      <c r="GA42" s="131"/>
      <c r="GB42" s="131"/>
      <c r="GC42" s="131"/>
      <c r="GD42" s="131"/>
      <c r="GE42" s="131"/>
      <c r="GF42" s="131"/>
      <c r="GG42" s="131"/>
      <c r="GH42" s="131"/>
      <c r="GI42" s="131"/>
      <c r="GJ42" s="131"/>
      <c r="GK42" s="131"/>
      <c r="GL42" s="131"/>
      <c r="GM42" s="131"/>
      <c r="GN42" s="131"/>
      <c r="GO42" s="131"/>
      <c r="GP42" s="131"/>
      <c r="GQ42" s="131"/>
      <c r="GR42" s="131"/>
      <c r="GS42" s="131"/>
      <c r="GT42" s="131"/>
      <c r="GU42" s="131"/>
    </row>
    <row r="43" spans="1:203" s="129" customFormat="1" ht="25.5" customHeight="1">
      <c r="A43" s="125"/>
      <c r="B43" s="125"/>
      <c r="C43" s="142"/>
      <c r="D43" s="142"/>
      <c r="E43" s="142"/>
      <c r="F43" s="161"/>
      <c r="G43" s="142"/>
      <c r="H43" s="142"/>
      <c r="I43" s="142"/>
      <c r="J43" s="142"/>
      <c r="K43" s="142"/>
      <c r="L43" s="142"/>
      <c r="M43" s="161"/>
      <c r="N43" s="142"/>
      <c r="O43" s="142"/>
      <c r="P43" s="142"/>
      <c r="Q43" s="142"/>
      <c r="R43" s="142"/>
      <c r="S43" s="161"/>
      <c r="T43" s="161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310"/>
      <c r="AL43" s="144"/>
      <c r="AM43" s="291"/>
      <c r="AN43" s="291"/>
      <c r="AO43" s="130"/>
      <c r="AP43" s="130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B43" s="131"/>
      <c r="DC43" s="131"/>
      <c r="DD43" s="131"/>
      <c r="DE43" s="131"/>
      <c r="DF43" s="131"/>
      <c r="DG43" s="131"/>
      <c r="DH43" s="131"/>
      <c r="DI43" s="131"/>
      <c r="DJ43" s="131"/>
      <c r="DK43" s="131"/>
      <c r="DL43" s="131"/>
      <c r="DM43" s="131"/>
      <c r="DN43" s="131"/>
      <c r="DO43" s="131"/>
      <c r="DP43" s="131"/>
      <c r="DQ43" s="131"/>
      <c r="DR43" s="131"/>
      <c r="DS43" s="131"/>
      <c r="DT43" s="131"/>
      <c r="DU43" s="131"/>
      <c r="DV43" s="131"/>
      <c r="DW43" s="131"/>
      <c r="DX43" s="131"/>
      <c r="DY43" s="131"/>
      <c r="DZ43" s="131"/>
      <c r="EA43" s="131"/>
      <c r="EB43" s="131"/>
      <c r="EC43" s="131"/>
      <c r="ED43" s="131"/>
      <c r="EE43" s="131"/>
      <c r="EF43" s="131"/>
      <c r="EG43" s="131"/>
      <c r="EH43" s="131"/>
      <c r="EI43" s="131"/>
      <c r="EJ43" s="131"/>
      <c r="EK43" s="131"/>
      <c r="EL43" s="131"/>
      <c r="EM43" s="131"/>
      <c r="EN43" s="131"/>
      <c r="EO43" s="131"/>
      <c r="EP43" s="131"/>
      <c r="EQ43" s="131"/>
      <c r="ER43" s="131"/>
      <c r="ES43" s="131"/>
      <c r="ET43" s="131"/>
      <c r="EU43" s="131"/>
      <c r="EV43" s="131"/>
      <c r="EW43" s="131"/>
      <c r="EX43" s="131"/>
      <c r="EY43" s="131"/>
      <c r="EZ43" s="131"/>
      <c r="FA43" s="131"/>
      <c r="FB43" s="131"/>
      <c r="FC43" s="131"/>
      <c r="FD43" s="131"/>
      <c r="FE43" s="131"/>
      <c r="FF43" s="131"/>
      <c r="FG43" s="131"/>
      <c r="FH43" s="131"/>
      <c r="FI43" s="131"/>
      <c r="FJ43" s="131"/>
      <c r="FK43" s="131"/>
      <c r="FL43" s="131"/>
      <c r="FM43" s="131"/>
      <c r="FN43" s="131"/>
      <c r="FO43" s="131"/>
      <c r="FP43" s="131"/>
      <c r="FQ43" s="131"/>
      <c r="FR43" s="131"/>
      <c r="FS43" s="131"/>
      <c r="FT43" s="131"/>
      <c r="FU43" s="131"/>
      <c r="FV43" s="131"/>
      <c r="FW43" s="131"/>
      <c r="FX43" s="131"/>
      <c r="FY43" s="131"/>
      <c r="FZ43" s="131"/>
      <c r="GA43" s="131"/>
      <c r="GB43" s="131"/>
      <c r="GC43" s="131"/>
      <c r="GD43" s="131"/>
      <c r="GE43" s="131"/>
      <c r="GF43" s="131"/>
      <c r="GG43" s="131"/>
      <c r="GH43" s="131"/>
      <c r="GI43" s="131"/>
      <c r="GJ43" s="131"/>
      <c r="GK43" s="131"/>
      <c r="GL43" s="131"/>
      <c r="GM43" s="131"/>
      <c r="GN43" s="131"/>
      <c r="GO43" s="131"/>
      <c r="GP43" s="131"/>
      <c r="GQ43" s="131"/>
      <c r="GR43" s="131"/>
      <c r="GS43" s="131"/>
      <c r="GT43" s="131"/>
      <c r="GU43" s="131"/>
    </row>
    <row r="44" spans="1:203" ht="25.5" customHeight="1">
      <c r="C44" s="142"/>
      <c r="D44" s="142"/>
      <c r="E44" s="142"/>
      <c r="G44" s="142"/>
      <c r="H44" s="142"/>
      <c r="I44" s="142"/>
      <c r="J44" s="142"/>
      <c r="K44" s="142"/>
      <c r="L44" s="142"/>
      <c r="N44" s="142"/>
      <c r="O44" s="142"/>
      <c r="P44" s="142"/>
      <c r="Q44" s="142"/>
      <c r="R44" s="142"/>
      <c r="U44" s="142"/>
      <c r="V44" s="142"/>
      <c r="W44" s="142"/>
      <c r="X44" s="142"/>
      <c r="Y44" s="142"/>
      <c r="AB44" s="407"/>
      <c r="AC44" s="407"/>
      <c r="AD44" s="407"/>
      <c r="AE44" s="407"/>
      <c r="AF44" s="407"/>
      <c r="AG44" s="407"/>
      <c r="AH44" s="407"/>
      <c r="AI44" s="407"/>
      <c r="AJ44" s="407"/>
      <c r="AK44" s="310"/>
      <c r="AL44" s="144"/>
    </row>
    <row r="45" spans="1:203" ht="25.5" customHeight="1" thickBot="1">
      <c r="AK45" s="311"/>
      <c r="AL45" s="154"/>
    </row>
    <row r="46" spans="1:203" ht="25.5" customHeight="1">
      <c r="AK46" s="311"/>
      <c r="AL46" s="455"/>
    </row>
    <row r="47" spans="1:203" ht="25.5" customHeight="1"/>
    <row r="48" spans="1:203" ht="25.5" customHeight="1"/>
    <row r="49" spans="37:38" ht="25.5" customHeight="1" thickBot="1">
      <c r="AK49" s="312"/>
      <c r="AL49" s="300"/>
    </row>
    <row r="50" spans="37:38" ht="25.5" customHeight="1">
      <c r="AK50" s="451"/>
    </row>
    <row r="51" spans="37:38" ht="26.25" thickBot="1">
      <c r="AK51" s="155"/>
    </row>
    <row r="52" spans="37:38" ht="25.5">
      <c r="AK52" s="313"/>
    </row>
    <row r="53" spans="37:38" ht="25.5" customHeight="1" thickBot="1">
      <c r="AK53" s="314"/>
    </row>
    <row r="54" spans="37:38" ht="25.5" customHeight="1">
      <c r="AK54" s="406"/>
    </row>
    <row r="55" spans="37:38" ht="25.5" customHeight="1">
      <c r="AK55" s="406"/>
    </row>
    <row r="56" spans="37:38" ht="25.5" customHeight="1">
      <c r="AK56" s="139"/>
    </row>
    <row r="57" spans="37:38" ht="25.5" customHeight="1"/>
    <row r="58" spans="37:38" ht="25.5" customHeight="1"/>
    <row r="59" spans="37:38" ht="25.5" customHeight="1"/>
    <row r="60" spans="37:38" ht="25.5" customHeight="1"/>
    <row r="61" spans="37:38" ht="25.5" customHeight="1"/>
    <row r="62" spans="37:38" ht="25.5" customHeight="1"/>
    <row r="63" spans="37:38" ht="25.5" customHeight="1"/>
    <row r="64" spans="37:38" ht="25.5" customHeight="1"/>
    <row r="65" ht="25.5" customHeight="1"/>
    <row r="66" ht="25.5" customHeight="1"/>
    <row r="67" ht="25.5" customHeight="1"/>
    <row r="68" ht="25.5" customHeight="1"/>
    <row r="69" ht="25.5" customHeight="1"/>
  </sheetData>
  <mergeCells count="9">
    <mergeCell ref="AM1:AM4"/>
    <mergeCell ref="AN1:AN4"/>
    <mergeCell ref="B40:E40"/>
    <mergeCell ref="F40:I40"/>
    <mergeCell ref="B41:I41"/>
    <mergeCell ref="A1:AL2"/>
    <mergeCell ref="AL3:AL4"/>
    <mergeCell ref="A37:B37"/>
    <mergeCell ref="A40:A41"/>
  </mergeCells>
  <phoneticPr fontId="2" type="noConversion"/>
  <dataValidations count="1">
    <dataValidation imeMode="on" allowBlank="1" showInputMessage="1" showErrorMessage="1" sqref="B5:B23 AI5:AI23"/>
  </dataValidations>
  <pageMargins left="0.25" right="0.25" top="0.75" bottom="0.75" header="0.3" footer="0.3"/>
  <pageSetup paperSize="8" scale="5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50"/>
  </sheetPr>
  <dimension ref="A1:AQ34"/>
  <sheetViews>
    <sheetView zoomScale="55" zoomScaleNormal="55" workbookViewId="0">
      <selection activeCell="Y12" sqref="Y12"/>
    </sheetView>
  </sheetViews>
  <sheetFormatPr defaultRowHeight="16.5"/>
  <cols>
    <col min="2" max="2" width="11.875" customWidth="1"/>
    <col min="3" max="3" width="12.375" customWidth="1"/>
    <col min="36" max="36" width="12" customWidth="1"/>
  </cols>
  <sheetData>
    <row r="1" spans="1:43" ht="32.25">
      <c r="A1" s="591" t="s">
        <v>354</v>
      </c>
      <c r="B1" s="592"/>
      <c r="C1" s="592"/>
      <c r="D1" s="592"/>
      <c r="E1" s="592"/>
      <c r="F1" s="592"/>
      <c r="G1" s="592"/>
      <c r="H1" s="593" t="s">
        <v>684</v>
      </c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5"/>
      <c r="AF1" s="599" t="s">
        <v>355</v>
      </c>
      <c r="AG1" s="600"/>
      <c r="AH1" s="600"/>
      <c r="AI1" s="600"/>
      <c r="AJ1" s="601"/>
      <c r="AK1" s="164"/>
      <c r="AL1" s="165"/>
      <c r="AM1" s="165"/>
      <c r="AN1" s="165"/>
      <c r="AO1" s="166"/>
      <c r="AP1" s="165"/>
      <c r="AQ1" s="167"/>
    </row>
    <row r="2" spans="1:43" ht="33" thickBot="1">
      <c r="A2" s="605" t="s">
        <v>356</v>
      </c>
      <c r="B2" s="606"/>
      <c r="C2" s="606"/>
      <c r="D2" s="606"/>
      <c r="E2" s="606"/>
      <c r="F2" s="606"/>
      <c r="G2" s="606"/>
      <c r="H2" s="596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8"/>
      <c r="AF2" s="602"/>
      <c r="AG2" s="603"/>
      <c r="AH2" s="603"/>
      <c r="AI2" s="603"/>
      <c r="AJ2" s="604"/>
      <c r="AK2" s="168"/>
      <c r="AL2" s="169"/>
      <c r="AM2" s="169"/>
      <c r="AN2" s="169"/>
      <c r="AO2" s="169"/>
      <c r="AP2" s="169"/>
      <c r="AQ2" s="170"/>
    </row>
    <row r="3" spans="1:43" ht="42">
      <c r="A3" s="607" t="s">
        <v>357</v>
      </c>
      <c r="B3" s="608"/>
      <c r="C3" s="171" t="s">
        <v>358</v>
      </c>
      <c r="D3" s="172">
        <v>1</v>
      </c>
      <c r="E3" s="173">
        <v>2</v>
      </c>
      <c r="F3" s="173">
        <v>3</v>
      </c>
      <c r="G3" s="173">
        <v>4</v>
      </c>
      <c r="H3" s="173">
        <v>5</v>
      </c>
      <c r="I3" s="174">
        <v>6</v>
      </c>
      <c r="J3" s="174">
        <v>7</v>
      </c>
      <c r="K3" s="174">
        <v>8</v>
      </c>
      <c r="L3" s="174">
        <v>9</v>
      </c>
      <c r="M3" s="174">
        <v>10</v>
      </c>
      <c r="N3" s="173">
        <v>11</v>
      </c>
      <c r="O3" s="173">
        <v>12</v>
      </c>
      <c r="P3" s="173">
        <v>13</v>
      </c>
      <c r="Q3" s="173">
        <v>14</v>
      </c>
      <c r="R3" s="173">
        <v>15</v>
      </c>
      <c r="S3" s="173">
        <v>16</v>
      </c>
      <c r="T3" s="173">
        <v>17</v>
      </c>
      <c r="U3" s="173">
        <v>18</v>
      </c>
      <c r="V3" s="173">
        <v>19</v>
      </c>
      <c r="W3" s="173">
        <v>20</v>
      </c>
      <c r="X3" s="173">
        <v>21</v>
      </c>
      <c r="Y3" s="173">
        <v>22</v>
      </c>
      <c r="Z3" s="173">
        <v>23</v>
      </c>
      <c r="AA3" s="173">
        <v>24</v>
      </c>
      <c r="AB3" s="173">
        <v>25</v>
      </c>
      <c r="AC3" s="173">
        <v>26</v>
      </c>
      <c r="AD3" s="173">
        <v>27</v>
      </c>
      <c r="AE3" s="173">
        <v>28</v>
      </c>
      <c r="AF3" s="173">
        <v>29</v>
      </c>
      <c r="AG3" s="173">
        <v>30</v>
      </c>
      <c r="AH3" s="173">
        <v>31</v>
      </c>
      <c r="AI3" s="613" t="s">
        <v>359</v>
      </c>
      <c r="AJ3" s="614"/>
      <c r="AK3" s="586" t="s">
        <v>360</v>
      </c>
      <c r="AL3" s="581" t="s">
        <v>361</v>
      </c>
      <c r="AM3" s="581" t="s">
        <v>362</v>
      </c>
      <c r="AN3" s="587" t="s">
        <v>363</v>
      </c>
      <c r="AO3" s="581" t="s">
        <v>364</v>
      </c>
      <c r="AP3" s="582" t="s">
        <v>365</v>
      </c>
      <c r="AQ3" s="574" t="s">
        <v>366</v>
      </c>
    </row>
    <row r="4" spans="1:43" ht="42.75" thickBot="1">
      <c r="A4" s="609"/>
      <c r="B4" s="610"/>
      <c r="C4" s="175" t="s">
        <v>367</v>
      </c>
      <c r="D4" s="176" t="s">
        <v>453</v>
      </c>
      <c r="E4" s="177" t="s">
        <v>454</v>
      </c>
      <c r="F4" s="177" t="s">
        <v>455</v>
      </c>
      <c r="G4" s="176" t="s">
        <v>456</v>
      </c>
      <c r="H4" s="177" t="s">
        <v>457</v>
      </c>
      <c r="I4" s="177" t="s">
        <v>458</v>
      </c>
      <c r="J4" s="177" t="s">
        <v>452</v>
      </c>
      <c r="K4" s="176" t="s">
        <v>453</v>
      </c>
      <c r="L4" s="177" t="s">
        <v>454</v>
      </c>
      <c r="M4" s="177" t="s">
        <v>455</v>
      </c>
      <c r="N4" s="176" t="s">
        <v>456</v>
      </c>
      <c r="O4" s="177" t="s">
        <v>457</v>
      </c>
      <c r="P4" s="177" t="s">
        <v>458</v>
      </c>
      <c r="Q4" s="177" t="s">
        <v>452</v>
      </c>
      <c r="R4" s="176" t="s">
        <v>453</v>
      </c>
      <c r="S4" s="177" t="s">
        <v>454</v>
      </c>
      <c r="T4" s="177" t="s">
        <v>455</v>
      </c>
      <c r="U4" s="176" t="s">
        <v>456</v>
      </c>
      <c r="V4" s="177" t="s">
        <v>457</v>
      </c>
      <c r="W4" s="177" t="s">
        <v>458</v>
      </c>
      <c r="X4" s="177" t="s">
        <v>452</v>
      </c>
      <c r="Y4" s="176" t="s">
        <v>453</v>
      </c>
      <c r="Z4" s="177" t="s">
        <v>454</v>
      </c>
      <c r="AA4" s="177" t="s">
        <v>455</v>
      </c>
      <c r="AB4" s="176" t="s">
        <v>456</v>
      </c>
      <c r="AC4" s="177" t="s">
        <v>457</v>
      </c>
      <c r="AD4" s="177" t="s">
        <v>458</v>
      </c>
      <c r="AE4" s="177" t="s">
        <v>452</v>
      </c>
      <c r="AF4" s="177" t="s">
        <v>568</v>
      </c>
      <c r="AG4" s="176" t="s">
        <v>570</v>
      </c>
      <c r="AH4" s="177" t="s">
        <v>93</v>
      </c>
      <c r="AI4" s="615"/>
      <c r="AJ4" s="616"/>
      <c r="AK4" s="586"/>
      <c r="AL4" s="581"/>
      <c r="AM4" s="581"/>
      <c r="AN4" s="587"/>
      <c r="AO4" s="581"/>
      <c r="AP4" s="582"/>
      <c r="AQ4" s="575"/>
    </row>
    <row r="5" spans="1:43" ht="26.25" thickBot="1">
      <c r="A5" s="611"/>
      <c r="B5" s="612"/>
      <c r="C5" s="178" t="s">
        <v>368</v>
      </c>
      <c r="D5" s="283" t="s">
        <v>539</v>
      </c>
      <c r="E5" s="283" t="s">
        <v>539</v>
      </c>
      <c r="F5" s="283" t="s">
        <v>539</v>
      </c>
      <c r="G5" s="283" t="s">
        <v>539</v>
      </c>
      <c r="H5" s="283" t="s">
        <v>539</v>
      </c>
      <c r="I5" s="282" t="s">
        <v>369</v>
      </c>
      <c r="J5" s="282" t="s">
        <v>369</v>
      </c>
      <c r="K5" s="282" t="s">
        <v>369</v>
      </c>
      <c r="L5" s="282" t="s">
        <v>369</v>
      </c>
      <c r="M5" s="282" t="s">
        <v>369</v>
      </c>
      <c r="N5" s="282" t="s">
        <v>541</v>
      </c>
      <c r="O5" s="282" t="s">
        <v>541</v>
      </c>
      <c r="P5" s="282" t="s">
        <v>541</v>
      </c>
      <c r="Q5" s="282" t="s">
        <v>541</v>
      </c>
      <c r="R5" s="282" t="s">
        <v>541</v>
      </c>
      <c r="S5" s="282" t="s">
        <v>369</v>
      </c>
      <c r="T5" s="282" t="s">
        <v>369</v>
      </c>
      <c r="U5" s="282" t="s">
        <v>369</v>
      </c>
      <c r="V5" s="282" t="s">
        <v>369</v>
      </c>
      <c r="W5" s="282" t="s">
        <v>369</v>
      </c>
      <c r="X5" s="282" t="s">
        <v>369</v>
      </c>
      <c r="Y5" s="282" t="s">
        <v>369</v>
      </c>
      <c r="Z5" s="282" t="s">
        <v>369</v>
      </c>
      <c r="AA5" s="282" t="s">
        <v>369</v>
      </c>
      <c r="AB5" s="282" t="s">
        <v>369</v>
      </c>
      <c r="AC5" s="282" t="s">
        <v>541</v>
      </c>
      <c r="AD5" s="282" t="s">
        <v>541</v>
      </c>
      <c r="AE5" s="282" t="s">
        <v>541</v>
      </c>
      <c r="AF5" s="282" t="s">
        <v>541</v>
      </c>
      <c r="AG5" s="282" t="s">
        <v>541</v>
      </c>
      <c r="AH5" s="282"/>
      <c r="AI5" s="403"/>
      <c r="AJ5" s="404"/>
      <c r="AK5" s="179"/>
      <c r="AL5" s="581"/>
      <c r="AM5" s="581"/>
      <c r="AN5" s="587"/>
      <c r="AO5" s="581"/>
      <c r="AP5" s="582"/>
      <c r="AQ5" s="575"/>
    </row>
    <row r="6" spans="1:43" ht="26.25" thickBot="1">
      <c r="A6" s="180" t="s">
        <v>370</v>
      </c>
      <c r="B6" s="181" t="s">
        <v>371</v>
      </c>
      <c r="C6" s="182" t="s">
        <v>510</v>
      </c>
      <c r="D6" s="502" t="s">
        <v>625</v>
      </c>
      <c r="E6" s="408" t="s">
        <v>626</v>
      </c>
      <c r="F6" s="408" t="s">
        <v>627</v>
      </c>
      <c r="G6" s="377" t="s">
        <v>685</v>
      </c>
      <c r="H6" s="377" t="s">
        <v>626</v>
      </c>
      <c r="I6" s="377"/>
      <c r="J6" s="377"/>
      <c r="K6" s="377"/>
      <c r="L6" s="377"/>
      <c r="M6" s="377"/>
      <c r="N6" s="378"/>
      <c r="O6" s="377"/>
      <c r="P6" s="377"/>
      <c r="Q6" s="377"/>
      <c r="R6" s="377"/>
      <c r="S6" s="377" t="s">
        <v>686</v>
      </c>
      <c r="T6" s="377" t="s">
        <v>687</v>
      </c>
      <c r="U6" s="377" t="s">
        <v>688</v>
      </c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6"/>
      <c r="AI6" s="111" t="str">
        <f>A6</f>
        <v>A</v>
      </c>
      <c r="AJ6" s="183" t="str">
        <f>C6</f>
        <v>陳正賢</v>
      </c>
      <c r="AK6" s="184">
        <f t="shared" ref="AK6:AK27" si="0">COUNTIF(D6:AH6,"*X*")</f>
        <v>1</v>
      </c>
      <c r="AL6" s="581"/>
      <c r="AM6" s="581"/>
      <c r="AN6" s="587"/>
      <c r="AO6" s="581"/>
      <c r="AP6" s="582"/>
      <c r="AQ6" s="575"/>
    </row>
    <row r="7" spans="1:43" ht="26.25" thickBot="1">
      <c r="A7" s="185" t="s">
        <v>372</v>
      </c>
      <c r="B7" s="186" t="s">
        <v>373</v>
      </c>
      <c r="C7" s="461" t="s">
        <v>374</v>
      </c>
      <c r="D7" s="588" t="s">
        <v>538</v>
      </c>
      <c r="E7" s="589"/>
      <c r="F7" s="589"/>
      <c r="G7" s="589"/>
      <c r="H7" s="589"/>
      <c r="I7" s="589"/>
      <c r="J7" s="589"/>
      <c r="K7" s="589"/>
      <c r="L7" s="589"/>
      <c r="M7" s="589"/>
      <c r="N7" s="589"/>
      <c r="O7" s="589"/>
      <c r="P7" s="589"/>
      <c r="Q7" s="589"/>
      <c r="R7" s="589"/>
      <c r="S7" s="589"/>
      <c r="T7" s="589"/>
      <c r="U7" s="589"/>
      <c r="V7" s="589"/>
      <c r="W7" s="589"/>
      <c r="X7" s="589"/>
      <c r="Y7" s="589"/>
      <c r="Z7" s="589"/>
      <c r="AA7" s="589"/>
      <c r="AB7" s="589"/>
      <c r="AC7" s="589"/>
      <c r="AD7" s="589"/>
      <c r="AE7" s="589"/>
      <c r="AF7" s="589"/>
      <c r="AG7" s="590"/>
      <c r="AH7" s="456"/>
      <c r="AI7" s="188" t="str">
        <f t="shared" ref="AI7:AI29" si="1">A7</f>
        <v>B</v>
      </c>
      <c r="AJ7" s="187" t="str">
        <f t="shared" ref="AJ7:AJ29" si="2">C7</f>
        <v>薛信東</v>
      </c>
      <c r="AK7" s="184">
        <f t="shared" si="0"/>
        <v>0</v>
      </c>
      <c r="AL7" s="581"/>
      <c r="AM7" s="581"/>
      <c r="AN7" s="587"/>
      <c r="AO7" s="581"/>
      <c r="AP7" s="582"/>
      <c r="AQ7" s="576"/>
    </row>
    <row r="8" spans="1:43" ht="26.25" thickTop="1">
      <c r="A8" s="189" t="s">
        <v>375</v>
      </c>
      <c r="B8" s="190" t="s">
        <v>376</v>
      </c>
      <c r="C8" s="191" t="s">
        <v>377</v>
      </c>
      <c r="D8" s="189" t="s">
        <v>628</v>
      </c>
      <c r="E8" s="457" t="s">
        <v>629</v>
      </c>
      <c r="F8" s="457" t="s">
        <v>630</v>
      </c>
      <c r="G8" s="457" t="s">
        <v>630</v>
      </c>
      <c r="H8" s="457" t="s">
        <v>631</v>
      </c>
      <c r="I8" s="458"/>
      <c r="J8" s="457"/>
      <c r="K8" s="457"/>
      <c r="L8" s="459"/>
      <c r="M8" s="459"/>
      <c r="N8" s="459"/>
      <c r="O8" s="457"/>
      <c r="P8" s="459"/>
      <c r="Q8" s="457"/>
      <c r="R8" s="457"/>
      <c r="S8" s="457" t="s">
        <v>572</v>
      </c>
      <c r="T8" s="457" t="s">
        <v>689</v>
      </c>
      <c r="U8" s="457" t="s">
        <v>689</v>
      </c>
      <c r="V8" s="459"/>
      <c r="W8" s="459"/>
      <c r="X8" s="459"/>
      <c r="Y8" s="459"/>
      <c r="Z8" s="457"/>
      <c r="AA8" s="457"/>
      <c r="AB8" s="457"/>
      <c r="AC8" s="457"/>
      <c r="AD8" s="457"/>
      <c r="AE8" s="457"/>
      <c r="AF8" s="457"/>
      <c r="AG8" s="457"/>
      <c r="AH8" s="325"/>
      <c r="AI8" s="192" t="str">
        <f t="shared" si="1"/>
        <v>E</v>
      </c>
      <c r="AJ8" s="191" t="str">
        <f t="shared" si="2"/>
        <v>洪偉傑</v>
      </c>
      <c r="AK8" s="193">
        <f t="shared" si="0"/>
        <v>2</v>
      </c>
      <c r="AL8" s="194">
        <f t="shared" ref="AL8:AL29" si="3">COUNTIF(D8:AH8,"*/*")+COUNTIF(D8:AH8,"*補*")+COUNTIF(D8:AH8,"*休*")</f>
        <v>0</v>
      </c>
      <c r="AM8" s="194">
        <f>COUNTIF(G8:H8,"*/*")+COUNTIF(G8:H8,"*X*")+COUNTIF(N8:O8,"*/*")+COUNTIF(N8:O8,"*X*")+COUNTIF(U8:V8,"*/*")+COUNTIF(U8:V8,"*X*")+COUNTIF(AB8:AC8,"*/*")+COUNTIF(AB8:AC8,"*X*")</f>
        <v>0</v>
      </c>
      <c r="AN8" s="194">
        <f>COUNTIF(D8:AH8,"*值1*")</f>
        <v>5</v>
      </c>
      <c r="AO8" s="194">
        <f>COUNTIF(D8:AH8,"*值2*")</f>
        <v>0</v>
      </c>
      <c r="AP8" s="194">
        <f>COUNTIF(D8:AH8,"*夜*")</f>
        <v>1</v>
      </c>
      <c r="AQ8" s="195">
        <f>COUNTIF(D8:AH8,"*甲*")+COUNTIF(D8:AH8,"*乙*")+COUNTIF(D8:AH8,"*丙*")</f>
        <v>0</v>
      </c>
    </row>
    <row r="9" spans="1:43" ht="25.5">
      <c r="A9" s="196" t="s">
        <v>378</v>
      </c>
      <c r="B9" s="197" t="s">
        <v>463</v>
      </c>
      <c r="C9" s="198" t="s">
        <v>464</v>
      </c>
      <c r="D9" s="583" t="s">
        <v>505</v>
      </c>
      <c r="E9" s="584"/>
      <c r="F9" s="584"/>
      <c r="G9" s="584"/>
      <c r="H9" s="584"/>
      <c r="I9" s="584"/>
      <c r="J9" s="584"/>
      <c r="K9" s="584"/>
      <c r="L9" s="584"/>
      <c r="M9" s="584"/>
      <c r="N9" s="584"/>
      <c r="O9" s="584"/>
      <c r="P9" s="584"/>
      <c r="Q9" s="584"/>
      <c r="R9" s="584"/>
      <c r="S9" s="584"/>
      <c r="T9" s="584"/>
      <c r="U9" s="584"/>
      <c r="V9" s="584"/>
      <c r="W9" s="584"/>
      <c r="X9" s="584"/>
      <c r="Y9" s="584"/>
      <c r="Z9" s="584"/>
      <c r="AA9" s="584"/>
      <c r="AB9" s="584"/>
      <c r="AC9" s="584"/>
      <c r="AD9" s="584"/>
      <c r="AE9" s="584"/>
      <c r="AF9" s="584"/>
      <c r="AG9" s="584"/>
      <c r="AH9" s="585"/>
      <c r="AI9" s="200" t="str">
        <f t="shared" si="1"/>
        <v>F</v>
      </c>
      <c r="AJ9" s="198" t="str">
        <f t="shared" si="2"/>
        <v>李佳萱</v>
      </c>
      <c r="AK9" s="193">
        <f t="shared" si="0"/>
        <v>0</v>
      </c>
      <c r="AL9" s="194">
        <f t="shared" si="3"/>
        <v>0</v>
      </c>
      <c r="AM9" s="194">
        <f t="shared" ref="AM9:AM21" si="4">COUNTIF(G9:H9,"*/*")+COUNTIF(G9:H9,"*X*")+COUNTIF(N9:O9,"*/*")+COUNTIF(N9:O9,"*X*")+COUNTIF(U9:V9,"*/*")+COUNTIF(U9:V9,"*X*")+COUNTIF(AB9:AC9,"*/*")+COUNTIF(AB9:AC9,"*X*")</f>
        <v>0</v>
      </c>
      <c r="AN9" s="194">
        <f t="shared" ref="AN9:AN19" si="5">COUNTIF(D9:AH9,"*值1*")</f>
        <v>0</v>
      </c>
      <c r="AO9" s="194">
        <f t="shared" ref="AO9:AO21" si="6">COUNTIF(D9:AH9,"*值2*")</f>
        <v>0</v>
      </c>
      <c r="AP9" s="194">
        <f t="shared" ref="AP9:AP21" si="7">COUNTIF(D9:AH9,"*夜*")</f>
        <v>0</v>
      </c>
      <c r="AQ9" s="195">
        <f t="shared" ref="AQ9:AQ30" si="8">COUNTIF(D9:AH9,"*甲*")+COUNTIF(D9:AH9,"*乙*")+COUNTIF(D9:AH9,"*丙*")</f>
        <v>0</v>
      </c>
    </row>
    <row r="10" spans="1:43" ht="42.75" thickBot="1">
      <c r="A10" s="201" t="s">
        <v>380</v>
      </c>
      <c r="B10" s="202"/>
      <c r="C10" s="203" t="s">
        <v>379</v>
      </c>
      <c r="D10" s="379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1"/>
      <c r="AI10" s="204" t="str">
        <f t="shared" si="1"/>
        <v>G</v>
      </c>
      <c r="AJ10" s="203" t="str">
        <f t="shared" si="2"/>
        <v xml:space="preserve"> </v>
      </c>
      <c r="AK10" s="193">
        <f>COUNTIF(D10:AH10,"*X*")</f>
        <v>0</v>
      </c>
      <c r="AL10" s="194">
        <f t="shared" si="3"/>
        <v>0</v>
      </c>
      <c r="AM10" s="194">
        <f t="shared" si="4"/>
        <v>0</v>
      </c>
      <c r="AN10" s="194">
        <f t="shared" si="5"/>
        <v>0</v>
      </c>
      <c r="AO10" s="194">
        <f t="shared" si="6"/>
        <v>0</v>
      </c>
      <c r="AP10" s="194" t="str">
        <f>C34</f>
        <v>值日計算</v>
      </c>
      <c r="AQ10" s="195">
        <f t="shared" si="8"/>
        <v>0</v>
      </c>
    </row>
    <row r="11" spans="1:43" ht="26.25" thickTop="1">
      <c r="A11" s="205" t="s">
        <v>499</v>
      </c>
      <c r="B11" s="206" t="s">
        <v>381</v>
      </c>
      <c r="C11" s="209" t="s">
        <v>460</v>
      </c>
      <c r="D11" s="315" t="s">
        <v>632</v>
      </c>
      <c r="E11" s="316" t="s">
        <v>632</v>
      </c>
      <c r="F11" s="316" t="s">
        <v>628</v>
      </c>
      <c r="G11" s="316" t="s">
        <v>629</v>
      </c>
      <c r="H11" s="317" t="s">
        <v>633</v>
      </c>
      <c r="I11" s="318"/>
      <c r="J11" s="316"/>
      <c r="K11" s="316"/>
      <c r="L11" s="316"/>
      <c r="M11" s="382"/>
      <c r="N11" s="382"/>
      <c r="O11" s="382"/>
      <c r="P11" s="316"/>
      <c r="Q11" s="316"/>
      <c r="R11" s="316"/>
      <c r="S11" s="384" t="s">
        <v>634</v>
      </c>
      <c r="T11" s="384" t="s">
        <v>625</v>
      </c>
      <c r="U11" s="384" t="s">
        <v>625</v>
      </c>
      <c r="V11" s="382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9"/>
      <c r="AI11" s="192" t="str">
        <f t="shared" si="1"/>
        <v>I</v>
      </c>
      <c r="AJ11" s="191" t="str">
        <f t="shared" si="2"/>
        <v>王志鋒</v>
      </c>
      <c r="AK11" s="193">
        <f t="shared" si="0"/>
        <v>4</v>
      </c>
      <c r="AL11" s="194">
        <f t="shared" si="3"/>
        <v>0</v>
      </c>
      <c r="AM11" s="194">
        <f t="shared" si="4"/>
        <v>3</v>
      </c>
      <c r="AN11" s="194">
        <f t="shared" si="5"/>
        <v>2</v>
      </c>
      <c r="AO11" s="194">
        <f t="shared" si="6"/>
        <v>0</v>
      </c>
      <c r="AP11" s="194">
        <f t="shared" si="7"/>
        <v>2</v>
      </c>
      <c r="AQ11" s="195">
        <f t="shared" si="8"/>
        <v>0</v>
      </c>
    </row>
    <row r="12" spans="1:43" ht="25.5">
      <c r="A12" s="207" t="s">
        <v>500</v>
      </c>
      <c r="B12" s="208" t="s">
        <v>381</v>
      </c>
      <c r="C12" s="209" t="s">
        <v>690</v>
      </c>
      <c r="D12" s="512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513"/>
      <c r="P12" s="513"/>
      <c r="Q12" s="513"/>
      <c r="R12" s="513"/>
      <c r="S12" s="513"/>
      <c r="T12" s="513"/>
      <c r="U12" s="513"/>
      <c r="V12" s="513"/>
      <c r="W12" s="513"/>
      <c r="X12" s="513"/>
      <c r="Y12" s="513"/>
      <c r="Z12" s="513"/>
      <c r="AA12" s="513"/>
      <c r="AB12" s="513"/>
      <c r="AC12" s="513"/>
      <c r="AD12" s="513"/>
      <c r="AE12" s="513"/>
      <c r="AF12" s="513"/>
      <c r="AG12" s="513"/>
      <c r="AH12" s="514" t="s">
        <v>777</v>
      </c>
      <c r="AI12" s="192" t="str">
        <f t="shared" si="1"/>
        <v>J</v>
      </c>
      <c r="AJ12" s="209" t="str">
        <f t="shared" si="2"/>
        <v>黃臺境</v>
      </c>
      <c r="AK12" s="211">
        <f t="shared" si="0"/>
        <v>0</v>
      </c>
      <c r="AL12" s="194">
        <f t="shared" si="3"/>
        <v>1</v>
      </c>
      <c r="AM12" s="212">
        <f t="shared" si="4"/>
        <v>0</v>
      </c>
      <c r="AN12" s="194">
        <f t="shared" si="5"/>
        <v>0</v>
      </c>
      <c r="AO12" s="194">
        <f t="shared" si="6"/>
        <v>0</v>
      </c>
      <c r="AP12" s="194">
        <f t="shared" si="7"/>
        <v>0</v>
      </c>
      <c r="AQ12" s="195">
        <f t="shared" si="8"/>
        <v>0</v>
      </c>
    </row>
    <row r="13" spans="1:43" ht="25.5">
      <c r="A13" s="207" t="s">
        <v>382</v>
      </c>
      <c r="B13" s="208" t="s">
        <v>381</v>
      </c>
      <c r="C13" s="209" t="s">
        <v>461</v>
      </c>
      <c r="D13" s="383" t="s">
        <v>634</v>
      </c>
      <c r="E13" s="384" t="s">
        <v>635</v>
      </c>
      <c r="F13" s="384" t="s">
        <v>661</v>
      </c>
      <c r="G13" s="384" t="s">
        <v>662</v>
      </c>
      <c r="H13" s="384" t="s">
        <v>776</v>
      </c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384"/>
      <c r="T13" s="384"/>
      <c r="U13" s="384"/>
      <c r="V13" s="384"/>
      <c r="W13" s="384"/>
      <c r="X13" s="384"/>
      <c r="Y13" s="384"/>
      <c r="Z13" s="384"/>
      <c r="AA13" s="384"/>
      <c r="AB13" s="384"/>
      <c r="AC13" s="384"/>
      <c r="AD13" s="384"/>
      <c r="AE13" s="384"/>
      <c r="AF13" s="384"/>
      <c r="AG13" s="384"/>
      <c r="AH13" s="385"/>
      <c r="AI13" s="214" t="str">
        <f t="shared" si="1"/>
        <v>K</v>
      </c>
      <c r="AJ13" s="209" t="str">
        <f t="shared" si="2"/>
        <v>袁郁章</v>
      </c>
      <c r="AK13" s="211">
        <f>COUNTIF(D13:AH13,"*X*")</f>
        <v>0</v>
      </c>
      <c r="AL13" s="194">
        <f t="shared" si="3"/>
        <v>3</v>
      </c>
      <c r="AM13" s="212">
        <f t="shared" si="4"/>
        <v>0</v>
      </c>
      <c r="AN13" s="194">
        <f t="shared" si="5"/>
        <v>0</v>
      </c>
      <c r="AO13" s="194">
        <f t="shared" si="6"/>
        <v>0</v>
      </c>
      <c r="AP13" s="194">
        <f t="shared" si="7"/>
        <v>2</v>
      </c>
      <c r="AQ13" s="195">
        <f t="shared" si="8"/>
        <v>0</v>
      </c>
    </row>
    <row r="14" spans="1:43" ht="25.5">
      <c r="A14" s="215" t="s">
        <v>383</v>
      </c>
      <c r="B14" s="216" t="s">
        <v>381</v>
      </c>
      <c r="C14" s="217" t="s">
        <v>384</v>
      </c>
      <c r="D14" s="388" t="s">
        <v>638</v>
      </c>
      <c r="E14" s="384" t="s">
        <v>640</v>
      </c>
      <c r="F14" s="388" t="s">
        <v>641</v>
      </c>
      <c r="G14" s="384" t="s">
        <v>642</v>
      </c>
      <c r="H14" s="384" t="s">
        <v>643</v>
      </c>
      <c r="I14" s="386"/>
      <c r="J14" s="384"/>
      <c r="K14" s="384"/>
      <c r="L14" s="384"/>
      <c r="M14" s="384"/>
      <c r="N14" s="384"/>
      <c r="O14" s="384"/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7"/>
      <c r="AI14" s="214" t="str">
        <f t="shared" si="1"/>
        <v>L</v>
      </c>
      <c r="AJ14" s="209" t="str">
        <f t="shared" si="2"/>
        <v>黃慶生</v>
      </c>
      <c r="AK14" s="211">
        <f t="shared" si="0"/>
        <v>2</v>
      </c>
      <c r="AL14" s="194">
        <f t="shared" si="3"/>
        <v>1</v>
      </c>
      <c r="AM14" s="212">
        <f t="shared" si="4"/>
        <v>0</v>
      </c>
      <c r="AN14" s="194">
        <f t="shared" si="5"/>
        <v>0</v>
      </c>
      <c r="AO14" s="194">
        <f t="shared" si="6"/>
        <v>0</v>
      </c>
      <c r="AP14" s="194">
        <f t="shared" si="7"/>
        <v>2</v>
      </c>
      <c r="AQ14" s="195">
        <f t="shared" si="8"/>
        <v>0</v>
      </c>
    </row>
    <row r="15" spans="1:43" ht="25.5">
      <c r="A15" s="199" t="s">
        <v>385</v>
      </c>
      <c r="B15" s="208" t="s">
        <v>381</v>
      </c>
      <c r="C15" s="218" t="s">
        <v>386</v>
      </c>
      <c r="D15" s="388" t="s">
        <v>641</v>
      </c>
      <c r="E15" s="384" t="s">
        <v>641</v>
      </c>
      <c r="F15" s="384" t="s">
        <v>634</v>
      </c>
      <c r="G15" s="384" t="s">
        <v>644</v>
      </c>
      <c r="H15" s="384" t="s">
        <v>639</v>
      </c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4"/>
      <c r="V15" s="384"/>
      <c r="W15" s="384"/>
      <c r="X15" s="384"/>
      <c r="Y15" s="384"/>
      <c r="Z15" s="384"/>
      <c r="AA15" s="384"/>
      <c r="AB15" s="384"/>
      <c r="AC15" s="384"/>
      <c r="AD15" s="384"/>
      <c r="AE15" s="384"/>
      <c r="AF15" s="384"/>
      <c r="AG15" s="384"/>
      <c r="AH15" s="385"/>
      <c r="AI15" s="219" t="str">
        <f t="shared" si="1"/>
        <v>M</v>
      </c>
      <c r="AJ15" s="209" t="str">
        <f t="shared" si="2"/>
        <v>洪奇昌</v>
      </c>
      <c r="AK15" s="211">
        <f t="shared" si="0"/>
        <v>2</v>
      </c>
      <c r="AL15" s="194">
        <f t="shared" si="3"/>
        <v>2</v>
      </c>
      <c r="AM15" s="212">
        <f t="shared" si="4"/>
        <v>2</v>
      </c>
      <c r="AN15" s="194">
        <f t="shared" si="5"/>
        <v>0</v>
      </c>
      <c r="AO15" s="194">
        <f t="shared" si="6"/>
        <v>0</v>
      </c>
      <c r="AP15" s="194">
        <f t="shared" si="7"/>
        <v>1</v>
      </c>
      <c r="AQ15" s="195">
        <f t="shared" si="8"/>
        <v>0</v>
      </c>
    </row>
    <row r="16" spans="1:43" ht="25.5">
      <c r="A16" s="205" t="s">
        <v>387</v>
      </c>
      <c r="B16" s="206" t="s">
        <v>381</v>
      </c>
      <c r="C16" s="220" t="s">
        <v>462</v>
      </c>
      <c r="D16" s="384" t="s">
        <v>645</v>
      </c>
      <c r="E16" s="384" t="s">
        <v>639</v>
      </c>
      <c r="F16" s="384" t="s">
        <v>638</v>
      </c>
      <c r="G16" s="384" t="s">
        <v>645</v>
      </c>
      <c r="H16" s="384" t="s">
        <v>646</v>
      </c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4"/>
      <c r="V16" s="384"/>
      <c r="W16" s="384"/>
      <c r="X16" s="384"/>
      <c r="Y16" s="384"/>
      <c r="Z16" s="384"/>
      <c r="AA16" s="384"/>
      <c r="AB16" s="384"/>
      <c r="AC16" s="384"/>
      <c r="AD16" s="384"/>
      <c r="AE16" s="384"/>
      <c r="AF16" s="316"/>
      <c r="AG16" s="316"/>
      <c r="AH16" s="385"/>
      <c r="AI16" s="221" t="str">
        <f t="shared" si="1"/>
        <v>N</v>
      </c>
      <c r="AJ16" s="209" t="str">
        <f t="shared" si="2"/>
        <v>陳正輝</v>
      </c>
      <c r="AK16" s="211">
        <f t="shared" si="0"/>
        <v>2</v>
      </c>
      <c r="AL16" s="194">
        <f t="shared" si="3"/>
        <v>3</v>
      </c>
      <c r="AM16" s="212">
        <f t="shared" si="4"/>
        <v>2</v>
      </c>
      <c r="AN16" s="194">
        <f t="shared" si="5"/>
        <v>0</v>
      </c>
      <c r="AO16" s="194">
        <f t="shared" si="6"/>
        <v>0</v>
      </c>
      <c r="AP16" s="194">
        <f t="shared" si="7"/>
        <v>0</v>
      </c>
      <c r="AQ16" s="195">
        <f t="shared" si="8"/>
        <v>0</v>
      </c>
    </row>
    <row r="17" spans="1:43" ht="26.25" thickBot="1">
      <c r="A17" s="185" t="s">
        <v>388</v>
      </c>
      <c r="B17" s="222" t="s">
        <v>381</v>
      </c>
      <c r="C17" s="187" t="s">
        <v>389</v>
      </c>
      <c r="D17" s="320" t="s">
        <v>636</v>
      </c>
      <c r="E17" s="320" t="s">
        <v>644</v>
      </c>
      <c r="F17" s="320" t="s">
        <v>639</v>
      </c>
      <c r="G17" s="320" t="s">
        <v>645</v>
      </c>
      <c r="H17" s="320" t="s">
        <v>647</v>
      </c>
      <c r="I17" s="320"/>
      <c r="J17" s="320"/>
      <c r="K17" s="320"/>
      <c r="L17" s="320"/>
      <c r="M17" s="320"/>
      <c r="N17" s="320"/>
      <c r="O17" s="320"/>
      <c r="P17" s="320"/>
      <c r="Q17" s="320"/>
      <c r="R17" s="320"/>
      <c r="S17" s="320"/>
      <c r="T17" s="320"/>
      <c r="U17" s="320"/>
      <c r="V17" s="320"/>
      <c r="W17" s="320"/>
      <c r="X17" s="384"/>
      <c r="Y17" s="384"/>
      <c r="Z17" s="320"/>
      <c r="AA17" s="320"/>
      <c r="AB17" s="320"/>
      <c r="AC17" s="320"/>
      <c r="AD17" s="320"/>
      <c r="AE17" s="320"/>
      <c r="AF17" s="320"/>
      <c r="AG17" s="320"/>
      <c r="AH17" s="321"/>
      <c r="AI17" s="462" t="str">
        <f t="shared" si="1"/>
        <v>O</v>
      </c>
      <c r="AJ17" s="187" t="str">
        <f t="shared" si="2"/>
        <v>陳佑任</v>
      </c>
      <c r="AK17" s="211">
        <f t="shared" si="0"/>
        <v>2</v>
      </c>
      <c r="AL17" s="194">
        <f t="shared" si="3"/>
        <v>2</v>
      </c>
      <c r="AM17" s="212">
        <f t="shared" si="4"/>
        <v>1</v>
      </c>
      <c r="AN17" s="194">
        <f t="shared" si="5"/>
        <v>0</v>
      </c>
      <c r="AO17" s="194">
        <f t="shared" si="6"/>
        <v>0</v>
      </c>
      <c r="AP17" s="194">
        <f t="shared" si="7"/>
        <v>0</v>
      </c>
      <c r="AQ17" s="195">
        <f t="shared" si="8"/>
        <v>0</v>
      </c>
    </row>
    <row r="18" spans="1:43" ht="60" thickTop="1" thickBot="1">
      <c r="A18" s="205" t="s">
        <v>390</v>
      </c>
      <c r="B18" s="206" t="s">
        <v>381</v>
      </c>
      <c r="C18" s="223" t="s">
        <v>391</v>
      </c>
      <c r="D18" s="322" t="s">
        <v>645</v>
      </c>
      <c r="E18" s="322" t="s">
        <v>640</v>
      </c>
      <c r="F18" s="322" t="s">
        <v>640</v>
      </c>
      <c r="G18" s="322" t="s">
        <v>637</v>
      </c>
      <c r="H18" s="322" t="s">
        <v>645</v>
      </c>
      <c r="I18" s="322"/>
      <c r="J18" s="322"/>
      <c r="K18" s="322"/>
      <c r="L18" s="322"/>
      <c r="M18" s="322"/>
      <c r="N18" s="322"/>
      <c r="O18" s="322"/>
      <c r="P18" s="322"/>
      <c r="Q18" s="322"/>
      <c r="R18" s="322"/>
      <c r="S18" s="322"/>
      <c r="T18" s="389"/>
      <c r="U18" s="322"/>
      <c r="V18" s="322"/>
      <c r="W18" s="322"/>
      <c r="X18" s="322"/>
      <c r="Y18" s="389"/>
      <c r="Z18" s="322"/>
      <c r="AA18" s="322"/>
      <c r="AB18" s="322"/>
      <c r="AC18" s="322"/>
      <c r="AD18" s="322"/>
      <c r="AE18" s="322"/>
      <c r="AF18" s="322"/>
      <c r="AG18" s="322"/>
      <c r="AH18" s="323"/>
      <c r="AI18" s="224" t="str">
        <f t="shared" si="1"/>
        <v>P</v>
      </c>
      <c r="AJ18" s="225" t="str">
        <f t="shared" si="2"/>
        <v>林明道(支援總隊)</v>
      </c>
      <c r="AK18" s="211">
        <f t="shared" si="0"/>
        <v>2</v>
      </c>
      <c r="AL18" s="194">
        <f t="shared" si="3"/>
        <v>3</v>
      </c>
      <c r="AM18" s="212">
        <f t="shared" si="4"/>
        <v>2</v>
      </c>
      <c r="AN18" s="194">
        <f t="shared" si="5"/>
        <v>0</v>
      </c>
      <c r="AO18" s="194">
        <f t="shared" si="6"/>
        <v>0</v>
      </c>
      <c r="AP18" s="194">
        <f t="shared" si="7"/>
        <v>0</v>
      </c>
      <c r="AQ18" s="195">
        <f t="shared" si="8"/>
        <v>0</v>
      </c>
    </row>
    <row r="19" spans="1:43" ht="59.25" thickBot="1">
      <c r="A19" s="226" t="s">
        <v>392</v>
      </c>
      <c r="B19" s="227" t="s">
        <v>381</v>
      </c>
      <c r="C19" s="228" t="s">
        <v>393</v>
      </c>
      <c r="D19" s="389"/>
      <c r="E19" s="389" t="s">
        <v>640</v>
      </c>
      <c r="F19" s="389" t="s">
        <v>648</v>
      </c>
      <c r="G19" s="389" t="s">
        <v>639</v>
      </c>
      <c r="H19" s="389" t="s">
        <v>636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24"/>
      <c r="AI19" s="229" t="str">
        <f t="shared" si="1"/>
        <v>Q</v>
      </c>
      <c r="AJ19" s="230" t="str">
        <f t="shared" si="2"/>
        <v>謝福生(支援總隊)</v>
      </c>
      <c r="AK19" s="211">
        <f t="shared" si="0"/>
        <v>3</v>
      </c>
      <c r="AL19" s="231">
        <f t="shared" si="3"/>
        <v>1</v>
      </c>
      <c r="AM19" s="232">
        <f t="shared" si="4"/>
        <v>2</v>
      </c>
      <c r="AN19" s="231">
        <f t="shared" si="5"/>
        <v>0</v>
      </c>
      <c r="AO19" s="231">
        <f t="shared" si="6"/>
        <v>0</v>
      </c>
      <c r="AP19" s="231">
        <f t="shared" si="7"/>
        <v>0</v>
      </c>
      <c r="AQ19" s="233">
        <f t="shared" si="8"/>
        <v>0</v>
      </c>
    </row>
    <row r="20" spans="1:43" ht="25.5">
      <c r="A20" s="205">
        <v>51</v>
      </c>
      <c r="B20" s="206" t="s">
        <v>394</v>
      </c>
      <c r="C20" s="234" t="s">
        <v>395</v>
      </c>
      <c r="D20" s="322" t="s">
        <v>649</v>
      </c>
      <c r="E20" s="322" t="s">
        <v>650</v>
      </c>
      <c r="F20" s="322" t="s">
        <v>650</v>
      </c>
      <c r="G20" s="322" t="s">
        <v>649</v>
      </c>
      <c r="H20" s="322" t="s">
        <v>649</v>
      </c>
      <c r="I20" s="322" t="s">
        <v>549</v>
      </c>
      <c r="J20" s="322" t="s">
        <v>549</v>
      </c>
      <c r="K20" s="322" t="s">
        <v>549</v>
      </c>
      <c r="L20" s="322" t="s">
        <v>549</v>
      </c>
      <c r="M20" s="322" t="s">
        <v>549</v>
      </c>
      <c r="N20" s="322" t="s">
        <v>565</v>
      </c>
      <c r="O20" s="322"/>
      <c r="P20" s="322"/>
      <c r="Q20" s="322"/>
      <c r="R20" s="322"/>
      <c r="S20" s="322"/>
      <c r="T20" s="322" t="s">
        <v>561</v>
      </c>
      <c r="U20" s="322" t="s">
        <v>563</v>
      </c>
      <c r="V20" s="322" t="s">
        <v>562</v>
      </c>
      <c r="W20" s="322" t="s">
        <v>563</v>
      </c>
      <c r="X20" s="322" t="s">
        <v>564</v>
      </c>
      <c r="Y20" s="322" t="s">
        <v>560</v>
      </c>
      <c r="Z20" s="322"/>
      <c r="AA20" s="322"/>
      <c r="AB20" s="322"/>
      <c r="AC20" s="322"/>
      <c r="AD20" s="322"/>
      <c r="AE20" s="322"/>
      <c r="AF20" s="322"/>
      <c r="AG20" s="322"/>
      <c r="AH20" s="323"/>
      <c r="AI20" s="219">
        <f t="shared" si="1"/>
        <v>51</v>
      </c>
      <c r="AJ20" s="191" t="str">
        <f t="shared" si="2"/>
        <v>陳俊印</v>
      </c>
      <c r="AK20" s="211">
        <f t="shared" si="0"/>
        <v>6</v>
      </c>
      <c r="AL20" s="235">
        <f t="shared" si="3"/>
        <v>2</v>
      </c>
      <c r="AM20" s="235">
        <f t="shared" si="4"/>
        <v>2</v>
      </c>
      <c r="AN20" s="236" t="s">
        <v>396</v>
      </c>
      <c r="AO20" s="235">
        <f t="shared" si="6"/>
        <v>0</v>
      </c>
      <c r="AP20" s="235">
        <f t="shared" si="7"/>
        <v>0</v>
      </c>
      <c r="AQ20" s="237">
        <f t="shared" si="8"/>
        <v>0</v>
      </c>
    </row>
    <row r="21" spans="1:43" ht="25.5">
      <c r="A21" s="207">
        <v>52</v>
      </c>
      <c r="B21" s="208" t="s">
        <v>394</v>
      </c>
      <c r="C21" s="238" t="s">
        <v>397</v>
      </c>
      <c r="D21" s="390" t="s">
        <v>640</v>
      </c>
      <c r="E21" s="391" t="s">
        <v>651</v>
      </c>
      <c r="F21" s="392" t="s">
        <v>636</v>
      </c>
      <c r="G21" s="392" t="s">
        <v>636</v>
      </c>
      <c r="H21" s="392" t="s">
        <v>636</v>
      </c>
      <c r="I21" s="392"/>
      <c r="J21" s="392"/>
      <c r="K21" s="392"/>
      <c r="L21" s="392"/>
      <c r="M21" s="392"/>
      <c r="N21" s="392"/>
      <c r="O21" s="392"/>
      <c r="P21" s="392"/>
      <c r="Q21" s="322"/>
      <c r="R21" s="322"/>
      <c r="S21" s="392"/>
      <c r="T21" s="322"/>
      <c r="U21" s="392"/>
      <c r="V21" s="322"/>
      <c r="W21" s="392"/>
      <c r="X21" s="392"/>
      <c r="Y21" s="322"/>
      <c r="Z21" s="392"/>
      <c r="AA21" s="392"/>
      <c r="AB21" s="392"/>
      <c r="AC21" s="392"/>
      <c r="AD21" s="392"/>
      <c r="AE21" s="322"/>
      <c r="AF21" s="322"/>
      <c r="AG21" s="392"/>
      <c r="AH21" s="392"/>
      <c r="AI21" s="221">
        <f t="shared" si="1"/>
        <v>52</v>
      </c>
      <c r="AJ21" s="238" t="str">
        <f t="shared" si="2"/>
        <v>曾文彬</v>
      </c>
      <c r="AK21" s="211">
        <f t="shared" si="0"/>
        <v>1</v>
      </c>
      <c r="AL21" s="194">
        <f t="shared" si="3"/>
        <v>4</v>
      </c>
      <c r="AM21" s="194">
        <f t="shared" si="4"/>
        <v>2</v>
      </c>
      <c r="AN21" s="194">
        <f>COUNTIF(D21:AH21,"*甲*")+COUNTIF(D21:AH21,"*丙*")</f>
        <v>0</v>
      </c>
      <c r="AO21" s="194">
        <f t="shared" si="6"/>
        <v>0</v>
      </c>
      <c r="AP21" s="194">
        <f t="shared" si="7"/>
        <v>0</v>
      </c>
      <c r="AQ21" s="195">
        <f>COUNTIF(D21:AH21,"*甲*")+COUNTIF(D21:AH21,"*乙*")+COUNTIF(D21:AH21,"*丙*")</f>
        <v>0</v>
      </c>
    </row>
    <row r="22" spans="1:43" ht="25.5">
      <c r="A22" s="207">
        <v>53</v>
      </c>
      <c r="B22" s="208" t="s">
        <v>394</v>
      </c>
      <c r="C22" s="238" t="s">
        <v>398</v>
      </c>
      <c r="D22" s="577" t="s">
        <v>506</v>
      </c>
      <c r="E22" s="577"/>
      <c r="F22" s="577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  <c r="U22" s="577"/>
      <c r="V22" s="577"/>
      <c r="W22" s="577"/>
      <c r="X22" s="577"/>
      <c r="Y22" s="577"/>
      <c r="Z22" s="577"/>
      <c r="AA22" s="577"/>
      <c r="AB22" s="577"/>
      <c r="AC22" s="577"/>
      <c r="AD22" s="577"/>
      <c r="AE22" s="577"/>
      <c r="AF22" s="577"/>
      <c r="AG22" s="577"/>
      <c r="AH22" s="578"/>
      <c r="AI22" s="239">
        <f t="shared" si="1"/>
        <v>53</v>
      </c>
      <c r="AJ22" s="238" t="str">
        <f t="shared" si="2"/>
        <v>鄒本強</v>
      </c>
      <c r="AK22" s="193"/>
      <c r="AL22" s="194">
        <f t="shared" si="3"/>
        <v>0</v>
      </c>
      <c r="AM22" s="194"/>
      <c r="AN22" s="194">
        <f t="shared" ref="AN22:AN30" si="9">COUNTIF(D22:AH22,"*甲*")+COUNTIF(D22:AH22,"*丙*")</f>
        <v>0</v>
      </c>
      <c r="AO22" s="194"/>
      <c r="AP22" s="194"/>
      <c r="AQ22" s="195">
        <f t="shared" si="8"/>
        <v>0</v>
      </c>
    </row>
    <row r="23" spans="1:43" ht="25.5">
      <c r="A23" s="207">
        <v>54</v>
      </c>
      <c r="B23" s="208" t="s">
        <v>394</v>
      </c>
      <c r="C23" s="209" t="s">
        <v>399</v>
      </c>
      <c r="D23" s="579" t="s">
        <v>507</v>
      </c>
      <c r="E23" s="579"/>
      <c r="F23" s="579"/>
      <c r="G23" s="579"/>
      <c r="H23" s="579"/>
      <c r="I23" s="579"/>
      <c r="J23" s="579"/>
      <c r="K23" s="579"/>
      <c r="L23" s="579"/>
      <c r="M23" s="579"/>
      <c r="N23" s="579"/>
      <c r="O23" s="579"/>
      <c r="P23" s="579"/>
      <c r="Q23" s="579"/>
      <c r="R23" s="579"/>
      <c r="S23" s="579"/>
      <c r="T23" s="579"/>
      <c r="U23" s="579"/>
      <c r="V23" s="579"/>
      <c r="W23" s="579"/>
      <c r="X23" s="579"/>
      <c r="Y23" s="579"/>
      <c r="Z23" s="579"/>
      <c r="AA23" s="579"/>
      <c r="AB23" s="579"/>
      <c r="AC23" s="579"/>
      <c r="AD23" s="579"/>
      <c r="AE23" s="579"/>
      <c r="AF23" s="579"/>
      <c r="AG23" s="579"/>
      <c r="AH23" s="580"/>
      <c r="AI23" s="207">
        <f t="shared" si="1"/>
        <v>54</v>
      </c>
      <c r="AJ23" s="209" t="str">
        <f t="shared" si="2"/>
        <v>王俊欽</v>
      </c>
      <c r="AK23" s="211">
        <f t="shared" ref="AK23" si="10">COUNTIF(D23:AH23,"*X*")</f>
        <v>0</v>
      </c>
      <c r="AL23" s="194">
        <f t="shared" si="3"/>
        <v>0</v>
      </c>
      <c r="AM23" s="212"/>
      <c r="AN23" s="194">
        <f t="shared" si="9"/>
        <v>0</v>
      </c>
      <c r="AO23" s="212"/>
      <c r="AP23" s="212"/>
      <c r="AQ23" s="195">
        <f t="shared" si="8"/>
        <v>0</v>
      </c>
    </row>
    <row r="24" spans="1:43" ht="25.5">
      <c r="A24" s="207">
        <v>55</v>
      </c>
      <c r="B24" s="208" t="s">
        <v>394</v>
      </c>
      <c r="C24" s="238" t="s">
        <v>400</v>
      </c>
      <c r="D24" s="579" t="s">
        <v>508</v>
      </c>
      <c r="E24" s="579"/>
      <c r="F24" s="579"/>
      <c r="G24" s="579"/>
      <c r="H24" s="579"/>
      <c r="I24" s="579"/>
      <c r="J24" s="579"/>
      <c r="K24" s="579"/>
      <c r="L24" s="579"/>
      <c r="M24" s="579"/>
      <c r="N24" s="579"/>
      <c r="O24" s="579"/>
      <c r="P24" s="579"/>
      <c r="Q24" s="579"/>
      <c r="R24" s="579"/>
      <c r="S24" s="579"/>
      <c r="T24" s="579"/>
      <c r="U24" s="579"/>
      <c r="V24" s="579"/>
      <c r="W24" s="579"/>
      <c r="X24" s="579"/>
      <c r="Y24" s="579"/>
      <c r="Z24" s="579"/>
      <c r="AA24" s="579"/>
      <c r="AB24" s="579"/>
      <c r="AC24" s="579"/>
      <c r="AD24" s="579"/>
      <c r="AE24" s="579"/>
      <c r="AF24" s="579"/>
      <c r="AG24" s="579"/>
      <c r="AH24" s="580"/>
      <c r="AI24" s="240">
        <f t="shared" si="1"/>
        <v>55</v>
      </c>
      <c r="AJ24" s="238" t="str">
        <f t="shared" si="2"/>
        <v>林明慧</v>
      </c>
      <c r="AK24" s="193"/>
      <c r="AL24" s="194">
        <f t="shared" si="3"/>
        <v>0</v>
      </c>
      <c r="AM24" s="194"/>
      <c r="AN24" s="194">
        <f t="shared" si="9"/>
        <v>0</v>
      </c>
      <c r="AO24" s="194"/>
      <c r="AP24" s="194"/>
      <c r="AQ24" s="195">
        <f t="shared" si="8"/>
        <v>0</v>
      </c>
    </row>
    <row r="25" spans="1:43" ht="25.5">
      <c r="A25" s="207">
        <v>56</v>
      </c>
      <c r="B25" s="208" t="s">
        <v>394</v>
      </c>
      <c r="C25" s="209" t="s">
        <v>401</v>
      </c>
      <c r="D25" s="579" t="s">
        <v>509</v>
      </c>
      <c r="E25" s="579"/>
      <c r="F25" s="579"/>
      <c r="G25" s="579"/>
      <c r="H25" s="579"/>
      <c r="I25" s="579"/>
      <c r="J25" s="579"/>
      <c r="K25" s="579"/>
      <c r="L25" s="579"/>
      <c r="M25" s="579"/>
      <c r="N25" s="579"/>
      <c r="O25" s="579"/>
      <c r="P25" s="579"/>
      <c r="Q25" s="579"/>
      <c r="R25" s="579"/>
      <c r="S25" s="579"/>
      <c r="T25" s="579"/>
      <c r="U25" s="579"/>
      <c r="V25" s="579"/>
      <c r="W25" s="579"/>
      <c r="X25" s="579"/>
      <c r="Y25" s="579"/>
      <c r="Z25" s="579"/>
      <c r="AA25" s="579"/>
      <c r="AB25" s="579"/>
      <c r="AC25" s="579"/>
      <c r="AD25" s="579"/>
      <c r="AE25" s="579"/>
      <c r="AF25" s="579"/>
      <c r="AG25" s="579"/>
      <c r="AH25" s="580"/>
      <c r="AI25" s="241">
        <f t="shared" si="1"/>
        <v>56</v>
      </c>
      <c r="AJ25" s="209" t="str">
        <f t="shared" si="2"/>
        <v>王美惠</v>
      </c>
      <c r="AK25" s="211">
        <f t="shared" si="0"/>
        <v>0</v>
      </c>
      <c r="AL25" s="194">
        <f t="shared" si="3"/>
        <v>0</v>
      </c>
      <c r="AM25" s="212"/>
      <c r="AN25" s="194">
        <f t="shared" si="9"/>
        <v>0</v>
      </c>
      <c r="AO25" s="212"/>
      <c r="AP25" s="212"/>
      <c r="AQ25" s="195">
        <f t="shared" si="8"/>
        <v>0</v>
      </c>
    </row>
    <row r="26" spans="1:43" ht="25.5">
      <c r="A26" s="207">
        <v>7</v>
      </c>
      <c r="B26" s="208" t="s">
        <v>394</v>
      </c>
      <c r="C26" s="238"/>
      <c r="D26" s="242"/>
      <c r="E26" s="243"/>
      <c r="F26" s="244"/>
      <c r="G26" s="245"/>
      <c r="H26" s="245"/>
      <c r="I26" s="245"/>
      <c r="J26" s="244"/>
      <c r="K26" s="244"/>
      <c r="L26" s="244"/>
      <c r="M26" s="244"/>
      <c r="N26" s="244"/>
      <c r="O26" s="244"/>
      <c r="P26" s="245"/>
      <c r="Q26" s="244"/>
      <c r="R26" s="244"/>
      <c r="S26" s="245"/>
      <c r="T26" s="245"/>
      <c r="U26" s="244"/>
      <c r="V26" s="245"/>
      <c r="W26" s="245"/>
      <c r="X26" s="245"/>
      <c r="Y26" s="245"/>
      <c r="Z26" s="244"/>
      <c r="AA26" s="244"/>
      <c r="AB26" s="244"/>
      <c r="AC26" s="245"/>
      <c r="AD26" s="245"/>
      <c r="AE26" s="245"/>
      <c r="AF26" s="244"/>
      <c r="AG26" s="245"/>
      <c r="AH26" s="246"/>
      <c r="AI26" s="240">
        <f t="shared" si="1"/>
        <v>7</v>
      </c>
      <c r="AJ26" s="238">
        <f t="shared" si="2"/>
        <v>0</v>
      </c>
      <c r="AK26" s="193">
        <f>COUNTIF(D26:AH26,"*X*")</f>
        <v>0</v>
      </c>
      <c r="AL26" s="194">
        <f t="shared" si="3"/>
        <v>0</v>
      </c>
      <c r="AM26" s="194"/>
      <c r="AN26" s="194">
        <f t="shared" si="9"/>
        <v>0</v>
      </c>
      <c r="AO26" s="194"/>
      <c r="AP26" s="194"/>
      <c r="AQ26" s="195">
        <f t="shared" si="8"/>
        <v>0</v>
      </c>
    </row>
    <row r="27" spans="1:43" ht="25.5">
      <c r="A27" s="207">
        <v>8</v>
      </c>
      <c r="B27" s="208" t="s">
        <v>394</v>
      </c>
      <c r="C27" s="209"/>
      <c r="D27" s="247"/>
      <c r="E27" s="210"/>
      <c r="F27" s="210"/>
      <c r="G27" s="248"/>
      <c r="H27" s="248"/>
      <c r="I27" s="210"/>
      <c r="J27" s="210"/>
      <c r="K27" s="249"/>
      <c r="L27" s="249"/>
      <c r="M27" s="249"/>
      <c r="N27" s="249"/>
      <c r="O27" s="249"/>
      <c r="P27" s="210"/>
      <c r="Q27" s="249"/>
      <c r="R27" s="249"/>
      <c r="S27" s="210"/>
      <c r="T27" s="250"/>
      <c r="U27" s="249"/>
      <c r="V27" s="210"/>
      <c r="W27" s="210"/>
      <c r="X27" s="210"/>
      <c r="Y27" s="210"/>
      <c r="Z27" s="249"/>
      <c r="AA27" s="249"/>
      <c r="AB27" s="249"/>
      <c r="AC27" s="210"/>
      <c r="AD27" s="210"/>
      <c r="AE27" s="210"/>
      <c r="AF27" s="249"/>
      <c r="AG27" s="210"/>
      <c r="AH27" s="213"/>
      <c r="AI27" s="241">
        <f t="shared" si="1"/>
        <v>8</v>
      </c>
      <c r="AJ27" s="209">
        <f t="shared" si="2"/>
        <v>0</v>
      </c>
      <c r="AK27" s="211">
        <f t="shared" si="0"/>
        <v>0</v>
      </c>
      <c r="AL27" s="194">
        <f t="shared" si="3"/>
        <v>0</v>
      </c>
      <c r="AM27" s="212"/>
      <c r="AN27" s="194">
        <f t="shared" si="9"/>
        <v>0</v>
      </c>
      <c r="AO27" s="212"/>
      <c r="AP27" s="212"/>
      <c r="AQ27" s="195">
        <f t="shared" si="8"/>
        <v>0</v>
      </c>
    </row>
    <row r="28" spans="1:43" ht="25.5">
      <c r="A28" s="207">
        <v>9</v>
      </c>
      <c r="B28" s="208" t="s">
        <v>394</v>
      </c>
      <c r="C28" s="238"/>
      <c r="D28" s="550"/>
      <c r="E28" s="550"/>
      <c r="F28" s="550"/>
      <c r="G28" s="550"/>
      <c r="H28" s="550"/>
      <c r="I28" s="550"/>
      <c r="J28" s="550"/>
      <c r="K28" s="550"/>
      <c r="L28" s="550"/>
      <c r="M28" s="550"/>
      <c r="N28" s="550"/>
      <c r="O28" s="550"/>
      <c r="P28" s="550"/>
      <c r="Q28" s="550"/>
      <c r="R28" s="550"/>
      <c r="S28" s="550"/>
      <c r="T28" s="550"/>
      <c r="U28" s="550"/>
      <c r="V28" s="550"/>
      <c r="W28" s="550"/>
      <c r="X28" s="550"/>
      <c r="Y28" s="550"/>
      <c r="Z28" s="550"/>
      <c r="AA28" s="550"/>
      <c r="AB28" s="550"/>
      <c r="AC28" s="550"/>
      <c r="AD28" s="550"/>
      <c r="AE28" s="550"/>
      <c r="AF28" s="550"/>
      <c r="AG28" s="550"/>
      <c r="AH28" s="551"/>
      <c r="AI28" s="240">
        <f t="shared" si="1"/>
        <v>9</v>
      </c>
      <c r="AJ28" s="238">
        <f t="shared" si="2"/>
        <v>0</v>
      </c>
      <c r="AK28" s="193"/>
      <c r="AL28" s="194">
        <f t="shared" si="3"/>
        <v>0</v>
      </c>
      <c r="AM28" s="194"/>
      <c r="AN28" s="194">
        <f t="shared" si="9"/>
        <v>0</v>
      </c>
      <c r="AO28" s="194"/>
      <c r="AP28" s="194"/>
      <c r="AQ28" s="195">
        <f t="shared" si="8"/>
        <v>0</v>
      </c>
    </row>
    <row r="29" spans="1:43" ht="25.5">
      <c r="A29" s="207">
        <v>10</v>
      </c>
      <c r="B29" s="208" t="s">
        <v>394</v>
      </c>
      <c r="C29" s="238"/>
      <c r="D29" s="251"/>
      <c r="E29" s="245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48"/>
      <c r="AG29" s="252"/>
      <c r="AH29" s="246"/>
      <c r="AI29" s="240">
        <f t="shared" si="1"/>
        <v>10</v>
      </c>
      <c r="AJ29" s="238">
        <f t="shared" si="2"/>
        <v>0</v>
      </c>
      <c r="AK29" s="193">
        <f>COUNTIF(D29:AH29,"*X*")</f>
        <v>0</v>
      </c>
      <c r="AL29" s="194">
        <f t="shared" si="3"/>
        <v>0</v>
      </c>
      <c r="AM29" s="194"/>
      <c r="AN29" s="194">
        <f t="shared" si="9"/>
        <v>0</v>
      </c>
      <c r="AO29" s="194"/>
      <c r="AP29" s="194"/>
      <c r="AQ29" s="195">
        <f t="shared" si="8"/>
        <v>0</v>
      </c>
    </row>
    <row r="30" spans="1:43" ht="51.75" thickBot="1">
      <c r="A30" s="205"/>
      <c r="B30" s="206"/>
      <c r="C30" s="206" t="s">
        <v>402</v>
      </c>
      <c r="D30" s="253">
        <f>COUNTIF(D8:D29,"*乙*")</f>
        <v>0</v>
      </c>
      <c r="E30" s="253">
        <f t="shared" ref="E30:H30" si="11">COUNTIF(E8:E29,"*乙*")</f>
        <v>0</v>
      </c>
      <c r="F30" s="253">
        <f t="shared" si="11"/>
        <v>0</v>
      </c>
      <c r="G30" s="253">
        <f t="shared" si="11"/>
        <v>0</v>
      </c>
      <c r="H30" s="253">
        <f t="shared" si="11"/>
        <v>0</v>
      </c>
      <c r="I30" s="254">
        <f>COUNTIF(I8:I29,"*甲*")</f>
        <v>0</v>
      </c>
      <c r="J30" s="254">
        <f t="shared" ref="J30:M30" si="12">COUNTIF(J8:J29,"*甲*")</f>
        <v>0</v>
      </c>
      <c r="K30" s="254">
        <f t="shared" si="12"/>
        <v>0</v>
      </c>
      <c r="L30" s="254">
        <f t="shared" si="12"/>
        <v>0</v>
      </c>
      <c r="M30" s="254">
        <f t="shared" si="12"/>
        <v>0</v>
      </c>
      <c r="N30" s="254">
        <f>COUNTIF(N8:N29,"*甲*")</f>
        <v>0</v>
      </c>
      <c r="O30" s="254">
        <f t="shared" ref="O30:R30" si="13">COUNTIF(O8:O29,"*甲*")</f>
        <v>0</v>
      </c>
      <c r="P30" s="254">
        <f t="shared" si="13"/>
        <v>0</v>
      </c>
      <c r="Q30" s="254">
        <f t="shared" si="13"/>
        <v>0</v>
      </c>
      <c r="R30" s="254">
        <f t="shared" si="13"/>
        <v>0</v>
      </c>
      <c r="S30" s="254">
        <f>COUNTIF(S8:S29,"*丙*")</f>
        <v>0</v>
      </c>
      <c r="T30" s="254">
        <f t="shared" ref="T30:W30" si="14">COUNTIF(T8:T29,"*丙*")</f>
        <v>0</v>
      </c>
      <c r="U30" s="254">
        <f t="shared" si="14"/>
        <v>0</v>
      </c>
      <c r="V30" s="254">
        <f t="shared" si="14"/>
        <v>0</v>
      </c>
      <c r="W30" s="254">
        <f t="shared" si="14"/>
        <v>0</v>
      </c>
      <c r="X30" s="254">
        <f>COUNTIF(X8:X29,"*丙*")</f>
        <v>0</v>
      </c>
      <c r="Y30" s="254">
        <f t="shared" ref="Y30:AB30" si="15">COUNTIF(Y8:Y29,"*丙*")</f>
        <v>0</v>
      </c>
      <c r="Z30" s="254">
        <f t="shared" si="15"/>
        <v>0</v>
      </c>
      <c r="AA30" s="254">
        <f t="shared" si="15"/>
        <v>0</v>
      </c>
      <c r="AB30" s="254">
        <f t="shared" si="15"/>
        <v>0</v>
      </c>
      <c r="AC30" s="254">
        <f>COUNTIF(AC8:AC29,"*乙*")</f>
        <v>0</v>
      </c>
      <c r="AD30" s="254">
        <f t="shared" ref="AD30:AG30" si="16">COUNTIF(AD8:AD29,"*乙*")</f>
        <v>0</v>
      </c>
      <c r="AE30" s="254">
        <f t="shared" si="16"/>
        <v>0</v>
      </c>
      <c r="AF30" s="254">
        <f t="shared" si="16"/>
        <v>0</v>
      </c>
      <c r="AG30" s="254">
        <f t="shared" si="16"/>
        <v>0</v>
      </c>
      <c r="AH30" s="254">
        <f t="shared" ref="AH30" si="17">COUNTIF(AH8:AH29,"*甲*")</f>
        <v>0</v>
      </c>
      <c r="AI30" s="552" t="s">
        <v>403</v>
      </c>
      <c r="AJ30" s="553"/>
      <c r="AK30" s="255"/>
      <c r="AL30" s="256"/>
      <c r="AM30" s="256"/>
      <c r="AN30" s="194">
        <f t="shared" si="9"/>
        <v>0</v>
      </c>
      <c r="AO30" s="255"/>
      <c r="AP30" s="169"/>
      <c r="AQ30" s="195">
        <f t="shared" si="8"/>
        <v>0</v>
      </c>
    </row>
    <row r="31" spans="1:43" ht="25.5">
      <c r="A31" s="554" t="s">
        <v>404</v>
      </c>
      <c r="B31" s="555"/>
      <c r="C31" s="556"/>
      <c r="D31" s="560" t="s">
        <v>405</v>
      </c>
      <c r="E31" s="561"/>
      <c r="F31" s="561"/>
      <c r="G31" s="561"/>
      <c r="H31" s="562"/>
      <c r="I31" s="563" t="s">
        <v>406</v>
      </c>
      <c r="J31" s="564"/>
      <c r="K31" s="564"/>
      <c r="L31" s="564"/>
      <c r="M31" s="565"/>
      <c r="N31" s="560" t="s">
        <v>407</v>
      </c>
      <c r="O31" s="561"/>
      <c r="P31" s="561"/>
      <c r="Q31" s="561"/>
      <c r="R31" s="562"/>
      <c r="S31" s="563" t="s">
        <v>405</v>
      </c>
      <c r="T31" s="564"/>
      <c r="U31" s="564"/>
      <c r="V31" s="564"/>
      <c r="W31" s="565"/>
      <c r="X31" s="560" t="s">
        <v>406</v>
      </c>
      <c r="Y31" s="561"/>
      <c r="Z31" s="561"/>
      <c r="AA31" s="561"/>
      <c r="AB31" s="562"/>
      <c r="AC31" s="566" t="str">
        <f>N31</f>
        <v>乙案</v>
      </c>
      <c r="AD31" s="567"/>
      <c r="AE31" s="567"/>
      <c r="AF31" s="567"/>
      <c r="AG31" s="568"/>
      <c r="AH31" s="569"/>
      <c r="AI31" s="570"/>
      <c r="AJ31" s="571"/>
      <c r="AK31" s="169"/>
      <c r="AL31" s="169"/>
      <c r="AM31" s="169"/>
      <c r="AN31" s="169"/>
      <c r="AO31" s="169"/>
      <c r="AP31" s="169"/>
      <c r="AQ31" s="170"/>
    </row>
    <row r="32" spans="1:43" ht="26.25" thickBot="1">
      <c r="A32" s="557"/>
      <c r="B32" s="558"/>
      <c r="C32" s="559"/>
      <c r="D32" s="541" t="s">
        <v>408</v>
      </c>
      <c r="E32" s="542"/>
      <c r="F32" s="542"/>
      <c r="G32" s="542"/>
      <c r="H32" s="543"/>
      <c r="I32" s="544" t="s">
        <v>409</v>
      </c>
      <c r="J32" s="545"/>
      <c r="K32" s="545"/>
      <c r="L32" s="545"/>
      <c r="M32" s="546"/>
      <c r="N32" s="541" t="s">
        <v>410</v>
      </c>
      <c r="O32" s="542"/>
      <c r="P32" s="542"/>
      <c r="Q32" s="542"/>
      <c r="R32" s="543"/>
      <c r="S32" s="544" t="s">
        <v>408</v>
      </c>
      <c r="T32" s="545"/>
      <c r="U32" s="545"/>
      <c r="V32" s="545"/>
      <c r="W32" s="546"/>
      <c r="X32" s="541" t="s">
        <v>409</v>
      </c>
      <c r="Y32" s="542"/>
      <c r="Z32" s="542"/>
      <c r="AA32" s="542"/>
      <c r="AB32" s="543"/>
      <c r="AC32" s="547" t="s">
        <v>410</v>
      </c>
      <c r="AD32" s="548"/>
      <c r="AE32" s="548"/>
      <c r="AF32" s="548"/>
      <c r="AG32" s="548"/>
      <c r="AH32" s="549"/>
      <c r="AI32" s="572"/>
      <c r="AJ32" s="573"/>
      <c r="AK32" s="169"/>
      <c r="AL32" s="169"/>
      <c r="AM32" s="169"/>
      <c r="AN32" s="169"/>
      <c r="AO32" s="169"/>
      <c r="AP32" s="169"/>
      <c r="AQ32" s="170"/>
    </row>
    <row r="33" spans="1:43" ht="97.5" thickBot="1">
      <c r="A33" s="257" t="s">
        <v>411</v>
      </c>
      <c r="B33" s="533" t="s">
        <v>412</v>
      </c>
      <c r="C33" s="534"/>
      <c r="D33" s="535" t="s">
        <v>413</v>
      </c>
      <c r="E33" s="536"/>
      <c r="F33" s="536"/>
      <c r="G33" s="536"/>
      <c r="H33" s="534"/>
      <c r="I33" s="535" t="s">
        <v>540</v>
      </c>
      <c r="J33" s="536"/>
      <c r="K33" s="536"/>
      <c r="L33" s="536"/>
      <c r="M33" s="537"/>
      <c r="N33" s="258" t="s">
        <v>414</v>
      </c>
      <c r="O33" s="538" t="s">
        <v>415</v>
      </c>
      <c r="P33" s="539"/>
      <c r="Q33" s="539"/>
      <c r="R33" s="539"/>
      <c r="S33" s="539"/>
      <c r="T33" s="539"/>
      <c r="U33" s="539"/>
      <c r="V33" s="539"/>
      <c r="W33" s="539"/>
      <c r="X33" s="539"/>
      <c r="Y33" s="539"/>
      <c r="Z33" s="539"/>
      <c r="AA33" s="539"/>
      <c r="AB33" s="539"/>
      <c r="AC33" s="539"/>
      <c r="AD33" s="539"/>
      <c r="AE33" s="539"/>
      <c r="AF33" s="539"/>
      <c r="AG33" s="539"/>
      <c r="AH33" s="539"/>
      <c r="AI33" s="539"/>
      <c r="AJ33" s="540"/>
      <c r="AK33" s="259"/>
      <c r="AL33" s="259"/>
      <c r="AM33" s="259"/>
      <c r="AN33" s="259"/>
      <c r="AO33" s="259"/>
      <c r="AP33" s="259"/>
      <c r="AQ33" s="260"/>
    </row>
    <row r="34" spans="1:43" ht="25.5">
      <c r="A34" s="261"/>
      <c r="B34" s="262"/>
      <c r="C34" s="263" t="s">
        <v>416</v>
      </c>
      <c r="D34" s="264">
        <f t="shared" ref="D34:AH34" si="18">COUNTIF(D6:D17,"*值1*")+COUNTIF(D6:D17,"*值2*")+COUNTIF(D6:D17,"*夜*")</f>
        <v>3</v>
      </c>
      <c r="E34" s="264">
        <f t="shared" si="18"/>
        <v>2</v>
      </c>
      <c r="F34" s="264">
        <f t="shared" si="18"/>
        <v>3</v>
      </c>
      <c r="G34" s="264">
        <f t="shared" si="18"/>
        <v>2</v>
      </c>
      <c r="H34" s="264">
        <f t="shared" si="18"/>
        <v>2</v>
      </c>
      <c r="I34" s="264">
        <f t="shared" si="18"/>
        <v>0</v>
      </c>
      <c r="J34" s="264">
        <f t="shared" si="18"/>
        <v>0</v>
      </c>
      <c r="K34" s="264">
        <f t="shared" si="18"/>
        <v>0</v>
      </c>
      <c r="L34" s="264">
        <f t="shared" si="18"/>
        <v>0</v>
      </c>
      <c r="M34" s="264">
        <f t="shared" si="18"/>
        <v>0</v>
      </c>
      <c r="N34" s="264">
        <f t="shared" si="18"/>
        <v>0</v>
      </c>
      <c r="O34" s="264">
        <f t="shared" si="18"/>
        <v>0</v>
      </c>
      <c r="P34" s="264">
        <f t="shared" si="18"/>
        <v>0</v>
      </c>
      <c r="Q34" s="264">
        <f t="shared" si="18"/>
        <v>0</v>
      </c>
      <c r="R34" s="264">
        <f t="shared" si="18"/>
        <v>0</v>
      </c>
      <c r="S34" s="264">
        <f t="shared" si="18"/>
        <v>1</v>
      </c>
      <c r="T34" s="264">
        <f t="shared" si="18"/>
        <v>1</v>
      </c>
      <c r="U34" s="264">
        <f t="shared" si="18"/>
        <v>1</v>
      </c>
      <c r="V34" s="264">
        <f t="shared" si="18"/>
        <v>0</v>
      </c>
      <c r="W34" s="264">
        <f t="shared" si="18"/>
        <v>0</v>
      </c>
      <c r="X34" s="264">
        <f t="shared" si="18"/>
        <v>0</v>
      </c>
      <c r="Y34" s="264">
        <f t="shared" si="18"/>
        <v>0</v>
      </c>
      <c r="Z34" s="264">
        <f t="shared" si="18"/>
        <v>0</v>
      </c>
      <c r="AA34" s="264">
        <f t="shared" si="18"/>
        <v>0</v>
      </c>
      <c r="AB34" s="264">
        <f t="shared" si="18"/>
        <v>0</v>
      </c>
      <c r="AC34" s="264">
        <f t="shared" si="18"/>
        <v>0</v>
      </c>
      <c r="AD34" s="264">
        <f t="shared" si="18"/>
        <v>0</v>
      </c>
      <c r="AE34" s="264">
        <f t="shared" si="18"/>
        <v>0</v>
      </c>
      <c r="AF34" s="264">
        <f t="shared" si="18"/>
        <v>0</v>
      </c>
      <c r="AG34" s="264">
        <f t="shared" si="18"/>
        <v>0</v>
      </c>
      <c r="AH34" s="264">
        <f t="shared" si="18"/>
        <v>0</v>
      </c>
      <c r="AI34" s="265"/>
      <c r="AJ34" s="265"/>
      <c r="AK34" s="169"/>
      <c r="AL34" s="169"/>
      <c r="AM34" s="169"/>
      <c r="AN34" s="169"/>
      <c r="AO34" s="169"/>
      <c r="AP34" s="169"/>
      <c r="AQ34" s="170"/>
    </row>
  </sheetData>
  <mergeCells count="39">
    <mergeCell ref="A1:G1"/>
    <mergeCell ref="H1:AE2"/>
    <mergeCell ref="AF1:AJ2"/>
    <mergeCell ref="A2:G2"/>
    <mergeCell ref="A3:B5"/>
    <mergeCell ref="AI3:AJ4"/>
    <mergeCell ref="D25:AH25"/>
    <mergeCell ref="AK3:AK4"/>
    <mergeCell ref="AL3:AL7"/>
    <mergeCell ref="AM3:AM7"/>
    <mergeCell ref="AN3:AN7"/>
    <mergeCell ref="D7:AG7"/>
    <mergeCell ref="AQ3:AQ7"/>
    <mergeCell ref="D22:AH22"/>
    <mergeCell ref="D23:AH23"/>
    <mergeCell ref="D24:AH24"/>
    <mergeCell ref="AO3:AO7"/>
    <mergeCell ref="AP3:AP7"/>
    <mergeCell ref="D9:AH9"/>
    <mergeCell ref="D28:AH28"/>
    <mergeCell ref="AI30:AJ30"/>
    <mergeCell ref="A31:C32"/>
    <mergeCell ref="D31:H31"/>
    <mergeCell ref="I31:M31"/>
    <mergeCell ref="N31:R31"/>
    <mergeCell ref="S31:W31"/>
    <mergeCell ref="X31:AB31"/>
    <mergeCell ref="AC31:AH31"/>
    <mergeCell ref="AI31:AJ32"/>
    <mergeCell ref="B33:C33"/>
    <mergeCell ref="D33:H33"/>
    <mergeCell ref="I33:M33"/>
    <mergeCell ref="O33:AJ33"/>
    <mergeCell ref="D32:H32"/>
    <mergeCell ref="I32:M32"/>
    <mergeCell ref="N32:R32"/>
    <mergeCell ref="S32:W32"/>
    <mergeCell ref="X32:AB32"/>
    <mergeCell ref="AC32:AH3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00B050"/>
    <pageSetUpPr fitToPage="1"/>
  </sheetPr>
  <dimension ref="A1:AB129"/>
  <sheetViews>
    <sheetView topLeftCell="A9" workbookViewId="0">
      <selection activeCell="J33" sqref="J33:J34"/>
    </sheetView>
  </sheetViews>
  <sheetFormatPr defaultColWidth="9" defaultRowHeight="16.5"/>
  <cols>
    <col min="1" max="1" width="11.375" style="409" customWidth="1"/>
    <col min="2" max="15" width="7.625" style="409" customWidth="1"/>
    <col min="16" max="26" width="5.625" style="409" customWidth="1"/>
    <col min="27" max="27" width="5.625" style="42" customWidth="1"/>
    <col min="28" max="28" width="5.625" style="409" customWidth="1"/>
    <col min="29" max="29" width="9" style="409" customWidth="1"/>
    <col min="30" max="16384" width="9" style="409"/>
  </cols>
  <sheetData>
    <row r="1" spans="1:27" ht="30" customHeight="1">
      <c r="A1" s="623" t="s">
        <v>614</v>
      </c>
      <c r="B1" s="624"/>
      <c r="C1" s="624"/>
      <c r="D1" s="624"/>
      <c r="E1" s="624"/>
      <c r="F1" s="624"/>
      <c r="G1" s="624"/>
      <c r="H1" s="624"/>
      <c r="I1" s="624"/>
      <c r="J1" s="624"/>
      <c r="K1" s="624"/>
      <c r="L1" s="627" t="s">
        <v>613</v>
      </c>
      <c r="M1" s="627"/>
      <c r="N1" s="627"/>
      <c r="O1" s="628"/>
      <c r="AA1" s="409"/>
    </row>
    <row r="2" spans="1:27" ht="30" customHeight="1" thickBot="1">
      <c r="A2" s="625"/>
      <c r="B2" s="626"/>
      <c r="C2" s="626"/>
      <c r="D2" s="626"/>
      <c r="E2" s="626"/>
      <c r="F2" s="626"/>
      <c r="G2" s="626"/>
      <c r="H2" s="626"/>
      <c r="I2" s="626"/>
      <c r="J2" s="626"/>
      <c r="K2" s="626"/>
      <c r="L2" s="629"/>
      <c r="M2" s="629"/>
      <c r="N2" s="629"/>
      <c r="O2" s="630"/>
      <c r="AA2" s="409"/>
    </row>
    <row r="3" spans="1:27" s="412" customFormat="1" ht="49.5" customHeight="1" thickBot="1">
      <c r="A3" s="631" t="s">
        <v>516</v>
      </c>
      <c r="B3" s="632"/>
      <c r="C3" s="410" t="s">
        <v>120</v>
      </c>
      <c r="D3" s="410" t="s">
        <v>121</v>
      </c>
      <c r="E3" s="410" t="s">
        <v>517</v>
      </c>
      <c r="F3" s="410" t="s">
        <v>518</v>
      </c>
      <c r="G3" s="410" t="s">
        <v>124</v>
      </c>
      <c r="H3" s="410" t="s">
        <v>519</v>
      </c>
      <c r="I3" s="411" t="s">
        <v>520</v>
      </c>
      <c r="J3" s="633" t="s">
        <v>521</v>
      </c>
      <c r="K3" s="634"/>
      <c r="L3" s="634"/>
      <c r="M3" s="635"/>
      <c r="N3" s="636" t="s">
        <v>522</v>
      </c>
      <c r="O3" s="637"/>
    </row>
    <row r="4" spans="1:27" ht="20.100000000000001" customHeight="1" thickBot="1">
      <c r="A4" s="413" t="s">
        <v>582</v>
      </c>
      <c r="B4" s="414">
        <f>WEEKDAY(A4+1,2)</f>
        <v>6</v>
      </c>
      <c r="C4" s="415"/>
      <c r="D4" s="415"/>
      <c r="E4" s="415"/>
      <c r="F4" s="415"/>
      <c r="G4" s="415"/>
      <c r="H4" s="415"/>
      <c r="I4" s="416"/>
      <c r="J4" s="417" t="s">
        <v>524</v>
      </c>
      <c r="K4" s="418" t="s">
        <v>526</v>
      </c>
      <c r="L4" s="418" t="s">
        <v>523</v>
      </c>
      <c r="M4" s="419" t="s">
        <v>525</v>
      </c>
      <c r="N4" s="638"/>
      <c r="O4" s="639"/>
    </row>
    <row r="5" spans="1:27" ht="20.100000000000001" customHeight="1" thickBot="1">
      <c r="A5" s="413" t="s">
        <v>583</v>
      </c>
      <c r="B5" s="420">
        <f t="shared" ref="B5:B34" si="0">WEEKDAY(A5+1,2)</f>
        <v>7</v>
      </c>
      <c r="C5" s="421">
        <v>13</v>
      </c>
      <c r="D5" s="421">
        <v>32</v>
      </c>
      <c r="E5" s="421">
        <v>33</v>
      </c>
      <c r="F5" s="421">
        <v>20</v>
      </c>
      <c r="G5" s="421">
        <v>17</v>
      </c>
      <c r="H5" s="421">
        <v>21</v>
      </c>
      <c r="I5" s="422"/>
      <c r="J5" s="640"/>
      <c r="K5" s="641"/>
      <c r="L5" s="641"/>
      <c r="M5" s="641"/>
      <c r="N5" s="641"/>
      <c r="O5" s="642"/>
      <c r="P5" s="64"/>
    </row>
    <row r="6" spans="1:27" ht="20.100000000000001" customHeight="1" thickBot="1">
      <c r="A6" s="413" t="s">
        <v>584</v>
      </c>
      <c r="B6" s="420">
        <f t="shared" si="0"/>
        <v>1</v>
      </c>
      <c r="C6" s="423">
        <v>31</v>
      </c>
      <c r="D6" s="423">
        <v>22</v>
      </c>
      <c r="E6" s="423">
        <v>30</v>
      </c>
      <c r="F6" s="423">
        <v>29</v>
      </c>
      <c r="G6" s="423"/>
      <c r="H6" s="423"/>
      <c r="I6" s="424"/>
      <c r="J6" s="617"/>
      <c r="K6" s="618"/>
      <c r="L6" s="618"/>
      <c r="M6" s="618"/>
      <c r="N6" s="618"/>
      <c r="O6" s="619"/>
    </row>
    <row r="7" spans="1:27" s="425" customFormat="1" ht="20.100000000000001" customHeight="1" thickBot="1">
      <c r="A7" s="413" t="s">
        <v>585</v>
      </c>
      <c r="B7" s="420">
        <f t="shared" si="0"/>
        <v>2</v>
      </c>
      <c r="C7" s="421">
        <v>18</v>
      </c>
      <c r="D7" s="421">
        <v>21</v>
      </c>
      <c r="E7" s="421">
        <v>26</v>
      </c>
      <c r="F7" s="421">
        <v>15</v>
      </c>
      <c r="G7" s="421">
        <v>22</v>
      </c>
      <c r="H7" s="421">
        <v>17</v>
      </c>
      <c r="I7" s="422"/>
      <c r="J7" s="617"/>
      <c r="K7" s="618"/>
      <c r="L7" s="618"/>
      <c r="M7" s="618"/>
      <c r="N7" s="618"/>
      <c r="O7" s="619"/>
      <c r="AA7" s="110"/>
    </row>
    <row r="8" spans="1:27" ht="20.100000000000001" customHeight="1" thickBot="1">
      <c r="A8" s="413" t="s">
        <v>586</v>
      </c>
      <c r="B8" s="420">
        <f t="shared" si="0"/>
        <v>3</v>
      </c>
      <c r="C8" s="423">
        <v>18</v>
      </c>
      <c r="D8" s="423">
        <v>14</v>
      </c>
      <c r="E8" s="423">
        <v>13</v>
      </c>
      <c r="F8" s="423">
        <v>34</v>
      </c>
      <c r="G8" s="423">
        <v>33</v>
      </c>
      <c r="H8" s="423">
        <v>28</v>
      </c>
      <c r="I8" s="424"/>
      <c r="J8" s="617"/>
      <c r="K8" s="618"/>
      <c r="L8" s="618"/>
      <c r="M8" s="618"/>
      <c r="N8" s="618"/>
      <c r="O8" s="619"/>
    </row>
    <row r="9" spans="1:27" s="425" customFormat="1" ht="20.100000000000001" customHeight="1" thickBot="1">
      <c r="A9" s="413" t="s">
        <v>587</v>
      </c>
      <c r="B9" s="420">
        <f t="shared" si="0"/>
        <v>4</v>
      </c>
      <c r="C9" s="421"/>
      <c r="D9" s="421"/>
      <c r="E9" s="421"/>
      <c r="F9" s="421"/>
      <c r="G9" s="421"/>
      <c r="H9" s="421"/>
      <c r="I9" s="422"/>
      <c r="J9" s="617"/>
      <c r="K9" s="618"/>
      <c r="L9" s="618"/>
      <c r="M9" s="618"/>
      <c r="N9" s="618"/>
      <c r="O9" s="619"/>
      <c r="AA9" s="110"/>
    </row>
    <row r="10" spans="1:27" ht="20.100000000000001" customHeight="1" thickBot="1">
      <c r="A10" s="413" t="s">
        <v>588</v>
      </c>
      <c r="B10" s="420">
        <f t="shared" si="0"/>
        <v>5</v>
      </c>
      <c r="C10" s="423"/>
      <c r="D10" s="423"/>
      <c r="E10" s="423"/>
      <c r="F10" s="423"/>
      <c r="G10" s="423"/>
      <c r="H10" s="423"/>
      <c r="I10" s="424"/>
      <c r="J10" s="617"/>
      <c r="K10" s="618"/>
      <c r="L10" s="618"/>
      <c r="M10" s="618"/>
      <c r="N10" s="618"/>
      <c r="O10" s="619"/>
      <c r="T10" s="42"/>
    </row>
    <row r="11" spans="1:27" s="425" customFormat="1" ht="20.100000000000001" customHeight="1" thickBot="1">
      <c r="A11" s="413" t="s">
        <v>589</v>
      </c>
      <c r="B11" s="420">
        <f t="shared" si="0"/>
        <v>6</v>
      </c>
      <c r="C11" s="421"/>
      <c r="D11" s="421"/>
      <c r="E11" s="421"/>
      <c r="F11" s="421"/>
      <c r="G11" s="421"/>
      <c r="H11" s="421"/>
      <c r="I11" s="422"/>
      <c r="J11" s="617"/>
      <c r="K11" s="618"/>
      <c r="L11" s="618"/>
      <c r="M11" s="618"/>
      <c r="N11" s="618"/>
      <c r="O11" s="619"/>
      <c r="AA11" s="110"/>
    </row>
    <row r="12" spans="1:27" ht="20.100000000000001" customHeight="1" thickBot="1">
      <c r="A12" s="413" t="s">
        <v>590</v>
      </c>
      <c r="B12" s="420">
        <f t="shared" si="0"/>
        <v>7</v>
      </c>
      <c r="C12" s="423"/>
      <c r="D12" s="423"/>
      <c r="E12" s="423"/>
      <c r="F12" s="423"/>
      <c r="G12" s="423"/>
      <c r="H12" s="423"/>
      <c r="I12" s="424"/>
      <c r="J12" s="617"/>
      <c r="K12" s="618"/>
      <c r="L12" s="618"/>
      <c r="M12" s="618"/>
      <c r="N12" s="618"/>
      <c r="O12" s="619"/>
    </row>
    <row r="13" spans="1:27" s="425" customFormat="1" ht="20.100000000000001" customHeight="1" thickBot="1">
      <c r="A13" s="413" t="s">
        <v>591</v>
      </c>
      <c r="B13" s="420">
        <f t="shared" si="0"/>
        <v>1</v>
      </c>
      <c r="C13" s="421"/>
      <c r="D13" s="421"/>
      <c r="E13" s="421"/>
      <c r="F13" s="421"/>
      <c r="G13" s="421"/>
      <c r="H13" s="421"/>
      <c r="I13" s="422"/>
      <c r="J13" s="617"/>
      <c r="K13" s="618"/>
      <c r="L13" s="618"/>
      <c r="M13" s="618"/>
      <c r="N13" s="618"/>
      <c r="O13" s="619"/>
      <c r="AA13" s="110"/>
    </row>
    <row r="14" spans="1:27" ht="20.100000000000001" customHeight="1" thickBot="1">
      <c r="A14" s="413" t="s">
        <v>592</v>
      </c>
      <c r="B14" s="420">
        <f t="shared" si="0"/>
        <v>2</v>
      </c>
      <c r="C14" s="423"/>
      <c r="D14" s="423"/>
      <c r="E14" s="423"/>
      <c r="F14" s="423"/>
      <c r="G14" s="423"/>
      <c r="H14" s="423"/>
      <c r="I14" s="424"/>
      <c r="J14" s="617"/>
      <c r="K14" s="618"/>
      <c r="L14" s="618"/>
      <c r="M14" s="618"/>
      <c r="N14" s="618"/>
      <c r="O14" s="619"/>
      <c r="P14" s="42"/>
      <c r="Q14" s="42"/>
      <c r="R14" s="42"/>
      <c r="S14" s="42"/>
      <c r="T14" s="42"/>
      <c r="U14" s="42"/>
      <c r="V14" s="42"/>
      <c r="W14" s="426"/>
      <c r="X14" s="426"/>
      <c r="Y14" s="426"/>
      <c r="Z14" s="426"/>
    </row>
    <row r="15" spans="1:27" s="425" customFormat="1" ht="20.100000000000001" customHeight="1" thickBot="1">
      <c r="A15" s="413" t="s">
        <v>593</v>
      </c>
      <c r="B15" s="420">
        <f t="shared" si="0"/>
        <v>3</v>
      </c>
      <c r="C15" s="421"/>
      <c r="D15" s="421"/>
      <c r="E15" s="421"/>
      <c r="F15" s="421"/>
      <c r="G15" s="421"/>
      <c r="H15" s="421"/>
      <c r="I15" s="422"/>
      <c r="J15" s="617"/>
      <c r="K15" s="618"/>
      <c r="L15" s="618"/>
      <c r="M15" s="618"/>
      <c r="N15" s="618"/>
      <c r="O15" s="619"/>
      <c r="P15" s="110"/>
      <c r="Q15" s="110"/>
      <c r="R15" s="427"/>
      <c r="S15" s="110"/>
      <c r="T15" s="110"/>
      <c r="U15" s="110"/>
      <c r="V15" s="110"/>
      <c r="W15" s="427"/>
      <c r="X15" s="427"/>
      <c r="Y15" s="427"/>
      <c r="Z15" s="427"/>
      <c r="AA15" s="110"/>
    </row>
    <row r="16" spans="1:27" ht="20.100000000000001" customHeight="1" thickBot="1">
      <c r="A16" s="413" t="s">
        <v>594</v>
      </c>
      <c r="B16" s="420">
        <f t="shared" si="0"/>
        <v>4</v>
      </c>
      <c r="C16" s="423"/>
      <c r="D16" s="423"/>
      <c r="E16" s="423"/>
      <c r="F16" s="423"/>
      <c r="G16" s="423"/>
      <c r="H16" s="423"/>
      <c r="I16" s="424"/>
      <c r="J16" s="617"/>
      <c r="K16" s="618"/>
      <c r="L16" s="618"/>
      <c r="M16" s="618"/>
      <c r="N16" s="618"/>
      <c r="O16" s="619"/>
      <c r="P16" s="42"/>
      <c r="Q16" s="42"/>
      <c r="R16" s="42"/>
      <c r="S16" s="42"/>
      <c r="T16" s="42"/>
      <c r="U16" s="42"/>
      <c r="V16" s="42"/>
      <c r="W16" s="426"/>
      <c r="X16" s="426"/>
      <c r="Y16" s="426"/>
      <c r="Z16" s="426"/>
    </row>
    <row r="17" spans="1:28" s="425" customFormat="1" ht="20.100000000000001" customHeight="1" thickBot="1">
      <c r="A17" s="413" t="s">
        <v>595</v>
      </c>
      <c r="B17" s="420">
        <f t="shared" si="0"/>
        <v>5</v>
      </c>
      <c r="C17" s="421"/>
      <c r="D17" s="421"/>
      <c r="E17" s="421"/>
      <c r="F17" s="421"/>
      <c r="G17" s="421"/>
      <c r="H17" s="421"/>
      <c r="I17" s="422"/>
      <c r="J17" s="617"/>
      <c r="K17" s="618"/>
      <c r="L17" s="618"/>
      <c r="M17" s="618"/>
      <c r="N17" s="618"/>
      <c r="O17" s="619"/>
      <c r="P17" s="110"/>
      <c r="Q17" s="110"/>
      <c r="R17" s="110"/>
      <c r="S17" s="110"/>
      <c r="T17" s="110"/>
      <c r="U17" s="110"/>
      <c r="V17" s="110"/>
      <c r="W17" s="427"/>
      <c r="X17" s="427"/>
      <c r="Y17" s="110"/>
      <c r="Z17" s="110"/>
      <c r="AA17" s="110"/>
    </row>
    <row r="18" spans="1:28" s="428" customFormat="1" ht="20.100000000000001" customHeight="1" thickBot="1">
      <c r="A18" s="413" t="s">
        <v>596</v>
      </c>
      <c r="B18" s="420">
        <f t="shared" si="0"/>
        <v>6</v>
      </c>
      <c r="C18" s="423"/>
      <c r="D18" s="423"/>
      <c r="E18" s="423"/>
      <c r="F18" s="423"/>
      <c r="G18" s="423"/>
      <c r="H18" s="423"/>
      <c r="I18" s="424"/>
      <c r="J18" s="617"/>
      <c r="K18" s="618"/>
      <c r="L18" s="618"/>
      <c r="M18" s="618"/>
      <c r="N18" s="618"/>
      <c r="O18" s="619"/>
      <c r="P18" s="42"/>
      <c r="Q18" s="42"/>
      <c r="R18" s="42"/>
      <c r="S18" s="42"/>
      <c r="T18" s="42"/>
      <c r="U18" s="42"/>
      <c r="V18" s="42"/>
      <c r="W18" s="426"/>
      <c r="X18" s="426"/>
      <c r="Y18" s="42"/>
      <c r="Z18" s="42"/>
    </row>
    <row r="19" spans="1:28" s="429" customFormat="1" ht="20.100000000000001" customHeight="1" thickBot="1">
      <c r="A19" s="413" t="s">
        <v>597</v>
      </c>
      <c r="B19" s="420">
        <f t="shared" si="0"/>
        <v>7</v>
      </c>
      <c r="C19" s="421">
        <v>13</v>
      </c>
      <c r="D19" s="421">
        <v>20</v>
      </c>
      <c r="E19" s="421">
        <v>16</v>
      </c>
      <c r="F19" s="421">
        <v>15</v>
      </c>
      <c r="G19" s="421">
        <v>21</v>
      </c>
      <c r="H19" s="421">
        <v>17</v>
      </c>
      <c r="I19" s="422">
        <v>27</v>
      </c>
      <c r="J19" s="617"/>
      <c r="K19" s="618"/>
      <c r="L19" s="618"/>
      <c r="M19" s="618"/>
      <c r="N19" s="618"/>
      <c r="O19" s="619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</row>
    <row r="20" spans="1:28" s="428" customFormat="1" ht="20.100000000000001" customHeight="1" thickBot="1">
      <c r="A20" s="413" t="s">
        <v>598</v>
      </c>
      <c r="B20" s="420">
        <f t="shared" si="0"/>
        <v>1</v>
      </c>
      <c r="C20" s="423">
        <v>22</v>
      </c>
      <c r="D20" s="423">
        <v>20</v>
      </c>
      <c r="E20" s="423">
        <v>16</v>
      </c>
      <c r="F20" s="423">
        <v>25</v>
      </c>
      <c r="G20" s="423">
        <v>27</v>
      </c>
      <c r="H20" s="423">
        <v>21</v>
      </c>
      <c r="I20" s="424">
        <v>15</v>
      </c>
      <c r="J20" s="617"/>
      <c r="K20" s="618"/>
      <c r="L20" s="618"/>
      <c r="M20" s="618"/>
      <c r="N20" s="618"/>
      <c r="O20" s="619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8" s="110" customFormat="1" ht="20.100000000000001" customHeight="1" thickBot="1">
      <c r="A21" s="413" t="s">
        <v>599</v>
      </c>
      <c r="B21" s="420">
        <f t="shared" si="0"/>
        <v>2</v>
      </c>
      <c r="C21" s="421">
        <v>16</v>
      </c>
      <c r="D21" s="421">
        <v>18</v>
      </c>
      <c r="E21" s="421">
        <v>14</v>
      </c>
      <c r="F21" s="421">
        <v>15</v>
      </c>
      <c r="G21" s="421">
        <v>28</v>
      </c>
      <c r="H21" s="421">
        <v>19</v>
      </c>
      <c r="I21" s="422">
        <v>27</v>
      </c>
      <c r="J21" s="617"/>
      <c r="K21" s="618"/>
      <c r="L21" s="618"/>
      <c r="M21" s="618"/>
      <c r="N21" s="618"/>
      <c r="O21" s="619"/>
      <c r="AB21" s="425"/>
    </row>
    <row r="22" spans="1:28" s="42" customFormat="1" ht="20.100000000000001" customHeight="1" thickBot="1">
      <c r="A22" s="413" t="s">
        <v>600</v>
      </c>
      <c r="B22" s="420">
        <f t="shared" si="0"/>
        <v>3</v>
      </c>
      <c r="C22" s="423">
        <v>15</v>
      </c>
      <c r="D22" s="423">
        <v>16</v>
      </c>
      <c r="E22" s="423">
        <v>13</v>
      </c>
      <c r="F22" s="423">
        <v>19</v>
      </c>
      <c r="G22" s="423" t="s">
        <v>698</v>
      </c>
      <c r="H22" s="423" t="s">
        <v>699</v>
      </c>
      <c r="I22" s="424" t="s">
        <v>700</v>
      </c>
      <c r="J22" s="617"/>
      <c r="K22" s="618"/>
      <c r="L22" s="618"/>
      <c r="M22" s="618"/>
      <c r="N22" s="618"/>
      <c r="O22" s="619"/>
      <c r="AB22" s="409"/>
    </row>
    <row r="23" spans="1:28" s="110" customFormat="1" ht="20.100000000000001" customHeight="1" thickBot="1">
      <c r="A23" s="413" t="s">
        <v>601</v>
      </c>
      <c r="B23" s="420">
        <f t="shared" si="0"/>
        <v>4</v>
      </c>
      <c r="C23" s="421">
        <v>17</v>
      </c>
      <c r="D23" s="421">
        <v>28</v>
      </c>
      <c r="E23" s="421">
        <v>22</v>
      </c>
      <c r="F23" s="421">
        <v>18</v>
      </c>
      <c r="G23" s="421">
        <v>20</v>
      </c>
      <c r="H23" s="421">
        <v>16</v>
      </c>
      <c r="I23" s="422">
        <v>25</v>
      </c>
      <c r="J23" s="617"/>
      <c r="K23" s="618"/>
      <c r="L23" s="618"/>
      <c r="M23" s="618"/>
      <c r="N23" s="618"/>
      <c r="O23" s="619"/>
      <c r="AB23" s="425"/>
    </row>
    <row r="24" spans="1:28" s="42" customFormat="1" ht="20.100000000000001" customHeight="1" thickBot="1">
      <c r="A24" s="413" t="s">
        <v>602</v>
      </c>
      <c r="B24" s="420">
        <f t="shared" si="0"/>
        <v>5</v>
      </c>
      <c r="C24" s="423">
        <v>18</v>
      </c>
      <c r="D24" s="423">
        <v>16</v>
      </c>
      <c r="E24" s="423">
        <v>13</v>
      </c>
      <c r="F24" s="423">
        <v>15</v>
      </c>
      <c r="G24" s="423">
        <v>14</v>
      </c>
      <c r="H24" s="423">
        <v>23</v>
      </c>
      <c r="I24" s="424">
        <v>22</v>
      </c>
      <c r="J24" s="617"/>
      <c r="K24" s="618"/>
      <c r="L24" s="618"/>
      <c r="M24" s="618"/>
      <c r="N24" s="618"/>
      <c r="O24" s="619"/>
      <c r="AB24" s="409"/>
    </row>
    <row r="25" spans="1:28" s="110" customFormat="1" ht="20.100000000000001" customHeight="1" thickBot="1">
      <c r="A25" s="413" t="s">
        <v>603</v>
      </c>
      <c r="B25" s="420">
        <f t="shared" si="0"/>
        <v>6</v>
      </c>
      <c r="C25" s="421">
        <v>26</v>
      </c>
      <c r="D25" s="421">
        <v>28</v>
      </c>
      <c r="E25" s="421">
        <v>22</v>
      </c>
      <c r="F25" s="421">
        <v>31</v>
      </c>
      <c r="G25" s="421">
        <v>23</v>
      </c>
      <c r="H25" s="421">
        <v>27</v>
      </c>
      <c r="I25" s="422">
        <v>30</v>
      </c>
      <c r="J25" s="617"/>
      <c r="K25" s="618"/>
      <c r="L25" s="618"/>
      <c r="M25" s="618"/>
      <c r="N25" s="618"/>
      <c r="O25" s="619"/>
      <c r="AB25" s="425"/>
    </row>
    <row r="26" spans="1:28" s="430" customFormat="1" ht="20.100000000000001" customHeight="1" thickBot="1">
      <c r="A26" s="413" t="s">
        <v>604</v>
      </c>
      <c r="B26" s="420">
        <f t="shared" si="0"/>
        <v>7</v>
      </c>
      <c r="C26" s="423">
        <v>30</v>
      </c>
      <c r="D26" s="423">
        <v>23</v>
      </c>
      <c r="E26" s="423">
        <v>27</v>
      </c>
      <c r="F26" s="423">
        <v>31</v>
      </c>
      <c r="G26" s="423"/>
      <c r="H26" s="423"/>
      <c r="I26" s="424"/>
      <c r="J26" s="617"/>
      <c r="K26" s="618"/>
      <c r="L26" s="618"/>
      <c r="M26" s="618"/>
      <c r="N26" s="618"/>
      <c r="O26" s="619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8" s="431" customFormat="1" ht="20.100000000000001" customHeight="1" thickBot="1">
      <c r="A27" s="413" t="s">
        <v>605</v>
      </c>
      <c r="B27" s="420">
        <f t="shared" si="0"/>
        <v>1</v>
      </c>
      <c r="C27" s="421">
        <v>34</v>
      </c>
      <c r="D27" s="421">
        <v>24</v>
      </c>
      <c r="E27" s="421"/>
      <c r="F27" s="421"/>
      <c r="G27" s="421"/>
      <c r="H27" s="421"/>
      <c r="I27" s="422"/>
      <c r="J27" s="617"/>
      <c r="K27" s="618"/>
      <c r="L27" s="618"/>
      <c r="M27" s="618"/>
      <c r="N27" s="618"/>
      <c r="O27" s="6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</row>
    <row r="28" spans="1:28" s="430" customFormat="1" ht="20.100000000000001" customHeight="1" thickBot="1">
      <c r="A28" s="413" t="s">
        <v>606</v>
      </c>
      <c r="B28" s="420">
        <f t="shared" si="0"/>
        <v>2</v>
      </c>
      <c r="C28" s="423">
        <v>24</v>
      </c>
      <c r="D28" s="423">
        <v>27</v>
      </c>
      <c r="E28" s="423">
        <v>23</v>
      </c>
      <c r="F28" s="423"/>
      <c r="G28" s="423"/>
      <c r="H28" s="423"/>
      <c r="I28" s="424"/>
      <c r="J28" s="617"/>
      <c r="K28" s="618"/>
      <c r="L28" s="618"/>
      <c r="M28" s="618"/>
      <c r="N28" s="618"/>
      <c r="O28" s="619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8" s="431" customFormat="1" ht="20.100000000000001" customHeight="1" thickBot="1">
      <c r="A29" s="413" t="s">
        <v>607</v>
      </c>
      <c r="B29" s="420">
        <f t="shared" si="0"/>
        <v>3</v>
      </c>
      <c r="C29" s="421"/>
      <c r="D29" s="421"/>
      <c r="E29" s="421"/>
      <c r="F29" s="421"/>
      <c r="G29" s="421"/>
      <c r="H29" s="421"/>
      <c r="I29" s="422"/>
      <c r="J29" s="617"/>
      <c r="K29" s="618"/>
      <c r="L29" s="618"/>
      <c r="M29" s="618"/>
      <c r="N29" s="618"/>
      <c r="O29" s="619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</row>
    <row r="30" spans="1:28" s="430" customFormat="1" ht="20.100000000000001" customHeight="1" thickBot="1">
      <c r="A30" s="413" t="s">
        <v>608</v>
      </c>
      <c r="B30" s="420">
        <f t="shared" si="0"/>
        <v>4</v>
      </c>
      <c r="C30" s="423"/>
      <c r="D30" s="423"/>
      <c r="E30" s="423"/>
      <c r="F30" s="423"/>
      <c r="G30" s="423"/>
      <c r="H30" s="423"/>
      <c r="I30" s="424"/>
      <c r="J30" s="617"/>
      <c r="K30" s="618"/>
      <c r="L30" s="618"/>
      <c r="M30" s="618"/>
      <c r="N30" s="618"/>
      <c r="O30" s="619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8" s="431" customFormat="1" ht="20.100000000000001" customHeight="1" thickBot="1">
      <c r="A31" s="413" t="s">
        <v>609</v>
      </c>
      <c r="B31" s="420">
        <f t="shared" si="0"/>
        <v>5</v>
      </c>
      <c r="C31" s="421"/>
      <c r="D31" s="421"/>
      <c r="E31" s="421"/>
      <c r="F31" s="421"/>
      <c r="G31" s="421"/>
      <c r="H31" s="421"/>
      <c r="I31" s="422"/>
      <c r="J31" s="617"/>
      <c r="K31" s="618"/>
      <c r="L31" s="618"/>
      <c r="M31" s="618"/>
      <c r="N31" s="618"/>
      <c r="O31" s="619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</row>
    <row r="32" spans="1:28" s="430" customFormat="1" ht="20.100000000000001" customHeight="1" thickBot="1">
      <c r="A32" s="413" t="s">
        <v>610</v>
      </c>
      <c r="B32" s="420">
        <f t="shared" si="0"/>
        <v>6</v>
      </c>
      <c r="C32" s="423"/>
      <c r="D32" s="423"/>
      <c r="E32" s="423"/>
      <c r="F32" s="423"/>
      <c r="G32" s="423"/>
      <c r="H32" s="423"/>
      <c r="I32" s="424"/>
      <c r="J32" s="617"/>
      <c r="K32" s="618"/>
      <c r="L32" s="618"/>
      <c r="M32" s="618"/>
      <c r="N32" s="618"/>
      <c r="O32" s="619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8" s="110" customFormat="1" ht="20.100000000000001" customHeight="1" thickBot="1">
      <c r="A33" s="413" t="s">
        <v>611</v>
      </c>
      <c r="B33" s="420">
        <f t="shared" si="0"/>
        <v>7</v>
      </c>
      <c r="C33" s="421">
        <v>16</v>
      </c>
      <c r="D33" s="421">
        <v>17</v>
      </c>
      <c r="E33" s="421">
        <v>9</v>
      </c>
      <c r="F33" s="421">
        <v>11</v>
      </c>
      <c r="G33" s="421">
        <v>19</v>
      </c>
      <c r="H33" s="421">
        <v>4</v>
      </c>
      <c r="I33" s="422">
        <v>12</v>
      </c>
      <c r="J33" s="617"/>
      <c r="K33" s="618"/>
      <c r="L33" s="618"/>
      <c r="M33" s="618"/>
      <c r="N33" s="618"/>
      <c r="O33" s="619"/>
      <c r="AB33" s="425"/>
    </row>
    <row r="34" spans="1:28" s="42" customFormat="1" ht="20.100000000000001" customHeight="1">
      <c r="A34" s="470" t="s">
        <v>612</v>
      </c>
      <c r="B34" s="471">
        <f t="shared" si="0"/>
        <v>1</v>
      </c>
      <c r="C34" s="472">
        <v>18</v>
      </c>
      <c r="D34" s="472">
        <v>9</v>
      </c>
      <c r="E34" s="472">
        <v>30</v>
      </c>
      <c r="F34" s="472">
        <v>2</v>
      </c>
      <c r="G34" s="472">
        <v>4</v>
      </c>
      <c r="H34" s="472">
        <v>12</v>
      </c>
      <c r="I34" s="473">
        <v>6</v>
      </c>
      <c r="J34" s="620"/>
      <c r="K34" s="621"/>
      <c r="L34" s="621"/>
      <c r="M34" s="621"/>
      <c r="N34" s="621"/>
      <c r="O34" s="622"/>
      <c r="AB34" s="409"/>
    </row>
    <row r="35" spans="1:28" s="42" customFormat="1" ht="20.100000000000001" customHeight="1">
      <c r="A35" s="474" t="s">
        <v>527</v>
      </c>
      <c r="B35" s="475">
        <v>11</v>
      </c>
      <c r="C35" s="475">
        <f>B35+1</f>
        <v>12</v>
      </c>
      <c r="D35" s="475">
        <f t="shared" ref="D35:O35" si="1">C35+1</f>
        <v>13</v>
      </c>
      <c r="E35" s="475">
        <f t="shared" si="1"/>
        <v>14</v>
      </c>
      <c r="F35" s="475">
        <f t="shared" si="1"/>
        <v>15</v>
      </c>
      <c r="G35" s="475">
        <f t="shared" si="1"/>
        <v>16</v>
      </c>
      <c r="H35" s="475">
        <f t="shared" si="1"/>
        <v>17</v>
      </c>
      <c r="I35" s="475">
        <f t="shared" si="1"/>
        <v>18</v>
      </c>
      <c r="J35" s="475">
        <f t="shared" si="1"/>
        <v>19</v>
      </c>
      <c r="K35" s="475">
        <f t="shared" si="1"/>
        <v>20</v>
      </c>
      <c r="L35" s="475">
        <f t="shared" si="1"/>
        <v>21</v>
      </c>
      <c r="M35" s="475">
        <f t="shared" si="1"/>
        <v>22</v>
      </c>
      <c r="N35" s="475">
        <f t="shared" si="1"/>
        <v>23</v>
      </c>
      <c r="O35" s="475">
        <f t="shared" si="1"/>
        <v>24</v>
      </c>
      <c r="P35" s="409"/>
      <c r="Q35" s="432"/>
      <c r="R35" s="432"/>
      <c r="S35" s="409"/>
      <c r="T35" s="409"/>
      <c r="U35" s="409"/>
      <c r="V35" s="409"/>
      <c r="W35" s="409"/>
      <c r="X35" s="409"/>
      <c r="Y35" s="409"/>
      <c r="Z35" s="409"/>
      <c r="AB35" s="409"/>
    </row>
    <row r="36" spans="1:28" s="42" customFormat="1" ht="20.100000000000001" customHeight="1">
      <c r="A36" s="474" t="s">
        <v>528</v>
      </c>
      <c r="B36" s="476" t="str">
        <f>VLOOKUP(B35,役男大表!$A$1:$B$69,2)</f>
        <v>梁展碩</v>
      </c>
      <c r="C36" s="476" t="str">
        <f>VLOOKUP(C35,役男大表!$A$1:$B$69,2)</f>
        <v>何奕諠</v>
      </c>
      <c r="D36" s="476" t="str">
        <f>VLOOKUP(D35,役男大表!$A$1:$B$69,2)</f>
        <v>楊瑞麟</v>
      </c>
      <c r="E36" s="476" t="str">
        <f>VLOOKUP(E35,役男大表!$A$1:$B$69,2)</f>
        <v>鄭品豪</v>
      </c>
      <c r="F36" s="476" t="str">
        <f>VLOOKUP(F35,役男大表!$A$1:$B$69,2)</f>
        <v>林晉弘</v>
      </c>
      <c r="G36" s="476" t="str">
        <f>VLOOKUP(G35,役男大表!$A$1:$B$69,2)</f>
        <v>張恩齊</v>
      </c>
      <c r="H36" s="476" t="str">
        <f>VLOOKUP(H35,役男大表!$A$1:$B$69,2)</f>
        <v>周承澔</v>
      </c>
      <c r="I36" s="476" t="str">
        <f>VLOOKUP(I35,役男大表!$A$1:$B$69,2)</f>
        <v>蔡政倫</v>
      </c>
      <c r="J36" s="476" t="str">
        <f>VLOOKUP(J35,役男大表!$A$1:$B$69,2)</f>
        <v>蕭敬哲</v>
      </c>
      <c r="K36" s="476" t="str">
        <f>VLOOKUP(K35,役男大表!$A$1:$B$69,2)</f>
        <v>楊鈞翔</v>
      </c>
      <c r="L36" s="476" t="str">
        <f>VLOOKUP(L35,役男大表!$A$1:$B$69,2)</f>
        <v>邱俊閎</v>
      </c>
      <c r="M36" s="476" t="str">
        <f>VLOOKUP(M35,役男大表!$A$1:$B$69,2)</f>
        <v>邱俊閎</v>
      </c>
      <c r="N36" s="476" t="str">
        <f>VLOOKUP(N35,役男大表!$A$1:$B$69,2)</f>
        <v>邱俊閎</v>
      </c>
      <c r="O36" s="476" t="str">
        <f>VLOOKUP(O35,役男大表!$A$1:$B$69,2)</f>
        <v>邱俊閎</v>
      </c>
      <c r="P36" s="409"/>
      <c r="Q36" s="432"/>
      <c r="R36" s="432"/>
      <c r="S36" s="409"/>
      <c r="T36" s="409"/>
      <c r="U36" s="409"/>
      <c r="V36" s="409"/>
      <c r="W36" s="409"/>
      <c r="X36" s="409"/>
      <c r="Y36" s="409"/>
      <c r="Z36" s="409"/>
      <c r="AB36" s="409"/>
    </row>
    <row r="37" spans="1:28" s="42" customFormat="1" ht="20.100000000000001" customHeight="1">
      <c r="A37" s="474" t="s">
        <v>529</v>
      </c>
      <c r="B37" s="436">
        <f t="shared" ref="B37:O37" si="2">COUNTIF($C$4:$N$34,B35)</f>
        <v>1</v>
      </c>
      <c r="C37" s="436">
        <f t="shared" si="2"/>
        <v>2</v>
      </c>
      <c r="D37" s="436">
        <f t="shared" si="2"/>
        <v>5</v>
      </c>
      <c r="E37" s="436">
        <f t="shared" si="2"/>
        <v>3</v>
      </c>
      <c r="F37" s="436">
        <f t="shared" si="2"/>
        <v>6</v>
      </c>
      <c r="G37" s="436">
        <f t="shared" si="2"/>
        <v>7</v>
      </c>
      <c r="H37" s="436">
        <f t="shared" si="2"/>
        <v>5</v>
      </c>
      <c r="I37" s="436">
        <f t="shared" si="2"/>
        <v>6</v>
      </c>
      <c r="J37" s="436">
        <f t="shared" si="2"/>
        <v>3</v>
      </c>
      <c r="K37" s="436">
        <f t="shared" si="2"/>
        <v>4</v>
      </c>
      <c r="L37" s="436">
        <f t="shared" si="2"/>
        <v>4</v>
      </c>
      <c r="M37" s="436">
        <f t="shared" si="2"/>
        <v>6</v>
      </c>
      <c r="N37" s="436">
        <f t="shared" si="2"/>
        <v>4</v>
      </c>
      <c r="O37" s="436">
        <f t="shared" si="2"/>
        <v>2</v>
      </c>
      <c r="P37" s="409"/>
      <c r="Q37" s="432"/>
      <c r="R37" s="409"/>
      <c r="S37" s="409"/>
      <c r="T37" s="409"/>
      <c r="U37" s="409"/>
      <c r="V37" s="409"/>
      <c r="W37" s="409"/>
      <c r="X37" s="409"/>
      <c r="Y37" s="409"/>
      <c r="Z37" s="409"/>
      <c r="AB37" s="409"/>
    </row>
    <row r="38" spans="1:28" s="42" customFormat="1" ht="20.100000000000001" customHeight="1">
      <c r="A38" s="474" t="s">
        <v>530</v>
      </c>
      <c r="B38" s="477" t="str">
        <f t="shared" ref="B38:O38" si="3">B37*2 &amp;  "小時"</f>
        <v>2小時</v>
      </c>
      <c r="C38" s="477" t="str">
        <f t="shared" si="3"/>
        <v>4小時</v>
      </c>
      <c r="D38" s="477" t="str">
        <f t="shared" si="3"/>
        <v>10小時</v>
      </c>
      <c r="E38" s="477" t="str">
        <f t="shared" si="3"/>
        <v>6小時</v>
      </c>
      <c r="F38" s="477" t="str">
        <f t="shared" si="3"/>
        <v>12小時</v>
      </c>
      <c r="G38" s="477" t="str">
        <f t="shared" si="3"/>
        <v>14小時</v>
      </c>
      <c r="H38" s="477" t="str">
        <f t="shared" si="3"/>
        <v>10小時</v>
      </c>
      <c r="I38" s="477" t="str">
        <f t="shared" si="3"/>
        <v>12小時</v>
      </c>
      <c r="J38" s="477" t="str">
        <f t="shared" si="3"/>
        <v>6小時</v>
      </c>
      <c r="K38" s="477" t="str">
        <f t="shared" si="3"/>
        <v>8小時</v>
      </c>
      <c r="L38" s="477" t="str">
        <f t="shared" si="3"/>
        <v>8小時</v>
      </c>
      <c r="M38" s="477" t="str">
        <f t="shared" si="3"/>
        <v>12小時</v>
      </c>
      <c r="N38" s="477" t="str">
        <f t="shared" si="3"/>
        <v>8小時</v>
      </c>
      <c r="O38" s="477" t="str">
        <f t="shared" si="3"/>
        <v>4小時</v>
      </c>
      <c r="P38" s="409"/>
      <c r="Q38" s="409"/>
      <c r="R38" s="409"/>
      <c r="S38" s="409"/>
      <c r="T38" s="409"/>
      <c r="U38" s="409"/>
      <c r="V38" s="409"/>
      <c r="W38" s="409"/>
      <c r="X38" s="409"/>
      <c r="Y38" s="409"/>
      <c r="Z38" s="409"/>
      <c r="AB38" s="409"/>
    </row>
    <row r="39" spans="1:28" s="42" customFormat="1" ht="20.100000000000001" customHeight="1">
      <c r="A39" s="474" t="s">
        <v>527</v>
      </c>
      <c r="B39" s="475">
        <f>O35+1</f>
        <v>25</v>
      </c>
      <c r="C39" s="475">
        <f>B39+1</f>
        <v>26</v>
      </c>
      <c r="D39" s="475">
        <f t="shared" ref="D39:O39" si="4">C39+1</f>
        <v>27</v>
      </c>
      <c r="E39" s="475">
        <f t="shared" si="4"/>
        <v>28</v>
      </c>
      <c r="F39" s="475">
        <f t="shared" si="4"/>
        <v>29</v>
      </c>
      <c r="G39" s="475">
        <f t="shared" si="4"/>
        <v>30</v>
      </c>
      <c r="H39" s="475">
        <f t="shared" si="4"/>
        <v>31</v>
      </c>
      <c r="I39" s="475">
        <f t="shared" si="4"/>
        <v>32</v>
      </c>
      <c r="J39" s="475">
        <f t="shared" si="4"/>
        <v>33</v>
      </c>
      <c r="K39" s="475">
        <f t="shared" si="4"/>
        <v>34</v>
      </c>
      <c r="L39" s="475">
        <f t="shared" si="4"/>
        <v>35</v>
      </c>
      <c r="M39" s="475">
        <f t="shared" si="4"/>
        <v>36</v>
      </c>
      <c r="N39" s="475">
        <f t="shared" si="4"/>
        <v>37</v>
      </c>
      <c r="O39" s="475">
        <f t="shared" si="4"/>
        <v>38</v>
      </c>
      <c r="P39" s="409"/>
      <c r="Q39" s="432"/>
      <c r="R39" s="432"/>
      <c r="S39" s="409"/>
      <c r="T39" s="409"/>
      <c r="U39" s="409"/>
      <c r="V39" s="409"/>
      <c r="W39" s="409"/>
      <c r="X39" s="409"/>
      <c r="Y39" s="409"/>
      <c r="Z39" s="409"/>
      <c r="AB39" s="409"/>
    </row>
    <row r="40" spans="1:28" s="42" customFormat="1" ht="20.100000000000001" customHeight="1">
      <c r="A40" s="474" t="s">
        <v>531</v>
      </c>
      <c r="B40" s="476" t="str">
        <f>VLOOKUP(B39,役男大表!$A$1:$B$69,2)</f>
        <v>邱俊閎</v>
      </c>
      <c r="C40" s="476" t="str">
        <f>VLOOKUP(C39,役男大表!$A$1:$B$69,2)</f>
        <v>邱俊閎</v>
      </c>
      <c r="D40" s="476" t="str">
        <f>VLOOKUP(D39,役男大表!$A$1:$B$69,2)</f>
        <v>邱俊閎</v>
      </c>
      <c r="E40" s="476" t="str">
        <f>VLOOKUP(E39,役男大表!$A$1:$B$69,2)</f>
        <v>邱俊閎</v>
      </c>
      <c r="F40" s="476" t="str">
        <f>VLOOKUP(F39,役男大表!$A$1:$B$69,2)</f>
        <v>邱俊閎</v>
      </c>
      <c r="G40" s="476" t="str">
        <f>VLOOKUP(G39,役男大表!$A$1:$B$69,2)</f>
        <v>邱俊閎</v>
      </c>
      <c r="H40" s="476" t="str">
        <f>VLOOKUP(H39,役男大表!$A$1:$B$69,2)</f>
        <v>邱俊閎</v>
      </c>
      <c r="I40" s="476" t="str">
        <f>VLOOKUP(I39,役男大表!$A$1:$B$69,2)</f>
        <v>邱俊閎</v>
      </c>
      <c r="J40" s="476" t="str">
        <f>VLOOKUP(J39,役男大表!$A$1:$B$69,2)</f>
        <v>邱俊閎</v>
      </c>
      <c r="K40" s="476" t="s">
        <v>623</v>
      </c>
      <c r="L40" s="476"/>
      <c r="M40" s="476"/>
      <c r="N40" s="476"/>
      <c r="O40" s="476"/>
      <c r="P40" s="409"/>
      <c r="Q40" s="409"/>
      <c r="R40" s="409"/>
      <c r="S40" s="409"/>
      <c r="T40" s="409"/>
      <c r="U40" s="409"/>
      <c r="V40" s="409"/>
      <c r="W40" s="409"/>
      <c r="X40" s="409"/>
      <c r="Y40" s="409"/>
      <c r="Z40" s="409"/>
      <c r="AB40" s="409"/>
    </row>
    <row r="41" spans="1:28" s="42" customFormat="1" ht="20.100000000000001" customHeight="1">
      <c r="A41" s="474" t="s">
        <v>532</v>
      </c>
      <c r="B41" s="436">
        <f>COUNTIF($C$4:$N$34,B39)</f>
        <v>2</v>
      </c>
      <c r="C41" s="436">
        <f t="shared" ref="C41:O41" si="5">COUNTIF($C$4:$N$34,C39)</f>
        <v>2</v>
      </c>
      <c r="D41" s="436">
        <f t="shared" si="5"/>
        <v>6</v>
      </c>
      <c r="E41" s="436">
        <f t="shared" si="5"/>
        <v>4</v>
      </c>
      <c r="F41" s="436">
        <f t="shared" si="5"/>
        <v>1</v>
      </c>
      <c r="G41" s="436">
        <f t="shared" si="5"/>
        <v>4</v>
      </c>
      <c r="H41" s="436">
        <f t="shared" si="5"/>
        <v>3</v>
      </c>
      <c r="I41" s="436">
        <f t="shared" si="5"/>
        <v>1</v>
      </c>
      <c r="J41" s="436">
        <f t="shared" si="5"/>
        <v>2</v>
      </c>
      <c r="K41" s="436">
        <f t="shared" si="5"/>
        <v>2</v>
      </c>
      <c r="L41" s="436">
        <f t="shared" si="5"/>
        <v>0</v>
      </c>
      <c r="M41" s="436">
        <f t="shared" si="5"/>
        <v>0</v>
      </c>
      <c r="N41" s="436">
        <f t="shared" si="5"/>
        <v>0</v>
      </c>
      <c r="O41" s="436">
        <f t="shared" si="5"/>
        <v>0</v>
      </c>
      <c r="P41" s="409"/>
      <c r="Q41" s="409"/>
      <c r="R41" s="409"/>
      <c r="S41" s="409"/>
      <c r="T41" s="409"/>
      <c r="U41" s="409"/>
      <c r="V41" s="409"/>
      <c r="W41" s="409"/>
      <c r="X41" s="409"/>
      <c r="Y41" s="409"/>
      <c r="Z41" s="409"/>
      <c r="AB41" s="409"/>
    </row>
    <row r="42" spans="1:28" s="42" customFormat="1" ht="20.100000000000001" customHeight="1">
      <c r="A42" s="474" t="s">
        <v>530</v>
      </c>
      <c r="B42" s="477" t="str">
        <f>B41*2 &amp;  "小時"</f>
        <v>4小時</v>
      </c>
      <c r="C42" s="477" t="str">
        <f t="shared" ref="C42:O42" si="6">C41*2 &amp;  "小時"</f>
        <v>4小時</v>
      </c>
      <c r="D42" s="477" t="str">
        <f t="shared" si="6"/>
        <v>12小時</v>
      </c>
      <c r="E42" s="477" t="str">
        <f t="shared" si="6"/>
        <v>8小時</v>
      </c>
      <c r="F42" s="477" t="str">
        <f t="shared" si="6"/>
        <v>2小時</v>
      </c>
      <c r="G42" s="477" t="str">
        <f t="shared" si="6"/>
        <v>8小時</v>
      </c>
      <c r="H42" s="477" t="str">
        <f t="shared" si="6"/>
        <v>6小時</v>
      </c>
      <c r="I42" s="477" t="str">
        <f t="shared" si="6"/>
        <v>2小時</v>
      </c>
      <c r="J42" s="477" t="str">
        <f t="shared" si="6"/>
        <v>4小時</v>
      </c>
      <c r="K42" s="477" t="str">
        <f t="shared" si="6"/>
        <v>4小時</v>
      </c>
      <c r="L42" s="477" t="str">
        <f t="shared" si="6"/>
        <v>0小時</v>
      </c>
      <c r="M42" s="477" t="str">
        <f t="shared" si="6"/>
        <v>0小時</v>
      </c>
      <c r="N42" s="477" t="str">
        <f t="shared" si="6"/>
        <v>0小時</v>
      </c>
      <c r="O42" s="477" t="str">
        <f t="shared" si="6"/>
        <v>0小時</v>
      </c>
      <c r="P42" s="409"/>
      <c r="Q42" s="409"/>
      <c r="R42" s="409"/>
      <c r="S42" s="409"/>
      <c r="T42" s="409"/>
      <c r="U42" s="409"/>
      <c r="V42" s="409"/>
      <c r="W42" s="409"/>
      <c r="X42" s="409"/>
      <c r="Y42" s="409"/>
      <c r="Z42" s="409"/>
      <c r="AB42" s="409"/>
    </row>
    <row r="43" spans="1:28" s="42" customFormat="1" ht="20.100000000000001" customHeight="1">
      <c r="A43" s="474" t="s">
        <v>527</v>
      </c>
      <c r="B43" s="475">
        <f>O39+1</f>
        <v>39</v>
      </c>
      <c r="C43" s="475">
        <f>B43+1</f>
        <v>40</v>
      </c>
      <c r="D43" s="475">
        <f t="shared" ref="D43:O43" si="7">C43+1</f>
        <v>41</v>
      </c>
      <c r="E43" s="475">
        <f t="shared" si="7"/>
        <v>42</v>
      </c>
      <c r="F43" s="475">
        <f t="shared" si="7"/>
        <v>43</v>
      </c>
      <c r="G43" s="475">
        <f t="shared" si="7"/>
        <v>44</v>
      </c>
      <c r="H43" s="475">
        <f t="shared" si="7"/>
        <v>45</v>
      </c>
      <c r="I43" s="475">
        <f t="shared" si="7"/>
        <v>46</v>
      </c>
      <c r="J43" s="475">
        <f t="shared" si="7"/>
        <v>47</v>
      </c>
      <c r="K43" s="475">
        <f t="shared" si="7"/>
        <v>48</v>
      </c>
      <c r="L43" s="475">
        <f t="shared" si="7"/>
        <v>49</v>
      </c>
      <c r="M43" s="475">
        <f t="shared" si="7"/>
        <v>50</v>
      </c>
      <c r="N43" s="475">
        <f t="shared" si="7"/>
        <v>51</v>
      </c>
      <c r="O43" s="475">
        <f t="shared" si="7"/>
        <v>52</v>
      </c>
      <c r="P43" s="409"/>
      <c r="Q43" s="409"/>
      <c r="R43" s="409"/>
      <c r="S43" s="409"/>
      <c r="T43" s="409"/>
      <c r="U43" s="409"/>
      <c r="V43" s="409"/>
      <c r="W43" s="409"/>
      <c r="X43" s="409"/>
      <c r="Y43" s="409"/>
      <c r="Z43" s="409"/>
      <c r="AB43" s="409"/>
    </row>
    <row r="44" spans="1:28" s="42" customFormat="1" ht="20.100000000000001" customHeight="1">
      <c r="A44" s="474" t="s">
        <v>528</v>
      </c>
      <c r="B44" s="434"/>
      <c r="C44" s="435"/>
      <c r="D44" s="434"/>
      <c r="E44" s="434"/>
      <c r="F44" s="433"/>
      <c r="G44" s="433"/>
      <c r="H44" s="433"/>
      <c r="I44" s="433"/>
      <c r="J44" s="433"/>
      <c r="K44" s="433"/>
      <c r="L44" s="433"/>
      <c r="M44" s="433"/>
      <c r="N44" s="433"/>
      <c r="O44" s="433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B44" s="409"/>
    </row>
    <row r="45" spans="1:28" s="428" customFormat="1" ht="20.100000000000001" customHeight="1">
      <c r="A45" s="474" t="s">
        <v>532</v>
      </c>
      <c r="B45" s="436">
        <f>COUNTIF($C$4:$N$34,#REF!)</f>
        <v>0</v>
      </c>
      <c r="C45" s="436">
        <f>COUNTIF($C$4:$N$34,#REF!)</f>
        <v>0</v>
      </c>
      <c r="D45" s="436">
        <f>COUNTIF($C$4:$N$34,#REF!)</f>
        <v>0</v>
      </c>
      <c r="E45" s="436">
        <f>COUNTIF($C$4:$N$34,#REF!)</f>
        <v>0</v>
      </c>
      <c r="F45" s="436">
        <f>COUNTIF($C$4:$N$34,#REF!)</f>
        <v>0</v>
      </c>
      <c r="G45" s="436">
        <f t="shared" ref="G45" si="8">COUNTIF($C$4:$N$34,G43)</f>
        <v>0</v>
      </c>
      <c r="H45" s="436">
        <f>COUNTIF($C$4:$N$34,#REF!)</f>
        <v>0</v>
      </c>
      <c r="I45" s="436">
        <f>COUNTIF($C$4:$N$34,#REF!)</f>
        <v>0</v>
      </c>
      <c r="J45" s="436"/>
      <c r="K45" s="436"/>
      <c r="L45" s="436"/>
      <c r="M45" s="436"/>
      <c r="N45" s="436"/>
      <c r="O45" s="436"/>
    </row>
    <row r="46" spans="1:28" s="42" customFormat="1" ht="20.100000000000001" customHeight="1">
      <c r="A46" s="474" t="s">
        <v>530</v>
      </c>
      <c r="B46" s="477" t="str">
        <f>B45*2 &amp;  "小時"</f>
        <v>0小時</v>
      </c>
      <c r="C46" s="477" t="str">
        <f t="shared" ref="C46:I46" si="9">C45*2 &amp;  "小時"</f>
        <v>0小時</v>
      </c>
      <c r="D46" s="477" t="str">
        <f t="shared" si="9"/>
        <v>0小時</v>
      </c>
      <c r="E46" s="477" t="str">
        <f t="shared" si="9"/>
        <v>0小時</v>
      </c>
      <c r="F46" s="477" t="str">
        <f t="shared" si="9"/>
        <v>0小時</v>
      </c>
      <c r="G46" s="477" t="str">
        <f t="shared" si="9"/>
        <v>0小時</v>
      </c>
      <c r="H46" s="477" t="str">
        <f t="shared" si="9"/>
        <v>0小時</v>
      </c>
      <c r="I46" s="477" t="str">
        <f t="shared" si="9"/>
        <v>0小時</v>
      </c>
      <c r="J46" s="477"/>
      <c r="K46" s="477"/>
      <c r="L46" s="477"/>
      <c r="M46" s="477"/>
      <c r="N46" s="477"/>
      <c r="O46" s="477"/>
      <c r="P46" s="409"/>
      <c r="Q46" s="409"/>
      <c r="R46" s="409"/>
      <c r="S46" s="409"/>
      <c r="T46" s="409"/>
      <c r="U46" s="409"/>
      <c r="V46" s="409"/>
      <c r="W46" s="409"/>
      <c r="X46" s="409"/>
      <c r="Y46" s="409"/>
      <c r="Z46" s="409"/>
      <c r="AB46" s="409"/>
    </row>
    <row r="47" spans="1:28" s="42" customFormat="1" ht="21.95" customHeight="1">
      <c r="B47" s="437"/>
      <c r="C47" s="437"/>
      <c r="D47" s="437"/>
      <c r="E47" s="437"/>
      <c r="F47" s="437"/>
      <c r="G47" s="437"/>
      <c r="H47" s="437"/>
      <c r="I47" s="437"/>
      <c r="J47" s="437"/>
      <c r="K47" s="437"/>
      <c r="L47" s="437"/>
      <c r="M47" s="437"/>
      <c r="N47" s="437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B47" s="409"/>
    </row>
    <row r="48" spans="1:28" s="42" customFormat="1" ht="21.95" customHeight="1">
      <c r="B48" s="428"/>
      <c r="C48" s="428"/>
      <c r="D48" s="428"/>
      <c r="E48" s="428"/>
      <c r="F48" s="428"/>
      <c r="G48" s="428"/>
      <c r="H48" s="428"/>
      <c r="I48" s="428"/>
      <c r="J48" s="428"/>
      <c r="K48" s="428"/>
      <c r="L48" s="428"/>
      <c r="M48" s="428"/>
      <c r="N48" s="428"/>
      <c r="O48" s="409"/>
      <c r="P48" s="409"/>
      <c r="Q48" s="409"/>
      <c r="R48" s="409"/>
      <c r="S48" s="409"/>
      <c r="T48" s="409"/>
      <c r="U48" s="409"/>
      <c r="V48" s="409"/>
      <c r="W48" s="409"/>
      <c r="X48" s="409"/>
      <c r="Y48" s="409"/>
      <c r="Z48" s="409"/>
      <c r="AB48" s="409"/>
    </row>
    <row r="49" spans="2:28" s="42" customFormat="1" ht="16.350000000000001" customHeight="1">
      <c r="B49" s="438"/>
      <c r="C49" s="438"/>
      <c r="D49" s="438"/>
      <c r="E49" s="438"/>
      <c r="F49" s="438"/>
      <c r="G49" s="438"/>
      <c r="H49" s="438"/>
      <c r="I49" s="438"/>
      <c r="J49" s="438"/>
      <c r="K49" s="438"/>
      <c r="L49" s="438"/>
      <c r="M49" s="438"/>
      <c r="N49" s="438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B49" s="409"/>
    </row>
    <row r="50" spans="2:28" s="42" customFormat="1" ht="16.350000000000001" customHeight="1">
      <c r="B50" s="438"/>
      <c r="C50" s="438"/>
      <c r="D50" s="438"/>
      <c r="E50" s="439"/>
      <c r="F50" s="439"/>
      <c r="G50" s="439"/>
      <c r="H50" s="439"/>
      <c r="I50" s="439"/>
      <c r="J50" s="439"/>
      <c r="K50" s="439"/>
      <c r="L50" s="439"/>
      <c r="M50" s="439"/>
      <c r="N50" s="439"/>
      <c r="O50" s="409"/>
      <c r="P50" s="432"/>
      <c r="Q50" s="440"/>
      <c r="R50" s="409"/>
      <c r="S50" s="409"/>
      <c r="T50" s="409"/>
      <c r="U50" s="409"/>
      <c r="V50" s="409"/>
      <c r="W50" s="409"/>
      <c r="X50" s="409"/>
      <c r="Y50" s="409"/>
      <c r="Z50" s="409"/>
      <c r="AB50" s="409"/>
    </row>
    <row r="51" spans="2:28" ht="16.350000000000001" customHeight="1">
      <c r="B51" s="438"/>
      <c r="C51" s="438"/>
      <c r="D51" s="438"/>
      <c r="E51" s="439"/>
      <c r="F51" s="439"/>
      <c r="G51" s="439"/>
      <c r="H51" s="439"/>
      <c r="I51" s="439"/>
      <c r="J51" s="439"/>
      <c r="K51" s="439"/>
      <c r="L51" s="439"/>
      <c r="M51" s="439"/>
      <c r="N51" s="439"/>
      <c r="P51" s="432"/>
      <c r="Q51" s="440"/>
    </row>
    <row r="52" spans="2:28" ht="16.350000000000001" customHeight="1">
      <c r="B52" s="438"/>
      <c r="C52" s="438"/>
      <c r="D52" s="438"/>
      <c r="E52" s="439"/>
      <c r="F52" s="439"/>
      <c r="G52" s="439"/>
      <c r="H52" s="439"/>
      <c r="I52" s="439"/>
      <c r="J52" s="439"/>
      <c r="K52" s="439"/>
      <c r="L52" s="439"/>
      <c r="M52" s="439"/>
      <c r="N52" s="439"/>
      <c r="P52" s="432"/>
      <c r="Q52" s="440"/>
    </row>
    <row r="53" spans="2:28" ht="16.350000000000001" customHeight="1">
      <c r="B53" s="438"/>
      <c r="C53" s="438"/>
      <c r="D53" s="438"/>
      <c r="E53" s="439"/>
      <c r="F53" s="439"/>
      <c r="G53" s="439"/>
      <c r="H53" s="439"/>
      <c r="I53" s="439"/>
      <c r="J53" s="439"/>
      <c r="K53" s="439"/>
      <c r="L53" s="439"/>
      <c r="M53" s="439"/>
      <c r="N53" s="439"/>
      <c r="P53" s="432"/>
      <c r="Q53" s="440"/>
    </row>
    <row r="54" spans="2:28" ht="16.350000000000001" customHeight="1">
      <c r="B54" s="438"/>
      <c r="C54" s="438"/>
      <c r="D54" s="438"/>
      <c r="E54" s="439"/>
      <c r="F54" s="439"/>
      <c r="G54" s="439"/>
      <c r="H54" s="439"/>
      <c r="I54" s="439"/>
      <c r="J54" s="439"/>
      <c r="K54" s="439"/>
      <c r="L54" s="439"/>
      <c r="M54" s="439"/>
      <c r="N54" s="439"/>
      <c r="P54" s="432"/>
      <c r="Q54" s="440"/>
    </row>
    <row r="55" spans="2:28" ht="16.350000000000001" customHeight="1">
      <c r="B55" s="438"/>
      <c r="C55" s="438"/>
      <c r="D55" s="438"/>
      <c r="E55" s="439"/>
      <c r="F55" s="439"/>
      <c r="G55" s="439"/>
      <c r="H55" s="439"/>
      <c r="I55" s="439"/>
      <c r="J55" s="439"/>
      <c r="K55" s="439"/>
      <c r="L55" s="439"/>
      <c r="M55" s="439"/>
      <c r="N55" s="439"/>
      <c r="P55" s="432"/>
      <c r="Q55" s="440"/>
    </row>
    <row r="56" spans="2:28" ht="16.350000000000001" customHeight="1">
      <c r="B56" s="438"/>
      <c r="C56" s="438"/>
      <c r="D56" s="438"/>
      <c r="E56" s="441"/>
      <c r="F56" s="441"/>
      <c r="G56" s="441"/>
      <c r="H56" s="441"/>
      <c r="I56" s="441"/>
      <c r="J56" s="441"/>
      <c r="K56" s="441"/>
      <c r="L56" s="439"/>
      <c r="M56" s="439"/>
      <c r="N56" s="439"/>
    </row>
    <row r="57" spans="2:28" ht="16.350000000000001" customHeight="1">
      <c r="B57" s="332"/>
      <c r="C57" s="442"/>
      <c r="D57" s="442"/>
      <c r="E57" s="442"/>
      <c r="F57" s="442"/>
      <c r="G57" s="442"/>
      <c r="H57" s="442"/>
      <c r="I57" s="442"/>
      <c r="J57" s="442"/>
      <c r="K57" s="442"/>
      <c r="L57" s="443"/>
      <c r="M57" s="443"/>
      <c r="N57" s="443"/>
    </row>
    <row r="58" spans="2:28" ht="18" customHeight="1">
      <c r="B58" s="332"/>
      <c r="C58" s="442"/>
      <c r="D58" s="442"/>
      <c r="E58" s="442"/>
      <c r="F58" s="442"/>
      <c r="G58" s="442"/>
      <c r="H58" s="442"/>
      <c r="I58" s="442"/>
      <c r="J58" s="442"/>
      <c r="K58" s="442"/>
      <c r="L58" s="442"/>
      <c r="M58" s="442"/>
      <c r="N58" s="442"/>
    </row>
    <row r="59" spans="2:28" ht="16.350000000000001" customHeight="1">
      <c r="B59" s="332"/>
      <c r="C59" s="444"/>
      <c r="D59" s="444"/>
      <c r="E59" s="444"/>
      <c r="F59" s="444"/>
      <c r="G59" s="444"/>
      <c r="H59" s="444"/>
      <c r="I59" s="444"/>
      <c r="J59" s="444"/>
      <c r="K59" s="444"/>
      <c r="L59" s="444"/>
      <c r="M59" s="444"/>
      <c r="N59" s="444"/>
    </row>
    <row r="60" spans="2:28" ht="16.350000000000001" customHeight="1">
      <c r="B60" s="332"/>
      <c r="C60" s="445"/>
      <c r="D60" s="445"/>
      <c r="E60" s="445"/>
      <c r="F60" s="445"/>
      <c r="G60" s="445"/>
      <c r="H60" s="445"/>
      <c r="I60" s="445"/>
      <c r="J60" s="445"/>
      <c r="K60" s="445"/>
      <c r="L60" s="445"/>
      <c r="M60" s="445"/>
      <c r="N60" s="445"/>
    </row>
    <row r="61" spans="2:28" ht="18" customHeight="1">
      <c r="B61" s="332"/>
      <c r="C61" s="446"/>
      <c r="D61" s="446"/>
      <c r="E61" s="446"/>
      <c r="F61" s="446"/>
      <c r="G61" s="446"/>
      <c r="H61" s="446"/>
      <c r="I61" s="446"/>
      <c r="J61" s="446"/>
      <c r="K61" s="446"/>
      <c r="L61" s="446"/>
      <c r="M61" s="446"/>
      <c r="N61" s="446"/>
    </row>
    <row r="62" spans="2:28" ht="18" customHeight="1">
      <c r="B62" s="332"/>
      <c r="C62" s="442"/>
      <c r="D62" s="442"/>
      <c r="E62" s="442"/>
      <c r="F62" s="442"/>
      <c r="G62" s="442"/>
      <c r="H62" s="442"/>
      <c r="I62" s="442"/>
      <c r="J62" s="442"/>
      <c r="K62" s="442"/>
      <c r="L62" s="442"/>
      <c r="M62" s="442"/>
      <c r="N62" s="442"/>
    </row>
    <row r="63" spans="2:28" ht="27" customHeight="1">
      <c r="B63" s="332"/>
      <c r="C63" s="442"/>
      <c r="D63" s="442"/>
      <c r="E63" s="442"/>
      <c r="F63" s="442"/>
      <c r="G63" s="442"/>
      <c r="H63" s="442"/>
      <c r="I63" s="442"/>
      <c r="J63" s="442"/>
      <c r="K63" s="442"/>
      <c r="L63" s="442"/>
      <c r="M63" s="442"/>
      <c r="N63" s="442"/>
    </row>
    <row r="64" spans="2:28" ht="20.100000000000001" customHeight="1">
      <c r="B64" s="332"/>
    </row>
    <row r="65" spans="2:14" ht="20.100000000000001" customHeight="1">
      <c r="B65" s="332"/>
    </row>
    <row r="66" spans="2:14" ht="15.75" customHeight="1">
      <c r="B66" s="447"/>
      <c r="C66" s="447"/>
      <c r="D66" s="447"/>
      <c r="E66" s="447"/>
      <c r="F66" s="447"/>
      <c r="G66" s="447"/>
      <c r="H66" s="447"/>
      <c r="I66" s="447"/>
      <c r="J66" s="447"/>
      <c r="K66" s="447"/>
      <c r="L66" s="447"/>
      <c r="M66" s="447"/>
      <c r="N66" s="447"/>
    </row>
    <row r="67" spans="2:14" ht="15.75" customHeight="1">
      <c r="B67" s="447"/>
      <c r="C67" s="447"/>
      <c r="D67" s="447"/>
      <c r="E67" s="447"/>
      <c r="F67" s="447"/>
      <c r="G67" s="447"/>
      <c r="H67" s="447"/>
      <c r="I67" s="447"/>
      <c r="J67" s="447"/>
      <c r="K67" s="447"/>
      <c r="L67" s="447"/>
      <c r="M67" s="447"/>
      <c r="N67" s="447"/>
    </row>
    <row r="68" spans="2:14" ht="16.5" customHeight="1">
      <c r="B68" s="341"/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</row>
    <row r="69" spans="2:14" ht="16.5" customHeight="1">
      <c r="B69" s="341"/>
      <c r="C69" s="341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</row>
    <row r="70" spans="2:14" ht="16.350000000000001" customHeight="1"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</row>
    <row r="71" spans="2:14" ht="16.350000000000001" customHeight="1">
      <c r="B71" s="341"/>
      <c r="C71" s="341"/>
      <c r="D71" s="341"/>
      <c r="E71" s="341"/>
      <c r="F71" s="341"/>
      <c r="G71" s="341"/>
      <c r="H71" s="341"/>
      <c r="I71" s="341"/>
      <c r="J71" s="341"/>
      <c r="K71" s="341"/>
      <c r="L71" s="341"/>
      <c r="M71" s="341"/>
      <c r="N71" s="341"/>
    </row>
    <row r="72" spans="2:14" ht="16.350000000000001" customHeight="1">
      <c r="B72" s="341"/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</row>
    <row r="73" spans="2:14" ht="16.350000000000001" customHeight="1">
      <c r="B73" s="341"/>
      <c r="C73" s="341"/>
      <c r="D73" s="341"/>
      <c r="E73" s="341"/>
      <c r="F73" s="341"/>
      <c r="G73" s="341"/>
      <c r="H73" s="341"/>
      <c r="I73" s="341"/>
      <c r="J73" s="341"/>
      <c r="K73" s="341"/>
      <c r="L73" s="341"/>
      <c r="M73" s="341"/>
      <c r="N73" s="341"/>
    </row>
    <row r="74" spans="2:14" ht="16.350000000000001" customHeight="1">
      <c r="B74" s="341"/>
      <c r="C74" s="341"/>
      <c r="D74" s="341"/>
      <c r="E74" s="341"/>
      <c r="F74" s="341"/>
      <c r="G74" s="341"/>
      <c r="H74" s="341"/>
      <c r="I74" s="341"/>
      <c r="J74" s="341"/>
      <c r="K74" s="341"/>
      <c r="L74" s="341"/>
      <c r="M74" s="341"/>
      <c r="N74" s="341"/>
    </row>
    <row r="75" spans="2:14" ht="16.350000000000001" customHeight="1">
      <c r="B75" s="341"/>
      <c r="C75" s="341"/>
      <c r="D75" s="341"/>
      <c r="E75" s="341"/>
      <c r="F75" s="341"/>
      <c r="G75" s="341"/>
      <c r="H75" s="341"/>
      <c r="I75" s="341"/>
      <c r="J75" s="341"/>
      <c r="K75" s="341"/>
      <c r="L75" s="341"/>
      <c r="M75" s="341"/>
      <c r="N75" s="341"/>
    </row>
    <row r="76" spans="2:14" ht="16.350000000000001" customHeight="1">
      <c r="B76" s="341"/>
      <c r="C76" s="341"/>
      <c r="D76" s="341"/>
      <c r="E76" s="341"/>
      <c r="F76" s="341"/>
      <c r="G76" s="341"/>
      <c r="H76" s="341"/>
      <c r="I76" s="341"/>
      <c r="J76" s="341"/>
      <c r="K76" s="341"/>
      <c r="L76" s="341"/>
      <c r="M76" s="341"/>
      <c r="N76" s="341"/>
    </row>
    <row r="77" spans="2:14" ht="16.350000000000001" customHeight="1">
      <c r="B77" s="341"/>
      <c r="C77" s="341"/>
      <c r="D77" s="341"/>
      <c r="E77" s="341"/>
      <c r="F77" s="341"/>
      <c r="G77" s="341"/>
      <c r="H77" s="341"/>
      <c r="I77" s="341"/>
      <c r="J77" s="341"/>
      <c r="K77" s="341"/>
      <c r="L77" s="341"/>
      <c r="M77" s="341"/>
      <c r="N77" s="341"/>
    </row>
    <row r="78" spans="2:14" ht="16.350000000000001" customHeight="1">
      <c r="B78" s="341"/>
      <c r="C78" s="341"/>
      <c r="D78" s="341"/>
      <c r="E78" s="341"/>
      <c r="F78" s="341"/>
      <c r="G78" s="341"/>
      <c r="H78" s="341"/>
      <c r="I78" s="341"/>
      <c r="J78" s="341"/>
      <c r="K78" s="341"/>
      <c r="L78" s="341"/>
      <c r="M78" s="341"/>
      <c r="N78" s="341"/>
    </row>
    <row r="79" spans="2:14" ht="16.350000000000001" customHeight="1">
      <c r="B79" s="341"/>
      <c r="C79" s="341"/>
      <c r="D79" s="341"/>
      <c r="E79" s="341"/>
      <c r="F79" s="341"/>
      <c r="G79" s="341"/>
      <c r="H79" s="341"/>
      <c r="I79" s="341"/>
      <c r="J79" s="341"/>
      <c r="K79" s="341"/>
      <c r="L79" s="341"/>
      <c r="M79" s="341"/>
      <c r="N79" s="341"/>
    </row>
    <row r="80" spans="2:14" ht="16.350000000000001" customHeight="1">
      <c r="B80" s="341"/>
      <c r="C80" s="341"/>
      <c r="D80" s="341"/>
      <c r="E80" s="341"/>
      <c r="F80" s="341"/>
      <c r="G80" s="341"/>
      <c r="H80" s="341"/>
      <c r="I80" s="341"/>
      <c r="J80" s="341"/>
      <c r="K80" s="341"/>
      <c r="L80" s="341"/>
      <c r="M80" s="341"/>
      <c r="N80" s="341"/>
    </row>
    <row r="81" spans="2:14" ht="16.350000000000001" customHeight="1">
      <c r="B81" s="341"/>
      <c r="C81" s="341"/>
      <c r="D81" s="341"/>
      <c r="E81" s="341"/>
      <c r="F81" s="341"/>
      <c r="G81" s="341"/>
      <c r="H81" s="341"/>
      <c r="I81" s="341"/>
      <c r="J81" s="341"/>
      <c r="K81" s="341"/>
      <c r="L81" s="341"/>
      <c r="M81" s="341"/>
      <c r="N81" s="341"/>
    </row>
    <row r="82" spans="2:14" ht="16.350000000000001" customHeight="1">
      <c r="B82" s="341"/>
      <c r="C82" s="341"/>
      <c r="D82" s="341"/>
      <c r="E82" s="341"/>
      <c r="F82" s="341"/>
      <c r="G82" s="341"/>
      <c r="H82" s="341"/>
      <c r="I82" s="341"/>
      <c r="J82" s="341"/>
      <c r="K82" s="341"/>
      <c r="L82" s="341"/>
      <c r="M82" s="341"/>
      <c r="N82" s="341"/>
    </row>
    <row r="83" spans="2:14" ht="16.350000000000001" customHeight="1">
      <c r="B83" s="341"/>
      <c r="C83" s="341"/>
      <c r="D83" s="341"/>
      <c r="E83" s="341"/>
      <c r="F83" s="341"/>
      <c r="G83" s="341"/>
      <c r="H83" s="341"/>
      <c r="I83" s="341"/>
      <c r="J83" s="341"/>
      <c r="K83" s="341"/>
      <c r="L83" s="341"/>
      <c r="M83" s="341"/>
      <c r="N83" s="341"/>
    </row>
    <row r="84" spans="2:14" ht="16.350000000000001" customHeight="1">
      <c r="B84" s="341"/>
      <c r="C84" s="341"/>
      <c r="D84" s="341"/>
      <c r="E84" s="341"/>
      <c r="F84" s="341"/>
      <c r="G84" s="341"/>
      <c r="H84" s="341"/>
      <c r="I84" s="341"/>
      <c r="J84" s="341"/>
      <c r="K84" s="341"/>
      <c r="L84" s="341"/>
      <c r="M84" s="341"/>
      <c r="N84" s="341"/>
    </row>
    <row r="85" spans="2:14" ht="16.350000000000001" customHeight="1">
      <c r="B85" s="341"/>
      <c r="C85" s="341"/>
      <c r="D85" s="341"/>
      <c r="E85" s="341"/>
      <c r="F85" s="341"/>
      <c r="G85" s="341"/>
      <c r="H85" s="341"/>
      <c r="I85" s="341"/>
      <c r="J85" s="341"/>
      <c r="K85" s="341"/>
      <c r="L85" s="341"/>
      <c r="M85" s="341"/>
      <c r="N85" s="341"/>
    </row>
    <row r="86" spans="2:14" ht="16.350000000000001" customHeight="1">
      <c r="B86" s="341"/>
      <c r="C86" s="341"/>
      <c r="D86" s="341"/>
      <c r="E86" s="341"/>
      <c r="F86" s="341"/>
      <c r="G86" s="341"/>
      <c r="H86" s="341"/>
      <c r="I86" s="341"/>
      <c r="J86" s="341"/>
      <c r="K86" s="341"/>
      <c r="L86" s="341"/>
      <c r="M86" s="341"/>
      <c r="N86" s="341"/>
    </row>
    <row r="87" spans="2:14" ht="16.350000000000001" customHeight="1">
      <c r="B87" s="341"/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</row>
    <row r="88" spans="2:14" ht="16.350000000000001" customHeight="1">
      <c r="B88" s="341"/>
      <c r="C88" s="341"/>
      <c r="D88" s="341"/>
      <c r="E88" s="341"/>
      <c r="F88" s="341"/>
      <c r="G88" s="341"/>
      <c r="H88" s="341"/>
      <c r="I88" s="341"/>
      <c r="J88" s="341"/>
      <c r="K88" s="341"/>
      <c r="L88" s="341"/>
      <c r="M88" s="341"/>
      <c r="N88" s="341"/>
    </row>
    <row r="89" spans="2:14" ht="16.350000000000001" customHeight="1">
      <c r="B89" s="341"/>
      <c r="C89" s="341"/>
      <c r="D89" s="341"/>
      <c r="E89" s="341"/>
      <c r="F89" s="341"/>
      <c r="G89" s="341"/>
      <c r="H89" s="341"/>
      <c r="I89" s="341"/>
      <c r="J89" s="341"/>
      <c r="K89" s="341"/>
      <c r="L89" s="341"/>
      <c r="M89" s="341"/>
      <c r="N89" s="341"/>
    </row>
    <row r="90" spans="2:14" ht="16.350000000000001" customHeight="1"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  <c r="N90" s="341"/>
    </row>
    <row r="91" spans="2:14" ht="16.350000000000001" customHeight="1">
      <c r="B91" s="341"/>
      <c r="C91" s="341"/>
      <c r="D91" s="341"/>
      <c r="E91" s="341"/>
      <c r="F91" s="341"/>
      <c r="G91" s="341"/>
      <c r="H91" s="341"/>
      <c r="I91" s="341"/>
      <c r="J91" s="341"/>
      <c r="K91" s="341"/>
      <c r="L91" s="341"/>
      <c r="M91" s="341"/>
      <c r="N91" s="341"/>
    </row>
    <row r="92" spans="2:14" ht="16.350000000000001" customHeight="1">
      <c r="B92" s="341"/>
      <c r="C92" s="341"/>
      <c r="D92" s="341"/>
      <c r="E92" s="341"/>
      <c r="F92" s="341"/>
      <c r="G92" s="341"/>
      <c r="H92" s="341"/>
      <c r="I92" s="341"/>
      <c r="J92" s="341"/>
      <c r="K92" s="341"/>
      <c r="L92" s="341"/>
      <c r="M92" s="341"/>
      <c r="N92" s="341"/>
    </row>
    <row r="93" spans="2:14" ht="16.350000000000001" customHeight="1"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</row>
    <row r="94" spans="2:14" ht="16.350000000000001" customHeight="1">
      <c r="B94" s="341"/>
      <c r="C94" s="341"/>
      <c r="D94" s="341"/>
      <c r="E94" s="341"/>
      <c r="F94" s="341"/>
      <c r="G94" s="341"/>
      <c r="H94" s="341"/>
      <c r="I94" s="341"/>
      <c r="J94" s="341"/>
      <c r="K94" s="341"/>
      <c r="L94" s="341"/>
      <c r="M94" s="341"/>
      <c r="N94" s="341"/>
    </row>
    <row r="95" spans="2:14" ht="16.350000000000001" customHeight="1">
      <c r="B95" s="341"/>
      <c r="C95" s="341"/>
      <c r="D95" s="341"/>
      <c r="E95" s="341"/>
      <c r="F95" s="341"/>
      <c r="G95" s="341"/>
      <c r="H95" s="341"/>
      <c r="I95" s="341"/>
      <c r="J95" s="341"/>
      <c r="K95" s="341"/>
      <c r="L95" s="341"/>
      <c r="M95" s="341"/>
      <c r="N95" s="341"/>
    </row>
    <row r="96" spans="2:14" ht="16.350000000000001" customHeight="1">
      <c r="B96" s="341"/>
      <c r="C96" s="341"/>
      <c r="D96" s="341"/>
      <c r="E96" s="341"/>
      <c r="F96" s="341"/>
      <c r="G96" s="341"/>
      <c r="H96" s="341"/>
      <c r="I96" s="341"/>
      <c r="J96" s="341"/>
      <c r="K96" s="341"/>
      <c r="L96" s="341"/>
      <c r="M96" s="341"/>
      <c r="N96" s="341"/>
    </row>
    <row r="97" spans="2:14" ht="16.350000000000001" customHeight="1">
      <c r="B97" s="341"/>
      <c r="C97" s="341"/>
      <c r="D97" s="341"/>
      <c r="E97" s="341"/>
      <c r="F97" s="341"/>
      <c r="G97" s="341"/>
      <c r="H97" s="341"/>
      <c r="I97" s="341"/>
      <c r="J97" s="341"/>
      <c r="K97" s="341"/>
      <c r="L97" s="341"/>
      <c r="M97" s="341"/>
      <c r="N97" s="341"/>
    </row>
    <row r="98" spans="2:14" ht="16.350000000000001" customHeight="1">
      <c r="B98" s="341"/>
      <c r="C98" s="341"/>
      <c r="D98" s="341"/>
      <c r="E98" s="341"/>
      <c r="F98" s="341"/>
      <c r="G98" s="341"/>
      <c r="H98" s="341"/>
      <c r="I98" s="341"/>
      <c r="J98" s="341"/>
      <c r="K98" s="341"/>
      <c r="L98" s="341"/>
      <c r="M98" s="341"/>
      <c r="N98" s="341"/>
    </row>
    <row r="99" spans="2:14" ht="16.350000000000001" customHeight="1">
      <c r="B99" s="341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</row>
    <row r="100" spans="2:14" ht="16.350000000000001" customHeight="1">
      <c r="B100" s="341"/>
      <c r="C100" s="341"/>
      <c r="D100" s="341"/>
      <c r="E100" s="341"/>
      <c r="F100" s="341"/>
      <c r="G100" s="341"/>
      <c r="H100" s="341"/>
      <c r="I100" s="341"/>
      <c r="J100" s="341"/>
      <c r="K100" s="341"/>
      <c r="L100" s="341"/>
      <c r="M100" s="341"/>
      <c r="N100" s="341"/>
    </row>
    <row r="101" spans="2:14" ht="16.350000000000001" customHeight="1"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</row>
    <row r="102" spans="2:14" ht="16.350000000000001" customHeight="1">
      <c r="B102" s="341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</row>
    <row r="103" spans="2:14" ht="16.350000000000001" customHeight="1">
      <c r="B103" s="341"/>
      <c r="C103" s="341"/>
      <c r="D103" s="341"/>
      <c r="E103" s="341"/>
      <c r="F103" s="341"/>
      <c r="G103" s="341"/>
      <c r="H103" s="341"/>
      <c r="I103" s="341"/>
      <c r="J103" s="341"/>
      <c r="K103" s="341"/>
      <c r="L103" s="341"/>
      <c r="M103" s="341"/>
      <c r="N103" s="341"/>
    </row>
    <row r="104" spans="2:14" ht="16.350000000000001" customHeight="1">
      <c r="B104" s="341"/>
      <c r="C104" s="341"/>
      <c r="D104" s="341"/>
      <c r="E104" s="341"/>
      <c r="F104" s="341"/>
      <c r="G104" s="341"/>
      <c r="H104" s="341"/>
      <c r="I104" s="341"/>
      <c r="J104" s="341"/>
      <c r="K104" s="341"/>
      <c r="L104" s="341"/>
      <c r="M104" s="341"/>
      <c r="N104" s="341"/>
    </row>
    <row r="105" spans="2:14" ht="16.350000000000001" customHeight="1">
      <c r="B105" s="341"/>
      <c r="C105" s="341"/>
      <c r="D105" s="341"/>
      <c r="E105" s="341"/>
      <c r="F105" s="341"/>
      <c r="G105" s="341"/>
      <c r="H105" s="341"/>
      <c r="I105" s="341"/>
      <c r="J105" s="341"/>
      <c r="K105" s="341"/>
      <c r="L105" s="341"/>
      <c r="M105" s="341"/>
      <c r="N105" s="341"/>
    </row>
    <row r="106" spans="2:14" ht="16.350000000000001" customHeight="1">
      <c r="B106" s="341"/>
      <c r="C106" s="341"/>
      <c r="D106" s="341"/>
      <c r="E106" s="341"/>
      <c r="F106" s="341"/>
      <c r="G106" s="341"/>
      <c r="H106" s="341"/>
      <c r="I106" s="341"/>
      <c r="J106" s="341"/>
      <c r="K106" s="341"/>
      <c r="L106" s="341"/>
      <c r="M106" s="341"/>
      <c r="N106" s="341"/>
    </row>
    <row r="107" spans="2:14" ht="16.350000000000001" customHeight="1">
      <c r="B107" s="341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</row>
    <row r="108" spans="2:14" ht="16.350000000000001" customHeight="1">
      <c r="B108" s="341"/>
      <c r="C108" s="341"/>
      <c r="D108" s="341"/>
      <c r="E108" s="341"/>
      <c r="F108" s="341"/>
      <c r="G108" s="341"/>
      <c r="H108" s="341"/>
      <c r="I108" s="341"/>
      <c r="J108" s="341"/>
      <c r="K108" s="341"/>
      <c r="L108" s="341"/>
      <c r="M108" s="341"/>
      <c r="N108" s="341"/>
    </row>
    <row r="109" spans="2:14" ht="16.350000000000001" customHeight="1">
      <c r="B109" s="341"/>
      <c r="C109" s="341"/>
      <c r="D109" s="341"/>
      <c r="E109" s="341"/>
      <c r="F109" s="341"/>
      <c r="G109" s="341"/>
      <c r="H109" s="341"/>
      <c r="I109" s="341"/>
      <c r="J109" s="341"/>
      <c r="K109" s="341"/>
      <c r="L109" s="341"/>
      <c r="M109" s="341"/>
      <c r="N109" s="341"/>
    </row>
    <row r="110" spans="2:14" ht="16.350000000000001" customHeight="1">
      <c r="B110" s="341"/>
      <c r="C110" s="341"/>
      <c r="D110" s="341"/>
      <c r="E110" s="341"/>
      <c r="F110" s="341"/>
      <c r="G110" s="341"/>
      <c r="H110" s="341"/>
      <c r="I110" s="341"/>
      <c r="J110" s="341"/>
      <c r="K110" s="341"/>
      <c r="L110" s="341"/>
      <c r="M110" s="341"/>
      <c r="N110" s="341"/>
    </row>
    <row r="111" spans="2:14" ht="16.350000000000001" customHeight="1">
      <c r="B111" s="341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</row>
    <row r="112" spans="2:14" ht="16.350000000000001" customHeight="1">
      <c r="B112" s="341"/>
      <c r="C112" s="341"/>
      <c r="D112" s="341"/>
      <c r="E112" s="341"/>
      <c r="F112" s="341"/>
      <c r="G112" s="341"/>
      <c r="H112" s="341"/>
      <c r="I112" s="341"/>
      <c r="J112" s="341"/>
      <c r="K112" s="341"/>
      <c r="L112" s="341"/>
      <c r="M112" s="341"/>
      <c r="N112" s="341"/>
    </row>
    <row r="113" spans="2:14" ht="16.350000000000001" customHeight="1">
      <c r="B113" s="341"/>
      <c r="C113" s="341"/>
      <c r="D113" s="341"/>
      <c r="E113" s="341"/>
      <c r="F113" s="341"/>
      <c r="G113" s="341"/>
      <c r="H113" s="341"/>
      <c r="I113" s="341"/>
      <c r="J113" s="341"/>
      <c r="K113" s="341"/>
      <c r="L113" s="341"/>
      <c r="M113" s="341"/>
      <c r="N113" s="341"/>
    </row>
    <row r="114" spans="2:14" ht="16.350000000000001" customHeight="1">
      <c r="B114" s="341"/>
      <c r="C114" s="341"/>
      <c r="D114" s="341"/>
      <c r="E114" s="341"/>
      <c r="F114" s="341"/>
      <c r="G114" s="341"/>
      <c r="H114" s="341"/>
      <c r="I114" s="341"/>
      <c r="J114" s="341"/>
      <c r="K114" s="341"/>
      <c r="L114" s="341"/>
      <c r="M114" s="341"/>
      <c r="N114" s="341"/>
    </row>
    <row r="115" spans="2:14" ht="16.350000000000001" customHeight="1">
      <c r="B115" s="341"/>
      <c r="C115" s="341"/>
      <c r="D115" s="341"/>
      <c r="E115" s="341"/>
      <c r="F115" s="341"/>
      <c r="G115" s="341"/>
      <c r="H115" s="341"/>
      <c r="I115" s="341"/>
      <c r="J115" s="341"/>
      <c r="K115" s="341"/>
      <c r="L115" s="341"/>
      <c r="M115" s="341"/>
      <c r="N115" s="341"/>
    </row>
    <row r="116" spans="2:14" ht="16.350000000000001" customHeight="1"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</row>
    <row r="117" spans="2:14" ht="16.350000000000001" customHeight="1"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</row>
    <row r="118" spans="2:14" ht="16.350000000000001" customHeight="1"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</row>
    <row r="119" spans="2:14" ht="16.350000000000001" customHeight="1"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</row>
    <row r="120" spans="2:14" ht="16.350000000000001" customHeight="1">
      <c r="B120" s="341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  <c r="N120" s="341"/>
    </row>
    <row r="121" spans="2:14" ht="16.350000000000001" customHeight="1">
      <c r="B121" s="341"/>
      <c r="C121" s="341"/>
      <c r="D121" s="341"/>
      <c r="E121" s="341"/>
      <c r="F121" s="341"/>
      <c r="G121" s="341"/>
      <c r="H121" s="341"/>
      <c r="I121" s="341"/>
      <c r="J121" s="341"/>
      <c r="K121" s="341"/>
      <c r="L121" s="341"/>
      <c r="M121" s="341"/>
      <c r="N121" s="341"/>
    </row>
    <row r="122" spans="2:14" ht="16.350000000000001" customHeight="1">
      <c r="B122" s="341"/>
      <c r="C122" s="341"/>
      <c r="D122" s="341"/>
      <c r="E122" s="341"/>
      <c r="F122" s="341"/>
      <c r="G122" s="341"/>
      <c r="H122" s="341"/>
      <c r="I122" s="341"/>
      <c r="J122" s="341"/>
      <c r="K122" s="341"/>
      <c r="L122" s="341"/>
      <c r="M122" s="341"/>
      <c r="N122" s="341"/>
    </row>
    <row r="123" spans="2:14" ht="16.350000000000001" customHeight="1">
      <c r="B123" s="341"/>
      <c r="C123" s="341"/>
      <c r="D123" s="341"/>
      <c r="E123" s="341"/>
      <c r="F123" s="341"/>
      <c r="G123" s="341"/>
      <c r="H123" s="341"/>
      <c r="I123" s="341"/>
      <c r="J123" s="341"/>
      <c r="K123" s="341"/>
      <c r="L123" s="341"/>
      <c r="M123" s="341"/>
      <c r="N123" s="341"/>
    </row>
    <row r="124" spans="2:14" ht="16.350000000000001" customHeight="1">
      <c r="B124" s="341"/>
      <c r="C124" s="341"/>
      <c r="D124" s="341"/>
      <c r="E124" s="341"/>
      <c r="F124" s="341"/>
      <c r="G124" s="341"/>
      <c r="H124" s="341"/>
      <c r="I124" s="341"/>
      <c r="J124" s="341"/>
      <c r="K124" s="341"/>
      <c r="L124" s="341"/>
      <c r="M124" s="341"/>
      <c r="N124" s="341"/>
    </row>
    <row r="125" spans="2:14" ht="16.350000000000001" customHeight="1">
      <c r="B125" s="341"/>
      <c r="C125" s="341"/>
      <c r="D125" s="341"/>
      <c r="E125" s="341"/>
      <c r="F125" s="341"/>
      <c r="G125" s="341"/>
      <c r="H125" s="341"/>
      <c r="I125" s="341"/>
      <c r="J125" s="341"/>
      <c r="K125" s="341"/>
      <c r="L125" s="341"/>
      <c r="M125" s="341"/>
      <c r="N125" s="341"/>
    </row>
    <row r="126" spans="2:14" ht="16.350000000000001" customHeight="1">
      <c r="B126" s="341"/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  <c r="N126" s="341"/>
    </row>
    <row r="127" spans="2:14" ht="16.350000000000001" customHeight="1">
      <c r="B127" s="341"/>
      <c r="C127" s="341"/>
      <c r="D127" s="341"/>
      <c r="E127" s="341"/>
      <c r="F127" s="341"/>
      <c r="G127" s="341"/>
      <c r="H127" s="341"/>
      <c r="I127" s="341"/>
      <c r="J127" s="341"/>
      <c r="K127" s="341"/>
      <c r="L127" s="341"/>
      <c r="M127" s="341"/>
      <c r="N127" s="341"/>
    </row>
    <row r="128" spans="2:14" ht="16.350000000000001" customHeight="1">
      <c r="B128" s="341"/>
      <c r="C128" s="341"/>
      <c r="D128" s="341"/>
      <c r="E128" s="341"/>
      <c r="F128" s="341"/>
      <c r="G128" s="341"/>
      <c r="H128" s="341"/>
      <c r="I128" s="341"/>
      <c r="J128" s="341"/>
      <c r="K128" s="341"/>
      <c r="L128" s="341"/>
      <c r="M128" s="341"/>
      <c r="N128" s="341"/>
    </row>
    <row r="129" spans="2:14" ht="16.350000000000001" customHeight="1">
      <c r="B129" s="341"/>
      <c r="C129" s="341"/>
      <c r="D129" s="341"/>
      <c r="E129" s="341"/>
      <c r="F129" s="341"/>
      <c r="G129" s="341"/>
      <c r="H129" s="341"/>
      <c r="I129" s="341"/>
      <c r="J129" s="341"/>
      <c r="K129" s="341"/>
      <c r="L129" s="341"/>
      <c r="M129" s="341"/>
      <c r="N129" s="341"/>
    </row>
  </sheetData>
  <mergeCells count="80">
    <mergeCell ref="J5:J6"/>
    <mergeCell ref="K5:K6"/>
    <mergeCell ref="L5:L6"/>
    <mergeCell ref="M5:M6"/>
    <mergeCell ref="N5:O6"/>
    <mergeCell ref="A1:K2"/>
    <mergeCell ref="L1:O2"/>
    <mergeCell ref="A3:B3"/>
    <mergeCell ref="J3:M3"/>
    <mergeCell ref="N3:O4"/>
    <mergeCell ref="J9:J10"/>
    <mergeCell ref="K9:K10"/>
    <mergeCell ref="L9:L10"/>
    <mergeCell ref="M9:M10"/>
    <mergeCell ref="N9:O10"/>
    <mergeCell ref="J7:J8"/>
    <mergeCell ref="K7:K8"/>
    <mergeCell ref="L7:L8"/>
    <mergeCell ref="M7:M8"/>
    <mergeCell ref="N7:O8"/>
    <mergeCell ref="J13:J14"/>
    <mergeCell ref="K13:K14"/>
    <mergeCell ref="L13:L14"/>
    <mergeCell ref="M13:M14"/>
    <mergeCell ref="N13:O14"/>
    <mergeCell ref="J11:J12"/>
    <mergeCell ref="K11:K12"/>
    <mergeCell ref="L11:L12"/>
    <mergeCell ref="M11:M12"/>
    <mergeCell ref="N11:O12"/>
    <mergeCell ref="J17:J18"/>
    <mergeCell ref="K17:K18"/>
    <mergeCell ref="L17:L18"/>
    <mergeCell ref="M17:M18"/>
    <mergeCell ref="N17:O18"/>
    <mergeCell ref="J15:J16"/>
    <mergeCell ref="K15:K16"/>
    <mergeCell ref="L15:L16"/>
    <mergeCell ref="M15:M16"/>
    <mergeCell ref="N15:O16"/>
    <mergeCell ref="J21:J22"/>
    <mergeCell ref="K21:K22"/>
    <mergeCell ref="L21:L22"/>
    <mergeCell ref="M21:M22"/>
    <mergeCell ref="N21:O22"/>
    <mergeCell ref="J19:J20"/>
    <mergeCell ref="K19:K20"/>
    <mergeCell ref="L19:L20"/>
    <mergeCell ref="M19:M20"/>
    <mergeCell ref="N19:O20"/>
    <mergeCell ref="J25:J26"/>
    <mergeCell ref="K25:K26"/>
    <mergeCell ref="L25:L26"/>
    <mergeCell ref="M25:M26"/>
    <mergeCell ref="N25:O26"/>
    <mergeCell ref="J23:J24"/>
    <mergeCell ref="K23:K24"/>
    <mergeCell ref="L23:L24"/>
    <mergeCell ref="M23:M24"/>
    <mergeCell ref="N23:O24"/>
    <mergeCell ref="J29:J30"/>
    <mergeCell ref="K29:K30"/>
    <mergeCell ref="L29:L30"/>
    <mergeCell ref="M29:M30"/>
    <mergeCell ref="N29:O30"/>
    <mergeCell ref="J27:J28"/>
    <mergeCell ref="K27:K28"/>
    <mergeCell ref="L27:L28"/>
    <mergeCell ref="M27:M28"/>
    <mergeCell ref="N27:O28"/>
    <mergeCell ref="J33:J34"/>
    <mergeCell ref="K33:K34"/>
    <mergeCell ref="L33:L34"/>
    <mergeCell ref="M33:M34"/>
    <mergeCell ref="N33:O34"/>
    <mergeCell ref="J31:J32"/>
    <mergeCell ref="K31:K32"/>
    <mergeCell ref="L31:L32"/>
    <mergeCell ref="M31:M32"/>
    <mergeCell ref="N31:O32"/>
  </mergeCells>
  <phoneticPr fontId="2" type="noConversion"/>
  <conditionalFormatting sqref="P50:P53">
    <cfRule type="iconSet" priority="2">
      <iconSet iconSet="3Symbols2">
        <cfvo type="percent" val="0"/>
        <cfvo type="num" val="0" gte="0"/>
        <cfvo type="num" val="1"/>
      </iconSet>
    </cfRule>
  </conditionalFormatting>
  <conditionalFormatting sqref="P54:P55">
    <cfRule type="iconSet" priority="1">
      <iconSet iconSet="3Symbols2">
        <cfvo type="percent" val="0"/>
        <cfvo type="num" val="0" gte="0"/>
        <cfvo type="num" val="1"/>
      </iconSet>
    </cfRule>
  </conditionalFormatting>
  <printOptions horizontalCentered="1"/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002060"/>
  </sheetPr>
  <dimension ref="A1:AY132"/>
  <sheetViews>
    <sheetView tabSelected="1" view="pageBreakPreview" topLeftCell="A19" zoomScale="98" zoomScaleNormal="110" zoomScaleSheetLayoutView="98" workbookViewId="0">
      <selection activeCell="B36" sqref="B36:AH36"/>
    </sheetView>
  </sheetViews>
  <sheetFormatPr defaultColWidth="9" defaultRowHeight="15.75"/>
  <cols>
    <col min="1" max="1" width="13.125" style="30" customWidth="1"/>
    <col min="2" max="4" width="2.375" style="30" customWidth="1"/>
    <col min="5" max="5" width="3.75" style="30" customWidth="1"/>
    <col min="6" max="7" width="2.375" style="30" customWidth="1"/>
    <col min="8" max="8" width="2.5" style="30" customWidth="1"/>
    <col min="9" max="9" width="3.625" style="30" customWidth="1"/>
    <col min="10" max="10" width="2.375" style="30" customWidth="1"/>
    <col min="11" max="11" width="2.75" style="30" customWidth="1"/>
    <col min="12" max="12" width="2.375" style="30" customWidth="1"/>
    <col min="13" max="13" width="3" style="30" customWidth="1"/>
    <col min="14" max="14" width="2.375" style="30" customWidth="1"/>
    <col min="15" max="15" width="2.75" style="30" customWidth="1"/>
    <col min="16" max="16" width="2.375" style="30" customWidth="1"/>
    <col min="17" max="17" width="3" style="30" customWidth="1"/>
    <col min="18" max="18" width="2.375" style="30" customWidth="1"/>
    <col min="19" max="19" width="2.875" style="30" customWidth="1"/>
    <col min="20" max="20" width="2.375" style="30" customWidth="1"/>
    <col min="21" max="21" width="3" style="30" customWidth="1"/>
    <col min="22" max="22" width="2.375" style="30" customWidth="1"/>
    <col min="23" max="23" width="2.625" style="30" customWidth="1"/>
    <col min="24" max="25" width="2.375" style="30" customWidth="1"/>
    <col min="26" max="26" width="2.875" style="30" customWidth="1"/>
    <col min="27" max="28" width="2.375" style="30" customWidth="1"/>
    <col min="29" max="29" width="3.5" style="30" customWidth="1"/>
    <col min="30" max="31" width="2.375" style="30" customWidth="1"/>
    <col min="32" max="33" width="2.625" style="30" customWidth="1"/>
    <col min="34" max="36" width="2.375" style="30" customWidth="1"/>
    <col min="37" max="37" width="3.625" style="30" customWidth="1"/>
    <col min="38" max="40" width="2.375" style="30" customWidth="1"/>
    <col min="41" max="41" width="3.5" style="30" customWidth="1"/>
    <col min="42" max="42" width="3.625" style="30" customWidth="1"/>
    <col min="43" max="43" width="1" style="30" customWidth="1"/>
    <col min="44" max="44" width="2.375" style="30" customWidth="1"/>
    <col min="45" max="45" width="3.875" style="30" customWidth="1"/>
    <col min="46" max="48" width="2.375" style="30" customWidth="1"/>
    <col min="49" max="49" width="4" style="30" customWidth="1"/>
    <col min="50" max="50" width="13.125" style="30" customWidth="1"/>
    <col min="51" max="51" width="9" style="30" customWidth="1"/>
    <col min="52" max="16384" width="9" style="30"/>
  </cols>
  <sheetData>
    <row r="1" spans="1:49" ht="30" customHeight="1">
      <c r="A1" s="661" t="s">
        <v>434</v>
      </c>
      <c r="B1" s="648"/>
      <c r="C1" s="648"/>
      <c r="D1" s="648"/>
      <c r="E1" s="648"/>
      <c r="F1" s="648"/>
      <c r="G1" s="648"/>
      <c r="H1" s="648"/>
      <c r="I1" s="648"/>
      <c r="J1" s="648"/>
      <c r="K1" s="648"/>
      <c r="L1" s="648"/>
      <c r="M1" s="648"/>
      <c r="N1" s="648"/>
      <c r="O1" s="648"/>
      <c r="P1" s="648"/>
      <c r="Q1" s="648"/>
      <c r="R1" s="648"/>
      <c r="S1" s="648"/>
      <c r="T1" s="648"/>
      <c r="U1" s="648"/>
      <c r="V1" s="648"/>
      <c r="W1" s="648"/>
      <c r="X1" s="648"/>
      <c r="Y1" s="648"/>
      <c r="Z1" s="648"/>
      <c r="AA1" s="648"/>
      <c r="AB1" s="648"/>
      <c r="AC1" s="648"/>
      <c r="AD1" s="648"/>
      <c r="AE1" s="648"/>
      <c r="AF1" s="648"/>
      <c r="AG1" s="648"/>
      <c r="AH1" s="648"/>
      <c r="AI1" s="648"/>
      <c r="AJ1" s="648"/>
      <c r="AK1" s="648"/>
      <c r="AL1" s="648"/>
      <c r="AM1" s="648"/>
      <c r="AN1" s="650">
        <f>DATE(日期輸入!A3, 日期輸入!B3, 日期輸入!C3)</f>
        <v>44500</v>
      </c>
      <c r="AO1" s="651"/>
      <c r="AP1" s="651"/>
      <c r="AQ1" s="651"/>
      <c r="AR1" s="651"/>
      <c r="AS1" s="651"/>
      <c r="AT1" s="651"/>
      <c r="AU1" s="647">
        <f>AN1</f>
        <v>44500</v>
      </c>
      <c r="AV1" s="648"/>
      <c r="AW1" s="649"/>
    </row>
    <row r="2" spans="1:49" ht="30" customHeight="1">
      <c r="A2" s="662"/>
      <c r="B2" s="663"/>
      <c r="C2" s="663"/>
      <c r="D2" s="663"/>
      <c r="E2" s="663"/>
      <c r="F2" s="663"/>
      <c r="G2" s="663"/>
      <c r="H2" s="663"/>
      <c r="I2" s="663"/>
      <c r="J2" s="663"/>
      <c r="K2" s="663"/>
      <c r="L2" s="663"/>
      <c r="M2" s="663"/>
      <c r="N2" s="663"/>
      <c r="O2" s="663"/>
      <c r="P2" s="663"/>
      <c r="Q2" s="663"/>
      <c r="R2" s="663"/>
      <c r="S2" s="663"/>
      <c r="T2" s="663"/>
      <c r="U2" s="663"/>
      <c r="V2" s="663"/>
      <c r="W2" s="663"/>
      <c r="X2" s="663"/>
      <c r="Y2" s="663"/>
      <c r="Z2" s="663"/>
      <c r="AA2" s="663"/>
      <c r="AB2" s="663"/>
      <c r="AC2" s="663"/>
      <c r="AD2" s="663"/>
      <c r="AE2" s="663"/>
      <c r="AF2" s="663"/>
      <c r="AG2" s="663"/>
      <c r="AH2" s="663"/>
      <c r="AI2" s="663"/>
      <c r="AJ2" s="663"/>
      <c r="AK2" s="663"/>
      <c r="AL2" s="663"/>
      <c r="AM2" s="663"/>
      <c r="AN2" s="333" t="s">
        <v>164</v>
      </c>
      <c r="AO2" s="333"/>
      <c r="AP2" s="333"/>
      <c r="AQ2" s="659"/>
      <c r="AR2" s="659"/>
      <c r="AS2" s="659"/>
      <c r="AT2" s="659"/>
      <c r="AU2" s="659"/>
      <c r="AV2" s="659"/>
      <c r="AW2" s="660"/>
    </row>
    <row r="3" spans="1:49" s="1" customFormat="1" ht="50.1" customHeight="1">
      <c r="A3" s="351" t="s">
        <v>438</v>
      </c>
      <c r="B3" s="655" t="s">
        <v>1</v>
      </c>
      <c r="C3" s="656"/>
      <c r="D3" s="655" t="s">
        <v>2</v>
      </c>
      <c r="E3" s="656"/>
      <c r="F3" s="655" t="s">
        <v>3</v>
      </c>
      <c r="G3" s="656"/>
      <c r="H3" s="655" t="s">
        <v>4</v>
      </c>
      <c r="I3" s="656"/>
      <c r="J3" s="655" t="s">
        <v>5</v>
      </c>
      <c r="K3" s="656"/>
      <c r="L3" s="655" t="s">
        <v>6</v>
      </c>
      <c r="M3" s="656"/>
      <c r="N3" s="655" t="s">
        <v>7</v>
      </c>
      <c r="O3" s="656"/>
      <c r="P3" s="655" t="s">
        <v>8</v>
      </c>
      <c r="Q3" s="656"/>
      <c r="R3" s="655" t="s">
        <v>9</v>
      </c>
      <c r="S3" s="656"/>
      <c r="T3" s="655" t="s">
        <v>10</v>
      </c>
      <c r="U3" s="656"/>
      <c r="V3" s="657" t="s">
        <v>11</v>
      </c>
      <c r="W3" s="665"/>
      <c r="X3" s="657" t="s">
        <v>12</v>
      </c>
      <c r="Y3" s="665"/>
      <c r="Z3" s="655" t="s">
        <v>13</v>
      </c>
      <c r="AA3" s="656"/>
      <c r="AB3" s="655" t="s">
        <v>14</v>
      </c>
      <c r="AC3" s="656"/>
      <c r="AD3" s="655" t="s">
        <v>15</v>
      </c>
      <c r="AE3" s="656"/>
      <c r="AF3" s="655" t="s">
        <v>16</v>
      </c>
      <c r="AG3" s="656"/>
      <c r="AH3" s="655" t="s">
        <v>17</v>
      </c>
      <c r="AI3" s="656"/>
      <c r="AJ3" s="655" t="s">
        <v>18</v>
      </c>
      <c r="AK3" s="656"/>
      <c r="AL3" s="655" t="s">
        <v>19</v>
      </c>
      <c r="AM3" s="656"/>
      <c r="AN3" s="655" t="s">
        <v>20</v>
      </c>
      <c r="AO3" s="656"/>
      <c r="AP3" s="655" t="s">
        <v>21</v>
      </c>
      <c r="AQ3" s="656"/>
      <c r="AR3" s="655" t="s">
        <v>22</v>
      </c>
      <c r="AS3" s="656"/>
      <c r="AT3" s="657" t="s">
        <v>23</v>
      </c>
      <c r="AU3" s="665"/>
      <c r="AV3" s="657" t="s">
        <v>24</v>
      </c>
      <c r="AW3" s="658"/>
    </row>
    <row r="4" spans="1:49" ht="20.100000000000001" customHeight="1">
      <c r="A4" s="352" t="s">
        <v>296</v>
      </c>
      <c r="B4" s="652">
        <f>INDEX(役男值班!$A$1:$Z$72,日期輸入!$C$3+3,3)</f>
        <v>18</v>
      </c>
      <c r="C4" s="653"/>
      <c r="D4" s="653"/>
      <c r="E4" s="654"/>
      <c r="F4" s="652">
        <f>INDEX(役男值班!$A$1:$Z$72,日期輸入!$C$3+3,4)</f>
        <v>9</v>
      </c>
      <c r="G4" s="653"/>
      <c r="H4" s="653"/>
      <c r="I4" s="654"/>
      <c r="J4" s="652">
        <f>INDEX(役男值班!$A$1:$Z$72,日期輸入!$C$3+3,5)</f>
        <v>30</v>
      </c>
      <c r="K4" s="653"/>
      <c r="L4" s="653"/>
      <c r="M4" s="654"/>
      <c r="N4" s="652">
        <f>INDEX(役男值班!$A$1:$Z$72,日期輸入!$C$3+3,6)</f>
        <v>2</v>
      </c>
      <c r="O4" s="653"/>
      <c r="P4" s="653"/>
      <c r="Q4" s="654"/>
      <c r="R4" s="652">
        <f>INDEX(役男值班!$A$1:$Z$72,日期輸入!$C$3+3,7)</f>
        <v>4</v>
      </c>
      <c r="S4" s="653"/>
      <c r="T4" s="653"/>
      <c r="U4" s="654"/>
      <c r="V4" s="652">
        <f>INDEX(役男值班!$A$1:$Z$72,日期輸入!$C$3+3,8)</f>
        <v>12</v>
      </c>
      <c r="W4" s="653"/>
      <c r="X4" s="653"/>
      <c r="Y4" s="654"/>
      <c r="Z4" s="652">
        <f>INDEX(役男值班!$A$1:$Z$72,日期輸入!$C$3+3,9)</f>
        <v>6</v>
      </c>
      <c r="AA4" s="653"/>
      <c r="AB4" s="653"/>
      <c r="AC4" s="654"/>
      <c r="AD4" s="652" t="str">
        <f xml:space="preserve"> FormattedPeopleCodes("勤務分配", 3, {"22-24","中隊值班"})</f>
        <v/>
      </c>
      <c r="AE4" s="653"/>
      <c r="AF4" s="653"/>
      <c r="AG4" s="654"/>
      <c r="AH4" s="652" t="str">
        <f xml:space="preserve"> FormattedPeopleCodes("勤務分配", 3, {"00-02","中隊值班"})</f>
        <v/>
      </c>
      <c r="AI4" s="653"/>
      <c r="AJ4" s="653"/>
      <c r="AK4" s="654"/>
      <c r="AL4" s="652" t="str">
        <f xml:space="preserve"> FormattedPeopleCodes("勤務分配", 3, {"02-04","中隊值班"})</f>
        <v/>
      </c>
      <c r="AM4" s="653"/>
      <c r="AN4" s="653"/>
      <c r="AO4" s="654"/>
      <c r="AP4" s="652" t="str">
        <f xml:space="preserve"> FormattedPeopleCodes("勤務分配", 3, {"04-06","中隊值班"})</f>
        <v/>
      </c>
      <c r="AQ4" s="653"/>
      <c r="AR4" s="653"/>
      <c r="AS4" s="654"/>
      <c r="AT4" s="652" t="str">
        <f xml:space="preserve"> FormattedPeopleCodes("勤務分配", 3, {"06-08","中隊值班"})</f>
        <v/>
      </c>
      <c r="AU4" s="653"/>
      <c r="AV4" s="653"/>
      <c r="AW4" s="664"/>
    </row>
    <row r="5" spans="1:49" s="272" customFormat="1" ht="20.100000000000001" customHeight="1">
      <c r="A5" s="353" t="s">
        <v>533</v>
      </c>
      <c r="B5" s="643"/>
      <c r="C5" s="643"/>
      <c r="D5" s="643"/>
      <c r="E5" s="643"/>
      <c r="F5" s="643"/>
      <c r="G5" s="643"/>
      <c r="H5" s="643"/>
      <c r="I5" s="643"/>
      <c r="J5" s="643"/>
      <c r="K5" s="643"/>
      <c r="L5" s="643"/>
      <c r="M5" s="643"/>
      <c r="N5" s="643"/>
      <c r="O5" s="643"/>
      <c r="P5" s="643"/>
      <c r="Q5" s="643"/>
      <c r="R5" s="643"/>
      <c r="S5" s="643"/>
      <c r="T5" s="643"/>
      <c r="U5" s="643"/>
      <c r="V5" s="643"/>
      <c r="W5" s="643"/>
      <c r="X5" s="643"/>
      <c r="Y5" s="643"/>
      <c r="Z5" s="643"/>
      <c r="AA5" s="643"/>
      <c r="AB5" s="643"/>
      <c r="AC5" s="643"/>
      <c r="AD5" s="643"/>
      <c r="AE5" s="643"/>
      <c r="AF5" s="643"/>
      <c r="AG5" s="643"/>
      <c r="AH5" s="643"/>
      <c r="AI5" s="643"/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  <c r="AU5" s="643"/>
      <c r="AV5" s="643"/>
      <c r="AW5" s="643"/>
    </row>
    <row r="6" spans="1:49" ht="54.95" customHeight="1">
      <c r="A6" s="354" t="s">
        <v>25</v>
      </c>
      <c r="B6" s="644" t="str">
        <f xml:space="preserve"> FormattedPeopleCodes("勤務分配", 4, {"08-10","備勤"})</f>
        <v>A.L</v>
      </c>
      <c r="C6" s="644"/>
      <c r="D6" s="644"/>
      <c r="E6" s="644"/>
      <c r="F6" s="644" t="str">
        <f xml:space="preserve"> FormattedPeopleCodes("勤務分配", 4, {"10-12","備勤"})</f>
        <v>A.L</v>
      </c>
      <c r="G6" s="644"/>
      <c r="H6" s="644"/>
      <c r="I6" s="644"/>
      <c r="J6" s="644" t="str">
        <f xml:space="preserve"> FormattedPeopleCodes("勤務分配", 3, {"12-14","備勤"})</f>
        <v>M</v>
      </c>
      <c r="K6" s="645"/>
      <c r="L6" s="645"/>
      <c r="M6" s="645"/>
      <c r="N6" s="644" t="str">
        <f xml:space="preserve"> FormattedPeopleCodes("勤務分配", 3, {"14-16","備勤"})</f>
        <v/>
      </c>
      <c r="O6" s="644"/>
      <c r="P6" s="644"/>
      <c r="Q6" s="644"/>
      <c r="R6" s="644" t="str">
        <f xml:space="preserve"> FormattedPeopleCodes("勤務分配", 3, {"16-18","備勤"})</f>
        <v>Q</v>
      </c>
      <c r="S6" s="645"/>
      <c r="T6" s="645"/>
      <c r="U6" s="645"/>
      <c r="V6" s="644" t="str">
        <f xml:space="preserve"> FormattedPeopleCodes("勤務分配", 3, {"18-20","備勤"})</f>
        <v/>
      </c>
      <c r="W6" s="645"/>
      <c r="X6" s="645"/>
      <c r="Y6" s="645"/>
      <c r="Z6" s="644" t="str">
        <f xml:space="preserve"> FormattedPeopleCodes("勤務分配", 3, {"20-22","備勤"})</f>
        <v/>
      </c>
      <c r="AA6" s="645"/>
      <c r="AB6" s="645"/>
      <c r="AC6" s="645"/>
      <c r="AD6" s="644" t="str">
        <f xml:space="preserve"> FormattedPeopleCodes("勤務分配", 3, {"22-24","備勤"})</f>
        <v/>
      </c>
      <c r="AE6" s="645"/>
      <c r="AF6" s="645"/>
      <c r="AG6" s="645"/>
      <c r="AH6" s="644" t="str">
        <f xml:space="preserve"> FormattedPeopleCodes("勤務分配", 3, {"00-02","備勤"})</f>
        <v/>
      </c>
      <c r="AI6" s="645"/>
      <c r="AJ6" s="645"/>
      <c r="AK6" s="645"/>
      <c r="AL6" s="644" t="str">
        <f xml:space="preserve"> FormattedPeopleCodes("勤務分配", 3, {"02-04","備勤"})</f>
        <v/>
      </c>
      <c r="AM6" s="645"/>
      <c r="AN6" s="645"/>
      <c r="AO6" s="645"/>
      <c r="AP6" s="644" t="str">
        <f xml:space="preserve"> FormattedPeopleCodes("勤務分配", 3, {"04-06","備勤"})</f>
        <v/>
      </c>
      <c r="AQ6" s="645"/>
      <c r="AR6" s="645"/>
      <c r="AS6" s="645"/>
      <c r="AT6" s="644" t="str">
        <f xml:space="preserve"> FormattedPeopleCodes("勤務分配", 3, {"06-08","備勤"})</f>
        <v>K</v>
      </c>
      <c r="AU6" s="645"/>
      <c r="AV6" s="645"/>
      <c r="AW6" s="646"/>
    </row>
    <row r="7" spans="1:49" ht="54.75" customHeight="1">
      <c r="A7" s="355" t="s">
        <v>27</v>
      </c>
      <c r="B7" s="644" t="str">
        <f xml:space="preserve"> FormattedPeopleCodes("勤務分配", 3, {"08-10","待命"})</f>
        <v>Q</v>
      </c>
      <c r="C7" s="644"/>
      <c r="D7" s="644"/>
      <c r="E7" s="644"/>
      <c r="F7" s="644" t="str">
        <f xml:space="preserve"> FormattedPeopleCodes("勤務分配", 3, {"10-12","待命"})</f>
        <v>Q</v>
      </c>
      <c r="G7" s="644"/>
      <c r="H7" s="644"/>
      <c r="I7" s="644"/>
      <c r="J7" s="644" t="str">
        <f xml:space="preserve"> FormattedPeopleCodes("勤務分配", 4, {"12-14","待命"})</f>
        <v>A.L.Q</v>
      </c>
      <c r="K7" s="644"/>
      <c r="L7" s="644"/>
      <c r="M7" s="644"/>
      <c r="N7" s="644" t="str">
        <f xml:space="preserve"> FormattedPeopleCodes("勤務分配", 3, {"14-16","待命"})</f>
        <v>A.L.M.
Q</v>
      </c>
      <c r="O7" s="644"/>
      <c r="P7" s="644"/>
      <c r="Q7" s="644"/>
      <c r="R7" s="644" t="str">
        <f xml:space="preserve"> FormattedPeopleCodes("勤務分配", 4, {"16-18","待命"})</f>
        <v>A.L.M</v>
      </c>
      <c r="S7" s="644"/>
      <c r="T7" s="644"/>
      <c r="U7" s="644"/>
      <c r="V7" s="644" t="str">
        <f xml:space="preserve"> FormattedPeopleCodes("勤務分配", 3, {"18-20","待命"})</f>
        <v>M</v>
      </c>
      <c r="W7" s="644"/>
      <c r="X7" s="644"/>
      <c r="Y7" s="644"/>
      <c r="Z7" s="644" t="str">
        <f xml:space="preserve"> FormattedPeopleCodes("勤務分配", 3, {"20-22","待命"})</f>
        <v>M</v>
      </c>
      <c r="AA7" s="644"/>
      <c r="AB7" s="644"/>
      <c r="AC7" s="644"/>
      <c r="AD7" s="644" t="str">
        <f xml:space="preserve"> FormattedPeopleCodes("勤務分配", 3, {"22-24","待命"})</f>
        <v>K</v>
      </c>
      <c r="AE7" s="644"/>
      <c r="AF7" s="644"/>
      <c r="AG7" s="644"/>
      <c r="AH7" s="644" t="str">
        <f xml:space="preserve"> FormattedPeopleCodes("勤務分配", 3, {"00-02","待命"})</f>
        <v>K</v>
      </c>
      <c r="AI7" s="644"/>
      <c r="AJ7" s="644"/>
      <c r="AK7" s="644"/>
      <c r="AL7" s="644" t="str">
        <f xml:space="preserve"> FormattedPeopleCodes("勤務分配", 3, {"02-04","待命"})</f>
        <v>K</v>
      </c>
      <c r="AM7" s="644"/>
      <c r="AN7" s="644"/>
      <c r="AO7" s="644"/>
      <c r="AP7" s="644" t="str">
        <f xml:space="preserve"> FormattedPeopleCodes("勤務分配", 3, {"04-06","待命"})</f>
        <v>K</v>
      </c>
      <c r="AQ7" s="644"/>
      <c r="AR7" s="644"/>
      <c r="AS7" s="644"/>
      <c r="AT7" s="644" t="str">
        <f xml:space="preserve"> FormattedPeopleCodes("勤務分配", 3, {"06-08","待命"})</f>
        <v/>
      </c>
      <c r="AU7" s="692"/>
      <c r="AV7" s="692"/>
      <c r="AW7" s="693"/>
    </row>
    <row r="8" spans="1:49" s="62" customFormat="1" ht="20.100000000000001" customHeight="1">
      <c r="A8" s="354" t="s">
        <v>249</v>
      </c>
      <c r="B8" s="680" t="str">
        <f xml:space="preserve"> FormattedPeopleCodes("勤務分配", 3, {"08-10","常訓"})</f>
        <v/>
      </c>
      <c r="C8" s="681"/>
      <c r="D8" s="681"/>
      <c r="E8" s="682"/>
      <c r="F8" s="680" t="str">
        <f xml:space="preserve"> FormattedPeopleCodes("勤務分配", 3, {"10-12","常訓"})</f>
        <v/>
      </c>
      <c r="G8" s="681"/>
      <c r="H8" s="681"/>
      <c r="I8" s="682"/>
      <c r="J8" s="680" t="str">
        <f xml:space="preserve"> FormattedPeopleCodes("勤務分配", 3, {"12-14","常訓"})</f>
        <v/>
      </c>
      <c r="K8" s="681"/>
      <c r="L8" s="681"/>
      <c r="M8" s="682"/>
      <c r="N8" s="683" t="str">
        <f xml:space="preserve"> FormattedPeopleCodes("勤務分配", 3, {"14-16","常訓"})</f>
        <v/>
      </c>
      <c r="O8" s="684"/>
      <c r="P8" s="684"/>
      <c r="Q8" s="685"/>
      <c r="R8" s="683" t="str">
        <f xml:space="preserve"> FormattedPeopleCodes("勤務分配", 3, {"16-18","常訓"})</f>
        <v/>
      </c>
      <c r="S8" s="681"/>
      <c r="T8" s="681"/>
      <c r="U8" s="682"/>
      <c r="V8" s="680" t="str">
        <f xml:space="preserve"> FormattedPeopleCodes("勤務分配", 3, {"18-20","常訓"})</f>
        <v/>
      </c>
      <c r="W8" s="681"/>
      <c r="X8" s="681"/>
      <c r="Y8" s="682"/>
      <c r="Z8" s="680" t="str">
        <f xml:space="preserve"> FormattedPeopleCodes("勤務分配", 3, {"20-22","常訓"})</f>
        <v/>
      </c>
      <c r="AA8" s="681"/>
      <c r="AB8" s="681"/>
      <c r="AC8" s="682"/>
      <c r="AD8" s="680" t="str">
        <f xml:space="preserve"> FormattedPeopleCodes("勤務分配", 3, {"22-24","常訓"})</f>
        <v/>
      </c>
      <c r="AE8" s="681"/>
      <c r="AF8" s="681"/>
      <c r="AG8" s="682"/>
      <c r="AH8" s="680" t="str">
        <f xml:space="preserve"> FormattedPeopleCodes("勤務分配", 3, {"00-02","常訓"})</f>
        <v/>
      </c>
      <c r="AI8" s="681"/>
      <c r="AJ8" s="681"/>
      <c r="AK8" s="682"/>
      <c r="AL8" s="680" t="str">
        <f xml:space="preserve"> FormattedPeopleCodes("勤務分配", 3, {"02-04","常訓"})</f>
        <v/>
      </c>
      <c r="AM8" s="681"/>
      <c r="AN8" s="681"/>
      <c r="AO8" s="682"/>
      <c r="AP8" s="680" t="str">
        <f xml:space="preserve"> FormattedPeopleCodes("勤務分配", 3, {"04-06","常訓"})</f>
        <v/>
      </c>
      <c r="AQ8" s="681"/>
      <c r="AR8" s="681"/>
      <c r="AS8" s="682"/>
      <c r="AT8" s="680" t="str">
        <f xml:space="preserve"> FormattedPeopleCodes("勤務分配", 3, {"06-08","常訓"})</f>
        <v/>
      </c>
      <c r="AU8" s="681"/>
      <c r="AV8" s="681"/>
      <c r="AW8" s="702"/>
    </row>
    <row r="9" spans="1:49" ht="20.100000000000001" customHeight="1">
      <c r="A9" s="354" t="s">
        <v>774</v>
      </c>
      <c r="B9" s="680" t="str">
        <f xml:space="preserve"> FormattedPeopleCodes("勤務分配", 3, {"08-10","保持訓練"})</f>
        <v/>
      </c>
      <c r="C9" s="681"/>
      <c r="D9" s="681"/>
      <c r="E9" s="682"/>
      <c r="F9" s="683" t="str">
        <f xml:space="preserve"> FormattedPeopleCodes("勤務分配", 3, {"10-12","保持訓練"})</f>
        <v/>
      </c>
      <c r="G9" s="684"/>
      <c r="H9" s="684"/>
      <c r="I9" s="685"/>
      <c r="J9" s="683" t="str">
        <f xml:space="preserve"> FormattedPeopleCodes("勤務分配", 3, {"12-14","保持訓練"})</f>
        <v/>
      </c>
      <c r="K9" s="684"/>
      <c r="L9" s="684"/>
      <c r="M9" s="685"/>
      <c r="N9" s="683" t="str">
        <f xml:space="preserve"> FormattedPeopleCodes("勤務分配", 3, {"14-16","保持訓練"})</f>
        <v/>
      </c>
      <c r="O9" s="684"/>
      <c r="P9" s="684"/>
      <c r="Q9" s="685"/>
      <c r="R9" s="683" t="str">
        <f xml:space="preserve"> FormattedPeopleCodes("勤務分配", 3, {"16-18","保持訓練"})</f>
        <v/>
      </c>
      <c r="S9" s="684"/>
      <c r="T9" s="684"/>
      <c r="U9" s="685"/>
      <c r="V9" s="683" t="str">
        <f xml:space="preserve"> FormattedPeopleCodes("勤務分配", 3, {"18-20","保持訓練"})</f>
        <v/>
      </c>
      <c r="W9" s="684"/>
      <c r="X9" s="684"/>
      <c r="Y9" s="685"/>
      <c r="Z9" s="683" t="str">
        <f xml:space="preserve"> FormattedPeopleCodes("勤務分配", 3, {"20-22","保持訓練"})</f>
        <v/>
      </c>
      <c r="AA9" s="684"/>
      <c r="AB9" s="684"/>
      <c r="AC9" s="685"/>
      <c r="AD9" s="683" t="str">
        <f xml:space="preserve"> FormattedPeopleCodes("勤務分配", 3, {"22-24","保持訓練"})</f>
        <v/>
      </c>
      <c r="AE9" s="684"/>
      <c r="AF9" s="684"/>
      <c r="AG9" s="685"/>
      <c r="AH9" s="683" t="str">
        <f xml:space="preserve"> FormattedPeopleCodes("勤務分配", 3, {"00-02","保持訓練"})</f>
        <v/>
      </c>
      <c r="AI9" s="684"/>
      <c r="AJ9" s="684"/>
      <c r="AK9" s="685"/>
      <c r="AL9" s="683" t="str">
        <f xml:space="preserve"> FormattedPeopleCodes("勤務分配", 3, {"02-04","保持訓練"})</f>
        <v/>
      </c>
      <c r="AM9" s="684"/>
      <c r="AN9" s="684"/>
      <c r="AO9" s="685"/>
      <c r="AP9" s="683" t="str">
        <f xml:space="preserve"> FormattedPeopleCodes("勤務分配", 3, {"04-06","保持訓練"})</f>
        <v/>
      </c>
      <c r="AQ9" s="684"/>
      <c r="AR9" s="684"/>
      <c r="AS9" s="685"/>
      <c r="AT9" s="683" t="s">
        <v>773</v>
      </c>
      <c r="AU9" s="684"/>
      <c r="AV9" s="684"/>
      <c r="AW9" s="698"/>
    </row>
    <row r="10" spans="1:49" ht="20.100000000000001" customHeight="1">
      <c r="A10" s="356" t="s">
        <v>28</v>
      </c>
      <c r="B10" s="694" t="str">
        <f xml:space="preserve"> FormattedPeopleCodes("勤務分配", 3, {"08-10","大隊值日"})</f>
        <v>I</v>
      </c>
      <c r="C10" s="695"/>
      <c r="D10" s="695"/>
      <c r="E10" s="695"/>
      <c r="F10" s="695"/>
      <c r="G10" s="695"/>
      <c r="H10" s="695"/>
      <c r="I10" s="695"/>
      <c r="J10" s="695"/>
      <c r="K10" s="695"/>
      <c r="L10" s="695"/>
      <c r="M10" s="695"/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7"/>
      <c r="Z10" s="694" t="str">
        <f xml:space="preserve"> FormattedPeopleCodes("勤務分配", 3, {"20-22","大隊值日"})</f>
        <v/>
      </c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6"/>
    </row>
    <row r="11" spans="1:49" ht="27.95" customHeight="1">
      <c r="A11" s="357" t="str">
        <f>IF(日期輸入!C10="14勤教", "勤前教育    (1400-1430)", "勤前教育    (2200-2230)")</f>
        <v>勤前教育    (1400-1430)</v>
      </c>
      <c r="B11" s="699" t="str">
        <f>IF(日期輸入!C10="14勤教",           SUBSTITUTE(  SUBSTITUTE(  SUBSTITUTE(  SUBSTITUTE(    SUBSTITUTE(  SUBSTITUTE(  SUBSTITUTE(  SUBSTITUTE(  SUBSTITUTE(  SUBSTITUTE(  SUBSTITUTE(
FormattedFullTimeCodesByColumnValueInList("14-16", {"待命","備勤","中隊值班"}),暫1!A19,"",1),暫1!B19,"",1),暫1!C19,"",1),暫1!D19,"",1),暫1!E19,"",1),暫1!F19,"",1),暫1!G19,"",1),暫1!H19,"",1),暫1!I19,"",1),暫1!J19,"",1),暫1!K19,"",1)          &amp; "及役男" &amp; YiCountByColumnValueInList("14勤教", {"是"}) &amp; "人(" &amp; FormattedYiCodesByColumnValueInList("14勤教", {"是"}, -1) &amp; ")",
FormattedFullTimeCodesByColumnValueInList("22-24", {"待命","備勤","中隊值班"}))</f>
        <v>A.L.M及役男12人(2.4.6.9.11.12.14.16.17.19.26.29)</v>
      </c>
      <c r="C11" s="700"/>
      <c r="D11" s="700"/>
      <c r="E11" s="700"/>
      <c r="F11" s="700"/>
      <c r="G11" s="700"/>
      <c r="H11" s="700"/>
      <c r="I11" s="700"/>
      <c r="J11" s="700"/>
      <c r="K11" s="700"/>
      <c r="L11" s="700"/>
      <c r="M11" s="700"/>
      <c r="N11" s="700"/>
      <c r="O11" s="700"/>
      <c r="P11" s="700"/>
      <c r="Q11" s="700"/>
      <c r="R11" s="700"/>
      <c r="S11" s="700"/>
      <c r="T11" s="700"/>
      <c r="U11" s="700"/>
      <c r="V11" s="700"/>
      <c r="W11" s="700"/>
      <c r="X11" s="700"/>
      <c r="Y11" s="700"/>
      <c r="Z11" s="700"/>
      <c r="AA11" s="700"/>
      <c r="AB11" s="700"/>
      <c r="AC11" s="700"/>
      <c r="AD11" s="700"/>
      <c r="AE11" s="700"/>
      <c r="AF11" s="700"/>
      <c r="AG11" s="700"/>
      <c r="AH11" s="700"/>
      <c r="AI11" s="700"/>
      <c r="AJ11" s="700"/>
      <c r="AK11" s="700"/>
      <c r="AL11" s="700"/>
      <c r="AM11" s="700"/>
      <c r="AN11" s="700"/>
      <c r="AO11" s="700"/>
      <c r="AP11" s="700"/>
      <c r="AQ11" s="700"/>
      <c r="AR11" s="700"/>
      <c r="AS11" s="701"/>
      <c r="AT11" s="689" t="str">
        <f>IF(B11="",0,LEN(B11)-LEN(SUBSTITUTE(B11,".",""))+IF(日期輸入!C10="14勤教",2, 1))&amp;"名"</f>
        <v>15名</v>
      </c>
      <c r="AU11" s="690"/>
      <c r="AV11" s="690"/>
      <c r="AW11" s="691"/>
    </row>
    <row r="12" spans="1:49" ht="20.100000000000001" customHeight="1">
      <c r="A12" s="357" t="str">
        <f>"立即警力 - " &amp;日期輸入!E10</f>
        <v>立即警力 - 2</v>
      </c>
      <c r="B12" s="730" t="str">
        <f xml:space="preserve"> FormattedPeopleCodes("勤務分配", -1, {"立即警力","是"})</f>
        <v/>
      </c>
      <c r="C12" s="731"/>
      <c r="D12" s="731"/>
      <c r="E12" s="731"/>
      <c r="F12" s="731"/>
      <c r="G12" s="731"/>
      <c r="H12" s="731"/>
      <c r="I12" s="731"/>
      <c r="J12" s="731"/>
      <c r="K12" s="731"/>
      <c r="L12" s="731"/>
      <c r="M12" s="731"/>
      <c r="N12" s="731"/>
      <c r="O12" s="731"/>
      <c r="P12" s="731"/>
      <c r="Q12" s="731"/>
      <c r="R12" s="731"/>
      <c r="S12" s="731"/>
      <c r="T12" s="731"/>
      <c r="U12" s="731"/>
      <c r="V12" s="731"/>
      <c r="W12" s="731"/>
      <c r="X12" s="731"/>
      <c r="Y12" s="731"/>
      <c r="Z12" s="731"/>
      <c r="AA12" s="731"/>
      <c r="AB12" s="731"/>
      <c r="AC12" s="731"/>
      <c r="AD12" s="731"/>
      <c r="AE12" s="731"/>
      <c r="AF12" s="731"/>
      <c r="AG12" s="731"/>
      <c r="AH12" s="731"/>
      <c r="AI12" s="731"/>
      <c r="AJ12" s="731"/>
      <c r="AK12" s="731"/>
      <c r="AL12" s="731"/>
      <c r="AM12" s="731"/>
      <c r="AN12" s="731"/>
      <c r="AO12" s="731"/>
      <c r="AP12" s="731"/>
      <c r="AQ12" s="731"/>
      <c r="AR12" s="731"/>
      <c r="AS12" s="732"/>
      <c r="AT12" s="689" t="str">
        <f>IF(B12="",0,LEN(B12)-LEN(SUBSTITUTE(B12,".",""))+1)&amp;"名"</f>
        <v>0名</v>
      </c>
      <c r="AU12" s="690"/>
      <c r="AV12" s="690"/>
      <c r="AW12" s="691"/>
    </row>
    <row r="13" spans="1:49" s="2" customFormat="1" ht="20.100000000000001" customHeight="1">
      <c r="A13" s="358" t="s">
        <v>29</v>
      </c>
      <c r="B13" s="733" t="str">
        <f xml:space="preserve"> FormattedPeopleCodes("勤務分配", -1, {"立即警力","否"})</f>
        <v>A.I.K.L.M.Q</v>
      </c>
      <c r="C13" s="734"/>
      <c r="D13" s="734"/>
      <c r="E13" s="734"/>
      <c r="F13" s="734"/>
      <c r="G13" s="734"/>
      <c r="H13" s="734"/>
      <c r="I13" s="734"/>
      <c r="J13" s="734"/>
      <c r="K13" s="734"/>
      <c r="L13" s="734"/>
      <c r="M13" s="734"/>
      <c r="N13" s="734"/>
      <c r="O13" s="734"/>
      <c r="P13" s="734"/>
      <c r="Q13" s="734"/>
      <c r="R13" s="734"/>
      <c r="S13" s="734"/>
      <c r="T13" s="734"/>
      <c r="U13" s="734"/>
      <c r="V13" s="734"/>
      <c r="W13" s="734"/>
      <c r="X13" s="734"/>
      <c r="Y13" s="734"/>
      <c r="Z13" s="734"/>
      <c r="AA13" s="734"/>
      <c r="AB13" s="734"/>
      <c r="AC13" s="734"/>
      <c r="AD13" s="734"/>
      <c r="AE13" s="734"/>
      <c r="AF13" s="734"/>
      <c r="AG13" s="734"/>
      <c r="AH13" s="734"/>
      <c r="AI13" s="734"/>
      <c r="AJ13" s="734"/>
      <c r="AK13" s="734"/>
      <c r="AL13" s="734"/>
      <c r="AM13" s="734"/>
      <c r="AN13" s="734"/>
      <c r="AO13" s="734"/>
      <c r="AP13" s="734"/>
      <c r="AQ13" s="734"/>
      <c r="AR13" s="734"/>
      <c r="AS13" s="735"/>
      <c r="AT13" s="689" t="str">
        <f>IF(B13="",0,LEN(B13)-LEN(SUBSTITUTE(B13,".",""))+1)&amp;"名"</f>
        <v>6名</v>
      </c>
      <c r="AU13" s="690"/>
      <c r="AV13" s="690"/>
      <c r="AW13" s="691"/>
    </row>
    <row r="14" spans="1:49" s="61" customFormat="1" ht="20.100000000000001" customHeight="1">
      <c r="A14" s="359" t="s">
        <v>243</v>
      </c>
      <c r="B14" s="686" t="s">
        <v>301</v>
      </c>
      <c r="C14" s="687"/>
      <c r="D14" s="687"/>
      <c r="E14" s="687"/>
      <c r="F14" s="687"/>
      <c r="G14" s="687"/>
      <c r="H14" s="687"/>
      <c r="I14" s="687"/>
      <c r="J14" s="687"/>
      <c r="K14" s="687"/>
      <c r="L14" s="687"/>
      <c r="M14" s="687"/>
      <c r="N14" s="687"/>
      <c r="O14" s="687"/>
      <c r="P14" s="687"/>
      <c r="Q14" s="687"/>
      <c r="R14" s="687"/>
      <c r="S14" s="687"/>
      <c r="T14" s="687"/>
      <c r="U14" s="687"/>
      <c r="V14" s="687"/>
      <c r="W14" s="687"/>
      <c r="X14" s="687"/>
      <c r="Y14" s="687"/>
      <c r="Z14" s="687"/>
      <c r="AA14" s="687"/>
      <c r="AB14" s="687"/>
      <c r="AC14" s="687"/>
      <c r="AD14" s="687"/>
      <c r="AE14" s="687"/>
      <c r="AF14" s="687"/>
      <c r="AG14" s="687"/>
      <c r="AH14" s="687"/>
      <c r="AI14" s="687"/>
      <c r="AJ14" s="687"/>
      <c r="AK14" s="687"/>
      <c r="AL14" s="687"/>
      <c r="AM14" s="687"/>
      <c r="AN14" s="687"/>
      <c r="AO14" s="687"/>
      <c r="AP14" s="687"/>
      <c r="AQ14" s="687"/>
      <c r="AR14" s="687"/>
      <c r="AS14" s="688"/>
      <c r="AT14" s="689" t="str">
        <f>IF(LEFT(TRIM(B14),1)="(",0,LEN(B14)-LEN(SUBSTITUTE(B14,".",""))+1)&amp;"名"</f>
        <v>0名</v>
      </c>
      <c r="AU14" s="690"/>
      <c r="AV14" s="690"/>
      <c r="AW14" s="691"/>
    </row>
    <row r="15" spans="1:49" s="60" customFormat="1" ht="20.100000000000001" customHeight="1">
      <c r="A15" s="708" t="s">
        <v>236</v>
      </c>
      <c r="B15" s="709"/>
      <c r="C15" s="709"/>
      <c r="D15" s="709"/>
      <c r="E15" s="709"/>
      <c r="F15" s="709"/>
      <c r="G15" s="709"/>
      <c r="H15" s="709"/>
      <c r="I15" s="709"/>
      <c r="J15" s="709"/>
      <c r="K15" s="709"/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Z15" s="709"/>
      <c r="AA15" s="709"/>
      <c r="AB15" s="709"/>
      <c r="AC15" s="709"/>
      <c r="AD15" s="709"/>
      <c r="AE15" s="709"/>
      <c r="AF15" s="709"/>
      <c r="AG15" s="709"/>
      <c r="AH15" s="709"/>
      <c r="AI15" s="709"/>
      <c r="AJ15" s="709"/>
      <c r="AK15" s="709"/>
      <c r="AL15" s="709"/>
      <c r="AM15" s="709"/>
      <c r="AN15" s="709"/>
      <c r="AO15" s="709"/>
      <c r="AP15" s="709"/>
      <c r="AQ15" s="709"/>
      <c r="AR15" s="709"/>
      <c r="AS15" s="709"/>
      <c r="AT15" s="709"/>
      <c r="AU15" s="709"/>
      <c r="AV15" s="709"/>
      <c r="AW15" s="710"/>
    </row>
    <row r="16" spans="1:49" ht="16.5" customHeight="1">
      <c r="A16" s="711" t="s">
        <v>30</v>
      </c>
      <c r="B16" s="360" t="s">
        <v>31</v>
      </c>
      <c r="C16" s="673" t="s">
        <v>32</v>
      </c>
      <c r="D16" s="674"/>
      <c r="E16" s="674"/>
      <c r="F16" s="674"/>
      <c r="G16" s="675"/>
      <c r="H16" s="673" t="s">
        <v>534</v>
      </c>
      <c r="I16" s="674"/>
      <c r="J16" s="674"/>
      <c r="K16" s="674"/>
      <c r="L16" s="675"/>
      <c r="M16" s="361" t="s">
        <v>33</v>
      </c>
      <c r="N16" s="673" t="s">
        <v>34</v>
      </c>
      <c r="O16" s="674"/>
      <c r="P16" s="674"/>
      <c r="Q16" s="674"/>
      <c r="R16" s="675"/>
      <c r="S16" s="673" t="s">
        <v>436</v>
      </c>
      <c r="T16" s="674"/>
      <c r="U16" s="674"/>
      <c r="V16" s="674"/>
      <c r="W16" s="675"/>
      <c r="X16" s="361"/>
      <c r="Y16" s="714"/>
      <c r="Z16" s="674"/>
      <c r="AA16" s="674"/>
      <c r="AB16" s="674"/>
      <c r="AC16" s="675"/>
      <c r="AD16" s="673"/>
      <c r="AE16" s="674"/>
      <c r="AF16" s="674"/>
      <c r="AG16" s="674"/>
      <c r="AH16" s="675"/>
      <c r="AI16" s="361"/>
      <c r="AJ16" s="673"/>
      <c r="AK16" s="674"/>
      <c r="AL16" s="674"/>
      <c r="AM16" s="674"/>
      <c r="AN16" s="675"/>
      <c r="AO16" s="715"/>
      <c r="AP16" s="674"/>
      <c r="AQ16" s="674"/>
      <c r="AR16" s="674"/>
      <c r="AS16" s="674"/>
      <c r="AT16" s="716"/>
      <c r="AU16" s="717"/>
      <c r="AV16" s="717"/>
      <c r="AW16" s="718"/>
    </row>
    <row r="17" spans="1:49" ht="16.5" customHeight="1">
      <c r="A17" s="712"/>
      <c r="B17" s="360" t="s">
        <v>37</v>
      </c>
      <c r="C17" s="673" t="s">
        <v>118</v>
      </c>
      <c r="D17" s="674"/>
      <c r="E17" s="674"/>
      <c r="F17" s="674"/>
      <c r="G17" s="675"/>
      <c r="H17" s="673" t="s">
        <v>418</v>
      </c>
      <c r="I17" s="674"/>
      <c r="J17" s="674"/>
      <c r="K17" s="674"/>
      <c r="L17" s="675"/>
      <c r="M17" s="268" t="s">
        <v>465</v>
      </c>
      <c r="N17" s="673" t="s">
        <v>118</v>
      </c>
      <c r="O17" s="674"/>
      <c r="P17" s="674"/>
      <c r="Q17" s="674"/>
      <c r="R17" s="675"/>
      <c r="S17" s="673" t="s">
        <v>466</v>
      </c>
      <c r="T17" s="674"/>
      <c r="U17" s="674"/>
      <c r="V17" s="674"/>
      <c r="W17" s="675"/>
      <c r="X17" s="360"/>
      <c r="Y17" s="673"/>
      <c r="Z17" s="674"/>
      <c r="AA17" s="674"/>
      <c r="AB17" s="674"/>
      <c r="AC17" s="675"/>
      <c r="AD17" s="673"/>
      <c r="AE17" s="674"/>
      <c r="AF17" s="674"/>
      <c r="AG17" s="674"/>
      <c r="AH17" s="675"/>
      <c r="AI17" s="362"/>
      <c r="AJ17" s="679"/>
      <c r="AK17" s="674"/>
      <c r="AL17" s="674"/>
      <c r="AM17" s="674"/>
      <c r="AN17" s="675"/>
      <c r="AO17" s="673"/>
      <c r="AP17" s="674"/>
      <c r="AQ17" s="674"/>
      <c r="AR17" s="674"/>
      <c r="AS17" s="675"/>
      <c r="AT17" s="719"/>
      <c r="AU17" s="720"/>
      <c r="AV17" s="720"/>
      <c r="AW17" s="721"/>
    </row>
    <row r="18" spans="1:49" ht="16.5" customHeight="1">
      <c r="A18" s="712"/>
      <c r="B18" s="360" t="s">
        <v>39</v>
      </c>
      <c r="C18" s="673" t="s">
        <v>119</v>
      </c>
      <c r="D18" s="674"/>
      <c r="E18" s="674"/>
      <c r="F18" s="674"/>
      <c r="G18" s="675"/>
      <c r="H18" s="673" t="s">
        <v>501</v>
      </c>
      <c r="I18" s="674"/>
      <c r="J18" s="674"/>
      <c r="K18" s="674"/>
      <c r="L18" s="675"/>
      <c r="M18" s="362" t="s">
        <v>41</v>
      </c>
      <c r="N18" s="679" t="s">
        <v>40</v>
      </c>
      <c r="O18" s="674"/>
      <c r="P18" s="674"/>
      <c r="Q18" s="674"/>
      <c r="R18" s="675"/>
      <c r="S18" s="673" t="s">
        <v>683</v>
      </c>
      <c r="T18" s="674"/>
      <c r="U18" s="674"/>
      <c r="V18" s="674"/>
      <c r="W18" s="675"/>
      <c r="X18" s="360" t="s">
        <v>42</v>
      </c>
      <c r="Y18" s="673" t="s">
        <v>40</v>
      </c>
      <c r="Z18" s="674"/>
      <c r="AA18" s="674"/>
      <c r="AB18" s="674"/>
      <c r="AC18" s="675"/>
      <c r="AD18" s="673" t="s">
        <v>467</v>
      </c>
      <c r="AE18" s="674"/>
      <c r="AF18" s="674"/>
      <c r="AG18" s="674"/>
      <c r="AH18" s="675"/>
      <c r="AI18" s="362" t="s">
        <v>26</v>
      </c>
      <c r="AJ18" s="679" t="s">
        <v>40</v>
      </c>
      <c r="AK18" s="674"/>
      <c r="AL18" s="674"/>
      <c r="AM18" s="674"/>
      <c r="AN18" s="675"/>
      <c r="AO18" s="673" t="s">
        <v>419</v>
      </c>
      <c r="AP18" s="674"/>
      <c r="AQ18" s="674"/>
      <c r="AR18" s="674"/>
      <c r="AS18" s="675"/>
      <c r="AT18" s="719"/>
      <c r="AU18" s="720"/>
      <c r="AV18" s="720"/>
      <c r="AW18" s="721"/>
    </row>
    <row r="19" spans="1:49" ht="16.5" customHeight="1">
      <c r="A19" s="712"/>
      <c r="B19" s="268" t="s">
        <v>43</v>
      </c>
      <c r="C19" s="679" t="s">
        <v>40</v>
      </c>
      <c r="D19" s="674"/>
      <c r="E19" s="674"/>
      <c r="F19" s="674"/>
      <c r="G19" s="675"/>
      <c r="H19" s="715" t="s">
        <v>420</v>
      </c>
      <c r="I19" s="674"/>
      <c r="J19" s="674"/>
      <c r="K19" s="674"/>
      <c r="L19" s="674"/>
      <c r="M19" s="363" t="s">
        <v>44</v>
      </c>
      <c r="N19" s="673" t="s">
        <v>40</v>
      </c>
      <c r="O19" s="674"/>
      <c r="P19" s="674"/>
      <c r="Q19" s="674"/>
      <c r="R19" s="675"/>
      <c r="S19" s="673" t="s">
        <v>468</v>
      </c>
      <c r="T19" s="674"/>
      <c r="U19" s="674"/>
      <c r="V19" s="674"/>
      <c r="W19" s="675"/>
      <c r="X19" s="364" t="s">
        <v>45</v>
      </c>
      <c r="Y19" s="679" t="s">
        <v>40</v>
      </c>
      <c r="Z19" s="674"/>
      <c r="AA19" s="674"/>
      <c r="AB19" s="674"/>
      <c r="AC19" s="675"/>
      <c r="AD19" s="673" t="s">
        <v>421</v>
      </c>
      <c r="AE19" s="674"/>
      <c r="AF19" s="674"/>
      <c r="AG19" s="674"/>
      <c r="AH19" s="675"/>
      <c r="AI19" s="364" t="s">
        <v>46</v>
      </c>
      <c r="AJ19" s="679" t="s">
        <v>40</v>
      </c>
      <c r="AK19" s="674"/>
      <c r="AL19" s="674"/>
      <c r="AM19" s="674"/>
      <c r="AN19" s="675"/>
      <c r="AO19" s="673" t="s">
        <v>422</v>
      </c>
      <c r="AP19" s="674"/>
      <c r="AQ19" s="674"/>
      <c r="AR19" s="674"/>
      <c r="AS19" s="675"/>
      <c r="AT19" s="719"/>
      <c r="AU19" s="722"/>
      <c r="AV19" s="722"/>
      <c r="AW19" s="721"/>
    </row>
    <row r="20" spans="1:49" s="3" customFormat="1" ht="16.5" customHeight="1">
      <c r="A20" s="713"/>
      <c r="B20" s="364" t="s">
        <v>47</v>
      </c>
      <c r="C20" s="679" t="s">
        <v>40</v>
      </c>
      <c r="D20" s="674"/>
      <c r="E20" s="674"/>
      <c r="F20" s="674"/>
      <c r="G20" s="675"/>
      <c r="H20" s="715" t="s">
        <v>423</v>
      </c>
      <c r="I20" s="674"/>
      <c r="J20" s="674"/>
      <c r="K20" s="674"/>
      <c r="L20" s="674"/>
      <c r="M20" s="360"/>
      <c r="N20" s="673"/>
      <c r="O20" s="674"/>
      <c r="P20" s="674"/>
      <c r="Q20" s="674"/>
      <c r="R20" s="675"/>
      <c r="S20" s="673"/>
      <c r="T20" s="674"/>
      <c r="U20" s="674"/>
      <c r="V20" s="674"/>
      <c r="W20" s="675"/>
      <c r="X20" s="364"/>
      <c r="Y20" s="673"/>
      <c r="Z20" s="674"/>
      <c r="AA20" s="674"/>
      <c r="AB20" s="674"/>
      <c r="AC20" s="675"/>
      <c r="AD20" s="673"/>
      <c r="AE20" s="674"/>
      <c r="AF20" s="674"/>
      <c r="AG20" s="674"/>
      <c r="AH20" s="675"/>
      <c r="AI20" s="365"/>
      <c r="AJ20" s="679"/>
      <c r="AK20" s="674"/>
      <c r="AL20" s="674"/>
      <c r="AM20" s="674"/>
      <c r="AN20" s="675"/>
      <c r="AO20" s="703"/>
      <c r="AP20" s="674"/>
      <c r="AQ20" s="674"/>
      <c r="AR20" s="674"/>
      <c r="AS20" s="675"/>
      <c r="AT20" s="719"/>
      <c r="AU20" s="722"/>
      <c r="AV20" s="722"/>
      <c r="AW20" s="721"/>
    </row>
    <row r="21" spans="1:49" s="3" customFormat="1" ht="16.5" customHeight="1">
      <c r="A21" s="859" t="s">
        <v>430</v>
      </c>
      <c r="B21" s="366" t="s">
        <v>709</v>
      </c>
      <c r="C21" s="666" t="s">
        <v>424</v>
      </c>
      <c r="D21" s="667"/>
      <c r="E21" s="668"/>
      <c r="F21" s="366">
        <f>B21+1</f>
        <v>52</v>
      </c>
      <c r="G21" s="666" t="s">
        <v>425</v>
      </c>
      <c r="H21" s="667"/>
      <c r="I21" s="668"/>
      <c r="J21" s="366" t="s">
        <v>710</v>
      </c>
      <c r="K21" s="666" t="s">
        <v>426</v>
      </c>
      <c r="L21" s="667"/>
      <c r="M21" s="668"/>
      <c r="N21" s="366">
        <f>J21+1</f>
        <v>54</v>
      </c>
      <c r="O21" s="666" t="s">
        <v>427</v>
      </c>
      <c r="P21" s="667"/>
      <c r="Q21" s="668"/>
      <c r="R21" s="366">
        <f>N21+1</f>
        <v>55</v>
      </c>
      <c r="S21" s="669" t="s">
        <v>428</v>
      </c>
      <c r="T21" s="667"/>
      <c r="U21" s="668"/>
      <c r="V21" s="366">
        <f>R21+1</f>
        <v>56</v>
      </c>
      <c r="W21" s="669" t="s">
        <v>429</v>
      </c>
      <c r="X21" s="667"/>
      <c r="Y21" s="668"/>
      <c r="Z21" s="366"/>
      <c r="AA21" s="669"/>
      <c r="AB21" s="667"/>
      <c r="AC21" s="668"/>
      <c r="AD21" s="366"/>
      <c r="AE21" s="669"/>
      <c r="AF21" s="667"/>
      <c r="AG21" s="668"/>
      <c r="AH21" s="366"/>
      <c r="AI21" s="704"/>
      <c r="AJ21" s="667"/>
      <c r="AK21" s="668"/>
      <c r="AL21" s="366"/>
      <c r="AM21" s="704"/>
      <c r="AN21" s="667"/>
      <c r="AO21" s="668"/>
      <c r="AP21" s="366"/>
      <c r="AQ21" s="666"/>
      <c r="AR21" s="666"/>
      <c r="AS21" s="666"/>
      <c r="AT21" s="478"/>
      <c r="AU21" s="676"/>
      <c r="AV21" s="677"/>
      <c r="AW21" s="705"/>
    </row>
    <row r="22" spans="1:49" s="3" customFormat="1" ht="16.5" customHeight="1">
      <c r="A22" s="859"/>
      <c r="B22" s="366"/>
      <c r="C22" s="676"/>
      <c r="D22" s="677"/>
      <c r="E22" s="678"/>
      <c r="F22" s="366"/>
      <c r="G22" s="670"/>
      <c r="H22" s="671"/>
      <c r="I22" s="672"/>
      <c r="J22" s="366"/>
      <c r="K22" s="739"/>
      <c r="L22" s="740"/>
      <c r="M22" s="741"/>
      <c r="N22" s="367"/>
      <c r="O22" s="739"/>
      <c r="P22" s="740"/>
      <c r="Q22" s="741"/>
      <c r="R22" s="367"/>
      <c r="S22" s="739"/>
      <c r="T22" s="740"/>
      <c r="U22" s="741"/>
      <c r="V22" s="367"/>
      <c r="W22" s="669"/>
      <c r="X22" s="667"/>
      <c r="Y22" s="668"/>
      <c r="Z22" s="367"/>
      <c r="AA22" s="704"/>
      <c r="AB22" s="667"/>
      <c r="AC22" s="668"/>
      <c r="AD22" s="368"/>
      <c r="AE22" s="704" t="s">
        <v>227</v>
      </c>
      <c r="AF22" s="667"/>
      <c r="AG22" s="668"/>
      <c r="AH22" s="368"/>
      <c r="AI22" s="704"/>
      <c r="AJ22" s="667"/>
      <c r="AK22" s="668"/>
      <c r="AL22" s="368"/>
      <c r="AM22" s="704"/>
      <c r="AN22" s="667"/>
      <c r="AO22" s="668"/>
      <c r="AP22" s="368"/>
      <c r="AQ22" s="704"/>
      <c r="AR22" s="667"/>
      <c r="AS22" s="668"/>
      <c r="AT22" s="368"/>
      <c r="AU22" s="706"/>
      <c r="AV22" s="667"/>
      <c r="AW22" s="707"/>
    </row>
    <row r="23" spans="1:49" s="3" customFormat="1" ht="16.5" customHeight="1">
      <c r="A23" s="859" t="s">
        <v>431</v>
      </c>
      <c r="B23" s="369">
        <v>1</v>
      </c>
      <c r="C23" s="726" t="str">
        <f>' 役男公式'!AN2</f>
        <v>葉家豪</v>
      </c>
      <c r="D23" s="727"/>
      <c r="E23" s="728"/>
      <c r="F23" s="370">
        <v>2</v>
      </c>
      <c r="G23" s="726" t="str">
        <f>' 役男公式'!AN3</f>
        <v>鄭智謙</v>
      </c>
      <c r="H23" s="727"/>
      <c r="I23" s="728"/>
      <c r="J23" s="369">
        <v>3</v>
      </c>
      <c r="K23" s="726" t="str">
        <f>' 役男公式'!AN4</f>
        <v>王敍安</v>
      </c>
      <c r="L23" s="727"/>
      <c r="M23" s="728"/>
      <c r="N23" s="369">
        <v>4</v>
      </c>
      <c r="O23" s="726" t="str">
        <f>' 役男公式'!AN5</f>
        <v>鄭凱文</v>
      </c>
      <c r="P23" s="727"/>
      <c r="Q23" s="728"/>
      <c r="R23" s="371">
        <v>5</v>
      </c>
      <c r="S23" s="726" t="str">
        <f>' 役男公式'!AN6</f>
        <v>蔡政倫</v>
      </c>
      <c r="T23" s="727"/>
      <c r="U23" s="728"/>
      <c r="V23" s="369">
        <v>6</v>
      </c>
      <c r="W23" s="742" t="str">
        <f>' 役男公式'!AN7</f>
        <v>邱昱銘</v>
      </c>
      <c r="X23" s="743"/>
      <c r="Y23" s="744"/>
      <c r="Z23" s="369">
        <v>7</v>
      </c>
      <c r="AA23" s="723" t="str">
        <f>' 役男公式'!AN8</f>
        <v>洪長昇</v>
      </c>
      <c r="AB23" s="724"/>
      <c r="AC23" s="729"/>
      <c r="AD23" s="371">
        <v>8</v>
      </c>
      <c r="AE23" s="726" t="str">
        <f>' 役男公式'!AN9</f>
        <v>許翊呈</v>
      </c>
      <c r="AF23" s="727"/>
      <c r="AG23" s="728"/>
      <c r="AH23" s="371">
        <v>9</v>
      </c>
      <c r="AI23" s="726" t="str">
        <f>' 役男公式'!AN10</f>
        <v>李政聰</v>
      </c>
      <c r="AJ23" s="727"/>
      <c r="AK23" s="728"/>
      <c r="AL23" s="369">
        <v>10</v>
      </c>
      <c r="AM23" s="723" t="str">
        <f>' 役男公式'!AN11</f>
        <v>劉威志</v>
      </c>
      <c r="AN23" s="724"/>
      <c r="AO23" s="729"/>
      <c r="AP23" s="369">
        <v>11</v>
      </c>
      <c r="AQ23" s="723" t="str">
        <f>' 役男公式'!AN12</f>
        <v>梁展碩</v>
      </c>
      <c r="AR23" s="724"/>
      <c r="AS23" s="729"/>
      <c r="AT23" s="371">
        <v>12</v>
      </c>
      <c r="AU23" s="723" t="str">
        <f>' 役男公式'!AN13</f>
        <v>何奕諠</v>
      </c>
      <c r="AV23" s="724"/>
      <c r="AW23" s="725"/>
    </row>
    <row r="24" spans="1:49" s="3" customFormat="1" ht="16.5" customHeight="1">
      <c r="A24" s="859"/>
      <c r="B24" s="369">
        <v>13</v>
      </c>
      <c r="C24" s="736" t="str">
        <f>' 役男公式'!AN14</f>
        <v>楊瑞麟</v>
      </c>
      <c r="D24" s="737"/>
      <c r="E24" s="738"/>
      <c r="F24" s="369">
        <v>14</v>
      </c>
      <c r="G24" s="736" t="str">
        <f>' 役男公式'!AN15</f>
        <v>鄭品豪</v>
      </c>
      <c r="H24" s="737"/>
      <c r="I24" s="738"/>
      <c r="J24" s="369">
        <v>15</v>
      </c>
      <c r="K24" s="736" t="str">
        <f>' 役男公式'!AN16</f>
        <v>林晉弘</v>
      </c>
      <c r="L24" s="737"/>
      <c r="M24" s="738"/>
      <c r="N24" s="369">
        <v>16</v>
      </c>
      <c r="O24" s="736" t="str">
        <f>' 役男公式'!AN17</f>
        <v>張恩齊</v>
      </c>
      <c r="P24" s="737"/>
      <c r="Q24" s="738"/>
      <c r="R24" s="369">
        <v>17</v>
      </c>
      <c r="S24" s="736" t="str">
        <f>' 役男公式'!AN18</f>
        <v>周承澔</v>
      </c>
      <c r="T24" s="737"/>
      <c r="U24" s="738"/>
      <c r="V24" s="369">
        <v>18</v>
      </c>
      <c r="W24" s="736" t="str">
        <f>' 役男公式'!AN19</f>
        <v>蔡政倫</v>
      </c>
      <c r="X24" s="737"/>
      <c r="Y24" s="738"/>
      <c r="Z24" s="511">
        <v>19</v>
      </c>
      <c r="AA24" s="787" t="str">
        <f>' 役男公式'!AN20</f>
        <v>蕭敬哲</v>
      </c>
      <c r="AB24" s="737"/>
      <c r="AC24" s="738"/>
      <c r="AD24" s="469">
        <v>20</v>
      </c>
      <c r="AE24" s="766" t="str">
        <f>' 役男公式'!AN21</f>
        <v>楊鈞翔</v>
      </c>
      <c r="AF24" s="737"/>
      <c r="AG24" s="738"/>
      <c r="AH24" s="469">
        <v>21</v>
      </c>
      <c r="AI24" s="766" t="str">
        <f>' 役男公式'!AN22</f>
        <v>邱俊閎</v>
      </c>
      <c r="AJ24" s="737"/>
      <c r="AK24" s="738"/>
      <c r="AL24" s="469">
        <v>22</v>
      </c>
      <c r="AM24" s="778" t="str">
        <f>' 役男公式'!AN23</f>
        <v>陳奕欣</v>
      </c>
      <c r="AN24" s="737"/>
      <c r="AO24" s="738"/>
      <c r="AP24" s="469">
        <v>23</v>
      </c>
      <c r="AQ24" s="766" t="str">
        <f>' 役男公式'!AN24</f>
        <v>阮成山</v>
      </c>
      <c r="AR24" s="737"/>
      <c r="AS24" s="738"/>
      <c r="AT24" s="369">
        <v>24</v>
      </c>
      <c r="AU24" s="766" t="str">
        <f>' 役男公式'!AN25</f>
        <v>黃品傑</v>
      </c>
      <c r="AV24" s="737"/>
      <c r="AW24" s="738"/>
    </row>
    <row r="25" spans="1:49" s="3" customFormat="1" ht="16.5" customHeight="1">
      <c r="A25" s="859"/>
      <c r="B25" s="369">
        <v>25</v>
      </c>
      <c r="C25" s="736" t="str">
        <f>' 役男公式'!AN26</f>
        <v>唐正瑋</v>
      </c>
      <c r="D25" s="737"/>
      <c r="E25" s="738"/>
      <c r="F25" s="369">
        <v>26</v>
      </c>
      <c r="G25" s="736" t="str">
        <f>' 役男公式'!AN27</f>
        <v>曾慶鈞</v>
      </c>
      <c r="H25" s="737"/>
      <c r="I25" s="738"/>
      <c r="J25" s="369">
        <v>27</v>
      </c>
      <c r="K25" s="736" t="str">
        <f>' 役男公式'!AN28</f>
        <v>游瀚翔</v>
      </c>
      <c r="L25" s="737"/>
      <c r="M25" s="738"/>
      <c r="N25" s="369">
        <v>28</v>
      </c>
      <c r="O25" s="736" t="str">
        <f>' 役男公式'!AN29</f>
        <v>高仲廷</v>
      </c>
      <c r="P25" s="737"/>
      <c r="Q25" s="738"/>
      <c r="R25" s="369">
        <v>29</v>
      </c>
      <c r="S25" s="736" t="str">
        <f>' 役男公式'!AN30</f>
        <v>陳羲</v>
      </c>
      <c r="T25" s="737"/>
      <c r="U25" s="738"/>
      <c r="V25" s="369">
        <v>30</v>
      </c>
      <c r="W25" s="736" t="str">
        <f>' 役男公式'!AN31</f>
        <v>謝昕融</v>
      </c>
      <c r="X25" s="737"/>
      <c r="Y25" s="738"/>
      <c r="Z25" s="511">
        <v>31</v>
      </c>
      <c r="AA25" s="787" t="str">
        <f>' 役男公式'!AN32</f>
        <v>許峰銘</v>
      </c>
      <c r="AB25" s="737"/>
      <c r="AC25" s="738"/>
      <c r="AD25" s="469">
        <v>32</v>
      </c>
      <c r="AE25" s="766" t="str">
        <f>' 役男公式'!AN33</f>
        <v>莊博竣</v>
      </c>
      <c r="AF25" s="737"/>
      <c r="AG25" s="738"/>
      <c r="AH25" s="469">
        <v>33</v>
      </c>
      <c r="AI25" s="766" t="str">
        <f>' 役男公式'!AN34</f>
        <v/>
      </c>
      <c r="AJ25" s="737"/>
      <c r="AK25" s="738"/>
      <c r="AL25" s="469">
        <v>34</v>
      </c>
      <c r="AM25" s="778" t="str">
        <f>' 役男公式'!AN35</f>
        <v/>
      </c>
      <c r="AN25" s="737"/>
      <c r="AO25" s="738"/>
      <c r="AP25" s="469">
        <v>35</v>
      </c>
      <c r="AQ25" s="766" t="str">
        <f>' 役男公式'!AN36</f>
        <v/>
      </c>
      <c r="AR25" s="737"/>
      <c r="AS25" s="738"/>
      <c r="AT25" s="369">
        <v>36</v>
      </c>
      <c r="AU25" s="766" t="str">
        <f>' 役男公式'!AN37</f>
        <v/>
      </c>
      <c r="AV25" s="737"/>
      <c r="AW25" s="738"/>
    </row>
    <row r="26" spans="1:49" s="3" customFormat="1" ht="16.5" customHeight="1">
      <c r="A26" s="859"/>
      <c r="B26" s="510">
        <v>37</v>
      </c>
      <c r="C26" s="766" t="str">
        <f>' 役男公式'!AN38</f>
        <v/>
      </c>
      <c r="D26" s="737"/>
      <c r="E26" s="738"/>
      <c r="F26" s="374">
        <v>38</v>
      </c>
      <c r="G26" s="736" t="str">
        <f>' 役男公式'!AN39</f>
        <v/>
      </c>
      <c r="H26" s="737"/>
      <c r="I26" s="738"/>
      <c r="J26" s="375"/>
      <c r="K26" s="736"/>
      <c r="L26" s="737"/>
      <c r="M26" s="738"/>
      <c r="N26" s="375"/>
      <c r="O26" s="736"/>
      <c r="P26" s="737"/>
      <c r="Q26" s="738"/>
      <c r="R26" s="375"/>
      <c r="S26" s="736"/>
      <c r="T26" s="737"/>
      <c r="U26" s="738"/>
      <c r="V26" s="375"/>
      <c r="W26" s="736"/>
      <c r="X26" s="737"/>
      <c r="Y26" s="738"/>
      <c r="Z26" s="374"/>
      <c r="AA26" s="736"/>
      <c r="AB26" s="737"/>
      <c r="AC26" s="738"/>
      <c r="AD26" s="374"/>
      <c r="AE26" s="749"/>
      <c r="AF26" s="737"/>
      <c r="AG26" s="738"/>
      <c r="AH26" s="374"/>
      <c r="AI26" s="749"/>
      <c r="AJ26" s="737"/>
      <c r="AK26" s="738"/>
      <c r="AL26" s="374"/>
      <c r="AM26" s="766"/>
      <c r="AN26" s="737"/>
      <c r="AO26" s="738"/>
      <c r="AP26" s="374"/>
      <c r="AQ26" s="749"/>
      <c r="AR26" s="737"/>
      <c r="AS26" s="738"/>
      <c r="AT26" s="374"/>
      <c r="AU26" s="764"/>
      <c r="AV26" s="737"/>
      <c r="AW26" s="765"/>
    </row>
    <row r="27" spans="1:49" ht="20.100000000000001" customHeight="1">
      <c r="A27" s="776" t="s">
        <v>48</v>
      </c>
      <c r="B27" s="746"/>
      <c r="C27" s="746"/>
      <c r="D27" s="746"/>
      <c r="E27" s="746"/>
      <c r="F27" s="746"/>
      <c r="G27" s="746"/>
      <c r="H27" s="746"/>
      <c r="I27" s="746"/>
      <c r="J27" s="746"/>
      <c r="K27" s="746"/>
      <c r="L27" s="746"/>
      <c r="M27" s="746"/>
      <c r="N27" s="746"/>
      <c r="O27" s="746"/>
      <c r="P27" s="746"/>
      <c r="Q27" s="746"/>
      <c r="R27" s="746"/>
      <c r="S27" s="746"/>
      <c r="T27" s="746"/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77"/>
      <c r="AI27" s="748" t="s">
        <v>49</v>
      </c>
      <c r="AJ27" s="674"/>
      <c r="AK27" s="674"/>
      <c r="AL27" s="675"/>
      <c r="AM27" s="745" t="s">
        <v>154</v>
      </c>
      <c r="AN27" s="746"/>
      <c r="AO27" s="746"/>
      <c r="AP27" s="746"/>
      <c r="AQ27" s="746"/>
      <c r="AR27" s="746"/>
      <c r="AS27" s="746"/>
      <c r="AT27" s="746"/>
      <c r="AU27" s="746"/>
      <c r="AV27" s="746"/>
      <c r="AW27" s="747"/>
    </row>
    <row r="28" spans="1:49" ht="16.5" customHeight="1">
      <c r="A28" s="372" t="s">
        <v>51</v>
      </c>
      <c r="B28" s="767" t="str">
        <f>FormattedPeopleCodes("勤務分配",10,{"幹部","是"},{"勤務","輪休"})</f>
        <v>E.N.O.P</v>
      </c>
      <c r="C28" s="768"/>
      <c r="D28" s="768"/>
      <c r="E28" s="768"/>
      <c r="F28" s="768"/>
      <c r="G28" s="768"/>
      <c r="H28" s="768"/>
      <c r="I28" s="768"/>
      <c r="J28" s="768"/>
      <c r="K28" s="768"/>
      <c r="L28" s="768"/>
      <c r="M28" s="768"/>
      <c r="N28" s="768"/>
      <c r="O28" s="768"/>
      <c r="P28" s="768"/>
      <c r="Q28" s="768"/>
      <c r="R28" s="768"/>
      <c r="S28" s="768"/>
      <c r="T28" s="768"/>
      <c r="U28" s="768"/>
      <c r="V28" s="768"/>
      <c r="W28" s="768"/>
      <c r="X28" s="768"/>
      <c r="Y28" s="768"/>
      <c r="Z28" s="768"/>
      <c r="AA28" s="768"/>
      <c r="AB28" s="768"/>
      <c r="AC28" s="768"/>
      <c r="AD28" s="768"/>
      <c r="AE28" s="768"/>
      <c r="AF28" s="768"/>
      <c r="AG28" s="768"/>
      <c r="AH28" s="769"/>
      <c r="AI28" s="755">
        <f>IF(B28="",0,LEN(B28)-LEN(SUBSTITUTE(B28,".",""))+1)</f>
        <v>4</v>
      </c>
      <c r="AJ28" s="756"/>
      <c r="AK28" s="756"/>
      <c r="AL28" s="757"/>
      <c r="AM28" s="824">
        <f>SUM(AI28:AI40)</f>
        <v>31</v>
      </c>
      <c r="AN28" s="825"/>
      <c r="AO28" s="825"/>
      <c r="AP28" s="825"/>
      <c r="AQ28" s="825"/>
      <c r="AR28" s="825"/>
      <c r="AS28" s="825"/>
      <c r="AT28" s="825"/>
      <c r="AU28" s="825"/>
      <c r="AV28" s="825"/>
      <c r="AW28" s="826"/>
    </row>
    <row r="29" spans="1:49" ht="16.5" customHeight="1">
      <c r="A29" s="372" t="s">
        <v>52</v>
      </c>
      <c r="B29" s="767" t="str">
        <f>FormattedPeopleCodes("勤務分配",10,{"職稱","警員"},{"勤務","輪休"})</f>
        <v>51.52</v>
      </c>
      <c r="C29" s="768"/>
      <c r="D29" s="768"/>
      <c r="E29" s="768"/>
      <c r="F29" s="768"/>
      <c r="G29" s="768"/>
      <c r="H29" s="768"/>
      <c r="I29" s="768"/>
      <c r="J29" s="768"/>
      <c r="K29" s="768"/>
      <c r="L29" s="768"/>
      <c r="M29" s="768"/>
      <c r="N29" s="768"/>
      <c r="O29" s="768"/>
      <c r="P29" s="768"/>
      <c r="Q29" s="768"/>
      <c r="R29" s="768"/>
      <c r="S29" s="768"/>
      <c r="T29" s="768"/>
      <c r="U29" s="768"/>
      <c r="V29" s="768"/>
      <c r="W29" s="768"/>
      <c r="X29" s="768"/>
      <c r="Y29" s="768"/>
      <c r="Z29" s="768"/>
      <c r="AA29" s="768"/>
      <c r="AB29" s="768"/>
      <c r="AC29" s="768"/>
      <c r="AD29" s="768"/>
      <c r="AE29" s="768"/>
      <c r="AF29" s="768"/>
      <c r="AG29" s="768"/>
      <c r="AH29" s="769"/>
      <c r="AI29" s="755">
        <f>IF(B29="",0,LEN(B29)-LEN(SUBSTITUTE(B29,".",""))+1)</f>
        <v>2</v>
      </c>
      <c r="AJ29" s="756"/>
      <c r="AK29" s="756"/>
      <c r="AL29" s="757"/>
      <c r="AM29" s="827"/>
      <c r="AN29" s="828"/>
      <c r="AO29" s="828"/>
      <c r="AP29" s="828"/>
      <c r="AQ29" s="828"/>
      <c r="AR29" s="828"/>
      <c r="AS29" s="828"/>
      <c r="AT29" s="828"/>
      <c r="AU29" s="828"/>
      <c r="AV29" s="828"/>
      <c r="AW29" s="829"/>
    </row>
    <row r="30" spans="1:49" ht="30" customHeight="1">
      <c r="A30" s="779" t="s">
        <v>229</v>
      </c>
      <c r="B30" s="704" t="s">
        <v>53</v>
      </c>
      <c r="C30" s="750"/>
      <c r="D30" s="750"/>
      <c r="E30" s="751"/>
      <c r="F30" s="788" t="str">
        <f xml:space="preserve"> FormattedPeopleCodes("役男人力",6, {"勤務","全日休"})</f>
        <v>1.15.23.25.28.30</v>
      </c>
      <c r="G30" s="789"/>
      <c r="H30" s="789"/>
      <c r="I30" s="789"/>
      <c r="J30" s="789"/>
      <c r="K30" s="789"/>
      <c r="L30" s="790"/>
      <c r="M30" s="770" t="s">
        <v>207</v>
      </c>
      <c r="N30" s="771"/>
      <c r="O30" s="771"/>
      <c r="P30" s="772"/>
      <c r="Q30" s="803" t="str">
        <f xml:space="preserve"> FormattedPeopleCodes("役男人力", 5, {"勤務","18放","18放早走"})</f>
        <v/>
      </c>
      <c r="R30" s="804"/>
      <c r="S30" s="804"/>
      <c r="T30" s="804"/>
      <c r="U30" s="804"/>
      <c r="V30" s="804"/>
      <c r="W30" s="805"/>
      <c r="X30" s="704" t="s">
        <v>54</v>
      </c>
      <c r="Y30" s="750"/>
      <c r="Z30" s="750"/>
      <c r="AA30" s="751"/>
      <c r="AB30" s="788" t="str">
        <f xml:space="preserve"> FormattedPeopleCodes("役男人力", 5, {"勤務","18收"})</f>
        <v>3.7.8.10.13.
21.22.24.31</v>
      </c>
      <c r="AC30" s="789"/>
      <c r="AD30" s="789"/>
      <c r="AE30" s="789"/>
      <c r="AF30" s="789"/>
      <c r="AG30" s="789"/>
      <c r="AH30" s="790"/>
      <c r="AI30" s="781">
        <f>CountWithValues("役男人力", {"勤務","全日休","18放","18放早走","18收"})</f>
        <v>15</v>
      </c>
      <c r="AJ30" s="782"/>
      <c r="AK30" s="782"/>
      <c r="AL30" s="783"/>
      <c r="AM30" s="827"/>
      <c r="AN30" s="828"/>
      <c r="AO30" s="828"/>
      <c r="AP30" s="828"/>
      <c r="AQ30" s="828"/>
      <c r="AR30" s="828"/>
      <c r="AS30" s="828"/>
      <c r="AT30" s="828"/>
      <c r="AU30" s="828"/>
      <c r="AV30" s="828"/>
      <c r="AW30" s="829"/>
    </row>
    <row r="31" spans="1:49" ht="32.25" customHeight="1">
      <c r="A31" s="713"/>
      <c r="B31" s="752"/>
      <c r="C31" s="753"/>
      <c r="D31" s="753"/>
      <c r="E31" s="754"/>
      <c r="F31" s="791"/>
      <c r="G31" s="792"/>
      <c r="H31" s="792"/>
      <c r="I31" s="792"/>
      <c r="J31" s="792"/>
      <c r="K31" s="792"/>
      <c r="L31" s="793"/>
      <c r="M31" s="773"/>
      <c r="N31" s="774"/>
      <c r="O31" s="774"/>
      <c r="P31" s="775"/>
      <c r="Q31" s="806"/>
      <c r="R31" s="807"/>
      <c r="S31" s="807"/>
      <c r="T31" s="807"/>
      <c r="U31" s="807"/>
      <c r="V31" s="807"/>
      <c r="W31" s="808"/>
      <c r="X31" s="752"/>
      <c r="Y31" s="753"/>
      <c r="Z31" s="753"/>
      <c r="AA31" s="754"/>
      <c r="AB31" s="791"/>
      <c r="AC31" s="792"/>
      <c r="AD31" s="792"/>
      <c r="AE31" s="792"/>
      <c r="AF31" s="792"/>
      <c r="AG31" s="792"/>
      <c r="AH31" s="793"/>
      <c r="AI31" s="784"/>
      <c r="AJ31" s="785"/>
      <c r="AK31" s="785"/>
      <c r="AL31" s="786"/>
      <c r="AM31" s="827"/>
      <c r="AN31" s="828"/>
      <c r="AO31" s="828"/>
      <c r="AP31" s="828"/>
      <c r="AQ31" s="828"/>
      <c r="AR31" s="828"/>
      <c r="AS31" s="828"/>
      <c r="AT31" s="828"/>
      <c r="AU31" s="828"/>
      <c r="AV31" s="828"/>
      <c r="AW31" s="829"/>
    </row>
    <row r="32" spans="1:49" ht="30" customHeight="1">
      <c r="A32" s="780" t="s">
        <v>55</v>
      </c>
      <c r="B32" s="758" t="s">
        <v>217</v>
      </c>
      <c r="C32" s="759"/>
      <c r="D32" s="759"/>
      <c r="E32" s="760"/>
      <c r="F32" s="761" t="str">
        <f xml:space="preserve"> FormattedPeopleCodes("勤務分配", 5, {"退勤","12"})</f>
        <v/>
      </c>
      <c r="G32" s="762"/>
      <c r="H32" s="762"/>
      <c r="I32" s="762"/>
      <c r="J32" s="762"/>
      <c r="K32" s="762"/>
      <c r="L32" s="763"/>
      <c r="M32" s="758" t="s">
        <v>244</v>
      </c>
      <c r="N32" s="759"/>
      <c r="O32" s="759"/>
      <c r="P32" s="760"/>
      <c r="Q32" s="761" t="str">
        <f xml:space="preserve"> FormattedPeopleCodes("勤務分配", 5, {"退勤","16"})</f>
        <v/>
      </c>
      <c r="R32" s="762"/>
      <c r="S32" s="762"/>
      <c r="T32" s="762"/>
      <c r="U32" s="762"/>
      <c r="V32" s="762"/>
      <c r="W32" s="763"/>
      <c r="X32" s="758" t="s">
        <v>233</v>
      </c>
      <c r="Y32" s="759"/>
      <c r="Z32" s="759"/>
      <c r="AA32" s="760"/>
      <c r="AB32" s="797" t="str">
        <f xml:space="preserve"> FormattedPeopleCodes("勤務分配", 5, {"退勤","18"})</f>
        <v>A.L.Q</v>
      </c>
      <c r="AC32" s="798"/>
      <c r="AD32" s="798"/>
      <c r="AE32" s="798"/>
      <c r="AF32" s="798"/>
      <c r="AG32" s="798"/>
      <c r="AH32" s="799"/>
      <c r="AI32" s="781">
        <f>CountWithValues("勤務分配", {"管制現況","退"})</f>
        <v>5</v>
      </c>
      <c r="AJ32" s="782"/>
      <c r="AK32" s="782"/>
      <c r="AL32" s="783"/>
      <c r="AM32" s="827"/>
      <c r="AN32" s="828"/>
      <c r="AO32" s="828"/>
      <c r="AP32" s="828"/>
      <c r="AQ32" s="828"/>
      <c r="AR32" s="828"/>
      <c r="AS32" s="828"/>
      <c r="AT32" s="828"/>
      <c r="AU32" s="828"/>
      <c r="AV32" s="828"/>
      <c r="AW32" s="829"/>
    </row>
    <row r="33" spans="1:51" ht="30" customHeight="1">
      <c r="A33" s="713"/>
      <c r="B33" s="800" t="s">
        <v>234</v>
      </c>
      <c r="C33" s="801"/>
      <c r="D33" s="801"/>
      <c r="E33" s="802"/>
      <c r="F33" s="761" t="str">
        <f xml:space="preserve"> FormattedPeopleCodes("勤務分配", 5, {"退勤","20"})</f>
        <v>I</v>
      </c>
      <c r="G33" s="762"/>
      <c r="H33" s="762"/>
      <c r="I33" s="762"/>
      <c r="J33" s="762"/>
      <c r="K33" s="762"/>
      <c r="L33" s="763"/>
      <c r="M33" s="800" t="s">
        <v>216</v>
      </c>
      <c r="N33" s="801"/>
      <c r="O33" s="801"/>
      <c r="P33" s="802"/>
      <c r="Q33" s="761" t="str">
        <f xml:space="preserve"> FormattedPeopleCodes("勤務分配", 5, {"退勤","22"})</f>
        <v>M</v>
      </c>
      <c r="R33" s="762"/>
      <c r="S33" s="762"/>
      <c r="T33" s="762"/>
      <c r="U33" s="762"/>
      <c r="V33" s="762"/>
      <c r="W33" s="763"/>
      <c r="X33" s="758" t="s">
        <v>245</v>
      </c>
      <c r="Y33" s="759"/>
      <c r="Z33" s="759"/>
      <c r="AA33" s="760"/>
      <c r="AB33" s="797" t="str">
        <f xml:space="preserve"> FormattedPeopleCodes("勤務分配", 5, {"退勤","6"})</f>
        <v/>
      </c>
      <c r="AC33" s="798"/>
      <c r="AD33" s="798"/>
      <c r="AE33" s="798"/>
      <c r="AF33" s="798"/>
      <c r="AG33" s="798"/>
      <c r="AH33" s="799"/>
      <c r="AI33" s="784"/>
      <c r="AJ33" s="785"/>
      <c r="AK33" s="785"/>
      <c r="AL33" s="786"/>
      <c r="AM33" s="827"/>
      <c r="AN33" s="828"/>
      <c r="AO33" s="828"/>
      <c r="AP33" s="828"/>
      <c r="AQ33" s="828"/>
      <c r="AR33" s="828"/>
      <c r="AS33" s="828"/>
      <c r="AT33" s="828"/>
      <c r="AU33" s="828"/>
      <c r="AV33" s="828"/>
      <c r="AW33" s="829"/>
    </row>
    <row r="34" spans="1:51" ht="16.5" customHeight="1">
      <c r="A34" s="373" t="s">
        <v>56</v>
      </c>
      <c r="B34" s="794" t="str">
        <f>FormattedPeopleCodes("勤務分配",5,{"勤務","公假"})&amp;' 役男公式'!BG21</f>
        <v/>
      </c>
      <c r="C34" s="795"/>
      <c r="D34" s="795"/>
      <c r="E34" s="795"/>
      <c r="F34" s="795"/>
      <c r="G34" s="795"/>
      <c r="H34" s="795"/>
      <c r="I34" s="795"/>
      <c r="J34" s="795"/>
      <c r="K34" s="795"/>
      <c r="L34" s="795"/>
      <c r="M34" s="795"/>
      <c r="N34" s="795"/>
      <c r="O34" s="795"/>
      <c r="P34" s="795"/>
      <c r="Q34" s="795"/>
      <c r="R34" s="795"/>
      <c r="S34" s="795"/>
      <c r="T34" s="795"/>
      <c r="U34" s="795"/>
      <c r="V34" s="795"/>
      <c r="W34" s="795"/>
      <c r="X34" s="795"/>
      <c r="Y34" s="795"/>
      <c r="Z34" s="795"/>
      <c r="AA34" s="795"/>
      <c r="AB34" s="795"/>
      <c r="AC34" s="795"/>
      <c r="AD34" s="795"/>
      <c r="AE34" s="795"/>
      <c r="AF34" s="795"/>
      <c r="AG34" s="795"/>
      <c r="AH34" s="796"/>
      <c r="AI34" s="755">
        <f>IF(B34="",0,LEN(B34)-LEN(SUBSTITUTE(B34,".",""))+1)</f>
        <v>0</v>
      </c>
      <c r="AJ34" s="756"/>
      <c r="AK34" s="756"/>
      <c r="AL34" s="757"/>
      <c r="AM34" s="827"/>
      <c r="AN34" s="828"/>
      <c r="AO34" s="828"/>
      <c r="AP34" s="828"/>
      <c r="AQ34" s="828"/>
      <c r="AR34" s="828"/>
      <c r="AS34" s="828"/>
      <c r="AT34" s="828"/>
      <c r="AU34" s="828"/>
      <c r="AV34" s="828"/>
      <c r="AW34" s="829"/>
    </row>
    <row r="35" spans="1:51" ht="16.5" customHeight="1">
      <c r="A35" s="373" t="s">
        <v>57</v>
      </c>
      <c r="B35" s="794" t="str">
        <f>FormattedPeopleCodes("勤務分配",5,{"勤務","喪假"})&amp;' 役男公式'!BG19</f>
        <v/>
      </c>
      <c r="C35" s="795"/>
      <c r="D35" s="795"/>
      <c r="E35" s="795"/>
      <c r="F35" s="795"/>
      <c r="G35" s="795"/>
      <c r="H35" s="795"/>
      <c r="I35" s="795"/>
      <c r="J35" s="795"/>
      <c r="K35" s="795"/>
      <c r="L35" s="795"/>
      <c r="M35" s="795"/>
      <c r="N35" s="795"/>
      <c r="O35" s="795"/>
      <c r="P35" s="795"/>
      <c r="Q35" s="795"/>
      <c r="R35" s="795"/>
      <c r="S35" s="795"/>
      <c r="T35" s="795"/>
      <c r="U35" s="795"/>
      <c r="V35" s="795"/>
      <c r="W35" s="795"/>
      <c r="X35" s="795"/>
      <c r="Y35" s="795"/>
      <c r="Z35" s="795"/>
      <c r="AA35" s="795"/>
      <c r="AB35" s="795"/>
      <c r="AC35" s="795"/>
      <c r="AD35" s="795"/>
      <c r="AE35" s="795"/>
      <c r="AF35" s="795"/>
      <c r="AG35" s="795"/>
      <c r="AH35" s="796"/>
      <c r="AI35" s="755">
        <f>IF(B35="",0,LEN(B35)-LEN(SUBSTITUTE(B35,".",""))+1)</f>
        <v>0</v>
      </c>
      <c r="AJ35" s="756"/>
      <c r="AK35" s="756"/>
      <c r="AL35" s="757"/>
      <c r="AM35" s="827"/>
      <c r="AN35" s="828"/>
      <c r="AO35" s="828"/>
      <c r="AP35" s="828"/>
      <c r="AQ35" s="828"/>
      <c r="AR35" s="828"/>
      <c r="AS35" s="828"/>
      <c r="AT35" s="828"/>
      <c r="AU35" s="828"/>
      <c r="AV35" s="828"/>
      <c r="AW35" s="829"/>
    </row>
    <row r="36" spans="1:51" ht="16.5" customHeight="1">
      <c r="A36" s="373" t="s">
        <v>58</v>
      </c>
      <c r="B36" s="794" t="str">
        <f>FormattedPeopleCodes("勤務分配",5,{"勤務","病(事)假"})&amp;' 役男公式'!BG15</f>
        <v>5(06-22時).32</v>
      </c>
      <c r="C36" s="795"/>
      <c r="D36" s="795"/>
      <c r="E36" s="795"/>
      <c r="F36" s="795"/>
      <c r="G36" s="795"/>
      <c r="H36" s="795"/>
      <c r="I36" s="795"/>
      <c r="J36" s="795"/>
      <c r="K36" s="795"/>
      <c r="L36" s="795"/>
      <c r="M36" s="795"/>
      <c r="N36" s="795"/>
      <c r="O36" s="795"/>
      <c r="P36" s="795"/>
      <c r="Q36" s="795"/>
      <c r="R36" s="795"/>
      <c r="S36" s="795"/>
      <c r="T36" s="795"/>
      <c r="U36" s="795"/>
      <c r="V36" s="795"/>
      <c r="W36" s="795"/>
      <c r="X36" s="795"/>
      <c r="Y36" s="795"/>
      <c r="Z36" s="795"/>
      <c r="AA36" s="795"/>
      <c r="AB36" s="795"/>
      <c r="AC36" s="795"/>
      <c r="AD36" s="795"/>
      <c r="AE36" s="795"/>
      <c r="AF36" s="795"/>
      <c r="AG36" s="795"/>
      <c r="AH36" s="796"/>
      <c r="AI36" s="755">
        <f>IF(B36="",0,LEN(B36)-LEN(SUBSTITUTE(B36,".",""))+1)</f>
        <v>2</v>
      </c>
      <c r="AJ36" s="756"/>
      <c r="AK36" s="756"/>
      <c r="AL36" s="757"/>
      <c r="AM36" s="827"/>
      <c r="AN36" s="828"/>
      <c r="AO36" s="828"/>
      <c r="AP36" s="828"/>
      <c r="AQ36" s="828"/>
      <c r="AR36" s="828"/>
      <c r="AS36" s="828"/>
      <c r="AT36" s="828"/>
      <c r="AU36" s="828"/>
      <c r="AV36" s="828"/>
      <c r="AW36" s="829"/>
    </row>
    <row r="37" spans="1:51" ht="16.5" customHeight="1">
      <c r="A37" s="373" t="s">
        <v>59</v>
      </c>
      <c r="B37" s="794" t="str">
        <f>FormattedPeopleCodes("勤務分配",5,{"勤務","婚(產)假"})</f>
        <v/>
      </c>
      <c r="C37" s="795"/>
      <c r="D37" s="795"/>
      <c r="E37" s="795"/>
      <c r="F37" s="795"/>
      <c r="G37" s="795"/>
      <c r="H37" s="795"/>
      <c r="I37" s="795"/>
      <c r="J37" s="795"/>
      <c r="K37" s="795"/>
      <c r="L37" s="795"/>
      <c r="M37" s="795"/>
      <c r="N37" s="795"/>
      <c r="O37" s="795"/>
      <c r="P37" s="795"/>
      <c r="Q37" s="795"/>
      <c r="R37" s="795"/>
      <c r="S37" s="795"/>
      <c r="T37" s="795"/>
      <c r="U37" s="795"/>
      <c r="V37" s="795"/>
      <c r="W37" s="795"/>
      <c r="X37" s="795"/>
      <c r="Y37" s="795"/>
      <c r="Z37" s="795"/>
      <c r="AA37" s="795"/>
      <c r="AB37" s="795"/>
      <c r="AC37" s="795"/>
      <c r="AD37" s="795"/>
      <c r="AE37" s="795"/>
      <c r="AF37" s="795"/>
      <c r="AG37" s="795"/>
      <c r="AH37" s="796"/>
      <c r="AI37" s="755">
        <f t="shared" ref="AI37" si="0">IF(B37="",0,LEN(B37)-LEN(SUBSTITUTE(B37,".",""))+1)</f>
        <v>0</v>
      </c>
      <c r="AJ37" s="756"/>
      <c r="AK37" s="756"/>
      <c r="AL37" s="757"/>
      <c r="AM37" s="827"/>
      <c r="AN37" s="828"/>
      <c r="AO37" s="828"/>
      <c r="AP37" s="828"/>
      <c r="AQ37" s="828"/>
      <c r="AR37" s="828"/>
      <c r="AS37" s="828"/>
      <c r="AT37" s="828"/>
      <c r="AU37" s="828"/>
      <c r="AV37" s="828"/>
      <c r="AW37" s="829"/>
    </row>
    <row r="38" spans="1:51" s="2" customFormat="1" ht="16.5" customHeight="1">
      <c r="A38" s="373" t="s">
        <v>60</v>
      </c>
      <c r="B38" s="794" t="str">
        <f>FormattedPeopleCodes("勤務分配",5,{"勤務","補休"})&amp;FormattedPeopleCodes("役男人力",5,{"勤務","補休"})</f>
        <v>J</v>
      </c>
      <c r="C38" s="795"/>
      <c r="D38" s="795"/>
      <c r="E38" s="795"/>
      <c r="F38" s="795"/>
      <c r="G38" s="795"/>
      <c r="H38" s="795"/>
      <c r="I38" s="795"/>
      <c r="J38" s="795"/>
      <c r="K38" s="795"/>
      <c r="L38" s="795"/>
      <c r="M38" s="795"/>
      <c r="N38" s="795"/>
      <c r="O38" s="795"/>
      <c r="P38" s="795"/>
      <c r="Q38" s="795"/>
      <c r="R38" s="795"/>
      <c r="S38" s="795"/>
      <c r="T38" s="795"/>
      <c r="U38" s="795"/>
      <c r="V38" s="795"/>
      <c r="W38" s="795"/>
      <c r="X38" s="795"/>
      <c r="Y38" s="795"/>
      <c r="Z38" s="795"/>
      <c r="AA38" s="795"/>
      <c r="AB38" s="795"/>
      <c r="AC38" s="795"/>
      <c r="AD38" s="795"/>
      <c r="AE38" s="795"/>
      <c r="AF38" s="795"/>
      <c r="AG38" s="795"/>
      <c r="AH38" s="796"/>
      <c r="AI38" s="755">
        <f>IF(B38="",0,LEN(B38)-LEN(SUBSTITUTE(B38,".",""))+1)</f>
        <v>1</v>
      </c>
      <c r="AJ38" s="756"/>
      <c r="AK38" s="756"/>
      <c r="AL38" s="757"/>
      <c r="AM38" s="827"/>
      <c r="AN38" s="828"/>
      <c r="AO38" s="828"/>
      <c r="AP38" s="828"/>
      <c r="AQ38" s="828"/>
      <c r="AR38" s="828"/>
      <c r="AS38" s="828"/>
      <c r="AT38" s="828"/>
      <c r="AU38" s="828"/>
      <c r="AV38" s="828"/>
      <c r="AW38" s="829"/>
    </row>
    <row r="39" spans="1:51" ht="16.5" customHeight="1">
      <c r="A39" s="373" t="s">
        <v>61</v>
      </c>
      <c r="B39" s="794" t="str">
        <f>FormattedPeopleCodes("勤務分配",5,{"勤務","休假"})</f>
        <v/>
      </c>
      <c r="C39" s="795"/>
      <c r="D39" s="795"/>
      <c r="E39" s="795"/>
      <c r="F39" s="795"/>
      <c r="G39" s="795"/>
      <c r="H39" s="795"/>
      <c r="I39" s="795"/>
      <c r="J39" s="795"/>
      <c r="K39" s="795"/>
      <c r="L39" s="795"/>
      <c r="M39" s="795"/>
      <c r="N39" s="795"/>
      <c r="O39" s="795"/>
      <c r="P39" s="795"/>
      <c r="Q39" s="795"/>
      <c r="R39" s="795"/>
      <c r="S39" s="795"/>
      <c r="T39" s="795"/>
      <c r="U39" s="795"/>
      <c r="V39" s="795"/>
      <c r="W39" s="795"/>
      <c r="X39" s="795"/>
      <c r="Y39" s="795"/>
      <c r="Z39" s="795"/>
      <c r="AA39" s="795"/>
      <c r="AB39" s="795"/>
      <c r="AC39" s="795"/>
      <c r="AD39" s="795"/>
      <c r="AE39" s="795"/>
      <c r="AF39" s="795"/>
      <c r="AG39" s="795"/>
      <c r="AH39" s="796"/>
      <c r="AI39" s="755">
        <f>IF(B39="",0,LEN(B39)-LEN(SUBSTITUTE(B39,".",""))+1)</f>
        <v>0</v>
      </c>
      <c r="AJ39" s="756"/>
      <c r="AK39" s="756"/>
      <c r="AL39" s="757"/>
      <c r="AM39" s="827"/>
      <c r="AN39" s="828"/>
      <c r="AO39" s="828"/>
      <c r="AP39" s="828"/>
      <c r="AQ39" s="828"/>
      <c r="AR39" s="828"/>
      <c r="AS39" s="828"/>
      <c r="AT39" s="828"/>
      <c r="AU39" s="828"/>
      <c r="AV39" s="828"/>
      <c r="AW39" s="829"/>
      <c r="AY39" s="30" t="s">
        <v>227</v>
      </c>
    </row>
    <row r="40" spans="1:51" ht="16.5" customHeight="1">
      <c r="A40" s="373" t="s">
        <v>235</v>
      </c>
      <c r="B40" s="821" t="str">
        <f>FormattedPeopleCodes("勤務分配",5,{"勤務","榮譽假"})&amp;' 役男公式'!BG10</f>
        <v>20(18-22時).27(18-22時)</v>
      </c>
      <c r="C40" s="822"/>
      <c r="D40" s="822"/>
      <c r="E40" s="822"/>
      <c r="F40" s="822"/>
      <c r="G40" s="822"/>
      <c r="H40" s="822"/>
      <c r="I40" s="822"/>
      <c r="J40" s="822"/>
      <c r="K40" s="822"/>
      <c r="L40" s="822"/>
      <c r="M40" s="822"/>
      <c r="N40" s="822"/>
      <c r="O40" s="822"/>
      <c r="P40" s="822"/>
      <c r="Q40" s="822"/>
      <c r="R40" s="822"/>
      <c r="S40" s="822"/>
      <c r="T40" s="822"/>
      <c r="U40" s="822"/>
      <c r="V40" s="822"/>
      <c r="W40" s="822"/>
      <c r="X40" s="822"/>
      <c r="Y40" s="822"/>
      <c r="Z40" s="822"/>
      <c r="AA40" s="822"/>
      <c r="AB40" s="822"/>
      <c r="AC40" s="822"/>
      <c r="AD40" s="822"/>
      <c r="AE40" s="822"/>
      <c r="AF40" s="822"/>
      <c r="AG40" s="822"/>
      <c r="AH40" s="823"/>
      <c r="AI40" s="755">
        <f>IF(B40="",0,LEN(B40)-LEN(SUBSTITUTE(B40,".",""))+1)</f>
        <v>2</v>
      </c>
      <c r="AJ40" s="756"/>
      <c r="AK40" s="756"/>
      <c r="AL40" s="757"/>
      <c r="AM40" s="830"/>
      <c r="AN40" s="831"/>
      <c r="AO40" s="831"/>
      <c r="AP40" s="831"/>
      <c r="AQ40" s="831"/>
      <c r="AR40" s="831"/>
      <c r="AS40" s="831"/>
      <c r="AT40" s="831"/>
      <c r="AU40" s="831"/>
      <c r="AV40" s="831"/>
      <c r="AW40" s="832"/>
    </row>
    <row r="41" spans="1:51" ht="20.100000000000001" customHeight="1">
      <c r="A41" s="708" t="s">
        <v>62</v>
      </c>
      <c r="B41" s="709"/>
      <c r="C41" s="709"/>
      <c r="D41" s="709"/>
      <c r="E41" s="709"/>
      <c r="F41" s="709"/>
      <c r="G41" s="709"/>
      <c r="H41" s="709"/>
      <c r="I41" s="709"/>
      <c r="J41" s="709"/>
      <c r="K41" s="709"/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09"/>
      <c r="AL41" s="709"/>
      <c r="AM41" s="709"/>
      <c r="AN41" s="709"/>
      <c r="AO41" s="709"/>
      <c r="AP41" s="709"/>
      <c r="AQ41" s="709"/>
      <c r="AR41" s="709"/>
      <c r="AS41" s="709"/>
      <c r="AT41" s="709"/>
      <c r="AU41" s="709"/>
      <c r="AV41" s="709"/>
      <c r="AW41" s="710"/>
    </row>
    <row r="42" spans="1:51" ht="16.5" customHeight="1">
      <c r="A42" s="819" t="s">
        <v>63</v>
      </c>
      <c r="B42" s="816"/>
      <c r="C42" s="816"/>
      <c r="D42" s="820"/>
      <c r="E42" s="818" t="s">
        <v>32</v>
      </c>
      <c r="F42" s="674"/>
      <c r="G42" s="674"/>
      <c r="H42" s="674"/>
      <c r="I42" s="675"/>
      <c r="J42" s="818" t="s">
        <v>34</v>
      </c>
      <c r="K42" s="674"/>
      <c r="L42" s="674"/>
      <c r="M42" s="674"/>
      <c r="N42" s="675"/>
      <c r="O42" s="818" t="s">
        <v>35</v>
      </c>
      <c r="P42" s="674"/>
      <c r="Q42" s="674"/>
      <c r="R42" s="674"/>
      <c r="S42" s="675"/>
      <c r="T42" s="818" t="s">
        <v>38</v>
      </c>
      <c r="U42" s="674"/>
      <c r="V42" s="674"/>
      <c r="W42" s="674"/>
      <c r="X42" s="675"/>
      <c r="Y42" s="818" t="s">
        <v>40</v>
      </c>
      <c r="Z42" s="674"/>
      <c r="AA42" s="674"/>
      <c r="AB42" s="674"/>
      <c r="AC42" s="675"/>
      <c r="AD42" s="818" t="s">
        <v>36</v>
      </c>
      <c r="AE42" s="674"/>
      <c r="AF42" s="674"/>
      <c r="AG42" s="674"/>
      <c r="AH42" s="675"/>
      <c r="AI42" s="818" t="s">
        <v>64</v>
      </c>
      <c r="AJ42" s="674"/>
      <c r="AK42" s="674"/>
      <c r="AL42" s="674"/>
      <c r="AM42" s="675"/>
      <c r="AN42" s="818" t="s">
        <v>65</v>
      </c>
      <c r="AO42" s="674"/>
      <c r="AP42" s="674"/>
      <c r="AQ42" s="674"/>
      <c r="AR42" s="675"/>
      <c r="AS42" s="815" t="s">
        <v>50</v>
      </c>
      <c r="AT42" s="816"/>
      <c r="AU42" s="816"/>
      <c r="AV42" s="816"/>
      <c r="AW42" s="817"/>
    </row>
    <row r="43" spans="1:51" ht="16.5" customHeight="1">
      <c r="A43" s="819" t="s">
        <v>66</v>
      </c>
      <c r="B43" s="816"/>
      <c r="C43" s="816"/>
      <c r="D43" s="820"/>
      <c r="E43" s="812">
        <f>FullTimeCountByColumnValueInList("職稱",{"中隊長"})</f>
        <v>1</v>
      </c>
      <c r="F43" s="813"/>
      <c r="G43" s="813"/>
      <c r="H43" s="813"/>
      <c r="I43" s="814"/>
      <c r="J43" s="812">
        <f>FullTimeCountByColumnValueInList("職稱",{"副中隊長"})</f>
        <v>1</v>
      </c>
      <c r="K43" s="813"/>
      <c r="L43" s="813"/>
      <c r="M43" s="813"/>
      <c r="N43" s="814"/>
      <c r="O43" s="812">
        <f>FullTimeCountByColumnValueInList("職稱",{"警務員"})</f>
        <v>0</v>
      </c>
      <c r="P43" s="813"/>
      <c r="Q43" s="813"/>
      <c r="R43" s="813"/>
      <c r="S43" s="814"/>
      <c r="T43" s="812">
        <f>FullTimeCountByColumnValueInList("職稱",{"分隊長"})</f>
        <v>2</v>
      </c>
      <c r="U43" s="813"/>
      <c r="V43" s="813"/>
      <c r="W43" s="813"/>
      <c r="X43" s="814"/>
      <c r="Y43" s="812">
        <f>FullTimeCountByColumnValueInList("職稱",{"小隊長"})</f>
        <v>9</v>
      </c>
      <c r="Z43" s="813"/>
      <c r="AA43" s="813"/>
      <c r="AB43" s="813"/>
      <c r="AC43" s="814"/>
      <c r="AD43" s="812">
        <f>FullTimeCountByColumnValueInList("職稱",{"警務佐"})</f>
        <v>0</v>
      </c>
      <c r="AE43" s="813"/>
      <c r="AF43" s="813"/>
      <c r="AG43" s="813"/>
      <c r="AH43" s="814"/>
      <c r="AI43" s="812">
        <f>FullTimeCountByColumnValueInList("職稱",{"警員"})</f>
        <v>6</v>
      </c>
      <c r="AJ43" s="813"/>
      <c r="AK43" s="813"/>
      <c r="AL43" s="813"/>
      <c r="AM43" s="814"/>
      <c r="AN43" s="809">
        <f>YiCountByColumnValueInList("職稱", {"役男"})</f>
        <v>32</v>
      </c>
      <c r="AO43" s="810"/>
      <c r="AP43" s="810"/>
      <c r="AQ43" s="810"/>
      <c r="AR43" s="811"/>
      <c r="AS43" s="833">
        <f t="shared" ref="AS43:AS49" si="1">SUM(E43:AR43)</f>
        <v>51</v>
      </c>
      <c r="AT43" s="834"/>
      <c r="AU43" s="834"/>
      <c r="AV43" s="834"/>
      <c r="AW43" s="835"/>
    </row>
    <row r="44" spans="1:51" ht="16.5" customHeight="1">
      <c r="A44" s="819" t="s">
        <v>67</v>
      </c>
      <c r="B44" s="816"/>
      <c r="C44" s="816"/>
      <c r="D44" s="820"/>
      <c r="E44" s="812">
        <f>FullTimeCountByTwoColumnValues("職稱", "中隊長", "管制現況", "假")</f>
        <v>0</v>
      </c>
      <c r="F44" s="813"/>
      <c r="G44" s="813"/>
      <c r="H44" s="813"/>
      <c r="I44" s="814"/>
      <c r="J44" s="812">
        <f>FullTimeCountByTwoColumnValues("職稱", "副中隊長", "管制現況", "假")</f>
        <v>0</v>
      </c>
      <c r="K44" s="813"/>
      <c r="L44" s="813"/>
      <c r="M44" s="813"/>
      <c r="N44" s="814"/>
      <c r="O44" s="812">
        <f>FullTimeCountByTwoColumnValues("職稱", "警務員", "管制現況", "假")</f>
        <v>0</v>
      </c>
      <c r="P44" s="813"/>
      <c r="Q44" s="813"/>
      <c r="R44" s="813"/>
      <c r="S44" s="814"/>
      <c r="T44" s="812">
        <f>FullTimeCountByTwoColumnValues("職稱", "分隊長", "管制現況", "假")</f>
        <v>2</v>
      </c>
      <c r="U44" s="813"/>
      <c r="V44" s="813"/>
      <c r="W44" s="813"/>
      <c r="X44" s="814"/>
      <c r="Y44" s="812">
        <f>FullTimeCountByTwoColumnValues("職稱", "小隊長", "管制現況", "假")</f>
        <v>4</v>
      </c>
      <c r="Z44" s="813"/>
      <c r="AA44" s="813"/>
      <c r="AB44" s="813"/>
      <c r="AC44" s="814"/>
      <c r="AD44" s="812">
        <f>FullTimeCountByTwoColumnValues("職稱", "警務佐", "管制現況", "假")</f>
        <v>0</v>
      </c>
      <c r="AE44" s="813"/>
      <c r="AF44" s="813"/>
      <c r="AG44" s="813"/>
      <c r="AH44" s="814"/>
      <c r="AI44" s="812">
        <f>FullTimeCountByTwoColumnValues("職稱", "警員", "管制現況", "假")</f>
        <v>2</v>
      </c>
      <c r="AJ44" s="813"/>
      <c r="AK44" s="813"/>
      <c r="AL44" s="813"/>
      <c r="AM44" s="814"/>
      <c r="AN44" s="812">
        <f>YiCountByColumnValueInList("管制現況",{"假"})</f>
        <v>17</v>
      </c>
      <c r="AO44" s="813"/>
      <c r="AP44" s="813"/>
      <c r="AQ44" s="813"/>
      <c r="AR44" s="814"/>
      <c r="AS44" s="839">
        <f t="shared" si="1"/>
        <v>25</v>
      </c>
      <c r="AT44" s="840"/>
      <c r="AU44" s="840"/>
      <c r="AV44" s="840"/>
      <c r="AW44" s="841"/>
    </row>
    <row r="45" spans="1:51" ht="16.5" customHeight="1">
      <c r="A45" s="819" t="s">
        <v>68</v>
      </c>
      <c r="B45" s="816"/>
      <c r="C45" s="816"/>
      <c r="D45" s="820"/>
      <c r="E45" s="812">
        <f>FullTimeCountByTwoColumnValues("職稱", "中隊長", "勤務", "支援總(大)隊")</f>
        <v>0</v>
      </c>
      <c r="F45" s="813"/>
      <c r="G45" s="813"/>
      <c r="H45" s="813"/>
      <c r="I45" s="814"/>
      <c r="J45" s="812">
        <f>FullTimeCountByTwoColumnValues("職稱", "副中隊長", "勤務", "支援總(大)隊")</f>
        <v>0</v>
      </c>
      <c r="K45" s="813"/>
      <c r="L45" s="813"/>
      <c r="M45" s="813"/>
      <c r="N45" s="814"/>
      <c r="O45" s="812">
        <f>FullTimeCountByTwoColumnValues("職稱", "警務員", "勤務", "支援總(大)隊")</f>
        <v>0</v>
      </c>
      <c r="P45" s="813"/>
      <c r="Q45" s="813"/>
      <c r="R45" s="813"/>
      <c r="S45" s="814"/>
      <c r="T45" s="812">
        <f>CountWithValues("勤務分配", {"職稱","分隊長"}, {"勤務","支援總(大)隊","大隊值日(日)","大隊值日(夜)","08-18水電科"})</f>
        <v>0</v>
      </c>
      <c r="U45" s="813"/>
      <c r="V45" s="813"/>
      <c r="W45" s="813"/>
      <c r="X45" s="814"/>
      <c r="Y45" s="812">
        <f>CountWithValues("勤務分配", {"職稱","小隊長"}, {"勤務","支援總(大)隊","大隊值日(日)","大隊值日(夜)","08-18水電科"})</f>
        <v>1</v>
      </c>
      <c r="Z45" s="813"/>
      <c r="AA45" s="813"/>
      <c r="AB45" s="813"/>
      <c r="AC45" s="814"/>
      <c r="AD45" s="812">
        <f>CountWithValues("勤務分配", {"職稱","警務佐"}, {"勤務","支援總(大)隊","大隊值日(日)","大隊值日(夜)","08-18水電科"})</f>
        <v>0</v>
      </c>
      <c r="AE45" s="813"/>
      <c r="AF45" s="813"/>
      <c r="AG45" s="813"/>
      <c r="AH45" s="814"/>
      <c r="AI45" s="812">
        <f>CountWithValues("勤務分配", {"職稱","警員"}, {"勤務","支援總(大)隊","大隊值日(日)","大隊值日(夜)","08-18水電科","08-18秘書室"})</f>
        <v>4</v>
      </c>
      <c r="AJ45" s="813"/>
      <c r="AK45" s="813"/>
      <c r="AL45" s="813"/>
      <c r="AM45" s="814"/>
      <c r="AN45" s="812">
        <f>YiCountByColumnValueInList("管制現況",{"支援總(大)隊"})</f>
        <v>0</v>
      </c>
      <c r="AO45" s="813"/>
      <c r="AP45" s="813"/>
      <c r="AQ45" s="813"/>
      <c r="AR45" s="814"/>
      <c r="AS45" s="833">
        <f t="shared" si="1"/>
        <v>5</v>
      </c>
      <c r="AT45" s="834"/>
      <c r="AU45" s="834"/>
      <c r="AV45" s="834"/>
      <c r="AW45" s="835"/>
    </row>
    <row r="46" spans="1:51" ht="16.5" customHeight="1">
      <c r="A46" s="819" t="s">
        <v>69</v>
      </c>
      <c r="B46" s="816"/>
      <c r="C46" s="816"/>
      <c r="D46" s="820"/>
      <c r="E46" s="812">
        <f>FullTimeCountByTwoColumnValues("職稱", "中隊長", "勤務", "支援(其他)")</f>
        <v>0</v>
      </c>
      <c r="F46" s="813"/>
      <c r="G46" s="813"/>
      <c r="H46" s="813"/>
      <c r="I46" s="814"/>
      <c r="J46" s="812">
        <f>CountWithValues("勤務分配", {"職稱","副中隊長"}, {"勤務","支援檢疫所","支援(其他)"})</f>
        <v>1</v>
      </c>
      <c r="K46" s="813"/>
      <c r="L46" s="813"/>
      <c r="M46" s="813"/>
      <c r="N46" s="814"/>
      <c r="O46" s="812">
        <f>FullTimeCountByTwoColumnValues("職稱", "警務員", "勤務", "支援(其他)")</f>
        <v>0</v>
      </c>
      <c r="P46" s="813"/>
      <c r="Q46" s="813"/>
      <c r="R46" s="813"/>
      <c r="S46" s="814"/>
      <c r="T46" s="812">
        <f>FullTimeCountByTwoColumnValues("職稱", "分隊長", "勤務", "支援(其他)")</f>
        <v>0</v>
      </c>
      <c r="U46" s="813"/>
      <c r="V46" s="813"/>
      <c r="W46" s="813"/>
      <c r="X46" s="814"/>
      <c r="Y46" s="812">
        <f>CountWithValues("勤務分配", {"職稱","小隊長"}, {"勤務","支援檢疫所","支援(其他)"})</f>
        <v>0</v>
      </c>
      <c r="Z46" s="813"/>
      <c r="AA46" s="813"/>
      <c r="AB46" s="813"/>
      <c r="AC46" s="814"/>
      <c r="AD46" s="812">
        <f>FullTimeCountByTwoColumnValues("職稱", "警務佐", "勤務", "支援(其他)")</f>
        <v>0</v>
      </c>
      <c r="AE46" s="813"/>
      <c r="AF46" s="813"/>
      <c r="AG46" s="813"/>
      <c r="AH46" s="814"/>
      <c r="AI46" s="812">
        <f>FullTimeCountByTwoColumnValues("職稱", "警員", "勤務", "支援(其他)")</f>
        <v>0</v>
      </c>
      <c r="AJ46" s="813"/>
      <c r="AK46" s="813"/>
      <c r="AL46" s="813"/>
      <c r="AM46" s="814"/>
      <c r="AN46" s="812">
        <f>YiCountByColumnValueInList("管制現況",{"支援(其他)"})</f>
        <v>0</v>
      </c>
      <c r="AO46" s="813"/>
      <c r="AP46" s="813"/>
      <c r="AQ46" s="813"/>
      <c r="AR46" s="814"/>
      <c r="AS46" s="833">
        <f t="shared" si="1"/>
        <v>1</v>
      </c>
      <c r="AT46" s="834"/>
      <c r="AU46" s="834"/>
      <c r="AV46" s="834"/>
      <c r="AW46" s="835"/>
    </row>
    <row r="47" spans="1:51" ht="16.5" customHeight="1">
      <c r="A47" s="819" t="s">
        <v>55</v>
      </c>
      <c r="B47" s="816"/>
      <c r="C47" s="816"/>
      <c r="D47" s="820"/>
      <c r="E47" s="812">
        <f>FullTimeCountByTwoColumnValues("職稱", "中隊長", "管制現況", "退")</f>
        <v>1</v>
      </c>
      <c r="F47" s="813"/>
      <c r="G47" s="813"/>
      <c r="H47" s="813"/>
      <c r="I47" s="814"/>
      <c r="J47" s="812">
        <f>FullTimeCountByTwoColumnValues("職稱", "副中隊長", "管制現況", "退")</f>
        <v>0</v>
      </c>
      <c r="K47" s="813"/>
      <c r="L47" s="813"/>
      <c r="M47" s="813"/>
      <c r="N47" s="814"/>
      <c r="O47" s="812">
        <f>FullTimeCountByTwoColumnValues("職稱", "警務員", "管制現況", "退")</f>
        <v>0</v>
      </c>
      <c r="P47" s="813"/>
      <c r="Q47" s="813"/>
      <c r="R47" s="813"/>
      <c r="S47" s="814"/>
      <c r="T47" s="812">
        <f>FullTimeCountByTwoColumnValues("職稱", "分隊長", "管制現況", "退")</f>
        <v>0</v>
      </c>
      <c r="U47" s="813"/>
      <c r="V47" s="813"/>
      <c r="W47" s="813"/>
      <c r="X47" s="814"/>
      <c r="Y47" s="812">
        <f>FullTimeCountByTwoColumnValues("職稱", "小隊長", "管制現況", "退")</f>
        <v>4</v>
      </c>
      <c r="Z47" s="813"/>
      <c r="AA47" s="813"/>
      <c r="AB47" s="813"/>
      <c r="AC47" s="814"/>
      <c r="AD47" s="812">
        <f>FullTimeCountByTwoColumnValues("職稱", "警務佐", "管制現況", "退")</f>
        <v>0</v>
      </c>
      <c r="AE47" s="813"/>
      <c r="AF47" s="813"/>
      <c r="AG47" s="813"/>
      <c r="AH47" s="814"/>
      <c r="AI47" s="812">
        <f>FullTimeCountByTwoColumnValues("職稱", "警員", "管制現況", "退")</f>
        <v>0</v>
      </c>
      <c r="AJ47" s="813"/>
      <c r="AK47" s="813"/>
      <c r="AL47" s="813"/>
      <c r="AM47" s="814"/>
      <c r="AN47" s="812">
        <f>YiCountByColumnValueInList("管制現況",{"退"})</f>
        <v>0</v>
      </c>
      <c r="AO47" s="813"/>
      <c r="AP47" s="813"/>
      <c r="AQ47" s="813"/>
      <c r="AR47" s="814"/>
      <c r="AS47" s="833">
        <f>SUM(E47:AR47)</f>
        <v>5</v>
      </c>
      <c r="AT47" s="834"/>
      <c r="AU47" s="834"/>
      <c r="AV47" s="834"/>
      <c r="AW47" s="835"/>
    </row>
    <row r="48" spans="1:51" ht="16.5" customHeight="1">
      <c r="A48" s="836" t="s">
        <v>70</v>
      </c>
      <c r="B48" s="837"/>
      <c r="C48" s="837"/>
      <c r="D48" s="838"/>
      <c r="E48" s="812">
        <f>FullTimeCountByTwoColumnValues("職稱", "中隊長", "日間機動", "是")</f>
        <v>1</v>
      </c>
      <c r="F48" s="813"/>
      <c r="G48" s="813"/>
      <c r="H48" s="813"/>
      <c r="I48" s="814"/>
      <c r="J48" s="812">
        <f>FullTimeCountByTwoColumnValues("職稱", "副中隊長", "日間機動", "是")</f>
        <v>0</v>
      </c>
      <c r="K48" s="813"/>
      <c r="L48" s="813"/>
      <c r="M48" s="813"/>
      <c r="N48" s="814"/>
      <c r="O48" s="812">
        <f>FullTimeCountByTwoColumnValues("職稱", "警務員", "日間機動", "是")</f>
        <v>0</v>
      </c>
      <c r="P48" s="813"/>
      <c r="Q48" s="813"/>
      <c r="R48" s="813"/>
      <c r="S48" s="814"/>
      <c r="T48" s="812">
        <f>FullTimeCountByTwoColumnValues("職稱", "分隊長", "日間機動", "是")</f>
        <v>0</v>
      </c>
      <c r="U48" s="813"/>
      <c r="V48" s="813"/>
      <c r="W48" s="813"/>
      <c r="X48" s="814"/>
      <c r="Y48" s="852">
        <f>FullTimeCountByTwoColumnValues("職稱", "小隊長", "日間機動", "是")</f>
        <v>2</v>
      </c>
      <c r="Z48" s="853"/>
      <c r="AA48" s="853"/>
      <c r="AB48" s="853"/>
      <c r="AC48" s="854"/>
      <c r="AD48" s="812">
        <f>FullTimeCountByTwoColumnValues("職稱", "警務佐", "日間機動", "是")</f>
        <v>0</v>
      </c>
      <c r="AE48" s="813"/>
      <c r="AF48" s="813"/>
      <c r="AG48" s="813"/>
      <c r="AH48" s="814"/>
      <c r="AI48" s="812">
        <f>FullTimeCountByTwoColumnValues("職稱", "警員", "日間機動", "是")</f>
        <v>0</v>
      </c>
      <c r="AJ48" s="813"/>
      <c r="AK48" s="813"/>
      <c r="AL48" s="813"/>
      <c r="AM48" s="814"/>
      <c r="AN48" s="812">
        <f>YiCountByColumnValueInList("日間機動",{"是"})</f>
        <v>12</v>
      </c>
      <c r="AO48" s="813"/>
      <c r="AP48" s="813"/>
      <c r="AQ48" s="813"/>
      <c r="AR48" s="814"/>
      <c r="AS48" s="833">
        <f>SUM(E48:AR48)</f>
        <v>15</v>
      </c>
      <c r="AT48" s="834"/>
      <c r="AU48" s="834"/>
      <c r="AV48" s="834"/>
      <c r="AW48" s="835"/>
    </row>
    <row r="49" spans="1:49" ht="16.5" customHeight="1">
      <c r="A49" s="836" t="s">
        <v>71</v>
      </c>
      <c r="B49" s="837"/>
      <c r="C49" s="837"/>
      <c r="D49" s="838"/>
      <c r="E49" s="812">
        <f>FullTimeCountByTwoColumnValues("職稱", "中隊長", "夜間機動", "是")</f>
        <v>0</v>
      </c>
      <c r="F49" s="813"/>
      <c r="G49" s="813"/>
      <c r="H49" s="813"/>
      <c r="I49" s="814"/>
      <c r="J49" s="812">
        <f>FullTimeCountByTwoColumnValues("職稱", "副中隊長", "夜間機動", "是")</f>
        <v>0</v>
      </c>
      <c r="K49" s="813"/>
      <c r="L49" s="813"/>
      <c r="M49" s="813"/>
      <c r="N49" s="814"/>
      <c r="O49" s="812">
        <f>FullTimeCountByTwoColumnValues("職稱", "警務員", "夜間機動", "是")</f>
        <v>0</v>
      </c>
      <c r="P49" s="813"/>
      <c r="Q49" s="813"/>
      <c r="R49" s="813"/>
      <c r="S49" s="814"/>
      <c r="T49" s="812">
        <f>FullTimeCountByTwoColumnValues("職稱", "分隊長", "夜間機動", "是")</f>
        <v>0</v>
      </c>
      <c r="U49" s="813"/>
      <c r="V49" s="813"/>
      <c r="W49" s="813"/>
      <c r="X49" s="814"/>
      <c r="Y49" s="852">
        <f>FullTimeCountByTwoColumnValues("職稱", "小隊長", "夜間機動", "是")</f>
        <v>1</v>
      </c>
      <c r="Z49" s="853"/>
      <c r="AA49" s="853"/>
      <c r="AB49" s="853"/>
      <c r="AC49" s="854"/>
      <c r="AD49" s="812">
        <f>FullTimeCountByTwoColumnValues("職稱", "警務佐", "夜間機動", "是")</f>
        <v>0</v>
      </c>
      <c r="AE49" s="813"/>
      <c r="AF49" s="813"/>
      <c r="AG49" s="813"/>
      <c r="AH49" s="814"/>
      <c r="AI49" s="812">
        <f>FullTimeCountByTwoColumnValues("職稱", "警員", "夜間機動", "是")</f>
        <v>0</v>
      </c>
      <c r="AJ49" s="813"/>
      <c r="AK49" s="813"/>
      <c r="AL49" s="813"/>
      <c r="AM49" s="814"/>
      <c r="AN49" s="812">
        <f>YiCountByColumnValueInList("夜間機動",{"是"})</f>
        <v>22</v>
      </c>
      <c r="AO49" s="813"/>
      <c r="AP49" s="813"/>
      <c r="AQ49" s="813"/>
      <c r="AR49" s="814"/>
      <c r="AS49" s="833">
        <f t="shared" si="1"/>
        <v>23</v>
      </c>
      <c r="AT49" s="834"/>
      <c r="AU49" s="834"/>
      <c r="AV49" s="834"/>
      <c r="AW49" s="835"/>
    </row>
    <row r="50" spans="1:49" ht="16.5" customHeight="1">
      <c r="A50" s="858" t="s">
        <v>72</v>
      </c>
      <c r="B50" s="844" t="str">
        <f>"※本日在隊役男：" &amp; FormattedYiCodesByColumnValueInList("在隊",{"是"}, -1) &amp; "等共" &amp; YiCountByColumnValueInList("在隊",{"是"}) &amp; "名。"</f>
        <v>※本日在隊役男：2.4.6.9.11.12.14.16.17.19.26.29等共12名。</v>
      </c>
      <c r="C50" s="845"/>
      <c r="D50" s="845"/>
      <c r="E50" s="845"/>
      <c r="F50" s="845"/>
      <c r="G50" s="845"/>
      <c r="H50" s="845"/>
      <c r="I50" s="845"/>
      <c r="J50" s="845"/>
      <c r="K50" s="845"/>
      <c r="L50" s="845"/>
      <c r="M50" s="845"/>
      <c r="N50" s="845"/>
      <c r="O50" s="845"/>
      <c r="P50" s="845"/>
      <c r="Q50" s="845"/>
      <c r="R50" s="845"/>
      <c r="S50" s="845"/>
      <c r="T50" s="845"/>
      <c r="U50" s="845"/>
      <c r="V50" s="845"/>
      <c r="W50" s="845"/>
      <c r="X50" s="845"/>
      <c r="Y50" s="845"/>
      <c r="Z50" s="845"/>
      <c r="AA50" s="845"/>
      <c r="AB50" s="845"/>
      <c r="AC50" s="845"/>
      <c r="AD50" s="845"/>
      <c r="AE50" s="845"/>
      <c r="AF50" s="845"/>
      <c r="AG50" s="845"/>
      <c r="AH50" s="845"/>
      <c r="AI50" s="846" t="s">
        <v>73</v>
      </c>
      <c r="AJ50" s="847"/>
      <c r="AK50" s="847"/>
      <c r="AL50" s="847"/>
      <c r="AM50" s="656"/>
      <c r="AN50" s="889" t="str">
        <f>FormattedOnDutyByValue("早") &amp; "(08-18)
" &amp; FormattedOnDutyByValue("中") &amp; "(18-22)
" &amp; FormattedOnDutyByValue("晚") &amp; "(22-08)"</f>
        <v>L-黃慶生(08-18)
M-洪奇昌(18-22)
K-袁郁章(22-08)</v>
      </c>
      <c r="AO50" s="890"/>
      <c r="AP50" s="890"/>
      <c r="AQ50" s="890"/>
      <c r="AR50" s="890"/>
      <c r="AS50" s="890"/>
      <c r="AT50" s="890"/>
      <c r="AU50" s="890"/>
      <c r="AV50" s="890"/>
      <c r="AW50" s="891"/>
    </row>
    <row r="51" spans="1:49" ht="16.5" customHeight="1">
      <c r="A51" s="858"/>
      <c r="B51" s="842" t="s">
        <v>775</v>
      </c>
      <c r="C51" s="842"/>
      <c r="D51" s="842"/>
      <c r="E51" s="842"/>
      <c r="F51" s="842"/>
      <c r="G51" s="842"/>
      <c r="H51" s="842"/>
      <c r="I51" s="842"/>
      <c r="J51" s="842"/>
      <c r="K51" s="842"/>
      <c r="L51" s="842"/>
      <c r="M51" s="842"/>
      <c r="N51" s="842"/>
      <c r="O51" s="842"/>
      <c r="P51" s="842"/>
      <c r="Q51" s="842"/>
      <c r="R51" s="842"/>
      <c r="S51" s="842"/>
      <c r="T51" s="842"/>
      <c r="U51" s="842"/>
      <c r="V51" s="842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8"/>
      <c r="AJ51" s="720"/>
      <c r="AK51" s="720"/>
      <c r="AL51" s="720"/>
      <c r="AM51" s="849"/>
      <c r="AN51" s="892"/>
      <c r="AO51" s="893"/>
      <c r="AP51" s="893"/>
      <c r="AQ51" s="893"/>
      <c r="AR51" s="893"/>
      <c r="AS51" s="893"/>
      <c r="AT51" s="893"/>
      <c r="AU51" s="893"/>
      <c r="AV51" s="893"/>
      <c r="AW51" s="894"/>
    </row>
    <row r="52" spans="1:49" ht="16.5" customHeight="1">
      <c r="A52" s="858"/>
      <c r="B52" s="843" t="str">
        <f>日期輸入!A10  &amp; "本(" &amp; 日期輸入!$C$3 &amp; ")日20時至翌日08時輪值中隊聯合(權責)管理工作。"</f>
        <v>※第四中隊副中隊長葉子斌本(31)日20時至翌日08時輪值中隊聯合(權責)管理工作。</v>
      </c>
      <c r="C52" s="843"/>
      <c r="D52" s="843"/>
      <c r="E52" s="843"/>
      <c r="F52" s="843"/>
      <c r="G52" s="843"/>
      <c r="H52" s="843"/>
      <c r="I52" s="843"/>
      <c r="J52" s="843"/>
      <c r="K52" s="843"/>
      <c r="L52" s="843"/>
      <c r="M52" s="843"/>
      <c r="N52" s="843"/>
      <c r="O52" s="843"/>
      <c r="P52" s="843"/>
      <c r="Q52" s="843"/>
      <c r="R52" s="843"/>
      <c r="S52" s="843"/>
      <c r="T52" s="843"/>
      <c r="U52" s="843"/>
      <c r="V52" s="843"/>
      <c r="W52" s="843"/>
      <c r="X52" s="843"/>
      <c r="Y52" s="843"/>
      <c r="Z52" s="843"/>
      <c r="AA52" s="843"/>
      <c r="AB52" s="843"/>
      <c r="AC52" s="843"/>
      <c r="AD52" s="843"/>
      <c r="AE52" s="843"/>
      <c r="AF52" s="843"/>
      <c r="AG52" s="843"/>
      <c r="AH52" s="843"/>
      <c r="AI52" s="848"/>
      <c r="AJ52" s="720"/>
      <c r="AK52" s="720"/>
      <c r="AL52" s="720"/>
      <c r="AM52" s="849"/>
      <c r="AN52" s="892"/>
      <c r="AO52" s="893"/>
      <c r="AP52" s="893"/>
      <c r="AQ52" s="893"/>
      <c r="AR52" s="893"/>
      <c r="AS52" s="893"/>
      <c r="AT52" s="893"/>
      <c r="AU52" s="893"/>
      <c r="AV52" s="893"/>
      <c r="AW52" s="894"/>
    </row>
    <row r="53" spans="1:49" ht="16.5" customHeight="1">
      <c r="A53" s="858"/>
      <c r="B53" s="855" t="s">
        <v>759</v>
      </c>
      <c r="C53" s="856"/>
      <c r="D53" s="856"/>
      <c r="E53" s="856"/>
      <c r="F53" s="856"/>
      <c r="G53" s="856"/>
      <c r="H53" s="856"/>
      <c r="I53" s="856"/>
      <c r="J53" s="856"/>
      <c r="K53" s="856"/>
      <c r="L53" s="856"/>
      <c r="M53" s="856"/>
      <c r="N53" s="856"/>
      <c r="O53" s="856"/>
      <c r="P53" s="856"/>
      <c r="Q53" s="856"/>
      <c r="R53" s="856"/>
      <c r="S53" s="856"/>
      <c r="T53" s="856"/>
      <c r="U53" s="856"/>
      <c r="V53" s="856"/>
      <c r="W53" s="856"/>
      <c r="X53" s="856"/>
      <c r="Y53" s="856"/>
      <c r="Z53" s="856"/>
      <c r="AA53" s="856"/>
      <c r="AB53" s="856"/>
      <c r="AC53" s="856"/>
      <c r="AD53" s="856"/>
      <c r="AE53" s="856"/>
      <c r="AF53" s="856"/>
      <c r="AG53" s="856"/>
      <c r="AH53" s="857"/>
      <c r="AI53" s="850"/>
      <c r="AJ53" s="850"/>
      <c r="AK53" s="850"/>
      <c r="AL53" s="850"/>
      <c r="AM53" s="851"/>
      <c r="AN53" s="895"/>
      <c r="AO53" s="896"/>
      <c r="AP53" s="896"/>
      <c r="AQ53" s="896"/>
      <c r="AR53" s="896"/>
      <c r="AS53" s="896"/>
      <c r="AT53" s="896"/>
      <c r="AU53" s="896"/>
      <c r="AV53" s="896"/>
      <c r="AW53" s="897"/>
    </row>
    <row r="54" spans="1:49" ht="16.5" customHeight="1">
      <c r="A54" s="858"/>
      <c r="B54" s="867" t="s">
        <v>663</v>
      </c>
      <c r="C54" s="867"/>
      <c r="D54" s="867"/>
      <c r="E54" s="867"/>
      <c r="F54" s="867"/>
      <c r="G54" s="867"/>
      <c r="H54" s="867"/>
      <c r="I54" s="867"/>
      <c r="J54" s="867"/>
      <c r="K54" s="867"/>
      <c r="L54" s="867"/>
      <c r="M54" s="867"/>
      <c r="N54" s="867"/>
      <c r="O54" s="867"/>
      <c r="P54" s="867"/>
      <c r="Q54" s="867"/>
      <c r="R54" s="867"/>
      <c r="S54" s="867"/>
      <c r="T54" s="867"/>
      <c r="U54" s="867"/>
      <c r="V54" s="867"/>
      <c r="W54" s="867"/>
      <c r="X54" s="867"/>
      <c r="Y54" s="867"/>
      <c r="Z54" s="867"/>
      <c r="AA54" s="867"/>
      <c r="AB54" s="867"/>
      <c r="AC54" s="867"/>
      <c r="AD54" s="867"/>
      <c r="AE54" s="867"/>
      <c r="AF54" s="867"/>
      <c r="AG54" s="867"/>
      <c r="AH54" s="867"/>
      <c r="AI54" s="886" t="s">
        <v>74</v>
      </c>
      <c r="AJ54" s="886"/>
      <c r="AK54" s="886"/>
      <c r="AL54" s="886"/>
      <c r="AM54" s="886"/>
      <c r="AN54" s="887"/>
      <c r="AO54" s="887"/>
      <c r="AP54" s="887"/>
      <c r="AQ54" s="887"/>
      <c r="AR54" s="887"/>
      <c r="AS54" s="887"/>
      <c r="AT54" s="887"/>
      <c r="AU54" s="887"/>
      <c r="AV54" s="887"/>
      <c r="AW54" s="887"/>
    </row>
    <row r="55" spans="1:49" ht="16.5" customHeight="1">
      <c r="A55" s="858"/>
      <c r="B55" s="868" t="s">
        <v>696</v>
      </c>
      <c r="C55" s="868"/>
      <c r="D55" s="868"/>
      <c r="E55" s="868"/>
      <c r="F55" s="868"/>
      <c r="G55" s="868"/>
      <c r="H55" s="868"/>
      <c r="I55" s="868"/>
      <c r="J55" s="868"/>
      <c r="K55" s="868"/>
      <c r="L55" s="868"/>
      <c r="M55" s="868"/>
      <c r="N55" s="868"/>
      <c r="O55" s="868"/>
      <c r="P55" s="868"/>
      <c r="Q55" s="868"/>
      <c r="R55" s="868"/>
      <c r="S55" s="868"/>
      <c r="T55" s="868"/>
      <c r="U55" s="868"/>
      <c r="V55" s="868"/>
      <c r="W55" s="868"/>
      <c r="X55" s="868"/>
      <c r="Y55" s="868"/>
      <c r="Z55" s="868"/>
      <c r="AA55" s="868"/>
      <c r="AB55" s="868"/>
      <c r="AC55" s="868"/>
      <c r="AD55" s="868"/>
      <c r="AE55" s="868"/>
      <c r="AF55" s="868"/>
      <c r="AG55" s="868"/>
      <c r="AH55" s="868"/>
      <c r="AI55" s="886"/>
      <c r="AJ55" s="886"/>
      <c r="AK55" s="886"/>
      <c r="AL55" s="886"/>
      <c r="AM55" s="886"/>
      <c r="AN55" s="887"/>
      <c r="AO55" s="887"/>
      <c r="AP55" s="887"/>
      <c r="AQ55" s="887"/>
      <c r="AR55" s="887"/>
      <c r="AS55" s="887"/>
      <c r="AT55" s="887"/>
      <c r="AU55" s="887"/>
      <c r="AV55" s="887"/>
      <c r="AW55" s="887"/>
    </row>
    <row r="56" spans="1:49" s="272" customFormat="1" ht="16.5" customHeight="1">
      <c r="A56" s="858"/>
      <c r="B56" s="867" t="s">
        <v>716</v>
      </c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86"/>
      <c r="AJ56" s="886"/>
      <c r="AK56" s="886"/>
      <c r="AL56" s="886"/>
      <c r="AM56" s="886"/>
      <c r="AN56" s="887"/>
      <c r="AO56" s="887"/>
      <c r="AP56" s="887"/>
      <c r="AQ56" s="887"/>
      <c r="AR56" s="887"/>
      <c r="AS56" s="887"/>
      <c r="AT56" s="887"/>
      <c r="AU56" s="887"/>
      <c r="AV56" s="887"/>
      <c r="AW56" s="887"/>
    </row>
    <row r="57" spans="1:49" ht="16.5" customHeight="1">
      <c r="A57" s="858"/>
      <c r="B57" s="867"/>
      <c r="C57" s="867"/>
      <c r="D57" s="867"/>
      <c r="E57" s="867"/>
      <c r="F57" s="867"/>
      <c r="G57" s="867"/>
      <c r="H57" s="867"/>
      <c r="I57" s="867"/>
      <c r="J57" s="867"/>
      <c r="K57" s="867"/>
      <c r="L57" s="867"/>
      <c r="M57" s="867"/>
      <c r="N57" s="867"/>
      <c r="O57" s="867"/>
      <c r="P57" s="867"/>
      <c r="Q57" s="867"/>
      <c r="R57" s="867"/>
      <c r="S57" s="867"/>
      <c r="T57" s="867"/>
      <c r="U57" s="867"/>
      <c r="V57" s="867"/>
      <c r="W57" s="867"/>
      <c r="X57" s="867"/>
      <c r="Y57" s="867"/>
      <c r="Z57" s="867"/>
      <c r="AA57" s="867"/>
      <c r="AB57" s="867"/>
      <c r="AC57" s="867"/>
      <c r="AD57" s="867"/>
      <c r="AE57" s="867"/>
      <c r="AF57" s="867"/>
      <c r="AG57" s="867"/>
      <c r="AH57" s="867"/>
      <c r="AI57" s="886"/>
      <c r="AJ57" s="886"/>
      <c r="AK57" s="886"/>
      <c r="AL57" s="886"/>
      <c r="AM57" s="886"/>
      <c r="AN57" s="887"/>
      <c r="AO57" s="887"/>
      <c r="AP57" s="887"/>
      <c r="AQ57" s="887"/>
      <c r="AR57" s="887"/>
      <c r="AS57" s="887"/>
      <c r="AT57" s="887"/>
      <c r="AU57" s="887"/>
      <c r="AV57" s="887"/>
      <c r="AW57" s="887"/>
    </row>
    <row r="58" spans="1:49" ht="16.5" customHeight="1">
      <c r="A58" s="858"/>
      <c r="B58" s="868" t="s">
        <v>749</v>
      </c>
      <c r="C58" s="868"/>
      <c r="D58" s="868"/>
      <c r="E58" s="868"/>
      <c r="F58" s="868"/>
      <c r="G58" s="868"/>
      <c r="H58" s="868"/>
      <c r="I58" s="868"/>
      <c r="J58" s="868"/>
      <c r="K58" s="868"/>
      <c r="L58" s="868"/>
      <c r="M58" s="868"/>
      <c r="N58" s="868"/>
      <c r="O58" s="868"/>
      <c r="P58" s="868"/>
      <c r="Q58" s="868"/>
      <c r="R58" s="868"/>
      <c r="S58" s="868"/>
      <c r="T58" s="868"/>
      <c r="U58" s="868"/>
      <c r="V58" s="868"/>
      <c r="W58" s="868"/>
      <c r="X58" s="868"/>
      <c r="Y58" s="868"/>
      <c r="Z58" s="868"/>
      <c r="AA58" s="868"/>
      <c r="AB58" s="868"/>
      <c r="AC58" s="868"/>
      <c r="AD58" s="868"/>
      <c r="AE58" s="868"/>
      <c r="AF58" s="868"/>
      <c r="AG58" s="868"/>
      <c r="AH58" s="868"/>
      <c r="AI58" s="886"/>
      <c r="AJ58" s="886"/>
      <c r="AK58" s="886"/>
      <c r="AL58" s="886"/>
      <c r="AM58" s="886"/>
      <c r="AN58" s="887"/>
      <c r="AO58" s="887"/>
      <c r="AP58" s="887"/>
      <c r="AQ58" s="887"/>
      <c r="AR58" s="887"/>
      <c r="AS58" s="887"/>
      <c r="AT58" s="887"/>
      <c r="AU58" s="887"/>
      <c r="AV58" s="887"/>
      <c r="AW58" s="887"/>
    </row>
    <row r="59" spans="1:49" ht="17.25" customHeight="1">
      <c r="A59" s="858"/>
      <c r="B59" s="730"/>
      <c r="C59" s="730"/>
      <c r="D59" s="730"/>
      <c r="E59" s="730"/>
      <c r="F59" s="730"/>
      <c r="G59" s="730"/>
      <c r="H59" s="730"/>
      <c r="I59" s="730"/>
      <c r="J59" s="730"/>
      <c r="K59" s="730"/>
      <c r="L59" s="730"/>
      <c r="M59" s="730"/>
      <c r="N59" s="730"/>
      <c r="O59" s="730"/>
      <c r="P59" s="730"/>
      <c r="Q59" s="730"/>
      <c r="R59" s="730"/>
      <c r="S59" s="730"/>
      <c r="T59" s="730"/>
      <c r="U59" s="730"/>
      <c r="V59" s="730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885"/>
      <c r="AI59" s="886"/>
      <c r="AJ59" s="886"/>
      <c r="AK59" s="886"/>
      <c r="AL59" s="886"/>
      <c r="AM59" s="886"/>
      <c r="AN59" s="887"/>
      <c r="AO59" s="887"/>
      <c r="AP59" s="887"/>
      <c r="AQ59" s="887"/>
      <c r="AR59" s="887"/>
      <c r="AS59" s="887"/>
      <c r="AT59" s="887"/>
      <c r="AU59" s="887"/>
      <c r="AV59" s="887"/>
      <c r="AW59" s="887"/>
    </row>
    <row r="60" spans="1:49" ht="19.5" customHeight="1" thickBot="1">
      <c r="A60" s="450"/>
      <c r="B60" s="888"/>
      <c r="C60" s="888"/>
      <c r="D60" s="888"/>
      <c r="E60" s="888"/>
      <c r="F60" s="888"/>
      <c r="G60" s="888"/>
      <c r="H60" s="888"/>
      <c r="I60" s="888"/>
      <c r="J60" s="888"/>
      <c r="K60" s="888"/>
      <c r="L60" s="888"/>
      <c r="M60" s="888"/>
      <c r="N60" s="888"/>
      <c r="O60" s="888"/>
      <c r="P60" s="888"/>
      <c r="Q60" s="888"/>
      <c r="R60" s="888"/>
      <c r="S60" s="888"/>
      <c r="T60" s="888"/>
      <c r="U60" s="888"/>
      <c r="V60" s="888"/>
      <c r="W60" s="888"/>
      <c r="X60" s="888"/>
      <c r="Y60" s="888"/>
      <c r="Z60" s="888"/>
      <c r="AA60" s="888"/>
      <c r="AB60" s="888"/>
      <c r="AC60" s="888"/>
      <c r="AD60" s="888"/>
      <c r="AE60" s="888"/>
      <c r="AF60" s="888"/>
      <c r="AG60" s="888"/>
      <c r="AH60" s="888"/>
      <c r="AI60" s="448"/>
      <c r="AJ60" s="448"/>
      <c r="AK60" s="448"/>
      <c r="AL60" s="448"/>
      <c r="AM60" s="448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</row>
    <row r="61" spans="1:49" ht="15.75" customHeight="1">
      <c r="A61" s="879" t="s">
        <v>274</v>
      </c>
      <c r="B61" s="880"/>
      <c r="C61" s="880"/>
      <c r="D61" s="880"/>
      <c r="E61" s="880"/>
      <c r="F61" s="880"/>
      <c r="G61" s="880"/>
      <c r="H61" s="880"/>
      <c r="I61" s="880"/>
      <c r="J61" s="880"/>
      <c r="K61" s="880"/>
      <c r="L61" s="880"/>
      <c r="M61" s="880"/>
      <c r="N61" s="880"/>
      <c r="O61" s="880"/>
      <c r="P61" s="880"/>
      <c r="Q61" s="880"/>
      <c r="R61" s="880"/>
      <c r="S61" s="880"/>
      <c r="T61" s="880"/>
      <c r="U61" s="880"/>
      <c r="V61" s="880"/>
      <c r="W61" s="880"/>
      <c r="X61" s="880"/>
      <c r="Y61" s="880"/>
      <c r="Z61" s="880"/>
      <c r="AA61" s="880"/>
      <c r="AB61" s="880"/>
      <c r="AC61" s="880"/>
      <c r="AD61" s="880"/>
      <c r="AE61" s="880"/>
      <c r="AF61" s="880"/>
      <c r="AG61" s="880"/>
      <c r="AH61" s="880"/>
      <c r="AI61" s="880"/>
      <c r="AJ61" s="880"/>
      <c r="AK61" s="880"/>
      <c r="AL61" s="880"/>
      <c r="AM61" s="881"/>
      <c r="AN61" s="860">
        <f>AN1</f>
        <v>44500</v>
      </c>
      <c r="AO61" s="861"/>
      <c r="AP61" s="861"/>
      <c r="AQ61" s="861"/>
      <c r="AR61" s="861"/>
      <c r="AS61" s="861"/>
      <c r="AT61" s="861"/>
      <c r="AU61" s="864">
        <f>AU1</f>
        <v>44500</v>
      </c>
      <c r="AV61" s="864"/>
      <c r="AW61" s="647"/>
    </row>
    <row r="62" spans="1:49" ht="16.5" customHeight="1" thickBot="1">
      <c r="A62" s="882"/>
      <c r="B62" s="883"/>
      <c r="C62" s="883"/>
      <c r="D62" s="883"/>
      <c r="E62" s="883"/>
      <c r="F62" s="883"/>
      <c r="G62" s="883"/>
      <c r="H62" s="883"/>
      <c r="I62" s="883"/>
      <c r="J62" s="883"/>
      <c r="K62" s="883"/>
      <c r="L62" s="883"/>
      <c r="M62" s="883"/>
      <c r="N62" s="883"/>
      <c r="O62" s="883"/>
      <c r="P62" s="883"/>
      <c r="Q62" s="883"/>
      <c r="R62" s="883"/>
      <c r="S62" s="883"/>
      <c r="T62" s="883"/>
      <c r="U62" s="883"/>
      <c r="V62" s="883"/>
      <c r="W62" s="883"/>
      <c r="X62" s="883"/>
      <c r="Y62" s="883"/>
      <c r="Z62" s="883"/>
      <c r="AA62" s="883"/>
      <c r="AB62" s="883"/>
      <c r="AC62" s="883"/>
      <c r="AD62" s="883"/>
      <c r="AE62" s="883"/>
      <c r="AF62" s="883"/>
      <c r="AG62" s="883"/>
      <c r="AH62" s="883"/>
      <c r="AI62" s="883"/>
      <c r="AJ62" s="883"/>
      <c r="AK62" s="883"/>
      <c r="AL62" s="883"/>
      <c r="AM62" s="884"/>
      <c r="AN62" s="862"/>
      <c r="AO62" s="863"/>
      <c r="AP62" s="863"/>
      <c r="AQ62" s="863"/>
      <c r="AR62" s="863"/>
      <c r="AS62" s="863"/>
      <c r="AT62" s="863"/>
      <c r="AU62" s="865"/>
      <c r="AV62" s="865"/>
      <c r="AW62" s="866"/>
    </row>
    <row r="63" spans="1:49" ht="16.5" customHeight="1">
      <c r="A63" s="875" t="s">
        <v>75</v>
      </c>
      <c r="B63" s="870"/>
      <c r="C63" s="870"/>
      <c r="D63" s="871"/>
      <c r="E63" s="869" t="s">
        <v>76</v>
      </c>
      <c r="F63" s="870"/>
      <c r="G63" s="870"/>
      <c r="H63" s="870"/>
      <c r="I63" s="870"/>
      <c r="J63" s="870"/>
      <c r="K63" s="871"/>
      <c r="L63" s="869" t="s">
        <v>77</v>
      </c>
      <c r="M63" s="870"/>
      <c r="N63" s="870"/>
      <c r="O63" s="870"/>
      <c r="P63" s="870"/>
      <c r="Q63" s="870"/>
      <c r="R63" s="871"/>
      <c r="S63" s="869" t="s">
        <v>78</v>
      </c>
      <c r="T63" s="870"/>
      <c r="U63" s="870"/>
      <c r="V63" s="870"/>
      <c r="W63" s="870"/>
      <c r="X63" s="870"/>
      <c r="Y63" s="870"/>
      <c r="Z63" s="871"/>
      <c r="AA63" s="869" t="s">
        <v>79</v>
      </c>
      <c r="AB63" s="870"/>
      <c r="AC63" s="870"/>
      <c r="AD63" s="870"/>
      <c r="AE63" s="870"/>
      <c r="AF63" s="870"/>
      <c r="AG63" s="870"/>
      <c r="AH63" s="870"/>
      <c r="AI63" s="871"/>
      <c r="AJ63" s="869" t="s">
        <v>77</v>
      </c>
      <c r="AK63" s="870"/>
      <c r="AL63" s="870"/>
      <c r="AM63" s="870"/>
      <c r="AN63" s="870"/>
      <c r="AO63" s="870"/>
      <c r="AP63" s="871"/>
      <c r="AQ63" s="869" t="s">
        <v>80</v>
      </c>
      <c r="AR63" s="870"/>
      <c r="AS63" s="870"/>
      <c r="AT63" s="870"/>
      <c r="AU63" s="870"/>
      <c r="AV63" s="870"/>
      <c r="AW63" s="877"/>
    </row>
    <row r="64" spans="1:49" ht="15.75" customHeight="1">
      <c r="A64" s="876"/>
      <c r="B64" s="873"/>
      <c r="C64" s="873"/>
      <c r="D64" s="874"/>
      <c r="E64" s="872"/>
      <c r="F64" s="873"/>
      <c r="G64" s="873"/>
      <c r="H64" s="873"/>
      <c r="I64" s="873"/>
      <c r="J64" s="873"/>
      <c r="K64" s="874"/>
      <c r="L64" s="872"/>
      <c r="M64" s="873"/>
      <c r="N64" s="873"/>
      <c r="O64" s="873"/>
      <c r="P64" s="873"/>
      <c r="Q64" s="873"/>
      <c r="R64" s="874"/>
      <c r="S64" s="872"/>
      <c r="T64" s="873"/>
      <c r="U64" s="873"/>
      <c r="V64" s="873"/>
      <c r="W64" s="873"/>
      <c r="X64" s="873"/>
      <c r="Y64" s="873"/>
      <c r="Z64" s="874"/>
      <c r="AA64" s="872"/>
      <c r="AB64" s="873"/>
      <c r="AC64" s="873"/>
      <c r="AD64" s="873"/>
      <c r="AE64" s="873"/>
      <c r="AF64" s="873"/>
      <c r="AG64" s="873"/>
      <c r="AH64" s="873"/>
      <c r="AI64" s="874"/>
      <c r="AJ64" s="872"/>
      <c r="AK64" s="873"/>
      <c r="AL64" s="873"/>
      <c r="AM64" s="873"/>
      <c r="AN64" s="873"/>
      <c r="AO64" s="873"/>
      <c r="AP64" s="874"/>
      <c r="AQ64" s="872"/>
      <c r="AR64" s="873"/>
      <c r="AS64" s="873"/>
      <c r="AT64" s="873"/>
      <c r="AU64" s="873"/>
      <c r="AV64" s="873"/>
      <c r="AW64" s="878"/>
    </row>
    <row r="65" spans="1:49" ht="16.5" customHeight="1">
      <c r="A65" s="334"/>
      <c r="B65" s="335"/>
      <c r="C65" s="335"/>
      <c r="D65" s="336"/>
      <c r="E65" s="337"/>
      <c r="F65" s="338"/>
      <c r="G65" s="338"/>
      <c r="H65" s="338"/>
      <c r="I65" s="338"/>
      <c r="J65" s="338"/>
      <c r="K65" s="339"/>
      <c r="L65" s="337"/>
      <c r="M65" s="338"/>
      <c r="N65" s="338"/>
      <c r="O65" s="338"/>
      <c r="P65" s="338"/>
      <c r="Q65" s="338"/>
      <c r="R65" s="339"/>
      <c r="S65" s="337"/>
      <c r="T65" s="338"/>
      <c r="U65" s="338"/>
      <c r="V65" s="338"/>
      <c r="W65" s="338"/>
      <c r="X65" s="338"/>
      <c r="Y65" s="338"/>
      <c r="Z65" s="339"/>
      <c r="AA65" s="337"/>
      <c r="AB65" s="338"/>
      <c r="AC65" s="338"/>
      <c r="AD65" s="338"/>
      <c r="AE65" s="338"/>
      <c r="AF65" s="338"/>
      <c r="AG65" s="338"/>
      <c r="AH65" s="338"/>
      <c r="AI65" s="339"/>
      <c r="AJ65" s="337"/>
      <c r="AK65" s="338"/>
      <c r="AL65" s="338"/>
      <c r="AM65" s="338"/>
      <c r="AN65" s="338"/>
      <c r="AO65" s="338"/>
      <c r="AP65" s="339"/>
      <c r="AQ65" s="337"/>
      <c r="AR65" s="338"/>
      <c r="AS65" s="338"/>
      <c r="AT65" s="338"/>
      <c r="AU65" s="338"/>
      <c r="AV65" s="338"/>
      <c r="AW65" s="340"/>
    </row>
    <row r="66" spans="1:49" ht="16.5" customHeight="1">
      <c r="A66" s="9"/>
      <c r="B66" s="341"/>
      <c r="C66" s="341"/>
      <c r="D66" s="342"/>
      <c r="E66" s="4"/>
      <c r="F66" s="343"/>
      <c r="G66" s="343"/>
      <c r="H66" s="343"/>
      <c r="I66" s="343"/>
      <c r="J66" s="343"/>
      <c r="K66" s="344"/>
      <c r="L66" s="345"/>
      <c r="M66" s="346"/>
      <c r="N66" s="346"/>
      <c r="O66" s="346"/>
      <c r="P66" s="346"/>
      <c r="Q66" s="346"/>
      <c r="R66" s="347"/>
      <c r="S66" s="4"/>
      <c r="T66" s="343"/>
      <c r="U66" s="343"/>
      <c r="V66" s="343"/>
      <c r="W66" s="343"/>
      <c r="X66" s="343"/>
      <c r="Y66" s="343"/>
      <c r="Z66" s="344"/>
      <c r="AA66" s="4"/>
      <c r="AB66" s="343"/>
      <c r="AC66" s="343"/>
      <c r="AD66" s="343"/>
      <c r="AE66" s="343"/>
      <c r="AF66" s="343"/>
      <c r="AG66" s="343"/>
      <c r="AH66" s="343"/>
      <c r="AI66" s="344"/>
      <c r="AJ66" s="4"/>
      <c r="AK66" s="343"/>
      <c r="AL66" s="343"/>
      <c r="AM66" s="343"/>
      <c r="AN66" s="343"/>
      <c r="AO66" s="343"/>
      <c r="AP66" s="344"/>
      <c r="AQ66" s="4"/>
      <c r="AR66" s="343"/>
      <c r="AS66" s="343"/>
      <c r="AT66" s="343"/>
      <c r="AU66" s="343"/>
      <c r="AV66" s="343"/>
      <c r="AW66" s="10"/>
    </row>
    <row r="67" spans="1:49" ht="16.5" customHeight="1">
      <c r="A67" s="9"/>
      <c r="B67" s="341"/>
      <c r="C67" s="341"/>
      <c r="D67" s="342"/>
      <c r="E67" s="4"/>
      <c r="F67" s="343"/>
      <c r="G67" s="343"/>
      <c r="H67" s="343"/>
      <c r="I67" s="343"/>
      <c r="J67" s="343"/>
      <c r="K67" s="344"/>
      <c r="L67" s="337"/>
      <c r="M67" s="338"/>
      <c r="N67" s="338"/>
      <c r="O67" s="338"/>
      <c r="P67" s="338"/>
      <c r="Q67" s="338"/>
      <c r="R67" s="339"/>
      <c r="S67" s="4"/>
      <c r="T67" s="343"/>
      <c r="U67" s="343"/>
      <c r="V67" s="343"/>
      <c r="W67" s="343"/>
      <c r="X67" s="343"/>
      <c r="Y67" s="343"/>
      <c r="Z67" s="344"/>
      <c r="AA67" s="4"/>
      <c r="AB67" s="343"/>
      <c r="AC67" s="343"/>
      <c r="AD67" s="343"/>
      <c r="AE67" s="343"/>
      <c r="AF67" s="343"/>
      <c r="AG67" s="343"/>
      <c r="AH67" s="343"/>
      <c r="AI67" s="344"/>
      <c r="AJ67" s="4"/>
      <c r="AK67" s="343"/>
      <c r="AL67" s="343"/>
      <c r="AM67" s="343"/>
      <c r="AN67" s="343"/>
      <c r="AO67" s="343"/>
      <c r="AP67" s="344"/>
      <c r="AQ67" s="4"/>
      <c r="AR67" s="343"/>
      <c r="AS67" s="343"/>
      <c r="AT67" s="343"/>
      <c r="AU67" s="343"/>
      <c r="AV67" s="343"/>
      <c r="AW67" s="10"/>
    </row>
    <row r="68" spans="1:49" ht="16.5" customHeight="1">
      <c r="A68" s="329"/>
      <c r="B68" s="330"/>
      <c r="C68" s="330"/>
      <c r="D68" s="331"/>
      <c r="E68" s="345"/>
      <c r="F68" s="346"/>
      <c r="G68" s="346"/>
      <c r="H68" s="346"/>
      <c r="I68" s="346"/>
      <c r="J68" s="346"/>
      <c r="K68" s="347"/>
      <c r="L68" s="345"/>
      <c r="M68" s="346"/>
      <c r="N68" s="346"/>
      <c r="O68" s="346"/>
      <c r="P68" s="346"/>
      <c r="Q68" s="346"/>
      <c r="R68" s="347"/>
      <c r="S68" s="345"/>
      <c r="T68" s="346"/>
      <c r="U68" s="346"/>
      <c r="V68" s="346"/>
      <c r="W68" s="346"/>
      <c r="X68" s="346"/>
      <c r="Y68" s="346"/>
      <c r="Z68" s="347"/>
      <c r="AA68" s="345"/>
      <c r="AB68" s="346"/>
      <c r="AC68" s="346"/>
      <c r="AD68" s="346"/>
      <c r="AE68" s="346"/>
      <c r="AF68" s="346"/>
      <c r="AG68" s="346"/>
      <c r="AH68" s="346"/>
      <c r="AI68" s="347"/>
      <c r="AJ68" s="345"/>
      <c r="AK68" s="346"/>
      <c r="AL68" s="346"/>
      <c r="AM68" s="346"/>
      <c r="AN68" s="346"/>
      <c r="AO68" s="346"/>
      <c r="AP68" s="347"/>
      <c r="AQ68" s="345"/>
      <c r="AR68" s="346"/>
      <c r="AS68" s="346"/>
      <c r="AT68" s="346"/>
      <c r="AU68" s="346"/>
      <c r="AV68" s="346"/>
      <c r="AW68" s="348"/>
    </row>
    <row r="69" spans="1:49" ht="16.5" customHeight="1">
      <c r="A69" s="334"/>
      <c r="B69" s="335"/>
      <c r="C69" s="335"/>
      <c r="D69" s="336"/>
      <c r="E69" s="337"/>
      <c r="F69" s="338"/>
      <c r="G69" s="338"/>
      <c r="H69" s="338"/>
      <c r="I69" s="338"/>
      <c r="J69" s="338"/>
      <c r="K69" s="339"/>
      <c r="L69" s="337"/>
      <c r="M69" s="338"/>
      <c r="N69" s="338"/>
      <c r="O69" s="338"/>
      <c r="P69" s="338"/>
      <c r="Q69" s="338"/>
      <c r="R69" s="339"/>
      <c r="S69" s="337"/>
      <c r="T69" s="338"/>
      <c r="U69" s="338"/>
      <c r="V69" s="338"/>
      <c r="W69" s="338"/>
      <c r="X69" s="338"/>
      <c r="Y69" s="338"/>
      <c r="Z69" s="339"/>
      <c r="AA69" s="337"/>
      <c r="AB69" s="338"/>
      <c r="AC69" s="338"/>
      <c r="AD69" s="338"/>
      <c r="AE69" s="338"/>
      <c r="AF69" s="338"/>
      <c r="AG69" s="338"/>
      <c r="AH69" s="338"/>
      <c r="AI69" s="339"/>
      <c r="AJ69" s="337"/>
      <c r="AK69" s="338"/>
      <c r="AL69" s="338"/>
      <c r="AM69" s="338"/>
      <c r="AN69" s="338"/>
      <c r="AO69" s="338"/>
      <c r="AP69" s="339"/>
      <c r="AQ69" s="337"/>
      <c r="AR69" s="338"/>
      <c r="AS69" s="338"/>
      <c r="AT69" s="338"/>
      <c r="AU69" s="338"/>
      <c r="AV69" s="338"/>
      <c r="AW69" s="340"/>
    </row>
    <row r="70" spans="1:49" ht="16.5" customHeight="1">
      <c r="A70" s="9"/>
      <c r="B70" s="341"/>
      <c r="C70" s="341"/>
      <c r="D70" s="342"/>
      <c r="E70" s="4"/>
      <c r="F70" s="343"/>
      <c r="G70" s="343"/>
      <c r="H70" s="343"/>
      <c r="I70" s="343"/>
      <c r="J70" s="343"/>
      <c r="K70" s="344"/>
      <c r="L70" s="345"/>
      <c r="M70" s="346"/>
      <c r="N70" s="346"/>
      <c r="O70" s="346"/>
      <c r="P70" s="346"/>
      <c r="Q70" s="346"/>
      <c r="R70" s="347"/>
      <c r="S70" s="4"/>
      <c r="T70" s="343"/>
      <c r="U70" s="343"/>
      <c r="V70" s="343"/>
      <c r="W70" s="343"/>
      <c r="X70" s="343"/>
      <c r="Y70" s="343"/>
      <c r="Z70" s="344"/>
      <c r="AA70" s="4"/>
      <c r="AB70" s="343"/>
      <c r="AC70" s="343"/>
      <c r="AD70" s="343"/>
      <c r="AE70" s="343"/>
      <c r="AF70" s="343"/>
      <c r="AG70" s="343"/>
      <c r="AH70" s="343"/>
      <c r="AI70" s="344"/>
      <c r="AJ70" s="4"/>
      <c r="AK70" s="343"/>
      <c r="AL70" s="343"/>
      <c r="AM70" s="343"/>
      <c r="AN70" s="343"/>
      <c r="AO70" s="343"/>
      <c r="AP70" s="344"/>
      <c r="AQ70" s="4"/>
      <c r="AR70" s="343"/>
      <c r="AS70" s="343"/>
      <c r="AT70" s="343"/>
      <c r="AU70" s="343"/>
      <c r="AV70" s="343"/>
      <c r="AW70" s="10"/>
    </row>
    <row r="71" spans="1:49" ht="16.5" customHeight="1">
      <c r="A71" s="9"/>
      <c r="B71" s="341"/>
      <c r="C71" s="341"/>
      <c r="D71" s="342"/>
      <c r="E71" s="4"/>
      <c r="F71" s="343"/>
      <c r="G71" s="343"/>
      <c r="H71" s="343"/>
      <c r="I71" s="343"/>
      <c r="J71" s="343"/>
      <c r="K71" s="344"/>
      <c r="L71" s="337"/>
      <c r="M71" s="338"/>
      <c r="N71" s="338"/>
      <c r="O71" s="338"/>
      <c r="P71" s="338"/>
      <c r="Q71" s="338"/>
      <c r="R71" s="339"/>
      <c r="S71" s="4"/>
      <c r="T71" s="343"/>
      <c r="U71" s="343"/>
      <c r="V71" s="343"/>
      <c r="W71" s="343"/>
      <c r="X71" s="343"/>
      <c r="Y71" s="343"/>
      <c r="Z71" s="344"/>
      <c r="AA71" s="4"/>
      <c r="AB71" s="343"/>
      <c r="AC71" s="343"/>
      <c r="AD71" s="343"/>
      <c r="AE71" s="343"/>
      <c r="AF71" s="343"/>
      <c r="AG71" s="343"/>
      <c r="AH71" s="343"/>
      <c r="AI71" s="344"/>
      <c r="AJ71" s="4"/>
      <c r="AK71" s="343"/>
      <c r="AL71" s="343"/>
      <c r="AM71" s="343"/>
      <c r="AN71" s="343"/>
      <c r="AO71" s="343"/>
      <c r="AP71" s="344"/>
      <c r="AQ71" s="4"/>
      <c r="AR71" s="343"/>
      <c r="AS71" s="343"/>
      <c r="AT71" s="343"/>
      <c r="AU71" s="343"/>
      <c r="AV71" s="343"/>
      <c r="AW71" s="10"/>
    </row>
    <row r="72" spans="1:49" ht="16.5" customHeight="1">
      <c r="A72" s="329"/>
      <c r="B72" s="330"/>
      <c r="C72" s="330"/>
      <c r="D72" s="331"/>
      <c r="E72" s="345"/>
      <c r="F72" s="346"/>
      <c r="G72" s="346"/>
      <c r="H72" s="346"/>
      <c r="I72" s="346"/>
      <c r="J72" s="346"/>
      <c r="K72" s="347"/>
      <c r="L72" s="345"/>
      <c r="M72" s="346"/>
      <c r="N72" s="346"/>
      <c r="O72" s="346"/>
      <c r="P72" s="346"/>
      <c r="Q72" s="346"/>
      <c r="R72" s="347"/>
      <c r="S72" s="345"/>
      <c r="T72" s="346"/>
      <c r="U72" s="346"/>
      <c r="V72" s="346"/>
      <c r="W72" s="346"/>
      <c r="X72" s="346"/>
      <c r="Y72" s="346"/>
      <c r="Z72" s="347"/>
      <c r="AA72" s="345"/>
      <c r="AB72" s="346"/>
      <c r="AC72" s="346"/>
      <c r="AD72" s="346"/>
      <c r="AE72" s="346"/>
      <c r="AF72" s="346"/>
      <c r="AG72" s="346"/>
      <c r="AH72" s="346"/>
      <c r="AI72" s="347"/>
      <c r="AJ72" s="345"/>
      <c r="AK72" s="346"/>
      <c r="AL72" s="346"/>
      <c r="AM72" s="346"/>
      <c r="AN72" s="346"/>
      <c r="AO72" s="346"/>
      <c r="AP72" s="347"/>
      <c r="AQ72" s="345"/>
      <c r="AR72" s="346"/>
      <c r="AS72" s="346"/>
      <c r="AT72" s="346"/>
      <c r="AU72" s="346"/>
      <c r="AV72" s="346"/>
      <c r="AW72" s="348"/>
    </row>
    <row r="73" spans="1:49" ht="16.5" customHeight="1">
      <c r="A73" s="334"/>
      <c r="B73" s="335"/>
      <c r="C73" s="335"/>
      <c r="D73" s="336"/>
      <c r="E73" s="337"/>
      <c r="F73" s="338"/>
      <c r="G73" s="338"/>
      <c r="H73" s="338"/>
      <c r="I73" s="338"/>
      <c r="J73" s="338"/>
      <c r="K73" s="339"/>
      <c r="L73" s="337"/>
      <c r="M73" s="338"/>
      <c r="N73" s="338"/>
      <c r="O73" s="338"/>
      <c r="P73" s="338"/>
      <c r="Q73" s="338"/>
      <c r="R73" s="339"/>
      <c r="S73" s="337"/>
      <c r="T73" s="338"/>
      <c r="U73" s="338"/>
      <c r="V73" s="338"/>
      <c r="W73" s="338"/>
      <c r="X73" s="338"/>
      <c r="Y73" s="338"/>
      <c r="Z73" s="339"/>
      <c r="AA73" s="337"/>
      <c r="AB73" s="338"/>
      <c r="AC73" s="338"/>
      <c r="AD73" s="338"/>
      <c r="AE73" s="338"/>
      <c r="AF73" s="338"/>
      <c r="AG73" s="338"/>
      <c r="AH73" s="338"/>
      <c r="AI73" s="339"/>
      <c r="AJ73" s="337"/>
      <c r="AK73" s="338"/>
      <c r="AL73" s="338"/>
      <c r="AM73" s="338"/>
      <c r="AN73" s="338"/>
      <c r="AO73" s="338"/>
      <c r="AP73" s="339"/>
      <c r="AQ73" s="337"/>
      <c r="AR73" s="338"/>
      <c r="AS73" s="338"/>
      <c r="AT73" s="338"/>
      <c r="AU73" s="338"/>
      <c r="AV73" s="338"/>
      <c r="AW73" s="340"/>
    </row>
    <row r="74" spans="1:49" ht="16.5" customHeight="1">
      <c r="A74" s="9"/>
      <c r="B74" s="341"/>
      <c r="C74" s="341"/>
      <c r="D74" s="342"/>
      <c r="E74" s="4"/>
      <c r="F74" s="343"/>
      <c r="G74" s="343"/>
      <c r="H74" s="343"/>
      <c r="I74" s="343"/>
      <c r="J74" s="343"/>
      <c r="K74" s="344"/>
      <c r="L74" s="345"/>
      <c r="M74" s="346"/>
      <c r="N74" s="346"/>
      <c r="O74" s="346"/>
      <c r="P74" s="346"/>
      <c r="Q74" s="346"/>
      <c r="R74" s="347"/>
      <c r="S74" s="4"/>
      <c r="T74" s="343"/>
      <c r="U74" s="343"/>
      <c r="V74" s="343"/>
      <c r="W74" s="343"/>
      <c r="X74" s="343"/>
      <c r="Y74" s="343"/>
      <c r="Z74" s="344"/>
      <c r="AA74" s="4"/>
      <c r="AB74" s="343"/>
      <c r="AC74" s="343"/>
      <c r="AD74" s="343"/>
      <c r="AE74" s="343"/>
      <c r="AF74" s="343"/>
      <c r="AG74" s="343"/>
      <c r="AH74" s="343"/>
      <c r="AI74" s="344"/>
      <c r="AJ74" s="4"/>
      <c r="AK74" s="343"/>
      <c r="AL74" s="343"/>
      <c r="AM74" s="343"/>
      <c r="AN74" s="343"/>
      <c r="AO74" s="343"/>
      <c r="AP74" s="344"/>
      <c r="AQ74" s="4"/>
      <c r="AR74" s="343"/>
      <c r="AS74" s="343"/>
      <c r="AT74" s="343"/>
      <c r="AU74" s="343"/>
      <c r="AV74" s="343"/>
      <c r="AW74" s="10"/>
    </row>
    <row r="75" spans="1:49" ht="16.5" customHeight="1">
      <c r="A75" s="9"/>
      <c r="B75" s="341"/>
      <c r="C75" s="341"/>
      <c r="D75" s="342"/>
      <c r="E75" s="4"/>
      <c r="F75" s="343"/>
      <c r="G75" s="343"/>
      <c r="H75" s="343"/>
      <c r="I75" s="343"/>
      <c r="J75" s="343"/>
      <c r="K75" s="344"/>
      <c r="L75" s="337"/>
      <c r="M75" s="338"/>
      <c r="N75" s="338"/>
      <c r="O75" s="338"/>
      <c r="P75" s="338"/>
      <c r="Q75" s="338"/>
      <c r="R75" s="339"/>
      <c r="S75" s="4"/>
      <c r="T75" s="343"/>
      <c r="U75" s="343"/>
      <c r="V75" s="343"/>
      <c r="W75" s="343"/>
      <c r="X75" s="343"/>
      <c r="Y75" s="343"/>
      <c r="Z75" s="344"/>
      <c r="AA75" s="4"/>
      <c r="AB75" s="343"/>
      <c r="AC75" s="343"/>
      <c r="AD75" s="343"/>
      <c r="AE75" s="343"/>
      <c r="AF75" s="343"/>
      <c r="AG75" s="343"/>
      <c r="AH75" s="343"/>
      <c r="AI75" s="344"/>
      <c r="AJ75" s="4"/>
      <c r="AK75" s="343"/>
      <c r="AL75" s="343"/>
      <c r="AM75" s="343"/>
      <c r="AN75" s="343"/>
      <c r="AO75" s="343"/>
      <c r="AP75" s="344"/>
      <c r="AQ75" s="4"/>
      <c r="AR75" s="343"/>
      <c r="AS75" s="343"/>
      <c r="AT75" s="343"/>
      <c r="AU75" s="343"/>
      <c r="AV75" s="343"/>
      <c r="AW75" s="10"/>
    </row>
    <row r="76" spans="1:49" ht="16.5" customHeight="1">
      <c r="A76" s="329"/>
      <c r="B76" s="330"/>
      <c r="C76" s="330"/>
      <c r="D76" s="331"/>
      <c r="E76" s="345"/>
      <c r="F76" s="346"/>
      <c r="G76" s="346"/>
      <c r="H76" s="346"/>
      <c r="I76" s="346"/>
      <c r="J76" s="346"/>
      <c r="K76" s="347"/>
      <c r="L76" s="345"/>
      <c r="M76" s="346"/>
      <c r="N76" s="346"/>
      <c r="O76" s="346"/>
      <c r="P76" s="346"/>
      <c r="Q76" s="346"/>
      <c r="R76" s="347"/>
      <c r="S76" s="345"/>
      <c r="T76" s="346"/>
      <c r="U76" s="346"/>
      <c r="V76" s="346"/>
      <c r="W76" s="346"/>
      <c r="X76" s="346"/>
      <c r="Y76" s="346"/>
      <c r="Z76" s="347"/>
      <c r="AA76" s="345"/>
      <c r="AB76" s="346"/>
      <c r="AC76" s="346"/>
      <c r="AD76" s="346"/>
      <c r="AE76" s="346"/>
      <c r="AF76" s="346"/>
      <c r="AG76" s="346"/>
      <c r="AH76" s="346"/>
      <c r="AI76" s="347"/>
      <c r="AJ76" s="345"/>
      <c r="AK76" s="346"/>
      <c r="AL76" s="346"/>
      <c r="AM76" s="346"/>
      <c r="AN76" s="346"/>
      <c r="AO76" s="346"/>
      <c r="AP76" s="347"/>
      <c r="AQ76" s="345"/>
      <c r="AR76" s="346"/>
      <c r="AS76" s="346"/>
      <c r="AT76" s="346"/>
      <c r="AU76" s="346"/>
      <c r="AV76" s="346"/>
      <c r="AW76" s="348"/>
    </row>
    <row r="77" spans="1:49" ht="16.5" customHeight="1">
      <c r="A77" s="334"/>
      <c r="B77" s="335"/>
      <c r="C77" s="335"/>
      <c r="D77" s="336"/>
      <c r="E77" s="337"/>
      <c r="F77" s="338"/>
      <c r="G77" s="338"/>
      <c r="H77" s="338"/>
      <c r="I77" s="338"/>
      <c r="J77" s="338"/>
      <c r="K77" s="339"/>
      <c r="L77" s="337"/>
      <c r="M77" s="338"/>
      <c r="N77" s="338"/>
      <c r="O77" s="338"/>
      <c r="P77" s="338"/>
      <c r="Q77" s="338"/>
      <c r="R77" s="339"/>
      <c r="S77" s="337"/>
      <c r="T77" s="338"/>
      <c r="U77" s="338"/>
      <c r="V77" s="338"/>
      <c r="W77" s="338"/>
      <c r="X77" s="338"/>
      <c r="Y77" s="338"/>
      <c r="Z77" s="339"/>
      <c r="AA77" s="337"/>
      <c r="AB77" s="338"/>
      <c r="AC77" s="338"/>
      <c r="AD77" s="338"/>
      <c r="AE77" s="338"/>
      <c r="AF77" s="338"/>
      <c r="AG77" s="338"/>
      <c r="AH77" s="338"/>
      <c r="AI77" s="339"/>
      <c r="AJ77" s="337"/>
      <c r="AK77" s="338"/>
      <c r="AL77" s="338"/>
      <c r="AM77" s="338"/>
      <c r="AN77" s="338"/>
      <c r="AO77" s="338"/>
      <c r="AP77" s="339"/>
      <c r="AQ77" s="337"/>
      <c r="AR77" s="338"/>
      <c r="AS77" s="338"/>
      <c r="AT77" s="338"/>
      <c r="AU77" s="338"/>
      <c r="AV77" s="338"/>
      <c r="AW77" s="340"/>
    </row>
    <row r="78" spans="1:49" ht="16.5" customHeight="1">
      <c r="A78" s="9"/>
      <c r="B78" s="341"/>
      <c r="C78" s="341"/>
      <c r="D78" s="342"/>
      <c r="E78" s="4"/>
      <c r="F78" s="343"/>
      <c r="G78" s="343"/>
      <c r="H78" s="343"/>
      <c r="I78" s="343"/>
      <c r="J78" s="343"/>
      <c r="K78" s="344"/>
      <c r="L78" s="345"/>
      <c r="M78" s="346"/>
      <c r="N78" s="346"/>
      <c r="O78" s="346"/>
      <c r="P78" s="346"/>
      <c r="Q78" s="346"/>
      <c r="R78" s="347"/>
      <c r="S78" s="4"/>
      <c r="T78" s="343"/>
      <c r="U78" s="343"/>
      <c r="V78" s="343"/>
      <c r="W78" s="343"/>
      <c r="X78" s="343"/>
      <c r="Y78" s="343"/>
      <c r="Z78" s="344"/>
      <c r="AA78" s="4"/>
      <c r="AB78" s="343"/>
      <c r="AC78" s="343"/>
      <c r="AD78" s="343"/>
      <c r="AE78" s="343"/>
      <c r="AF78" s="343"/>
      <c r="AG78" s="343"/>
      <c r="AH78" s="343"/>
      <c r="AI78" s="344"/>
      <c r="AJ78" s="4"/>
      <c r="AK78" s="343"/>
      <c r="AL78" s="343"/>
      <c r="AM78" s="343"/>
      <c r="AN78" s="343"/>
      <c r="AO78" s="343"/>
      <c r="AP78" s="344"/>
      <c r="AQ78" s="4"/>
      <c r="AR78" s="343"/>
      <c r="AS78" s="343"/>
      <c r="AT78" s="343"/>
      <c r="AU78" s="343"/>
      <c r="AV78" s="343"/>
      <c r="AW78" s="10"/>
    </row>
    <row r="79" spans="1:49" ht="16.5" customHeight="1">
      <c r="A79" s="9"/>
      <c r="B79" s="341"/>
      <c r="C79" s="341"/>
      <c r="D79" s="342"/>
      <c r="E79" s="4"/>
      <c r="F79" s="343"/>
      <c r="G79" s="343"/>
      <c r="H79" s="343"/>
      <c r="I79" s="343"/>
      <c r="J79" s="343"/>
      <c r="K79" s="344"/>
      <c r="L79" s="337"/>
      <c r="M79" s="338"/>
      <c r="N79" s="338"/>
      <c r="O79" s="338"/>
      <c r="P79" s="338"/>
      <c r="Q79" s="338"/>
      <c r="R79" s="339"/>
      <c r="S79" s="4"/>
      <c r="T79" s="343"/>
      <c r="U79" s="343"/>
      <c r="V79" s="343"/>
      <c r="W79" s="343"/>
      <c r="X79" s="343"/>
      <c r="Y79" s="343"/>
      <c r="Z79" s="344"/>
      <c r="AA79" s="4"/>
      <c r="AB79" s="343"/>
      <c r="AC79" s="343"/>
      <c r="AD79" s="343"/>
      <c r="AE79" s="343"/>
      <c r="AF79" s="343"/>
      <c r="AG79" s="343"/>
      <c r="AH79" s="343"/>
      <c r="AI79" s="344"/>
      <c r="AJ79" s="4"/>
      <c r="AK79" s="343"/>
      <c r="AL79" s="343"/>
      <c r="AM79" s="343"/>
      <c r="AN79" s="343"/>
      <c r="AO79" s="343"/>
      <c r="AP79" s="344"/>
      <c r="AQ79" s="4"/>
      <c r="AR79" s="343"/>
      <c r="AS79" s="343"/>
      <c r="AT79" s="343"/>
      <c r="AU79" s="343"/>
      <c r="AV79" s="343"/>
      <c r="AW79" s="10"/>
    </row>
    <row r="80" spans="1:49" ht="16.5" customHeight="1">
      <c r="A80" s="329"/>
      <c r="B80" s="330"/>
      <c r="C80" s="330"/>
      <c r="D80" s="331"/>
      <c r="E80" s="345"/>
      <c r="F80" s="346"/>
      <c r="G80" s="346"/>
      <c r="H80" s="346"/>
      <c r="I80" s="346"/>
      <c r="J80" s="346"/>
      <c r="K80" s="347"/>
      <c r="L80" s="345"/>
      <c r="M80" s="346"/>
      <c r="N80" s="346"/>
      <c r="O80" s="346"/>
      <c r="P80" s="346"/>
      <c r="Q80" s="346"/>
      <c r="R80" s="347"/>
      <c r="S80" s="345"/>
      <c r="T80" s="346"/>
      <c r="U80" s="346"/>
      <c r="V80" s="346"/>
      <c r="W80" s="346"/>
      <c r="X80" s="346"/>
      <c r="Y80" s="346"/>
      <c r="Z80" s="347"/>
      <c r="AA80" s="345"/>
      <c r="AB80" s="346"/>
      <c r="AC80" s="346"/>
      <c r="AD80" s="346"/>
      <c r="AE80" s="346"/>
      <c r="AF80" s="346"/>
      <c r="AG80" s="346"/>
      <c r="AH80" s="346"/>
      <c r="AI80" s="347"/>
      <c r="AJ80" s="345"/>
      <c r="AK80" s="346"/>
      <c r="AL80" s="346"/>
      <c r="AM80" s="346"/>
      <c r="AN80" s="346"/>
      <c r="AO80" s="346"/>
      <c r="AP80" s="347"/>
      <c r="AQ80" s="345"/>
      <c r="AR80" s="346"/>
      <c r="AS80" s="346"/>
      <c r="AT80" s="346"/>
      <c r="AU80" s="346"/>
      <c r="AV80" s="346"/>
      <c r="AW80" s="348"/>
    </row>
    <row r="81" spans="1:49" ht="16.5" customHeight="1">
      <c r="A81" s="334"/>
      <c r="B81" s="335"/>
      <c r="C81" s="335"/>
      <c r="D81" s="336"/>
      <c r="E81" s="337"/>
      <c r="F81" s="338"/>
      <c r="G81" s="338"/>
      <c r="H81" s="338"/>
      <c r="I81" s="338"/>
      <c r="J81" s="338"/>
      <c r="K81" s="339"/>
      <c r="L81" s="337"/>
      <c r="M81" s="338"/>
      <c r="N81" s="338"/>
      <c r="O81" s="338"/>
      <c r="P81" s="338"/>
      <c r="Q81" s="338"/>
      <c r="R81" s="339"/>
      <c r="S81" s="337"/>
      <c r="T81" s="338"/>
      <c r="U81" s="338"/>
      <c r="V81" s="338"/>
      <c r="W81" s="338"/>
      <c r="X81" s="338"/>
      <c r="Y81" s="338"/>
      <c r="Z81" s="339"/>
      <c r="AA81" s="337"/>
      <c r="AB81" s="338"/>
      <c r="AC81" s="338"/>
      <c r="AD81" s="338"/>
      <c r="AE81" s="338"/>
      <c r="AF81" s="338"/>
      <c r="AG81" s="338"/>
      <c r="AH81" s="338"/>
      <c r="AI81" s="339"/>
      <c r="AJ81" s="337"/>
      <c r="AK81" s="338"/>
      <c r="AL81" s="338"/>
      <c r="AM81" s="338"/>
      <c r="AN81" s="338"/>
      <c r="AO81" s="338"/>
      <c r="AP81" s="339"/>
      <c r="AQ81" s="337"/>
      <c r="AR81" s="338"/>
      <c r="AS81" s="338"/>
      <c r="AT81" s="338"/>
      <c r="AU81" s="338"/>
      <c r="AV81" s="338"/>
      <c r="AW81" s="340"/>
    </row>
    <row r="82" spans="1:49" ht="16.5" customHeight="1">
      <c r="A82" s="9"/>
      <c r="B82" s="341"/>
      <c r="C82" s="341"/>
      <c r="D82" s="342"/>
      <c r="E82" s="4"/>
      <c r="F82" s="343"/>
      <c r="G82" s="343"/>
      <c r="H82" s="343"/>
      <c r="I82" s="343"/>
      <c r="J82" s="343"/>
      <c r="K82" s="344"/>
      <c r="L82" s="345"/>
      <c r="M82" s="346"/>
      <c r="N82" s="346"/>
      <c r="O82" s="346"/>
      <c r="P82" s="346"/>
      <c r="Q82" s="346"/>
      <c r="R82" s="347"/>
      <c r="S82" s="4"/>
      <c r="T82" s="343"/>
      <c r="U82" s="343"/>
      <c r="V82" s="343"/>
      <c r="W82" s="343"/>
      <c r="X82" s="343"/>
      <c r="Y82" s="343"/>
      <c r="Z82" s="344"/>
      <c r="AA82" s="4"/>
      <c r="AB82" s="343"/>
      <c r="AC82" s="343"/>
      <c r="AD82" s="343"/>
      <c r="AE82" s="343"/>
      <c r="AF82" s="343"/>
      <c r="AG82" s="343"/>
      <c r="AH82" s="343"/>
      <c r="AI82" s="344"/>
      <c r="AJ82" s="4"/>
      <c r="AK82" s="343"/>
      <c r="AL82" s="343"/>
      <c r="AM82" s="343"/>
      <c r="AN82" s="343"/>
      <c r="AO82" s="343"/>
      <c r="AP82" s="344"/>
      <c r="AQ82" s="4"/>
      <c r="AR82" s="343"/>
      <c r="AS82" s="343"/>
      <c r="AT82" s="343"/>
      <c r="AU82" s="343"/>
      <c r="AV82" s="343"/>
      <c r="AW82" s="10"/>
    </row>
    <row r="83" spans="1:49" ht="16.5" customHeight="1">
      <c r="A83" s="9"/>
      <c r="B83" s="341"/>
      <c r="C83" s="341"/>
      <c r="D83" s="342"/>
      <c r="E83" s="4"/>
      <c r="F83" s="343"/>
      <c r="G83" s="343"/>
      <c r="H83" s="343"/>
      <c r="I83" s="343"/>
      <c r="J83" s="343"/>
      <c r="K83" s="344"/>
      <c r="L83" s="337"/>
      <c r="M83" s="338"/>
      <c r="N83" s="338"/>
      <c r="O83" s="338"/>
      <c r="P83" s="338"/>
      <c r="Q83" s="338"/>
      <c r="R83" s="339"/>
      <c r="S83" s="4"/>
      <c r="T83" s="343"/>
      <c r="U83" s="343"/>
      <c r="V83" s="343"/>
      <c r="W83" s="343"/>
      <c r="X83" s="343"/>
      <c r="Y83" s="343"/>
      <c r="Z83" s="344"/>
      <c r="AA83" s="4"/>
      <c r="AB83" s="343"/>
      <c r="AC83" s="343"/>
      <c r="AD83" s="343"/>
      <c r="AE83" s="343"/>
      <c r="AF83" s="343"/>
      <c r="AG83" s="343"/>
      <c r="AH83" s="343"/>
      <c r="AI83" s="344"/>
      <c r="AJ83" s="4"/>
      <c r="AK83" s="343"/>
      <c r="AL83" s="343"/>
      <c r="AM83" s="343"/>
      <c r="AN83" s="343"/>
      <c r="AO83" s="343"/>
      <c r="AP83" s="344"/>
      <c r="AQ83" s="4"/>
      <c r="AR83" s="343"/>
      <c r="AS83" s="343"/>
      <c r="AT83" s="343"/>
      <c r="AU83" s="343"/>
      <c r="AV83" s="343"/>
      <c r="AW83" s="10"/>
    </row>
    <row r="84" spans="1:49" ht="16.5" customHeight="1">
      <c r="A84" s="329"/>
      <c r="B84" s="330"/>
      <c r="C84" s="330"/>
      <c r="D84" s="331"/>
      <c r="E84" s="345"/>
      <c r="F84" s="346"/>
      <c r="G84" s="346"/>
      <c r="H84" s="346"/>
      <c r="I84" s="346"/>
      <c r="J84" s="346"/>
      <c r="K84" s="347"/>
      <c r="L84" s="345"/>
      <c r="M84" s="346"/>
      <c r="N84" s="346"/>
      <c r="O84" s="346"/>
      <c r="P84" s="346"/>
      <c r="Q84" s="346"/>
      <c r="R84" s="347"/>
      <c r="S84" s="345"/>
      <c r="T84" s="346"/>
      <c r="U84" s="346"/>
      <c r="V84" s="346"/>
      <c r="W84" s="346"/>
      <c r="X84" s="346"/>
      <c r="Y84" s="346"/>
      <c r="Z84" s="347"/>
      <c r="AA84" s="345"/>
      <c r="AB84" s="346"/>
      <c r="AC84" s="346"/>
      <c r="AD84" s="346"/>
      <c r="AE84" s="346"/>
      <c r="AF84" s="346"/>
      <c r="AG84" s="346"/>
      <c r="AH84" s="346"/>
      <c r="AI84" s="347"/>
      <c r="AJ84" s="345"/>
      <c r="AK84" s="346"/>
      <c r="AL84" s="346"/>
      <c r="AM84" s="346"/>
      <c r="AN84" s="346"/>
      <c r="AO84" s="346"/>
      <c r="AP84" s="347"/>
      <c r="AQ84" s="345"/>
      <c r="AR84" s="346"/>
      <c r="AS84" s="346"/>
      <c r="AT84" s="346"/>
      <c r="AU84" s="346"/>
      <c r="AV84" s="346"/>
      <c r="AW84" s="348"/>
    </row>
    <row r="85" spans="1:49" ht="16.5" customHeight="1">
      <c r="A85" s="334"/>
      <c r="B85" s="335"/>
      <c r="C85" s="335"/>
      <c r="D85" s="336"/>
      <c r="E85" s="337"/>
      <c r="F85" s="338"/>
      <c r="G85" s="338"/>
      <c r="H85" s="338"/>
      <c r="I85" s="338"/>
      <c r="J85" s="338"/>
      <c r="K85" s="339"/>
      <c r="L85" s="337"/>
      <c r="M85" s="338"/>
      <c r="N85" s="338"/>
      <c r="O85" s="338"/>
      <c r="P85" s="338"/>
      <c r="Q85" s="338"/>
      <c r="R85" s="339"/>
      <c r="S85" s="337"/>
      <c r="T85" s="338"/>
      <c r="U85" s="338"/>
      <c r="V85" s="338"/>
      <c r="W85" s="338"/>
      <c r="X85" s="338"/>
      <c r="Y85" s="338"/>
      <c r="Z85" s="339"/>
      <c r="AA85" s="337"/>
      <c r="AB85" s="338"/>
      <c r="AC85" s="338"/>
      <c r="AD85" s="338"/>
      <c r="AE85" s="338"/>
      <c r="AF85" s="338"/>
      <c r="AG85" s="338"/>
      <c r="AH85" s="338"/>
      <c r="AI85" s="339"/>
      <c r="AJ85" s="337"/>
      <c r="AK85" s="338"/>
      <c r="AL85" s="338"/>
      <c r="AM85" s="338"/>
      <c r="AN85" s="338"/>
      <c r="AO85" s="338"/>
      <c r="AP85" s="339"/>
      <c r="AQ85" s="337"/>
      <c r="AR85" s="338"/>
      <c r="AS85" s="338"/>
      <c r="AT85" s="338"/>
      <c r="AU85" s="338"/>
      <c r="AV85" s="338"/>
      <c r="AW85" s="340"/>
    </row>
    <row r="86" spans="1:49" ht="16.5" customHeight="1">
      <c r="A86" s="9"/>
      <c r="B86" s="341"/>
      <c r="C86" s="341"/>
      <c r="D86" s="342"/>
      <c r="E86" s="4"/>
      <c r="F86" s="343"/>
      <c r="G86" s="343"/>
      <c r="H86" s="343"/>
      <c r="I86" s="343"/>
      <c r="J86" s="343"/>
      <c r="K86" s="344"/>
      <c r="L86" s="345"/>
      <c r="M86" s="346"/>
      <c r="N86" s="346"/>
      <c r="O86" s="346"/>
      <c r="P86" s="346"/>
      <c r="Q86" s="346"/>
      <c r="R86" s="347"/>
      <c r="S86" s="4"/>
      <c r="T86" s="343"/>
      <c r="U86" s="343"/>
      <c r="V86" s="343"/>
      <c r="W86" s="343"/>
      <c r="X86" s="343"/>
      <c r="Y86" s="343"/>
      <c r="Z86" s="344"/>
      <c r="AA86" s="4"/>
      <c r="AB86" s="343"/>
      <c r="AC86" s="343"/>
      <c r="AD86" s="343"/>
      <c r="AE86" s="343"/>
      <c r="AF86" s="343"/>
      <c r="AG86" s="343"/>
      <c r="AH86" s="343"/>
      <c r="AI86" s="344"/>
      <c r="AJ86" s="4"/>
      <c r="AK86" s="343"/>
      <c r="AL86" s="343"/>
      <c r="AM86" s="343"/>
      <c r="AN86" s="343"/>
      <c r="AO86" s="343"/>
      <c r="AP86" s="344"/>
      <c r="AQ86" s="4"/>
      <c r="AR86" s="343"/>
      <c r="AS86" s="343"/>
      <c r="AT86" s="343"/>
      <c r="AU86" s="343"/>
      <c r="AV86" s="343"/>
      <c r="AW86" s="10"/>
    </row>
    <row r="87" spans="1:49" ht="16.5" customHeight="1">
      <c r="A87" s="9"/>
      <c r="B87" s="341"/>
      <c r="C87" s="341"/>
      <c r="D87" s="342"/>
      <c r="E87" s="4"/>
      <c r="F87" s="343"/>
      <c r="G87" s="343"/>
      <c r="H87" s="343"/>
      <c r="I87" s="343"/>
      <c r="J87" s="343"/>
      <c r="K87" s="344"/>
      <c r="L87" s="337"/>
      <c r="M87" s="338"/>
      <c r="N87" s="338"/>
      <c r="O87" s="338"/>
      <c r="P87" s="338"/>
      <c r="Q87" s="338"/>
      <c r="R87" s="339"/>
      <c r="S87" s="4"/>
      <c r="T87" s="343"/>
      <c r="U87" s="343"/>
      <c r="V87" s="343"/>
      <c r="W87" s="343"/>
      <c r="X87" s="343"/>
      <c r="Y87" s="343"/>
      <c r="Z87" s="344"/>
      <c r="AA87" s="4"/>
      <c r="AB87" s="343"/>
      <c r="AC87" s="343"/>
      <c r="AD87" s="343"/>
      <c r="AE87" s="343"/>
      <c r="AF87" s="343"/>
      <c r="AG87" s="343"/>
      <c r="AH87" s="343"/>
      <c r="AI87" s="344"/>
      <c r="AJ87" s="4"/>
      <c r="AK87" s="343"/>
      <c r="AL87" s="343"/>
      <c r="AM87" s="343"/>
      <c r="AN87" s="343"/>
      <c r="AO87" s="343"/>
      <c r="AP87" s="344"/>
      <c r="AQ87" s="4"/>
      <c r="AR87" s="343"/>
      <c r="AS87" s="343"/>
      <c r="AT87" s="343"/>
      <c r="AU87" s="343"/>
      <c r="AV87" s="343"/>
      <c r="AW87" s="10"/>
    </row>
    <row r="88" spans="1:49" ht="16.5" customHeight="1">
      <c r="A88" s="329"/>
      <c r="B88" s="330"/>
      <c r="C88" s="330"/>
      <c r="D88" s="331"/>
      <c r="E88" s="345"/>
      <c r="F88" s="346"/>
      <c r="G88" s="346"/>
      <c r="H88" s="346"/>
      <c r="I88" s="346"/>
      <c r="J88" s="346"/>
      <c r="K88" s="347"/>
      <c r="L88" s="345"/>
      <c r="M88" s="346"/>
      <c r="N88" s="346"/>
      <c r="O88" s="346"/>
      <c r="P88" s="346"/>
      <c r="Q88" s="346"/>
      <c r="R88" s="347"/>
      <c r="S88" s="345"/>
      <c r="T88" s="346"/>
      <c r="U88" s="346"/>
      <c r="V88" s="346"/>
      <c r="W88" s="346"/>
      <c r="X88" s="346"/>
      <c r="Y88" s="346"/>
      <c r="Z88" s="347"/>
      <c r="AA88" s="345"/>
      <c r="AB88" s="346"/>
      <c r="AC88" s="346"/>
      <c r="AD88" s="346"/>
      <c r="AE88" s="346"/>
      <c r="AF88" s="346"/>
      <c r="AG88" s="346"/>
      <c r="AH88" s="346"/>
      <c r="AI88" s="347"/>
      <c r="AJ88" s="345"/>
      <c r="AK88" s="346"/>
      <c r="AL88" s="346"/>
      <c r="AM88" s="346"/>
      <c r="AN88" s="346"/>
      <c r="AO88" s="346"/>
      <c r="AP88" s="347"/>
      <c r="AQ88" s="345"/>
      <c r="AR88" s="346"/>
      <c r="AS88" s="346"/>
      <c r="AT88" s="346"/>
      <c r="AU88" s="346"/>
      <c r="AV88" s="346"/>
      <c r="AW88" s="348"/>
    </row>
    <row r="89" spans="1:49" ht="16.5" customHeight="1">
      <c r="A89" s="334"/>
      <c r="B89" s="335"/>
      <c r="C89" s="335"/>
      <c r="D89" s="336"/>
      <c r="E89" s="337"/>
      <c r="F89" s="338"/>
      <c r="G89" s="338"/>
      <c r="H89" s="338"/>
      <c r="I89" s="338"/>
      <c r="J89" s="338"/>
      <c r="K89" s="339"/>
      <c r="L89" s="337"/>
      <c r="M89" s="338"/>
      <c r="N89" s="338"/>
      <c r="O89" s="338"/>
      <c r="P89" s="338"/>
      <c r="Q89" s="338"/>
      <c r="R89" s="339"/>
      <c r="S89" s="337"/>
      <c r="T89" s="338"/>
      <c r="U89" s="338"/>
      <c r="V89" s="338"/>
      <c r="W89" s="338"/>
      <c r="X89" s="338"/>
      <c r="Y89" s="338"/>
      <c r="Z89" s="339"/>
      <c r="AA89" s="337"/>
      <c r="AB89" s="338"/>
      <c r="AC89" s="338"/>
      <c r="AD89" s="338"/>
      <c r="AE89" s="338"/>
      <c r="AF89" s="338"/>
      <c r="AG89" s="338"/>
      <c r="AH89" s="338"/>
      <c r="AI89" s="339"/>
      <c r="AJ89" s="337"/>
      <c r="AK89" s="338"/>
      <c r="AL89" s="338"/>
      <c r="AM89" s="338"/>
      <c r="AN89" s="338"/>
      <c r="AO89" s="338"/>
      <c r="AP89" s="339"/>
      <c r="AQ89" s="337"/>
      <c r="AR89" s="338"/>
      <c r="AS89" s="338"/>
      <c r="AT89" s="338"/>
      <c r="AU89" s="338"/>
      <c r="AV89" s="338"/>
      <c r="AW89" s="340"/>
    </row>
    <row r="90" spans="1:49" ht="16.5" customHeight="1">
      <c r="A90" s="9"/>
      <c r="B90" s="341"/>
      <c r="C90" s="341"/>
      <c r="D90" s="342"/>
      <c r="E90" s="4"/>
      <c r="F90" s="343"/>
      <c r="G90" s="343"/>
      <c r="H90" s="343"/>
      <c r="I90" s="343"/>
      <c r="J90" s="343"/>
      <c r="K90" s="344"/>
      <c r="L90" s="345"/>
      <c r="M90" s="346"/>
      <c r="N90" s="346"/>
      <c r="O90" s="346"/>
      <c r="P90" s="346"/>
      <c r="Q90" s="346"/>
      <c r="R90" s="347"/>
      <c r="S90" s="4"/>
      <c r="T90" s="343"/>
      <c r="U90" s="343"/>
      <c r="V90" s="343"/>
      <c r="W90" s="343"/>
      <c r="X90" s="343"/>
      <c r="Y90" s="343"/>
      <c r="Z90" s="344"/>
      <c r="AA90" s="4"/>
      <c r="AB90" s="343"/>
      <c r="AC90" s="343"/>
      <c r="AD90" s="343"/>
      <c r="AE90" s="343"/>
      <c r="AF90" s="343"/>
      <c r="AG90" s="343"/>
      <c r="AH90" s="343"/>
      <c r="AI90" s="344"/>
      <c r="AJ90" s="4"/>
      <c r="AK90" s="343"/>
      <c r="AL90" s="343"/>
      <c r="AM90" s="343"/>
      <c r="AN90" s="343"/>
      <c r="AO90" s="343"/>
      <c r="AP90" s="344"/>
      <c r="AQ90" s="4"/>
      <c r="AR90" s="343"/>
      <c r="AS90" s="343"/>
      <c r="AT90" s="343"/>
      <c r="AU90" s="343"/>
      <c r="AV90" s="343"/>
      <c r="AW90" s="10"/>
    </row>
    <row r="91" spans="1:49" ht="16.5" customHeight="1">
      <c r="A91" s="9"/>
      <c r="B91" s="341"/>
      <c r="C91" s="341"/>
      <c r="D91" s="342"/>
      <c r="E91" s="4"/>
      <c r="F91" s="343"/>
      <c r="G91" s="343"/>
      <c r="H91" s="343"/>
      <c r="I91" s="343"/>
      <c r="J91" s="343"/>
      <c r="K91" s="344"/>
      <c r="L91" s="337"/>
      <c r="M91" s="338"/>
      <c r="N91" s="338"/>
      <c r="O91" s="338"/>
      <c r="P91" s="338"/>
      <c r="Q91" s="338"/>
      <c r="R91" s="339"/>
      <c r="S91" s="4"/>
      <c r="T91" s="343"/>
      <c r="U91" s="343"/>
      <c r="V91" s="343"/>
      <c r="W91" s="343"/>
      <c r="X91" s="343"/>
      <c r="Y91" s="343"/>
      <c r="Z91" s="344"/>
      <c r="AA91" s="4"/>
      <c r="AB91" s="343"/>
      <c r="AC91" s="343"/>
      <c r="AD91" s="343"/>
      <c r="AE91" s="343"/>
      <c r="AF91" s="343"/>
      <c r="AG91" s="343"/>
      <c r="AH91" s="343"/>
      <c r="AI91" s="344"/>
      <c r="AJ91" s="4"/>
      <c r="AK91" s="343"/>
      <c r="AL91" s="343"/>
      <c r="AM91" s="343"/>
      <c r="AN91" s="343"/>
      <c r="AO91" s="343"/>
      <c r="AP91" s="344"/>
      <c r="AQ91" s="4"/>
      <c r="AR91" s="343"/>
      <c r="AS91" s="343"/>
      <c r="AT91" s="343"/>
      <c r="AU91" s="343"/>
      <c r="AV91" s="343"/>
      <c r="AW91" s="10"/>
    </row>
    <row r="92" spans="1:49" ht="16.5" customHeight="1">
      <c r="A92" s="329"/>
      <c r="B92" s="330"/>
      <c r="C92" s="330"/>
      <c r="D92" s="331"/>
      <c r="E92" s="345"/>
      <c r="F92" s="346"/>
      <c r="G92" s="346"/>
      <c r="H92" s="346"/>
      <c r="I92" s="346"/>
      <c r="J92" s="346"/>
      <c r="K92" s="347"/>
      <c r="L92" s="345"/>
      <c r="M92" s="346"/>
      <c r="N92" s="346"/>
      <c r="O92" s="346"/>
      <c r="P92" s="346"/>
      <c r="Q92" s="346"/>
      <c r="R92" s="347"/>
      <c r="S92" s="345"/>
      <c r="T92" s="346"/>
      <c r="U92" s="346"/>
      <c r="V92" s="346"/>
      <c r="W92" s="346"/>
      <c r="X92" s="346"/>
      <c r="Y92" s="346"/>
      <c r="Z92" s="347"/>
      <c r="AA92" s="345"/>
      <c r="AB92" s="346"/>
      <c r="AC92" s="346"/>
      <c r="AD92" s="346"/>
      <c r="AE92" s="346"/>
      <c r="AF92" s="346"/>
      <c r="AG92" s="346"/>
      <c r="AH92" s="346"/>
      <c r="AI92" s="347"/>
      <c r="AJ92" s="345"/>
      <c r="AK92" s="346"/>
      <c r="AL92" s="346"/>
      <c r="AM92" s="346"/>
      <c r="AN92" s="346"/>
      <c r="AO92" s="346"/>
      <c r="AP92" s="347"/>
      <c r="AQ92" s="345"/>
      <c r="AR92" s="346"/>
      <c r="AS92" s="346"/>
      <c r="AT92" s="346"/>
      <c r="AU92" s="346"/>
      <c r="AV92" s="346"/>
      <c r="AW92" s="348"/>
    </row>
    <row r="93" spans="1:49" ht="16.5" customHeight="1">
      <c r="A93" s="334"/>
      <c r="B93" s="335"/>
      <c r="C93" s="335"/>
      <c r="D93" s="336"/>
      <c r="E93" s="337"/>
      <c r="F93" s="338"/>
      <c r="G93" s="338"/>
      <c r="H93" s="338"/>
      <c r="I93" s="338"/>
      <c r="J93" s="338"/>
      <c r="K93" s="339"/>
      <c r="L93" s="337"/>
      <c r="M93" s="338"/>
      <c r="N93" s="338"/>
      <c r="O93" s="338"/>
      <c r="P93" s="338"/>
      <c r="Q93" s="338"/>
      <c r="R93" s="339"/>
      <c r="S93" s="337"/>
      <c r="T93" s="338"/>
      <c r="U93" s="338"/>
      <c r="V93" s="338"/>
      <c r="W93" s="338"/>
      <c r="X93" s="338"/>
      <c r="Y93" s="338"/>
      <c r="Z93" s="339"/>
      <c r="AA93" s="337"/>
      <c r="AB93" s="338"/>
      <c r="AC93" s="338"/>
      <c r="AD93" s="338"/>
      <c r="AE93" s="338"/>
      <c r="AF93" s="338"/>
      <c r="AG93" s="338"/>
      <c r="AH93" s="338"/>
      <c r="AI93" s="339"/>
      <c r="AJ93" s="337"/>
      <c r="AK93" s="338"/>
      <c r="AL93" s="338"/>
      <c r="AM93" s="338"/>
      <c r="AN93" s="338"/>
      <c r="AO93" s="338"/>
      <c r="AP93" s="339"/>
      <c r="AQ93" s="337"/>
      <c r="AR93" s="338"/>
      <c r="AS93" s="338"/>
      <c r="AT93" s="338"/>
      <c r="AU93" s="338"/>
      <c r="AV93" s="338"/>
      <c r="AW93" s="340"/>
    </row>
    <row r="94" spans="1:49" ht="16.5" customHeight="1">
      <c r="A94" s="9"/>
      <c r="B94" s="341"/>
      <c r="C94" s="341"/>
      <c r="D94" s="342"/>
      <c r="E94" s="4"/>
      <c r="F94" s="343"/>
      <c r="G94" s="343"/>
      <c r="H94" s="343"/>
      <c r="I94" s="343"/>
      <c r="J94" s="343"/>
      <c r="K94" s="344"/>
      <c r="L94" s="345"/>
      <c r="M94" s="346"/>
      <c r="N94" s="346"/>
      <c r="O94" s="346"/>
      <c r="P94" s="346"/>
      <c r="Q94" s="346"/>
      <c r="R94" s="347"/>
      <c r="S94" s="4"/>
      <c r="T94" s="343"/>
      <c r="U94" s="343"/>
      <c r="V94" s="343"/>
      <c r="W94" s="343"/>
      <c r="X94" s="343"/>
      <c r="Y94" s="343"/>
      <c r="Z94" s="344"/>
      <c r="AA94" s="4"/>
      <c r="AB94" s="343"/>
      <c r="AC94" s="343"/>
      <c r="AD94" s="343"/>
      <c r="AE94" s="343"/>
      <c r="AF94" s="343"/>
      <c r="AG94" s="343"/>
      <c r="AH94" s="343"/>
      <c r="AI94" s="344"/>
      <c r="AJ94" s="4"/>
      <c r="AK94" s="343"/>
      <c r="AL94" s="343"/>
      <c r="AM94" s="343"/>
      <c r="AN94" s="343"/>
      <c r="AO94" s="343"/>
      <c r="AP94" s="344"/>
      <c r="AQ94" s="4"/>
      <c r="AR94" s="343"/>
      <c r="AS94" s="343"/>
      <c r="AT94" s="343"/>
      <c r="AU94" s="343"/>
      <c r="AV94" s="343"/>
      <c r="AW94" s="10"/>
    </row>
    <row r="95" spans="1:49" ht="16.5" customHeight="1">
      <c r="A95" s="9"/>
      <c r="B95" s="341"/>
      <c r="C95" s="341"/>
      <c r="D95" s="342"/>
      <c r="E95" s="4"/>
      <c r="F95" s="343"/>
      <c r="G95" s="343"/>
      <c r="H95" s="343"/>
      <c r="I95" s="343"/>
      <c r="J95" s="343"/>
      <c r="K95" s="344"/>
      <c r="L95" s="337"/>
      <c r="M95" s="338"/>
      <c r="N95" s="338"/>
      <c r="O95" s="338"/>
      <c r="P95" s="338"/>
      <c r="Q95" s="338"/>
      <c r="R95" s="339"/>
      <c r="S95" s="4"/>
      <c r="T95" s="343"/>
      <c r="U95" s="343"/>
      <c r="V95" s="343"/>
      <c r="W95" s="343"/>
      <c r="X95" s="343"/>
      <c r="Y95" s="343"/>
      <c r="Z95" s="344"/>
      <c r="AA95" s="4"/>
      <c r="AB95" s="343"/>
      <c r="AC95" s="343"/>
      <c r="AD95" s="343"/>
      <c r="AE95" s="343"/>
      <c r="AF95" s="343"/>
      <c r="AG95" s="343"/>
      <c r="AH95" s="343"/>
      <c r="AI95" s="344"/>
      <c r="AJ95" s="4"/>
      <c r="AK95" s="343"/>
      <c r="AL95" s="343"/>
      <c r="AM95" s="343"/>
      <c r="AN95" s="343"/>
      <c r="AO95" s="343"/>
      <c r="AP95" s="344"/>
      <c r="AQ95" s="4"/>
      <c r="AR95" s="343"/>
      <c r="AS95" s="343"/>
      <c r="AT95" s="343"/>
      <c r="AU95" s="343"/>
      <c r="AV95" s="343"/>
      <c r="AW95" s="10"/>
    </row>
    <row r="96" spans="1:49" ht="16.5" customHeight="1">
      <c r="A96" s="329"/>
      <c r="B96" s="330"/>
      <c r="C96" s="330"/>
      <c r="D96" s="331"/>
      <c r="E96" s="345"/>
      <c r="F96" s="346"/>
      <c r="G96" s="346"/>
      <c r="H96" s="346"/>
      <c r="I96" s="346"/>
      <c r="J96" s="346"/>
      <c r="K96" s="347"/>
      <c r="L96" s="345"/>
      <c r="M96" s="346"/>
      <c r="N96" s="346"/>
      <c r="O96" s="346"/>
      <c r="P96" s="346"/>
      <c r="Q96" s="346"/>
      <c r="R96" s="347"/>
      <c r="S96" s="345"/>
      <c r="T96" s="346"/>
      <c r="U96" s="346"/>
      <c r="V96" s="346"/>
      <c r="W96" s="346"/>
      <c r="X96" s="346"/>
      <c r="Y96" s="346"/>
      <c r="Z96" s="347"/>
      <c r="AA96" s="345"/>
      <c r="AB96" s="346"/>
      <c r="AC96" s="346"/>
      <c r="AD96" s="346"/>
      <c r="AE96" s="346"/>
      <c r="AF96" s="346"/>
      <c r="AG96" s="346"/>
      <c r="AH96" s="346"/>
      <c r="AI96" s="347"/>
      <c r="AJ96" s="345"/>
      <c r="AK96" s="346"/>
      <c r="AL96" s="346"/>
      <c r="AM96" s="346"/>
      <c r="AN96" s="346"/>
      <c r="AO96" s="346"/>
      <c r="AP96" s="347"/>
      <c r="AQ96" s="345"/>
      <c r="AR96" s="346"/>
      <c r="AS96" s="346"/>
      <c r="AT96" s="346"/>
      <c r="AU96" s="346"/>
      <c r="AV96" s="346"/>
      <c r="AW96" s="348"/>
    </row>
    <row r="97" spans="1:49" ht="16.5" customHeight="1">
      <c r="A97" s="334"/>
      <c r="B97" s="335"/>
      <c r="C97" s="335"/>
      <c r="D97" s="336"/>
      <c r="E97" s="337"/>
      <c r="F97" s="338"/>
      <c r="G97" s="338"/>
      <c r="H97" s="338"/>
      <c r="I97" s="338"/>
      <c r="J97" s="338"/>
      <c r="K97" s="339"/>
      <c r="L97" s="337"/>
      <c r="M97" s="338"/>
      <c r="N97" s="338"/>
      <c r="O97" s="338"/>
      <c r="P97" s="338"/>
      <c r="Q97" s="338"/>
      <c r="R97" s="339"/>
      <c r="S97" s="337"/>
      <c r="T97" s="338"/>
      <c r="U97" s="338"/>
      <c r="V97" s="338"/>
      <c r="W97" s="338"/>
      <c r="X97" s="338"/>
      <c r="Y97" s="338"/>
      <c r="Z97" s="339"/>
      <c r="AA97" s="337"/>
      <c r="AB97" s="338"/>
      <c r="AC97" s="338"/>
      <c r="AD97" s="338"/>
      <c r="AE97" s="338"/>
      <c r="AF97" s="338"/>
      <c r="AG97" s="338"/>
      <c r="AH97" s="338"/>
      <c r="AI97" s="339"/>
      <c r="AJ97" s="337"/>
      <c r="AK97" s="338"/>
      <c r="AL97" s="338"/>
      <c r="AM97" s="338"/>
      <c r="AN97" s="338"/>
      <c r="AO97" s="338"/>
      <c r="AP97" s="339"/>
      <c r="AQ97" s="337"/>
      <c r="AR97" s="338"/>
      <c r="AS97" s="338"/>
      <c r="AT97" s="338"/>
      <c r="AU97" s="338"/>
      <c r="AV97" s="338"/>
      <c r="AW97" s="340"/>
    </row>
    <row r="98" spans="1:49" ht="16.5" customHeight="1">
      <c r="A98" s="9"/>
      <c r="B98" s="341"/>
      <c r="C98" s="341"/>
      <c r="D98" s="342"/>
      <c r="E98" s="4"/>
      <c r="F98" s="343"/>
      <c r="G98" s="343"/>
      <c r="H98" s="343"/>
      <c r="I98" s="343"/>
      <c r="J98" s="343"/>
      <c r="K98" s="344"/>
      <c r="L98" s="345"/>
      <c r="M98" s="346"/>
      <c r="N98" s="346"/>
      <c r="O98" s="346"/>
      <c r="P98" s="346"/>
      <c r="Q98" s="346"/>
      <c r="R98" s="347"/>
      <c r="S98" s="4"/>
      <c r="T98" s="343"/>
      <c r="U98" s="343"/>
      <c r="V98" s="343"/>
      <c r="W98" s="343"/>
      <c r="X98" s="343"/>
      <c r="Y98" s="343"/>
      <c r="Z98" s="344"/>
      <c r="AA98" s="4"/>
      <c r="AB98" s="343"/>
      <c r="AC98" s="343"/>
      <c r="AD98" s="343"/>
      <c r="AE98" s="343"/>
      <c r="AF98" s="343"/>
      <c r="AG98" s="343"/>
      <c r="AH98" s="343"/>
      <c r="AI98" s="344"/>
      <c r="AJ98" s="4"/>
      <c r="AK98" s="343"/>
      <c r="AL98" s="343"/>
      <c r="AM98" s="343"/>
      <c r="AN98" s="343"/>
      <c r="AO98" s="343"/>
      <c r="AP98" s="344"/>
      <c r="AQ98" s="4"/>
      <c r="AR98" s="343"/>
      <c r="AS98" s="343"/>
      <c r="AT98" s="343"/>
      <c r="AU98" s="343"/>
      <c r="AV98" s="343"/>
      <c r="AW98" s="10"/>
    </row>
    <row r="99" spans="1:49" ht="16.5" customHeight="1">
      <c r="A99" s="9"/>
      <c r="B99" s="341"/>
      <c r="C99" s="341"/>
      <c r="D99" s="342"/>
      <c r="E99" s="4"/>
      <c r="F99" s="343"/>
      <c r="G99" s="343"/>
      <c r="H99" s="343"/>
      <c r="I99" s="343"/>
      <c r="J99" s="343"/>
      <c r="K99" s="344"/>
      <c r="L99" s="337"/>
      <c r="M99" s="338"/>
      <c r="N99" s="338"/>
      <c r="O99" s="338"/>
      <c r="P99" s="338"/>
      <c r="Q99" s="338"/>
      <c r="R99" s="339"/>
      <c r="S99" s="4"/>
      <c r="T99" s="343"/>
      <c r="U99" s="343"/>
      <c r="V99" s="343"/>
      <c r="W99" s="343"/>
      <c r="X99" s="343"/>
      <c r="Y99" s="343"/>
      <c r="Z99" s="344"/>
      <c r="AA99" s="4"/>
      <c r="AB99" s="343"/>
      <c r="AC99" s="343"/>
      <c r="AD99" s="343"/>
      <c r="AE99" s="343"/>
      <c r="AF99" s="343"/>
      <c r="AG99" s="343"/>
      <c r="AH99" s="343"/>
      <c r="AI99" s="344"/>
      <c r="AJ99" s="4"/>
      <c r="AK99" s="343"/>
      <c r="AL99" s="343"/>
      <c r="AM99" s="343"/>
      <c r="AN99" s="343"/>
      <c r="AO99" s="343"/>
      <c r="AP99" s="344"/>
      <c r="AQ99" s="4"/>
      <c r="AR99" s="343"/>
      <c r="AS99" s="343"/>
      <c r="AT99" s="343"/>
      <c r="AU99" s="343"/>
      <c r="AV99" s="343"/>
      <c r="AW99" s="10"/>
    </row>
    <row r="100" spans="1:49" ht="16.5" customHeight="1">
      <c r="A100" s="329"/>
      <c r="B100" s="330"/>
      <c r="C100" s="330"/>
      <c r="D100" s="331"/>
      <c r="E100" s="345"/>
      <c r="F100" s="346"/>
      <c r="G100" s="346"/>
      <c r="H100" s="346"/>
      <c r="I100" s="346"/>
      <c r="J100" s="346"/>
      <c r="K100" s="347"/>
      <c r="L100" s="345"/>
      <c r="M100" s="346"/>
      <c r="N100" s="346"/>
      <c r="O100" s="346"/>
      <c r="P100" s="346"/>
      <c r="Q100" s="346"/>
      <c r="R100" s="347"/>
      <c r="S100" s="345"/>
      <c r="T100" s="346"/>
      <c r="U100" s="346"/>
      <c r="V100" s="346"/>
      <c r="W100" s="346"/>
      <c r="X100" s="346"/>
      <c r="Y100" s="346"/>
      <c r="Z100" s="347"/>
      <c r="AA100" s="345"/>
      <c r="AB100" s="346"/>
      <c r="AC100" s="346"/>
      <c r="AD100" s="346"/>
      <c r="AE100" s="346"/>
      <c r="AF100" s="346"/>
      <c r="AG100" s="346"/>
      <c r="AH100" s="346"/>
      <c r="AI100" s="347"/>
      <c r="AJ100" s="345"/>
      <c r="AK100" s="346"/>
      <c r="AL100" s="346"/>
      <c r="AM100" s="346"/>
      <c r="AN100" s="346"/>
      <c r="AO100" s="346"/>
      <c r="AP100" s="347"/>
      <c r="AQ100" s="345"/>
      <c r="AR100" s="346"/>
      <c r="AS100" s="346"/>
      <c r="AT100" s="346"/>
      <c r="AU100" s="346"/>
      <c r="AV100" s="346"/>
      <c r="AW100" s="348"/>
    </row>
    <row r="101" spans="1:49" ht="16.5" customHeight="1">
      <c r="A101" s="334"/>
      <c r="B101" s="335"/>
      <c r="C101" s="335"/>
      <c r="D101" s="336"/>
      <c r="E101" s="337"/>
      <c r="F101" s="338"/>
      <c r="G101" s="338"/>
      <c r="H101" s="338"/>
      <c r="I101" s="338"/>
      <c r="J101" s="338"/>
      <c r="K101" s="339"/>
      <c r="L101" s="337"/>
      <c r="M101" s="338"/>
      <c r="N101" s="338"/>
      <c r="O101" s="338"/>
      <c r="P101" s="338"/>
      <c r="Q101" s="338"/>
      <c r="R101" s="339"/>
      <c r="S101" s="337"/>
      <c r="T101" s="338"/>
      <c r="U101" s="338"/>
      <c r="V101" s="338"/>
      <c r="W101" s="338"/>
      <c r="X101" s="338"/>
      <c r="Y101" s="338"/>
      <c r="Z101" s="339"/>
      <c r="AA101" s="337"/>
      <c r="AB101" s="338"/>
      <c r="AC101" s="338"/>
      <c r="AD101" s="338"/>
      <c r="AE101" s="338"/>
      <c r="AF101" s="338"/>
      <c r="AG101" s="338"/>
      <c r="AH101" s="338"/>
      <c r="AI101" s="339"/>
      <c r="AJ101" s="337"/>
      <c r="AK101" s="338"/>
      <c r="AL101" s="338"/>
      <c r="AM101" s="338"/>
      <c r="AN101" s="338"/>
      <c r="AO101" s="338"/>
      <c r="AP101" s="339"/>
      <c r="AQ101" s="337"/>
      <c r="AR101" s="338"/>
      <c r="AS101" s="338"/>
      <c r="AT101" s="338"/>
      <c r="AU101" s="338"/>
      <c r="AV101" s="338"/>
      <c r="AW101" s="340"/>
    </row>
    <row r="102" spans="1:49" ht="16.5" customHeight="1">
      <c r="A102" s="9"/>
      <c r="B102" s="341"/>
      <c r="C102" s="341"/>
      <c r="D102" s="342"/>
      <c r="E102" s="4"/>
      <c r="F102" s="343"/>
      <c r="G102" s="343"/>
      <c r="H102" s="343"/>
      <c r="I102" s="343"/>
      <c r="J102" s="343"/>
      <c r="K102" s="344"/>
      <c r="L102" s="345"/>
      <c r="M102" s="346"/>
      <c r="N102" s="346"/>
      <c r="O102" s="346"/>
      <c r="P102" s="346"/>
      <c r="Q102" s="346"/>
      <c r="R102" s="347"/>
      <c r="S102" s="4"/>
      <c r="T102" s="343"/>
      <c r="U102" s="343"/>
      <c r="V102" s="343"/>
      <c r="W102" s="343"/>
      <c r="X102" s="343"/>
      <c r="Y102" s="343"/>
      <c r="Z102" s="344"/>
      <c r="AA102" s="4"/>
      <c r="AB102" s="343"/>
      <c r="AC102" s="343"/>
      <c r="AD102" s="343"/>
      <c r="AE102" s="343"/>
      <c r="AF102" s="343"/>
      <c r="AG102" s="343"/>
      <c r="AH102" s="343"/>
      <c r="AI102" s="344"/>
      <c r="AJ102" s="4"/>
      <c r="AK102" s="343"/>
      <c r="AL102" s="343"/>
      <c r="AM102" s="343"/>
      <c r="AN102" s="343"/>
      <c r="AO102" s="343"/>
      <c r="AP102" s="344"/>
      <c r="AQ102" s="4"/>
      <c r="AR102" s="343"/>
      <c r="AS102" s="343"/>
      <c r="AT102" s="343"/>
      <c r="AU102" s="343"/>
      <c r="AV102" s="343"/>
      <c r="AW102" s="10"/>
    </row>
    <row r="103" spans="1:49" ht="16.5" customHeight="1">
      <c r="A103" s="9"/>
      <c r="B103" s="341"/>
      <c r="C103" s="341"/>
      <c r="D103" s="342"/>
      <c r="E103" s="4"/>
      <c r="F103" s="343"/>
      <c r="G103" s="343"/>
      <c r="H103" s="343"/>
      <c r="I103" s="343"/>
      <c r="J103" s="343"/>
      <c r="K103" s="344"/>
      <c r="L103" s="337"/>
      <c r="M103" s="338"/>
      <c r="N103" s="338"/>
      <c r="O103" s="338"/>
      <c r="P103" s="338"/>
      <c r="Q103" s="338"/>
      <c r="R103" s="339"/>
      <c r="S103" s="4"/>
      <c r="T103" s="343"/>
      <c r="U103" s="343"/>
      <c r="V103" s="343"/>
      <c r="W103" s="343"/>
      <c r="X103" s="343"/>
      <c r="Y103" s="343"/>
      <c r="Z103" s="344"/>
      <c r="AA103" s="4"/>
      <c r="AB103" s="343"/>
      <c r="AC103" s="343"/>
      <c r="AD103" s="343"/>
      <c r="AE103" s="343"/>
      <c r="AF103" s="343"/>
      <c r="AG103" s="343"/>
      <c r="AH103" s="343"/>
      <c r="AI103" s="344"/>
      <c r="AJ103" s="4"/>
      <c r="AK103" s="343"/>
      <c r="AL103" s="343"/>
      <c r="AM103" s="343"/>
      <c r="AN103" s="343"/>
      <c r="AO103" s="343"/>
      <c r="AP103" s="344"/>
      <c r="AQ103" s="4"/>
      <c r="AR103" s="343"/>
      <c r="AS103" s="343"/>
      <c r="AT103" s="343"/>
      <c r="AU103" s="343"/>
      <c r="AV103" s="343"/>
      <c r="AW103" s="10"/>
    </row>
    <row r="104" spans="1:49" ht="16.5" customHeight="1">
      <c r="A104" s="329"/>
      <c r="B104" s="330"/>
      <c r="C104" s="330"/>
      <c r="D104" s="331"/>
      <c r="E104" s="345"/>
      <c r="F104" s="346"/>
      <c r="G104" s="346"/>
      <c r="H104" s="346"/>
      <c r="I104" s="346"/>
      <c r="J104" s="346"/>
      <c r="K104" s="347"/>
      <c r="L104" s="345"/>
      <c r="M104" s="346"/>
      <c r="N104" s="346"/>
      <c r="O104" s="346"/>
      <c r="P104" s="346"/>
      <c r="Q104" s="346"/>
      <c r="R104" s="347"/>
      <c r="S104" s="345"/>
      <c r="T104" s="346"/>
      <c r="U104" s="346"/>
      <c r="V104" s="346"/>
      <c r="W104" s="346"/>
      <c r="X104" s="346"/>
      <c r="Y104" s="346"/>
      <c r="Z104" s="347"/>
      <c r="AA104" s="345"/>
      <c r="AB104" s="346"/>
      <c r="AC104" s="346"/>
      <c r="AD104" s="346"/>
      <c r="AE104" s="346"/>
      <c r="AF104" s="346"/>
      <c r="AG104" s="346"/>
      <c r="AH104" s="346"/>
      <c r="AI104" s="347"/>
      <c r="AJ104" s="345"/>
      <c r="AK104" s="346"/>
      <c r="AL104" s="346"/>
      <c r="AM104" s="346"/>
      <c r="AN104" s="346"/>
      <c r="AO104" s="346"/>
      <c r="AP104" s="347"/>
      <c r="AQ104" s="345"/>
      <c r="AR104" s="346"/>
      <c r="AS104" s="346"/>
      <c r="AT104" s="346"/>
      <c r="AU104" s="346"/>
      <c r="AV104" s="346"/>
      <c r="AW104" s="348"/>
    </row>
    <row r="105" spans="1:49" ht="16.5" customHeight="1">
      <c r="A105" s="334"/>
      <c r="B105" s="335"/>
      <c r="C105" s="335"/>
      <c r="D105" s="336"/>
      <c r="E105" s="337"/>
      <c r="F105" s="338"/>
      <c r="G105" s="338"/>
      <c r="H105" s="338"/>
      <c r="I105" s="338"/>
      <c r="J105" s="338"/>
      <c r="K105" s="339"/>
      <c r="L105" s="337"/>
      <c r="M105" s="338"/>
      <c r="N105" s="338"/>
      <c r="O105" s="338"/>
      <c r="P105" s="338"/>
      <c r="Q105" s="338"/>
      <c r="R105" s="339"/>
      <c r="S105" s="337"/>
      <c r="T105" s="338"/>
      <c r="U105" s="338"/>
      <c r="V105" s="338"/>
      <c r="W105" s="338"/>
      <c r="X105" s="338"/>
      <c r="Y105" s="338"/>
      <c r="Z105" s="339"/>
      <c r="AA105" s="337"/>
      <c r="AB105" s="338"/>
      <c r="AC105" s="338"/>
      <c r="AD105" s="338"/>
      <c r="AE105" s="338"/>
      <c r="AF105" s="338"/>
      <c r="AG105" s="338"/>
      <c r="AH105" s="338"/>
      <c r="AI105" s="339"/>
      <c r="AJ105" s="337"/>
      <c r="AK105" s="338"/>
      <c r="AL105" s="338"/>
      <c r="AM105" s="338"/>
      <c r="AN105" s="338"/>
      <c r="AO105" s="338"/>
      <c r="AP105" s="339"/>
      <c r="AQ105" s="337"/>
      <c r="AR105" s="338"/>
      <c r="AS105" s="338"/>
      <c r="AT105" s="338"/>
      <c r="AU105" s="338"/>
      <c r="AV105" s="338"/>
      <c r="AW105" s="340"/>
    </row>
    <row r="106" spans="1:49" ht="16.5" customHeight="1">
      <c r="A106" s="9"/>
      <c r="B106" s="341"/>
      <c r="C106" s="341"/>
      <c r="D106" s="342"/>
      <c r="E106" s="4"/>
      <c r="F106" s="343"/>
      <c r="G106" s="343"/>
      <c r="H106" s="343"/>
      <c r="I106" s="343"/>
      <c r="J106" s="343"/>
      <c r="K106" s="344"/>
      <c r="L106" s="345"/>
      <c r="M106" s="346"/>
      <c r="N106" s="346"/>
      <c r="O106" s="346"/>
      <c r="P106" s="346"/>
      <c r="Q106" s="346"/>
      <c r="R106" s="347"/>
      <c r="S106" s="4"/>
      <c r="T106" s="343"/>
      <c r="U106" s="343"/>
      <c r="V106" s="343"/>
      <c r="W106" s="343"/>
      <c r="X106" s="343"/>
      <c r="Y106" s="343"/>
      <c r="Z106" s="344"/>
      <c r="AA106" s="4"/>
      <c r="AB106" s="343"/>
      <c r="AC106" s="343"/>
      <c r="AD106" s="343"/>
      <c r="AE106" s="343"/>
      <c r="AF106" s="343"/>
      <c r="AG106" s="343"/>
      <c r="AH106" s="343"/>
      <c r="AI106" s="344"/>
      <c r="AJ106" s="4"/>
      <c r="AK106" s="343"/>
      <c r="AL106" s="343"/>
      <c r="AM106" s="343"/>
      <c r="AN106" s="343"/>
      <c r="AO106" s="343"/>
      <c r="AP106" s="344"/>
      <c r="AQ106" s="4"/>
      <c r="AR106" s="343"/>
      <c r="AS106" s="343"/>
      <c r="AT106" s="343"/>
      <c r="AU106" s="343"/>
      <c r="AV106" s="343"/>
      <c r="AW106" s="10"/>
    </row>
    <row r="107" spans="1:49" ht="16.5" customHeight="1">
      <c r="A107" s="9"/>
      <c r="B107" s="341"/>
      <c r="C107" s="341"/>
      <c r="D107" s="342"/>
      <c r="E107" s="4"/>
      <c r="F107" s="343"/>
      <c r="G107" s="343"/>
      <c r="H107" s="343"/>
      <c r="I107" s="343"/>
      <c r="J107" s="343"/>
      <c r="K107" s="344"/>
      <c r="L107" s="337"/>
      <c r="M107" s="338"/>
      <c r="N107" s="338"/>
      <c r="O107" s="338"/>
      <c r="P107" s="338"/>
      <c r="Q107" s="338"/>
      <c r="R107" s="339"/>
      <c r="S107" s="4"/>
      <c r="T107" s="343"/>
      <c r="U107" s="343"/>
      <c r="V107" s="343"/>
      <c r="W107" s="343"/>
      <c r="X107" s="343"/>
      <c r="Y107" s="343"/>
      <c r="Z107" s="344"/>
      <c r="AA107" s="4"/>
      <c r="AB107" s="343"/>
      <c r="AC107" s="343"/>
      <c r="AD107" s="343"/>
      <c r="AE107" s="343"/>
      <c r="AF107" s="343"/>
      <c r="AG107" s="343"/>
      <c r="AH107" s="343"/>
      <c r="AI107" s="344"/>
      <c r="AJ107" s="4"/>
      <c r="AK107" s="343"/>
      <c r="AL107" s="343"/>
      <c r="AM107" s="343"/>
      <c r="AN107" s="343"/>
      <c r="AO107" s="343"/>
      <c r="AP107" s="344"/>
      <c r="AQ107" s="4"/>
      <c r="AR107" s="343"/>
      <c r="AS107" s="343"/>
      <c r="AT107" s="343"/>
      <c r="AU107" s="343"/>
      <c r="AV107" s="343"/>
      <c r="AW107" s="10"/>
    </row>
    <row r="108" spans="1:49" ht="16.5" customHeight="1">
      <c r="A108" s="329"/>
      <c r="B108" s="330"/>
      <c r="C108" s="330"/>
      <c r="D108" s="331"/>
      <c r="E108" s="345"/>
      <c r="F108" s="346"/>
      <c r="G108" s="346"/>
      <c r="H108" s="346"/>
      <c r="I108" s="346"/>
      <c r="J108" s="346"/>
      <c r="K108" s="347"/>
      <c r="L108" s="345"/>
      <c r="M108" s="346"/>
      <c r="N108" s="346"/>
      <c r="O108" s="346"/>
      <c r="P108" s="346"/>
      <c r="Q108" s="346"/>
      <c r="R108" s="347"/>
      <c r="S108" s="345"/>
      <c r="T108" s="346"/>
      <c r="U108" s="346"/>
      <c r="V108" s="346"/>
      <c r="W108" s="346"/>
      <c r="X108" s="346"/>
      <c r="Y108" s="346"/>
      <c r="Z108" s="347"/>
      <c r="AA108" s="345"/>
      <c r="AB108" s="346"/>
      <c r="AC108" s="346"/>
      <c r="AD108" s="346"/>
      <c r="AE108" s="346"/>
      <c r="AF108" s="346"/>
      <c r="AG108" s="346"/>
      <c r="AH108" s="346"/>
      <c r="AI108" s="347"/>
      <c r="AJ108" s="345"/>
      <c r="AK108" s="346"/>
      <c r="AL108" s="346"/>
      <c r="AM108" s="346"/>
      <c r="AN108" s="346"/>
      <c r="AO108" s="346"/>
      <c r="AP108" s="347"/>
      <c r="AQ108" s="345"/>
      <c r="AR108" s="346"/>
      <c r="AS108" s="346"/>
      <c r="AT108" s="346"/>
      <c r="AU108" s="346"/>
      <c r="AV108" s="346"/>
      <c r="AW108" s="348"/>
    </row>
    <row r="109" spans="1:49" ht="16.5" customHeight="1">
      <c r="A109" s="349"/>
      <c r="B109" s="338"/>
      <c r="C109" s="338"/>
      <c r="D109" s="339"/>
      <c r="E109" s="337"/>
      <c r="F109" s="338"/>
      <c r="G109" s="338"/>
      <c r="H109" s="338"/>
      <c r="I109" s="338"/>
      <c r="J109" s="338"/>
      <c r="K109" s="339"/>
      <c r="L109" s="337"/>
      <c r="M109" s="338"/>
      <c r="N109" s="338"/>
      <c r="O109" s="338"/>
      <c r="P109" s="338"/>
      <c r="Q109" s="338"/>
      <c r="R109" s="339"/>
      <c r="S109" s="337"/>
      <c r="T109" s="338"/>
      <c r="U109" s="338"/>
      <c r="V109" s="338"/>
      <c r="W109" s="338"/>
      <c r="X109" s="338"/>
      <c r="Y109" s="338"/>
      <c r="Z109" s="339"/>
      <c r="AA109" s="337"/>
      <c r="AB109" s="338"/>
      <c r="AC109" s="338"/>
      <c r="AD109" s="338"/>
      <c r="AE109" s="338"/>
      <c r="AF109" s="338"/>
      <c r="AG109" s="338"/>
      <c r="AH109" s="338"/>
      <c r="AI109" s="339"/>
      <c r="AJ109" s="337"/>
      <c r="AK109" s="338"/>
      <c r="AL109" s="338"/>
      <c r="AM109" s="338"/>
      <c r="AN109" s="338"/>
      <c r="AO109" s="338"/>
      <c r="AP109" s="339"/>
      <c r="AQ109" s="337"/>
      <c r="AR109" s="338"/>
      <c r="AS109" s="338"/>
      <c r="AT109" s="338"/>
      <c r="AU109" s="338"/>
      <c r="AV109" s="338"/>
      <c r="AW109" s="340"/>
    </row>
    <row r="110" spans="1:49" ht="16.5" customHeight="1">
      <c r="A110" s="5"/>
      <c r="B110" s="343"/>
      <c r="C110" s="343"/>
      <c r="D110" s="344"/>
      <c r="E110" s="4"/>
      <c r="F110" s="343"/>
      <c r="G110" s="343"/>
      <c r="H110" s="343"/>
      <c r="I110" s="343"/>
      <c r="J110" s="343"/>
      <c r="K110" s="344"/>
      <c r="L110" s="345"/>
      <c r="M110" s="346"/>
      <c r="N110" s="346"/>
      <c r="O110" s="346"/>
      <c r="P110" s="346"/>
      <c r="Q110" s="346"/>
      <c r="R110" s="347"/>
      <c r="S110" s="4"/>
      <c r="T110" s="343"/>
      <c r="U110" s="343"/>
      <c r="V110" s="343"/>
      <c r="W110" s="343"/>
      <c r="X110" s="343"/>
      <c r="Y110" s="343"/>
      <c r="Z110" s="344"/>
      <c r="AA110" s="4"/>
      <c r="AB110" s="343"/>
      <c r="AC110" s="343"/>
      <c r="AD110" s="343"/>
      <c r="AE110" s="343"/>
      <c r="AF110" s="343"/>
      <c r="AG110" s="343"/>
      <c r="AH110" s="343"/>
      <c r="AI110" s="344"/>
      <c r="AJ110" s="4"/>
      <c r="AK110" s="343"/>
      <c r="AL110" s="343"/>
      <c r="AM110" s="343"/>
      <c r="AN110" s="343"/>
      <c r="AO110" s="343"/>
      <c r="AP110" s="344"/>
      <c r="AQ110" s="4"/>
      <c r="AR110" s="343"/>
      <c r="AS110" s="343"/>
      <c r="AT110" s="343"/>
      <c r="AU110" s="343"/>
      <c r="AV110" s="343"/>
      <c r="AW110" s="10"/>
    </row>
    <row r="111" spans="1:49" ht="16.5" customHeight="1">
      <c r="A111" s="5"/>
      <c r="B111" s="343"/>
      <c r="C111" s="343"/>
      <c r="D111" s="344"/>
      <c r="E111" s="4"/>
      <c r="F111" s="343"/>
      <c r="G111" s="343"/>
      <c r="H111" s="343"/>
      <c r="I111" s="343"/>
      <c r="J111" s="343"/>
      <c r="K111" s="344"/>
      <c r="L111" s="337"/>
      <c r="M111" s="338"/>
      <c r="N111" s="338"/>
      <c r="O111" s="338"/>
      <c r="P111" s="338"/>
      <c r="Q111" s="338"/>
      <c r="R111" s="339"/>
      <c r="S111" s="4"/>
      <c r="T111" s="343"/>
      <c r="U111" s="343"/>
      <c r="V111" s="343"/>
      <c r="W111" s="343"/>
      <c r="X111" s="343"/>
      <c r="Y111" s="343"/>
      <c r="Z111" s="344"/>
      <c r="AA111" s="4"/>
      <c r="AB111" s="343"/>
      <c r="AC111" s="343"/>
      <c r="AD111" s="343"/>
      <c r="AE111" s="343"/>
      <c r="AF111" s="343"/>
      <c r="AG111" s="343"/>
      <c r="AH111" s="343"/>
      <c r="AI111" s="344"/>
      <c r="AJ111" s="4"/>
      <c r="AK111" s="343"/>
      <c r="AL111" s="343"/>
      <c r="AM111" s="343"/>
      <c r="AN111" s="343"/>
      <c r="AO111" s="343"/>
      <c r="AP111" s="344"/>
      <c r="AQ111" s="4"/>
      <c r="AR111" s="343"/>
      <c r="AS111" s="343"/>
      <c r="AT111" s="343"/>
      <c r="AU111" s="343"/>
      <c r="AV111" s="343"/>
      <c r="AW111" s="10"/>
    </row>
    <row r="112" spans="1:49" ht="16.5" customHeight="1">
      <c r="A112" s="6"/>
      <c r="B112" s="346"/>
      <c r="C112" s="346"/>
      <c r="D112" s="347"/>
      <c r="E112" s="345"/>
      <c r="F112" s="346"/>
      <c r="G112" s="346"/>
      <c r="H112" s="346"/>
      <c r="I112" s="346"/>
      <c r="J112" s="346"/>
      <c r="K112" s="347"/>
      <c r="L112" s="345"/>
      <c r="M112" s="346"/>
      <c r="N112" s="346"/>
      <c r="O112" s="346"/>
      <c r="P112" s="346"/>
      <c r="Q112" s="346"/>
      <c r="R112" s="347"/>
      <c r="S112" s="345"/>
      <c r="T112" s="346"/>
      <c r="U112" s="346"/>
      <c r="V112" s="346"/>
      <c r="W112" s="346"/>
      <c r="X112" s="346"/>
      <c r="Y112" s="346"/>
      <c r="Z112" s="347"/>
      <c r="AA112" s="345"/>
      <c r="AB112" s="346"/>
      <c r="AC112" s="346"/>
      <c r="AD112" s="346"/>
      <c r="AE112" s="346"/>
      <c r="AF112" s="346"/>
      <c r="AG112" s="346"/>
      <c r="AH112" s="346"/>
      <c r="AI112" s="347"/>
      <c r="AJ112" s="345"/>
      <c r="AK112" s="346"/>
      <c r="AL112" s="346"/>
      <c r="AM112" s="346"/>
      <c r="AN112" s="346"/>
      <c r="AO112" s="346"/>
      <c r="AP112" s="347"/>
      <c r="AQ112" s="345"/>
      <c r="AR112" s="346"/>
      <c r="AS112" s="346"/>
      <c r="AT112" s="346"/>
      <c r="AU112" s="346"/>
      <c r="AV112" s="346"/>
      <c r="AW112" s="348"/>
    </row>
    <row r="113" spans="1:49" ht="16.5" customHeight="1">
      <c r="A113" s="349"/>
      <c r="B113" s="338"/>
      <c r="C113" s="338"/>
      <c r="D113" s="339"/>
      <c r="E113" s="337"/>
      <c r="F113" s="338"/>
      <c r="G113" s="338"/>
      <c r="H113" s="338"/>
      <c r="I113" s="338"/>
      <c r="J113" s="338"/>
      <c r="K113" s="339"/>
      <c r="L113" s="337"/>
      <c r="M113" s="338"/>
      <c r="N113" s="338"/>
      <c r="O113" s="338"/>
      <c r="P113" s="338"/>
      <c r="Q113" s="338"/>
      <c r="R113" s="339"/>
      <c r="S113" s="337"/>
      <c r="T113" s="338"/>
      <c r="U113" s="338"/>
      <c r="V113" s="338"/>
      <c r="W113" s="338"/>
      <c r="X113" s="338"/>
      <c r="Y113" s="338"/>
      <c r="Z113" s="339"/>
      <c r="AA113" s="337"/>
      <c r="AB113" s="338"/>
      <c r="AC113" s="338"/>
      <c r="AD113" s="338"/>
      <c r="AE113" s="338"/>
      <c r="AF113" s="338"/>
      <c r="AG113" s="338"/>
      <c r="AH113" s="338"/>
      <c r="AI113" s="339"/>
      <c r="AJ113" s="337"/>
      <c r="AK113" s="338"/>
      <c r="AL113" s="338"/>
      <c r="AM113" s="338"/>
      <c r="AN113" s="338"/>
      <c r="AO113" s="338"/>
      <c r="AP113" s="339"/>
      <c r="AQ113" s="337"/>
      <c r="AR113" s="338"/>
      <c r="AS113" s="338"/>
      <c r="AT113" s="338"/>
      <c r="AU113" s="338"/>
      <c r="AV113" s="338"/>
      <c r="AW113" s="340"/>
    </row>
    <row r="114" spans="1:49" ht="16.5" customHeight="1">
      <c r="A114" s="5"/>
      <c r="B114" s="343"/>
      <c r="C114" s="343"/>
      <c r="D114" s="344"/>
      <c r="E114" s="4"/>
      <c r="F114" s="343"/>
      <c r="G114" s="343"/>
      <c r="H114" s="343"/>
      <c r="I114" s="343"/>
      <c r="J114" s="343"/>
      <c r="K114" s="344"/>
      <c r="L114" s="345"/>
      <c r="M114" s="346"/>
      <c r="N114" s="346"/>
      <c r="O114" s="346"/>
      <c r="P114" s="346"/>
      <c r="Q114" s="346"/>
      <c r="R114" s="347"/>
      <c r="S114" s="4"/>
      <c r="T114" s="343"/>
      <c r="U114" s="343"/>
      <c r="V114" s="343"/>
      <c r="W114" s="343"/>
      <c r="X114" s="343"/>
      <c r="Y114" s="343"/>
      <c r="Z114" s="344"/>
      <c r="AA114" s="4"/>
      <c r="AB114" s="343"/>
      <c r="AC114" s="343"/>
      <c r="AD114" s="343"/>
      <c r="AE114" s="343"/>
      <c r="AF114" s="343"/>
      <c r="AG114" s="343"/>
      <c r="AH114" s="343"/>
      <c r="AI114" s="344"/>
      <c r="AJ114" s="4"/>
      <c r="AK114" s="343"/>
      <c r="AL114" s="343"/>
      <c r="AM114" s="343"/>
      <c r="AN114" s="343"/>
      <c r="AO114" s="343"/>
      <c r="AP114" s="344"/>
      <c r="AQ114" s="4"/>
      <c r="AR114" s="343"/>
      <c r="AS114" s="343"/>
      <c r="AT114" s="343"/>
      <c r="AU114" s="343"/>
      <c r="AV114" s="343"/>
      <c r="AW114" s="10"/>
    </row>
    <row r="115" spans="1:49" ht="16.5" customHeight="1">
      <c r="A115" s="5"/>
      <c r="B115" s="343"/>
      <c r="C115" s="343"/>
      <c r="D115" s="344"/>
      <c r="E115" s="4"/>
      <c r="F115" s="343"/>
      <c r="G115" s="343"/>
      <c r="H115" s="343"/>
      <c r="I115" s="343"/>
      <c r="J115" s="343"/>
      <c r="K115" s="344"/>
      <c r="L115" s="337"/>
      <c r="M115" s="338"/>
      <c r="N115" s="338"/>
      <c r="O115" s="338"/>
      <c r="P115" s="338"/>
      <c r="Q115" s="338"/>
      <c r="R115" s="339"/>
      <c r="S115" s="4"/>
      <c r="T115" s="343"/>
      <c r="U115" s="343"/>
      <c r="V115" s="343"/>
      <c r="W115" s="343"/>
      <c r="X115" s="343"/>
      <c r="Y115" s="343"/>
      <c r="Z115" s="344"/>
      <c r="AA115" s="4"/>
      <c r="AB115" s="343"/>
      <c r="AC115" s="343"/>
      <c r="AD115" s="343"/>
      <c r="AE115" s="343"/>
      <c r="AF115" s="343"/>
      <c r="AG115" s="343"/>
      <c r="AH115" s="343"/>
      <c r="AI115" s="344"/>
      <c r="AJ115" s="4"/>
      <c r="AK115" s="343"/>
      <c r="AL115" s="343"/>
      <c r="AM115" s="343"/>
      <c r="AN115" s="343"/>
      <c r="AO115" s="343"/>
      <c r="AP115" s="344"/>
      <c r="AQ115" s="4"/>
      <c r="AR115" s="343"/>
      <c r="AS115" s="343"/>
      <c r="AT115" s="343"/>
      <c r="AU115" s="343"/>
      <c r="AV115" s="343"/>
      <c r="AW115" s="10"/>
    </row>
    <row r="116" spans="1:49" ht="16.5" customHeight="1">
      <c r="A116" s="6"/>
      <c r="B116" s="346"/>
      <c r="C116" s="346"/>
      <c r="D116" s="347"/>
      <c r="E116" s="345"/>
      <c r="F116" s="346"/>
      <c r="G116" s="346"/>
      <c r="H116" s="346"/>
      <c r="I116" s="346"/>
      <c r="J116" s="346"/>
      <c r="K116" s="347"/>
      <c r="L116" s="345"/>
      <c r="M116" s="346"/>
      <c r="N116" s="346"/>
      <c r="O116" s="346"/>
      <c r="P116" s="346"/>
      <c r="Q116" s="346"/>
      <c r="R116" s="347"/>
      <c r="S116" s="345"/>
      <c r="T116" s="346"/>
      <c r="U116" s="346"/>
      <c r="V116" s="346"/>
      <c r="W116" s="346"/>
      <c r="X116" s="346"/>
      <c r="Y116" s="346"/>
      <c r="Z116" s="347"/>
      <c r="AA116" s="345"/>
      <c r="AB116" s="346"/>
      <c r="AC116" s="346"/>
      <c r="AD116" s="346"/>
      <c r="AE116" s="346"/>
      <c r="AF116" s="346"/>
      <c r="AG116" s="346"/>
      <c r="AH116" s="346"/>
      <c r="AI116" s="347"/>
      <c r="AJ116" s="345"/>
      <c r="AK116" s="346"/>
      <c r="AL116" s="346"/>
      <c r="AM116" s="346"/>
      <c r="AN116" s="346"/>
      <c r="AO116" s="346"/>
      <c r="AP116" s="347"/>
      <c r="AQ116" s="345"/>
      <c r="AR116" s="346"/>
      <c r="AS116" s="346"/>
      <c r="AT116" s="346"/>
      <c r="AU116" s="346"/>
      <c r="AV116" s="346"/>
      <c r="AW116" s="348"/>
    </row>
    <row r="117" spans="1:49" ht="16.5" customHeight="1">
      <c r="A117" s="349"/>
      <c r="B117" s="338"/>
      <c r="C117" s="338"/>
      <c r="D117" s="339"/>
      <c r="E117" s="337"/>
      <c r="F117" s="338"/>
      <c r="G117" s="338"/>
      <c r="H117" s="338"/>
      <c r="I117" s="338"/>
      <c r="J117" s="338"/>
      <c r="K117" s="339"/>
      <c r="L117" s="337"/>
      <c r="M117" s="338"/>
      <c r="N117" s="338"/>
      <c r="O117" s="338"/>
      <c r="P117" s="338"/>
      <c r="Q117" s="338"/>
      <c r="R117" s="339"/>
      <c r="S117" s="337"/>
      <c r="T117" s="338"/>
      <c r="U117" s="338"/>
      <c r="V117" s="338"/>
      <c r="W117" s="338"/>
      <c r="X117" s="338"/>
      <c r="Y117" s="338"/>
      <c r="Z117" s="339"/>
      <c r="AA117" s="337"/>
      <c r="AB117" s="338"/>
      <c r="AC117" s="338"/>
      <c r="AD117" s="338"/>
      <c r="AE117" s="338"/>
      <c r="AF117" s="338"/>
      <c r="AG117" s="338"/>
      <c r="AH117" s="338"/>
      <c r="AI117" s="339"/>
      <c r="AJ117" s="337"/>
      <c r="AK117" s="338"/>
      <c r="AL117" s="338"/>
      <c r="AM117" s="338"/>
      <c r="AN117" s="338"/>
      <c r="AO117" s="338"/>
      <c r="AP117" s="339"/>
      <c r="AQ117" s="337"/>
      <c r="AR117" s="338"/>
      <c r="AS117" s="338"/>
      <c r="AT117" s="338"/>
      <c r="AU117" s="338"/>
      <c r="AV117" s="338"/>
      <c r="AW117" s="340"/>
    </row>
    <row r="118" spans="1:49" ht="16.5" customHeight="1">
      <c r="A118" s="5"/>
      <c r="B118" s="343"/>
      <c r="C118" s="343"/>
      <c r="D118" s="344"/>
      <c r="E118" s="4"/>
      <c r="F118" s="343"/>
      <c r="G118" s="343"/>
      <c r="H118" s="343"/>
      <c r="I118" s="343"/>
      <c r="J118" s="343"/>
      <c r="K118" s="344"/>
      <c r="L118" s="345"/>
      <c r="M118" s="346"/>
      <c r="N118" s="346"/>
      <c r="O118" s="346"/>
      <c r="P118" s="346"/>
      <c r="Q118" s="346"/>
      <c r="R118" s="347"/>
      <c r="S118" s="4"/>
      <c r="T118" s="343"/>
      <c r="U118" s="343"/>
      <c r="V118" s="343"/>
      <c r="W118" s="343"/>
      <c r="X118" s="343"/>
      <c r="Y118" s="343"/>
      <c r="Z118" s="344"/>
      <c r="AA118" s="4"/>
      <c r="AB118" s="343"/>
      <c r="AC118" s="343"/>
      <c r="AD118" s="343"/>
      <c r="AE118" s="343"/>
      <c r="AF118" s="343"/>
      <c r="AG118" s="343"/>
      <c r="AH118" s="343"/>
      <c r="AI118" s="344"/>
      <c r="AJ118" s="4"/>
      <c r="AK118" s="343"/>
      <c r="AL118" s="343"/>
      <c r="AM118" s="343"/>
      <c r="AN118" s="343"/>
      <c r="AO118" s="343"/>
      <c r="AP118" s="344"/>
      <c r="AQ118" s="4"/>
      <c r="AR118" s="343"/>
      <c r="AS118" s="343"/>
      <c r="AT118" s="343"/>
      <c r="AU118" s="343"/>
      <c r="AV118" s="343"/>
      <c r="AW118" s="10"/>
    </row>
    <row r="119" spans="1:49" ht="16.5" customHeight="1">
      <c r="A119" s="5"/>
      <c r="B119" s="343"/>
      <c r="C119" s="343"/>
      <c r="D119" s="344"/>
      <c r="E119" s="4"/>
      <c r="F119" s="343"/>
      <c r="G119" s="343"/>
      <c r="H119" s="343"/>
      <c r="I119" s="343"/>
      <c r="J119" s="343"/>
      <c r="K119" s="344"/>
      <c r="L119" s="337"/>
      <c r="M119" s="338"/>
      <c r="N119" s="338"/>
      <c r="O119" s="338"/>
      <c r="P119" s="338"/>
      <c r="Q119" s="338"/>
      <c r="R119" s="339"/>
      <c r="S119" s="4"/>
      <c r="T119" s="343"/>
      <c r="U119" s="343"/>
      <c r="V119" s="343"/>
      <c r="W119" s="343"/>
      <c r="X119" s="343"/>
      <c r="Y119" s="343"/>
      <c r="Z119" s="344"/>
      <c r="AA119" s="4"/>
      <c r="AB119" s="343"/>
      <c r="AC119" s="343"/>
      <c r="AD119" s="343"/>
      <c r="AE119" s="343"/>
      <c r="AF119" s="343"/>
      <c r="AG119" s="343"/>
      <c r="AH119" s="343"/>
      <c r="AI119" s="344"/>
      <c r="AJ119" s="4"/>
      <c r="AK119" s="343"/>
      <c r="AL119" s="343"/>
      <c r="AM119" s="343"/>
      <c r="AN119" s="343"/>
      <c r="AO119" s="343"/>
      <c r="AP119" s="344"/>
      <c r="AQ119" s="4"/>
      <c r="AR119" s="343"/>
      <c r="AS119" s="343"/>
      <c r="AT119" s="343"/>
      <c r="AU119" s="343"/>
      <c r="AV119" s="343"/>
      <c r="AW119" s="10"/>
    </row>
    <row r="120" spans="1:49" ht="16.5" customHeight="1">
      <c r="A120" s="6"/>
      <c r="B120" s="346"/>
      <c r="C120" s="346"/>
      <c r="D120" s="347"/>
      <c r="E120" s="345"/>
      <c r="F120" s="346"/>
      <c r="G120" s="346"/>
      <c r="H120" s="346"/>
      <c r="I120" s="346"/>
      <c r="J120" s="346"/>
      <c r="K120" s="347"/>
      <c r="L120" s="345"/>
      <c r="M120" s="346"/>
      <c r="N120" s="346"/>
      <c r="O120" s="346"/>
      <c r="P120" s="346"/>
      <c r="Q120" s="346"/>
      <c r="R120" s="347"/>
      <c r="S120" s="345"/>
      <c r="T120" s="346"/>
      <c r="U120" s="346"/>
      <c r="V120" s="346"/>
      <c r="W120" s="346"/>
      <c r="X120" s="346"/>
      <c r="Y120" s="346"/>
      <c r="Z120" s="347"/>
      <c r="AA120" s="345"/>
      <c r="AB120" s="346"/>
      <c r="AC120" s="346"/>
      <c r="AD120" s="346"/>
      <c r="AE120" s="346"/>
      <c r="AF120" s="346"/>
      <c r="AG120" s="346"/>
      <c r="AH120" s="346"/>
      <c r="AI120" s="347"/>
      <c r="AJ120" s="345"/>
      <c r="AK120" s="346"/>
      <c r="AL120" s="346"/>
      <c r="AM120" s="346"/>
      <c r="AN120" s="346"/>
      <c r="AO120" s="346"/>
      <c r="AP120" s="347"/>
      <c r="AQ120" s="345"/>
      <c r="AR120" s="346"/>
      <c r="AS120" s="346"/>
      <c r="AT120" s="346"/>
      <c r="AU120" s="346"/>
      <c r="AV120" s="346"/>
      <c r="AW120" s="348"/>
    </row>
    <row r="121" spans="1:49" ht="16.5" customHeight="1">
      <c r="A121" s="349"/>
      <c r="B121" s="338"/>
      <c r="C121" s="338"/>
      <c r="D121" s="339"/>
      <c r="E121" s="337"/>
      <c r="F121" s="338"/>
      <c r="G121" s="338"/>
      <c r="H121" s="338"/>
      <c r="I121" s="338"/>
      <c r="J121" s="338"/>
      <c r="K121" s="339"/>
      <c r="L121" s="337"/>
      <c r="M121" s="338"/>
      <c r="N121" s="338"/>
      <c r="O121" s="338"/>
      <c r="P121" s="338"/>
      <c r="Q121" s="338"/>
      <c r="R121" s="339"/>
      <c r="S121" s="337"/>
      <c r="T121" s="338"/>
      <c r="U121" s="338"/>
      <c r="V121" s="338"/>
      <c r="W121" s="338"/>
      <c r="X121" s="338"/>
      <c r="Y121" s="338"/>
      <c r="Z121" s="339"/>
      <c r="AA121" s="337"/>
      <c r="AB121" s="338"/>
      <c r="AC121" s="338"/>
      <c r="AD121" s="338"/>
      <c r="AE121" s="338"/>
      <c r="AF121" s="338"/>
      <c r="AG121" s="338"/>
      <c r="AH121" s="338"/>
      <c r="AI121" s="339"/>
      <c r="AJ121" s="337"/>
      <c r="AK121" s="338"/>
      <c r="AL121" s="338"/>
      <c r="AM121" s="338"/>
      <c r="AN121" s="338"/>
      <c r="AO121" s="338"/>
      <c r="AP121" s="339"/>
      <c r="AQ121" s="337"/>
      <c r="AR121" s="338"/>
      <c r="AS121" s="338"/>
      <c r="AT121" s="338"/>
      <c r="AU121" s="338"/>
      <c r="AV121" s="338"/>
      <c r="AW121" s="340"/>
    </row>
    <row r="122" spans="1:49" ht="16.5" customHeight="1">
      <c r="A122" s="5"/>
      <c r="B122" s="343"/>
      <c r="C122" s="343"/>
      <c r="D122" s="344"/>
      <c r="E122" s="4"/>
      <c r="F122" s="343"/>
      <c r="G122" s="343"/>
      <c r="H122" s="343"/>
      <c r="I122" s="343"/>
      <c r="J122" s="343"/>
      <c r="K122" s="344"/>
      <c r="L122" s="345"/>
      <c r="M122" s="346"/>
      <c r="N122" s="346"/>
      <c r="O122" s="346"/>
      <c r="P122" s="346"/>
      <c r="Q122" s="346"/>
      <c r="R122" s="347"/>
      <c r="S122" s="4"/>
      <c r="T122" s="343"/>
      <c r="U122" s="343"/>
      <c r="V122" s="343"/>
      <c r="W122" s="343"/>
      <c r="X122" s="343"/>
      <c r="Y122" s="343"/>
      <c r="Z122" s="344"/>
      <c r="AA122" s="4"/>
      <c r="AB122" s="343"/>
      <c r="AC122" s="343"/>
      <c r="AD122" s="343"/>
      <c r="AE122" s="343"/>
      <c r="AF122" s="343"/>
      <c r="AG122" s="343"/>
      <c r="AH122" s="343"/>
      <c r="AI122" s="344"/>
      <c r="AJ122" s="4"/>
      <c r="AK122" s="343"/>
      <c r="AL122" s="343"/>
      <c r="AM122" s="343"/>
      <c r="AN122" s="343"/>
      <c r="AO122" s="343"/>
      <c r="AP122" s="344"/>
      <c r="AQ122" s="4"/>
      <c r="AR122" s="343"/>
      <c r="AS122" s="343"/>
      <c r="AT122" s="343"/>
      <c r="AU122" s="343"/>
      <c r="AV122" s="343"/>
      <c r="AW122" s="10"/>
    </row>
    <row r="123" spans="1:49" ht="16.5" customHeight="1">
      <c r="A123" s="5"/>
      <c r="B123" s="343"/>
      <c r="C123" s="343"/>
      <c r="D123" s="344"/>
      <c r="E123" s="4"/>
      <c r="F123" s="343"/>
      <c r="G123" s="343"/>
      <c r="H123" s="343"/>
      <c r="I123" s="343"/>
      <c r="J123" s="343"/>
      <c r="K123" s="344"/>
      <c r="L123" s="337"/>
      <c r="M123" s="338"/>
      <c r="N123" s="338"/>
      <c r="O123" s="338"/>
      <c r="P123" s="338"/>
      <c r="Q123" s="338"/>
      <c r="R123" s="339"/>
      <c r="S123" s="4"/>
      <c r="T123" s="343"/>
      <c r="U123" s="343"/>
      <c r="V123" s="343"/>
      <c r="W123" s="343"/>
      <c r="X123" s="343"/>
      <c r="Y123" s="343"/>
      <c r="Z123" s="344"/>
      <c r="AA123" s="4"/>
      <c r="AB123" s="343"/>
      <c r="AC123" s="343"/>
      <c r="AD123" s="343"/>
      <c r="AE123" s="343"/>
      <c r="AF123" s="343"/>
      <c r="AG123" s="343"/>
      <c r="AH123" s="343"/>
      <c r="AI123" s="344"/>
      <c r="AJ123" s="4"/>
      <c r="AK123" s="343"/>
      <c r="AL123" s="343"/>
      <c r="AM123" s="343"/>
      <c r="AN123" s="343"/>
      <c r="AO123" s="343"/>
      <c r="AP123" s="344"/>
      <c r="AQ123" s="4"/>
      <c r="AR123" s="343"/>
      <c r="AS123" s="343"/>
      <c r="AT123" s="343"/>
      <c r="AU123" s="343"/>
      <c r="AV123" s="343"/>
      <c r="AW123" s="10"/>
    </row>
    <row r="124" spans="1:49" ht="17.25" customHeight="1" thickBot="1">
      <c r="A124" s="326"/>
      <c r="B124" s="327"/>
      <c r="C124" s="327"/>
      <c r="D124" s="7"/>
      <c r="E124" s="8"/>
      <c r="F124" s="327"/>
      <c r="G124" s="327"/>
      <c r="H124" s="327"/>
      <c r="I124" s="327"/>
      <c r="J124" s="327"/>
      <c r="K124" s="7"/>
      <c r="L124" s="8"/>
      <c r="M124" s="327"/>
      <c r="N124" s="327"/>
      <c r="O124" s="327"/>
      <c r="P124" s="327"/>
      <c r="Q124" s="327"/>
      <c r="R124" s="7"/>
      <c r="S124" s="8"/>
      <c r="T124" s="327"/>
      <c r="U124" s="327"/>
      <c r="V124" s="327"/>
      <c r="W124" s="327"/>
      <c r="X124" s="327"/>
      <c r="Y124" s="327"/>
      <c r="Z124" s="7"/>
      <c r="AA124" s="8"/>
      <c r="AB124" s="327"/>
      <c r="AC124" s="327"/>
      <c r="AD124" s="327"/>
      <c r="AE124" s="327"/>
      <c r="AF124" s="327"/>
      <c r="AG124" s="327"/>
      <c r="AH124" s="327"/>
      <c r="AI124" s="7"/>
      <c r="AJ124" s="8"/>
      <c r="AK124" s="327"/>
      <c r="AL124" s="327"/>
      <c r="AM124" s="327"/>
      <c r="AN124" s="327"/>
      <c r="AO124" s="327"/>
      <c r="AP124" s="7"/>
      <c r="AQ124" s="8"/>
      <c r="AR124" s="327"/>
      <c r="AS124" s="327"/>
      <c r="AT124" s="327"/>
      <c r="AU124" s="327"/>
      <c r="AV124" s="327"/>
      <c r="AW124" s="328"/>
    </row>
    <row r="125" spans="1:49" ht="16.5">
      <c r="A125" s="349"/>
      <c r="B125" s="338"/>
      <c r="C125" s="338"/>
      <c r="D125" s="339"/>
      <c r="E125" s="337"/>
      <c r="F125" s="338"/>
      <c r="G125" s="338"/>
      <c r="H125" s="338"/>
      <c r="I125" s="338"/>
      <c r="J125" s="338"/>
      <c r="K125" s="339"/>
      <c r="L125" s="337"/>
      <c r="M125" s="338"/>
      <c r="N125" s="338"/>
      <c r="O125" s="338"/>
      <c r="P125" s="338"/>
      <c r="Q125" s="338"/>
      <c r="R125" s="339"/>
      <c r="S125" s="337"/>
      <c r="T125" s="338"/>
      <c r="U125" s="338"/>
      <c r="V125" s="338"/>
      <c r="W125" s="338"/>
      <c r="X125" s="338"/>
      <c r="Y125" s="338"/>
      <c r="Z125" s="339"/>
      <c r="AA125" s="337"/>
      <c r="AB125" s="338"/>
      <c r="AC125" s="338"/>
      <c r="AD125" s="338"/>
      <c r="AE125" s="338"/>
      <c r="AF125" s="338"/>
      <c r="AG125" s="338"/>
      <c r="AH125" s="338"/>
      <c r="AI125" s="339"/>
      <c r="AJ125" s="337"/>
      <c r="AK125" s="338"/>
      <c r="AL125" s="338"/>
      <c r="AM125" s="338"/>
      <c r="AN125" s="338"/>
      <c r="AO125" s="338"/>
      <c r="AP125" s="339"/>
      <c r="AQ125" s="337"/>
      <c r="AR125" s="338"/>
      <c r="AS125" s="338"/>
      <c r="AT125" s="338"/>
      <c r="AU125" s="338"/>
      <c r="AV125" s="338"/>
      <c r="AW125" s="340"/>
    </row>
    <row r="126" spans="1:49" ht="16.5">
      <c r="A126" s="5"/>
      <c r="B126" s="343"/>
      <c r="C126" s="343"/>
      <c r="D126" s="344"/>
      <c r="E126" s="4"/>
      <c r="F126" s="343"/>
      <c r="G126" s="343"/>
      <c r="H126" s="343"/>
      <c r="I126" s="343"/>
      <c r="J126" s="343"/>
      <c r="K126" s="344"/>
      <c r="L126" s="345"/>
      <c r="M126" s="346"/>
      <c r="N126" s="346"/>
      <c r="O126" s="346"/>
      <c r="P126" s="346"/>
      <c r="Q126" s="346"/>
      <c r="R126" s="347"/>
      <c r="S126" s="4"/>
      <c r="T126" s="343"/>
      <c r="U126" s="343"/>
      <c r="V126" s="343"/>
      <c r="W126" s="343"/>
      <c r="X126" s="343"/>
      <c r="Y126" s="343"/>
      <c r="Z126" s="344"/>
      <c r="AA126" s="4"/>
      <c r="AB126" s="343"/>
      <c r="AC126" s="343"/>
      <c r="AD126" s="343"/>
      <c r="AE126" s="343"/>
      <c r="AF126" s="343"/>
      <c r="AG126" s="343"/>
      <c r="AH126" s="343"/>
      <c r="AI126" s="344"/>
      <c r="AJ126" s="4"/>
      <c r="AK126" s="343"/>
      <c r="AL126" s="343"/>
      <c r="AM126" s="343"/>
      <c r="AN126" s="343"/>
      <c r="AO126" s="343"/>
      <c r="AP126" s="344"/>
      <c r="AQ126" s="4"/>
      <c r="AR126" s="343"/>
      <c r="AS126" s="343"/>
      <c r="AT126" s="343"/>
      <c r="AU126" s="343"/>
      <c r="AV126" s="343"/>
      <c r="AW126" s="10"/>
    </row>
    <row r="127" spans="1:49" ht="16.5">
      <c r="A127" s="5"/>
      <c r="B127" s="343"/>
      <c r="C127" s="343"/>
      <c r="D127" s="344"/>
      <c r="E127" s="4"/>
      <c r="F127" s="343"/>
      <c r="G127" s="343"/>
      <c r="H127" s="343"/>
      <c r="I127" s="343"/>
      <c r="J127" s="343"/>
      <c r="K127" s="344"/>
      <c r="L127" s="337"/>
      <c r="M127" s="338"/>
      <c r="N127" s="338"/>
      <c r="O127" s="338"/>
      <c r="P127" s="338"/>
      <c r="Q127" s="338"/>
      <c r="R127" s="339"/>
      <c r="S127" s="4"/>
      <c r="T127" s="343"/>
      <c r="U127" s="343"/>
      <c r="V127" s="343"/>
      <c r="W127" s="343"/>
      <c r="X127" s="343"/>
      <c r="Y127" s="343"/>
      <c r="Z127" s="344"/>
      <c r="AA127" s="4"/>
      <c r="AB127" s="343"/>
      <c r="AC127" s="343"/>
      <c r="AD127" s="343"/>
      <c r="AE127" s="343"/>
      <c r="AF127" s="343"/>
      <c r="AG127" s="343"/>
      <c r="AH127" s="343"/>
      <c r="AI127" s="344"/>
      <c r="AJ127" s="4"/>
      <c r="AK127" s="343"/>
      <c r="AL127" s="343"/>
      <c r="AM127" s="343"/>
      <c r="AN127" s="343"/>
      <c r="AO127" s="343"/>
      <c r="AP127" s="344"/>
      <c r="AQ127" s="4"/>
      <c r="AR127" s="343"/>
      <c r="AS127" s="343"/>
      <c r="AT127" s="343"/>
      <c r="AU127" s="343"/>
      <c r="AV127" s="343"/>
      <c r="AW127" s="10"/>
    </row>
    <row r="128" spans="1:49" ht="17.25" thickBot="1">
      <c r="A128" s="326"/>
      <c r="B128" s="327"/>
      <c r="C128" s="327"/>
      <c r="D128" s="7"/>
      <c r="E128" s="8"/>
      <c r="F128" s="327"/>
      <c r="G128" s="327"/>
      <c r="H128" s="327"/>
      <c r="I128" s="327"/>
      <c r="J128" s="327"/>
      <c r="K128" s="7"/>
      <c r="L128" s="8"/>
      <c r="M128" s="327"/>
      <c r="N128" s="327"/>
      <c r="O128" s="327"/>
      <c r="P128" s="327"/>
      <c r="Q128" s="327"/>
      <c r="R128" s="7"/>
      <c r="S128" s="8"/>
      <c r="T128" s="327"/>
      <c r="U128" s="327"/>
      <c r="V128" s="327"/>
      <c r="W128" s="327"/>
      <c r="X128" s="327"/>
      <c r="Y128" s="327"/>
      <c r="Z128" s="7"/>
      <c r="AA128" s="8"/>
      <c r="AB128" s="327"/>
      <c r="AC128" s="327"/>
      <c r="AD128" s="327"/>
      <c r="AE128" s="327"/>
      <c r="AF128" s="327"/>
      <c r="AG128" s="327"/>
      <c r="AH128" s="327"/>
      <c r="AI128" s="7"/>
      <c r="AJ128" s="8"/>
      <c r="AK128" s="327"/>
      <c r="AL128" s="327"/>
      <c r="AM128" s="327"/>
      <c r="AN128" s="327"/>
      <c r="AO128" s="327"/>
      <c r="AP128" s="7"/>
      <c r="AQ128" s="8"/>
      <c r="AR128" s="327"/>
      <c r="AS128" s="327"/>
      <c r="AT128" s="327"/>
      <c r="AU128" s="327"/>
      <c r="AV128" s="327"/>
      <c r="AW128" s="328"/>
    </row>
    <row r="129" spans="1:49" ht="16.5">
      <c r="A129" s="349"/>
      <c r="B129" s="338"/>
      <c r="C129" s="338"/>
      <c r="D129" s="339"/>
      <c r="E129" s="337"/>
      <c r="F129" s="338"/>
      <c r="G129" s="338"/>
      <c r="H129" s="338"/>
      <c r="I129" s="338"/>
      <c r="J129" s="338"/>
      <c r="K129" s="339"/>
      <c r="L129" s="337"/>
      <c r="M129" s="338"/>
      <c r="N129" s="338"/>
      <c r="O129" s="338"/>
      <c r="P129" s="338"/>
      <c r="Q129" s="338"/>
      <c r="R129" s="339"/>
      <c r="S129" s="337"/>
      <c r="T129" s="338"/>
      <c r="U129" s="338"/>
      <c r="V129" s="338"/>
      <c r="W129" s="338"/>
      <c r="X129" s="338"/>
      <c r="Y129" s="338"/>
      <c r="Z129" s="339"/>
      <c r="AA129" s="337"/>
      <c r="AB129" s="338"/>
      <c r="AC129" s="338"/>
      <c r="AD129" s="338"/>
      <c r="AE129" s="338"/>
      <c r="AF129" s="338"/>
      <c r="AG129" s="338"/>
      <c r="AH129" s="338"/>
      <c r="AI129" s="339"/>
      <c r="AJ129" s="337"/>
      <c r="AK129" s="338"/>
      <c r="AL129" s="338"/>
      <c r="AM129" s="338"/>
      <c r="AN129" s="338"/>
      <c r="AO129" s="338"/>
      <c r="AP129" s="339"/>
      <c r="AQ129" s="337"/>
      <c r="AR129" s="338"/>
      <c r="AS129" s="338"/>
      <c r="AT129" s="338"/>
      <c r="AU129" s="338"/>
      <c r="AV129" s="338"/>
      <c r="AW129" s="340"/>
    </row>
    <row r="130" spans="1:49" ht="16.5">
      <c r="A130" s="5"/>
      <c r="B130" s="343"/>
      <c r="C130" s="343"/>
      <c r="D130" s="344"/>
      <c r="E130" s="4"/>
      <c r="F130" s="343"/>
      <c r="G130" s="343"/>
      <c r="H130" s="343"/>
      <c r="I130" s="343"/>
      <c r="J130" s="343"/>
      <c r="K130" s="344"/>
      <c r="L130" s="345"/>
      <c r="M130" s="346"/>
      <c r="N130" s="346"/>
      <c r="O130" s="346"/>
      <c r="P130" s="346"/>
      <c r="Q130" s="346"/>
      <c r="R130" s="347"/>
      <c r="S130" s="4"/>
      <c r="T130" s="343"/>
      <c r="U130" s="343"/>
      <c r="V130" s="343"/>
      <c r="W130" s="343"/>
      <c r="X130" s="343"/>
      <c r="Y130" s="343"/>
      <c r="Z130" s="344"/>
      <c r="AA130" s="4"/>
      <c r="AB130" s="343"/>
      <c r="AC130" s="343"/>
      <c r="AD130" s="343"/>
      <c r="AE130" s="343"/>
      <c r="AF130" s="343"/>
      <c r="AG130" s="343"/>
      <c r="AH130" s="343"/>
      <c r="AI130" s="344"/>
      <c r="AJ130" s="4"/>
      <c r="AK130" s="343"/>
      <c r="AL130" s="343"/>
      <c r="AM130" s="343"/>
      <c r="AN130" s="343"/>
      <c r="AO130" s="343"/>
      <c r="AP130" s="344"/>
      <c r="AQ130" s="4"/>
      <c r="AR130" s="343"/>
      <c r="AS130" s="343"/>
      <c r="AT130" s="343"/>
      <c r="AU130" s="343"/>
      <c r="AV130" s="343"/>
      <c r="AW130" s="10"/>
    </row>
    <row r="131" spans="1:49" ht="16.5">
      <c r="A131" s="5"/>
      <c r="B131" s="343"/>
      <c r="C131" s="343"/>
      <c r="D131" s="344"/>
      <c r="E131" s="4"/>
      <c r="F131" s="343"/>
      <c r="G131" s="343"/>
      <c r="H131" s="343"/>
      <c r="I131" s="343"/>
      <c r="J131" s="343"/>
      <c r="K131" s="344"/>
      <c r="L131" s="337"/>
      <c r="M131" s="338"/>
      <c r="N131" s="338"/>
      <c r="O131" s="338"/>
      <c r="P131" s="338"/>
      <c r="Q131" s="338"/>
      <c r="R131" s="339"/>
      <c r="S131" s="4"/>
      <c r="T131" s="343"/>
      <c r="U131" s="343"/>
      <c r="V131" s="343"/>
      <c r="W131" s="343"/>
      <c r="X131" s="343"/>
      <c r="Y131" s="343"/>
      <c r="Z131" s="344"/>
      <c r="AA131" s="4"/>
      <c r="AB131" s="343"/>
      <c r="AC131" s="343"/>
      <c r="AD131" s="343"/>
      <c r="AE131" s="343"/>
      <c r="AF131" s="343"/>
      <c r="AG131" s="343"/>
      <c r="AH131" s="343"/>
      <c r="AI131" s="344"/>
      <c r="AJ131" s="4"/>
      <c r="AK131" s="343"/>
      <c r="AL131" s="343"/>
      <c r="AM131" s="343"/>
      <c r="AN131" s="343"/>
      <c r="AO131" s="343"/>
      <c r="AP131" s="344"/>
      <c r="AQ131" s="4"/>
      <c r="AR131" s="343"/>
      <c r="AS131" s="343"/>
      <c r="AT131" s="343"/>
      <c r="AU131" s="343"/>
      <c r="AV131" s="343"/>
      <c r="AW131" s="10"/>
    </row>
    <row r="132" spans="1:49" ht="17.25" thickBot="1">
      <c r="A132" s="326"/>
      <c r="B132" s="327"/>
      <c r="C132" s="327"/>
      <c r="D132" s="7"/>
      <c r="E132" s="8"/>
      <c r="F132" s="327"/>
      <c r="G132" s="327"/>
      <c r="H132" s="327"/>
      <c r="I132" s="327"/>
      <c r="J132" s="327"/>
      <c r="K132" s="7"/>
      <c r="L132" s="8"/>
      <c r="M132" s="327"/>
      <c r="N132" s="327"/>
      <c r="O132" s="327"/>
      <c r="P132" s="327"/>
      <c r="Q132" s="327"/>
      <c r="R132" s="7"/>
      <c r="S132" s="8"/>
      <c r="T132" s="327"/>
      <c r="U132" s="327"/>
      <c r="V132" s="327"/>
      <c r="W132" s="327"/>
      <c r="X132" s="327"/>
      <c r="Y132" s="327"/>
      <c r="Z132" s="7"/>
      <c r="AA132" s="8"/>
      <c r="AB132" s="327"/>
      <c r="AC132" s="327"/>
      <c r="AD132" s="327"/>
      <c r="AE132" s="327"/>
      <c r="AF132" s="327"/>
      <c r="AG132" s="327"/>
      <c r="AH132" s="327"/>
      <c r="AI132" s="7"/>
      <c r="AJ132" s="8"/>
      <c r="AK132" s="327"/>
      <c r="AL132" s="327"/>
      <c r="AM132" s="327"/>
      <c r="AN132" s="327"/>
      <c r="AO132" s="327"/>
      <c r="AP132" s="7"/>
      <c r="AQ132" s="8"/>
      <c r="AR132" s="327"/>
      <c r="AS132" s="327"/>
      <c r="AT132" s="327"/>
      <c r="AU132" s="327"/>
      <c r="AV132" s="327"/>
      <c r="AW132" s="328"/>
    </row>
  </sheetData>
  <mergeCells count="390">
    <mergeCell ref="A21:A22"/>
    <mergeCell ref="A23:A26"/>
    <mergeCell ref="AN61:AT62"/>
    <mergeCell ref="AU61:AW62"/>
    <mergeCell ref="B57:AH57"/>
    <mergeCell ref="B54:AH54"/>
    <mergeCell ref="B55:AH55"/>
    <mergeCell ref="B56:AH56"/>
    <mergeCell ref="E63:K64"/>
    <mergeCell ref="A63:D64"/>
    <mergeCell ref="AQ63:AW64"/>
    <mergeCell ref="AA63:AI64"/>
    <mergeCell ref="L63:R64"/>
    <mergeCell ref="A61:AM62"/>
    <mergeCell ref="AJ63:AP64"/>
    <mergeCell ref="S63:Z64"/>
    <mergeCell ref="B58:AH58"/>
    <mergeCell ref="B59:AH59"/>
    <mergeCell ref="AI54:AM59"/>
    <mergeCell ref="AN54:AW59"/>
    <mergeCell ref="B60:AH60"/>
    <mergeCell ref="Y48:AC48"/>
    <mergeCell ref="AD48:AH48"/>
    <mergeCell ref="AN50:AW53"/>
    <mergeCell ref="AN49:AR49"/>
    <mergeCell ref="AN48:AR48"/>
    <mergeCell ref="B51:AH51"/>
    <mergeCell ref="J48:N48"/>
    <mergeCell ref="B52:AH52"/>
    <mergeCell ref="B50:AH50"/>
    <mergeCell ref="AI48:AM48"/>
    <mergeCell ref="AS49:AW49"/>
    <mergeCell ref="E49:I49"/>
    <mergeCell ref="J49:N49"/>
    <mergeCell ref="AD49:AH49"/>
    <mergeCell ref="AI50:AM53"/>
    <mergeCell ref="T48:X48"/>
    <mergeCell ref="E48:I48"/>
    <mergeCell ref="AI49:AM49"/>
    <mergeCell ref="A49:D49"/>
    <mergeCell ref="Y49:AC49"/>
    <mergeCell ref="T49:X49"/>
    <mergeCell ref="B53:AH53"/>
    <mergeCell ref="A50:A59"/>
    <mergeCell ref="A45:D45"/>
    <mergeCell ref="A44:D44"/>
    <mergeCell ref="J44:N44"/>
    <mergeCell ref="Y44:AC44"/>
    <mergeCell ref="E46:I46"/>
    <mergeCell ref="O46:S46"/>
    <mergeCell ref="A46:D46"/>
    <mergeCell ref="O49:S49"/>
    <mergeCell ref="AS48:AW48"/>
    <mergeCell ref="AD44:AH44"/>
    <mergeCell ref="AD46:AH46"/>
    <mergeCell ref="AI46:AM46"/>
    <mergeCell ref="AI44:AM44"/>
    <mergeCell ref="T44:X44"/>
    <mergeCell ref="A48:D48"/>
    <mergeCell ref="O48:S48"/>
    <mergeCell ref="AS47:AW47"/>
    <mergeCell ref="A47:D47"/>
    <mergeCell ref="AN47:AR47"/>
    <mergeCell ref="AS46:AW46"/>
    <mergeCell ref="AN45:AR45"/>
    <mergeCell ref="AS44:AW44"/>
    <mergeCell ref="T46:X46"/>
    <mergeCell ref="Y46:AC46"/>
    <mergeCell ref="E47:I47"/>
    <mergeCell ref="Y47:AC47"/>
    <mergeCell ref="AI45:AM45"/>
    <mergeCell ref="AD47:AH47"/>
    <mergeCell ref="O47:S47"/>
    <mergeCell ref="O45:S45"/>
    <mergeCell ref="AI47:AM47"/>
    <mergeCell ref="J47:N47"/>
    <mergeCell ref="T47:X47"/>
    <mergeCell ref="AD45:AH45"/>
    <mergeCell ref="T45:X45"/>
    <mergeCell ref="AN46:AR46"/>
    <mergeCell ref="AS45:AW45"/>
    <mergeCell ref="AN44:AR44"/>
    <mergeCell ref="J46:N46"/>
    <mergeCell ref="J43:N43"/>
    <mergeCell ref="AS43:AW43"/>
    <mergeCell ref="E45:I45"/>
    <mergeCell ref="AN42:AR42"/>
    <mergeCell ref="J42:N42"/>
    <mergeCell ref="E43:I43"/>
    <mergeCell ref="AD43:AH43"/>
    <mergeCell ref="T43:X43"/>
    <mergeCell ref="O43:S43"/>
    <mergeCell ref="Y43:AC43"/>
    <mergeCell ref="Y45:AC45"/>
    <mergeCell ref="J45:N45"/>
    <mergeCell ref="O44:S44"/>
    <mergeCell ref="E44:I44"/>
    <mergeCell ref="AI37:AL37"/>
    <mergeCell ref="B37:AH37"/>
    <mergeCell ref="AI34:AL34"/>
    <mergeCell ref="M33:P33"/>
    <mergeCell ref="AI36:AL36"/>
    <mergeCell ref="AN43:AR43"/>
    <mergeCell ref="AI43:AM43"/>
    <mergeCell ref="AS42:AW42"/>
    <mergeCell ref="O42:S42"/>
    <mergeCell ref="T42:X42"/>
    <mergeCell ref="Y42:AC42"/>
    <mergeCell ref="A42:D42"/>
    <mergeCell ref="AD42:AH42"/>
    <mergeCell ref="E42:I42"/>
    <mergeCell ref="A41:AW41"/>
    <mergeCell ref="AI38:AL38"/>
    <mergeCell ref="B39:AH39"/>
    <mergeCell ref="AI40:AL40"/>
    <mergeCell ref="A43:D43"/>
    <mergeCell ref="AI42:AM42"/>
    <mergeCell ref="B38:AH38"/>
    <mergeCell ref="AI39:AL39"/>
    <mergeCell ref="B40:AH40"/>
    <mergeCell ref="AM28:AW40"/>
    <mergeCell ref="K24:M24"/>
    <mergeCell ref="O25:Q25"/>
    <mergeCell ref="W26:Y26"/>
    <mergeCell ref="W25:Y25"/>
    <mergeCell ref="AE25:AG25"/>
    <mergeCell ref="AE26:AG26"/>
    <mergeCell ref="AA25:AC25"/>
    <mergeCell ref="AI30:AL31"/>
    <mergeCell ref="AI28:AL28"/>
    <mergeCell ref="B28:AH28"/>
    <mergeCell ref="Q30:W31"/>
    <mergeCell ref="C25:E25"/>
    <mergeCell ref="AI26:AK26"/>
    <mergeCell ref="B36:AH36"/>
    <mergeCell ref="AB32:AH32"/>
    <mergeCell ref="M32:P32"/>
    <mergeCell ref="B30:E31"/>
    <mergeCell ref="Q33:W33"/>
    <mergeCell ref="B33:E33"/>
    <mergeCell ref="F33:L33"/>
    <mergeCell ref="F30:L31"/>
    <mergeCell ref="C26:E26"/>
    <mergeCell ref="B35:AH35"/>
    <mergeCell ref="B34:AH34"/>
    <mergeCell ref="X33:AA33"/>
    <mergeCell ref="AB33:AH33"/>
    <mergeCell ref="AU24:AW24"/>
    <mergeCell ref="G26:I26"/>
    <mergeCell ref="A27:AH27"/>
    <mergeCell ref="Q32:W32"/>
    <mergeCell ref="G25:I25"/>
    <mergeCell ref="AQ25:AS25"/>
    <mergeCell ref="AM25:AO25"/>
    <mergeCell ref="AU25:AW25"/>
    <mergeCell ref="A30:A31"/>
    <mergeCell ref="A32:A33"/>
    <mergeCell ref="AI32:AL33"/>
    <mergeCell ref="AI25:AK25"/>
    <mergeCell ref="K25:M25"/>
    <mergeCell ref="S25:U25"/>
    <mergeCell ref="K26:M26"/>
    <mergeCell ref="AM24:AO24"/>
    <mergeCell ref="AQ24:AS24"/>
    <mergeCell ref="C24:E24"/>
    <mergeCell ref="O26:Q26"/>
    <mergeCell ref="AI24:AK24"/>
    <mergeCell ref="AE24:AG24"/>
    <mergeCell ref="S26:U26"/>
    <mergeCell ref="AA24:AC24"/>
    <mergeCell ref="AB30:AH31"/>
    <mergeCell ref="AM27:AW27"/>
    <mergeCell ref="AI27:AL27"/>
    <mergeCell ref="AQ26:AS26"/>
    <mergeCell ref="AA26:AC26"/>
    <mergeCell ref="X30:AA31"/>
    <mergeCell ref="AI29:AL29"/>
    <mergeCell ref="B32:E32"/>
    <mergeCell ref="F32:L32"/>
    <mergeCell ref="AI35:AL35"/>
    <mergeCell ref="AU26:AW26"/>
    <mergeCell ref="AM26:AO26"/>
    <mergeCell ref="B29:AH29"/>
    <mergeCell ref="M30:P31"/>
    <mergeCell ref="X32:AA32"/>
    <mergeCell ref="B12:AS12"/>
    <mergeCell ref="AO18:AS18"/>
    <mergeCell ref="B13:AS13"/>
    <mergeCell ref="C23:E23"/>
    <mergeCell ref="W24:Y24"/>
    <mergeCell ref="O24:Q24"/>
    <mergeCell ref="O23:Q23"/>
    <mergeCell ref="K22:M22"/>
    <mergeCell ref="G24:I24"/>
    <mergeCell ref="S24:U24"/>
    <mergeCell ref="W23:Y23"/>
    <mergeCell ref="G23:I23"/>
    <mergeCell ref="S22:U22"/>
    <mergeCell ref="O22:Q22"/>
    <mergeCell ref="W22:Y22"/>
    <mergeCell ref="K23:M23"/>
    <mergeCell ref="AJ19:AN19"/>
    <mergeCell ref="AJ18:AN18"/>
    <mergeCell ref="S23:U23"/>
    <mergeCell ref="C21:E21"/>
    <mergeCell ref="C20:G20"/>
    <mergeCell ref="H19:L19"/>
    <mergeCell ref="H20:L20"/>
    <mergeCell ref="K21:M21"/>
    <mergeCell ref="AU23:AW23"/>
    <mergeCell ref="Y20:AC20"/>
    <mergeCell ref="AE23:AG23"/>
    <mergeCell ref="AQ23:AS23"/>
    <mergeCell ref="AM22:AO22"/>
    <mergeCell ref="AI22:AK22"/>
    <mergeCell ref="AE21:AG21"/>
    <mergeCell ref="AM21:AO21"/>
    <mergeCell ref="AA21:AC21"/>
    <mergeCell ref="AI21:AK21"/>
    <mergeCell ref="AM23:AO23"/>
    <mergeCell ref="AA23:AC23"/>
    <mergeCell ref="AD20:AH20"/>
    <mergeCell ref="AI23:AK23"/>
    <mergeCell ref="AD8:AG8"/>
    <mergeCell ref="AH8:AK8"/>
    <mergeCell ref="AQ21:AS21"/>
    <mergeCell ref="AO20:AS20"/>
    <mergeCell ref="AE22:AG22"/>
    <mergeCell ref="AQ22:AS22"/>
    <mergeCell ref="AU21:AW21"/>
    <mergeCell ref="AA22:AC22"/>
    <mergeCell ref="AD19:AH19"/>
    <mergeCell ref="AU22:AW22"/>
    <mergeCell ref="AT13:AW13"/>
    <mergeCell ref="A15:AW15"/>
    <mergeCell ref="N16:R16"/>
    <mergeCell ref="A16:A20"/>
    <mergeCell ref="C18:G18"/>
    <mergeCell ref="N17:R17"/>
    <mergeCell ref="S18:W18"/>
    <mergeCell ref="S20:W20"/>
    <mergeCell ref="AJ16:AN16"/>
    <mergeCell ref="H16:L16"/>
    <mergeCell ref="Y16:AC16"/>
    <mergeCell ref="AO16:AS16"/>
    <mergeCell ref="AT14:AW14"/>
    <mergeCell ref="AT16:AW20"/>
    <mergeCell ref="AT12:AW12"/>
    <mergeCell ref="AT11:AW11"/>
    <mergeCell ref="AT7:AW7"/>
    <mergeCell ref="V9:Y9"/>
    <mergeCell ref="Z10:AW10"/>
    <mergeCell ref="F9:I9"/>
    <mergeCell ref="R7:U7"/>
    <mergeCell ref="Z9:AC9"/>
    <mergeCell ref="B10:Y10"/>
    <mergeCell ref="AT9:AW9"/>
    <mergeCell ref="B11:AS11"/>
    <mergeCell ref="AL9:AO9"/>
    <mergeCell ref="AP9:AS9"/>
    <mergeCell ref="J9:M9"/>
    <mergeCell ref="AL8:AO8"/>
    <mergeCell ref="AP8:AS8"/>
    <mergeCell ref="AT8:AW8"/>
    <mergeCell ref="B8:E8"/>
    <mergeCell ref="F8:I8"/>
    <mergeCell ref="J8:M8"/>
    <mergeCell ref="N8:Q8"/>
    <mergeCell ref="R8:U8"/>
    <mergeCell ref="V8:Y8"/>
    <mergeCell ref="Z8:AC8"/>
    <mergeCell ref="B9:E9"/>
    <mergeCell ref="N9:Q9"/>
    <mergeCell ref="S19:W19"/>
    <mergeCell ref="H18:L18"/>
    <mergeCell ref="H17:L17"/>
    <mergeCell ref="C16:G16"/>
    <mergeCell ref="C17:G17"/>
    <mergeCell ref="AD16:AH16"/>
    <mergeCell ref="Y19:AC19"/>
    <mergeCell ref="Y18:AC18"/>
    <mergeCell ref="AH9:AK9"/>
    <mergeCell ref="AD9:AG9"/>
    <mergeCell ref="R9:U9"/>
    <mergeCell ref="B14:AS14"/>
    <mergeCell ref="C19:G19"/>
    <mergeCell ref="AO19:AS19"/>
    <mergeCell ref="S16:W16"/>
    <mergeCell ref="Y17:AC17"/>
    <mergeCell ref="AD17:AH17"/>
    <mergeCell ref="AO17:AS17"/>
    <mergeCell ref="AJ17:AN17"/>
    <mergeCell ref="N19:R19"/>
    <mergeCell ref="S17:W17"/>
    <mergeCell ref="N18:R18"/>
    <mergeCell ref="O21:Q21"/>
    <mergeCell ref="W21:Y21"/>
    <mergeCell ref="G22:I22"/>
    <mergeCell ref="S21:U21"/>
    <mergeCell ref="N20:R20"/>
    <mergeCell ref="G21:I21"/>
    <mergeCell ref="AD18:AH18"/>
    <mergeCell ref="C22:E22"/>
    <mergeCell ref="AJ20:AN20"/>
    <mergeCell ref="AT3:AU3"/>
    <mergeCell ref="N4:Q4"/>
    <mergeCell ref="AJ3:AK3"/>
    <mergeCell ref="B3:C3"/>
    <mergeCell ref="D3:E3"/>
    <mergeCell ref="P3:Q3"/>
    <mergeCell ref="AD4:AG4"/>
    <mergeCell ref="B5:C5"/>
    <mergeCell ref="D5:E5"/>
    <mergeCell ref="F5:G5"/>
    <mergeCell ref="H5:I5"/>
    <mergeCell ref="J5:K5"/>
    <mergeCell ref="J4:M4"/>
    <mergeCell ref="Z4:AC4"/>
    <mergeCell ref="X3:Y3"/>
    <mergeCell ref="V4:Y4"/>
    <mergeCell ref="B4:E4"/>
    <mergeCell ref="F4:I4"/>
    <mergeCell ref="AN3:AO3"/>
    <mergeCell ref="T3:U3"/>
    <mergeCell ref="R4:U4"/>
    <mergeCell ref="L5:M5"/>
    <mergeCell ref="N5:O5"/>
    <mergeCell ref="P5:Q5"/>
    <mergeCell ref="AU1:AW1"/>
    <mergeCell ref="AN1:AT1"/>
    <mergeCell ref="AL4:AO4"/>
    <mergeCell ref="AR3:AS3"/>
    <mergeCell ref="AV3:AW3"/>
    <mergeCell ref="AP4:AS4"/>
    <mergeCell ref="AP3:AQ3"/>
    <mergeCell ref="AQ2:AW2"/>
    <mergeCell ref="AD3:AE3"/>
    <mergeCell ref="A1:AM2"/>
    <mergeCell ref="F3:G3"/>
    <mergeCell ref="AH4:AK4"/>
    <mergeCell ref="AF3:AG3"/>
    <mergeCell ref="AH3:AI3"/>
    <mergeCell ref="AT4:AW4"/>
    <mergeCell ref="AL3:AM3"/>
    <mergeCell ref="Z3:AA3"/>
    <mergeCell ref="V3:W3"/>
    <mergeCell ref="R3:S3"/>
    <mergeCell ref="AB3:AC3"/>
    <mergeCell ref="H3:I3"/>
    <mergeCell ref="L3:M3"/>
    <mergeCell ref="N3:O3"/>
    <mergeCell ref="J3:K3"/>
    <mergeCell ref="AT6:AW6"/>
    <mergeCell ref="AP6:AS6"/>
    <mergeCell ref="N6:Q6"/>
    <mergeCell ref="AP7:AS7"/>
    <mergeCell ref="J7:M7"/>
    <mergeCell ref="N7:Q7"/>
    <mergeCell ref="B6:E6"/>
    <mergeCell ref="B7:E7"/>
    <mergeCell ref="F6:I6"/>
    <mergeCell ref="F7:I7"/>
    <mergeCell ref="V7:Y7"/>
    <mergeCell ref="Z7:AC7"/>
    <mergeCell ref="AD7:AG7"/>
    <mergeCell ref="AH7:AK7"/>
    <mergeCell ref="AL7:AO7"/>
    <mergeCell ref="J6:M6"/>
    <mergeCell ref="AH6:AK6"/>
    <mergeCell ref="Z6:AC6"/>
    <mergeCell ref="R6:U6"/>
    <mergeCell ref="V6:Y6"/>
    <mergeCell ref="AL6:AO6"/>
    <mergeCell ref="AD6:AG6"/>
    <mergeCell ref="R5:S5"/>
    <mergeCell ref="T5:U5"/>
    <mergeCell ref="V5:W5"/>
    <mergeCell ref="X5:Y5"/>
    <mergeCell ref="Z5:AA5"/>
    <mergeCell ref="AB5:AC5"/>
    <mergeCell ref="AV5:AW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</mergeCells>
  <phoneticPr fontId="2" type="noConversion"/>
  <conditionalFormatting sqref="AN1:AT1">
    <cfRule type="cellIs" dxfId="5" priority="15" operator="equal">
      <formula>33604</formula>
    </cfRule>
  </conditionalFormatting>
  <conditionalFormatting sqref="B11:AS11">
    <cfRule type="cellIs" dxfId="4" priority="14" operator="equal">
      <formula>"及役男5人()"</formula>
    </cfRule>
  </conditionalFormatting>
  <conditionalFormatting sqref="B51:AH51">
    <cfRule type="cellIs" dxfId="3" priority="2" operator="equal">
      <formula>"※第X中隊中隊長XXX(X)日XX時至翌日XX時輪值中隊聯合(權責)管理工作。"</formula>
    </cfRule>
  </conditionalFormatting>
  <conditionalFormatting sqref="B52:AH52">
    <cfRule type="cellIs" dxfId="2" priority="1" operator="equal">
      <formula>"※第X中隊中隊長XXX(X)日XX時至翌日XX時輪值中隊聯合(權責)管理工作。"</formula>
    </cfRule>
  </conditionalFormatting>
  <printOptions horizontalCentered="1" verticalCentered="1"/>
  <pageMargins left="0" right="0" top="0.31496062992125984" bottom="7.874015748031496E-2" header="0" footer="0.19685039370078741"/>
  <pageSetup paperSize="8" fitToHeight="2" orientation="portrait" r:id="rId1"/>
  <rowBreaks count="1" manualBreakCount="1">
    <brk id="59" max="4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資料刷新">
                <anchor moveWithCells="1" sizeWithCells="1">
                  <from>
                    <xdr:col>49</xdr:col>
                    <xdr:colOff>66675</xdr:colOff>
                    <xdr:row>1</xdr:row>
                    <xdr:rowOff>19050</xdr:rowOff>
                  </from>
                  <to>
                    <xdr:col>50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002060"/>
  </sheetPr>
  <dimension ref="A1:AC42"/>
  <sheetViews>
    <sheetView view="pageBreakPreview" topLeftCell="A6" zoomScale="25" zoomScaleNormal="60" zoomScaleSheetLayoutView="25" workbookViewId="0">
      <selection activeCell="F25" sqref="F25:K26"/>
    </sheetView>
  </sheetViews>
  <sheetFormatPr defaultColWidth="9" defaultRowHeight="16.5"/>
  <cols>
    <col min="1" max="1" width="9" style="11" customWidth="1"/>
    <col min="2" max="16384" width="9" style="11"/>
  </cols>
  <sheetData>
    <row r="1" spans="1:29" ht="59.1" customHeight="1" thickBot="1">
      <c r="A1" s="898" t="s">
        <v>435</v>
      </c>
      <c r="B1" s="648"/>
      <c r="C1" s="648"/>
      <c r="D1" s="648"/>
      <c r="E1" s="648"/>
      <c r="F1" s="648"/>
      <c r="G1" s="648"/>
      <c r="H1" s="648"/>
      <c r="I1" s="648"/>
      <c r="J1" s="648"/>
      <c r="K1" s="648"/>
      <c r="L1" s="648"/>
      <c r="M1" s="648"/>
      <c r="N1" s="901">
        <f>勤務分配表!AN1</f>
        <v>44500</v>
      </c>
      <c r="O1" s="648"/>
      <c r="P1" s="648"/>
      <c r="Q1" s="648"/>
      <c r="R1" s="648"/>
      <c r="S1" s="648"/>
      <c r="T1" s="648"/>
      <c r="U1" s="902" t="s">
        <v>81</v>
      </c>
      <c r="V1" s="648"/>
      <c r="W1" s="648"/>
      <c r="X1" s="648"/>
      <c r="Y1" s="648"/>
      <c r="Z1" s="648"/>
      <c r="AA1" s="648"/>
      <c r="AB1" s="648"/>
      <c r="AC1" s="649"/>
    </row>
    <row r="2" spans="1:29" ht="59.1" customHeight="1" thickBot="1">
      <c r="A2" s="899"/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900"/>
      <c r="Z2" s="900"/>
      <c r="AA2" s="900"/>
      <c r="AB2" s="900"/>
      <c r="AC2" s="903"/>
    </row>
    <row r="3" spans="1:29" ht="59.1" customHeight="1">
      <c r="A3" s="904" t="s">
        <v>82</v>
      </c>
      <c r="B3" s="648"/>
      <c r="C3" s="648"/>
      <c r="D3" s="648"/>
      <c r="E3" s="905"/>
      <c r="F3" s="910" t="s">
        <v>30</v>
      </c>
      <c r="G3" s="648"/>
      <c r="H3" s="648"/>
      <c r="I3" s="648"/>
      <c r="J3" s="648"/>
      <c r="K3" s="905"/>
      <c r="L3" s="912" t="s">
        <v>64</v>
      </c>
      <c r="M3" s="648"/>
      <c r="N3" s="648"/>
      <c r="O3" s="648"/>
      <c r="P3" s="648"/>
      <c r="Q3" s="905"/>
      <c r="R3" s="910" t="s">
        <v>65</v>
      </c>
      <c r="S3" s="648"/>
      <c r="T3" s="648"/>
      <c r="U3" s="648"/>
      <c r="V3" s="648"/>
      <c r="W3" s="905"/>
      <c r="X3" s="913" t="s">
        <v>50</v>
      </c>
      <c r="Y3" s="648"/>
      <c r="Z3" s="648"/>
      <c r="AA3" s="648"/>
      <c r="AB3" s="648"/>
      <c r="AC3" s="649"/>
    </row>
    <row r="4" spans="1:29" ht="59.1" customHeight="1">
      <c r="A4" s="906"/>
      <c r="B4" s="907"/>
      <c r="C4" s="907"/>
      <c r="D4" s="907"/>
      <c r="E4" s="908"/>
      <c r="F4" s="719"/>
      <c r="G4" s="907"/>
      <c r="H4" s="907"/>
      <c r="I4" s="907"/>
      <c r="J4" s="907"/>
      <c r="K4" s="908"/>
      <c r="L4" s="719"/>
      <c r="M4" s="907"/>
      <c r="N4" s="907"/>
      <c r="O4" s="907"/>
      <c r="P4" s="907"/>
      <c r="Q4" s="908"/>
      <c r="R4" s="719"/>
      <c r="S4" s="907"/>
      <c r="T4" s="907"/>
      <c r="U4" s="907"/>
      <c r="V4" s="907"/>
      <c r="W4" s="908"/>
      <c r="X4" s="719"/>
      <c r="Y4" s="907"/>
      <c r="Z4" s="907"/>
      <c r="AA4" s="907"/>
      <c r="AB4" s="907"/>
      <c r="AC4" s="721"/>
    </row>
    <row r="5" spans="1:29" ht="59.1" customHeight="1">
      <c r="A5" s="906"/>
      <c r="B5" s="907"/>
      <c r="C5" s="907"/>
      <c r="D5" s="907"/>
      <c r="E5" s="908"/>
      <c r="F5" s="719"/>
      <c r="G5" s="907"/>
      <c r="H5" s="907"/>
      <c r="I5" s="907"/>
      <c r="J5" s="907"/>
      <c r="K5" s="908"/>
      <c r="L5" s="719"/>
      <c r="M5" s="907"/>
      <c r="N5" s="907"/>
      <c r="O5" s="907"/>
      <c r="P5" s="907"/>
      <c r="Q5" s="908"/>
      <c r="R5" s="719"/>
      <c r="S5" s="907"/>
      <c r="T5" s="907"/>
      <c r="U5" s="907"/>
      <c r="V5" s="907"/>
      <c r="W5" s="908"/>
      <c r="X5" s="719"/>
      <c r="Y5" s="907"/>
      <c r="Z5" s="907"/>
      <c r="AA5" s="907"/>
      <c r="AB5" s="907"/>
      <c r="AC5" s="721"/>
    </row>
    <row r="6" spans="1:29" ht="59.1" customHeight="1">
      <c r="A6" s="662"/>
      <c r="B6" s="663"/>
      <c r="C6" s="663"/>
      <c r="D6" s="663"/>
      <c r="E6" s="909"/>
      <c r="F6" s="911"/>
      <c r="G6" s="663"/>
      <c r="H6" s="663"/>
      <c r="I6" s="663"/>
      <c r="J6" s="663"/>
      <c r="K6" s="909"/>
      <c r="L6" s="911"/>
      <c r="M6" s="663"/>
      <c r="N6" s="663"/>
      <c r="O6" s="663"/>
      <c r="P6" s="663"/>
      <c r="Q6" s="909"/>
      <c r="R6" s="911"/>
      <c r="S6" s="663"/>
      <c r="T6" s="663"/>
      <c r="U6" s="663"/>
      <c r="V6" s="663"/>
      <c r="W6" s="909"/>
      <c r="X6" s="911"/>
      <c r="Y6" s="663"/>
      <c r="Z6" s="663"/>
      <c r="AA6" s="663"/>
      <c r="AB6" s="663"/>
      <c r="AC6" s="914"/>
    </row>
    <row r="7" spans="1:29" ht="59.1" customHeight="1">
      <c r="A7" s="922" t="s">
        <v>83</v>
      </c>
      <c r="B7" s="717"/>
      <c r="C7" s="918"/>
      <c r="D7" s="917" t="s">
        <v>84</v>
      </c>
      <c r="E7" s="918"/>
      <c r="F7" s="924">
        <f>勤務分配表!E43+勤務分配表!J43+勤務分配表!O43+勤務分配表!T43+勤務分配表!Y43+勤務分配表!AD43</f>
        <v>13</v>
      </c>
      <c r="G7" s="717"/>
      <c r="H7" s="717"/>
      <c r="I7" s="717"/>
      <c r="J7" s="717"/>
      <c r="K7" s="918"/>
      <c r="L7" s="921">
        <f>勤務分配表!AI43</f>
        <v>6</v>
      </c>
      <c r="M7" s="717"/>
      <c r="N7" s="717"/>
      <c r="O7" s="717"/>
      <c r="P7" s="717"/>
      <c r="Q7" s="918"/>
      <c r="R7" s="920"/>
      <c r="S7" s="925"/>
      <c r="T7" s="925"/>
      <c r="U7" s="925"/>
      <c r="V7" s="925"/>
      <c r="W7" s="926"/>
      <c r="X7" s="916">
        <f>F7+L7</f>
        <v>19</v>
      </c>
      <c r="Y7" s="717"/>
      <c r="Z7" s="717"/>
      <c r="AA7" s="717"/>
      <c r="AB7" s="717"/>
      <c r="AC7" s="718"/>
    </row>
    <row r="8" spans="1:29" ht="59.1" customHeight="1">
      <c r="A8" s="906"/>
      <c r="B8" s="907"/>
      <c r="C8" s="908"/>
      <c r="D8" s="911"/>
      <c r="E8" s="909"/>
      <c r="F8" s="911"/>
      <c r="G8" s="663"/>
      <c r="H8" s="663"/>
      <c r="I8" s="663"/>
      <c r="J8" s="663"/>
      <c r="K8" s="909"/>
      <c r="L8" s="911"/>
      <c r="M8" s="663"/>
      <c r="N8" s="663"/>
      <c r="O8" s="663"/>
      <c r="P8" s="663"/>
      <c r="Q8" s="909"/>
      <c r="R8" s="927"/>
      <c r="S8" s="928"/>
      <c r="T8" s="928"/>
      <c r="U8" s="928"/>
      <c r="V8" s="928"/>
      <c r="W8" s="929"/>
      <c r="X8" s="911"/>
      <c r="Y8" s="663"/>
      <c r="Z8" s="663"/>
      <c r="AA8" s="663"/>
      <c r="AB8" s="663"/>
      <c r="AC8" s="914"/>
    </row>
    <row r="9" spans="1:29" ht="59.1" customHeight="1">
      <c r="A9" s="906"/>
      <c r="B9" s="907"/>
      <c r="C9" s="908"/>
      <c r="D9" s="917" t="s">
        <v>65</v>
      </c>
      <c r="E9" s="918"/>
      <c r="F9" s="919"/>
      <c r="G9" s="717"/>
      <c r="H9" s="717"/>
      <c r="I9" s="717"/>
      <c r="J9" s="717"/>
      <c r="K9" s="918"/>
      <c r="L9" s="920"/>
      <c r="M9" s="717"/>
      <c r="N9" s="717"/>
      <c r="O9" s="717"/>
      <c r="P9" s="717"/>
      <c r="Q9" s="918"/>
      <c r="R9" s="921">
        <f>勤務分配表!AN43</f>
        <v>32</v>
      </c>
      <c r="S9" s="717"/>
      <c r="T9" s="717"/>
      <c r="U9" s="717"/>
      <c r="V9" s="717"/>
      <c r="W9" s="918"/>
      <c r="X9" s="916">
        <f>R9</f>
        <v>32</v>
      </c>
      <c r="Y9" s="717"/>
      <c r="Z9" s="717"/>
      <c r="AA9" s="717"/>
      <c r="AB9" s="717"/>
      <c r="AC9" s="718"/>
    </row>
    <row r="10" spans="1:29" ht="59.1" customHeight="1">
      <c r="A10" s="662"/>
      <c r="B10" s="663"/>
      <c r="C10" s="909"/>
      <c r="D10" s="911"/>
      <c r="E10" s="909"/>
      <c r="F10" s="911"/>
      <c r="G10" s="663"/>
      <c r="H10" s="663"/>
      <c r="I10" s="663"/>
      <c r="J10" s="663"/>
      <c r="K10" s="909"/>
      <c r="L10" s="911"/>
      <c r="M10" s="663"/>
      <c r="N10" s="663"/>
      <c r="O10" s="663"/>
      <c r="P10" s="663"/>
      <c r="Q10" s="909"/>
      <c r="R10" s="911"/>
      <c r="S10" s="663"/>
      <c r="T10" s="663"/>
      <c r="U10" s="663"/>
      <c r="V10" s="663"/>
      <c r="W10" s="909"/>
      <c r="X10" s="911"/>
      <c r="Y10" s="663"/>
      <c r="Z10" s="663"/>
      <c r="AA10" s="663"/>
      <c r="AB10" s="663"/>
      <c r="AC10" s="914"/>
    </row>
    <row r="11" spans="1:29" ht="59.1" customHeight="1">
      <c r="A11" s="922" t="s">
        <v>85</v>
      </c>
      <c r="B11" s="717"/>
      <c r="C11" s="717"/>
      <c r="D11" s="717"/>
      <c r="E11" s="918"/>
      <c r="F11" s="923">
        <f>勤務分配表!E44+勤務分配表!J44+勤務分配表!O44+勤務分配表!T44+勤務分配表!Y44+勤務分配表!AD44+COUNTIF(勤務分配!E:E,"留職停薪")</f>
        <v>6</v>
      </c>
      <c r="G11" s="717"/>
      <c r="H11" s="717"/>
      <c r="I11" s="717"/>
      <c r="J11" s="717"/>
      <c r="K11" s="918"/>
      <c r="L11" s="923">
        <f>勤務分配表!AI44</f>
        <v>2</v>
      </c>
      <c r="M11" s="717"/>
      <c r="N11" s="717"/>
      <c r="O11" s="717"/>
      <c r="P11" s="717"/>
      <c r="Q11" s="918"/>
      <c r="R11" s="923">
        <f>勤務分配表!AN44</f>
        <v>17</v>
      </c>
      <c r="S11" s="717"/>
      <c r="T11" s="717"/>
      <c r="U11" s="717"/>
      <c r="V11" s="717"/>
      <c r="W11" s="918"/>
      <c r="X11" s="915">
        <f>F11+L11+R11</f>
        <v>25</v>
      </c>
      <c r="Y11" s="717"/>
      <c r="Z11" s="717"/>
      <c r="AA11" s="717"/>
      <c r="AB11" s="717"/>
      <c r="AC11" s="718"/>
    </row>
    <row r="12" spans="1:29" ht="59.1" customHeight="1">
      <c r="A12" s="906"/>
      <c r="B12" s="907"/>
      <c r="C12" s="907"/>
      <c r="D12" s="907"/>
      <c r="E12" s="908"/>
      <c r="F12" s="719"/>
      <c r="G12" s="907"/>
      <c r="H12" s="907"/>
      <c r="I12" s="907"/>
      <c r="J12" s="907"/>
      <c r="K12" s="908"/>
      <c r="L12" s="719"/>
      <c r="M12" s="907"/>
      <c r="N12" s="907"/>
      <c r="O12" s="907"/>
      <c r="P12" s="907"/>
      <c r="Q12" s="908"/>
      <c r="R12" s="719"/>
      <c r="S12" s="907"/>
      <c r="T12" s="907"/>
      <c r="U12" s="907"/>
      <c r="V12" s="907"/>
      <c r="W12" s="908"/>
      <c r="X12" s="719"/>
      <c r="Y12" s="907"/>
      <c r="Z12" s="907"/>
      <c r="AA12" s="907"/>
      <c r="AB12" s="907"/>
      <c r="AC12" s="721"/>
    </row>
    <row r="13" spans="1:29" ht="59.1" customHeight="1">
      <c r="A13" s="906"/>
      <c r="B13" s="907"/>
      <c r="C13" s="907"/>
      <c r="D13" s="907"/>
      <c r="E13" s="908"/>
      <c r="F13" s="719"/>
      <c r="G13" s="907"/>
      <c r="H13" s="907"/>
      <c r="I13" s="907"/>
      <c r="J13" s="907"/>
      <c r="K13" s="908"/>
      <c r="L13" s="719"/>
      <c r="M13" s="907"/>
      <c r="N13" s="907"/>
      <c r="O13" s="907"/>
      <c r="P13" s="907"/>
      <c r="Q13" s="908"/>
      <c r="R13" s="719"/>
      <c r="S13" s="907"/>
      <c r="T13" s="907"/>
      <c r="U13" s="907"/>
      <c r="V13" s="907"/>
      <c r="W13" s="908"/>
      <c r="X13" s="719"/>
      <c r="Y13" s="907"/>
      <c r="Z13" s="907"/>
      <c r="AA13" s="907"/>
      <c r="AB13" s="907"/>
      <c r="AC13" s="721"/>
    </row>
    <row r="14" spans="1:29" ht="59.1" customHeight="1">
      <c r="A14" s="662"/>
      <c r="B14" s="663"/>
      <c r="C14" s="663"/>
      <c r="D14" s="663"/>
      <c r="E14" s="909"/>
      <c r="F14" s="911"/>
      <c r="G14" s="663"/>
      <c r="H14" s="663"/>
      <c r="I14" s="663"/>
      <c r="J14" s="663"/>
      <c r="K14" s="909"/>
      <c r="L14" s="911"/>
      <c r="M14" s="663"/>
      <c r="N14" s="663"/>
      <c r="O14" s="663"/>
      <c r="P14" s="663"/>
      <c r="Q14" s="909"/>
      <c r="R14" s="911"/>
      <c r="S14" s="663"/>
      <c r="T14" s="663"/>
      <c r="U14" s="663"/>
      <c r="V14" s="663"/>
      <c r="W14" s="909"/>
      <c r="X14" s="911"/>
      <c r="Y14" s="663"/>
      <c r="Z14" s="663"/>
      <c r="AA14" s="663"/>
      <c r="AB14" s="663"/>
      <c r="AC14" s="914"/>
    </row>
    <row r="15" spans="1:29" ht="59.1" customHeight="1">
      <c r="A15" s="922" t="s">
        <v>219</v>
      </c>
      <c r="B15" s="717"/>
      <c r="C15" s="717"/>
      <c r="D15" s="717"/>
      <c r="E15" s="918"/>
      <c r="F15" s="923">
        <v>3</v>
      </c>
      <c r="G15" s="717"/>
      <c r="H15" s="717"/>
      <c r="I15" s="717"/>
      <c r="J15" s="717"/>
      <c r="K15" s="918"/>
      <c r="L15" s="923">
        <f>勤務分配表!AI46+勤務分配表!AI45</f>
        <v>4</v>
      </c>
      <c r="M15" s="717"/>
      <c r="N15" s="717"/>
      <c r="O15" s="717"/>
      <c r="P15" s="717"/>
      <c r="Q15" s="918"/>
      <c r="R15" s="923">
        <f>勤務分配表!AN45+勤務分配表!AN46</f>
        <v>0</v>
      </c>
      <c r="S15" s="717"/>
      <c r="T15" s="717"/>
      <c r="U15" s="717"/>
      <c r="V15" s="717"/>
      <c r="W15" s="918"/>
      <c r="X15" s="915">
        <f>F15+L15+R15</f>
        <v>7</v>
      </c>
      <c r="Y15" s="717"/>
      <c r="Z15" s="717"/>
      <c r="AA15" s="717"/>
      <c r="AB15" s="717"/>
      <c r="AC15" s="718"/>
    </row>
    <row r="16" spans="1:29" ht="59.1" customHeight="1">
      <c r="A16" s="906"/>
      <c r="B16" s="907"/>
      <c r="C16" s="907"/>
      <c r="D16" s="907"/>
      <c r="E16" s="908"/>
      <c r="F16" s="719"/>
      <c r="G16" s="907"/>
      <c r="H16" s="907"/>
      <c r="I16" s="907"/>
      <c r="J16" s="907"/>
      <c r="K16" s="908"/>
      <c r="L16" s="719"/>
      <c r="M16" s="907"/>
      <c r="N16" s="907"/>
      <c r="O16" s="907"/>
      <c r="P16" s="907"/>
      <c r="Q16" s="908"/>
      <c r="R16" s="719"/>
      <c r="S16" s="907"/>
      <c r="T16" s="907"/>
      <c r="U16" s="907"/>
      <c r="V16" s="907"/>
      <c r="W16" s="908"/>
      <c r="X16" s="719"/>
      <c r="Y16" s="907"/>
      <c r="Z16" s="907"/>
      <c r="AA16" s="907"/>
      <c r="AB16" s="907"/>
      <c r="AC16" s="721"/>
    </row>
    <row r="17" spans="1:29" ht="59.1" customHeight="1">
      <c r="A17" s="906"/>
      <c r="B17" s="907"/>
      <c r="C17" s="907"/>
      <c r="D17" s="907"/>
      <c r="E17" s="908"/>
      <c r="F17" s="719"/>
      <c r="G17" s="907"/>
      <c r="H17" s="907"/>
      <c r="I17" s="907"/>
      <c r="J17" s="907"/>
      <c r="K17" s="908"/>
      <c r="L17" s="719"/>
      <c r="M17" s="907"/>
      <c r="N17" s="907"/>
      <c r="O17" s="907"/>
      <c r="P17" s="907"/>
      <c r="Q17" s="908"/>
      <c r="R17" s="719"/>
      <c r="S17" s="907"/>
      <c r="T17" s="907"/>
      <c r="U17" s="907"/>
      <c r="V17" s="907"/>
      <c r="W17" s="908"/>
      <c r="X17" s="719"/>
      <c r="Y17" s="907"/>
      <c r="Z17" s="907"/>
      <c r="AA17" s="907"/>
      <c r="AB17" s="907"/>
      <c r="AC17" s="721"/>
    </row>
    <row r="18" spans="1:29" ht="59.1" customHeight="1">
      <c r="A18" s="662"/>
      <c r="B18" s="663"/>
      <c r="C18" s="663"/>
      <c r="D18" s="663"/>
      <c r="E18" s="909"/>
      <c r="F18" s="911"/>
      <c r="G18" s="663"/>
      <c r="H18" s="663"/>
      <c r="I18" s="663"/>
      <c r="J18" s="663"/>
      <c r="K18" s="909"/>
      <c r="L18" s="911"/>
      <c r="M18" s="663"/>
      <c r="N18" s="663"/>
      <c r="O18" s="663"/>
      <c r="P18" s="663"/>
      <c r="Q18" s="909"/>
      <c r="R18" s="911"/>
      <c r="S18" s="663"/>
      <c r="T18" s="663"/>
      <c r="U18" s="663"/>
      <c r="V18" s="663"/>
      <c r="W18" s="909"/>
      <c r="X18" s="911"/>
      <c r="Y18" s="663"/>
      <c r="Z18" s="663"/>
      <c r="AA18" s="663"/>
      <c r="AB18" s="663"/>
      <c r="AC18" s="914"/>
    </row>
    <row r="19" spans="1:29" ht="59.1" customHeight="1">
      <c r="A19" s="930" t="s">
        <v>86</v>
      </c>
      <c r="B19" s="717"/>
      <c r="C19" s="717"/>
      <c r="D19" s="717"/>
      <c r="E19" s="918"/>
      <c r="F19" s="931">
        <v>0</v>
      </c>
      <c r="G19" s="932"/>
      <c r="H19" s="932"/>
      <c r="I19" s="932"/>
      <c r="J19" s="932"/>
      <c r="K19" s="933"/>
      <c r="L19" s="931">
        <v>0</v>
      </c>
      <c r="M19" s="932"/>
      <c r="N19" s="932"/>
      <c r="O19" s="932"/>
      <c r="P19" s="932"/>
      <c r="Q19" s="933"/>
      <c r="R19" s="940">
        <v>0</v>
      </c>
      <c r="S19" s="941"/>
      <c r="T19" s="941"/>
      <c r="U19" s="941"/>
      <c r="V19" s="941"/>
      <c r="W19" s="942"/>
      <c r="X19" s="915">
        <f>F19+L19+R19</f>
        <v>0</v>
      </c>
      <c r="Y19" s="949"/>
      <c r="Z19" s="949"/>
      <c r="AA19" s="949"/>
      <c r="AB19" s="949"/>
      <c r="AC19" s="950"/>
    </row>
    <row r="20" spans="1:29" ht="59.1" customHeight="1">
      <c r="A20" s="906"/>
      <c r="B20" s="907"/>
      <c r="C20" s="907"/>
      <c r="D20" s="907"/>
      <c r="E20" s="908"/>
      <c r="F20" s="934"/>
      <c r="G20" s="935"/>
      <c r="H20" s="935"/>
      <c r="I20" s="935"/>
      <c r="J20" s="935"/>
      <c r="K20" s="936"/>
      <c r="L20" s="934"/>
      <c r="M20" s="935"/>
      <c r="N20" s="935"/>
      <c r="O20" s="935"/>
      <c r="P20" s="935"/>
      <c r="Q20" s="936"/>
      <c r="R20" s="943"/>
      <c r="S20" s="944"/>
      <c r="T20" s="944"/>
      <c r="U20" s="944"/>
      <c r="V20" s="944"/>
      <c r="W20" s="945"/>
      <c r="X20" s="951"/>
      <c r="Y20" s="907"/>
      <c r="Z20" s="907"/>
      <c r="AA20" s="907"/>
      <c r="AB20" s="907"/>
      <c r="AC20" s="952"/>
    </row>
    <row r="21" spans="1:29" ht="59.1" customHeight="1">
      <c r="A21" s="906"/>
      <c r="B21" s="907"/>
      <c r="C21" s="907"/>
      <c r="D21" s="907"/>
      <c r="E21" s="908"/>
      <c r="F21" s="934"/>
      <c r="G21" s="935"/>
      <c r="H21" s="935"/>
      <c r="I21" s="935"/>
      <c r="J21" s="935"/>
      <c r="K21" s="936"/>
      <c r="L21" s="934"/>
      <c r="M21" s="935"/>
      <c r="N21" s="935"/>
      <c r="O21" s="935"/>
      <c r="P21" s="935"/>
      <c r="Q21" s="936"/>
      <c r="R21" s="943"/>
      <c r="S21" s="944"/>
      <c r="T21" s="944"/>
      <c r="U21" s="944"/>
      <c r="V21" s="944"/>
      <c r="W21" s="945"/>
      <c r="X21" s="951"/>
      <c r="Y21" s="907"/>
      <c r="Z21" s="907"/>
      <c r="AA21" s="907"/>
      <c r="AB21" s="907"/>
      <c r="AC21" s="952"/>
    </row>
    <row r="22" spans="1:29" ht="59.1" customHeight="1">
      <c r="A22" s="662"/>
      <c r="B22" s="663"/>
      <c r="C22" s="663"/>
      <c r="D22" s="663"/>
      <c r="E22" s="909"/>
      <c r="F22" s="937"/>
      <c r="G22" s="938"/>
      <c r="H22" s="938"/>
      <c r="I22" s="938"/>
      <c r="J22" s="938"/>
      <c r="K22" s="939"/>
      <c r="L22" s="937"/>
      <c r="M22" s="938"/>
      <c r="N22" s="938"/>
      <c r="O22" s="938"/>
      <c r="P22" s="938"/>
      <c r="Q22" s="939"/>
      <c r="R22" s="946"/>
      <c r="S22" s="947"/>
      <c r="T22" s="947"/>
      <c r="U22" s="947"/>
      <c r="V22" s="947"/>
      <c r="W22" s="948"/>
      <c r="X22" s="953"/>
      <c r="Y22" s="954"/>
      <c r="Z22" s="954"/>
      <c r="AA22" s="954"/>
      <c r="AB22" s="954"/>
      <c r="AC22" s="955"/>
    </row>
    <row r="23" spans="1:29" ht="59.1" customHeight="1">
      <c r="A23" s="922" t="s">
        <v>87</v>
      </c>
      <c r="B23" s="717"/>
      <c r="C23" s="918"/>
      <c r="D23" s="917" t="s">
        <v>84</v>
      </c>
      <c r="E23" s="918"/>
      <c r="F23" s="921">
        <f>勤務分配表!E48+勤務分配表!J48+勤務分配表!O48+勤務分配表!T48+勤務分配表!Y48+勤務分配表!AD48-F19</f>
        <v>3</v>
      </c>
      <c r="G23" s="717"/>
      <c r="H23" s="717"/>
      <c r="I23" s="717"/>
      <c r="J23" s="717"/>
      <c r="K23" s="918"/>
      <c r="L23" s="956">
        <f>勤務分配表!AI48-L19</f>
        <v>0</v>
      </c>
      <c r="M23" s="717"/>
      <c r="N23" s="717"/>
      <c r="O23" s="717"/>
      <c r="P23" s="717"/>
      <c r="Q23" s="918"/>
      <c r="R23" s="919"/>
      <c r="S23" s="717"/>
      <c r="T23" s="717"/>
      <c r="U23" s="717"/>
      <c r="V23" s="717"/>
      <c r="W23" s="918"/>
      <c r="X23" s="916">
        <f>F23+L23</f>
        <v>3</v>
      </c>
      <c r="Y23" s="717"/>
      <c r="Z23" s="717"/>
      <c r="AA23" s="717"/>
      <c r="AB23" s="717"/>
      <c r="AC23" s="718"/>
    </row>
    <row r="24" spans="1:29" ht="59.1" customHeight="1">
      <c r="A24" s="906"/>
      <c r="B24" s="907"/>
      <c r="C24" s="908"/>
      <c r="D24" s="911"/>
      <c r="E24" s="909"/>
      <c r="F24" s="911"/>
      <c r="G24" s="663"/>
      <c r="H24" s="663"/>
      <c r="I24" s="663"/>
      <c r="J24" s="663"/>
      <c r="K24" s="909"/>
      <c r="L24" s="911"/>
      <c r="M24" s="663"/>
      <c r="N24" s="663"/>
      <c r="O24" s="663"/>
      <c r="P24" s="663"/>
      <c r="Q24" s="909"/>
      <c r="R24" s="911"/>
      <c r="S24" s="663"/>
      <c r="T24" s="663"/>
      <c r="U24" s="663"/>
      <c r="V24" s="663"/>
      <c r="W24" s="909"/>
      <c r="X24" s="911"/>
      <c r="Y24" s="663"/>
      <c r="Z24" s="663"/>
      <c r="AA24" s="663"/>
      <c r="AB24" s="663"/>
      <c r="AC24" s="914"/>
    </row>
    <row r="25" spans="1:29" ht="59.1" customHeight="1">
      <c r="A25" s="906"/>
      <c r="B25" s="907"/>
      <c r="C25" s="908"/>
      <c r="D25" s="917" t="s">
        <v>65</v>
      </c>
      <c r="E25" s="918"/>
      <c r="F25" s="919"/>
      <c r="G25" s="717"/>
      <c r="H25" s="717"/>
      <c r="I25" s="717"/>
      <c r="J25" s="717"/>
      <c r="K25" s="918"/>
      <c r="L25" s="919"/>
      <c r="M25" s="717"/>
      <c r="N25" s="717"/>
      <c r="O25" s="717"/>
      <c r="P25" s="717"/>
      <c r="Q25" s="918"/>
      <c r="R25" s="956">
        <f>勤務分配表!AN48-R19</f>
        <v>12</v>
      </c>
      <c r="S25" s="717"/>
      <c r="T25" s="717"/>
      <c r="U25" s="717"/>
      <c r="V25" s="717"/>
      <c r="W25" s="918"/>
      <c r="X25" s="957">
        <f>R25</f>
        <v>12</v>
      </c>
      <c r="Y25" s="717"/>
      <c r="Z25" s="717"/>
      <c r="AA25" s="717"/>
      <c r="AB25" s="717"/>
      <c r="AC25" s="718"/>
    </row>
    <row r="26" spans="1:29" ht="59.1" customHeight="1">
      <c r="A26" s="662"/>
      <c r="B26" s="663"/>
      <c r="C26" s="909"/>
      <c r="D26" s="911"/>
      <c r="E26" s="909"/>
      <c r="F26" s="911"/>
      <c r="G26" s="663"/>
      <c r="H26" s="663"/>
      <c r="I26" s="663"/>
      <c r="J26" s="663"/>
      <c r="K26" s="909"/>
      <c r="L26" s="911"/>
      <c r="M26" s="663"/>
      <c r="N26" s="663"/>
      <c r="O26" s="663"/>
      <c r="P26" s="663"/>
      <c r="Q26" s="909"/>
      <c r="R26" s="911"/>
      <c r="S26" s="663"/>
      <c r="T26" s="663"/>
      <c r="U26" s="663"/>
      <c r="V26" s="663"/>
      <c r="W26" s="909"/>
      <c r="X26" s="911"/>
      <c r="Y26" s="663"/>
      <c r="Z26" s="663"/>
      <c r="AA26" s="663"/>
      <c r="AB26" s="663"/>
      <c r="AC26" s="914"/>
    </row>
    <row r="27" spans="1:29" ht="59.1" customHeight="1" thickBot="1">
      <c r="A27" s="930" t="s">
        <v>664</v>
      </c>
      <c r="B27" s="717"/>
      <c r="C27" s="717"/>
      <c r="D27" s="717"/>
      <c r="E27" s="918"/>
      <c r="F27" s="965" t="str">
        <f>IF(勤務分配!$E$3="08-18","副 "&amp;勤務分配!$B$3&amp;"(08-18)",IF(勤務分配!$E$3="12-22","副 "&amp;勤務分配!$B$3&amp;"(12-22)",IF(勤務分配!$E$3="08-16","副 "&amp;勤務分配!$B$3&amp;"(08-16)",IF(勤務分配!$E$3="08-20","副 "&amp;勤務分配!$B$3&amp;"(08-18)",""))))</f>
        <v/>
      </c>
      <c r="G27" s="966"/>
      <c r="H27" s="966"/>
      <c r="I27" s="966"/>
      <c r="J27" s="966"/>
      <c r="K27" s="967"/>
      <c r="L27" s="919"/>
      <c r="M27" s="717"/>
      <c r="N27" s="717"/>
      <c r="O27" s="717"/>
      <c r="P27" s="717"/>
      <c r="Q27" s="918"/>
      <c r="R27" s="919"/>
      <c r="S27" s="717"/>
      <c r="T27" s="717"/>
      <c r="U27" s="717"/>
      <c r="V27" s="717"/>
      <c r="W27" s="918"/>
      <c r="X27" s="958"/>
      <c r="Y27" s="717"/>
      <c r="Z27" s="717"/>
      <c r="AA27" s="717"/>
      <c r="AB27" s="717"/>
      <c r="AC27" s="718"/>
    </row>
    <row r="28" spans="1:29" ht="59.1" customHeight="1" thickBot="1">
      <c r="A28" s="906"/>
      <c r="B28" s="907"/>
      <c r="C28" s="907"/>
      <c r="D28" s="907"/>
      <c r="E28" s="908"/>
      <c r="F28" s="968"/>
      <c r="G28" s="969"/>
      <c r="H28" s="969"/>
      <c r="I28" s="969"/>
      <c r="J28" s="969"/>
      <c r="K28" s="970"/>
      <c r="L28" s="719"/>
      <c r="M28" s="907"/>
      <c r="N28" s="907"/>
      <c r="O28" s="907"/>
      <c r="P28" s="907"/>
      <c r="Q28" s="908"/>
      <c r="R28" s="719"/>
      <c r="S28" s="907"/>
      <c r="T28" s="907"/>
      <c r="U28" s="907"/>
      <c r="V28" s="907"/>
      <c r="W28" s="908"/>
      <c r="X28" s="719"/>
      <c r="Y28" s="907"/>
      <c r="Z28" s="907"/>
      <c r="AA28" s="907"/>
      <c r="AB28" s="907"/>
      <c r="AC28" s="721"/>
    </row>
    <row r="29" spans="1:29" ht="59.1" customHeight="1" thickBot="1">
      <c r="A29" s="906"/>
      <c r="B29" s="907"/>
      <c r="C29" s="907"/>
      <c r="D29" s="907"/>
      <c r="E29" s="908"/>
      <c r="F29" s="965" t="str">
        <f>IF(勤務分配!$E$3="08-18","副 "&amp;勤務分配!$B$3&amp;"(08-18)",IF(勤務分配!$E$3="12-22","副 "&amp;勤務分配!$B$3&amp;"(12-22)",IF(勤務分配!$E$3="08-16","副 "&amp;勤務分配!$B$3&amp;"(08-16)",IF(勤務分配!$E$3="08-20","副 "&amp;勤務分配!$B$3&amp;"(08-18)",""))))</f>
        <v/>
      </c>
      <c r="G29" s="966"/>
      <c r="H29" s="966"/>
      <c r="I29" s="966"/>
      <c r="J29" s="966"/>
      <c r="K29" s="967"/>
      <c r="L29" s="719"/>
      <c r="M29" s="907"/>
      <c r="N29" s="907"/>
      <c r="O29" s="907"/>
      <c r="P29" s="907"/>
      <c r="Q29" s="908"/>
      <c r="R29" s="719"/>
      <c r="S29" s="907"/>
      <c r="T29" s="907"/>
      <c r="U29" s="907"/>
      <c r="V29" s="907"/>
      <c r="W29" s="908"/>
      <c r="X29" s="719"/>
      <c r="Y29" s="907"/>
      <c r="Z29" s="907"/>
      <c r="AA29" s="907"/>
      <c r="AB29" s="907"/>
      <c r="AC29" s="721"/>
    </row>
    <row r="30" spans="1:29" ht="59.1" customHeight="1" thickBot="1">
      <c r="A30" s="662"/>
      <c r="B30" s="663"/>
      <c r="C30" s="663"/>
      <c r="D30" s="663"/>
      <c r="E30" s="909"/>
      <c r="F30" s="968"/>
      <c r="G30" s="969"/>
      <c r="H30" s="969"/>
      <c r="I30" s="969"/>
      <c r="J30" s="969"/>
      <c r="K30" s="970"/>
      <c r="L30" s="911"/>
      <c r="M30" s="663"/>
      <c r="N30" s="663"/>
      <c r="O30" s="663"/>
      <c r="P30" s="663"/>
      <c r="Q30" s="909"/>
      <c r="R30" s="911"/>
      <c r="S30" s="663"/>
      <c r="T30" s="663"/>
      <c r="U30" s="663"/>
      <c r="V30" s="663"/>
      <c r="W30" s="909"/>
      <c r="X30" s="911"/>
      <c r="Y30" s="663"/>
      <c r="Z30" s="663"/>
      <c r="AA30" s="663"/>
      <c r="AB30" s="663"/>
      <c r="AC30" s="914"/>
    </row>
    <row r="31" spans="1:29" ht="59.1" customHeight="1">
      <c r="A31" s="930" t="s">
        <v>89</v>
      </c>
      <c r="B31" s="717"/>
      <c r="C31" s="717"/>
      <c r="D31" s="717"/>
      <c r="E31" s="918"/>
      <c r="F31" s="973">
        <v>0</v>
      </c>
      <c r="G31" s="935"/>
      <c r="H31" s="935"/>
      <c r="I31" s="935"/>
      <c r="J31" s="935"/>
      <c r="K31" s="936"/>
      <c r="L31" s="931">
        <v>0</v>
      </c>
      <c r="M31" s="932"/>
      <c r="N31" s="932"/>
      <c r="O31" s="932"/>
      <c r="P31" s="932"/>
      <c r="Q31" s="933"/>
      <c r="R31" s="931">
        <v>0</v>
      </c>
      <c r="S31" s="932"/>
      <c r="T31" s="932"/>
      <c r="U31" s="932"/>
      <c r="V31" s="932"/>
      <c r="W31" s="933"/>
      <c r="X31" s="915">
        <f>F31+L31+R31</f>
        <v>0</v>
      </c>
      <c r="Y31" s="717"/>
      <c r="Z31" s="717"/>
      <c r="AA31" s="717"/>
      <c r="AB31" s="717"/>
      <c r="AC31" s="718"/>
    </row>
    <row r="32" spans="1:29" ht="59.1" customHeight="1">
      <c r="A32" s="906"/>
      <c r="B32" s="907"/>
      <c r="C32" s="907"/>
      <c r="D32" s="907"/>
      <c r="E32" s="908"/>
      <c r="F32" s="934"/>
      <c r="G32" s="935"/>
      <c r="H32" s="935"/>
      <c r="I32" s="935"/>
      <c r="J32" s="935"/>
      <c r="K32" s="936"/>
      <c r="L32" s="934"/>
      <c r="M32" s="935"/>
      <c r="N32" s="935"/>
      <c r="O32" s="935"/>
      <c r="P32" s="935"/>
      <c r="Q32" s="936"/>
      <c r="R32" s="934"/>
      <c r="S32" s="935"/>
      <c r="T32" s="935"/>
      <c r="U32" s="935"/>
      <c r="V32" s="935"/>
      <c r="W32" s="936"/>
      <c r="X32" s="719"/>
      <c r="Y32" s="907"/>
      <c r="Z32" s="907"/>
      <c r="AA32" s="907"/>
      <c r="AB32" s="907"/>
      <c r="AC32" s="721"/>
    </row>
    <row r="33" spans="1:29" ht="59.1" customHeight="1">
      <c r="A33" s="906"/>
      <c r="B33" s="907"/>
      <c r="C33" s="907"/>
      <c r="D33" s="907"/>
      <c r="E33" s="908"/>
      <c r="F33" s="934"/>
      <c r="G33" s="935"/>
      <c r="H33" s="935"/>
      <c r="I33" s="935"/>
      <c r="J33" s="935"/>
      <c r="K33" s="936"/>
      <c r="L33" s="934"/>
      <c r="M33" s="935"/>
      <c r="N33" s="935"/>
      <c r="O33" s="935"/>
      <c r="P33" s="935"/>
      <c r="Q33" s="936"/>
      <c r="R33" s="934"/>
      <c r="S33" s="935"/>
      <c r="T33" s="935"/>
      <c r="U33" s="935"/>
      <c r="V33" s="935"/>
      <c r="W33" s="936"/>
      <c r="X33" s="719"/>
      <c r="Y33" s="907"/>
      <c r="Z33" s="907"/>
      <c r="AA33" s="907"/>
      <c r="AB33" s="907"/>
      <c r="AC33" s="721"/>
    </row>
    <row r="34" spans="1:29" ht="59.1" customHeight="1">
      <c r="A34" s="662"/>
      <c r="B34" s="663"/>
      <c r="C34" s="663"/>
      <c r="D34" s="663"/>
      <c r="E34" s="909"/>
      <c r="F34" s="937"/>
      <c r="G34" s="938"/>
      <c r="H34" s="938"/>
      <c r="I34" s="938"/>
      <c r="J34" s="938"/>
      <c r="K34" s="939"/>
      <c r="L34" s="937"/>
      <c r="M34" s="938"/>
      <c r="N34" s="938"/>
      <c r="O34" s="938"/>
      <c r="P34" s="938"/>
      <c r="Q34" s="939"/>
      <c r="R34" s="937"/>
      <c r="S34" s="938"/>
      <c r="T34" s="938"/>
      <c r="U34" s="938"/>
      <c r="V34" s="938"/>
      <c r="W34" s="939"/>
      <c r="X34" s="911"/>
      <c r="Y34" s="663"/>
      <c r="Z34" s="663"/>
      <c r="AA34" s="663"/>
      <c r="AB34" s="663"/>
      <c r="AC34" s="914"/>
    </row>
    <row r="35" spans="1:29" ht="59.1" customHeight="1">
      <c r="A35" s="922" t="s">
        <v>90</v>
      </c>
      <c r="B35" s="717"/>
      <c r="C35" s="918"/>
      <c r="D35" s="917" t="s">
        <v>84</v>
      </c>
      <c r="E35" s="918"/>
      <c r="F35" s="956">
        <f>勤務分配表!E49+勤務分配表!J49+勤務分配表!O49+勤務分配表!T49+勤務分配表!Y49+勤務分配表!AD49-F31</f>
        <v>1</v>
      </c>
      <c r="G35" s="717"/>
      <c r="H35" s="717"/>
      <c r="I35" s="717"/>
      <c r="J35" s="717"/>
      <c r="K35" s="918"/>
      <c r="L35" s="956">
        <f>勤務分配表!AI49-L31</f>
        <v>0</v>
      </c>
      <c r="M35" s="717"/>
      <c r="N35" s="717"/>
      <c r="O35" s="717"/>
      <c r="P35" s="717"/>
      <c r="Q35" s="918"/>
      <c r="R35" s="920"/>
      <c r="S35" s="925"/>
      <c r="T35" s="925"/>
      <c r="U35" s="925"/>
      <c r="V35" s="925"/>
      <c r="W35" s="926"/>
      <c r="X35" s="957">
        <f>F35+L35</f>
        <v>1</v>
      </c>
      <c r="Y35" s="717"/>
      <c r="Z35" s="717"/>
      <c r="AA35" s="717"/>
      <c r="AB35" s="717"/>
      <c r="AC35" s="718"/>
    </row>
    <row r="36" spans="1:29" ht="59.1" customHeight="1">
      <c r="A36" s="906"/>
      <c r="B36" s="907"/>
      <c r="C36" s="908"/>
      <c r="D36" s="911"/>
      <c r="E36" s="909"/>
      <c r="F36" s="911"/>
      <c r="G36" s="663"/>
      <c r="H36" s="663"/>
      <c r="I36" s="663"/>
      <c r="J36" s="663"/>
      <c r="K36" s="909"/>
      <c r="L36" s="911"/>
      <c r="M36" s="663"/>
      <c r="N36" s="663"/>
      <c r="O36" s="663"/>
      <c r="P36" s="663"/>
      <c r="Q36" s="909"/>
      <c r="R36" s="927"/>
      <c r="S36" s="928"/>
      <c r="T36" s="928"/>
      <c r="U36" s="928"/>
      <c r="V36" s="928"/>
      <c r="W36" s="929"/>
      <c r="X36" s="911"/>
      <c r="Y36" s="663"/>
      <c r="Z36" s="663"/>
      <c r="AA36" s="663"/>
      <c r="AB36" s="663"/>
      <c r="AC36" s="914"/>
    </row>
    <row r="37" spans="1:29" ht="59.1" customHeight="1">
      <c r="A37" s="906"/>
      <c r="B37" s="907"/>
      <c r="C37" s="908"/>
      <c r="D37" s="917" t="s">
        <v>65</v>
      </c>
      <c r="E37" s="918"/>
      <c r="F37" s="920"/>
      <c r="G37" s="925"/>
      <c r="H37" s="925"/>
      <c r="I37" s="925"/>
      <c r="J37" s="925"/>
      <c r="K37" s="926"/>
      <c r="L37" s="920"/>
      <c r="M37" s="925"/>
      <c r="N37" s="925"/>
      <c r="O37" s="925"/>
      <c r="P37" s="925"/>
      <c r="Q37" s="926"/>
      <c r="R37" s="956">
        <f>勤務分配表!AN49-R31</f>
        <v>22</v>
      </c>
      <c r="S37" s="717"/>
      <c r="T37" s="717"/>
      <c r="U37" s="717"/>
      <c r="V37" s="717"/>
      <c r="W37" s="918"/>
      <c r="X37" s="978">
        <f>R37</f>
        <v>22</v>
      </c>
      <c r="Y37" s="907"/>
      <c r="Z37" s="907"/>
      <c r="AA37" s="907"/>
      <c r="AB37" s="907"/>
      <c r="AC37" s="721"/>
    </row>
    <row r="38" spans="1:29" ht="59.1" customHeight="1">
      <c r="A38" s="662"/>
      <c r="B38" s="663"/>
      <c r="C38" s="909"/>
      <c r="D38" s="911"/>
      <c r="E38" s="909"/>
      <c r="F38" s="927"/>
      <c r="G38" s="928"/>
      <c r="H38" s="928"/>
      <c r="I38" s="928"/>
      <c r="J38" s="928"/>
      <c r="K38" s="929"/>
      <c r="L38" s="927"/>
      <c r="M38" s="928"/>
      <c r="N38" s="928"/>
      <c r="O38" s="928"/>
      <c r="P38" s="928"/>
      <c r="Q38" s="929"/>
      <c r="R38" s="911"/>
      <c r="S38" s="663"/>
      <c r="T38" s="663"/>
      <c r="U38" s="663"/>
      <c r="V38" s="663"/>
      <c r="W38" s="909"/>
      <c r="X38" s="911"/>
      <c r="Y38" s="663"/>
      <c r="Z38" s="663"/>
      <c r="AA38" s="663"/>
      <c r="AB38" s="663"/>
      <c r="AC38" s="914"/>
    </row>
    <row r="39" spans="1:29" ht="59.1" customHeight="1" thickBot="1">
      <c r="A39" s="971" t="s">
        <v>88</v>
      </c>
      <c r="B39" s="717"/>
      <c r="C39" s="717"/>
      <c r="D39" s="717"/>
      <c r="E39" s="918"/>
      <c r="F39" s="974" t="str">
        <f>IF(勤務分配!$E$2="22-08","正 "&amp; 勤務分配!$B$2 &amp;"(22-08)",IF(勤務分配!$E$2="20-08","正 "&amp; 勤務分配!$B$2 &amp;"(20-08)",IF(勤務分配!$E$2="16-24","正 "&amp; 勤務分配!$B$2 &amp;"(16-24)",IF(勤務分配!$E$2="24-08","正 "&amp; 勤務分配!$B$2 &amp;"(24-08)",""))))</f>
        <v/>
      </c>
      <c r="G39" s="907"/>
      <c r="H39" s="907"/>
      <c r="I39" s="907"/>
      <c r="J39" s="907"/>
      <c r="K39" s="908"/>
      <c r="L39" s="976"/>
      <c r="M39" s="717"/>
      <c r="N39" s="717"/>
      <c r="O39" s="717"/>
      <c r="P39" s="717"/>
      <c r="Q39" s="918"/>
      <c r="R39" s="976"/>
      <c r="S39" s="717"/>
      <c r="T39" s="717"/>
      <c r="U39" s="717"/>
      <c r="V39" s="717"/>
      <c r="W39" s="918"/>
      <c r="X39" s="977"/>
      <c r="Y39" s="717"/>
      <c r="Z39" s="717"/>
      <c r="AA39" s="717"/>
      <c r="AB39" s="717"/>
      <c r="AC39" s="718"/>
    </row>
    <row r="40" spans="1:29" ht="59.1" customHeight="1" thickBot="1">
      <c r="A40" s="906"/>
      <c r="B40" s="907"/>
      <c r="C40" s="907"/>
      <c r="D40" s="907"/>
      <c r="E40" s="908"/>
      <c r="F40" s="975"/>
      <c r="G40" s="900"/>
      <c r="H40" s="900"/>
      <c r="I40" s="900"/>
      <c r="J40" s="900"/>
      <c r="K40" s="972"/>
      <c r="L40" s="719"/>
      <c r="M40" s="907"/>
      <c r="N40" s="907"/>
      <c r="O40" s="907"/>
      <c r="P40" s="907"/>
      <c r="Q40" s="908"/>
      <c r="R40" s="719"/>
      <c r="S40" s="907"/>
      <c r="T40" s="907"/>
      <c r="U40" s="907"/>
      <c r="V40" s="907"/>
      <c r="W40" s="908"/>
      <c r="X40" s="719"/>
      <c r="Y40" s="907"/>
      <c r="Z40" s="907"/>
      <c r="AA40" s="907"/>
      <c r="AB40" s="907"/>
      <c r="AC40" s="721"/>
    </row>
    <row r="41" spans="1:29" ht="59.1" customHeight="1">
      <c r="A41" s="906"/>
      <c r="B41" s="907"/>
      <c r="C41" s="907"/>
      <c r="D41" s="907"/>
      <c r="E41" s="908"/>
      <c r="F41" s="959" t="str">
        <f>IF(勤務分配!$E$3="22-08","副 "&amp; 勤務分配!$B$3 &amp;"(22-08)",IF(勤務分配!$E$3="20-08","副 "&amp; 勤務分配!$B$3 &amp;"(20-08)",IF(勤務分配!$E$3="16-24","副 "&amp; 勤務分配!$B$3 &amp;"(16-24)",IF(勤務分配!$E$3="24-08","副 "&amp; 勤務分配!$B$3 &amp;"(24-08)",""))))</f>
        <v/>
      </c>
      <c r="G41" s="960"/>
      <c r="H41" s="960"/>
      <c r="I41" s="960"/>
      <c r="J41" s="960"/>
      <c r="K41" s="961"/>
      <c r="L41" s="719"/>
      <c r="M41" s="907"/>
      <c r="N41" s="907"/>
      <c r="O41" s="907"/>
      <c r="P41" s="907"/>
      <c r="Q41" s="908"/>
      <c r="R41" s="719"/>
      <c r="S41" s="907"/>
      <c r="T41" s="907"/>
      <c r="U41" s="907"/>
      <c r="V41" s="907"/>
      <c r="W41" s="908"/>
      <c r="X41" s="719"/>
      <c r="Y41" s="907"/>
      <c r="Z41" s="907"/>
      <c r="AA41" s="907"/>
      <c r="AB41" s="907"/>
      <c r="AC41" s="721"/>
    </row>
    <row r="42" spans="1:29" ht="59.1" customHeight="1" thickBot="1">
      <c r="A42" s="899"/>
      <c r="B42" s="900"/>
      <c r="C42" s="900"/>
      <c r="D42" s="900"/>
      <c r="E42" s="972"/>
      <c r="F42" s="962"/>
      <c r="G42" s="963"/>
      <c r="H42" s="963"/>
      <c r="I42" s="963"/>
      <c r="J42" s="963"/>
      <c r="K42" s="964"/>
      <c r="L42" s="975"/>
      <c r="M42" s="900"/>
      <c r="N42" s="900"/>
      <c r="O42" s="900"/>
      <c r="P42" s="900"/>
      <c r="Q42" s="972"/>
      <c r="R42" s="975"/>
      <c r="S42" s="900"/>
      <c r="T42" s="900"/>
      <c r="U42" s="900"/>
      <c r="V42" s="900"/>
      <c r="W42" s="972"/>
      <c r="X42" s="975"/>
      <c r="Y42" s="900"/>
      <c r="Z42" s="900"/>
      <c r="AA42" s="900"/>
      <c r="AB42" s="900"/>
      <c r="AC42" s="903"/>
    </row>
  </sheetData>
  <mergeCells count="73">
    <mergeCell ref="X39:AC42"/>
    <mergeCell ref="R31:W34"/>
    <mergeCell ref="X31:AC34"/>
    <mergeCell ref="X35:AC36"/>
    <mergeCell ref="X37:AC38"/>
    <mergeCell ref="L39:Q42"/>
    <mergeCell ref="L35:Q36"/>
    <mergeCell ref="L37:Q38"/>
    <mergeCell ref="R37:W38"/>
    <mergeCell ref="L27:Q30"/>
    <mergeCell ref="R39:W42"/>
    <mergeCell ref="L31:Q34"/>
    <mergeCell ref="F41:K42"/>
    <mergeCell ref="A23:C26"/>
    <mergeCell ref="D23:E24"/>
    <mergeCell ref="F23:K24"/>
    <mergeCell ref="L23:Q24"/>
    <mergeCell ref="F27:K28"/>
    <mergeCell ref="A39:E42"/>
    <mergeCell ref="F29:K30"/>
    <mergeCell ref="A31:E34"/>
    <mergeCell ref="F31:K34"/>
    <mergeCell ref="A27:E30"/>
    <mergeCell ref="D25:E26"/>
    <mergeCell ref="F39:K40"/>
    <mergeCell ref="A35:C38"/>
    <mergeCell ref="D35:E36"/>
    <mergeCell ref="F35:K36"/>
    <mergeCell ref="D37:E38"/>
    <mergeCell ref="F37:K38"/>
    <mergeCell ref="R23:W24"/>
    <mergeCell ref="X23:AC24"/>
    <mergeCell ref="F25:K26"/>
    <mergeCell ref="L25:Q26"/>
    <mergeCell ref="R25:W26"/>
    <mergeCell ref="X25:AC26"/>
    <mergeCell ref="R27:W30"/>
    <mergeCell ref="X27:AC30"/>
    <mergeCell ref="R35:W36"/>
    <mergeCell ref="A15:E18"/>
    <mergeCell ref="F15:K18"/>
    <mergeCell ref="L15:Q18"/>
    <mergeCell ref="R15:W18"/>
    <mergeCell ref="X15:AC18"/>
    <mergeCell ref="A19:E22"/>
    <mergeCell ref="F19:K22"/>
    <mergeCell ref="L19:Q22"/>
    <mergeCell ref="R19:W22"/>
    <mergeCell ref="X19:AC22"/>
    <mergeCell ref="X11:AC14"/>
    <mergeCell ref="X7:AC8"/>
    <mergeCell ref="D9:E10"/>
    <mergeCell ref="F9:K10"/>
    <mergeCell ref="L9:Q10"/>
    <mergeCell ref="R9:W10"/>
    <mergeCell ref="X9:AC10"/>
    <mergeCell ref="A11:E14"/>
    <mergeCell ref="F11:K14"/>
    <mergeCell ref="L11:Q14"/>
    <mergeCell ref="R11:W14"/>
    <mergeCell ref="A7:C10"/>
    <mergeCell ref="D7:E8"/>
    <mergeCell ref="F7:K8"/>
    <mergeCell ref="L7:Q8"/>
    <mergeCell ref="R7:W8"/>
    <mergeCell ref="A1:M2"/>
    <mergeCell ref="N1:T2"/>
    <mergeCell ref="U1:AC2"/>
    <mergeCell ref="A3:E6"/>
    <mergeCell ref="F3:K6"/>
    <mergeCell ref="L3:Q6"/>
    <mergeCell ref="R3:W6"/>
    <mergeCell ref="X3:AC6"/>
  </mergeCells>
  <phoneticPr fontId="2" type="noConversion"/>
  <pageMargins left="0.9055118110236221" right="0.70866141732283472" top="0.74803149606299213" bottom="0.74803149606299213" header="0.31496062992125978" footer="0.31496062992125978"/>
  <pageSetup paperSize="9" scale="30" orientation="portrait" r:id="rId1"/>
  <rowBreaks count="1" manualBreakCount="1">
    <brk id="42" max="28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13"/>
  <sheetViews>
    <sheetView workbookViewId="0">
      <selection activeCell="B16" sqref="B16"/>
    </sheetView>
  </sheetViews>
  <sheetFormatPr defaultRowHeight="16.5"/>
  <cols>
    <col min="1" max="2" width="50.625" style="47" customWidth="1"/>
    <col min="3" max="3" width="50.625" style="46" customWidth="1"/>
    <col min="4" max="4" width="50.625" style="47" customWidth="1"/>
    <col min="5" max="5" width="25.875" customWidth="1"/>
  </cols>
  <sheetData>
    <row r="1" spans="1:4" ht="27.75">
      <c r="A1" s="45" t="s">
        <v>155</v>
      </c>
      <c r="B1" s="45"/>
    </row>
    <row r="2" spans="1:4" ht="42">
      <c r="A2" s="52" t="s">
        <v>180</v>
      </c>
      <c r="B2" s="52"/>
    </row>
    <row r="3" spans="1:4" ht="27.75">
      <c r="A3" s="45"/>
      <c r="B3" s="45"/>
    </row>
    <row r="4" spans="1:4" ht="25.5">
      <c r="A4" s="48" t="s">
        <v>176</v>
      </c>
      <c r="B4" s="48" t="s">
        <v>191</v>
      </c>
      <c r="C4" s="48" t="s">
        <v>177</v>
      </c>
      <c r="D4" s="48" t="s">
        <v>182</v>
      </c>
    </row>
    <row r="5" spans="1:4" s="44" customFormat="1" ht="63">
      <c r="A5" s="51" t="s">
        <v>167</v>
      </c>
      <c r="B5" s="51" t="s">
        <v>192</v>
      </c>
      <c r="C5" s="51" t="s">
        <v>169</v>
      </c>
      <c r="D5" s="51" t="s">
        <v>156</v>
      </c>
    </row>
    <row r="6" spans="1:4" s="44" customFormat="1" ht="63">
      <c r="A6" s="51" t="s">
        <v>168</v>
      </c>
      <c r="B6" s="51" t="s">
        <v>193</v>
      </c>
      <c r="C6" s="43"/>
      <c r="D6" s="51" t="s">
        <v>183</v>
      </c>
    </row>
    <row r="7" spans="1:4" s="44" customFormat="1" ht="105">
      <c r="A7" s="51" t="s">
        <v>194</v>
      </c>
      <c r="B7" s="51"/>
      <c r="C7" s="43"/>
      <c r="D7" s="51" t="s">
        <v>171</v>
      </c>
    </row>
    <row r="8" spans="1:4" s="44" customFormat="1" ht="42">
      <c r="A8" s="51" t="s">
        <v>157</v>
      </c>
      <c r="B8" s="51"/>
      <c r="C8" s="43"/>
      <c r="D8" s="51" t="s">
        <v>170</v>
      </c>
    </row>
    <row r="9" spans="1:4" s="44" customFormat="1" ht="42">
      <c r="C9" s="43"/>
      <c r="D9" s="51" t="s">
        <v>172</v>
      </c>
    </row>
    <row r="10" spans="1:4" s="44" customFormat="1" ht="42">
      <c r="A10" s="52" t="s">
        <v>181</v>
      </c>
      <c r="B10" s="52"/>
      <c r="C10" s="43"/>
      <c r="D10" s="51" t="s">
        <v>158</v>
      </c>
    </row>
    <row r="11" spans="1:4" s="44" customFormat="1" ht="42">
      <c r="A11" s="43"/>
      <c r="B11" s="43"/>
      <c r="C11" s="53"/>
      <c r="D11" s="51" t="s">
        <v>159</v>
      </c>
    </row>
    <row r="12" spans="1:4" s="44" customFormat="1" ht="25.5">
      <c r="C12" s="50"/>
      <c r="D12" s="49"/>
    </row>
    <row r="13" spans="1:4" ht="72.75" customHeight="1"/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/>
  <dimension ref="A1:AA72"/>
  <sheetViews>
    <sheetView workbookViewId="0">
      <pane ySplit="1" topLeftCell="A53" activePane="bottomLeft" state="frozen"/>
      <selection pane="bottomLeft" activeCell="G63" sqref="G63"/>
    </sheetView>
  </sheetViews>
  <sheetFormatPr defaultColWidth="9" defaultRowHeight="16.5"/>
  <cols>
    <col min="1" max="1" width="18.75" style="54" customWidth="1"/>
    <col min="2" max="2" width="10.625" style="55" customWidth="1"/>
    <col min="3" max="5" width="8.875" style="55" customWidth="1"/>
    <col min="6" max="7" width="9" style="55"/>
    <col min="8" max="19" width="10.625" style="55" customWidth="1"/>
    <col min="20" max="21" width="9" style="55"/>
    <col min="22" max="22" width="5.625" style="55" customWidth="1"/>
    <col min="23" max="23" width="5.5" style="55" customWidth="1"/>
    <col min="24" max="24" width="5.25" style="55" customWidth="1"/>
    <col min="25" max="25" width="5" style="55" customWidth="1"/>
    <col min="26" max="26" width="5.5" style="55" customWidth="1"/>
    <col min="27" max="28" width="5.75" style="55" customWidth="1"/>
    <col min="29" max="29" width="5.625" style="55" customWidth="1"/>
    <col min="30" max="16384" width="9" style="55"/>
  </cols>
  <sheetData>
    <row r="1" spans="1:27">
      <c r="A1" s="54" t="s">
        <v>115</v>
      </c>
      <c r="B1" s="54" t="s">
        <v>138</v>
      </c>
      <c r="C1" s="54" t="s">
        <v>153</v>
      </c>
      <c r="D1" s="54" t="s">
        <v>152</v>
      </c>
      <c r="E1" s="54" t="s">
        <v>173</v>
      </c>
      <c r="F1" s="54" t="s">
        <v>149</v>
      </c>
      <c r="G1" s="54" t="s">
        <v>161</v>
      </c>
      <c r="H1" s="54" t="s">
        <v>120</v>
      </c>
      <c r="I1" s="54" t="s">
        <v>121</v>
      </c>
      <c r="J1" s="54" t="s">
        <v>122</v>
      </c>
      <c r="K1" s="54" t="s">
        <v>123</v>
      </c>
      <c r="L1" s="54" t="s">
        <v>124</v>
      </c>
      <c r="M1" s="54" t="s">
        <v>125</v>
      </c>
      <c r="N1" s="54" t="s">
        <v>126</v>
      </c>
      <c r="O1" s="54" t="s">
        <v>127</v>
      </c>
      <c r="P1" s="54" t="s">
        <v>128</v>
      </c>
      <c r="Q1" s="54" t="s">
        <v>129</v>
      </c>
      <c r="R1" s="54" t="s">
        <v>130</v>
      </c>
      <c r="S1" s="54" t="s">
        <v>131</v>
      </c>
    </row>
    <row r="2" spans="1:27">
      <c r="A2" s="54" t="s">
        <v>307</v>
      </c>
      <c r="C2" s="54" t="s">
        <v>308</v>
      </c>
      <c r="D2" s="54"/>
      <c r="E2" s="54"/>
      <c r="H2" s="54" t="s">
        <v>307</v>
      </c>
      <c r="I2" s="54" t="s">
        <v>307</v>
      </c>
      <c r="J2" s="54" t="s">
        <v>307</v>
      </c>
      <c r="K2" s="54" t="s">
        <v>307</v>
      </c>
      <c r="L2" s="54" t="s">
        <v>307</v>
      </c>
      <c r="M2" s="54" t="s">
        <v>307</v>
      </c>
      <c r="N2" s="54" t="s">
        <v>307</v>
      </c>
      <c r="O2" s="54" t="s">
        <v>307</v>
      </c>
      <c r="P2" s="54" t="s">
        <v>307</v>
      </c>
      <c r="Q2" s="54" t="s">
        <v>307</v>
      </c>
      <c r="R2" s="54" t="s">
        <v>307</v>
      </c>
      <c r="S2" s="54" t="s">
        <v>307</v>
      </c>
      <c r="Y2" s="54"/>
      <c r="AA2" s="163"/>
    </row>
    <row r="3" spans="1:27">
      <c r="A3" s="54" t="s">
        <v>309</v>
      </c>
      <c r="B3" s="55">
        <v>18</v>
      </c>
      <c r="C3" s="55" t="s">
        <v>202</v>
      </c>
      <c r="D3" s="55" t="s">
        <v>203</v>
      </c>
      <c r="E3" s="55" t="s">
        <v>204</v>
      </c>
      <c r="H3" s="55" t="s">
        <v>25</v>
      </c>
      <c r="I3" s="55" t="s">
        <v>25</v>
      </c>
      <c r="J3" s="55" t="s">
        <v>205</v>
      </c>
      <c r="K3" s="55" t="s">
        <v>205</v>
      </c>
      <c r="L3" s="55" t="s">
        <v>205</v>
      </c>
    </row>
    <row r="4" spans="1:27">
      <c r="A4" s="54" t="s">
        <v>310</v>
      </c>
      <c r="B4" s="55">
        <v>18</v>
      </c>
      <c r="C4" s="55" t="s">
        <v>202</v>
      </c>
      <c r="D4" s="55" t="s">
        <v>203</v>
      </c>
      <c r="E4" s="55" t="s">
        <v>204</v>
      </c>
      <c r="G4" s="55" t="s">
        <v>311</v>
      </c>
      <c r="H4" s="55" t="s">
        <v>25</v>
      </c>
      <c r="I4" s="55" t="s">
        <v>25</v>
      </c>
      <c r="J4" s="55" t="s">
        <v>205</v>
      </c>
      <c r="K4" s="55" t="s">
        <v>205</v>
      </c>
      <c r="L4" s="55" t="s">
        <v>205</v>
      </c>
    </row>
    <row r="5" spans="1:27">
      <c r="A5" s="54" t="s">
        <v>312</v>
      </c>
      <c r="B5" s="55">
        <v>20</v>
      </c>
      <c r="C5" s="55" t="s">
        <v>202</v>
      </c>
      <c r="D5" s="55" t="s">
        <v>204</v>
      </c>
      <c r="E5" s="55" t="s">
        <v>204</v>
      </c>
      <c r="G5" s="55" t="s">
        <v>311</v>
      </c>
      <c r="H5" s="55" t="s">
        <v>25</v>
      </c>
      <c r="I5" s="55" t="s">
        <v>25</v>
      </c>
      <c r="J5" s="55" t="s">
        <v>205</v>
      </c>
      <c r="K5" s="55" t="s">
        <v>205</v>
      </c>
      <c r="L5" s="55" t="s">
        <v>205</v>
      </c>
      <c r="M5" s="55" t="s">
        <v>205</v>
      </c>
    </row>
    <row r="6" spans="1:27">
      <c r="A6" s="54" t="s">
        <v>313</v>
      </c>
      <c r="B6" s="55">
        <v>22</v>
      </c>
      <c r="C6" s="55" t="s">
        <v>202</v>
      </c>
      <c r="D6" s="55" t="s">
        <v>203</v>
      </c>
      <c r="E6" s="55" t="s">
        <v>204</v>
      </c>
      <c r="G6" s="55" t="s">
        <v>314</v>
      </c>
      <c r="J6" s="55" t="s">
        <v>25</v>
      </c>
      <c r="K6" s="55" t="s">
        <v>205</v>
      </c>
      <c r="L6" s="55" t="s">
        <v>205</v>
      </c>
      <c r="M6" s="55" t="s">
        <v>205</v>
      </c>
      <c r="N6" s="55" t="s">
        <v>205</v>
      </c>
    </row>
    <row r="7" spans="1:27">
      <c r="A7" s="54" t="s">
        <v>315</v>
      </c>
      <c r="B7" s="55">
        <v>22</v>
      </c>
      <c r="C7" s="55" t="s">
        <v>202</v>
      </c>
      <c r="D7" s="55" t="s">
        <v>204</v>
      </c>
      <c r="E7" s="55" t="s">
        <v>204</v>
      </c>
      <c r="G7" s="55" t="s">
        <v>314</v>
      </c>
      <c r="J7" s="55" t="s">
        <v>25</v>
      </c>
      <c r="K7" s="55" t="s">
        <v>205</v>
      </c>
      <c r="L7" s="55" t="s">
        <v>205</v>
      </c>
      <c r="M7" s="55" t="s">
        <v>205</v>
      </c>
      <c r="N7" s="55" t="s">
        <v>205</v>
      </c>
    </row>
    <row r="8" spans="1:27">
      <c r="A8" s="54" t="s">
        <v>316</v>
      </c>
      <c r="D8" s="55" t="s">
        <v>203</v>
      </c>
      <c r="F8" s="55" t="s">
        <v>204</v>
      </c>
      <c r="G8" s="55" t="s">
        <v>317</v>
      </c>
      <c r="O8" s="55" t="s">
        <v>205</v>
      </c>
      <c r="P8" s="55" t="s">
        <v>205</v>
      </c>
      <c r="Q8" s="55" t="s">
        <v>205</v>
      </c>
      <c r="R8" s="55" t="s">
        <v>205</v>
      </c>
      <c r="S8" s="55" t="s">
        <v>25</v>
      </c>
    </row>
    <row r="9" spans="1:27">
      <c r="A9" s="54" t="s">
        <v>318</v>
      </c>
      <c r="C9" s="54"/>
      <c r="D9" s="54" t="s">
        <v>204</v>
      </c>
      <c r="E9" s="54"/>
      <c r="F9" s="55" t="s">
        <v>204</v>
      </c>
      <c r="G9" s="54" t="s">
        <v>317</v>
      </c>
      <c r="L9" s="54"/>
      <c r="M9" s="54"/>
      <c r="N9" s="54" t="s">
        <v>25</v>
      </c>
      <c r="O9" s="54" t="s">
        <v>205</v>
      </c>
      <c r="P9" s="54" t="s">
        <v>205</v>
      </c>
      <c r="Q9" s="54" t="s">
        <v>205</v>
      </c>
      <c r="R9" s="54" t="s">
        <v>205</v>
      </c>
      <c r="S9" s="54" t="s">
        <v>25</v>
      </c>
      <c r="Y9" s="54"/>
    </row>
    <row r="10" spans="1:27">
      <c r="A10" s="54" t="s">
        <v>319</v>
      </c>
      <c r="D10" s="55" t="s">
        <v>204</v>
      </c>
      <c r="F10" s="55" t="s">
        <v>204</v>
      </c>
      <c r="N10" s="55" t="s">
        <v>25</v>
      </c>
      <c r="O10" s="55" t="s">
        <v>205</v>
      </c>
      <c r="P10" s="55" t="s">
        <v>205</v>
      </c>
      <c r="Q10" s="55" t="s">
        <v>205</v>
      </c>
      <c r="R10" s="55" t="s">
        <v>205</v>
      </c>
      <c r="S10" s="55" t="s">
        <v>25</v>
      </c>
    </row>
    <row r="11" spans="1:27">
      <c r="A11" s="54" t="s">
        <v>320</v>
      </c>
      <c r="D11" s="55" t="s">
        <v>204</v>
      </c>
      <c r="F11" s="55" t="s">
        <v>204</v>
      </c>
      <c r="N11" s="55" t="s">
        <v>215</v>
      </c>
      <c r="O11" s="55" t="s">
        <v>205</v>
      </c>
      <c r="P11" s="55" t="s">
        <v>205</v>
      </c>
      <c r="Q11" s="55" t="s">
        <v>205</v>
      </c>
      <c r="R11" s="55" t="s">
        <v>205</v>
      </c>
      <c r="S11" s="55" t="s">
        <v>25</v>
      </c>
    </row>
    <row r="12" spans="1:27">
      <c r="A12" s="54" t="s">
        <v>321</v>
      </c>
      <c r="D12" s="55" t="s">
        <v>204</v>
      </c>
      <c r="F12" s="55" t="s">
        <v>204</v>
      </c>
      <c r="N12" s="55" t="s">
        <v>25</v>
      </c>
      <c r="O12" s="55" t="s">
        <v>205</v>
      </c>
      <c r="P12" s="55" t="s">
        <v>205</v>
      </c>
      <c r="Q12" s="55" t="s">
        <v>205</v>
      </c>
      <c r="R12" s="55" t="s">
        <v>205</v>
      </c>
      <c r="S12" s="55" t="s">
        <v>215</v>
      </c>
    </row>
    <row r="13" spans="1:27">
      <c r="A13" s="54" t="s">
        <v>322</v>
      </c>
      <c r="B13" s="55">
        <v>22</v>
      </c>
      <c r="C13" s="55" t="s">
        <v>202</v>
      </c>
      <c r="D13" s="55" t="s">
        <v>204</v>
      </c>
      <c r="E13" s="55" t="s">
        <v>204</v>
      </c>
      <c r="J13" s="55" t="s">
        <v>25</v>
      </c>
      <c r="K13" s="55" t="s">
        <v>205</v>
      </c>
      <c r="L13" s="55" t="s">
        <v>205</v>
      </c>
      <c r="M13" s="55" t="s">
        <v>205</v>
      </c>
      <c r="N13" s="55" t="s">
        <v>205</v>
      </c>
    </row>
    <row r="14" spans="1:27">
      <c r="A14" s="54" t="s">
        <v>323</v>
      </c>
      <c r="B14" s="55">
        <v>20</v>
      </c>
      <c r="C14" s="55" t="s">
        <v>202</v>
      </c>
      <c r="D14" s="55" t="s">
        <v>204</v>
      </c>
      <c r="E14" s="55" t="s">
        <v>204</v>
      </c>
      <c r="H14" s="55" t="s">
        <v>25</v>
      </c>
      <c r="I14" s="55" t="s">
        <v>25</v>
      </c>
      <c r="J14" s="55" t="s">
        <v>205</v>
      </c>
      <c r="K14" s="55" t="s">
        <v>205</v>
      </c>
      <c r="L14" s="55" t="s">
        <v>205</v>
      </c>
      <c r="M14" s="55" t="s">
        <v>205</v>
      </c>
    </row>
    <row r="15" spans="1:27">
      <c r="A15" s="54" t="s">
        <v>443</v>
      </c>
      <c r="B15" s="55">
        <v>20</v>
      </c>
      <c r="C15" s="55" t="s">
        <v>202</v>
      </c>
      <c r="D15" s="55" t="s">
        <v>204</v>
      </c>
      <c r="E15" s="55" t="s">
        <v>204</v>
      </c>
      <c r="H15" s="55" t="s">
        <v>324</v>
      </c>
      <c r="I15" s="55" t="s">
        <v>324</v>
      </c>
      <c r="J15" s="55" t="s">
        <v>25</v>
      </c>
      <c r="K15" s="55" t="s">
        <v>324</v>
      </c>
      <c r="L15" s="55" t="s">
        <v>324</v>
      </c>
      <c r="M15" s="55" t="s">
        <v>25</v>
      </c>
    </row>
    <row r="16" spans="1:27">
      <c r="A16" s="54" t="s">
        <v>551</v>
      </c>
      <c r="B16" s="55">
        <v>20</v>
      </c>
      <c r="C16" s="55" t="s">
        <v>202</v>
      </c>
      <c r="D16" s="55" t="s">
        <v>203</v>
      </c>
      <c r="H16" s="55" t="s">
        <v>28</v>
      </c>
      <c r="I16" s="55" t="s">
        <v>28</v>
      </c>
      <c r="J16" s="55" t="s">
        <v>28</v>
      </c>
      <c r="K16" s="55" t="s">
        <v>28</v>
      </c>
      <c r="L16" s="55" t="s">
        <v>28</v>
      </c>
      <c r="M16" s="55" t="s">
        <v>28</v>
      </c>
    </row>
    <row r="17" spans="1:27">
      <c r="A17" s="54" t="s">
        <v>550</v>
      </c>
      <c r="D17" s="55" t="s">
        <v>203</v>
      </c>
      <c r="N17" s="55" t="s">
        <v>28</v>
      </c>
      <c r="O17" s="55" t="s">
        <v>28</v>
      </c>
      <c r="P17" s="55" t="s">
        <v>28</v>
      </c>
      <c r="Q17" s="55" t="s">
        <v>28</v>
      </c>
      <c r="R17" s="55" t="s">
        <v>28</v>
      </c>
      <c r="S17" s="55" t="s">
        <v>28</v>
      </c>
    </row>
    <row r="18" spans="1:27">
      <c r="A18" s="54" t="s">
        <v>325</v>
      </c>
      <c r="B18" s="55">
        <v>18</v>
      </c>
      <c r="C18" s="55" t="s">
        <v>202</v>
      </c>
      <c r="D18" s="55" t="s">
        <v>203</v>
      </c>
      <c r="E18" s="55" t="s">
        <v>204</v>
      </c>
      <c r="H18" s="55" t="s">
        <v>326</v>
      </c>
      <c r="I18" s="55" t="s">
        <v>326</v>
      </c>
      <c r="J18" s="55" t="s">
        <v>326</v>
      </c>
      <c r="K18" s="55" t="s">
        <v>326</v>
      </c>
      <c r="L18" s="55" t="s">
        <v>326</v>
      </c>
    </row>
    <row r="19" spans="1:27">
      <c r="A19" s="54" t="s">
        <v>327</v>
      </c>
      <c r="B19" s="55">
        <v>22</v>
      </c>
      <c r="C19" s="54" t="s">
        <v>202</v>
      </c>
      <c r="D19" s="55" t="s">
        <v>203</v>
      </c>
      <c r="E19" s="55" t="s">
        <v>204</v>
      </c>
      <c r="F19" s="54"/>
      <c r="G19" s="54"/>
      <c r="H19" s="54"/>
      <c r="I19" s="54"/>
      <c r="J19" s="55" t="s">
        <v>205</v>
      </c>
      <c r="K19" s="55" t="s">
        <v>205</v>
      </c>
      <c r="L19" s="55" t="s">
        <v>205</v>
      </c>
      <c r="M19" s="55" t="s">
        <v>326</v>
      </c>
      <c r="N19" s="55" t="s">
        <v>326</v>
      </c>
      <c r="O19" s="54"/>
      <c r="P19" s="54"/>
      <c r="Q19" s="54"/>
      <c r="R19" s="54"/>
      <c r="S19" s="54"/>
    </row>
    <row r="20" spans="1:27">
      <c r="A20" s="54" t="s">
        <v>328</v>
      </c>
      <c r="C20" s="54"/>
      <c r="D20" s="55" t="s">
        <v>203</v>
      </c>
      <c r="F20" s="54"/>
      <c r="G20" s="54"/>
      <c r="H20" s="54"/>
      <c r="I20" s="54"/>
      <c r="O20" s="54" t="s">
        <v>326</v>
      </c>
      <c r="P20" s="54" t="s">
        <v>326</v>
      </c>
      <c r="Q20" s="54" t="s">
        <v>326</v>
      </c>
      <c r="R20" s="54" t="s">
        <v>326</v>
      </c>
      <c r="S20" s="54" t="s">
        <v>326</v>
      </c>
    </row>
    <row r="21" spans="1:27">
      <c r="A21" s="54" t="s">
        <v>68</v>
      </c>
      <c r="C21" s="54"/>
      <c r="F21" s="54"/>
      <c r="G21" s="54"/>
      <c r="H21" s="54" t="s">
        <v>68</v>
      </c>
      <c r="I21" s="54" t="s">
        <v>68</v>
      </c>
      <c r="J21" s="55" t="s">
        <v>68</v>
      </c>
      <c r="K21" s="55" t="s">
        <v>68</v>
      </c>
      <c r="L21" s="55" t="s">
        <v>68</v>
      </c>
      <c r="M21" s="55" t="s">
        <v>68</v>
      </c>
      <c r="N21" s="55" t="s">
        <v>68</v>
      </c>
      <c r="O21" s="54" t="s">
        <v>68</v>
      </c>
      <c r="P21" s="54" t="s">
        <v>68</v>
      </c>
      <c r="Q21" s="54" t="s">
        <v>68</v>
      </c>
      <c r="R21" s="54" t="s">
        <v>68</v>
      </c>
      <c r="S21" s="54" t="s">
        <v>68</v>
      </c>
    </row>
    <row r="22" spans="1:27">
      <c r="A22" s="54" t="s">
        <v>69</v>
      </c>
      <c r="C22" s="54"/>
      <c r="F22" s="54"/>
      <c r="G22" s="54"/>
      <c r="H22" s="54" t="s">
        <v>69</v>
      </c>
      <c r="I22" s="54" t="s">
        <v>69</v>
      </c>
      <c r="J22" s="55" t="s">
        <v>69</v>
      </c>
      <c r="K22" s="55" t="s">
        <v>69</v>
      </c>
      <c r="L22" s="55" t="s">
        <v>69</v>
      </c>
      <c r="M22" s="55" t="s">
        <v>69</v>
      </c>
      <c r="N22" s="55" t="s">
        <v>69</v>
      </c>
      <c r="O22" s="54" t="s">
        <v>69</v>
      </c>
      <c r="P22" s="54" t="s">
        <v>69</v>
      </c>
      <c r="Q22" s="54" t="s">
        <v>69</v>
      </c>
      <c r="R22" s="54" t="s">
        <v>69</v>
      </c>
      <c r="S22" s="54" t="s">
        <v>69</v>
      </c>
    </row>
    <row r="23" spans="1:27">
      <c r="A23" s="54" t="s">
        <v>56</v>
      </c>
      <c r="C23" s="54" t="s">
        <v>308</v>
      </c>
      <c r="F23" s="54"/>
      <c r="G23" s="54"/>
      <c r="H23" s="54" t="s">
        <v>56</v>
      </c>
      <c r="I23" s="54" t="s">
        <v>56</v>
      </c>
      <c r="J23" s="55" t="s">
        <v>56</v>
      </c>
      <c r="K23" s="55" t="s">
        <v>56</v>
      </c>
      <c r="L23" s="55" t="s">
        <v>56</v>
      </c>
      <c r="M23" s="55" t="s">
        <v>56</v>
      </c>
      <c r="N23" s="55" t="s">
        <v>56</v>
      </c>
      <c r="O23" s="54" t="s">
        <v>56</v>
      </c>
      <c r="P23" s="54" t="s">
        <v>56</v>
      </c>
      <c r="Q23" s="54" t="s">
        <v>56</v>
      </c>
      <c r="R23" s="54" t="s">
        <v>56</v>
      </c>
      <c r="S23" s="54" t="s">
        <v>56</v>
      </c>
    </row>
    <row r="24" spans="1:27">
      <c r="A24" s="54" t="s">
        <v>57</v>
      </c>
      <c r="C24" s="54" t="s">
        <v>308</v>
      </c>
      <c r="F24" s="54"/>
      <c r="G24" s="54"/>
      <c r="H24" s="54" t="s">
        <v>57</v>
      </c>
      <c r="I24" s="54" t="s">
        <v>57</v>
      </c>
      <c r="J24" s="55" t="s">
        <v>57</v>
      </c>
      <c r="K24" s="55" t="s">
        <v>57</v>
      </c>
      <c r="L24" s="55" t="s">
        <v>57</v>
      </c>
      <c r="M24" s="55" t="s">
        <v>57</v>
      </c>
      <c r="N24" s="55" t="s">
        <v>57</v>
      </c>
      <c r="O24" s="54" t="s">
        <v>57</v>
      </c>
      <c r="P24" s="54" t="s">
        <v>57</v>
      </c>
      <c r="Q24" s="54" t="s">
        <v>57</v>
      </c>
      <c r="R24" s="54" t="s">
        <v>57</v>
      </c>
      <c r="S24" s="54" t="s">
        <v>57</v>
      </c>
    </row>
    <row r="25" spans="1:27">
      <c r="A25" s="54" t="s">
        <v>58</v>
      </c>
      <c r="C25" s="54" t="s">
        <v>308</v>
      </c>
      <c r="F25" s="54"/>
      <c r="G25" s="54"/>
      <c r="H25" s="55" t="s">
        <v>58</v>
      </c>
      <c r="I25" s="55" t="s">
        <v>58</v>
      </c>
      <c r="J25" s="55" t="s">
        <v>58</v>
      </c>
      <c r="K25" s="55" t="s">
        <v>58</v>
      </c>
      <c r="L25" s="55" t="s">
        <v>58</v>
      </c>
      <c r="M25" s="55" t="s">
        <v>58</v>
      </c>
      <c r="N25" s="55" t="s">
        <v>58</v>
      </c>
      <c r="O25" s="54" t="s">
        <v>58</v>
      </c>
      <c r="P25" s="54" t="s">
        <v>58</v>
      </c>
      <c r="Q25" s="54" t="s">
        <v>58</v>
      </c>
      <c r="R25" s="54" t="s">
        <v>58</v>
      </c>
      <c r="S25" s="54" t="s">
        <v>58</v>
      </c>
    </row>
    <row r="26" spans="1:27">
      <c r="A26" s="54" t="s">
        <v>59</v>
      </c>
      <c r="C26" s="54" t="s">
        <v>308</v>
      </c>
      <c r="F26" s="54"/>
      <c r="G26" s="54"/>
      <c r="H26" s="55" t="s">
        <v>59</v>
      </c>
      <c r="I26" s="55" t="s">
        <v>59</v>
      </c>
      <c r="J26" s="55" t="s">
        <v>59</v>
      </c>
      <c r="K26" s="55" t="s">
        <v>59</v>
      </c>
      <c r="L26" s="55" t="s">
        <v>59</v>
      </c>
      <c r="M26" s="55" t="s">
        <v>59</v>
      </c>
      <c r="N26" s="55" t="s">
        <v>59</v>
      </c>
      <c r="O26" s="54" t="s">
        <v>59</v>
      </c>
      <c r="P26" s="54" t="s">
        <v>59</v>
      </c>
      <c r="Q26" s="54" t="s">
        <v>59</v>
      </c>
      <c r="R26" s="54" t="s">
        <v>59</v>
      </c>
      <c r="S26" s="54" t="s">
        <v>59</v>
      </c>
    </row>
    <row r="27" spans="1:27">
      <c r="A27" s="54" t="s">
        <v>60</v>
      </c>
      <c r="C27" s="54" t="s">
        <v>308</v>
      </c>
      <c r="F27" s="54"/>
      <c r="G27" s="54"/>
      <c r="H27" s="55" t="s">
        <v>60</v>
      </c>
      <c r="I27" s="55" t="s">
        <v>60</v>
      </c>
      <c r="J27" s="55" t="s">
        <v>60</v>
      </c>
      <c r="K27" s="55" t="s">
        <v>60</v>
      </c>
      <c r="L27" s="55" t="s">
        <v>60</v>
      </c>
      <c r="M27" s="55" t="s">
        <v>60</v>
      </c>
      <c r="N27" s="55" t="s">
        <v>60</v>
      </c>
      <c r="O27" s="54" t="s">
        <v>60</v>
      </c>
      <c r="P27" s="54" t="s">
        <v>60</v>
      </c>
      <c r="Q27" s="54" t="s">
        <v>60</v>
      </c>
      <c r="R27" s="54" t="s">
        <v>60</v>
      </c>
      <c r="S27" s="54" t="s">
        <v>60</v>
      </c>
    </row>
    <row r="28" spans="1:27">
      <c r="A28" s="54" t="s">
        <v>329</v>
      </c>
      <c r="C28" s="54" t="s">
        <v>308</v>
      </c>
      <c r="F28" s="54"/>
      <c r="G28" s="54"/>
      <c r="H28" s="55" t="s">
        <v>329</v>
      </c>
      <c r="I28" s="55" t="s">
        <v>329</v>
      </c>
      <c r="J28" s="55" t="s">
        <v>329</v>
      </c>
      <c r="K28" s="55" t="s">
        <v>329</v>
      </c>
      <c r="L28" s="55" t="s">
        <v>329</v>
      </c>
      <c r="M28" s="55" t="s">
        <v>329</v>
      </c>
      <c r="N28" s="55" t="s">
        <v>329</v>
      </c>
      <c r="O28" s="54" t="s">
        <v>329</v>
      </c>
      <c r="P28" s="54" t="s">
        <v>329</v>
      </c>
      <c r="Q28" s="54" t="s">
        <v>329</v>
      </c>
      <c r="R28" s="54" t="s">
        <v>329</v>
      </c>
      <c r="S28" s="54" t="s">
        <v>329</v>
      </c>
    </row>
    <row r="29" spans="1:27">
      <c r="A29" s="54" t="s">
        <v>61</v>
      </c>
      <c r="C29" s="54" t="s">
        <v>308</v>
      </c>
      <c r="F29" s="54"/>
      <c r="G29" s="54"/>
      <c r="H29" s="55" t="s">
        <v>61</v>
      </c>
      <c r="I29" s="55" t="s">
        <v>61</v>
      </c>
      <c r="J29" s="55" t="s">
        <v>61</v>
      </c>
      <c r="K29" s="55" t="s">
        <v>61</v>
      </c>
      <c r="L29" s="55" t="s">
        <v>61</v>
      </c>
      <c r="M29" s="55" t="s">
        <v>61</v>
      </c>
      <c r="N29" s="55" t="s">
        <v>61</v>
      </c>
      <c r="O29" s="54" t="s">
        <v>61</v>
      </c>
      <c r="P29" s="54" t="s">
        <v>61</v>
      </c>
      <c r="Q29" s="54" t="s">
        <v>61</v>
      </c>
      <c r="R29" s="54" t="s">
        <v>61</v>
      </c>
      <c r="S29" s="54" t="s">
        <v>61</v>
      </c>
    </row>
    <row r="30" spans="1:27">
      <c r="A30" s="54" t="s">
        <v>330</v>
      </c>
      <c r="B30" s="55">
        <v>16</v>
      </c>
      <c r="C30" s="54" t="s">
        <v>202</v>
      </c>
      <c r="D30" s="55" t="s">
        <v>203</v>
      </c>
      <c r="E30" s="55" t="s">
        <v>204</v>
      </c>
      <c r="F30" s="54"/>
      <c r="G30" s="54"/>
      <c r="H30" s="55" t="s">
        <v>205</v>
      </c>
      <c r="I30" s="55" t="s">
        <v>205</v>
      </c>
      <c r="J30" s="55" t="s">
        <v>205</v>
      </c>
      <c r="K30" s="55" t="s">
        <v>205</v>
      </c>
      <c r="O30" s="54"/>
      <c r="P30" s="54"/>
      <c r="Q30" s="54"/>
      <c r="R30" s="54"/>
      <c r="S30" s="54"/>
    </row>
    <row r="31" spans="1:27">
      <c r="A31" s="54" t="s">
        <v>331</v>
      </c>
      <c r="B31" s="55">
        <v>18</v>
      </c>
      <c r="C31" s="54" t="s">
        <v>202</v>
      </c>
      <c r="D31" s="55" t="s">
        <v>203</v>
      </c>
      <c r="E31" s="55" t="s">
        <v>204</v>
      </c>
      <c r="F31" s="54"/>
      <c r="G31" s="54"/>
      <c r="H31" s="55" t="s">
        <v>25</v>
      </c>
      <c r="I31" s="55" t="s">
        <v>25</v>
      </c>
      <c r="J31" s="55" t="s">
        <v>205</v>
      </c>
      <c r="K31" s="55" t="s">
        <v>205</v>
      </c>
      <c r="L31" s="55" t="s">
        <v>205</v>
      </c>
      <c r="O31" s="54"/>
      <c r="P31" s="54"/>
      <c r="Q31" s="54"/>
      <c r="R31" s="54"/>
      <c r="S31" s="54"/>
    </row>
    <row r="32" spans="1:27">
      <c r="A32" s="54" t="s">
        <v>332</v>
      </c>
      <c r="B32" s="55">
        <v>22</v>
      </c>
      <c r="C32" s="55" t="s">
        <v>202</v>
      </c>
      <c r="D32" s="55" t="s">
        <v>203</v>
      </c>
      <c r="E32" s="55" t="s">
        <v>204</v>
      </c>
      <c r="J32" s="55" t="s">
        <v>25</v>
      </c>
      <c r="K32" s="55" t="s">
        <v>205</v>
      </c>
      <c r="L32" s="55" t="s">
        <v>205</v>
      </c>
      <c r="M32" s="55" t="s">
        <v>205</v>
      </c>
      <c r="N32" s="55" t="s">
        <v>205</v>
      </c>
      <c r="Y32" s="54"/>
      <c r="AA32" s="163"/>
    </row>
    <row r="33" spans="1:27">
      <c r="A33" s="54" t="s">
        <v>333</v>
      </c>
      <c r="B33" s="55">
        <v>24</v>
      </c>
      <c r="C33" s="55" t="s">
        <v>202</v>
      </c>
      <c r="D33" s="55" t="s">
        <v>203</v>
      </c>
      <c r="E33" s="55" t="s">
        <v>204</v>
      </c>
      <c r="L33" s="55" t="s">
        <v>205</v>
      </c>
      <c r="M33" s="55" t="s">
        <v>205</v>
      </c>
      <c r="N33" s="55" t="s">
        <v>205</v>
      </c>
      <c r="O33" s="55" t="s">
        <v>205</v>
      </c>
      <c r="Y33" s="54"/>
      <c r="AA33" s="163"/>
    </row>
    <row r="34" spans="1:27">
      <c r="A34" s="54" t="s">
        <v>334</v>
      </c>
      <c r="D34" s="55" t="s">
        <v>203</v>
      </c>
      <c r="F34" s="55" t="s">
        <v>204</v>
      </c>
      <c r="O34" s="55" t="s">
        <v>205</v>
      </c>
      <c r="P34" s="55" t="s">
        <v>205</v>
      </c>
      <c r="Q34" s="55" t="s">
        <v>205</v>
      </c>
      <c r="R34" s="55" t="s">
        <v>205</v>
      </c>
      <c r="S34" s="55" t="s">
        <v>25</v>
      </c>
    </row>
    <row r="35" spans="1:27">
      <c r="A35" s="54" t="s">
        <v>335</v>
      </c>
      <c r="D35" s="55" t="s">
        <v>203</v>
      </c>
      <c r="F35" s="55" t="s">
        <v>204</v>
      </c>
      <c r="P35" s="55" t="s">
        <v>205</v>
      </c>
      <c r="Q35" s="55" t="s">
        <v>205</v>
      </c>
      <c r="R35" s="55" t="s">
        <v>205</v>
      </c>
      <c r="S35" s="55" t="s">
        <v>205</v>
      </c>
      <c r="Y35" s="54"/>
    </row>
    <row r="36" spans="1:27">
      <c r="A36" s="54" t="s">
        <v>336</v>
      </c>
      <c r="E36" s="55" t="s">
        <v>204</v>
      </c>
      <c r="Y36" s="54"/>
    </row>
    <row r="37" spans="1:27">
      <c r="A37" s="54" t="s">
        <v>337</v>
      </c>
      <c r="F37" s="55" t="s">
        <v>204</v>
      </c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Y37" s="54"/>
      <c r="AA37" s="163"/>
    </row>
    <row r="38" spans="1:27">
      <c r="A38" s="54" t="s">
        <v>324</v>
      </c>
      <c r="B38" s="55">
        <v>18</v>
      </c>
      <c r="C38" s="55" t="s">
        <v>202</v>
      </c>
      <c r="D38" s="55" t="s">
        <v>203</v>
      </c>
      <c r="E38" s="55" t="s">
        <v>204</v>
      </c>
      <c r="H38" s="54" t="s">
        <v>324</v>
      </c>
      <c r="I38" s="54" t="s">
        <v>324</v>
      </c>
      <c r="J38" s="54" t="s">
        <v>25</v>
      </c>
      <c r="K38" s="54" t="s">
        <v>324</v>
      </c>
      <c r="L38" s="54" t="s">
        <v>324</v>
      </c>
      <c r="M38" s="54"/>
      <c r="N38" s="54"/>
      <c r="O38" s="54"/>
      <c r="P38" s="54"/>
      <c r="Q38" s="54"/>
      <c r="R38" s="54"/>
      <c r="S38" s="54"/>
      <c r="Y38" s="54"/>
      <c r="AA38" s="163"/>
    </row>
    <row r="39" spans="1:27">
      <c r="A39" s="54" t="s">
        <v>338</v>
      </c>
      <c r="B39" s="55">
        <v>18</v>
      </c>
      <c r="C39" s="54" t="s">
        <v>202</v>
      </c>
      <c r="D39" s="54" t="s">
        <v>203</v>
      </c>
      <c r="E39" s="54" t="s">
        <v>204</v>
      </c>
      <c r="H39" s="54" t="s">
        <v>205</v>
      </c>
      <c r="I39" s="54" t="s">
        <v>205</v>
      </c>
      <c r="J39" s="54" t="s">
        <v>205</v>
      </c>
      <c r="K39" s="54" t="s">
        <v>205</v>
      </c>
      <c r="L39" s="54" t="s">
        <v>205</v>
      </c>
      <c r="M39" s="54"/>
      <c r="N39" s="54"/>
      <c r="O39" s="54"/>
      <c r="P39" s="54"/>
      <c r="Q39" s="54"/>
      <c r="R39" s="54"/>
      <c r="S39" s="54"/>
      <c r="Y39" s="54"/>
    </row>
    <row r="40" spans="1:27">
      <c r="A40" s="54" t="s">
        <v>339</v>
      </c>
      <c r="B40" s="55">
        <v>20</v>
      </c>
      <c r="C40" s="54" t="s">
        <v>202</v>
      </c>
      <c r="D40" s="54" t="s">
        <v>203</v>
      </c>
      <c r="E40" s="54" t="s">
        <v>204</v>
      </c>
      <c r="H40" s="54" t="s">
        <v>339</v>
      </c>
      <c r="I40" s="54" t="s">
        <v>339</v>
      </c>
      <c r="J40" s="54" t="s">
        <v>25</v>
      </c>
      <c r="K40" s="54" t="s">
        <v>339</v>
      </c>
      <c r="L40" s="54" t="s">
        <v>339</v>
      </c>
      <c r="M40" s="54" t="s">
        <v>25</v>
      </c>
      <c r="N40" s="54"/>
      <c r="O40" s="54"/>
      <c r="P40" s="54"/>
      <c r="Q40" s="54"/>
      <c r="R40" s="54"/>
      <c r="S40" s="54"/>
      <c r="Y40" s="54"/>
    </row>
    <row r="41" spans="1:27">
      <c r="A41" s="54" t="s">
        <v>340</v>
      </c>
      <c r="B41" s="55">
        <v>20</v>
      </c>
      <c r="C41" s="54" t="s">
        <v>202</v>
      </c>
      <c r="D41" s="54" t="s">
        <v>204</v>
      </c>
      <c r="E41" s="54" t="s">
        <v>204</v>
      </c>
      <c r="H41" s="54" t="s">
        <v>25</v>
      </c>
      <c r="I41" s="54" t="s">
        <v>25</v>
      </c>
      <c r="J41" s="54" t="s">
        <v>205</v>
      </c>
      <c r="K41" s="54" t="s">
        <v>205</v>
      </c>
      <c r="L41" s="54" t="s">
        <v>205</v>
      </c>
      <c r="M41" s="54" t="s">
        <v>205</v>
      </c>
      <c r="N41" s="54"/>
      <c r="O41" s="54"/>
      <c r="P41" s="54"/>
      <c r="Q41" s="54"/>
      <c r="R41" s="54"/>
      <c r="S41" s="54"/>
      <c r="Y41" s="54"/>
    </row>
    <row r="42" spans="1:27">
      <c r="A42" s="54" t="s">
        <v>341</v>
      </c>
      <c r="B42" s="55">
        <v>12</v>
      </c>
      <c r="C42" s="54" t="s">
        <v>202</v>
      </c>
      <c r="D42" s="54" t="s">
        <v>203</v>
      </c>
      <c r="E42" s="54" t="s">
        <v>204</v>
      </c>
      <c r="H42" s="54" t="s">
        <v>205</v>
      </c>
      <c r="I42" s="54" t="s">
        <v>205</v>
      </c>
      <c r="J42" s="54"/>
      <c r="K42" s="54"/>
      <c r="L42" s="54"/>
      <c r="M42" s="54"/>
      <c r="N42" s="54"/>
      <c r="O42" s="54"/>
      <c r="P42" s="54"/>
      <c r="Q42" s="54"/>
      <c r="R42" s="54"/>
      <c r="S42" s="54"/>
      <c r="Y42" s="54"/>
    </row>
    <row r="43" spans="1:27">
      <c r="A43" s="54" t="s">
        <v>439</v>
      </c>
      <c r="B43" s="55">
        <v>18</v>
      </c>
      <c r="C43" s="54" t="s">
        <v>202</v>
      </c>
      <c r="D43" s="54" t="s">
        <v>203</v>
      </c>
      <c r="E43" s="54"/>
      <c r="H43" s="54" t="s">
        <v>205</v>
      </c>
      <c r="I43" s="54" t="s">
        <v>205</v>
      </c>
      <c r="J43" s="54" t="s">
        <v>205</v>
      </c>
      <c r="K43" s="54" t="s">
        <v>205</v>
      </c>
      <c r="L43" s="54" t="s">
        <v>25</v>
      </c>
      <c r="M43" s="54"/>
      <c r="N43" s="54"/>
      <c r="O43" s="54"/>
      <c r="P43" s="54"/>
      <c r="Q43" s="54"/>
      <c r="R43" s="54"/>
      <c r="S43" s="54"/>
      <c r="Y43" s="54"/>
    </row>
    <row r="44" spans="1:27">
      <c r="A44" s="54" t="s">
        <v>445</v>
      </c>
      <c r="B44" s="55">
        <v>16</v>
      </c>
      <c r="C44" s="54" t="s">
        <v>202</v>
      </c>
      <c r="D44" s="54" t="s">
        <v>203</v>
      </c>
      <c r="E44" s="54" t="s">
        <v>204</v>
      </c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</row>
    <row r="45" spans="1:27">
      <c r="A45" s="54" t="s">
        <v>342</v>
      </c>
      <c r="C45" s="54"/>
      <c r="D45" s="54" t="s">
        <v>204</v>
      </c>
      <c r="E45" s="54"/>
      <c r="F45" s="55" t="s">
        <v>204</v>
      </c>
      <c r="G45" s="55" t="s">
        <v>317</v>
      </c>
      <c r="H45" s="54"/>
      <c r="I45" s="54"/>
      <c r="J45" s="54"/>
      <c r="K45" s="54"/>
      <c r="L45" s="54"/>
      <c r="M45" s="54"/>
      <c r="N45" s="54" t="s">
        <v>25</v>
      </c>
      <c r="O45" s="54" t="s">
        <v>205</v>
      </c>
      <c r="P45" s="54" t="s">
        <v>205</v>
      </c>
      <c r="Q45" s="54" t="s">
        <v>205</v>
      </c>
      <c r="R45" s="54" t="s">
        <v>205</v>
      </c>
      <c r="S45" s="54" t="s">
        <v>25</v>
      </c>
      <c r="Y45" s="54"/>
    </row>
    <row r="46" spans="1:27">
      <c r="A46" s="54" t="s">
        <v>343</v>
      </c>
      <c r="B46" s="55">
        <v>18</v>
      </c>
      <c r="C46" s="55" t="s">
        <v>202</v>
      </c>
      <c r="D46" s="55" t="s">
        <v>203</v>
      </c>
      <c r="E46" s="55" t="s">
        <v>204</v>
      </c>
      <c r="H46" s="55" t="s">
        <v>25</v>
      </c>
      <c r="I46" s="55" t="s">
        <v>25</v>
      </c>
      <c r="J46" s="55" t="s">
        <v>205</v>
      </c>
      <c r="K46" s="55" t="s">
        <v>205</v>
      </c>
      <c r="L46" s="55" t="s">
        <v>205</v>
      </c>
    </row>
    <row r="47" spans="1:27">
      <c r="A47" s="54" t="s">
        <v>344</v>
      </c>
      <c r="D47" s="55" t="s">
        <v>203</v>
      </c>
      <c r="F47" s="55" t="s">
        <v>204</v>
      </c>
      <c r="O47" s="55" t="s">
        <v>205</v>
      </c>
      <c r="P47" s="55" t="s">
        <v>205</v>
      </c>
      <c r="Q47" s="55" t="s">
        <v>205</v>
      </c>
      <c r="R47" s="55" t="s">
        <v>205</v>
      </c>
    </row>
    <row r="48" spans="1:27">
      <c r="A48" s="54" t="s">
        <v>345</v>
      </c>
      <c r="C48" s="54"/>
      <c r="F48" s="54"/>
      <c r="G48" s="54"/>
      <c r="H48" s="54" t="s">
        <v>538</v>
      </c>
      <c r="I48" s="54" t="s">
        <v>538</v>
      </c>
      <c r="J48" s="54" t="s">
        <v>538</v>
      </c>
      <c r="K48" s="54" t="s">
        <v>538</v>
      </c>
      <c r="L48" s="54" t="s">
        <v>538</v>
      </c>
      <c r="M48" s="54" t="s">
        <v>538</v>
      </c>
      <c r="N48" s="54" t="s">
        <v>538</v>
      </c>
      <c r="O48" s="54" t="s">
        <v>538</v>
      </c>
      <c r="P48" s="54" t="s">
        <v>538</v>
      </c>
      <c r="Q48" s="54" t="s">
        <v>538</v>
      </c>
      <c r="R48" s="54" t="s">
        <v>538</v>
      </c>
      <c r="S48" s="54" t="s">
        <v>538</v>
      </c>
    </row>
    <row r="49" spans="1:19">
      <c r="A49" s="54" t="s">
        <v>346</v>
      </c>
      <c r="C49" s="54"/>
      <c r="F49" s="54"/>
      <c r="G49" s="54"/>
      <c r="H49" s="54" t="s">
        <v>68</v>
      </c>
      <c r="I49" s="54" t="s">
        <v>68</v>
      </c>
      <c r="J49" s="55" t="s">
        <v>68</v>
      </c>
      <c r="K49" s="55" t="s">
        <v>68</v>
      </c>
      <c r="L49" s="55" t="s">
        <v>68</v>
      </c>
      <c r="M49" s="55" t="s">
        <v>68</v>
      </c>
      <c r="N49" s="55" t="s">
        <v>68</v>
      </c>
      <c r="O49" s="54" t="s">
        <v>68</v>
      </c>
      <c r="P49" s="54" t="s">
        <v>68</v>
      </c>
      <c r="Q49" s="54" t="s">
        <v>68</v>
      </c>
      <c r="R49" s="54" t="s">
        <v>68</v>
      </c>
      <c r="S49" s="54" t="s">
        <v>68</v>
      </c>
    </row>
    <row r="50" spans="1:19">
      <c r="A50" s="54" t="s">
        <v>347</v>
      </c>
      <c r="C50" s="54"/>
      <c r="F50" s="54"/>
      <c r="G50" s="54"/>
      <c r="H50" s="54" t="s">
        <v>68</v>
      </c>
      <c r="I50" s="54" t="s">
        <v>68</v>
      </c>
      <c r="J50" s="55" t="s">
        <v>68</v>
      </c>
      <c r="K50" s="55" t="s">
        <v>68</v>
      </c>
      <c r="L50" s="55" t="s">
        <v>68</v>
      </c>
      <c r="M50" s="55" t="s">
        <v>68</v>
      </c>
      <c r="N50" s="55" t="s">
        <v>68</v>
      </c>
      <c r="O50" s="54" t="s">
        <v>68</v>
      </c>
      <c r="P50" s="54" t="s">
        <v>68</v>
      </c>
      <c r="Q50" s="54" t="s">
        <v>68</v>
      </c>
      <c r="R50" s="54" t="s">
        <v>68</v>
      </c>
      <c r="S50" s="54" t="s">
        <v>68</v>
      </c>
    </row>
    <row r="51" spans="1:19">
      <c r="A51" s="54" t="s">
        <v>348</v>
      </c>
      <c r="C51" s="54"/>
      <c r="F51" s="54"/>
      <c r="G51" s="54"/>
      <c r="H51" s="54" t="s">
        <v>68</v>
      </c>
      <c r="I51" s="54" t="s">
        <v>68</v>
      </c>
      <c r="J51" s="55" t="s">
        <v>68</v>
      </c>
      <c r="K51" s="55" t="s">
        <v>68</v>
      </c>
      <c r="L51" s="55" t="s">
        <v>68</v>
      </c>
      <c r="M51" s="55" t="s">
        <v>68</v>
      </c>
      <c r="N51" s="55" t="s">
        <v>68</v>
      </c>
      <c r="O51" s="54" t="s">
        <v>68</v>
      </c>
      <c r="P51" s="54" t="s">
        <v>68</v>
      </c>
      <c r="Q51" s="54" t="s">
        <v>68</v>
      </c>
      <c r="R51" s="54" t="s">
        <v>68</v>
      </c>
      <c r="S51" s="54" t="s">
        <v>68</v>
      </c>
    </row>
    <row r="52" spans="1:19">
      <c r="A52" s="54" t="s">
        <v>349</v>
      </c>
      <c r="C52" s="54"/>
      <c r="F52" s="54"/>
      <c r="G52" s="54"/>
      <c r="H52" s="54" t="s">
        <v>68</v>
      </c>
      <c r="I52" s="54" t="s">
        <v>68</v>
      </c>
      <c r="J52" s="55" t="s">
        <v>68</v>
      </c>
      <c r="K52" s="55" t="s">
        <v>68</v>
      </c>
      <c r="L52" s="55" t="s">
        <v>68</v>
      </c>
      <c r="M52" s="55" t="s">
        <v>68</v>
      </c>
      <c r="N52" s="55" t="s">
        <v>68</v>
      </c>
      <c r="O52" s="54" t="s">
        <v>68</v>
      </c>
      <c r="P52" s="54" t="s">
        <v>68</v>
      </c>
      <c r="Q52" s="54" t="s">
        <v>68</v>
      </c>
      <c r="R52" s="54" t="s">
        <v>68</v>
      </c>
      <c r="S52" s="54" t="s">
        <v>68</v>
      </c>
    </row>
    <row r="53" spans="1:19">
      <c r="A53" s="54" t="s">
        <v>350</v>
      </c>
      <c r="B53" s="55">
        <v>1</v>
      </c>
      <c r="C53" s="55">
        <v>1</v>
      </c>
      <c r="D53" s="55">
        <v>1</v>
      </c>
      <c r="E53" s="55">
        <v>1</v>
      </c>
      <c r="F53" s="55">
        <v>1</v>
      </c>
      <c r="G53" s="55">
        <v>1</v>
      </c>
      <c r="H53" s="55">
        <v>1</v>
      </c>
      <c r="I53" s="55">
        <v>1</v>
      </c>
      <c r="J53" s="55">
        <v>1</v>
      </c>
      <c r="K53" s="55">
        <v>1</v>
      </c>
      <c r="L53" s="55">
        <v>1</v>
      </c>
      <c r="M53" s="55">
        <v>1</v>
      </c>
      <c r="N53" s="55">
        <v>1</v>
      </c>
      <c r="O53" s="55">
        <v>1</v>
      </c>
      <c r="P53" s="55">
        <v>1</v>
      </c>
      <c r="Q53" s="55">
        <v>1</v>
      </c>
      <c r="R53" s="55">
        <v>1</v>
      </c>
      <c r="S53" s="55">
        <v>1</v>
      </c>
    </row>
    <row r="54" spans="1:19">
      <c r="A54" s="54" t="s">
        <v>450</v>
      </c>
      <c r="B54" s="55">
        <v>12</v>
      </c>
      <c r="C54" s="54" t="s">
        <v>202</v>
      </c>
      <c r="D54" s="55" t="s">
        <v>203</v>
      </c>
      <c r="E54" s="55" t="s">
        <v>204</v>
      </c>
      <c r="F54" s="54"/>
      <c r="G54" s="54"/>
      <c r="H54" s="55" t="s">
        <v>25</v>
      </c>
      <c r="I54" s="55" t="s">
        <v>25</v>
      </c>
      <c r="O54" s="54"/>
      <c r="P54" s="54"/>
      <c r="Q54" s="54"/>
      <c r="R54" s="54"/>
      <c r="S54" s="54"/>
    </row>
    <row r="55" spans="1:19">
      <c r="A55" s="54" t="s">
        <v>459</v>
      </c>
      <c r="B55" s="55">
        <v>8</v>
      </c>
      <c r="C55" s="55" t="s">
        <v>140</v>
      </c>
      <c r="D55" s="55" t="s">
        <v>203</v>
      </c>
      <c r="F55" s="55" t="s">
        <v>204</v>
      </c>
      <c r="N55" s="55" t="s">
        <v>25</v>
      </c>
      <c r="O55" s="55" t="s">
        <v>205</v>
      </c>
      <c r="P55" s="55" t="s">
        <v>205</v>
      </c>
      <c r="Q55" s="55" t="s">
        <v>205</v>
      </c>
      <c r="R55" s="55" t="s">
        <v>205</v>
      </c>
    </row>
    <row r="56" spans="1:19">
      <c r="A56" s="54" t="s">
        <v>566</v>
      </c>
      <c r="B56" s="55">
        <v>6</v>
      </c>
      <c r="C56" s="55" t="s">
        <v>504</v>
      </c>
      <c r="D56" s="55" t="s">
        <v>203</v>
      </c>
      <c r="F56" s="55" t="s">
        <v>204</v>
      </c>
      <c r="N56" s="55" t="s">
        <v>25</v>
      </c>
      <c r="O56" s="55" t="s">
        <v>205</v>
      </c>
      <c r="P56" s="55" t="s">
        <v>205</v>
      </c>
      <c r="Q56" s="55" t="s">
        <v>205</v>
      </c>
      <c r="R56" s="55" t="s">
        <v>205</v>
      </c>
    </row>
    <row r="57" spans="1:19">
      <c r="A57" s="54" t="s">
        <v>503</v>
      </c>
      <c r="B57" s="55">
        <v>22</v>
      </c>
      <c r="C57" s="55" t="s">
        <v>202</v>
      </c>
      <c r="D57" s="55" t="s">
        <v>203</v>
      </c>
      <c r="E57" s="55" t="s">
        <v>204</v>
      </c>
      <c r="G57" s="55" t="s">
        <v>314</v>
      </c>
      <c r="M57" s="55" t="s">
        <v>205</v>
      </c>
      <c r="N57" s="55" t="s">
        <v>205</v>
      </c>
    </row>
    <row r="58" spans="1:19">
      <c r="A58" s="54" t="s">
        <v>535</v>
      </c>
      <c r="B58" s="55">
        <v>20</v>
      </c>
      <c r="C58" s="54" t="s">
        <v>202</v>
      </c>
      <c r="D58" s="55" t="s">
        <v>203</v>
      </c>
      <c r="E58" s="55" t="s">
        <v>204</v>
      </c>
      <c r="F58" s="54"/>
      <c r="G58" s="54"/>
      <c r="H58" s="55" t="s">
        <v>25</v>
      </c>
      <c r="I58" s="55" t="s">
        <v>25</v>
      </c>
      <c r="J58" s="55" t="s">
        <v>205</v>
      </c>
      <c r="K58" s="55" t="s">
        <v>205</v>
      </c>
      <c r="L58" s="55" t="s">
        <v>205</v>
      </c>
      <c r="O58" s="54"/>
      <c r="P58" s="54"/>
      <c r="Q58" s="54"/>
      <c r="R58" s="54"/>
      <c r="S58" s="54"/>
    </row>
    <row r="59" spans="1:19">
      <c r="A59" s="54" t="s">
        <v>536</v>
      </c>
      <c r="C59" s="54" t="s">
        <v>308</v>
      </c>
      <c r="F59" s="54"/>
      <c r="G59" s="54"/>
      <c r="H59" s="55" t="s">
        <v>59</v>
      </c>
      <c r="I59" s="55" t="s">
        <v>59</v>
      </c>
      <c r="J59" s="55" t="s">
        <v>59</v>
      </c>
      <c r="K59" s="55" t="s">
        <v>59</v>
      </c>
      <c r="L59" s="55" t="s">
        <v>59</v>
      </c>
      <c r="M59" s="55" t="s">
        <v>59</v>
      </c>
      <c r="N59" s="55" t="s">
        <v>59</v>
      </c>
      <c r="O59" s="54" t="s">
        <v>59</v>
      </c>
      <c r="P59" s="54" t="s">
        <v>59</v>
      </c>
      <c r="Q59" s="54" t="s">
        <v>59</v>
      </c>
      <c r="R59" s="54" t="s">
        <v>59</v>
      </c>
      <c r="S59" s="54" t="s">
        <v>59</v>
      </c>
    </row>
    <row r="60" spans="1:19">
      <c r="A60" s="54" t="s">
        <v>542</v>
      </c>
      <c r="B60" s="55">
        <v>18</v>
      </c>
      <c r="C60" s="55" t="s">
        <v>543</v>
      </c>
      <c r="D60" s="55" t="s">
        <v>544</v>
      </c>
      <c r="H60" s="55" t="s">
        <v>546</v>
      </c>
      <c r="I60" s="55" t="s">
        <v>545</v>
      </c>
      <c r="J60" s="55" t="s">
        <v>547</v>
      </c>
      <c r="K60" s="55" t="s">
        <v>548</v>
      </c>
      <c r="L60" s="55" t="s">
        <v>548</v>
      </c>
    </row>
    <row r="61" spans="1:19">
      <c r="A61" s="54" t="s">
        <v>659</v>
      </c>
      <c r="B61" s="55">
        <v>20</v>
      </c>
      <c r="C61" s="55" t="s">
        <v>202</v>
      </c>
      <c r="D61" s="55" t="s">
        <v>203</v>
      </c>
      <c r="E61" s="55" t="s">
        <v>204</v>
      </c>
      <c r="G61" s="55" t="s">
        <v>311</v>
      </c>
      <c r="H61" s="55" t="s">
        <v>25</v>
      </c>
      <c r="I61" s="55" t="s">
        <v>25</v>
      </c>
      <c r="J61" s="55" t="s">
        <v>205</v>
      </c>
      <c r="K61" s="55" t="s">
        <v>205</v>
      </c>
      <c r="L61" s="55" t="s">
        <v>205</v>
      </c>
    </row>
    <row r="62" spans="1:19">
      <c r="A62" s="54" t="s">
        <v>660</v>
      </c>
      <c r="B62" s="55">
        <v>18</v>
      </c>
      <c r="C62" s="55" t="s">
        <v>202</v>
      </c>
      <c r="D62" s="55" t="s">
        <v>203</v>
      </c>
      <c r="E62" s="55" t="s">
        <v>204</v>
      </c>
      <c r="H62" s="55" t="s">
        <v>25</v>
      </c>
      <c r="I62" s="55" t="s">
        <v>205</v>
      </c>
      <c r="J62" s="55" t="s">
        <v>205</v>
      </c>
      <c r="K62" s="55" t="s">
        <v>205</v>
      </c>
      <c r="L62" s="55" t="s">
        <v>205</v>
      </c>
    </row>
    <row r="63" spans="1:19">
      <c r="A63" s="54" t="s">
        <v>771</v>
      </c>
      <c r="D63" s="55" t="s">
        <v>772</v>
      </c>
    </row>
    <row r="68" spans="3:19"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</row>
    <row r="72" spans="3:19">
      <c r="C72" s="54"/>
      <c r="F72" s="54"/>
      <c r="G72" s="54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0"/>
  </sheetPr>
  <dimension ref="A1:X27"/>
  <sheetViews>
    <sheetView workbookViewId="0">
      <pane ySplit="1" topLeftCell="A2" activePane="bottomLeft" state="frozen"/>
      <selection pane="bottomLeft" activeCell="E7" sqref="E7"/>
    </sheetView>
  </sheetViews>
  <sheetFormatPr defaultRowHeight="16.5"/>
  <cols>
    <col min="1" max="1" width="5" style="42" customWidth="1"/>
    <col min="3" max="3" width="9.5" bestFit="1" customWidth="1"/>
    <col min="4" max="4" width="5.375" style="41" customWidth="1"/>
    <col min="5" max="5" width="14.625" style="41" customWidth="1"/>
    <col min="6" max="18" width="10.625" style="41" customWidth="1"/>
    <col min="19" max="19" width="5.75" style="41" customWidth="1"/>
    <col min="20" max="20" width="8.75" style="41" customWidth="1"/>
    <col min="21" max="23" width="9" style="41"/>
  </cols>
  <sheetData>
    <row r="1" spans="1:24">
      <c r="A1" s="42" t="s">
        <v>116</v>
      </c>
      <c r="B1" t="s">
        <v>238</v>
      </c>
      <c r="C1" t="s">
        <v>239</v>
      </c>
      <c r="D1" s="41" t="s">
        <v>240</v>
      </c>
      <c r="E1" s="41" t="s">
        <v>135</v>
      </c>
      <c r="F1" s="41" t="s">
        <v>160</v>
      </c>
      <c r="G1" s="41" t="s">
        <v>132</v>
      </c>
      <c r="H1" s="41" t="s">
        <v>121</v>
      </c>
      <c r="I1" s="41" t="s">
        <v>122</v>
      </c>
      <c r="J1" s="41" t="s">
        <v>123</v>
      </c>
      <c r="K1" s="41" t="s">
        <v>124</v>
      </c>
      <c r="L1" s="41" t="s">
        <v>125</v>
      </c>
      <c r="M1" s="41" t="s">
        <v>126</v>
      </c>
      <c r="N1" s="41" t="s">
        <v>127</v>
      </c>
      <c r="O1" s="41" t="s">
        <v>128</v>
      </c>
      <c r="P1" s="41" t="s">
        <v>129</v>
      </c>
      <c r="Q1" s="41" t="s">
        <v>130</v>
      </c>
      <c r="R1" s="41" t="s">
        <v>131</v>
      </c>
      <c r="S1" s="41" t="s">
        <v>139</v>
      </c>
      <c r="T1" s="41" t="s">
        <v>144</v>
      </c>
      <c r="U1" s="41" t="s">
        <v>150</v>
      </c>
      <c r="V1" s="41" t="s">
        <v>149</v>
      </c>
      <c r="W1" s="41" t="s">
        <v>133</v>
      </c>
    </row>
    <row r="2" spans="1:24">
      <c r="A2" s="42" t="s">
        <v>514</v>
      </c>
      <c r="B2" t="s">
        <v>515</v>
      </c>
      <c r="C2" t="s">
        <v>513</v>
      </c>
      <c r="D2" s="56" t="s">
        <v>512</v>
      </c>
      <c r="E2" s="56" t="s">
        <v>309</v>
      </c>
      <c r="F2" s="41" t="str">
        <f t="shared" ref="F2:U18" si="0">ColumnValueFromJobDefinition($E2, F$1)</f>
        <v/>
      </c>
      <c r="G2" s="41" t="str">
        <f t="shared" ref="G2:O17" si="1">ColumnValueFromJobDefinition($E2, G$1)</f>
        <v>備勤</v>
      </c>
      <c r="H2" s="41" t="str">
        <f t="shared" si="1"/>
        <v>備勤</v>
      </c>
      <c r="I2" s="41" t="str">
        <f t="shared" si="1"/>
        <v>待命</v>
      </c>
      <c r="J2" s="41" t="str">
        <f t="shared" si="1"/>
        <v>待命</v>
      </c>
      <c r="K2" s="41" t="str">
        <f t="shared" si="1"/>
        <v>待命</v>
      </c>
      <c r="L2" s="41" t="str">
        <f t="shared" si="1"/>
        <v/>
      </c>
      <c r="M2" s="41" t="str">
        <f t="shared" si="1"/>
        <v/>
      </c>
      <c r="N2" s="41" t="str">
        <f t="shared" si="1"/>
        <v/>
      </c>
      <c r="O2" s="41" t="str">
        <f t="shared" si="1"/>
        <v/>
      </c>
      <c r="P2" s="41" t="str">
        <f t="shared" ref="P2:W17" si="2">ColumnValueFromJobDefinition($E2, P$1)</f>
        <v/>
      </c>
      <c r="Q2" s="41" t="str">
        <f t="shared" si="2"/>
        <v/>
      </c>
      <c r="R2" s="41" t="str">
        <f t="shared" si="2"/>
        <v/>
      </c>
      <c r="S2" s="41" t="str">
        <f t="shared" si="2"/>
        <v>18</v>
      </c>
      <c r="T2" s="41" t="str">
        <f t="shared" si="2"/>
        <v>退</v>
      </c>
      <c r="U2" s="41" t="str">
        <f t="shared" si="2"/>
        <v>是</v>
      </c>
      <c r="V2" s="41" t="str">
        <f t="shared" si="2"/>
        <v/>
      </c>
      <c r="W2" s="41" t="str">
        <f t="shared" si="2"/>
        <v>否</v>
      </c>
    </row>
    <row r="3" spans="1:24">
      <c r="A3" s="42" t="s">
        <v>471</v>
      </c>
      <c r="B3" t="s">
        <v>472</v>
      </c>
      <c r="C3" t="s">
        <v>117</v>
      </c>
      <c r="D3" s="56" t="s">
        <v>141</v>
      </c>
      <c r="E3" s="56" t="s">
        <v>345</v>
      </c>
      <c r="F3" s="41" t="str">
        <f t="shared" si="0"/>
        <v/>
      </c>
      <c r="G3" s="41" t="str">
        <f t="shared" si="1"/>
        <v>支援檢疫所</v>
      </c>
      <c r="H3" s="41" t="str">
        <f t="shared" si="1"/>
        <v>支援檢疫所</v>
      </c>
      <c r="I3" s="41" t="str">
        <f t="shared" si="1"/>
        <v>支援檢疫所</v>
      </c>
      <c r="J3" s="41" t="str">
        <f t="shared" si="1"/>
        <v>支援檢疫所</v>
      </c>
      <c r="K3" s="41" t="str">
        <f t="shared" si="1"/>
        <v>支援檢疫所</v>
      </c>
      <c r="L3" s="41" t="str">
        <f t="shared" si="1"/>
        <v>支援檢疫所</v>
      </c>
      <c r="M3" s="41" t="str">
        <f t="shared" si="1"/>
        <v>支援檢疫所</v>
      </c>
      <c r="N3" s="41" t="str">
        <f t="shared" si="1"/>
        <v>支援檢疫所</v>
      </c>
      <c r="O3" s="41" t="str">
        <f t="shared" si="1"/>
        <v>支援檢疫所</v>
      </c>
      <c r="P3" s="41" t="str">
        <f t="shared" si="2"/>
        <v>支援檢疫所</v>
      </c>
      <c r="Q3" s="41" t="str">
        <f t="shared" si="2"/>
        <v>支援檢疫所</v>
      </c>
      <c r="R3" s="41" t="str">
        <f t="shared" si="2"/>
        <v>支援檢疫所</v>
      </c>
      <c r="S3" s="41" t="str">
        <f t="shared" si="2"/>
        <v/>
      </c>
      <c r="T3" s="41" t="str">
        <f t="shared" si="2"/>
        <v/>
      </c>
      <c r="U3" s="41" t="str">
        <f t="shared" si="2"/>
        <v/>
      </c>
      <c r="V3" s="41" t="str">
        <f t="shared" si="2"/>
        <v/>
      </c>
      <c r="W3" s="41" t="str">
        <f t="shared" si="2"/>
        <v/>
      </c>
    </row>
    <row r="4" spans="1:24">
      <c r="A4" s="42" t="s">
        <v>473</v>
      </c>
      <c r="B4" t="s">
        <v>474</v>
      </c>
      <c r="C4" t="s">
        <v>118</v>
      </c>
      <c r="D4" s="41" t="s">
        <v>141</v>
      </c>
      <c r="E4" s="56" t="s">
        <v>307</v>
      </c>
      <c r="F4" s="41" t="str">
        <f t="shared" si="0"/>
        <v/>
      </c>
      <c r="G4" s="41" t="str">
        <f t="shared" si="1"/>
        <v>輪休</v>
      </c>
      <c r="H4" s="41" t="str">
        <f t="shared" si="1"/>
        <v>輪休</v>
      </c>
      <c r="I4" s="41" t="str">
        <f t="shared" si="1"/>
        <v>輪休</v>
      </c>
      <c r="J4" s="41" t="str">
        <f t="shared" si="1"/>
        <v>輪休</v>
      </c>
      <c r="K4" s="41" t="str">
        <f t="shared" si="1"/>
        <v>輪休</v>
      </c>
      <c r="L4" s="41" t="str">
        <f t="shared" si="1"/>
        <v>輪休</v>
      </c>
      <c r="M4" s="41" t="str">
        <f t="shared" si="1"/>
        <v>輪休</v>
      </c>
      <c r="N4" s="41" t="str">
        <f t="shared" si="1"/>
        <v>輪休</v>
      </c>
      <c r="O4" s="41" t="str">
        <f t="shared" si="1"/>
        <v>輪休</v>
      </c>
      <c r="P4" s="41" t="str">
        <f t="shared" si="2"/>
        <v>輪休</v>
      </c>
      <c r="Q4" s="41" t="str">
        <f t="shared" si="2"/>
        <v>輪休</v>
      </c>
      <c r="R4" s="41" t="str">
        <f t="shared" si="2"/>
        <v>輪休</v>
      </c>
      <c r="S4" s="41" t="str">
        <f t="shared" si="2"/>
        <v/>
      </c>
      <c r="T4" s="41" t="str">
        <f t="shared" si="2"/>
        <v>假</v>
      </c>
      <c r="U4" s="41" t="str">
        <f t="shared" si="2"/>
        <v/>
      </c>
      <c r="V4" s="41" t="str">
        <f t="shared" si="2"/>
        <v/>
      </c>
      <c r="W4" s="41" t="str">
        <f t="shared" si="2"/>
        <v/>
      </c>
    </row>
    <row r="5" spans="1:24">
      <c r="A5" s="42" t="s">
        <v>475</v>
      </c>
      <c r="B5" t="s">
        <v>476</v>
      </c>
      <c r="C5" t="s">
        <v>470</v>
      </c>
      <c r="D5" s="41" t="s">
        <v>141</v>
      </c>
      <c r="E5" s="56" t="s">
        <v>760</v>
      </c>
      <c r="F5" s="41" t="str">
        <f t="shared" si="0"/>
        <v/>
      </c>
      <c r="G5" s="41" t="str">
        <f t="shared" si="1"/>
        <v>婚(產)假</v>
      </c>
      <c r="H5" s="41" t="str">
        <f t="shared" si="1"/>
        <v>婚(產)假</v>
      </c>
      <c r="I5" s="41" t="str">
        <f t="shared" si="1"/>
        <v>婚(產)假</v>
      </c>
      <c r="J5" s="41" t="str">
        <f t="shared" si="1"/>
        <v>婚(產)假</v>
      </c>
      <c r="K5" s="41" t="str">
        <f t="shared" si="1"/>
        <v>婚(產)假</v>
      </c>
      <c r="L5" s="41" t="str">
        <f t="shared" si="1"/>
        <v>婚(產)假</v>
      </c>
      <c r="M5" s="41" t="str">
        <f t="shared" si="1"/>
        <v>婚(產)假</v>
      </c>
      <c r="N5" s="41" t="str">
        <f t="shared" si="1"/>
        <v>婚(產)假</v>
      </c>
      <c r="O5" s="41" t="str">
        <f t="shared" si="1"/>
        <v>婚(產)假</v>
      </c>
      <c r="P5" s="41" t="str">
        <f t="shared" si="2"/>
        <v>婚(產)假</v>
      </c>
      <c r="Q5" s="41" t="str">
        <f t="shared" si="2"/>
        <v>婚(產)假</v>
      </c>
      <c r="R5" s="41" t="str">
        <f t="shared" si="2"/>
        <v>婚(產)假</v>
      </c>
      <c r="S5" s="41" t="str">
        <f t="shared" si="2"/>
        <v/>
      </c>
      <c r="T5" s="41" t="str">
        <f t="shared" si="2"/>
        <v>假</v>
      </c>
      <c r="U5" s="41" t="str">
        <f t="shared" si="2"/>
        <v/>
      </c>
      <c r="V5" s="41" t="str">
        <f t="shared" si="2"/>
        <v/>
      </c>
      <c r="W5" s="41" t="str">
        <f t="shared" si="2"/>
        <v/>
      </c>
    </row>
    <row r="6" spans="1:24">
      <c r="A6" s="42" t="s">
        <v>477</v>
      </c>
      <c r="B6" t="s">
        <v>469</v>
      </c>
      <c r="C6" t="s">
        <v>40</v>
      </c>
      <c r="D6" s="41" t="s">
        <v>141</v>
      </c>
      <c r="E6" s="56" t="s">
        <v>761</v>
      </c>
      <c r="F6" s="41" t="str">
        <f t="shared" si="0"/>
        <v/>
      </c>
      <c r="G6" s="41" t="str">
        <f t="shared" si="1"/>
        <v>大隊值日</v>
      </c>
      <c r="H6" s="41" t="str">
        <f t="shared" si="1"/>
        <v>大隊值日</v>
      </c>
      <c r="I6" s="41" t="str">
        <f t="shared" si="1"/>
        <v>大隊值日</v>
      </c>
      <c r="J6" s="41" t="str">
        <f t="shared" si="1"/>
        <v>大隊值日</v>
      </c>
      <c r="K6" s="41" t="str">
        <f t="shared" si="1"/>
        <v>大隊值日</v>
      </c>
      <c r="L6" s="41" t="str">
        <f t="shared" si="1"/>
        <v>大隊值日</v>
      </c>
      <c r="M6" s="41" t="str">
        <f t="shared" si="1"/>
        <v/>
      </c>
      <c r="N6" s="41" t="str">
        <f t="shared" si="1"/>
        <v/>
      </c>
      <c r="O6" s="41" t="str">
        <f t="shared" si="1"/>
        <v/>
      </c>
      <c r="P6" s="41" t="str">
        <f t="shared" si="2"/>
        <v/>
      </c>
      <c r="Q6" s="41" t="str">
        <f t="shared" si="2"/>
        <v/>
      </c>
      <c r="R6" s="41" t="str">
        <f t="shared" si="2"/>
        <v/>
      </c>
      <c r="S6" s="41" t="str">
        <f t="shared" si="2"/>
        <v>20</v>
      </c>
      <c r="T6" s="41" t="str">
        <f t="shared" si="2"/>
        <v>退</v>
      </c>
      <c r="U6" s="41" t="str">
        <f t="shared" si="2"/>
        <v/>
      </c>
      <c r="V6" s="41" t="str">
        <f t="shared" si="2"/>
        <v/>
      </c>
      <c r="W6" s="41" t="str">
        <f t="shared" si="2"/>
        <v>否</v>
      </c>
    </row>
    <row r="7" spans="1:24">
      <c r="A7" s="42" t="s">
        <v>478</v>
      </c>
      <c r="B7" t="s">
        <v>682</v>
      </c>
      <c r="C7" t="s">
        <v>40</v>
      </c>
      <c r="D7" s="41" t="s">
        <v>141</v>
      </c>
      <c r="E7" s="56" t="s">
        <v>60</v>
      </c>
      <c r="F7" s="41" t="str">
        <f t="shared" si="0"/>
        <v/>
      </c>
      <c r="G7" s="41" t="str">
        <f t="shared" si="1"/>
        <v>補休</v>
      </c>
      <c r="H7" s="41" t="str">
        <f t="shared" si="1"/>
        <v>補休</v>
      </c>
      <c r="I7" s="41" t="str">
        <f t="shared" si="1"/>
        <v>補休</v>
      </c>
      <c r="J7" s="41" t="str">
        <f t="shared" si="1"/>
        <v>補休</v>
      </c>
      <c r="K7" s="41" t="str">
        <f t="shared" si="1"/>
        <v>補休</v>
      </c>
      <c r="L7" s="41" t="str">
        <f t="shared" si="1"/>
        <v>補休</v>
      </c>
      <c r="M7" s="41" t="str">
        <f t="shared" si="1"/>
        <v>補休</v>
      </c>
      <c r="N7" s="41" t="str">
        <f t="shared" si="1"/>
        <v>補休</v>
      </c>
      <c r="O7" s="41" t="str">
        <f t="shared" si="1"/>
        <v>補休</v>
      </c>
      <c r="P7" s="41" t="str">
        <f t="shared" si="2"/>
        <v>補休</v>
      </c>
      <c r="Q7" s="41" t="str">
        <f t="shared" si="2"/>
        <v>補休</v>
      </c>
      <c r="R7" s="41" t="str">
        <f t="shared" si="2"/>
        <v>補休</v>
      </c>
      <c r="S7" s="41" t="str">
        <f t="shared" si="2"/>
        <v/>
      </c>
      <c r="T7" s="41" t="str">
        <f t="shared" si="2"/>
        <v>假</v>
      </c>
      <c r="U7" s="41" t="str">
        <f t="shared" si="2"/>
        <v/>
      </c>
      <c r="V7" s="41" t="str">
        <f t="shared" si="2"/>
        <v/>
      </c>
      <c r="W7" s="41" t="str">
        <f t="shared" si="2"/>
        <v/>
      </c>
    </row>
    <row r="8" spans="1:24">
      <c r="A8" s="42" t="s">
        <v>479</v>
      </c>
      <c r="B8" t="s">
        <v>480</v>
      </c>
      <c r="C8" t="s">
        <v>40</v>
      </c>
      <c r="D8" s="41" t="s">
        <v>141</v>
      </c>
      <c r="E8" s="56" t="s">
        <v>316</v>
      </c>
      <c r="F8" s="41" t="str">
        <f t="shared" si="0"/>
        <v>晚</v>
      </c>
      <c r="G8" s="41" t="str">
        <f t="shared" si="1"/>
        <v/>
      </c>
      <c r="H8" s="41" t="str">
        <f t="shared" si="1"/>
        <v/>
      </c>
      <c r="I8" s="41" t="str">
        <f t="shared" si="1"/>
        <v/>
      </c>
      <c r="J8" s="41" t="str">
        <f t="shared" si="1"/>
        <v/>
      </c>
      <c r="K8" s="41" t="str">
        <f t="shared" si="1"/>
        <v/>
      </c>
      <c r="L8" s="41" t="str">
        <f t="shared" si="1"/>
        <v/>
      </c>
      <c r="M8" s="41" t="str">
        <f t="shared" si="1"/>
        <v/>
      </c>
      <c r="N8" s="41" t="str">
        <f t="shared" si="1"/>
        <v>待命</v>
      </c>
      <c r="O8" s="41" t="str">
        <f t="shared" si="1"/>
        <v>待命</v>
      </c>
      <c r="P8" s="41" t="str">
        <f t="shared" si="2"/>
        <v>待命</v>
      </c>
      <c r="Q8" s="41" t="str">
        <f t="shared" si="2"/>
        <v>待命</v>
      </c>
      <c r="R8" s="41" t="str">
        <f t="shared" si="2"/>
        <v>備勤</v>
      </c>
      <c r="S8" s="41" t="str">
        <f t="shared" si="2"/>
        <v/>
      </c>
      <c r="T8" s="41" t="str">
        <f t="shared" si="2"/>
        <v/>
      </c>
      <c r="U8" s="41" t="str">
        <f t="shared" si="2"/>
        <v/>
      </c>
      <c r="V8" s="41" t="str">
        <f t="shared" si="2"/>
        <v>是</v>
      </c>
      <c r="W8" s="41" t="str">
        <f t="shared" si="2"/>
        <v>否</v>
      </c>
    </row>
    <row r="9" spans="1:24">
      <c r="A9" s="42" t="s">
        <v>481</v>
      </c>
      <c r="B9" t="s">
        <v>482</v>
      </c>
      <c r="C9" t="s">
        <v>40</v>
      </c>
      <c r="D9" s="41" t="s">
        <v>141</v>
      </c>
      <c r="E9" s="56" t="s">
        <v>310</v>
      </c>
      <c r="F9" s="41" t="str">
        <f t="shared" si="0"/>
        <v>早</v>
      </c>
      <c r="G9" s="41" t="str">
        <f t="shared" si="1"/>
        <v>備勤</v>
      </c>
      <c r="H9" s="41" t="str">
        <f t="shared" si="1"/>
        <v>備勤</v>
      </c>
      <c r="I9" s="41" t="str">
        <f t="shared" si="1"/>
        <v>待命</v>
      </c>
      <c r="J9" s="41" t="str">
        <f t="shared" si="1"/>
        <v>待命</v>
      </c>
      <c r="K9" s="41" t="str">
        <f t="shared" si="1"/>
        <v>待命</v>
      </c>
      <c r="L9" s="41" t="str">
        <f t="shared" si="1"/>
        <v/>
      </c>
      <c r="M9" s="41" t="str">
        <f t="shared" si="1"/>
        <v/>
      </c>
      <c r="N9" s="41" t="str">
        <f t="shared" si="1"/>
        <v/>
      </c>
      <c r="O9" s="41" t="str">
        <f t="shared" si="1"/>
        <v/>
      </c>
      <c r="P9" s="41" t="str">
        <f t="shared" si="2"/>
        <v/>
      </c>
      <c r="Q9" s="41" t="str">
        <f t="shared" si="2"/>
        <v/>
      </c>
      <c r="R9" s="41" t="str">
        <f t="shared" si="2"/>
        <v/>
      </c>
      <c r="S9" s="41" t="str">
        <f t="shared" si="2"/>
        <v>18</v>
      </c>
      <c r="T9" s="41" t="str">
        <f t="shared" si="2"/>
        <v>退</v>
      </c>
      <c r="U9" s="41" t="str">
        <f t="shared" si="2"/>
        <v>是</v>
      </c>
      <c r="V9" s="41" t="str">
        <f t="shared" si="2"/>
        <v/>
      </c>
      <c r="W9" s="41" t="str">
        <f t="shared" si="2"/>
        <v>否</v>
      </c>
      <c r="X9" s="41"/>
    </row>
    <row r="10" spans="1:24">
      <c r="A10" s="42" t="s">
        <v>483</v>
      </c>
      <c r="B10" t="s">
        <v>484</v>
      </c>
      <c r="C10" t="s">
        <v>40</v>
      </c>
      <c r="D10" s="41" t="s">
        <v>141</v>
      </c>
      <c r="E10" s="56" t="s">
        <v>313</v>
      </c>
      <c r="F10" s="41" t="str">
        <f t="shared" si="0"/>
        <v>中</v>
      </c>
      <c r="G10" s="41" t="str">
        <f t="shared" si="1"/>
        <v/>
      </c>
      <c r="H10" s="41" t="str">
        <f t="shared" si="1"/>
        <v/>
      </c>
      <c r="I10" s="41" t="str">
        <f t="shared" si="1"/>
        <v>備勤</v>
      </c>
      <c r="J10" s="41" t="str">
        <f t="shared" si="1"/>
        <v>待命</v>
      </c>
      <c r="K10" s="41" t="str">
        <f t="shared" si="1"/>
        <v>待命</v>
      </c>
      <c r="L10" s="41" t="str">
        <f t="shared" si="1"/>
        <v>待命</v>
      </c>
      <c r="M10" s="41" t="str">
        <f t="shared" si="1"/>
        <v>待命</v>
      </c>
      <c r="N10" s="41" t="str">
        <f t="shared" si="1"/>
        <v/>
      </c>
      <c r="O10" s="41" t="str">
        <f t="shared" si="1"/>
        <v/>
      </c>
      <c r="P10" s="41" t="str">
        <f t="shared" si="2"/>
        <v/>
      </c>
      <c r="Q10" s="41" t="str">
        <f t="shared" si="2"/>
        <v/>
      </c>
      <c r="R10" s="41" t="str">
        <f t="shared" si="2"/>
        <v/>
      </c>
      <c r="S10" s="41" t="str">
        <f t="shared" si="2"/>
        <v>22</v>
      </c>
      <c r="T10" s="41" t="str">
        <f t="shared" si="2"/>
        <v>退</v>
      </c>
      <c r="U10" s="41" t="str">
        <f t="shared" si="2"/>
        <v>是</v>
      </c>
      <c r="V10" s="41" t="str">
        <f t="shared" si="2"/>
        <v/>
      </c>
      <c r="W10" s="41" t="str">
        <f t="shared" si="2"/>
        <v>否</v>
      </c>
    </row>
    <row r="11" spans="1:24">
      <c r="A11" s="42" t="s">
        <v>485</v>
      </c>
      <c r="B11" t="s">
        <v>486</v>
      </c>
      <c r="C11" t="s">
        <v>40</v>
      </c>
      <c r="D11" s="41" t="s">
        <v>141</v>
      </c>
      <c r="E11" s="56" t="s">
        <v>307</v>
      </c>
      <c r="F11" s="41" t="str">
        <f t="shared" si="0"/>
        <v/>
      </c>
      <c r="G11" s="41" t="str">
        <f t="shared" si="1"/>
        <v>輪休</v>
      </c>
      <c r="H11" s="41" t="str">
        <f t="shared" si="1"/>
        <v>輪休</v>
      </c>
      <c r="I11" s="41" t="str">
        <f t="shared" si="1"/>
        <v>輪休</v>
      </c>
      <c r="J11" s="41" t="str">
        <f t="shared" si="1"/>
        <v>輪休</v>
      </c>
      <c r="K11" s="41" t="str">
        <f t="shared" si="1"/>
        <v>輪休</v>
      </c>
      <c r="L11" s="41" t="str">
        <f t="shared" si="1"/>
        <v>輪休</v>
      </c>
      <c r="M11" s="41" t="str">
        <f t="shared" si="1"/>
        <v>輪休</v>
      </c>
      <c r="N11" s="41" t="str">
        <f t="shared" si="1"/>
        <v>輪休</v>
      </c>
      <c r="O11" s="41" t="str">
        <f t="shared" si="1"/>
        <v>輪休</v>
      </c>
      <c r="P11" s="41" t="str">
        <f t="shared" si="2"/>
        <v>輪休</v>
      </c>
      <c r="Q11" s="41" t="str">
        <f t="shared" si="2"/>
        <v>輪休</v>
      </c>
      <c r="R11" s="41" t="str">
        <f t="shared" si="2"/>
        <v>輪休</v>
      </c>
      <c r="S11" s="41" t="str">
        <f t="shared" si="2"/>
        <v/>
      </c>
      <c r="T11" s="41" t="str">
        <f t="shared" si="2"/>
        <v>假</v>
      </c>
      <c r="U11" s="41" t="str">
        <f t="shared" si="2"/>
        <v/>
      </c>
      <c r="V11" s="41" t="str">
        <f t="shared" si="2"/>
        <v/>
      </c>
      <c r="W11" s="41" t="str">
        <f t="shared" si="2"/>
        <v/>
      </c>
    </row>
    <row r="12" spans="1:24">
      <c r="A12" s="42" t="s">
        <v>487</v>
      </c>
      <c r="B12" t="s">
        <v>488</v>
      </c>
      <c r="C12" t="s">
        <v>119</v>
      </c>
      <c r="D12" s="41" t="s">
        <v>141</v>
      </c>
      <c r="E12" s="56" t="s">
        <v>307</v>
      </c>
      <c r="F12" s="41" t="str">
        <f t="shared" si="0"/>
        <v/>
      </c>
      <c r="G12" s="41" t="str">
        <f t="shared" si="1"/>
        <v>輪休</v>
      </c>
      <c r="H12" s="41" t="str">
        <f t="shared" si="1"/>
        <v>輪休</v>
      </c>
      <c r="I12" s="41" t="str">
        <f t="shared" si="1"/>
        <v>輪休</v>
      </c>
      <c r="J12" s="41" t="str">
        <f t="shared" si="1"/>
        <v>輪休</v>
      </c>
      <c r="K12" s="41" t="str">
        <f t="shared" si="1"/>
        <v>輪休</v>
      </c>
      <c r="L12" s="41" t="str">
        <f t="shared" si="1"/>
        <v>輪休</v>
      </c>
      <c r="M12" s="41" t="str">
        <f t="shared" si="1"/>
        <v>輪休</v>
      </c>
      <c r="N12" s="41" t="str">
        <f t="shared" si="1"/>
        <v>輪休</v>
      </c>
      <c r="O12" s="41" t="str">
        <f t="shared" si="1"/>
        <v>輪休</v>
      </c>
      <c r="P12" s="41" t="str">
        <f t="shared" si="2"/>
        <v>輪休</v>
      </c>
      <c r="Q12" s="41" t="str">
        <f t="shared" si="2"/>
        <v>輪休</v>
      </c>
      <c r="R12" s="41" t="str">
        <f t="shared" si="2"/>
        <v>輪休</v>
      </c>
      <c r="S12" s="41" t="str">
        <f t="shared" si="2"/>
        <v/>
      </c>
      <c r="T12" s="41" t="str">
        <f t="shared" si="2"/>
        <v>假</v>
      </c>
      <c r="U12" s="41" t="str">
        <f t="shared" si="2"/>
        <v/>
      </c>
      <c r="V12" s="41" t="str">
        <f t="shared" si="2"/>
        <v/>
      </c>
      <c r="W12" s="41" t="str">
        <f t="shared" si="2"/>
        <v/>
      </c>
    </row>
    <row r="13" spans="1:24">
      <c r="A13" s="42" t="s">
        <v>489</v>
      </c>
      <c r="B13" t="s">
        <v>490</v>
      </c>
      <c r="C13" t="s">
        <v>119</v>
      </c>
      <c r="D13" s="41" t="s">
        <v>141</v>
      </c>
      <c r="E13" s="56" t="s">
        <v>307</v>
      </c>
      <c r="F13" s="41" t="str">
        <f t="shared" si="0"/>
        <v/>
      </c>
      <c r="G13" s="41" t="str">
        <f t="shared" si="1"/>
        <v>輪休</v>
      </c>
      <c r="H13" s="41" t="str">
        <f t="shared" si="1"/>
        <v>輪休</v>
      </c>
      <c r="I13" s="41" t="str">
        <f t="shared" si="1"/>
        <v>輪休</v>
      </c>
      <c r="J13" s="41" t="str">
        <f t="shared" si="1"/>
        <v>輪休</v>
      </c>
      <c r="K13" s="41" t="str">
        <f t="shared" si="1"/>
        <v>輪休</v>
      </c>
      <c r="L13" s="41" t="str">
        <f t="shared" si="1"/>
        <v>輪休</v>
      </c>
      <c r="M13" s="41" t="str">
        <f t="shared" si="1"/>
        <v>輪休</v>
      </c>
      <c r="N13" s="41" t="str">
        <f t="shared" si="1"/>
        <v>輪休</v>
      </c>
      <c r="O13" s="41" t="str">
        <f t="shared" si="1"/>
        <v>輪休</v>
      </c>
      <c r="P13" s="41" t="str">
        <f t="shared" si="2"/>
        <v>輪休</v>
      </c>
      <c r="Q13" s="41" t="str">
        <f t="shared" si="2"/>
        <v>輪休</v>
      </c>
      <c r="R13" s="41" t="str">
        <f t="shared" si="2"/>
        <v>輪休</v>
      </c>
      <c r="S13" s="41" t="str">
        <f t="shared" si="2"/>
        <v/>
      </c>
      <c r="T13" s="41" t="str">
        <f t="shared" si="2"/>
        <v>假</v>
      </c>
      <c r="U13" s="41" t="str">
        <f t="shared" si="2"/>
        <v/>
      </c>
      <c r="V13" s="41" t="str">
        <f t="shared" si="2"/>
        <v/>
      </c>
      <c r="W13" s="41" t="str">
        <f t="shared" si="2"/>
        <v/>
      </c>
    </row>
    <row r="14" spans="1:24">
      <c r="A14" s="42" t="s">
        <v>491</v>
      </c>
      <c r="B14" t="s">
        <v>492</v>
      </c>
      <c r="C14" t="s">
        <v>119</v>
      </c>
      <c r="D14" s="41" t="s">
        <v>141</v>
      </c>
      <c r="E14" s="56" t="s">
        <v>694</v>
      </c>
      <c r="F14" s="41" t="str">
        <f t="shared" si="0"/>
        <v/>
      </c>
      <c r="G14" s="41" t="str">
        <f t="shared" si="1"/>
        <v>待命</v>
      </c>
      <c r="H14" s="41" t="str">
        <f t="shared" si="1"/>
        <v>待命</v>
      </c>
      <c r="I14" s="41" t="str">
        <f t="shared" si="1"/>
        <v>待命</v>
      </c>
      <c r="J14" s="41" t="str">
        <f t="shared" si="1"/>
        <v>待命</v>
      </c>
      <c r="K14" s="41" t="str">
        <f t="shared" si="1"/>
        <v>備勤</v>
      </c>
      <c r="L14" s="41" t="str">
        <f t="shared" si="1"/>
        <v/>
      </c>
      <c r="M14" s="41" t="str">
        <f t="shared" si="1"/>
        <v/>
      </c>
      <c r="N14" s="41" t="str">
        <f t="shared" si="1"/>
        <v/>
      </c>
      <c r="O14" s="41" t="str">
        <f t="shared" si="1"/>
        <v/>
      </c>
      <c r="P14" s="41" t="str">
        <f t="shared" si="2"/>
        <v/>
      </c>
      <c r="Q14" s="41" t="str">
        <f t="shared" si="2"/>
        <v/>
      </c>
      <c r="R14" s="41" t="str">
        <f t="shared" si="2"/>
        <v/>
      </c>
      <c r="S14" s="41" t="str">
        <f t="shared" si="2"/>
        <v>18</v>
      </c>
      <c r="T14" s="41" t="str">
        <f t="shared" si="2"/>
        <v>退</v>
      </c>
      <c r="U14" s="41" t="str">
        <f t="shared" si="2"/>
        <v/>
      </c>
      <c r="V14" s="41" t="str">
        <f t="shared" si="2"/>
        <v/>
      </c>
      <c r="W14" s="41" t="str">
        <f t="shared" si="2"/>
        <v>否</v>
      </c>
    </row>
    <row r="15" spans="1:24">
      <c r="A15" s="42">
        <v>51</v>
      </c>
      <c r="B15" t="s">
        <v>493</v>
      </c>
      <c r="C15" t="s">
        <v>237</v>
      </c>
      <c r="E15" s="56" t="s">
        <v>307</v>
      </c>
      <c r="F15" s="41" t="str">
        <f t="shared" si="0"/>
        <v/>
      </c>
      <c r="G15" s="41" t="str">
        <f t="shared" si="1"/>
        <v>輪休</v>
      </c>
      <c r="H15" s="41" t="str">
        <f t="shared" si="1"/>
        <v>輪休</v>
      </c>
      <c r="I15" s="41" t="str">
        <f t="shared" si="1"/>
        <v>輪休</v>
      </c>
      <c r="J15" s="41" t="str">
        <f t="shared" si="1"/>
        <v>輪休</v>
      </c>
      <c r="K15" s="41" t="str">
        <f t="shared" si="1"/>
        <v>輪休</v>
      </c>
      <c r="L15" s="41" t="str">
        <f t="shared" si="1"/>
        <v>輪休</v>
      </c>
      <c r="M15" s="41" t="str">
        <f t="shared" si="1"/>
        <v>輪休</v>
      </c>
      <c r="N15" s="41" t="str">
        <f t="shared" si="1"/>
        <v>輪休</v>
      </c>
      <c r="O15" s="41" t="str">
        <f t="shared" si="1"/>
        <v>輪休</v>
      </c>
      <c r="P15" s="41" t="str">
        <f t="shared" si="2"/>
        <v>輪休</v>
      </c>
      <c r="Q15" s="41" t="str">
        <f t="shared" si="2"/>
        <v>輪休</v>
      </c>
      <c r="R15" s="41" t="str">
        <f t="shared" si="2"/>
        <v>輪休</v>
      </c>
      <c r="S15" s="41" t="str">
        <f t="shared" si="2"/>
        <v/>
      </c>
      <c r="T15" s="41" t="str">
        <f t="shared" si="2"/>
        <v>假</v>
      </c>
      <c r="U15" s="41" t="str">
        <f t="shared" si="2"/>
        <v/>
      </c>
      <c r="V15" s="41" t="str">
        <f t="shared" si="2"/>
        <v/>
      </c>
      <c r="W15" s="41" t="str">
        <f t="shared" si="2"/>
        <v/>
      </c>
    </row>
    <row r="16" spans="1:24">
      <c r="A16" s="42">
        <v>52</v>
      </c>
      <c r="B16" t="s">
        <v>494</v>
      </c>
      <c r="C16" t="s">
        <v>237</v>
      </c>
      <c r="E16" s="56" t="s">
        <v>307</v>
      </c>
      <c r="F16" s="41" t="str">
        <f t="shared" si="0"/>
        <v/>
      </c>
      <c r="G16" s="41" t="str">
        <f t="shared" si="1"/>
        <v>輪休</v>
      </c>
      <c r="H16" s="41" t="str">
        <f t="shared" si="1"/>
        <v>輪休</v>
      </c>
      <c r="I16" s="41" t="str">
        <f t="shared" si="1"/>
        <v>輪休</v>
      </c>
      <c r="J16" s="41" t="str">
        <f t="shared" si="1"/>
        <v>輪休</v>
      </c>
      <c r="K16" s="41" t="str">
        <f t="shared" si="1"/>
        <v>輪休</v>
      </c>
      <c r="L16" s="41" t="str">
        <f t="shared" si="1"/>
        <v>輪休</v>
      </c>
      <c r="M16" s="41" t="str">
        <f t="shared" si="1"/>
        <v>輪休</v>
      </c>
      <c r="N16" s="41" t="str">
        <f t="shared" si="1"/>
        <v>輪休</v>
      </c>
      <c r="O16" s="41" t="str">
        <f t="shared" si="1"/>
        <v>輪休</v>
      </c>
      <c r="P16" s="41" t="str">
        <f t="shared" si="2"/>
        <v>輪休</v>
      </c>
      <c r="Q16" s="41" t="str">
        <f t="shared" si="2"/>
        <v>輪休</v>
      </c>
      <c r="R16" s="41" t="str">
        <f t="shared" si="2"/>
        <v>輪休</v>
      </c>
      <c r="S16" s="41" t="str">
        <f t="shared" si="2"/>
        <v/>
      </c>
      <c r="T16" s="41" t="str">
        <f t="shared" si="2"/>
        <v>假</v>
      </c>
      <c r="U16" s="41" t="str">
        <f t="shared" si="2"/>
        <v/>
      </c>
      <c r="V16" s="41" t="str">
        <f t="shared" si="2"/>
        <v/>
      </c>
      <c r="W16" s="41" t="str">
        <f t="shared" si="2"/>
        <v/>
      </c>
    </row>
    <row r="17" spans="1:23">
      <c r="A17" s="42">
        <v>53</v>
      </c>
      <c r="B17" t="s">
        <v>495</v>
      </c>
      <c r="C17" t="s">
        <v>237</v>
      </c>
      <c r="E17" s="56" t="s">
        <v>68</v>
      </c>
      <c r="F17" s="41" t="str">
        <f t="shared" si="0"/>
        <v/>
      </c>
      <c r="G17" s="41" t="str">
        <f t="shared" si="1"/>
        <v>支援總(大)隊</v>
      </c>
      <c r="H17" s="41" t="str">
        <f t="shared" si="1"/>
        <v>支援總(大)隊</v>
      </c>
      <c r="I17" s="41" t="str">
        <f t="shared" si="1"/>
        <v>支援總(大)隊</v>
      </c>
      <c r="J17" s="41" t="str">
        <f t="shared" si="1"/>
        <v>支援總(大)隊</v>
      </c>
      <c r="K17" s="41" t="str">
        <f t="shared" si="1"/>
        <v>支援總(大)隊</v>
      </c>
      <c r="L17" s="41" t="str">
        <f t="shared" si="1"/>
        <v>支援總(大)隊</v>
      </c>
      <c r="M17" s="41" t="str">
        <f t="shared" si="1"/>
        <v>支援總(大)隊</v>
      </c>
      <c r="N17" s="41" t="str">
        <f t="shared" si="1"/>
        <v>支援總(大)隊</v>
      </c>
      <c r="O17" s="41" t="str">
        <f t="shared" si="1"/>
        <v>支援總(大)隊</v>
      </c>
      <c r="P17" s="41" t="str">
        <f t="shared" si="2"/>
        <v>支援總(大)隊</v>
      </c>
      <c r="Q17" s="41" t="str">
        <f t="shared" si="2"/>
        <v>支援總(大)隊</v>
      </c>
      <c r="R17" s="41" t="str">
        <f t="shared" si="2"/>
        <v>支援總(大)隊</v>
      </c>
      <c r="S17" s="41" t="str">
        <f t="shared" si="2"/>
        <v/>
      </c>
      <c r="T17" s="41" t="str">
        <f t="shared" si="2"/>
        <v/>
      </c>
      <c r="U17" s="41" t="str">
        <f t="shared" si="2"/>
        <v/>
      </c>
      <c r="V17" s="41" t="str">
        <f t="shared" si="2"/>
        <v/>
      </c>
      <c r="W17" s="41" t="str">
        <f t="shared" si="2"/>
        <v/>
      </c>
    </row>
    <row r="18" spans="1:23">
      <c r="A18" s="42">
        <v>54</v>
      </c>
      <c r="B18" t="s">
        <v>496</v>
      </c>
      <c r="C18" t="s">
        <v>237</v>
      </c>
      <c r="E18" s="56" t="s">
        <v>68</v>
      </c>
      <c r="F18" s="41" t="str">
        <f t="shared" si="0"/>
        <v/>
      </c>
      <c r="G18" s="41" t="str">
        <f t="shared" si="0"/>
        <v>支援總(大)隊</v>
      </c>
      <c r="H18" s="41" t="str">
        <f t="shared" si="0"/>
        <v>支援總(大)隊</v>
      </c>
      <c r="I18" s="41" t="str">
        <f t="shared" si="0"/>
        <v>支援總(大)隊</v>
      </c>
      <c r="J18" s="41" t="str">
        <f t="shared" si="0"/>
        <v>支援總(大)隊</v>
      </c>
      <c r="K18" s="41" t="str">
        <f t="shared" si="0"/>
        <v>支援總(大)隊</v>
      </c>
      <c r="L18" s="41" t="str">
        <f t="shared" si="0"/>
        <v>支援總(大)隊</v>
      </c>
      <c r="M18" s="41" t="str">
        <f t="shared" si="0"/>
        <v>支援總(大)隊</v>
      </c>
      <c r="N18" s="41" t="str">
        <f t="shared" si="0"/>
        <v>支援總(大)隊</v>
      </c>
      <c r="O18" s="41" t="str">
        <f t="shared" si="0"/>
        <v>支援總(大)隊</v>
      </c>
      <c r="P18" s="41" t="str">
        <f t="shared" si="0"/>
        <v>支援總(大)隊</v>
      </c>
      <c r="Q18" s="41" t="str">
        <f t="shared" si="0"/>
        <v>支援總(大)隊</v>
      </c>
      <c r="R18" s="41" t="str">
        <f t="shared" si="0"/>
        <v>支援總(大)隊</v>
      </c>
      <c r="S18" s="41" t="str">
        <f t="shared" si="0"/>
        <v/>
      </c>
      <c r="T18" s="41" t="str">
        <f t="shared" si="0"/>
        <v/>
      </c>
      <c r="U18" s="41" t="str">
        <f t="shared" si="0"/>
        <v/>
      </c>
      <c r="V18" s="41" t="str">
        <f t="shared" ref="P18:W20" si="3">ColumnValueFromJobDefinition($E18, V$1)</f>
        <v/>
      </c>
      <c r="W18" s="41" t="str">
        <f t="shared" si="3"/>
        <v/>
      </c>
    </row>
    <row r="19" spans="1:23">
      <c r="A19" s="42">
        <v>55</v>
      </c>
      <c r="B19" t="s">
        <v>497</v>
      </c>
      <c r="C19" t="s">
        <v>237</v>
      </c>
      <c r="E19" s="56" t="s">
        <v>68</v>
      </c>
      <c r="F19" s="41" t="str">
        <f t="shared" ref="F19:O20" si="4">ColumnValueFromJobDefinition($E19, F$1)</f>
        <v/>
      </c>
      <c r="G19" s="41" t="str">
        <f t="shared" si="4"/>
        <v>支援總(大)隊</v>
      </c>
      <c r="H19" s="41" t="str">
        <f t="shared" si="4"/>
        <v>支援總(大)隊</v>
      </c>
      <c r="I19" s="41" t="str">
        <f t="shared" si="4"/>
        <v>支援總(大)隊</v>
      </c>
      <c r="J19" s="41" t="str">
        <f t="shared" si="4"/>
        <v>支援總(大)隊</v>
      </c>
      <c r="K19" s="41" t="str">
        <f t="shared" si="4"/>
        <v>支援總(大)隊</v>
      </c>
      <c r="L19" s="41" t="str">
        <f t="shared" si="4"/>
        <v>支援總(大)隊</v>
      </c>
      <c r="M19" s="41" t="str">
        <f t="shared" si="4"/>
        <v>支援總(大)隊</v>
      </c>
      <c r="N19" s="41" t="str">
        <f t="shared" si="4"/>
        <v>支援總(大)隊</v>
      </c>
      <c r="O19" s="41" t="str">
        <f t="shared" si="4"/>
        <v>支援總(大)隊</v>
      </c>
      <c r="P19" s="41" t="str">
        <f t="shared" si="3"/>
        <v>支援總(大)隊</v>
      </c>
      <c r="Q19" s="41" t="str">
        <f t="shared" si="3"/>
        <v>支援總(大)隊</v>
      </c>
      <c r="R19" s="41" t="str">
        <f t="shared" si="3"/>
        <v>支援總(大)隊</v>
      </c>
      <c r="S19" s="41" t="str">
        <f t="shared" si="3"/>
        <v/>
      </c>
      <c r="T19" s="41" t="str">
        <f t="shared" si="3"/>
        <v/>
      </c>
      <c r="U19" s="41" t="str">
        <f t="shared" si="3"/>
        <v/>
      </c>
      <c r="V19" s="41" t="str">
        <f t="shared" si="3"/>
        <v/>
      </c>
      <c r="W19" s="41" t="str">
        <f t="shared" si="3"/>
        <v/>
      </c>
    </row>
    <row r="20" spans="1:23">
      <c r="A20" s="42">
        <v>56</v>
      </c>
      <c r="B20" t="s">
        <v>498</v>
      </c>
      <c r="C20" t="s">
        <v>237</v>
      </c>
      <c r="E20" s="56" t="s">
        <v>68</v>
      </c>
      <c r="F20" s="41" t="str">
        <f t="shared" si="4"/>
        <v/>
      </c>
      <c r="G20" s="41" t="str">
        <f t="shared" si="4"/>
        <v>支援總(大)隊</v>
      </c>
      <c r="H20" s="41" t="str">
        <f t="shared" si="4"/>
        <v>支援總(大)隊</v>
      </c>
      <c r="I20" s="41" t="str">
        <f t="shared" si="4"/>
        <v>支援總(大)隊</v>
      </c>
      <c r="J20" s="41" t="str">
        <f t="shared" si="4"/>
        <v>支援總(大)隊</v>
      </c>
      <c r="K20" s="41" t="str">
        <f t="shared" si="4"/>
        <v>支援總(大)隊</v>
      </c>
      <c r="L20" s="41" t="str">
        <f t="shared" si="4"/>
        <v>支援總(大)隊</v>
      </c>
      <c r="M20" s="41" t="str">
        <f t="shared" si="4"/>
        <v>支援總(大)隊</v>
      </c>
      <c r="N20" s="41" t="str">
        <f t="shared" si="4"/>
        <v>支援總(大)隊</v>
      </c>
      <c r="O20" s="41" t="str">
        <f t="shared" si="4"/>
        <v>支援總(大)隊</v>
      </c>
      <c r="P20" s="41" t="str">
        <f t="shared" si="3"/>
        <v>支援總(大)隊</v>
      </c>
      <c r="Q20" s="41" t="str">
        <f t="shared" si="3"/>
        <v>支援總(大)隊</v>
      </c>
      <c r="R20" s="41" t="str">
        <f t="shared" si="3"/>
        <v>支援總(大)隊</v>
      </c>
      <c r="S20" s="41" t="str">
        <f t="shared" si="3"/>
        <v/>
      </c>
      <c r="T20" s="41" t="str">
        <f t="shared" si="3"/>
        <v/>
      </c>
      <c r="U20" s="41" t="str">
        <f t="shared" si="3"/>
        <v/>
      </c>
      <c r="V20" s="41" t="str">
        <f t="shared" si="3"/>
        <v/>
      </c>
      <c r="W20" s="41" t="str">
        <f t="shared" si="3"/>
        <v/>
      </c>
    </row>
    <row r="27" spans="1:23">
      <c r="F27" s="56"/>
    </row>
  </sheetData>
  <phoneticPr fontId="2" type="noConversion"/>
  <conditionalFormatting sqref="E2:E20">
    <cfRule type="containsBlanks" dxfId="1" priority="8">
      <formula>LEN(TRIM(E2))=0</formula>
    </cfRule>
  </conditionalFormatting>
  <dataValidations count="1">
    <dataValidation type="list" allowBlank="1" showInputMessage="1" showErrorMessage="1" sqref="E66:E65501">
      <formula1>$A$3:$A$24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勤務定義!$A$2:$A$200</xm:f>
          </x14:formula1>
          <xm:sqref>E46:E65 E2:E24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/>
  </sheetPr>
  <dimension ref="A1:S37"/>
  <sheetViews>
    <sheetView workbookViewId="0">
      <selection activeCell="E16" sqref="E16"/>
    </sheetView>
  </sheetViews>
  <sheetFormatPr defaultRowHeight="16.5"/>
  <cols>
    <col min="1" max="1" width="9" style="42"/>
    <col min="2" max="4" width="9" style="40"/>
    <col min="5" max="5" width="14.75" style="59" customWidth="1"/>
    <col min="6" max="6" width="11.625" style="57" customWidth="1"/>
    <col min="7" max="10" width="9" style="57"/>
    <col min="13" max="13" width="26.125" style="57" bestFit="1" customWidth="1"/>
    <col min="14" max="18" width="9" style="57"/>
  </cols>
  <sheetData>
    <row r="1" spans="1:19">
      <c r="A1" s="42" t="s">
        <v>134</v>
      </c>
      <c r="B1" s="40" t="s">
        <v>208</v>
      </c>
      <c r="C1" s="40" t="s">
        <v>142</v>
      </c>
      <c r="D1" s="40" t="s">
        <v>241</v>
      </c>
      <c r="E1" s="59" t="s">
        <v>135</v>
      </c>
      <c r="F1" s="57" t="s">
        <v>145</v>
      </c>
      <c r="G1" s="57" t="s">
        <v>150</v>
      </c>
      <c r="H1" s="57" t="s">
        <v>149</v>
      </c>
      <c r="I1" s="57" t="s">
        <v>151</v>
      </c>
      <c r="J1" s="57" t="s">
        <v>209</v>
      </c>
      <c r="K1" s="57" t="s">
        <v>552</v>
      </c>
      <c r="M1" s="59" t="s">
        <v>135</v>
      </c>
      <c r="N1" s="57" t="s">
        <v>145</v>
      </c>
      <c r="O1" s="57" t="s">
        <v>150</v>
      </c>
      <c r="P1" s="57" t="s">
        <v>149</v>
      </c>
      <c r="Q1" s="57" t="s">
        <v>151</v>
      </c>
      <c r="R1" s="57" t="s">
        <v>209</v>
      </c>
      <c r="S1" s="57" t="s">
        <v>552</v>
      </c>
    </row>
    <row r="2" spans="1:19" s="55" customFormat="1" ht="16.5" customHeight="1">
      <c r="A2" s="266">
        <v>1</v>
      </c>
      <c r="B2" s="267" t="s">
        <v>719</v>
      </c>
      <c r="C2" s="40" t="s">
        <v>143</v>
      </c>
      <c r="D2" s="40" t="s">
        <v>242</v>
      </c>
      <c r="E2" s="56" t="s">
        <v>711</v>
      </c>
      <c r="F2" s="58" t="str">
        <f t="shared" ref="F2:F18" si="0">VLOOKUP($E2, $M$1:$R$25, 2, FALSE)</f>
        <v>假</v>
      </c>
      <c r="G2" s="58" t="str">
        <f t="shared" ref="G2:G18" si="1">VLOOKUP($E2, $M$1:$R$25, 3, FALSE)</f>
        <v/>
      </c>
      <c r="H2" s="58" t="str">
        <f t="shared" ref="H2:H18" si="2">VLOOKUP($E2, $M$1:$R$25, 4, FALSE)</f>
        <v/>
      </c>
      <c r="I2" s="58" t="str">
        <f t="shared" ref="I2:I18" si="3">VLOOKUP($E2, $M$1:$R$25, 5, FALSE)</f>
        <v/>
      </c>
      <c r="J2" s="58" t="str">
        <f t="shared" ref="J2:J18" si="4">VLOOKUP($E2, $M$1:$R$25,6, FALSE)</f>
        <v/>
      </c>
      <c r="K2" s="58" t="str">
        <f t="shared" ref="K2:K18" si="5">VLOOKUP($E2, $M$1:$S$25,7, FALSE)</f>
        <v xml:space="preserve"> </v>
      </c>
      <c r="M2" s="57" t="s">
        <v>146</v>
      </c>
      <c r="N2" s="57" t="s">
        <v>228</v>
      </c>
      <c r="O2" s="58" t="s">
        <v>221</v>
      </c>
      <c r="P2" s="58" t="str">
        <f>""</f>
        <v/>
      </c>
      <c r="Q2" s="58" t="s">
        <v>223</v>
      </c>
      <c r="R2" s="58" t="s">
        <v>224</v>
      </c>
      <c r="S2" s="58" t="s">
        <v>555</v>
      </c>
    </row>
    <row r="3" spans="1:19">
      <c r="A3" s="266">
        <v>2</v>
      </c>
      <c r="B3" s="267" t="s">
        <v>720</v>
      </c>
      <c r="C3" s="54" t="s">
        <v>143</v>
      </c>
      <c r="D3" s="40" t="s">
        <v>242</v>
      </c>
      <c r="E3" s="56" t="s">
        <v>695</v>
      </c>
      <c r="F3" s="58" t="str">
        <f t="shared" si="0"/>
        <v/>
      </c>
      <c r="G3" s="58" t="str">
        <f t="shared" si="1"/>
        <v>是</v>
      </c>
      <c r="H3" s="58" t="str">
        <f t="shared" si="2"/>
        <v>是</v>
      </c>
      <c r="I3" s="58" t="str">
        <f t="shared" si="3"/>
        <v>是</v>
      </c>
      <c r="J3" s="58" t="str">
        <f t="shared" si="4"/>
        <v>是</v>
      </c>
      <c r="K3" s="58" t="str">
        <f t="shared" si="5"/>
        <v>是</v>
      </c>
      <c r="M3" s="58" t="s">
        <v>226</v>
      </c>
      <c r="N3" s="58" t="s">
        <v>220</v>
      </c>
      <c r="O3" s="57" t="str">
        <f>""</f>
        <v/>
      </c>
      <c r="P3" s="57" t="s">
        <v>222</v>
      </c>
      <c r="Q3" s="57" t="str">
        <f>""</f>
        <v/>
      </c>
      <c r="R3" s="57" t="str">
        <f>""</f>
        <v/>
      </c>
      <c r="S3" t="s">
        <v>553</v>
      </c>
    </row>
    <row r="4" spans="1:19">
      <c r="A4" s="266">
        <v>3</v>
      </c>
      <c r="B4" s="267" t="s">
        <v>727</v>
      </c>
      <c r="C4" s="40" t="s">
        <v>143</v>
      </c>
      <c r="D4" s="40" t="s">
        <v>242</v>
      </c>
      <c r="E4" s="56" t="s">
        <v>751</v>
      </c>
      <c r="F4" s="58" t="str">
        <f t="shared" si="0"/>
        <v>假</v>
      </c>
      <c r="G4" s="58" t="str">
        <f t="shared" si="1"/>
        <v/>
      </c>
      <c r="H4" s="58" t="str">
        <f t="shared" si="2"/>
        <v>是</v>
      </c>
      <c r="I4" s="58" t="str">
        <f t="shared" si="3"/>
        <v/>
      </c>
      <c r="J4" s="58" t="str">
        <f t="shared" si="4"/>
        <v/>
      </c>
      <c r="K4" s="58" t="str">
        <f t="shared" si="5"/>
        <v>是</v>
      </c>
      <c r="M4" s="57" t="s">
        <v>148</v>
      </c>
      <c r="N4" s="58" t="str">
        <f>""</f>
        <v/>
      </c>
      <c r="O4" s="57" t="s">
        <v>225</v>
      </c>
      <c r="P4" s="57" t="s">
        <v>221</v>
      </c>
      <c r="Q4" s="57" t="s">
        <v>225</v>
      </c>
      <c r="R4" s="57" t="s">
        <v>224</v>
      </c>
      <c r="S4" s="57" t="s">
        <v>553</v>
      </c>
    </row>
    <row r="5" spans="1:19">
      <c r="A5" s="266">
        <v>4</v>
      </c>
      <c r="B5" s="267" t="s">
        <v>718</v>
      </c>
      <c r="C5" s="40" t="s">
        <v>210</v>
      </c>
      <c r="D5" s="40" t="s">
        <v>242</v>
      </c>
      <c r="E5" s="56" t="s">
        <v>695</v>
      </c>
      <c r="F5" s="58" t="str">
        <f t="shared" si="0"/>
        <v/>
      </c>
      <c r="G5" s="58" t="str">
        <f t="shared" si="1"/>
        <v>是</v>
      </c>
      <c r="H5" s="58" t="str">
        <f t="shared" si="2"/>
        <v>是</v>
      </c>
      <c r="I5" s="58" t="str">
        <f t="shared" si="3"/>
        <v>是</v>
      </c>
      <c r="J5" s="58" t="str">
        <f t="shared" si="4"/>
        <v>是</v>
      </c>
      <c r="K5" s="58" t="str">
        <f t="shared" si="5"/>
        <v>是</v>
      </c>
      <c r="M5" s="57" t="s">
        <v>147</v>
      </c>
      <c r="N5" s="58" t="s">
        <v>220</v>
      </c>
      <c r="O5" s="57" t="str">
        <f>""</f>
        <v/>
      </c>
      <c r="P5" s="57" t="str">
        <f>""</f>
        <v/>
      </c>
      <c r="Q5" s="57" t="str">
        <f>""</f>
        <v/>
      </c>
      <c r="R5" s="57" t="str">
        <f>""</f>
        <v/>
      </c>
      <c r="S5" s="57" t="s">
        <v>556</v>
      </c>
    </row>
    <row r="6" spans="1:19">
      <c r="A6" s="266">
        <v>5</v>
      </c>
      <c r="B6" s="267" t="s">
        <v>721</v>
      </c>
      <c r="C6" s="40" t="s">
        <v>210</v>
      </c>
      <c r="D6" s="40" t="s">
        <v>242</v>
      </c>
      <c r="E6" s="56" t="s">
        <v>752</v>
      </c>
      <c r="F6" s="58" t="str">
        <f t="shared" si="0"/>
        <v/>
      </c>
      <c r="G6" s="58" t="str">
        <f t="shared" si="1"/>
        <v/>
      </c>
      <c r="H6" s="58" t="str">
        <f t="shared" si="2"/>
        <v/>
      </c>
      <c r="I6" s="58" t="str">
        <f t="shared" si="3"/>
        <v/>
      </c>
      <c r="J6" s="58" t="str">
        <f t="shared" si="4"/>
        <v/>
      </c>
      <c r="K6" s="58" t="str">
        <f t="shared" si="5"/>
        <v>是</v>
      </c>
      <c r="M6" s="57" t="s">
        <v>297</v>
      </c>
      <c r="N6" s="57" t="s">
        <v>140</v>
      </c>
      <c r="O6" s="58" t="s">
        <v>141</v>
      </c>
      <c r="P6" s="58" t="str">
        <f>""</f>
        <v/>
      </c>
      <c r="Q6" s="58" t="s">
        <v>141</v>
      </c>
      <c r="R6" s="57" t="str">
        <f>""</f>
        <v/>
      </c>
      <c r="S6" s="57" t="s">
        <v>557</v>
      </c>
    </row>
    <row r="7" spans="1:19">
      <c r="A7" s="266">
        <v>6</v>
      </c>
      <c r="B7" s="267" t="s">
        <v>717</v>
      </c>
      <c r="C7" s="40" t="s">
        <v>210</v>
      </c>
      <c r="D7" s="40" t="s">
        <v>242</v>
      </c>
      <c r="E7" s="56" t="s">
        <v>695</v>
      </c>
      <c r="F7" s="58" t="str">
        <f t="shared" si="0"/>
        <v/>
      </c>
      <c r="G7" s="58" t="str">
        <f t="shared" si="1"/>
        <v>是</v>
      </c>
      <c r="H7" s="58" t="str">
        <f t="shared" si="2"/>
        <v>是</v>
      </c>
      <c r="I7" s="58" t="str">
        <f t="shared" si="3"/>
        <v>是</v>
      </c>
      <c r="J7" s="58" t="str">
        <f t="shared" si="4"/>
        <v>是</v>
      </c>
      <c r="K7" s="58" t="str">
        <f t="shared" si="5"/>
        <v>是</v>
      </c>
      <c r="M7" s="57" t="s">
        <v>300</v>
      </c>
      <c r="N7" s="58" t="str">
        <f>""</f>
        <v/>
      </c>
      <c r="O7" s="57" t="s">
        <v>225</v>
      </c>
      <c r="P7" s="57" t="s">
        <v>141</v>
      </c>
      <c r="Q7" s="57" t="s">
        <v>225</v>
      </c>
      <c r="R7" s="57" t="str">
        <f>""</f>
        <v/>
      </c>
      <c r="S7" s="57" t="s">
        <v>554</v>
      </c>
    </row>
    <row r="8" spans="1:19">
      <c r="A8" s="266">
        <v>7</v>
      </c>
      <c r="B8" s="267" t="s">
        <v>722</v>
      </c>
      <c r="C8" s="40" t="s">
        <v>143</v>
      </c>
      <c r="D8" s="40" t="s">
        <v>242</v>
      </c>
      <c r="E8" s="56" t="s">
        <v>751</v>
      </c>
      <c r="F8" s="58" t="str">
        <f t="shared" si="0"/>
        <v>假</v>
      </c>
      <c r="G8" s="58" t="str">
        <f t="shared" si="1"/>
        <v/>
      </c>
      <c r="H8" s="58" t="str">
        <f t="shared" si="2"/>
        <v>是</v>
      </c>
      <c r="I8" s="58" t="str">
        <f t="shared" si="3"/>
        <v/>
      </c>
      <c r="J8" s="58" t="str">
        <f t="shared" si="4"/>
        <v/>
      </c>
      <c r="K8" s="58" t="str">
        <f t="shared" si="5"/>
        <v>是</v>
      </c>
      <c r="M8" s="57" t="s">
        <v>444</v>
      </c>
      <c r="N8" s="57" t="s">
        <v>250</v>
      </c>
      <c r="O8" s="57" t="str">
        <f>""</f>
        <v/>
      </c>
      <c r="P8" s="57" t="str">
        <f>""</f>
        <v/>
      </c>
      <c r="Q8" s="57" t="str">
        <f>""</f>
        <v/>
      </c>
      <c r="R8" s="57" t="str">
        <f>""</f>
        <v/>
      </c>
      <c r="S8" s="57" t="s">
        <v>558</v>
      </c>
    </row>
    <row r="9" spans="1:19">
      <c r="A9" s="266">
        <v>8</v>
      </c>
      <c r="B9" s="267" t="s">
        <v>723</v>
      </c>
      <c r="C9" s="40" t="s">
        <v>143</v>
      </c>
      <c r="D9" s="40" t="s">
        <v>242</v>
      </c>
      <c r="E9" s="56" t="s">
        <v>751</v>
      </c>
      <c r="F9" s="58" t="str">
        <f t="shared" si="0"/>
        <v>假</v>
      </c>
      <c r="G9" s="58" t="str">
        <f t="shared" si="1"/>
        <v/>
      </c>
      <c r="H9" s="58" t="str">
        <f t="shared" si="2"/>
        <v>是</v>
      </c>
      <c r="I9" s="58" t="str">
        <f t="shared" si="3"/>
        <v/>
      </c>
      <c r="J9" s="58" t="str">
        <f t="shared" si="4"/>
        <v/>
      </c>
      <c r="K9" s="58" t="str">
        <f t="shared" si="5"/>
        <v>是</v>
      </c>
      <c r="M9" s="57" t="s">
        <v>251</v>
      </c>
      <c r="N9" s="57" t="s">
        <v>250</v>
      </c>
      <c r="O9" s="57" t="str">
        <f>""</f>
        <v/>
      </c>
      <c r="P9" s="57" t="str">
        <f>""</f>
        <v/>
      </c>
      <c r="Q9" s="57" t="str">
        <f>""</f>
        <v/>
      </c>
      <c r="R9" s="57" t="str">
        <f>""</f>
        <v/>
      </c>
      <c r="S9" s="57" t="s">
        <v>559</v>
      </c>
    </row>
    <row r="10" spans="1:19">
      <c r="A10" s="266">
        <v>9</v>
      </c>
      <c r="B10" s="267" t="s">
        <v>724</v>
      </c>
      <c r="C10" s="40" t="s">
        <v>143</v>
      </c>
      <c r="D10" s="40" t="s">
        <v>242</v>
      </c>
      <c r="E10" s="56" t="s">
        <v>695</v>
      </c>
      <c r="F10" s="58" t="str">
        <f t="shared" si="0"/>
        <v/>
      </c>
      <c r="G10" s="58" t="str">
        <f t="shared" si="1"/>
        <v>是</v>
      </c>
      <c r="H10" s="58" t="str">
        <f t="shared" si="2"/>
        <v>是</v>
      </c>
      <c r="I10" s="58" t="str">
        <f t="shared" si="3"/>
        <v>是</v>
      </c>
      <c r="J10" s="58" t="str">
        <f t="shared" si="4"/>
        <v>是</v>
      </c>
      <c r="K10" s="58" t="str">
        <f t="shared" si="5"/>
        <v>是</v>
      </c>
      <c r="M10" s="57" t="s">
        <v>252</v>
      </c>
      <c r="N10" s="57" t="s">
        <v>254</v>
      </c>
      <c r="O10" s="57" t="s">
        <v>253</v>
      </c>
      <c r="P10" s="57" t="str">
        <f>""</f>
        <v/>
      </c>
      <c r="Q10" s="57" t="s">
        <v>253</v>
      </c>
      <c r="R10" s="57" t="str">
        <f>""</f>
        <v/>
      </c>
      <c r="S10" s="57" t="s">
        <v>557</v>
      </c>
    </row>
    <row r="11" spans="1:19">
      <c r="A11" s="266">
        <v>10</v>
      </c>
      <c r="B11" s="267" t="s">
        <v>725</v>
      </c>
      <c r="C11" s="40" t="s">
        <v>143</v>
      </c>
      <c r="D11" s="40" t="s">
        <v>242</v>
      </c>
      <c r="E11" s="56" t="s">
        <v>751</v>
      </c>
      <c r="F11" s="58" t="str">
        <f t="shared" si="0"/>
        <v>假</v>
      </c>
      <c r="G11" s="58" t="str">
        <f t="shared" si="1"/>
        <v/>
      </c>
      <c r="H11" s="58" t="str">
        <f t="shared" si="2"/>
        <v>是</v>
      </c>
      <c r="I11" s="58" t="str">
        <f t="shared" si="3"/>
        <v/>
      </c>
      <c r="J11" s="58" t="str">
        <f t="shared" si="4"/>
        <v/>
      </c>
      <c r="K11" s="58" t="str">
        <f t="shared" si="5"/>
        <v>是</v>
      </c>
      <c r="M11" s="57" t="s">
        <v>449</v>
      </c>
      <c r="N11" s="57" t="str">
        <f>""</f>
        <v/>
      </c>
      <c r="O11" s="57" t="str">
        <f>""</f>
        <v/>
      </c>
      <c r="P11" s="57" t="str">
        <f>""</f>
        <v/>
      </c>
      <c r="Q11" s="57" t="str">
        <f>""</f>
        <v/>
      </c>
      <c r="R11" s="57" t="str">
        <f>""</f>
        <v/>
      </c>
      <c r="S11" s="57" t="s">
        <v>559</v>
      </c>
    </row>
    <row r="12" spans="1:19">
      <c r="A12" s="266">
        <v>11</v>
      </c>
      <c r="B12" s="267" t="s">
        <v>726</v>
      </c>
      <c r="C12" s="40" t="s">
        <v>143</v>
      </c>
      <c r="D12" s="40" t="s">
        <v>242</v>
      </c>
      <c r="E12" s="56" t="s">
        <v>695</v>
      </c>
      <c r="F12" s="58" t="str">
        <f t="shared" si="0"/>
        <v/>
      </c>
      <c r="G12" s="58" t="str">
        <f t="shared" si="1"/>
        <v>是</v>
      </c>
      <c r="H12" s="58" t="str">
        <f t="shared" si="2"/>
        <v>是</v>
      </c>
      <c r="I12" s="58" t="str">
        <f t="shared" si="3"/>
        <v>是</v>
      </c>
      <c r="J12" s="58" t="str">
        <f t="shared" si="4"/>
        <v>是</v>
      </c>
      <c r="K12" s="58" t="str">
        <f t="shared" si="5"/>
        <v>是</v>
      </c>
      <c r="M12" s="57" t="s">
        <v>754</v>
      </c>
      <c r="N12" s="57" t="str">
        <f>""</f>
        <v/>
      </c>
      <c r="O12" s="57" t="str">
        <f>""</f>
        <v/>
      </c>
      <c r="P12" s="57" t="str">
        <f>""</f>
        <v/>
      </c>
      <c r="Q12" s="57" t="str">
        <f>""</f>
        <v/>
      </c>
      <c r="R12" s="57" t="str">
        <f>""</f>
        <v/>
      </c>
      <c r="S12" s="57" t="s">
        <v>756</v>
      </c>
    </row>
    <row r="13" spans="1:19">
      <c r="A13" s="266">
        <v>12</v>
      </c>
      <c r="B13" s="267" t="s">
        <v>728</v>
      </c>
      <c r="C13" s="40" t="s">
        <v>143</v>
      </c>
      <c r="D13" s="40" t="s">
        <v>242</v>
      </c>
      <c r="E13" s="56" t="s">
        <v>695</v>
      </c>
      <c r="F13" s="58" t="str">
        <f t="shared" si="0"/>
        <v/>
      </c>
      <c r="G13" s="58" t="str">
        <f t="shared" si="1"/>
        <v>是</v>
      </c>
      <c r="H13" s="58" t="str">
        <f t="shared" si="2"/>
        <v>是</v>
      </c>
      <c r="I13" s="58" t="str">
        <f t="shared" si="3"/>
        <v>是</v>
      </c>
      <c r="J13" s="58" t="str">
        <f t="shared" si="4"/>
        <v>是</v>
      </c>
      <c r="K13" s="58" t="str">
        <f t="shared" si="5"/>
        <v>是</v>
      </c>
      <c r="M13" s="57" t="s">
        <v>765</v>
      </c>
      <c r="N13" s="57" t="str">
        <f>""</f>
        <v/>
      </c>
      <c r="O13" s="57" t="str">
        <f>""</f>
        <v/>
      </c>
      <c r="P13" s="57" t="str">
        <f>""</f>
        <v/>
      </c>
      <c r="Q13" s="57" t="str">
        <f>""</f>
        <v/>
      </c>
      <c r="R13" s="57" t="str">
        <f>""</f>
        <v/>
      </c>
      <c r="S13" s="57" t="s">
        <v>757</v>
      </c>
    </row>
    <row r="14" spans="1:19">
      <c r="A14" s="266">
        <v>13</v>
      </c>
      <c r="B14" s="267" t="s">
        <v>729</v>
      </c>
      <c r="C14" s="40" t="s">
        <v>143</v>
      </c>
      <c r="D14" s="40" t="s">
        <v>242</v>
      </c>
      <c r="E14" s="56" t="s">
        <v>751</v>
      </c>
      <c r="F14" s="58" t="str">
        <f t="shared" si="0"/>
        <v>假</v>
      </c>
      <c r="G14" s="58" t="str">
        <f t="shared" si="1"/>
        <v/>
      </c>
      <c r="H14" s="58" t="str">
        <f t="shared" si="2"/>
        <v>是</v>
      </c>
      <c r="I14" s="58" t="str">
        <f t="shared" si="3"/>
        <v/>
      </c>
      <c r="J14" s="58" t="str">
        <f t="shared" si="4"/>
        <v/>
      </c>
      <c r="K14" s="58" t="str">
        <f t="shared" si="5"/>
        <v>是</v>
      </c>
      <c r="M14" s="57" t="s">
        <v>758</v>
      </c>
      <c r="N14" s="57" t="str">
        <f>""</f>
        <v/>
      </c>
      <c r="O14" s="57" t="str">
        <f>""</f>
        <v/>
      </c>
      <c r="P14" s="57" t="str">
        <f>""</f>
        <v/>
      </c>
      <c r="Q14" s="57" t="str">
        <f>""</f>
        <v/>
      </c>
      <c r="R14" s="57" t="str">
        <f>""</f>
        <v/>
      </c>
      <c r="S14" s="57" t="s">
        <v>757</v>
      </c>
    </row>
    <row r="15" spans="1:19">
      <c r="A15" s="266">
        <v>14</v>
      </c>
      <c r="B15" s="267" t="s">
        <v>730</v>
      </c>
      <c r="C15" s="40" t="s">
        <v>143</v>
      </c>
      <c r="D15" s="40" t="s">
        <v>242</v>
      </c>
      <c r="E15" s="56" t="s">
        <v>695</v>
      </c>
      <c r="F15" s="58" t="str">
        <f t="shared" si="0"/>
        <v/>
      </c>
      <c r="G15" s="58" t="str">
        <f t="shared" si="1"/>
        <v>是</v>
      </c>
      <c r="H15" s="58" t="str">
        <f t="shared" si="2"/>
        <v>是</v>
      </c>
      <c r="I15" s="58" t="str">
        <f t="shared" si="3"/>
        <v>是</v>
      </c>
      <c r="J15" s="58" t="str">
        <f t="shared" si="4"/>
        <v>是</v>
      </c>
      <c r="K15" s="58" t="str">
        <f t="shared" si="5"/>
        <v>是</v>
      </c>
      <c r="M15" s="57" t="s">
        <v>766</v>
      </c>
      <c r="N15" s="57" t="str">
        <f>""</f>
        <v/>
      </c>
      <c r="O15" s="57" t="str">
        <f>""</f>
        <v/>
      </c>
      <c r="P15" s="57" t="str">
        <f>""</f>
        <v/>
      </c>
      <c r="Q15" s="57" t="str">
        <f>""</f>
        <v/>
      </c>
      <c r="R15" s="57" t="str">
        <f>""</f>
        <v/>
      </c>
      <c r="S15" s="57" t="s">
        <v>757</v>
      </c>
    </row>
    <row r="16" spans="1:19">
      <c r="A16" s="266">
        <v>15</v>
      </c>
      <c r="B16" s="267" t="s">
        <v>731</v>
      </c>
      <c r="C16" s="40" t="s">
        <v>143</v>
      </c>
      <c r="D16" s="40" t="s">
        <v>242</v>
      </c>
      <c r="E16" s="56" t="s">
        <v>711</v>
      </c>
      <c r="F16" s="58" t="str">
        <f t="shared" si="0"/>
        <v>假</v>
      </c>
      <c r="G16" s="58" t="str">
        <f t="shared" si="1"/>
        <v/>
      </c>
      <c r="H16" s="58" t="str">
        <f t="shared" si="2"/>
        <v/>
      </c>
      <c r="I16" s="58" t="str">
        <f t="shared" si="3"/>
        <v/>
      </c>
      <c r="J16" s="58" t="str">
        <f t="shared" si="4"/>
        <v/>
      </c>
      <c r="K16" s="58" t="str">
        <f t="shared" si="5"/>
        <v xml:space="preserve"> </v>
      </c>
    </row>
    <row r="17" spans="1:19">
      <c r="A17" s="266">
        <v>16</v>
      </c>
      <c r="B17" s="267" t="s">
        <v>732</v>
      </c>
      <c r="C17" s="40" t="s">
        <v>143</v>
      </c>
      <c r="D17" s="40" t="s">
        <v>242</v>
      </c>
      <c r="E17" s="56" t="s">
        <v>695</v>
      </c>
      <c r="F17" s="58" t="str">
        <f t="shared" si="0"/>
        <v/>
      </c>
      <c r="G17" s="58" t="str">
        <f t="shared" si="1"/>
        <v>是</v>
      </c>
      <c r="H17" s="58" t="str">
        <f t="shared" si="2"/>
        <v>是</v>
      </c>
      <c r="I17" s="58" t="str">
        <f t="shared" si="3"/>
        <v>是</v>
      </c>
      <c r="J17" s="58" t="str">
        <f t="shared" si="4"/>
        <v>是</v>
      </c>
      <c r="K17" s="58" t="str">
        <f t="shared" si="5"/>
        <v>是</v>
      </c>
    </row>
    <row r="18" spans="1:19">
      <c r="A18" s="266">
        <v>17</v>
      </c>
      <c r="B18" s="267" t="s">
        <v>733</v>
      </c>
      <c r="C18" s="40" t="s">
        <v>143</v>
      </c>
      <c r="D18" s="40" t="s">
        <v>242</v>
      </c>
      <c r="E18" s="56" t="s">
        <v>695</v>
      </c>
      <c r="F18" s="58" t="str">
        <f t="shared" si="0"/>
        <v/>
      </c>
      <c r="G18" s="58" t="str">
        <f t="shared" si="1"/>
        <v>是</v>
      </c>
      <c r="H18" s="58" t="str">
        <f t="shared" si="2"/>
        <v>是</v>
      </c>
      <c r="I18" s="58" t="str">
        <f t="shared" si="3"/>
        <v>是</v>
      </c>
      <c r="J18" s="58" t="str">
        <f t="shared" si="4"/>
        <v>是</v>
      </c>
      <c r="K18" s="58" t="str">
        <f t="shared" si="5"/>
        <v>是</v>
      </c>
    </row>
    <row r="19" spans="1:19">
      <c r="A19" s="266">
        <v>18</v>
      </c>
      <c r="B19" s="267" t="s">
        <v>721</v>
      </c>
      <c r="C19" s="40" t="s">
        <v>143</v>
      </c>
      <c r="D19" s="40" t="s">
        <v>242</v>
      </c>
      <c r="E19" s="56" t="s">
        <v>695</v>
      </c>
      <c r="F19" s="58" t="s">
        <v>220</v>
      </c>
      <c r="G19" s="57" t="str">
        <f>""</f>
        <v/>
      </c>
      <c r="H19" s="57" t="s">
        <v>141</v>
      </c>
      <c r="I19" s="57" t="str">
        <f>""</f>
        <v/>
      </c>
      <c r="J19" s="57" t="str">
        <f>""</f>
        <v/>
      </c>
      <c r="K19" t="s">
        <v>553</v>
      </c>
    </row>
    <row r="20" spans="1:19">
      <c r="A20" s="266">
        <v>19</v>
      </c>
      <c r="B20" s="267" t="s">
        <v>734</v>
      </c>
      <c r="C20" s="40" t="s">
        <v>143</v>
      </c>
      <c r="D20" s="40" t="s">
        <v>242</v>
      </c>
      <c r="E20" s="56" t="s">
        <v>695</v>
      </c>
      <c r="F20" s="58" t="str">
        <f t="shared" ref="F20:F33" si="6">VLOOKUP($E20, $M$1:$R$25, 2, FALSE)</f>
        <v/>
      </c>
      <c r="G20" s="58" t="str">
        <f t="shared" ref="G20:G33" si="7">VLOOKUP($E20, $M$1:$R$25, 3, FALSE)</f>
        <v>是</v>
      </c>
      <c r="H20" s="58" t="str">
        <f t="shared" ref="H20:H33" si="8">VLOOKUP($E20, $M$1:$R$25, 4, FALSE)</f>
        <v>是</v>
      </c>
      <c r="I20" s="58" t="str">
        <f t="shared" ref="I20:I33" si="9">VLOOKUP($E20, $M$1:$R$25, 5, FALSE)</f>
        <v>是</v>
      </c>
      <c r="J20" s="58" t="str">
        <f t="shared" ref="J20:J33" si="10">VLOOKUP($E20, $M$1:$R$25,6, FALSE)</f>
        <v>是</v>
      </c>
      <c r="K20" s="58" t="str">
        <f t="shared" ref="K20:K33" si="11">VLOOKUP($E20, $M$1:$S$25,7, FALSE)</f>
        <v>是</v>
      </c>
    </row>
    <row r="21" spans="1:19">
      <c r="A21" s="266">
        <v>20</v>
      </c>
      <c r="B21" s="266" t="s">
        <v>571</v>
      </c>
      <c r="C21" s="40" t="s">
        <v>143</v>
      </c>
      <c r="D21" s="40" t="s">
        <v>242</v>
      </c>
      <c r="E21" s="56" t="s">
        <v>762</v>
      </c>
      <c r="F21" s="58" t="str">
        <f t="shared" si="6"/>
        <v/>
      </c>
      <c r="G21" s="58" t="str">
        <f t="shared" si="7"/>
        <v/>
      </c>
      <c r="H21" s="58" t="str">
        <f t="shared" si="8"/>
        <v/>
      </c>
      <c r="I21" s="58" t="str">
        <f t="shared" si="9"/>
        <v/>
      </c>
      <c r="J21" s="58" t="str">
        <f t="shared" si="10"/>
        <v/>
      </c>
      <c r="K21" s="58" t="str">
        <f t="shared" si="11"/>
        <v>是</v>
      </c>
      <c r="L21" s="55"/>
      <c r="O21" s="58"/>
      <c r="P21" s="58"/>
      <c r="Q21" s="58"/>
      <c r="R21" s="58"/>
      <c r="S21" s="58"/>
    </row>
    <row r="22" spans="1:19">
      <c r="A22" s="266">
        <v>21</v>
      </c>
      <c r="B22" s="267" t="s">
        <v>691</v>
      </c>
      <c r="C22" s="54" t="s">
        <v>143</v>
      </c>
      <c r="D22" s="40" t="s">
        <v>242</v>
      </c>
      <c r="E22" s="56" t="s">
        <v>751</v>
      </c>
      <c r="F22" s="58" t="str">
        <f t="shared" si="6"/>
        <v>假</v>
      </c>
      <c r="G22" s="58" t="str">
        <f t="shared" si="7"/>
        <v/>
      </c>
      <c r="H22" s="58" t="str">
        <f t="shared" si="8"/>
        <v>是</v>
      </c>
      <c r="I22" s="58" t="str">
        <f t="shared" si="9"/>
        <v/>
      </c>
      <c r="J22" s="58" t="str">
        <f t="shared" si="10"/>
        <v/>
      </c>
      <c r="K22" s="58" t="str">
        <f t="shared" si="11"/>
        <v>是</v>
      </c>
      <c r="M22" s="58"/>
      <c r="N22" s="58"/>
    </row>
    <row r="23" spans="1:19">
      <c r="A23" s="266">
        <v>22</v>
      </c>
      <c r="B23" s="267" t="s">
        <v>351</v>
      </c>
      <c r="C23" s="40" t="s">
        <v>143</v>
      </c>
      <c r="D23" s="40" t="s">
        <v>242</v>
      </c>
      <c r="E23" s="56" t="s">
        <v>751</v>
      </c>
      <c r="F23" s="58" t="str">
        <f t="shared" si="6"/>
        <v>假</v>
      </c>
      <c r="G23" s="58" t="str">
        <f t="shared" si="7"/>
        <v/>
      </c>
      <c r="H23" s="58" t="str">
        <f t="shared" si="8"/>
        <v>是</v>
      </c>
      <c r="I23" s="58" t="str">
        <f t="shared" si="9"/>
        <v/>
      </c>
      <c r="J23" s="58" t="str">
        <f t="shared" si="10"/>
        <v/>
      </c>
      <c r="K23" s="58" t="str">
        <f t="shared" si="11"/>
        <v>是</v>
      </c>
      <c r="N23" s="58"/>
      <c r="S23" s="57"/>
    </row>
    <row r="24" spans="1:19">
      <c r="A24" s="266">
        <v>23</v>
      </c>
      <c r="B24" s="267" t="s">
        <v>511</v>
      </c>
      <c r="C24" s="40" t="s">
        <v>210</v>
      </c>
      <c r="D24" s="40" t="s">
        <v>242</v>
      </c>
      <c r="E24" s="56" t="s">
        <v>711</v>
      </c>
      <c r="F24" s="58" t="str">
        <f t="shared" si="6"/>
        <v>假</v>
      </c>
      <c r="G24" s="58" t="str">
        <f t="shared" si="7"/>
        <v/>
      </c>
      <c r="H24" s="58" t="str">
        <f t="shared" si="8"/>
        <v/>
      </c>
      <c r="I24" s="58" t="str">
        <f t="shared" si="9"/>
        <v/>
      </c>
      <c r="J24" s="58" t="str">
        <f t="shared" si="10"/>
        <v/>
      </c>
      <c r="K24" s="58" t="str">
        <f t="shared" si="11"/>
        <v xml:space="preserve"> </v>
      </c>
      <c r="N24" s="58"/>
      <c r="S24" s="57"/>
    </row>
    <row r="25" spans="1:19">
      <c r="A25" s="266">
        <v>24</v>
      </c>
      <c r="B25" s="267" t="s">
        <v>352</v>
      </c>
      <c r="C25" s="40" t="s">
        <v>210</v>
      </c>
      <c r="D25" s="40" t="s">
        <v>242</v>
      </c>
      <c r="E25" s="56" t="s">
        <v>751</v>
      </c>
      <c r="F25" s="58" t="str">
        <f t="shared" si="6"/>
        <v>假</v>
      </c>
      <c r="G25" s="58" t="str">
        <f t="shared" si="7"/>
        <v/>
      </c>
      <c r="H25" s="58" t="str">
        <f t="shared" si="8"/>
        <v>是</v>
      </c>
      <c r="I25" s="58" t="str">
        <f t="shared" si="9"/>
        <v/>
      </c>
      <c r="J25" s="58" t="str">
        <f t="shared" si="10"/>
        <v/>
      </c>
      <c r="K25" s="58" t="str">
        <f t="shared" si="11"/>
        <v>是</v>
      </c>
      <c r="O25" s="58"/>
      <c r="P25" s="58"/>
      <c r="Q25" s="58"/>
      <c r="S25" s="57"/>
    </row>
    <row r="26" spans="1:19">
      <c r="A26" s="266">
        <v>25</v>
      </c>
      <c r="B26" s="267" t="s">
        <v>573</v>
      </c>
      <c r="C26" s="40" t="s">
        <v>210</v>
      </c>
      <c r="D26" s="40" t="s">
        <v>242</v>
      </c>
      <c r="E26" s="56" t="s">
        <v>711</v>
      </c>
      <c r="F26" s="58" t="str">
        <f t="shared" si="6"/>
        <v>假</v>
      </c>
      <c r="G26" s="58" t="str">
        <f t="shared" si="7"/>
        <v/>
      </c>
      <c r="H26" s="58" t="str">
        <f t="shared" si="8"/>
        <v/>
      </c>
      <c r="I26" s="58" t="str">
        <f t="shared" si="9"/>
        <v/>
      </c>
      <c r="J26" s="58" t="str">
        <f t="shared" si="10"/>
        <v/>
      </c>
      <c r="K26" s="58" t="str">
        <f t="shared" si="11"/>
        <v xml:space="preserve"> </v>
      </c>
      <c r="N26" s="58"/>
      <c r="S26" s="57"/>
    </row>
    <row r="27" spans="1:19">
      <c r="A27" s="266">
        <v>26</v>
      </c>
      <c r="B27" s="267" t="s">
        <v>574</v>
      </c>
      <c r="C27" s="40" t="s">
        <v>143</v>
      </c>
      <c r="D27" s="40" t="s">
        <v>242</v>
      </c>
      <c r="E27" s="56" t="s">
        <v>695</v>
      </c>
      <c r="F27" s="58" t="str">
        <f t="shared" si="6"/>
        <v/>
      </c>
      <c r="G27" s="58" t="str">
        <f t="shared" si="7"/>
        <v>是</v>
      </c>
      <c r="H27" s="58" t="str">
        <f t="shared" si="8"/>
        <v>是</v>
      </c>
      <c r="I27" s="58" t="str">
        <f t="shared" si="9"/>
        <v>是</v>
      </c>
      <c r="J27" s="58" t="str">
        <f t="shared" si="10"/>
        <v>是</v>
      </c>
      <c r="K27" s="58" t="str">
        <f t="shared" si="11"/>
        <v>是</v>
      </c>
      <c r="S27" s="57"/>
    </row>
    <row r="28" spans="1:19">
      <c r="A28" s="266">
        <v>27</v>
      </c>
      <c r="B28" s="267" t="s">
        <v>575</v>
      </c>
      <c r="C28" s="40" t="s">
        <v>143</v>
      </c>
      <c r="D28" s="40" t="s">
        <v>242</v>
      </c>
      <c r="E28" s="56" t="s">
        <v>762</v>
      </c>
      <c r="F28" s="58" t="str">
        <f t="shared" si="6"/>
        <v/>
      </c>
      <c r="G28" s="58" t="str">
        <f t="shared" si="7"/>
        <v/>
      </c>
      <c r="H28" s="58" t="str">
        <f t="shared" si="8"/>
        <v/>
      </c>
      <c r="I28" s="58" t="str">
        <f t="shared" si="9"/>
        <v/>
      </c>
      <c r="J28" s="58" t="str">
        <f t="shared" si="10"/>
        <v/>
      </c>
      <c r="K28" s="58" t="str">
        <f t="shared" si="11"/>
        <v>是</v>
      </c>
      <c r="S28" s="57"/>
    </row>
    <row r="29" spans="1:19">
      <c r="A29" s="266">
        <v>28</v>
      </c>
      <c r="B29" s="267" t="s">
        <v>692</v>
      </c>
      <c r="C29" s="40" t="s">
        <v>143</v>
      </c>
      <c r="D29" s="40" t="s">
        <v>242</v>
      </c>
      <c r="E29" s="56" t="s">
        <v>711</v>
      </c>
      <c r="F29" s="58" t="str">
        <f t="shared" si="6"/>
        <v>假</v>
      </c>
      <c r="G29" s="58" t="str">
        <f t="shared" si="7"/>
        <v/>
      </c>
      <c r="H29" s="58" t="str">
        <f t="shared" si="8"/>
        <v/>
      </c>
      <c r="I29" s="58" t="str">
        <f t="shared" si="9"/>
        <v/>
      </c>
      <c r="J29" s="58" t="str">
        <f t="shared" si="10"/>
        <v/>
      </c>
      <c r="K29" s="58" t="str">
        <f t="shared" si="11"/>
        <v xml:space="preserve"> </v>
      </c>
      <c r="S29" s="57"/>
    </row>
    <row r="30" spans="1:19">
      <c r="A30" s="266">
        <v>29</v>
      </c>
      <c r="B30" s="267" t="s">
        <v>693</v>
      </c>
      <c r="C30" s="40" t="s">
        <v>143</v>
      </c>
      <c r="D30" s="40" t="s">
        <v>242</v>
      </c>
      <c r="E30" s="56" t="s">
        <v>695</v>
      </c>
      <c r="F30" s="58" t="str">
        <f t="shared" si="6"/>
        <v/>
      </c>
      <c r="G30" s="58" t="str">
        <f t="shared" si="7"/>
        <v>是</v>
      </c>
      <c r="H30" s="58" t="str">
        <f t="shared" si="8"/>
        <v>是</v>
      </c>
      <c r="I30" s="58" t="str">
        <f t="shared" si="9"/>
        <v>是</v>
      </c>
      <c r="J30" s="58" t="str">
        <f t="shared" si="10"/>
        <v>是</v>
      </c>
      <c r="K30" s="58" t="str">
        <f t="shared" si="11"/>
        <v>是</v>
      </c>
    </row>
    <row r="31" spans="1:19">
      <c r="A31" s="266">
        <v>30</v>
      </c>
      <c r="B31" s="267" t="s">
        <v>298</v>
      </c>
      <c r="C31" s="40" t="s">
        <v>143</v>
      </c>
      <c r="D31" s="40" t="s">
        <v>242</v>
      </c>
      <c r="E31" s="56" t="s">
        <v>711</v>
      </c>
      <c r="F31" s="58" t="str">
        <f t="shared" si="6"/>
        <v>假</v>
      </c>
      <c r="G31" s="58" t="str">
        <f t="shared" si="7"/>
        <v/>
      </c>
      <c r="H31" s="58" t="str">
        <f t="shared" si="8"/>
        <v/>
      </c>
      <c r="I31" s="58" t="str">
        <f t="shared" si="9"/>
        <v/>
      </c>
      <c r="J31" s="58" t="str">
        <f t="shared" si="10"/>
        <v/>
      </c>
      <c r="K31" s="58" t="str">
        <f t="shared" si="11"/>
        <v xml:space="preserve"> </v>
      </c>
    </row>
    <row r="32" spans="1:19">
      <c r="A32" s="266">
        <v>31</v>
      </c>
      <c r="B32" s="267" t="s">
        <v>299</v>
      </c>
      <c r="C32" s="40" t="s">
        <v>143</v>
      </c>
      <c r="D32" s="40" t="s">
        <v>242</v>
      </c>
      <c r="E32" s="56" t="s">
        <v>751</v>
      </c>
      <c r="F32" s="58" t="str">
        <f t="shared" si="6"/>
        <v>假</v>
      </c>
      <c r="G32" s="58" t="str">
        <f t="shared" si="7"/>
        <v/>
      </c>
      <c r="H32" s="58" t="str">
        <f t="shared" si="8"/>
        <v>是</v>
      </c>
      <c r="I32" s="58" t="str">
        <f t="shared" si="9"/>
        <v/>
      </c>
      <c r="J32" s="58" t="str">
        <f t="shared" si="10"/>
        <v/>
      </c>
      <c r="K32" s="58" t="str">
        <f t="shared" si="11"/>
        <v>是</v>
      </c>
    </row>
    <row r="33" spans="1:18">
      <c r="A33" s="266">
        <v>32</v>
      </c>
      <c r="B33" s="267" t="s">
        <v>353</v>
      </c>
      <c r="C33" s="40" t="s">
        <v>143</v>
      </c>
      <c r="D33" s="40" t="s">
        <v>242</v>
      </c>
      <c r="E33" s="56" t="s">
        <v>58</v>
      </c>
      <c r="F33" s="58" t="str">
        <f t="shared" si="6"/>
        <v>假</v>
      </c>
      <c r="G33" s="58" t="str">
        <f t="shared" si="7"/>
        <v/>
      </c>
      <c r="H33" s="58" t="str">
        <f t="shared" si="8"/>
        <v/>
      </c>
      <c r="I33" s="58" t="str">
        <f t="shared" si="9"/>
        <v/>
      </c>
      <c r="J33" s="58" t="str">
        <f t="shared" si="10"/>
        <v/>
      </c>
      <c r="K33" s="58" t="str">
        <f t="shared" si="11"/>
        <v xml:space="preserve"> </v>
      </c>
    </row>
    <row r="34" spans="1:18">
      <c r="A34" s="57"/>
      <c r="B34" s="57"/>
      <c r="C34" s="57"/>
      <c r="D34" s="57"/>
      <c r="E34" s="57"/>
      <c r="G34"/>
      <c r="H34"/>
      <c r="I34"/>
      <c r="J34"/>
      <c r="M34"/>
      <c r="N34"/>
      <c r="O34"/>
      <c r="P34"/>
      <c r="Q34"/>
      <c r="R34"/>
    </row>
    <row r="35" spans="1:18">
      <c r="A35" s="57"/>
      <c r="B35" s="57"/>
      <c r="C35" s="57"/>
      <c r="D35" s="57"/>
      <c r="E35" s="57"/>
      <c r="G35"/>
      <c r="H35"/>
      <c r="I35"/>
      <c r="J35"/>
      <c r="M35"/>
      <c r="N35"/>
      <c r="O35"/>
      <c r="P35"/>
      <c r="Q35"/>
      <c r="R35"/>
    </row>
    <row r="36" spans="1:18">
      <c r="A36" s="57"/>
      <c r="B36" s="57"/>
      <c r="C36" s="57"/>
      <c r="D36" s="57"/>
      <c r="E36" s="57"/>
      <c r="G36"/>
      <c r="H36"/>
      <c r="I36"/>
      <c r="J36"/>
      <c r="M36"/>
      <c r="N36"/>
      <c r="O36"/>
      <c r="P36"/>
      <c r="Q36"/>
      <c r="R36"/>
    </row>
    <row r="37" spans="1:18">
      <c r="A37" s="57"/>
      <c r="B37" s="57"/>
      <c r="C37" s="57"/>
      <c r="D37" s="57"/>
      <c r="E37" s="57"/>
      <c r="G37"/>
      <c r="H37"/>
      <c r="I37"/>
      <c r="J37"/>
      <c r="M37"/>
      <c r="N37"/>
      <c r="O37"/>
      <c r="P37"/>
      <c r="Q37"/>
      <c r="R37"/>
    </row>
  </sheetData>
  <phoneticPr fontId="2" type="noConversion"/>
  <conditionalFormatting sqref="E2:E33">
    <cfRule type="containsBlanks" dxfId="0" priority="2">
      <formula>LEN(TRIM(E2))=0</formula>
    </cfRule>
  </conditionalFormatting>
  <dataValidations count="3">
    <dataValidation type="list" allowBlank="1" showInputMessage="1" showErrorMessage="1" sqref="E1 M1 E38:E65518">
      <formula1>$M$2:$M$7</formula1>
    </dataValidation>
    <dataValidation imeMode="on" allowBlank="1" showInputMessage="1" showErrorMessage="1" sqref="B2:B20"/>
    <dataValidation type="list" allowBlank="1" showInputMessage="1" showErrorMessage="1" sqref="E2:E33">
      <formula1>$M$2:$M$28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/>
  </sheetPr>
  <dimension ref="A1:P50"/>
  <sheetViews>
    <sheetView zoomScale="55" zoomScaleNormal="55" workbookViewId="0">
      <selection activeCell="F47" sqref="F47"/>
    </sheetView>
  </sheetViews>
  <sheetFormatPr defaultColWidth="9" defaultRowHeight="27.75"/>
  <cols>
    <col min="1" max="12" width="20.625" style="90" customWidth="1"/>
    <col min="13" max="16384" width="9" style="90"/>
  </cols>
  <sheetData>
    <row r="1" spans="1:16" ht="50.1" customHeight="1" thickBot="1">
      <c r="A1" s="979" t="s">
        <v>287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</row>
    <row r="2" spans="1:16" ht="50.1" customHeight="1">
      <c r="A2" s="980" t="s">
        <v>275</v>
      </c>
      <c r="B2" s="981"/>
      <c r="C2" s="91" t="s">
        <v>276</v>
      </c>
      <c r="D2" s="91" t="s">
        <v>277</v>
      </c>
      <c r="E2" s="91" t="s">
        <v>277</v>
      </c>
      <c r="F2" s="91" t="s">
        <v>277</v>
      </c>
      <c r="G2" s="91" t="s">
        <v>277</v>
      </c>
      <c r="H2" s="992" t="s">
        <v>288</v>
      </c>
      <c r="I2" s="993"/>
      <c r="J2" s="993"/>
      <c r="K2" s="993"/>
      <c r="L2" s="994"/>
    </row>
    <row r="3" spans="1:16" ht="50.1" customHeight="1" thickBot="1">
      <c r="A3" s="982" t="s">
        <v>278</v>
      </c>
      <c r="B3" s="983"/>
      <c r="C3" s="92" t="s">
        <v>279</v>
      </c>
      <c r="D3" s="92" t="s">
        <v>280</v>
      </c>
      <c r="E3" s="92" t="s">
        <v>281</v>
      </c>
      <c r="F3" s="93" t="s">
        <v>282</v>
      </c>
      <c r="G3" s="93" t="s">
        <v>283</v>
      </c>
      <c r="H3" s="995"/>
      <c r="I3" s="996"/>
      <c r="J3" s="996"/>
      <c r="K3" s="996"/>
      <c r="L3" s="997"/>
      <c r="M3" s="68"/>
      <c r="N3" s="68"/>
      <c r="O3" s="68"/>
      <c r="P3" s="68"/>
    </row>
    <row r="4" spans="1:16" ht="50.1" customHeight="1">
      <c r="A4" s="78">
        <v>1</v>
      </c>
      <c r="B4" s="94">
        <f>WEEKDAY(DATE(日期輸入!$A$3,日期輸入!$B$3,日期輸入!$C$3+ROW(A4)-4),1)</f>
        <v>1</v>
      </c>
      <c r="C4" s="79"/>
      <c r="D4" s="80"/>
      <c r="E4" s="81"/>
      <c r="F4" s="80"/>
      <c r="G4" s="82"/>
      <c r="H4" s="998"/>
      <c r="I4" s="999"/>
      <c r="J4" s="999"/>
      <c r="K4" s="999"/>
      <c r="L4" s="1000"/>
      <c r="M4" s="68"/>
      <c r="N4" s="68"/>
      <c r="O4" s="68"/>
      <c r="P4" s="68"/>
    </row>
    <row r="5" spans="1:16" ht="50.1" customHeight="1">
      <c r="A5" s="78">
        <v>2</v>
      </c>
      <c r="B5" s="94">
        <f>WEEKDAY(DATE(日期輸入!$A$3,日期輸入!$B$3,日期輸入!$C$3+ROW(A5)-4),1)</f>
        <v>2</v>
      </c>
      <c r="C5" s="83"/>
      <c r="D5" s="71"/>
      <c r="E5" s="84"/>
      <c r="F5" s="71"/>
      <c r="G5" s="85"/>
      <c r="H5" s="998"/>
      <c r="I5" s="999"/>
      <c r="J5" s="999"/>
      <c r="K5" s="999"/>
      <c r="L5" s="1000"/>
      <c r="M5" s="68"/>
      <c r="N5" s="68"/>
      <c r="O5" s="68"/>
      <c r="P5" s="68"/>
    </row>
    <row r="6" spans="1:16" ht="50.1" customHeight="1">
      <c r="A6" s="78">
        <v>3</v>
      </c>
      <c r="B6" s="94">
        <f>WEEKDAY(DATE(日期輸入!$A$3,日期輸入!$B$3,日期輸入!$C$3+ROW(A6)-4),1)</f>
        <v>3</v>
      </c>
      <c r="C6" s="83"/>
      <c r="D6" s="71"/>
      <c r="E6" s="84"/>
      <c r="F6" s="71"/>
      <c r="G6" s="85"/>
      <c r="H6" s="998"/>
      <c r="I6" s="999"/>
      <c r="J6" s="999"/>
      <c r="K6" s="999"/>
      <c r="L6" s="1000"/>
      <c r="M6" s="68"/>
      <c r="N6" s="68"/>
      <c r="O6" s="68"/>
      <c r="P6" s="68"/>
    </row>
    <row r="7" spans="1:16" ht="50.1" customHeight="1">
      <c r="A7" s="78">
        <v>4</v>
      </c>
      <c r="B7" s="94">
        <f>WEEKDAY(DATE(日期輸入!$A$3,日期輸入!$B$3,日期輸入!$C$3+ROW(A7)-4),1)</f>
        <v>4</v>
      </c>
      <c r="C7" s="83"/>
      <c r="D7" s="71"/>
      <c r="E7" s="84"/>
      <c r="F7" s="71"/>
      <c r="G7" s="85"/>
      <c r="H7" s="998"/>
      <c r="I7" s="999"/>
      <c r="J7" s="999"/>
      <c r="K7" s="999"/>
      <c r="L7" s="1000"/>
      <c r="M7" s="68"/>
      <c r="N7" s="68"/>
      <c r="O7" s="68"/>
      <c r="P7" s="68"/>
    </row>
    <row r="8" spans="1:16" ht="50.1" customHeight="1">
      <c r="A8" s="78">
        <v>5</v>
      </c>
      <c r="B8" s="94">
        <f>WEEKDAY(DATE(日期輸入!$A$3,日期輸入!$B$3,日期輸入!$C$3+ROW(A8)-4),1)</f>
        <v>5</v>
      </c>
      <c r="C8" s="83"/>
      <c r="D8" s="71"/>
      <c r="E8" s="84"/>
      <c r="F8" s="71"/>
      <c r="G8" s="85"/>
      <c r="H8" s="998"/>
      <c r="I8" s="999"/>
      <c r="J8" s="999"/>
      <c r="K8" s="999"/>
      <c r="L8" s="1000"/>
      <c r="M8" s="68"/>
      <c r="N8" s="68"/>
      <c r="O8" s="68"/>
      <c r="P8" s="68"/>
    </row>
    <row r="9" spans="1:16" ht="50.1" customHeight="1">
      <c r="A9" s="78">
        <v>6</v>
      </c>
      <c r="B9" s="94">
        <f>WEEKDAY(DATE(日期輸入!$A$3,日期輸入!$B$3,日期輸入!$C$3+ROW(A9)-4),1)</f>
        <v>6</v>
      </c>
      <c r="C9" s="83"/>
      <c r="D9" s="71"/>
      <c r="E9" s="84"/>
      <c r="F9" s="71"/>
      <c r="G9" s="85"/>
      <c r="H9" s="998"/>
      <c r="I9" s="999"/>
      <c r="J9" s="999"/>
      <c r="K9" s="999"/>
      <c r="L9" s="1000"/>
      <c r="M9" s="68"/>
      <c r="N9" s="68"/>
      <c r="O9" s="68"/>
      <c r="P9" s="68"/>
    </row>
    <row r="10" spans="1:16" ht="50.1" customHeight="1">
      <c r="A10" s="78">
        <v>7</v>
      </c>
      <c r="B10" s="94">
        <f>WEEKDAY(DATE(日期輸入!$A$3,日期輸入!$B$3,日期輸入!$C$3+ROW(A10)-4),1)</f>
        <v>7</v>
      </c>
      <c r="C10" s="83"/>
      <c r="D10" s="71"/>
      <c r="E10" s="84"/>
      <c r="F10" s="71"/>
      <c r="G10" s="85"/>
      <c r="H10" s="998"/>
      <c r="I10" s="999"/>
      <c r="J10" s="999"/>
      <c r="K10" s="999"/>
      <c r="L10" s="1000"/>
      <c r="M10" s="68"/>
      <c r="N10" s="68"/>
      <c r="O10" s="68"/>
      <c r="P10" s="68"/>
    </row>
    <row r="11" spans="1:16" ht="50.1" customHeight="1">
      <c r="A11" s="78">
        <v>8</v>
      </c>
      <c r="B11" s="94">
        <f>WEEKDAY(DATE(日期輸入!$A$3,日期輸入!$B$3,日期輸入!$C$3+ROW(A11)-4),1)</f>
        <v>1</v>
      </c>
      <c r="C11" s="83"/>
      <c r="D11" s="71"/>
      <c r="E11" s="84"/>
      <c r="F11" s="71"/>
      <c r="G11" s="85"/>
      <c r="H11" s="998"/>
      <c r="I11" s="999"/>
      <c r="J11" s="999"/>
      <c r="K11" s="999"/>
      <c r="L11" s="1000"/>
      <c r="M11" s="68"/>
      <c r="N11" s="68"/>
      <c r="O11" s="68"/>
      <c r="P11" s="68"/>
    </row>
    <row r="12" spans="1:16" ht="50.1" customHeight="1">
      <c r="A12" s="78">
        <v>9</v>
      </c>
      <c r="B12" s="94">
        <f>WEEKDAY(DATE(日期輸入!$A$3,日期輸入!$B$3,日期輸入!$C$3+ROW(A12)-4),1)</f>
        <v>2</v>
      </c>
      <c r="C12" s="83"/>
      <c r="D12" s="71"/>
      <c r="E12" s="84"/>
      <c r="F12" s="71"/>
      <c r="G12" s="85"/>
      <c r="H12" s="998"/>
      <c r="I12" s="999"/>
      <c r="J12" s="999"/>
      <c r="K12" s="999"/>
      <c r="L12" s="1000"/>
      <c r="M12" s="68"/>
      <c r="N12" s="68"/>
      <c r="O12" s="68"/>
      <c r="P12" s="68"/>
    </row>
    <row r="13" spans="1:16" ht="50.1" customHeight="1">
      <c r="A13" s="78">
        <v>10</v>
      </c>
      <c r="B13" s="94">
        <f>WEEKDAY(DATE(日期輸入!$A$3,日期輸入!$B$3,日期輸入!$C$3+ROW(A13)-4),1)</f>
        <v>3</v>
      </c>
      <c r="C13" s="83"/>
      <c r="D13" s="71"/>
      <c r="E13" s="84"/>
      <c r="F13" s="71"/>
      <c r="G13" s="85"/>
      <c r="H13" s="998"/>
      <c r="I13" s="999"/>
      <c r="J13" s="999"/>
      <c r="K13" s="999"/>
      <c r="L13" s="1000"/>
      <c r="M13" s="68"/>
      <c r="N13" s="68"/>
      <c r="O13" s="68"/>
      <c r="P13" s="68"/>
    </row>
    <row r="14" spans="1:16" ht="50.1" customHeight="1">
      <c r="A14" s="78">
        <v>11</v>
      </c>
      <c r="B14" s="94">
        <f>WEEKDAY(DATE(日期輸入!$A$3,日期輸入!$B$3,日期輸入!$C$3+ROW(A14)-4),1)</f>
        <v>4</v>
      </c>
      <c r="C14" s="83"/>
      <c r="D14" s="71"/>
      <c r="E14" s="84"/>
      <c r="F14" s="71"/>
      <c r="G14" s="85"/>
      <c r="H14" s="998"/>
      <c r="I14" s="999"/>
      <c r="J14" s="999"/>
      <c r="K14" s="999"/>
      <c r="L14" s="1000"/>
      <c r="M14" s="68"/>
      <c r="N14" s="68"/>
      <c r="O14" s="68"/>
      <c r="P14" s="68"/>
    </row>
    <row r="15" spans="1:16" ht="50.1" customHeight="1">
      <c r="A15" s="78">
        <v>12</v>
      </c>
      <c r="B15" s="94">
        <f>WEEKDAY(DATE(日期輸入!$A$3,日期輸入!$B$3,日期輸入!$C$3+ROW(A15)-4),1)</f>
        <v>5</v>
      </c>
      <c r="C15" s="83"/>
      <c r="D15" s="71"/>
      <c r="E15" s="84"/>
      <c r="F15" s="71"/>
      <c r="G15" s="85"/>
      <c r="H15" s="998"/>
      <c r="I15" s="999"/>
      <c r="J15" s="999"/>
      <c r="K15" s="999"/>
      <c r="L15" s="1000"/>
      <c r="M15" s="68"/>
      <c r="N15" s="68"/>
      <c r="O15" s="68"/>
      <c r="P15" s="68"/>
    </row>
    <row r="16" spans="1:16" ht="50.1" customHeight="1">
      <c r="A16" s="78">
        <v>13</v>
      </c>
      <c r="B16" s="94">
        <f>WEEKDAY(DATE(日期輸入!$A$3,日期輸入!$B$3,日期輸入!$C$3+ROW(A16)-4),1)</f>
        <v>6</v>
      </c>
      <c r="C16" s="83"/>
      <c r="D16" s="71"/>
      <c r="E16" s="84"/>
      <c r="F16" s="71"/>
      <c r="G16" s="85"/>
      <c r="H16" s="998"/>
      <c r="I16" s="999"/>
      <c r="J16" s="999"/>
      <c r="K16" s="999"/>
      <c r="L16" s="1000"/>
      <c r="M16" s="68"/>
      <c r="N16" s="68"/>
      <c r="O16" s="68"/>
      <c r="P16" s="68"/>
    </row>
    <row r="17" spans="1:16" ht="50.1" customHeight="1">
      <c r="A17" s="78">
        <v>14</v>
      </c>
      <c r="B17" s="94">
        <f>WEEKDAY(DATE(日期輸入!$A$3,日期輸入!$B$3,日期輸入!$C$3+ROW(A17)-4),1)</f>
        <v>7</v>
      </c>
      <c r="C17" s="83"/>
      <c r="D17" s="71"/>
      <c r="E17" s="84"/>
      <c r="F17" s="71"/>
      <c r="G17" s="85"/>
      <c r="H17" s="998"/>
      <c r="I17" s="999"/>
      <c r="J17" s="999"/>
      <c r="K17" s="999"/>
      <c r="L17" s="1000"/>
      <c r="M17" s="68"/>
      <c r="N17" s="68"/>
      <c r="O17" s="68"/>
      <c r="P17" s="68"/>
    </row>
    <row r="18" spans="1:16" ht="50.1" customHeight="1">
      <c r="A18" s="78">
        <v>15</v>
      </c>
      <c r="B18" s="94">
        <f>WEEKDAY(DATE(日期輸入!$A$3,日期輸入!$B$3,日期輸入!$C$3+ROW(A18)-4),1)</f>
        <v>1</v>
      </c>
      <c r="C18" s="83"/>
      <c r="D18" s="71"/>
      <c r="E18" s="84"/>
      <c r="F18" s="71"/>
      <c r="G18" s="85"/>
      <c r="H18" s="998"/>
      <c r="I18" s="999"/>
      <c r="J18" s="999"/>
      <c r="K18" s="999"/>
      <c r="L18" s="1000"/>
      <c r="M18" s="68"/>
      <c r="N18" s="68"/>
      <c r="O18" s="68"/>
      <c r="P18" s="68"/>
    </row>
    <row r="19" spans="1:16" ht="50.1" customHeight="1">
      <c r="A19" s="78">
        <v>16</v>
      </c>
      <c r="B19" s="94">
        <f>WEEKDAY(DATE(日期輸入!$A$3,日期輸入!$B$3,日期輸入!$C$3+ROW(A19)-4),1)</f>
        <v>2</v>
      </c>
      <c r="C19" s="83"/>
      <c r="D19" s="71"/>
      <c r="E19" s="84"/>
      <c r="F19" s="71"/>
      <c r="G19" s="85"/>
      <c r="H19" s="998"/>
      <c r="I19" s="999"/>
      <c r="J19" s="999"/>
      <c r="K19" s="999"/>
      <c r="L19" s="1000"/>
      <c r="M19" s="68"/>
      <c r="N19" s="68"/>
      <c r="O19" s="68"/>
      <c r="P19" s="68"/>
    </row>
    <row r="20" spans="1:16" ht="50.1" customHeight="1">
      <c r="A20" s="78">
        <v>17</v>
      </c>
      <c r="B20" s="94">
        <f>WEEKDAY(DATE(日期輸入!$A$3,日期輸入!$B$3,日期輸入!$C$3+ROW(A20)-4),1)</f>
        <v>3</v>
      </c>
      <c r="C20" s="83"/>
      <c r="D20" s="71"/>
      <c r="E20" s="84"/>
      <c r="F20" s="71"/>
      <c r="G20" s="85"/>
      <c r="H20" s="998"/>
      <c r="I20" s="999"/>
      <c r="J20" s="999"/>
      <c r="K20" s="999"/>
      <c r="L20" s="1000"/>
      <c r="M20" s="68"/>
      <c r="N20" s="68"/>
      <c r="O20" s="68"/>
      <c r="P20" s="68"/>
    </row>
    <row r="21" spans="1:16" ht="50.1" customHeight="1">
      <c r="A21" s="78">
        <v>18</v>
      </c>
      <c r="B21" s="94">
        <f>WEEKDAY(DATE(日期輸入!$A$3,日期輸入!$B$3,日期輸入!$C$3+ROW(A21)-4),1)</f>
        <v>4</v>
      </c>
      <c r="C21" s="83"/>
      <c r="D21" s="71"/>
      <c r="E21" s="84"/>
      <c r="F21" s="71"/>
      <c r="G21" s="85"/>
      <c r="H21" s="998"/>
      <c r="I21" s="999"/>
      <c r="J21" s="999"/>
      <c r="K21" s="999"/>
      <c r="L21" s="1000"/>
      <c r="M21" s="68"/>
      <c r="N21" s="68"/>
      <c r="O21" s="68"/>
      <c r="P21" s="68"/>
    </row>
    <row r="22" spans="1:16" ht="50.1" customHeight="1">
      <c r="A22" s="78">
        <v>19</v>
      </c>
      <c r="B22" s="94">
        <f>WEEKDAY(DATE(日期輸入!$A$3,日期輸入!$B$3,日期輸入!$C$3+ROW(A22)-4),1)</f>
        <v>5</v>
      </c>
      <c r="C22" s="83"/>
      <c r="D22" s="71"/>
      <c r="E22" s="84"/>
      <c r="F22" s="71"/>
      <c r="G22" s="85"/>
      <c r="H22" s="998"/>
      <c r="I22" s="999"/>
      <c r="J22" s="999"/>
      <c r="K22" s="999"/>
      <c r="L22" s="1000"/>
      <c r="M22" s="68"/>
      <c r="N22" s="68"/>
      <c r="O22" s="68"/>
      <c r="P22" s="68"/>
    </row>
    <row r="23" spans="1:16" ht="50.1" customHeight="1">
      <c r="A23" s="78">
        <v>20</v>
      </c>
      <c r="B23" s="94">
        <f>WEEKDAY(DATE(日期輸入!$A$3,日期輸入!$B$3,日期輸入!$C$3+ROW(A23)-4),1)</f>
        <v>6</v>
      </c>
      <c r="C23" s="83"/>
      <c r="D23" s="71"/>
      <c r="E23" s="84"/>
      <c r="F23" s="71"/>
      <c r="G23" s="85"/>
      <c r="H23" s="998"/>
      <c r="I23" s="999"/>
      <c r="J23" s="999"/>
      <c r="K23" s="999"/>
      <c r="L23" s="1000"/>
      <c r="M23" s="68"/>
      <c r="N23" s="68"/>
      <c r="O23" s="68"/>
      <c r="P23" s="68"/>
    </row>
    <row r="24" spans="1:16" ht="50.1" customHeight="1">
      <c r="A24" s="78">
        <v>21</v>
      </c>
      <c r="B24" s="94">
        <f>WEEKDAY(DATE(日期輸入!$A$3,日期輸入!$B$3,日期輸入!$C$3+ROW(A24)-4),1)</f>
        <v>7</v>
      </c>
      <c r="C24" s="83"/>
      <c r="D24" s="71"/>
      <c r="E24" s="84"/>
      <c r="F24" s="71"/>
      <c r="G24" s="85"/>
      <c r="H24" s="998"/>
      <c r="I24" s="999"/>
      <c r="J24" s="999"/>
      <c r="K24" s="999"/>
      <c r="L24" s="1000"/>
      <c r="M24" s="68"/>
      <c r="N24" s="68"/>
      <c r="O24" s="68"/>
      <c r="P24" s="68"/>
    </row>
    <row r="25" spans="1:16" ht="50.1" customHeight="1">
      <c r="A25" s="78">
        <v>22</v>
      </c>
      <c r="B25" s="94">
        <f>WEEKDAY(DATE(日期輸入!$A$3,日期輸入!$B$3,日期輸入!$C$3+ROW(A25)-4),1)</f>
        <v>1</v>
      </c>
      <c r="C25" s="83"/>
      <c r="D25" s="71"/>
      <c r="E25" s="84"/>
      <c r="F25" s="71"/>
      <c r="G25" s="85"/>
      <c r="H25" s="998"/>
      <c r="I25" s="999"/>
      <c r="J25" s="999"/>
      <c r="K25" s="999"/>
      <c r="L25" s="1000"/>
      <c r="M25" s="68"/>
      <c r="N25" s="68"/>
      <c r="O25" s="68"/>
      <c r="P25" s="68"/>
    </row>
    <row r="26" spans="1:16" ht="50.1" customHeight="1">
      <c r="A26" s="78">
        <v>23</v>
      </c>
      <c r="B26" s="94">
        <f>WEEKDAY(DATE(日期輸入!$A$3,日期輸入!$B$3,日期輸入!$C$3+ROW(A26)-4),1)</f>
        <v>2</v>
      </c>
      <c r="C26" s="83"/>
      <c r="D26" s="71"/>
      <c r="E26" s="84"/>
      <c r="F26" s="71"/>
      <c r="G26" s="85"/>
      <c r="H26" s="998"/>
      <c r="I26" s="999"/>
      <c r="J26" s="999"/>
      <c r="K26" s="999"/>
      <c r="L26" s="1000"/>
      <c r="M26" s="68"/>
      <c r="N26" s="68"/>
      <c r="O26" s="68"/>
      <c r="P26" s="68"/>
    </row>
    <row r="27" spans="1:16" ht="50.1" customHeight="1">
      <c r="A27" s="78">
        <v>24</v>
      </c>
      <c r="B27" s="94">
        <f>WEEKDAY(DATE(日期輸入!$A$3,日期輸入!$B$3,日期輸入!$C$3+ROW(A27)-4),1)</f>
        <v>3</v>
      </c>
      <c r="C27" s="83"/>
      <c r="D27" s="71"/>
      <c r="E27" s="84"/>
      <c r="F27" s="71"/>
      <c r="G27" s="85"/>
      <c r="H27" s="998"/>
      <c r="I27" s="999"/>
      <c r="J27" s="999"/>
      <c r="K27" s="999"/>
      <c r="L27" s="1000"/>
      <c r="M27" s="68"/>
      <c r="N27" s="68"/>
      <c r="O27" s="68"/>
      <c r="P27" s="68"/>
    </row>
    <row r="28" spans="1:16" ht="50.1" customHeight="1">
      <c r="A28" s="78">
        <v>25</v>
      </c>
      <c r="B28" s="94">
        <f>WEEKDAY(DATE(日期輸入!$A$3,日期輸入!$B$3,日期輸入!$C$3+ROW(A28)-4),1)</f>
        <v>4</v>
      </c>
      <c r="C28" s="83"/>
      <c r="D28" s="71"/>
      <c r="E28" s="84"/>
      <c r="F28" s="71"/>
      <c r="G28" s="85"/>
      <c r="H28" s="998"/>
      <c r="I28" s="999"/>
      <c r="J28" s="999"/>
      <c r="K28" s="999"/>
      <c r="L28" s="1000"/>
      <c r="M28" s="68"/>
      <c r="N28" s="68"/>
      <c r="O28" s="68"/>
      <c r="P28" s="68"/>
    </row>
    <row r="29" spans="1:16" ht="50.1" customHeight="1">
      <c r="A29" s="78">
        <v>26</v>
      </c>
      <c r="B29" s="94">
        <f>WEEKDAY(DATE(日期輸入!$A$3,日期輸入!$B$3,日期輸入!$C$3+ROW(A29)-4),1)</f>
        <v>5</v>
      </c>
      <c r="C29" s="83"/>
      <c r="D29" s="71"/>
      <c r="E29" s="84"/>
      <c r="F29" s="71"/>
      <c r="G29" s="85"/>
      <c r="H29" s="998"/>
      <c r="I29" s="999"/>
      <c r="J29" s="999"/>
      <c r="K29" s="999"/>
      <c r="L29" s="1000"/>
      <c r="M29" s="68"/>
      <c r="N29" s="68"/>
      <c r="O29" s="68"/>
      <c r="P29" s="68"/>
    </row>
    <row r="30" spans="1:16" ht="50.1" customHeight="1">
      <c r="A30" s="78">
        <v>27</v>
      </c>
      <c r="B30" s="94">
        <f>WEEKDAY(DATE(日期輸入!$A$3,日期輸入!$B$3,日期輸入!$C$3+ROW(A30)-4),1)</f>
        <v>6</v>
      </c>
      <c r="C30" s="83"/>
      <c r="D30" s="71"/>
      <c r="E30" s="84"/>
      <c r="F30" s="71"/>
      <c r="G30" s="85"/>
      <c r="H30" s="998"/>
      <c r="I30" s="999"/>
      <c r="J30" s="999"/>
      <c r="K30" s="999"/>
      <c r="L30" s="1000"/>
      <c r="M30" s="68"/>
      <c r="N30" s="68"/>
      <c r="O30" s="68"/>
      <c r="P30" s="68"/>
    </row>
    <row r="31" spans="1:16" ht="50.1" customHeight="1">
      <c r="A31" s="78">
        <v>28</v>
      </c>
      <c r="B31" s="94">
        <f>WEEKDAY(DATE(日期輸入!$A$3,日期輸入!$B$3,日期輸入!$C$3+ROW(A31)-4),1)</f>
        <v>7</v>
      </c>
      <c r="C31" s="83"/>
      <c r="D31" s="71"/>
      <c r="E31" s="84"/>
      <c r="F31" s="71"/>
      <c r="G31" s="85"/>
      <c r="H31" s="998"/>
      <c r="I31" s="999"/>
      <c r="J31" s="999"/>
      <c r="K31" s="999"/>
      <c r="L31" s="1000"/>
      <c r="M31" s="68"/>
      <c r="N31" s="68"/>
      <c r="O31" s="68"/>
      <c r="P31" s="68"/>
    </row>
    <row r="32" spans="1:16" ht="50.1" customHeight="1">
      <c r="A32" s="78">
        <v>29</v>
      </c>
      <c r="B32" s="94">
        <f>WEEKDAY(DATE(日期輸入!$A$3,日期輸入!$B$3,日期輸入!$C$3+ROW(A32)-4),1)</f>
        <v>1</v>
      </c>
      <c r="C32" s="83"/>
      <c r="D32" s="71"/>
      <c r="E32" s="84"/>
      <c r="F32" s="71"/>
      <c r="G32" s="85"/>
      <c r="H32" s="998"/>
      <c r="I32" s="999"/>
      <c r="J32" s="999"/>
      <c r="K32" s="999"/>
      <c r="L32" s="1000"/>
      <c r="M32" s="68"/>
      <c r="N32" s="68"/>
      <c r="O32" s="68"/>
      <c r="P32" s="68"/>
    </row>
    <row r="33" spans="1:16" ht="50.1" customHeight="1">
      <c r="A33" s="78">
        <v>30</v>
      </c>
      <c r="B33" s="94">
        <f>WEEKDAY(DATE(日期輸入!$A$3,日期輸入!$B$3,日期輸入!$C$3+ROW(A33)-4),1)</f>
        <v>2</v>
      </c>
      <c r="C33" s="83"/>
      <c r="D33" s="71"/>
      <c r="E33" s="84"/>
      <c r="F33" s="71"/>
      <c r="G33" s="85"/>
      <c r="H33" s="998"/>
      <c r="I33" s="999"/>
      <c r="J33" s="999"/>
      <c r="K33" s="999"/>
      <c r="L33" s="1000"/>
      <c r="M33" s="68"/>
      <c r="N33" s="68"/>
      <c r="O33" s="68"/>
      <c r="P33" s="68"/>
    </row>
    <row r="34" spans="1:16" ht="50.1" customHeight="1" thickBot="1">
      <c r="A34" s="86">
        <v>31</v>
      </c>
      <c r="B34" s="94">
        <f>WEEKDAY(DATE(日期輸入!$A$3,日期輸入!$B$3,日期輸入!$C$3+ROW(A34)-4),1)</f>
        <v>3</v>
      </c>
      <c r="C34" s="87"/>
      <c r="D34" s="77"/>
      <c r="E34" s="88"/>
      <c r="F34" s="77"/>
      <c r="G34" s="89"/>
      <c r="H34" s="998"/>
      <c r="I34" s="999"/>
      <c r="J34" s="999"/>
      <c r="K34" s="999"/>
      <c r="L34" s="1000"/>
      <c r="M34" s="68"/>
      <c r="N34" s="68"/>
      <c r="O34" s="68"/>
      <c r="P34" s="68"/>
    </row>
    <row r="35" spans="1:16" ht="50.1" customHeight="1">
      <c r="A35" s="984" t="s">
        <v>284</v>
      </c>
      <c r="B35" s="985"/>
      <c r="C35" s="988"/>
      <c r="D35" s="989"/>
      <c r="E35" s="989"/>
      <c r="F35" s="989"/>
      <c r="G35" s="989"/>
      <c r="H35" s="998"/>
      <c r="I35" s="999"/>
      <c r="J35" s="999"/>
      <c r="K35" s="999"/>
      <c r="L35" s="1000"/>
      <c r="M35" s="68"/>
      <c r="N35" s="68"/>
      <c r="O35" s="68"/>
      <c r="P35" s="68"/>
    </row>
    <row r="36" spans="1:16" ht="50.1" customHeight="1" thickBot="1">
      <c r="A36" s="986"/>
      <c r="B36" s="987"/>
      <c r="C36" s="990"/>
      <c r="D36" s="991"/>
      <c r="E36" s="991"/>
      <c r="F36" s="991"/>
      <c r="G36" s="991"/>
      <c r="H36" s="1001"/>
      <c r="I36" s="1002"/>
      <c r="J36" s="1002"/>
      <c r="K36" s="1002"/>
      <c r="L36" s="1003"/>
      <c r="M36" s="68"/>
      <c r="N36" s="68"/>
      <c r="O36" s="68"/>
      <c r="P36" s="68"/>
    </row>
    <row r="37" spans="1:16" ht="50.1" customHeight="1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8"/>
      <c r="N37" s="68"/>
      <c r="O37" s="68"/>
      <c r="P37" s="68"/>
    </row>
    <row r="38" spans="1:16" ht="50.1" customHeight="1">
      <c r="A38" s="63"/>
      <c r="B38" s="63"/>
      <c r="C38" s="63" t="s">
        <v>285</v>
      </c>
      <c r="D38" s="63" t="s">
        <v>286</v>
      </c>
      <c r="E38" s="63" t="s">
        <v>286</v>
      </c>
      <c r="F38" s="63" t="s">
        <v>286</v>
      </c>
      <c r="G38" s="63" t="s">
        <v>286</v>
      </c>
      <c r="H38" s="63"/>
      <c r="I38" s="63"/>
      <c r="J38" s="63"/>
      <c r="K38" s="63"/>
      <c r="L38" s="63"/>
      <c r="M38" s="68"/>
      <c r="N38" s="68"/>
      <c r="O38" s="68"/>
      <c r="P38" s="68"/>
    </row>
    <row r="39" spans="1:16" ht="50.1" customHeight="1">
      <c r="A39" s="63"/>
      <c r="B39" s="63"/>
      <c r="C39" s="63" t="e">
        <f>INDEX(勤務分配!$A$3:$W$94,MATCH(C$3,勤務分配!$B$3:$B$94,0),1)</f>
        <v>#N/A</v>
      </c>
      <c r="D39" s="63" t="e">
        <f>INDEX(勤務分配!$A$3:$W$94,MATCH(D$3,勤務分配!$B$3:$B$94,0),1)</f>
        <v>#N/A</v>
      </c>
      <c r="E39" s="63" t="e">
        <f>INDEX(勤務分配!$A$3:$W$94,MATCH(E$3,勤務分配!$B$3:$B$94,0),1)</f>
        <v>#N/A</v>
      </c>
      <c r="F39" s="63" t="e">
        <f>INDEX(勤務分配!$A$3:$W$94,MATCH(F$3,勤務分配!$B$3:$B$94,0),1)</f>
        <v>#N/A</v>
      </c>
      <c r="G39" s="63" t="e">
        <f>INDEX(勤務分配!$A$3:$W$94,MATCH(G$3,勤務分配!$B$3:$B$94,0),1)</f>
        <v>#N/A</v>
      </c>
      <c r="H39" s="63"/>
      <c r="I39" s="63"/>
      <c r="J39" s="63"/>
      <c r="K39" s="63"/>
      <c r="L39" s="63"/>
      <c r="M39" s="68"/>
      <c r="N39" s="68"/>
      <c r="O39" s="68"/>
      <c r="P39" s="68"/>
    </row>
    <row r="40" spans="1:16" ht="50.1" customHeight="1">
      <c r="C40" s="90" t="s">
        <v>289</v>
      </c>
      <c r="D40" s="90" t="s">
        <v>289</v>
      </c>
      <c r="E40" s="90" t="s">
        <v>289</v>
      </c>
      <c r="F40" s="90" t="s">
        <v>289</v>
      </c>
      <c r="G40" s="90" t="s">
        <v>289</v>
      </c>
    </row>
    <row r="41" spans="1:16" ht="50.1" customHeight="1">
      <c r="C41" s="90" t="e">
        <f>IF(   OR(  INDEX($A$1:$O$37,日期輸入!$C$3,COLUMN(C3)  )="Ｏ",INDEX($A$1:$O$37,日期輸入!$C$3,COLUMN(C3))="○"  ),"", CONCATENATE(C40,C39)   )</f>
        <v>#N/A</v>
      </c>
      <c r="D41" s="90" t="e">
        <f>IF(   OR(  INDEX($A$1:$O$37,日期輸入!$C$3,COLUMN(D3)  )="Ｏ",INDEX($A$1:$O$37,日期輸入!$C$3,COLUMN(D3))="○"  ),"", CONCATENATE(D40,D39)   )</f>
        <v>#N/A</v>
      </c>
      <c r="E41" s="90" t="e">
        <f>IF(   OR(  INDEX($A$1:$O$37,日期輸入!$C$3,COLUMN(E3)  )="Ｏ",INDEX($A$1:$O$37,日期輸入!$C$3,COLUMN(E3))="○"  ),"", CONCATENATE(E40,E39)   )</f>
        <v>#N/A</v>
      </c>
      <c r="F41" s="90" t="e">
        <f>IF(   OR(  INDEX($A$1:$O$37,日期輸入!$C$3,COLUMN(F3)  )="Ｏ",INDEX($A$1:$O$37,日期輸入!$C$3,COLUMN(F3))="○"  ),"", CONCATENATE(F40,F39)   )</f>
        <v>#N/A</v>
      </c>
      <c r="G41" s="90" t="e">
        <f>IF(   OR(  INDEX($A$1:$O$37,日期輸入!$C$3,COLUMN(G3)  )="Ｏ",INDEX($A$1:$O$37,日期輸入!$C$3,COLUMN(G3))="○"  ),"", CONCATENATE(G40,G39)   )</f>
        <v>#N/A</v>
      </c>
    </row>
    <row r="42" spans="1:16" ht="50.1" customHeight="1"/>
    <row r="43" spans="1:16" ht="50.1" customHeight="1"/>
    <row r="44" spans="1:16" ht="50.1" customHeight="1"/>
    <row r="45" spans="1:16" ht="50.1" customHeight="1"/>
    <row r="46" spans="1:16" ht="50.1" customHeight="1"/>
    <row r="47" spans="1:16" ht="50.1" customHeight="1"/>
    <row r="48" spans="1:16" ht="50.1" customHeight="1"/>
    <row r="49" ht="50.1" customHeight="1"/>
    <row r="50" ht="50.1" customHeight="1"/>
  </sheetData>
  <mergeCells count="7">
    <mergeCell ref="A1:L1"/>
    <mergeCell ref="A2:B2"/>
    <mergeCell ref="A3:B3"/>
    <mergeCell ref="A35:B36"/>
    <mergeCell ref="C35:G36"/>
    <mergeCell ref="H2:L3"/>
    <mergeCell ref="H4:L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O42"/>
  <sheetViews>
    <sheetView workbookViewId="0">
      <selection activeCell="R19" sqref="R19"/>
    </sheetView>
  </sheetViews>
  <sheetFormatPr defaultColWidth="9" defaultRowHeight="16.5"/>
  <cols>
    <col min="1" max="3" width="15.625" style="14" customWidth="1"/>
    <col min="4" max="4" width="3.625" style="14" customWidth="1"/>
    <col min="5" max="5" width="3.5" style="14" customWidth="1"/>
    <col min="6" max="6" width="4.125" style="14" customWidth="1"/>
    <col min="7" max="10" width="3.875" style="14" customWidth="1"/>
    <col min="11" max="11" width="4.125" style="14" customWidth="1"/>
    <col min="12" max="13" width="3.625" style="14" customWidth="1"/>
    <col min="14" max="14" width="4.125" style="14" customWidth="1"/>
    <col min="15" max="15" width="4" style="14" customWidth="1"/>
    <col min="16" max="16" width="9" style="14" customWidth="1"/>
    <col min="17" max="16384" width="9" style="14"/>
  </cols>
  <sheetData>
    <row r="1" spans="1:15" ht="23.25" customHeight="1" thickTop="1">
      <c r="A1" s="1022" t="s">
        <v>91</v>
      </c>
      <c r="B1" s="1023"/>
      <c r="C1" s="1023"/>
      <c r="D1" s="1023"/>
      <c r="E1" s="1023"/>
      <c r="F1" s="12">
        <f>MONTH(勤務分配表!AN1)</f>
        <v>10</v>
      </c>
      <c r="G1" s="13" t="s">
        <v>92</v>
      </c>
      <c r="H1" s="12">
        <f>DAY(勤務分配表!AN1)</f>
        <v>31</v>
      </c>
      <c r="I1" s="13" t="s">
        <v>93</v>
      </c>
      <c r="J1" s="1024" t="s">
        <v>94</v>
      </c>
      <c r="K1" s="1023"/>
      <c r="L1" s="1023"/>
      <c r="M1" s="1023"/>
      <c r="N1" s="1023"/>
      <c r="O1" s="1025"/>
    </row>
    <row r="2" spans="1:15" ht="19.5" customHeight="1">
      <c r="A2" s="1026"/>
      <c r="B2" s="1005"/>
      <c r="C2" s="39" t="s">
        <v>95</v>
      </c>
      <c r="D2" s="1004" t="s">
        <v>96</v>
      </c>
      <c r="E2" s="1005"/>
      <c r="F2" s="1004" t="s">
        <v>97</v>
      </c>
      <c r="G2" s="1005"/>
      <c r="H2" s="1004" t="s">
        <v>98</v>
      </c>
      <c r="I2" s="1005"/>
      <c r="J2" s="1006" t="s">
        <v>99</v>
      </c>
      <c r="K2" s="1005"/>
      <c r="L2" s="1007" t="s">
        <v>49</v>
      </c>
      <c r="M2" s="1005"/>
      <c r="N2" s="1008" t="s">
        <v>50</v>
      </c>
      <c r="O2" s="1005"/>
    </row>
    <row r="3" spans="1:15" ht="19.5" customHeight="1">
      <c r="A3" s="1027" t="s">
        <v>100</v>
      </c>
      <c r="B3" s="32" t="s">
        <v>32</v>
      </c>
      <c r="C3" s="32"/>
      <c r="D3" s="1004"/>
      <c r="E3" s="1005"/>
      <c r="F3" s="1030"/>
      <c r="G3" s="1031"/>
      <c r="H3" s="1004"/>
      <c r="I3" s="1005"/>
      <c r="J3" s="1014">
        <v>1</v>
      </c>
      <c r="K3" s="1005"/>
      <c r="L3" s="1007"/>
      <c r="M3" s="1005"/>
      <c r="N3" s="1016"/>
      <c r="O3" s="1017"/>
    </row>
    <row r="4" spans="1:15" ht="19.5" customHeight="1">
      <c r="A4" s="1028"/>
      <c r="B4" s="15" t="s">
        <v>34</v>
      </c>
      <c r="C4" s="32"/>
      <c r="D4" s="1004"/>
      <c r="E4" s="1005"/>
      <c r="F4" s="1015"/>
      <c r="G4" s="1005"/>
      <c r="H4" s="1004"/>
      <c r="I4" s="1005"/>
      <c r="J4" s="1014">
        <v>1</v>
      </c>
      <c r="K4" s="1005"/>
      <c r="L4" s="1007"/>
      <c r="M4" s="1005"/>
      <c r="N4" s="1018"/>
      <c r="O4" s="1019"/>
    </row>
    <row r="5" spans="1:15" ht="19.5" customHeight="1">
      <c r="A5" s="1028"/>
      <c r="B5" s="32" t="s">
        <v>101</v>
      </c>
      <c r="C5" s="32"/>
      <c r="D5" s="1004"/>
      <c r="E5" s="1005"/>
      <c r="F5" s="1015"/>
      <c r="G5" s="1005"/>
      <c r="H5" s="1004"/>
      <c r="I5" s="1005"/>
      <c r="J5" s="1014">
        <v>1</v>
      </c>
      <c r="K5" s="1005"/>
      <c r="L5" s="1007"/>
      <c r="M5" s="1005"/>
      <c r="N5" s="1018"/>
      <c r="O5" s="1019"/>
    </row>
    <row r="6" spans="1:15" ht="19.5" customHeight="1">
      <c r="A6" s="1028"/>
      <c r="B6" s="32" t="s">
        <v>38</v>
      </c>
      <c r="C6" s="32"/>
      <c r="D6" s="1004"/>
      <c r="E6" s="1005"/>
      <c r="F6" s="1015"/>
      <c r="G6" s="1005"/>
      <c r="H6" s="1004"/>
      <c r="I6" s="1005"/>
      <c r="J6" s="1014">
        <v>1</v>
      </c>
      <c r="K6" s="1005"/>
      <c r="L6" s="1007"/>
      <c r="M6" s="1005"/>
      <c r="N6" s="1018"/>
      <c r="O6" s="1019"/>
    </row>
    <row r="7" spans="1:15" ht="19.5" customHeight="1">
      <c r="A7" s="1028"/>
      <c r="B7" s="32" t="s">
        <v>40</v>
      </c>
      <c r="C7" s="32"/>
      <c r="D7" s="1004"/>
      <c r="E7" s="1005"/>
      <c r="F7" s="1015"/>
      <c r="G7" s="1005"/>
      <c r="H7" s="1004"/>
      <c r="I7" s="1005"/>
      <c r="J7" s="1014">
        <v>9</v>
      </c>
      <c r="K7" s="1005"/>
      <c r="L7" s="1007"/>
      <c r="M7" s="1005"/>
      <c r="N7" s="1018"/>
      <c r="O7" s="1019"/>
    </row>
    <row r="8" spans="1:15" ht="19.5" customHeight="1">
      <c r="A8" s="1028"/>
      <c r="B8" s="32" t="s">
        <v>64</v>
      </c>
      <c r="C8" s="32"/>
      <c r="D8" s="1004"/>
      <c r="E8" s="1005"/>
      <c r="F8" s="1015"/>
      <c r="G8" s="1005"/>
      <c r="H8" s="1004"/>
      <c r="I8" s="1005"/>
      <c r="J8" s="1014">
        <v>19</v>
      </c>
      <c r="K8" s="1005"/>
      <c r="L8" s="1004"/>
      <c r="M8" s="1005"/>
      <c r="N8" s="1018"/>
      <c r="O8" s="1019"/>
    </row>
    <row r="9" spans="1:15" ht="19.5" customHeight="1">
      <c r="A9" s="1028"/>
      <c r="B9" s="32" t="s">
        <v>102</v>
      </c>
      <c r="C9" s="32"/>
      <c r="D9" s="1004"/>
      <c r="E9" s="1005"/>
      <c r="F9" s="1015"/>
      <c r="G9" s="1005"/>
      <c r="H9" s="1004"/>
      <c r="I9" s="1005"/>
      <c r="J9" s="1014">
        <v>0</v>
      </c>
      <c r="K9" s="1005"/>
      <c r="L9" s="1007"/>
      <c r="M9" s="1005"/>
      <c r="N9" s="1018"/>
      <c r="O9" s="1019"/>
    </row>
    <row r="10" spans="1:15" ht="16.5" customHeight="1" thickBot="1">
      <c r="A10" s="1029"/>
      <c r="B10" s="34" t="s">
        <v>65</v>
      </c>
      <c r="C10" s="34"/>
      <c r="D10" s="1009"/>
      <c r="E10" s="1010"/>
      <c r="F10" s="1011"/>
      <c r="G10" s="1010"/>
      <c r="H10" s="1009"/>
      <c r="I10" s="1010"/>
      <c r="J10" s="1012">
        <v>28</v>
      </c>
      <c r="K10" s="1010"/>
      <c r="L10" s="1013"/>
      <c r="M10" s="1010"/>
      <c r="N10" s="1020"/>
      <c r="O10" s="1021"/>
    </row>
    <row r="11" spans="1:15" ht="20.25" customHeight="1" thickTop="1">
      <c r="A11" s="1042" t="s">
        <v>103</v>
      </c>
      <c r="B11" s="1043" t="s">
        <v>104</v>
      </c>
      <c r="C11" s="1041"/>
      <c r="D11" s="1044"/>
      <c r="E11" s="1041"/>
      <c r="F11" s="1053"/>
      <c r="G11" s="1041"/>
      <c r="H11" s="1044"/>
      <c r="I11" s="1041"/>
      <c r="J11" s="1047">
        <v>0</v>
      </c>
      <c r="K11" s="1041"/>
      <c r="L11" s="1040"/>
      <c r="M11" s="1041"/>
      <c r="N11" s="1035"/>
      <c r="O11" s="1036"/>
    </row>
    <row r="12" spans="1:15" ht="19.5" customHeight="1">
      <c r="A12" s="1028"/>
      <c r="B12" s="1037" t="s">
        <v>38</v>
      </c>
      <c r="C12" s="1005"/>
      <c r="D12" s="1004"/>
      <c r="E12" s="1005"/>
      <c r="F12" s="1038"/>
      <c r="G12" s="1039"/>
      <c r="H12" s="1004"/>
      <c r="I12" s="1005"/>
      <c r="J12" s="1014">
        <v>0</v>
      </c>
      <c r="K12" s="1005"/>
      <c r="L12" s="1007"/>
      <c r="M12" s="1005"/>
      <c r="N12" s="1018"/>
      <c r="O12" s="1019"/>
    </row>
    <row r="13" spans="1:15" ht="19.5" customHeight="1">
      <c r="A13" s="1028"/>
      <c r="B13" s="1037" t="s">
        <v>40</v>
      </c>
      <c r="C13" s="1005"/>
      <c r="D13" s="1004"/>
      <c r="E13" s="1005"/>
      <c r="F13" s="1048"/>
      <c r="G13" s="1049"/>
      <c r="H13" s="1004"/>
      <c r="I13" s="1005"/>
      <c r="J13" s="1014">
        <v>0</v>
      </c>
      <c r="K13" s="1005"/>
      <c r="L13" s="1007"/>
      <c r="M13" s="1005"/>
      <c r="N13" s="1018"/>
      <c r="O13" s="1019"/>
    </row>
    <row r="14" spans="1:15" ht="17.25" customHeight="1" thickBot="1">
      <c r="A14" s="1029"/>
      <c r="B14" s="1032" t="s">
        <v>65</v>
      </c>
      <c r="C14" s="1010"/>
      <c r="D14" s="1009"/>
      <c r="E14" s="1010"/>
      <c r="F14" s="1033"/>
      <c r="G14" s="1034"/>
      <c r="H14" s="1009"/>
      <c r="I14" s="1010"/>
      <c r="J14" s="1012">
        <v>0</v>
      </c>
      <c r="K14" s="1010"/>
      <c r="L14" s="1013"/>
      <c r="M14" s="1010"/>
      <c r="N14" s="1020"/>
      <c r="O14" s="1021"/>
    </row>
    <row r="15" spans="1:15" ht="20.25" customHeight="1" thickTop="1">
      <c r="A15" s="1042" t="s">
        <v>105</v>
      </c>
      <c r="B15" s="1043" t="s">
        <v>101</v>
      </c>
      <c r="C15" s="1041"/>
      <c r="D15" s="1044"/>
      <c r="E15" s="1041"/>
      <c r="F15" s="1045"/>
      <c r="G15" s="1046"/>
      <c r="H15" s="1044"/>
      <c r="I15" s="1041"/>
      <c r="J15" s="1047">
        <v>2</v>
      </c>
      <c r="K15" s="1041"/>
      <c r="L15" s="1040"/>
      <c r="M15" s="1041"/>
      <c r="N15" s="1035"/>
      <c r="O15" s="1036"/>
    </row>
    <row r="16" spans="1:15" ht="19.5" customHeight="1">
      <c r="A16" s="1028"/>
      <c r="B16" s="1037" t="s">
        <v>38</v>
      </c>
      <c r="C16" s="1005"/>
      <c r="D16" s="1004"/>
      <c r="E16" s="1005"/>
      <c r="F16" s="1048"/>
      <c r="G16" s="1049"/>
      <c r="H16" s="1004"/>
      <c r="I16" s="1005"/>
      <c r="J16" s="1052">
        <v>0</v>
      </c>
      <c r="K16" s="1031"/>
      <c r="L16" s="1007"/>
      <c r="M16" s="1005"/>
      <c r="N16" s="1018"/>
      <c r="O16" s="1019"/>
    </row>
    <row r="17" spans="1:15" ht="19.5" customHeight="1">
      <c r="A17" s="1028"/>
      <c r="B17" s="1037" t="s">
        <v>40</v>
      </c>
      <c r="C17" s="1005"/>
      <c r="D17" s="1004"/>
      <c r="E17" s="1005"/>
      <c r="F17" s="1048"/>
      <c r="G17" s="1049"/>
      <c r="H17" s="1004"/>
      <c r="I17" s="1005"/>
      <c r="J17" s="1014">
        <v>0</v>
      </c>
      <c r="K17" s="1005"/>
      <c r="L17" s="1007"/>
      <c r="M17" s="1005"/>
      <c r="N17" s="1018"/>
      <c r="O17" s="1019"/>
    </row>
    <row r="18" spans="1:15" ht="19.5" customHeight="1" thickBot="1">
      <c r="A18" s="1029"/>
      <c r="B18" s="1032" t="s">
        <v>65</v>
      </c>
      <c r="C18" s="1010"/>
      <c r="D18" s="1009"/>
      <c r="E18" s="1010"/>
      <c r="F18" s="1033"/>
      <c r="G18" s="1034"/>
      <c r="H18" s="1009"/>
      <c r="I18" s="1010"/>
      <c r="J18" s="1050">
        <v>2</v>
      </c>
      <c r="K18" s="1051"/>
      <c r="L18" s="1013"/>
      <c r="M18" s="1010"/>
      <c r="N18" s="1020"/>
      <c r="O18" s="1021"/>
    </row>
    <row r="19" spans="1:15" ht="20.25" customHeight="1" thickTop="1">
      <c r="A19" s="1042" t="s">
        <v>106</v>
      </c>
      <c r="B19" s="1043" t="s">
        <v>101</v>
      </c>
      <c r="C19" s="1041"/>
      <c r="D19" s="1044"/>
      <c r="E19" s="1041"/>
      <c r="F19" s="1045"/>
      <c r="G19" s="1046"/>
      <c r="H19" s="1044"/>
      <c r="I19" s="1041"/>
      <c r="J19" s="1047">
        <v>1</v>
      </c>
      <c r="K19" s="1041"/>
      <c r="L19" s="1040"/>
      <c r="M19" s="1041"/>
      <c r="N19" s="1054" t="s">
        <v>107</v>
      </c>
      <c r="O19" s="1055"/>
    </row>
    <row r="20" spans="1:15" ht="19.5" customHeight="1">
      <c r="A20" s="1028"/>
      <c r="B20" s="1037" t="s">
        <v>38</v>
      </c>
      <c r="C20" s="1005"/>
      <c r="D20" s="1004"/>
      <c r="E20" s="1005"/>
      <c r="F20" s="1048"/>
      <c r="G20" s="1049"/>
      <c r="H20" s="1004"/>
      <c r="I20" s="1005"/>
      <c r="J20" s="1014">
        <v>0</v>
      </c>
      <c r="K20" s="1005"/>
      <c r="L20" s="1007"/>
      <c r="M20" s="1005"/>
      <c r="N20" s="1018"/>
      <c r="O20" s="1056"/>
    </row>
    <row r="21" spans="1:15" ht="19.5" customHeight="1">
      <c r="A21" s="1028"/>
      <c r="B21" s="1037" t="s">
        <v>40</v>
      </c>
      <c r="C21" s="1005"/>
      <c r="D21" s="1004"/>
      <c r="E21" s="1005"/>
      <c r="F21" s="1048"/>
      <c r="G21" s="1049"/>
      <c r="H21" s="1004"/>
      <c r="I21" s="1005"/>
      <c r="J21" s="1014">
        <v>1</v>
      </c>
      <c r="K21" s="1005"/>
      <c r="L21" s="1007"/>
      <c r="M21" s="1005"/>
      <c r="N21" s="1018"/>
      <c r="O21" s="1056"/>
    </row>
    <row r="22" spans="1:15" ht="15.75" customHeight="1" thickBot="1">
      <c r="A22" s="1029"/>
      <c r="B22" s="1032" t="s">
        <v>65</v>
      </c>
      <c r="C22" s="1010"/>
      <c r="D22" s="1009"/>
      <c r="E22" s="1010"/>
      <c r="F22" s="1033"/>
      <c r="G22" s="1034"/>
      <c r="H22" s="1009"/>
      <c r="I22" s="1010"/>
      <c r="J22" s="1012">
        <v>4</v>
      </c>
      <c r="K22" s="1010"/>
      <c r="L22" s="1013"/>
      <c r="M22" s="1010"/>
      <c r="N22" s="1057"/>
      <c r="O22" s="1051"/>
    </row>
    <row r="23" spans="1:15" ht="20.25" customHeight="1" thickTop="1">
      <c r="A23" s="1058" t="s">
        <v>108</v>
      </c>
      <c r="B23" s="1043" t="s">
        <v>38</v>
      </c>
      <c r="C23" s="1041"/>
      <c r="D23" s="1044"/>
      <c r="E23" s="1041"/>
      <c r="F23" s="1045"/>
      <c r="G23" s="1046"/>
      <c r="H23" s="1044"/>
      <c r="I23" s="1041"/>
      <c r="J23" s="1047">
        <v>0</v>
      </c>
      <c r="K23" s="1041"/>
      <c r="L23" s="1040"/>
      <c r="M23" s="1041"/>
      <c r="N23" s="1060"/>
      <c r="O23" s="1055"/>
    </row>
    <row r="24" spans="1:15" ht="19.5" customHeight="1">
      <c r="A24" s="1028"/>
      <c r="B24" s="1037" t="s">
        <v>40</v>
      </c>
      <c r="C24" s="1005"/>
      <c r="D24" s="1004"/>
      <c r="E24" s="1005"/>
      <c r="F24" s="1048"/>
      <c r="G24" s="1049"/>
      <c r="H24" s="1004"/>
      <c r="I24" s="1005"/>
      <c r="J24" s="1014">
        <v>0</v>
      </c>
      <c r="K24" s="1005"/>
      <c r="L24" s="1007"/>
      <c r="M24" s="1005"/>
      <c r="N24" s="1018"/>
      <c r="O24" s="1056"/>
    </row>
    <row r="25" spans="1:15" ht="15.75" customHeight="1" thickBot="1">
      <c r="A25" s="1059"/>
      <c r="B25" s="1032" t="s">
        <v>65</v>
      </c>
      <c r="C25" s="1010"/>
      <c r="D25" s="1009"/>
      <c r="E25" s="1010"/>
      <c r="F25" s="1033"/>
      <c r="G25" s="1034"/>
      <c r="H25" s="1009"/>
      <c r="I25" s="1010"/>
      <c r="J25" s="1012">
        <v>0</v>
      </c>
      <c r="K25" s="1010"/>
      <c r="L25" s="1013"/>
      <c r="M25" s="1010"/>
      <c r="N25" s="1057"/>
      <c r="O25" s="1051"/>
    </row>
    <row r="26" spans="1:15" ht="20.25" customHeight="1" thickTop="1">
      <c r="A26" s="1042" t="s">
        <v>109</v>
      </c>
      <c r="B26" s="1043" t="s">
        <v>32</v>
      </c>
      <c r="C26" s="1041"/>
      <c r="D26" s="1044"/>
      <c r="E26" s="1041"/>
      <c r="F26" s="1045"/>
      <c r="G26" s="1046"/>
      <c r="H26" s="1044"/>
      <c r="I26" s="1041"/>
      <c r="J26" s="1063">
        <v>1</v>
      </c>
      <c r="K26" s="1041"/>
      <c r="L26" s="1040"/>
      <c r="M26" s="1041"/>
      <c r="N26" s="1035"/>
      <c r="O26" s="1036"/>
    </row>
    <row r="27" spans="1:15" ht="19.5" customHeight="1">
      <c r="A27" s="1028"/>
      <c r="B27" s="1037" t="s">
        <v>34</v>
      </c>
      <c r="C27" s="1005"/>
      <c r="D27" s="1004"/>
      <c r="E27" s="1005"/>
      <c r="F27" s="1048"/>
      <c r="G27" s="1049"/>
      <c r="H27" s="1004"/>
      <c r="I27" s="1005"/>
      <c r="J27" s="1061">
        <v>0</v>
      </c>
      <c r="K27" s="1005"/>
      <c r="L27" s="1007"/>
      <c r="M27" s="1005"/>
      <c r="N27" s="1018"/>
      <c r="O27" s="1019"/>
    </row>
    <row r="28" spans="1:15" ht="19.5" customHeight="1">
      <c r="A28" s="1028"/>
      <c r="B28" s="1037" t="s">
        <v>101</v>
      </c>
      <c r="C28" s="1005"/>
      <c r="D28" s="1004"/>
      <c r="E28" s="1005"/>
      <c r="F28" s="1048"/>
      <c r="G28" s="1049"/>
      <c r="H28" s="1004"/>
      <c r="I28" s="1005"/>
      <c r="J28" s="1061">
        <v>0</v>
      </c>
      <c r="K28" s="1005"/>
      <c r="L28" s="1007"/>
      <c r="M28" s="1005"/>
      <c r="N28" s="1018"/>
      <c r="O28" s="1019"/>
    </row>
    <row r="29" spans="1:15" ht="19.5" customHeight="1">
      <c r="A29" s="1028"/>
      <c r="B29" s="1037" t="s">
        <v>38</v>
      </c>
      <c r="C29" s="1005"/>
      <c r="D29" s="1004"/>
      <c r="E29" s="1005"/>
      <c r="F29" s="1048"/>
      <c r="G29" s="1049"/>
      <c r="H29" s="1004"/>
      <c r="I29" s="1005"/>
      <c r="J29" s="1061">
        <v>1</v>
      </c>
      <c r="K29" s="1005"/>
      <c r="L29" s="1007"/>
      <c r="M29" s="1005"/>
      <c r="N29" s="1018"/>
      <c r="O29" s="1019"/>
    </row>
    <row r="30" spans="1:15" ht="19.5" customHeight="1">
      <c r="A30" s="1028"/>
      <c r="B30" s="1037" t="s">
        <v>40</v>
      </c>
      <c r="C30" s="1005"/>
      <c r="D30" s="1004"/>
      <c r="E30" s="1005"/>
      <c r="F30" s="1048"/>
      <c r="G30" s="1049"/>
      <c r="H30" s="1004"/>
      <c r="I30" s="1005"/>
      <c r="J30" s="1061">
        <v>5</v>
      </c>
      <c r="K30" s="1005"/>
      <c r="L30" s="1007"/>
      <c r="M30" s="1005"/>
      <c r="N30" s="1018"/>
      <c r="O30" s="1019"/>
    </row>
    <row r="31" spans="1:15" ht="19.5" customHeight="1">
      <c r="A31" s="1028"/>
      <c r="B31" s="1037" t="s">
        <v>64</v>
      </c>
      <c r="C31" s="1005"/>
      <c r="D31" s="1004"/>
      <c r="E31" s="1005"/>
      <c r="F31" s="1048"/>
      <c r="G31" s="1049"/>
      <c r="H31" s="1004"/>
      <c r="I31" s="1005"/>
      <c r="J31" s="1061">
        <v>7</v>
      </c>
      <c r="K31" s="1005"/>
      <c r="L31" s="1007"/>
      <c r="M31" s="1005"/>
      <c r="N31" s="1018"/>
      <c r="O31" s="1019"/>
    </row>
    <row r="32" spans="1:15" ht="15.75" customHeight="1" thickBot="1">
      <c r="A32" s="1029"/>
      <c r="B32" s="1032" t="s">
        <v>110</v>
      </c>
      <c r="C32" s="1010"/>
      <c r="D32" s="1009"/>
      <c r="E32" s="1010"/>
      <c r="F32" s="1033"/>
      <c r="G32" s="1034"/>
      <c r="H32" s="1009"/>
      <c r="I32" s="1010"/>
      <c r="J32" s="1062">
        <v>16</v>
      </c>
      <c r="K32" s="1010"/>
      <c r="L32" s="1013"/>
      <c r="M32" s="1010"/>
      <c r="N32" s="1020"/>
      <c r="O32" s="1021"/>
    </row>
    <row r="33" spans="1:15" ht="20.25" customHeight="1" thickTop="1">
      <c r="A33" s="1042" t="s">
        <v>111</v>
      </c>
      <c r="B33" s="1044" t="s">
        <v>112</v>
      </c>
      <c r="C33" s="1041"/>
      <c r="D33" s="35" t="s">
        <v>93</v>
      </c>
      <c r="E33" s="16" t="s">
        <v>113</v>
      </c>
      <c r="F33" s="17" t="s">
        <v>93</v>
      </c>
      <c r="G33" s="16" t="s">
        <v>113</v>
      </c>
      <c r="H33" s="31" t="s">
        <v>93</v>
      </c>
      <c r="I33" s="16" t="s">
        <v>113</v>
      </c>
      <c r="J33" s="36" t="s">
        <v>93</v>
      </c>
      <c r="K33" s="18" t="s">
        <v>113</v>
      </c>
      <c r="L33" s="31" t="s">
        <v>93</v>
      </c>
      <c r="M33" s="16" t="s">
        <v>113</v>
      </c>
      <c r="N33" s="36" t="s">
        <v>93</v>
      </c>
      <c r="O33" s="19" t="s">
        <v>113</v>
      </c>
    </row>
    <row r="34" spans="1:15" ht="19.5" customHeight="1">
      <c r="A34" s="1028"/>
      <c r="B34" s="1037" t="s">
        <v>32</v>
      </c>
      <c r="C34" s="1005"/>
      <c r="D34" s="32"/>
      <c r="E34" s="20"/>
      <c r="F34" s="21"/>
      <c r="G34" s="21"/>
      <c r="H34" s="39"/>
      <c r="I34" s="20"/>
      <c r="J34" s="37">
        <v>0</v>
      </c>
      <c r="K34" s="22">
        <v>0</v>
      </c>
      <c r="L34" s="39"/>
      <c r="M34" s="20"/>
      <c r="N34" s="1068">
        <f>SUM(J34:J39)</f>
        <v>13</v>
      </c>
      <c r="O34" s="1070">
        <f>SUM(K34:K39)</f>
        <v>2</v>
      </c>
    </row>
    <row r="35" spans="1:15" ht="19.5" customHeight="1">
      <c r="A35" s="1028"/>
      <c r="B35" s="1037" t="s">
        <v>34</v>
      </c>
      <c r="C35" s="1005"/>
      <c r="D35" s="32"/>
      <c r="E35" s="20"/>
      <c r="F35" s="21"/>
      <c r="G35" s="21"/>
      <c r="H35" s="39"/>
      <c r="I35" s="20"/>
      <c r="J35" s="37">
        <v>1</v>
      </c>
      <c r="K35" s="22">
        <v>1</v>
      </c>
      <c r="L35" s="39"/>
      <c r="M35" s="20"/>
      <c r="N35" s="1069"/>
      <c r="O35" s="1071"/>
    </row>
    <row r="36" spans="1:15" ht="19.5" customHeight="1">
      <c r="A36" s="1028"/>
      <c r="B36" s="1037" t="s">
        <v>101</v>
      </c>
      <c r="C36" s="1005"/>
      <c r="D36" s="32"/>
      <c r="E36" s="20"/>
      <c r="F36" s="21"/>
      <c r="G36" s="21"/>
      <c r="H36" s="39"/>
      <c r="I36" s="20"/>
      <c r="J36" s="37">
        <v>0</v>
      </c>
      <c r="K36" s="22">
        <v>0</v>
      </c>
      <c r="L36" s="39"/>
      <c r="M36" s="20"/>
      <c r="N36" s="1069"/>
      <c r="O36" s="1071"/>
    </row>
    <row r="37" spans="1:15" ht="19.5" customHeight="1">
      <c r="A37" s="1028"/>
      <c r="B37" s="1037" t="s">
        <v>38</v>
      </c>
      <c r="C37" s="1005"/>
      <c r="D37" s="32"/>
      <c r="E37" s="20"/>
      <c r="F37" s="21"/>
      <c r="G37" s="21"/>
      <c r="H37" s="39"/>
      <c r="I37" s="20"/>
      <c r="J37" s="37">
        <v>1</v>
      </c>
      <c r="K37" s="22">
        <v>0</v>
      </c>
      <c r="L37" s="39"/>
      <c r="M37" s="20"/>
      <c r="N37" s="1069"/>
      <c r="O37" s="1071"/>
    </row>
    <row r="38" spans="1:15" ht="18" customHeight="1">
      <c r="A38" s="1028"/>
      <c r="B38" s="1037" t="s">
        <v>40</v>
      </c>
      <c r="C38" s="1005"/>
      <c r="D38" s="32"/>
      <c r="E38" s="20"/>
      <c r="F38" s="21"/>
      <c r="G38" s="21"/>
      <c r="H38" s="39"/>
      <c r="I38" s="20"/>
      <c r="J38" s="37">
        <v>3</v>
      </c>
      <c r="K38" s="22">
        <v>1</v>
      </c>
      <c r="L38" s="39"/>
      <c r="M38" s="20"/>
      <c r="N38" s="1069"/>
      <c r="O38" s="1071"/>
    </row>
    <row r="39" spans="1:15" ht="18" customHeight="1">
      <c r="A39" s="1028"/>
      <c r="B39" s="1037" t="s">
        <v>64</v>
      </c>
      <c r="C39" s="1005"/>
      <c r="D39" s="32"/>
      <c r="E39" s="20"/>
      <c r="F39" s="21"/>
      <c r="G39" s="21"/>
      <c r="H39" s="39"/>
      <c r="I39" s="20"/>
      <c r="J39" s="37">
        <v>8</v>
      </c>
      <c r="K39" s="22">
        <v>0</v>
      </c>
      <c r="L39" s="39"/>
      <c r="N39" s="1069"/>
      <c r="O39" s="1071"/>
    </row>
    <row r="40" spans="1:15" ht="17.25" customHeight="1">
      <c r="A40" s="1029"/>
      <c r="B40" s="1037" t="s">
        <v>65</v>
      </c>
      <c r="C40" s="1005"/>
      <c r="D40" s="32"/>
      <c r="E40" s="20"/>
      <c r="F40" s="21"/>
      <c r="G40" s="21"/>
      <c r="H40" s="39"/>
      <c r="I40" s="20"/>
      <c r="J40" s="37">
        <v>11</v>
      </c>
      <c r="K40" s="22">
        <v>11</v>
      </c>
      <c r="L40" s="39"/>
      <c r="M40" s="20"/>
      <c r="N40" s="23">
        <f>J40</f>
        <v>11</v>
      </c>
      <c r="O40" s="24">
        <f>K40</f>
        <v>11</v>
      </c>
    </row>
    <row r="41" spans="1:15" ht="17.25" customHeight="1" thickBot="1">
      <c r="A41" s="1066" t="s">
        <v>114</v>
      </c>
      <c r="B41" s="1067"/>
      <c r="C41" s="1010"/>
      <c r="D41" s="34"/>
      <c r="E41" s="25"/>
      <c r="F41" s="26"/>
      <c r="G41" s="26"/>
      <c r="H41" s="33"/>
      <c r="I41" s="25"/>
      <c r="J41" s="38">
        <v>0</v>
      </c>
      <c r="K41" s="27">
        <v>0</v>
      </c>
      <c r="L41" s="33"/>
      <c r="M41" s="25"/>
      <c r="N41" s="28">
        <f>J41</f>
        <v>0</v>
      </c>
      <c r="O41" s="29">
        <f>K41</f>
        <v>0</v>
      </c>
    </row>
    <row r="42" spans="1:15" ht="20.25" customHeight="1" thickTop="1">
      <c r="A42" s="1064"/>
      <c r="B42" s="1065"/>
      <c r="C42" s="1065"/>
      <c r="D42" s="1065"/>
      <c r="E42" s="1065"/>
      <c r="F42" s="1065"/>
      <c r="G42" s="1065"/>
      <c r="H42" s="1065"/>
      <c r="I42" s="1065"/>
      <c r="J42" s="1064" t="s">
        <v>0</v>
      </c>
      <c r="K42" s="1065"/>
      <c r="L42" s="1065"/>
      <c r="M42" s="1065"/>
      <c r="N42" s="1065"/>
      <c r="O42" s="1065"/>
    </row>
  </sheetData>
  <mergeCells count="207">
    <mergeCell ref="A33:A40"/>
    <mergeCell ref="B33:C33"/>
    <mergeCell ref="B34:C34"/>
    <mergeCell ref="N34:N39"/>
    <mergeCell ref="O34:O39"/>
    <mergeCell ref="B35:C35"/>
    <mergeCell ref="B36:C36"/>
    <mergeCell ref="B37:C37"/>
    <mergeCell ref="B38:C38"/>
    <mergeCell ref="B39:C39"/>
    <mergeCell ref="J42:O42"/>
    <mergeCell ref="F30:G30"/>
    <mergeCell ref="H30:I30"/>
    <mergeCell ref="J30:K30"/>
    <mergeCell ref="L30:M30"/>
    <mergeCell ref="F32:G32"/>
    <mergeCell ref="L27:M27"/>
    <mergeCell ref="B28:C28"/>
    <mergeCell ref="D28:E28"/>
    <mergeCell ref="F28:G28"/>
    <mergeCell ref="L28:M28"/>
    <mergeCell ref="B29:C29"/>
    <mergeCell ref="D29:E29"/>
    <mergeCell ref="F29:G29"/>
    <mergeCell ref="H29:I29"/>
    <mergeCell ref="J29:K29"/>
    <mergeCell ref="D32:E32"/>
    <mergeCell ref="B40:C40"/>
    <mergeCell ref="A41:C41"/>
    <mergeCell ref="A42:I42"/>
    <mergeCell ref="N26:O32"/>
    <mergeCell ref="B27:C27"/>
    <mergeCell ref="D27:E27"/>
    <mergeCell ref="F27:G27"/>
    <mergeCell ref="A26:A32"/>
    <mergeCell ref="B26:C26"/>
    <mergeCell ref="D26:E26"/>
    <mergeCell ref="F26:G26"/>
    <mergeCell ref="H26:I26"/>
    <mergeCell ref="J26:K26"/>
    <mergeCell ref="B31:C31"/>
    <mergeCell ref="D31:E31"/>
    <mergeCell ref="F31:G31"/>
    <mergeCell ref="B32:C32"/>
    <mergeCell ref="B30:C30"/>
    <mergeCell ref="D30:E30"/>
    <mergeCell ref="H27:I27"/>
    <mergeCell ref="J27:K27"/>
    <mergeCell ref="L26:M26"/>
    <mergeCell ref="H28:I28"/>
    <mergeCell ref="J28:K28"/>
    <mergeCell ref="H32:I32"/>
    <mergeCell ref="J32:K32"/>
    <mergeCell ref="L32:M32"/>
    <mergeCell ref="H31:I31"/>
    <mergeCell ref="J31:K31"/>
    <mergeCell ref="L31:M31"/>
    <mergeCell ref="L29:M29"/>
    <mergeCell ref="N23:O25"/>
    <mergeCell ref="B24:C24"/>
    <mergeCell ref="D24:E24"/>
    <mergeCell ref="F24:G24"/>
    <mergeCell ref="H24:I24"/>
    <mergeCell ref="J24:K24"/>
    <mergeCell ref="L24:M24"/>
    <mergeCell ref="B25:C25"/>
    <mergeCell ref="D25:E25"/>
    <mergeCell ref="L25:M25"/>
    <mergeCell ref="L23:M23"/>
    <mergeCell ref="A23:A25"/>
    <mergeCell ref="B23:C23"/>
    <mergeCell ref="D23:E23"/>
    <mergeCell ref="F23:G23"/>
    <mergeCell ref="H23:I23"/>
    <mergeCell ref="J23:K23"/>
    <mergeCell ref="F25:G25"/>
    <mergeCell ref="H25:I25"/>
    <mergeCell ref="J25:K25"/>
    <mergeCell ref="L21:M21"/>
    <mergeCell ref="B22:C22"/>
    <mergeCell ref="D22:E22"/>
    <mergeCell ref="F22:G22"/>
    <mergeCell ref="H22:I22"/>
    <mergeCell ref="J22:K22"/>
    <mergeCell ref="L22:M22"/>
    <mergeCell ref="L19:M19"/>
    <mergeCell ref="N19:O22"/>
    <mergeCell ref="B20:C20"/>
    <mergeCell ref="D20:E20"/>
    <mergeCell ref="F20:G20"/>
    <mergeCell ref="H20:I20"/>
    <mergeCell ref="J20:K20"/>
    <mergeCell ref="L20:M20"/>
    <mergeCell ref="B21:C21"/>
    <mergeCell ref="D21:E21"/>
    <mergeCell ref="A19:A22"/>
    <mergeCell ref="B19:C19"/>
    <mergeCell ref="D19:E19"/>
    <mergeCell ref="F19:G19"/>
    <mergeCell ref="H19:I19"/>
    <mergeCell ref="J19:K19"/>
    <mergeCell ref="F21:G21"/>
    <mergeCell ref="H21:I21"/>
    <mergeCell ref="J21:K21"/>
    <mergeCell ref="A11:A14"/>
    <mergeCell ref="B11:C11"/>
    <mergeCell ref="D11:E11"/>
    <mergeCell ref="F11:G11"/>
    <mergeCell ref="H11:I11"/>
    <mergeCell ref="J11:K11"/>
    <mergeCell ref="B13:C13"/>
    <mergeCell ref="D13:E13"/>
    <mergeCell ref="F13:G13"/>
    <mergeCell ref="H13:I13"/>
    <mergeCell ref="A15:A18"/>
    <mergeCell ref="B15:C15"/>
    <mergeCell ref="D15:E15"/>
    <mergeCell ref="F15:G15"/>
    <mergeCell ref="H15:I15"/>
    <mergeCell ref="J15:K15"/>
    <mergeCell ref="F17:G17"/>
    <mergeCell ref="L17:M17"/>
    <mergeCell ref="B18:C18"/>
    <mergeCell ref="D18:E18"/>
    <mergeCell ref="F18:G18"/>
    <mergeCell ref="H18:I18"/>
    <mergeCell ref="J18:K18"/>
    <mergeCell ref="L18:M18"/>
    <mergeCell ref="B16:C16"/>
    <mergeCell ref="D16:E16"/>
    <mergeCell ref="F16:G16"/>
    <mergeCell ref="H16:I16"/>
    <mergeCell ref="J16:K16"/>
    <mergeCell ref="L16:M16"/>
    <mergeCell ref="B17:C17"/>
    <mergeCell ref="D17:E17"/>
    <mergeCell ref="L15:M15"/>
    <mergeCell ref="H17:I17"/>
    <mergeCell ref="J17:K17"/>
    <mergeCell ref="N11:O14"/>
    <mergeCell ref="B12:C12"/>
    <mergeCell ref="D12:E12"/>
    <mergeCell ref="F12:G12"/>
    <mergeCell ref="H12:I12"/>
    <mergeCell ref="J12:K12"/>
    <mergeCell ref="L12:M12"/>
    <mergeCell ref="L11:M11"/>
    <mergeCell ref="N15:O18"/>
    <mergeCell ref="F5:G5"/>
    <mergeCell ref="H5:I5"/>
    <mergeCell ref="J5:K5"/>
    <mergeCell ref="J13:K13"/>
    <mergeCell ref="L13:M13"/>
    <mergeCell ref="B14:C14"/>
    <mergeCell ref="D14:E14"/>
    <mergeCell ref="F14:G14"/>
    <mergeCell ref="H14:I14"/>
    <mergeCell ref="J14:K14"/>
    <mergeCell ref="L14:M14"/>
    <mergeCell ref="A1:E1"/>
    <mergeCell ref="J1:O1"/>
    <mergeCell ref="A2:B2"/>
    <mergeCell ref="D2:E2"/>
    <mergeCell ref="F2:G2"/>
    <mergeCell ref="A3:A10"/>
    <mergeCell ref="D3:E3"/>
    <mergeCell ref="F3:G3"/>
    <mergeCell ref="H3:I3"/>
    <mergeCell ref="J3:K3"/>
    <mergeCell ref="L3:M3"/>
    <mergeCell ref="L5:M5"/>
    <mergeCell ref="D6:E6"/>
    <mergeCell ref="F6:G6"/>
    <mergeCell ref="H6:I6"/>
    <mergeCell ref="D8:E8"/>
    <mergeCell ref="F8:G8"/>
    <mergeCell ref="H8:I8"/>
    <mergeCell ref="J8:K8"/>
    <mergeCell ref="L8:M8"/>
    <mergeCell ref="D9:E9"/>
    <mergeCell ref="F9:G9"/>
    <mergeCell ref="H9:I9"/>
    <mergeCell ref="J9:K9"/>
    <mergeCell ref="H2:I2"/>
    <mergeCell ref="J2:K2"/>
    <mergeCell ref="L2:M2"/>
    <mergeCell ref="N2:O2"/>
    <mergeCell ref="D10:E10"/>
    <mergeCell ref="F10:G10"/>
    <mergeCell ref="H10:I10"/>
    <mergeCell ref="J10:K10"/>
    <mergeCell ref="L10:M10"/>
    <mergeCell ref="L9:M9"/>
    <mergeCell ref="J6:K6"/>
    <mergeCell ref="L6:M6"/>
    <mergeCell ref="D7:E7"/>
    <mergeCell ref="F7:G7"/>
    <mergeCell ref="H7:I7"/>
    <mergeCell ref="J7:K7"/>
    <mergeCell ref="L7:M7"/>
    <mergeCell ref="N3:O10"/>
    <mergeCell ref="D4:E4"/>
    <mergeCell ref="F4:G4"/>
    <mergeCell ref="H4:I4"/>
    <mergeCell ref="J4:K4"/>
    <mergeCell ref="L4:M4"/>
    <mergeCell ref="D5:E5"/>
  </mergeCells>
  <phoneticPr fontId="2" type="noConversion"/>
  <pageMargins left="0.59027777777777801" right="0" top="0.39305555555555599" bottom="0" header="0.51180555555555596" footer="0.51180555555555596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rgb="FFFF0000"/>
  </sheetPr>
  <dimension ref="A1:AU77"/>
  <sheetViews>
    <sheetView zoomScale="85" zoomScaleNormal="85" workbookViewId="0">
      <selection activeCell="C7" sqref="C7"/>
    </sheetView>
  </sheetViews>
  <sheetFormatPr defaultColWidth="9" defaultRowHeight="16.5"/>
  <cols>
    <col min="1" max="1" width="9" style="270"/>
    <col min="2" max="2" width="17.5" style="270" customWidth="1"/>
    <col min="3" max="38" width="9" style="270"/>
    <col min="39" max="40" width="33.625" style="270" customWidth="1"/>
    <col min="41" max="45" width="9" style="270"/>
    <col min="46" max="46" width="37" style="270" customWidth="1"/>
    <col min="47" max="47" width="18" style="270" customWidth="1"/>
    <col min="48" max="16384" width="9" style="270"/>
  </cols>
  <sheetData>
    <row r="1" spans="1:47">
      <c r="A1" s="269" t="s">
        <v>257</v>
      </c>
      <c r="B1" s="269" t="s">
        <v>433</v>
      </c>
      <c r="C1" s="269">
        <v>1</v>
      </c>
      <c r="D1" s="269">
        <v>2</v>
      </c>
      <c r="E1" s="269">
        <v>3</v>
      </c>
      <c r="F1" s="269">
        <v>4</v>
      </c>
      <c r="G1" s="269">
        <v>5</v>
      </c>
      <c r="H1" s="269">
        <v>6</v>
      </c>
      <c r="I1" s="269">
        <v>7</v>
      </c>
      <c r="J1" s="269">
        <v>8</v>
      </c>
      <c r="K1" s="269">
        <v>9</v>
      </c>
      <c r="L1" s="269">
        <v>10</v>
      </c>
      <c r="M1" s="269">
        <v>11</v>
      </c>
      <c r="N1" s="269">
        <v>12</v>
      </c>
      <c r="O1" s="269">
        <v>13</v>
      </c>
      <c r="P1" s="269">
        <v>14</v>
      </c>
      <c r="Q1" s="269">
        <v>15</v>
      </c>
      <c r="R1" s="269">
        <v>16</v>
      </c>
      <c r="S1" s="269">
        <v>17</v>
      </c>
      <c r="T1" s="269">
        <v>18</v>
      </c>
      <c r="U1" s="269">
        <v>19</v>
      </c>
      <c r="V1" s="269">
        <v>20</v>
      </c>
      <c r="W1" s="269">
        <v>21</v>
      </c>
      <c r="X1" s="269">
        <v>22</v>
      </c>
      <c r="Y1" s="269">
        <v>23</v>
      </c>
      <c r="Z1" s="269">
        <v>24</v>
      </c>
      <c r="AA1" s="269">
        <v>25</v>
      </c>
      <c r="AB1" s="269">
        <v>26</v>
      </c>
      <c r="AC1" s="269">
        <v>27</v>
      </c>
      <c r="AD1" s="269">
        <v>28</v>
      </c>
      <c r="AE1" s="269">
        <v>29</v>
      </c>
      <c r="AF1" s="269">
        <v>30</v>
      </c>
      <c r="AG1" s="269">
        <v>31</v>
      </c>
      <c r="AL1" s="271" t="s">
        <v>257</v>
      </c>
      <c r="AM1" s="271" t="s">
        <v>258</v>
      </c>
      <c r="AN1" s="271" t="s">
        <v>502</v>
      </c>
      <c r="AO1" s="271">
        <v>0</v>
      </c>
      <c r="AP1" s="271">
        <v>1</v>
      </c>
      <c r="AQ1" s="271">
        <v>2</v>
      </c>
    </row>
    <row r="2" spans="1:47">
      <c r="A2" s="271" t="str">
        <f>IF(  (ROW(A2)-1)&lt;=日期輸入!$B$5,勤務分配!A2,"")</f>
        <v>A</v>
      </c>
      <c r="B2" s="271" t="str">
        <f>_xlfn.IFNA(  INDEX(警職大表!$A$1:$AZ$100,MATCH(A2,警職大表!$A$1:$A$100,0),3),"")</f>
        <v>陳正賢</v>
      </c>
      <c r="C2" s="271" t="str">
        <f>_xlfn.IFNA(   IF(   IF(  INDEX(警職大表!$A$1:$AZ$100,MATCH($A2,警職大表!$A$1:$A$100,0),   MATCH(C$1,警職大表!$A$3:$AZ$3,0)  )=0,"",INDEX(警職大表!$A$1:$AZ$100,MATCH($A2,警職大表!$A$1:$A$100,0),   MATCH(C$1,警職大表!$A$3:$AZ$3,0)  )        )="",B2,  IF(  INDEX(警職大表!$A$1:$AZ$100,MATCH($A2,警職大表!$A$1:$A$100,0),   MATCH(C$1,警職大表!$A$3:$AZ$3,0)  )=0,"",INDEX(警職大表!$A$1:$AZ$100,MATCH($A2,警職大表!$A$1:$A$100,0),   MATCH(C$1,警職大表!$A$3:$AZ$3,0)  ) )    ),"")</f>
        <v>X</v>
      </c>
      <c r="D2" s="271" t="str">
        <f>_xlfn.IFNA(   IF(   IF(  INDEX(警職大表!$A$1:$AZ$100,MATCH($A2,警職大表!$A$1:$A$100,0),   MATCH(D$1,警職大表!$A$3:$AZ$3,0)  )=0,"",INDEX(警職大表!$A$1:$AZ$100,MATCH($A2,警職大表!$A$1:$A$100,0),   MATCH(D$1,警職大表!$A$3:$AZ$3,0)  )        )="",C2,  IF(  INDEX(警職大表!$A$1:$AZ$100,MATCH($A2,警職大表!$A$1:$A$100,0),   MATCH(D$1,警職大表!$A$3:$AZ$3,0)  )=0,"",INDEX(警職大表!$A$1:$AZ$100,MATCH($A2,警職大表!$A$1:$A$100,0),   MATCH(D$1,警職大表!$A$3:$AZ$3,0)  ) )    ),"")</f>
        <v>08-18備</v>
      </c>
      <c r="E2" s="271" t="str">
        <f>_xlfn.IFNA(   IF(   IF(  INDEX(警職大表!$A$1:$AZ$100,MATCH($A2,警職大表!$A$1:$A$100,0),   MATCH(E$1,警職大表!$A$3:$AZ$3,0)  )=0,"",INDEX(警職大表!$A$1:$AZ$100,MATCH($A2,警職大表!$A$1:$A$100,0),   MATCH(E$1,警職大表!$A$3:$AZ$3,0)  )        )="",D2,  IF(  INDEX(警職大表!$A$1:$AZ$100,MATCH($A2,警職大表!$A$1:$A$100,0),   MATCH(E$1,警職大表!$A$3:$AZ$3,0)  )=0,"",INDEX(警職大表!$A$1:$AZ$100,MATCH($A2,警職大表!$A$1:$A$100,0),   MATCH(E$1,警職大表!$A$3:$AZ$3,0)  ) )    ),"")</f>
        <v>補</v>
      </c>
      <c r="F2" s="271" t="str">
        <f>_xlfn.IFNA(   IF(   IF(  INDEX(警職大表!$A$1:$AZ$100,MATCH($A2,警職大表!$A$1:$A$100,0),   MATCH(F$1,警職大表!$A$3:$AZ$3,0)  )=0,"",INDEX(警職大表!$A$1:$AZ$100,MATCH($A2,警職大表!$A$1:$A$100,0),   MATCH(F$1,警職大表!$A$3:$AZ$3,0)  )        )="",E2,  IF(  INDEX(警職大表!$A$1:$AZ$100,MATCH($A2,警職大表!$A$1:$A$100,0),   MATCH(F$1,警職大表!$A$3:$AZ$3,0)  )=0,"",INDEX(警職大表!$A$1:$AZ$100,MATCH($A2,警職大表!$A$1:$A$100,0),   MATCH(F$1,警職大表!$A$3:$AZ$3,0)  ) )    ),"")</f>
        <v>08-18備</v>
      </c>
      <c r="G2" s="271" t="str">
        <f>_xlfn.IFNA(   IF(   IF(  INDEX(警職大表!$A$1:$AZ$100,MATCH($A2,警職大表!$A$1:$A$100,0),   MATCH(G$1,警職大表!$A$3:$AZ$3,0)  )=0,"",INDEX(警職大表!$A$1:$AZ$100,MATCH($A2,警職大表!$A$1:$A$100,0),   MATCH(G$1,警職大表!$A$3:$AZ$3,0)  )        )="",F2,  IF(  INDEX(警職大表!$A$1:$AZ$100,MATCH($A2,警職大表!$A$1:$A$100,0),   MATCH(G$1,警職大表!$A$3:$AZ$3,0)  )=0,"",INDEX(警職大表!$A$1:$AZ$100,MATCH($A2,警職大表!$A$1:$A$100,0),   MATCH(G$1,警職大表!$A$3:$AZ$3,0)  ) )    ),"")</f>
        <v>08-18備</v>
      </c>
      <c r="H2" s="271" t="str">
        <f>_xlfn.IFNA(   IF(   IF(  INDEX(警職大表!$A$1:$AZ$100,MATCH($A2,警職大表!$A$1:$A$100,0),   MATCH(H$1,警職大表!$A$3:$AZ$3,0)  )=0,"",INDEX(警職大表!$A$1:$AZ$100,MATCH($A2,警職大表!$A$1:$A$100,0),   MATCH(H$1,警職大表!$A$3:$AZ$3,0)  )        )="",G2,  IF(  INDEX(警職大表!$A$1:$AZ$100,MATCH($A2,警職大表!$A$1:$A$100,0),   MATCH(H$1,警職大表!$A$3:$AZ$3,0)  )=0,"",INDEX(警職大表!$A$1:$AZ$100,MATCH($A2,警職大表!$A$1:$A$100,0),   MATCH(H$1,警職大表!$A$3:$AZ$3,0)  ) )    ),"")</f>
        <v>08-18備</v>
      </c>
      <c r="I2" s="271" t="str">
        <f>_xlfn.IFNA(   IF(   IF(  INDEX(警職大表!$A$1:$AZ$100,MATCH($A2,警職大表!$A$1:$A$100,0),   MATCH(I$1,警職大表!$A$3:$AZ$3,0)  )=0,"",INDEX(警職大表!$A$1:$AZ$100,MATCH($A2,警職大表!$A$1:$A$100,0),   MATCH(I$1,警職大表!$A$3:$AZ$3,0)  )        )="",H2,  IF(  INDEX(警職大表!$A$1:$AZ$100,MATCH($A2,警職大表!$A$1:$A$100,0),   MATCH(I$1,警職大表!$A$3:$AZ$3,0)  )=0,"",INDEX(警職大表!$A$1:$AZ$100,MATCH($A2,警職大表!$A$1:$A$100,0),   MATCH(I$1,警職大表!$A$3:$AZ$3,0)  ) )    ),"")</f>
        <v>08-18備</v>
      </c>
      <c r="J2" s="271" t="str">
        <f>_xlfn.IFNA(   IF(   IF(  INDEX(警職大表!$A$1:$AZ$100,MATCH($A2,警職大表!$A$1:$A$100,0),   MATCH(J$1,警職大表!$A$3:$AZ$3,0)  )=0,"",INDEX(警職大表!$A$1:$AZ$100,MATCH($A2,警職大表!$A$1:$A$100,0),   MATCH(J$1,警職大表!$A$3:$AZ$3,0)  )        )="",I2,  IF(  INDEX(警職大表!$A$1:$AZ$100,MATCH($A2,警職大表!$A$1:$A$100,0),   MATCH(J$1,警職大表!$A$3:$AZ$3,0)  )=0,"",INDEX(警職大表!$A$1:$AZ$100,MATCH($A2,警職大表!$A$1:$A$100,0),   MATCH(J$1,警職大表!$A$3:$AZ$3,0)  ) )    ),"")</f>
        <v>08-18備</v>
      </c>
      <c r="K2" s="271" t="str">
        <f>_xlfn.IFNA(   IF(   IF(  INDEX(警職大表!$A$1:$AZ$100,MATCH($A2,警職大表!$A$1:$A$100,0),   MATCH(K$1,警職大表!$A$3:$AZ$3,0)  )=0,"",INDEX(警職大表!$A$1:$AZ$100,MATCH($A2,警職大表!$A$1:$A$100,0),   MATCH(K$1,警職大表!$A$3:$AZ$3,0)  )        )="",J2,  IF(  INDEX(警職大表!$A$1:$AZ$100,MATCH($A2,警職大表!$A$1:$A$100,0),   MATCH(K$1,警職大表!$A$3:$AZ$3,0)  )=0,"",INDEX(警職大表!$A$1:$AZ$100,MATCH($A2,警職大表!$A$1:$A$100,0),   MATCH(K$1,警職大表!$A$3:$AZ$3,0)  ) )    ),"")</f>
        <v>08-18備</v>
      </c>
      <c r="L2" s="271" t="str">
        <f>_xlfn.IFNA(   IF(   IF(  INDEX(警職大表!$A$1:$AZ$100,MATCH($A2,警職大表!$A$1:$A$100,0),   MATCH(L$1,警職大表!$A$3:$AZ$3,0)  )=0,"",INDEX(警職大表!$A$1:$AZ$100,MATCH($A2,警職大表!$A$1:$A$100,0),   MATCH(L$1,警職大表!$A$3:$AZ$3,0)  )        )="",K2,  IF(  INDEX(警職大表!$A$1:$AZ$100,MATCH($A2,警職大表!$A$1:$A$100,0),   MATCH(L$1,警職大表!$A$3:$AZ$3,0)  )=0,"",INDEX(警職大表!$A$1:$AZ$100,MATCH($A2,警職大表!$A$1:$A$100,0),   MATCH(L$1,警職大表!$A$3:$AZ$3,0)  ) )    ),"")</f>
        <v>08-18備</v>
      </c>
      <c r="M2" s="271" t="str">
        <f>_xlfn.IFNA(   IF(   IF(  INDEX(警職大表!$A$1:$AZ$100,MATCH($A2,警職大表!$A$1:$A$100,0),   MATCH(M$1,警職大表!$A$3:$AZ$3,0)  )=0,"",INDEX(警職大表!$A$1:$AZ$100,MATCH($A2,警職大表!$A$1:$A$100,0),   MATCH(M$1,警職大表!$A$3:$AZ$3,0)  )        )="",L2,  IF(  INDEX(警職大表!$A$1:$AZ$100,MATCH($A2,警職大表!$A$1:$A$100,0),   MATCH(M$1,警職大表!$A$3:$AZ$3,0)  )=0,"",INDEX(警職大表!$A$1:$AZ$100,MATCH($A2,警職大表!$A$1:$A$100,0),   MATCH(M$1,警職大表!$A$3:$AZ$3,0)  ) )    ),"")</f>
        <v>08-18備</v>
      </c>
      <c r="N2" s="271" t="str">
        <f>_xlfn.IFNA(   IF(   IF(  INDEX(警職大表!$A$1:$AZ$100,MATCH($A2,警職大表!$A$1:$A$100,0),   MATCH(N$1,警職大表!$A$3:$AZ$3,0)  )=0,"",INDEX(警職大表!$A$1:$AZ$100,MATCH($A2,警職大表!$A$1:$A$100,0),   MATCH(N$1,警職大表!$A$3:$AZ$3,0)  )        )="",M2,  IF(  INDEX(警職大表!$A$1:$AZ$100,MATCH($A2,警職大表!$A$1:$A$100,0),   MATCH(N$1,警職大表!$A$3:$AZ$3,0)  )=0,"",INDEX(警職大表!$A$1:$AZ$100,MATCH($A2,警職大表!$A$1:$A$100,0),   MATCH(N$1,警職大表!$A$3:$AZ$3,0)  ) )    ),"")</f>
        <v>08-18備</v>
      </c>
      <c r="O2" s="271" t="str">
        <f>_xlfn.IFNA(   IF(   IF(  INDEX(警職大表!$A$1:$AZ$100,MATCH($A2,警職大表!$A$1:$A$100,0),   MATCH(O$1,警職大表!$A$3:$AZ$3,0)  )=0,"",INDEX(警職大表!$A$1:$AZ$100,MATCH($A2,警職大表!$A$1:$A$100,0),   MATCH(O$1,警職大表!$A$3:$AZ$3,0)  )        )="",N2,  IF(  INDEX(警職大表!$A$1:$AZ$100,MATCH($A2,警職大表!$A$1:$A$100,0),   MATCH(O$1,警職大表!$A$3:$AZ$3,0)  )=0,"",INDEX(警職大表!$A$1:$AZ$100,MATCH($A2,警職大表!$A$1:$A$100,0),   MATCH(O$1,警職大表!$A$3:$AZ$3,0)  ) )    ),"")</f>
        <v>08-18備</v>
      </c>
      <c r="P2" s="271" t="str">
        <f>_xlfn.IFNA(   IF(   IF(  INDEX(警職大表!$A$1:$AZ$100,MATCH($A2,警職大表!$A$1:$A$100,0),   MATCH(P$1,警職大表!$A$3:$AZ$3,0)  )=0,"",INDEX(警職大表!$A$1:$AZ$100,MATCH($A2,警職大表!$A$1:$A$100,0),   MATCH(P$1,警職大表!$A$3:$AZ$3,0)  )        )="",O2,  IF(  INDEX(警職大表!$A$1:$AZ$100,MATCH($A2,警職大表!$A$1:$A$100,0),   MATCH(P$1,警職大表!$A$3:$AZ$3,0)  )=0,"",INDEX(警職大表!$A$1:$AZ$100,MATCH($A2,警職大表!$A$1:$A$100,0),   MATCH(P$1,警職大表!$A$3:$AZ$3,0)  ) )    ),"")</f>
        <v>08-18備</v>
      </c>
      <c r="Q2" s="271" t="str">
        <f>_xlfn.IFNA(   IF(   IF(  INDEX(警職大表!$A$1:$AZ$100,MATCH($A2,警職大表!$A$1:$A$100,0),   MATCH(Q$1,警職大表!$A$3:$AZ$3,0)  )=0,"",INDEX(警職大表!$A$1:$AZ$100,MATCH($A2,警職大表!$A$1:$A$100,0),   MATCH(Q$1,警職大表!$A$3:$AZ$3,0)  )        )="",P2,  IF(  INDEX(警職大表!$A$1:$AZ$100,MATCH($A2,警職大表!$A$1:$A$100,0),   MATCH(Q$1,警職大表!$A$3:$AZ$3,0)  )=0,"",INDEX(警職大表!$A$1:$AZ$100,MATCH($A2,警職大表!$A$1:$A$100,0),   MATCH(Q$1,警職大表!$A$3:$AZ$3,0)  ) )    ),"")</f>
        <v>08-18備</v>
      </c>
      <c r="R2" s="271" t="str">
        <f>_xlfn.IFNA(   IF(   IF(  INDEX(警職大表!$A$1:$AZ$100,MATCH($A2,警職大表!$A$1:$A$100,0),   MATCH(R$1,警職大表!$A$3:$AZ$3,0)  )=0,"",INDEX(警職大表!$A$1:$AZ$100,MATCH($A2,警職大表!$A$1:$A$100,0),   MATCH(R$1,警職大表!$A$3:$AZ$3,0)  )        )="",Q2,  IF(  INDEX(警職大表!$A$1:$AZ$100,MATCH($A2,警職大表!$A$1:$A$100,0),   MATCH(R$1,警職大表!$A$3:$AZ$3,0)  )=0,"",INDEX(警職大表!$A$1:$AZ$100,MATCH($A2,警職大表!$A$1:$A$100,0),   MATCH(R$1,警職大表!$A$3:$AZ$3,0)  ) )    ),"")</f>
        <v>08-18備</v>
      </c>
      <c r="S2" s="271" t="str">
        <f>_xlfn.IFNA(   IF(   IF(  INDEX(警職大表!$A$1:$AZ$100,MATCH($A2,警職大表!$A$1:$A$100,0),   MATCH(S$1,警職大表!$A$3:$AZ$3,0)  )=0,"",INDEX(警職大表!$A$1:$AZ$100,MATCH($A2,警職大表!$A$1:$A$100,0),   MATCH(S$1,警職大表!$A$3:$AZ$3,0)  )        )="",R2,  IF(  INDEX(警職大表!$A$1:$AZ$100,MATCH($A2,警職大表!$A$1:$A$100,0),   MATCH(S$1,警職大表!$A$3:$AZ$3,0)  )=0,"",INDEX(警職大表!$A$1:$AZ$100,MATCH($A2,警職大表!$A$1:$A$100,0),   MATCH(S$1,警職大表!$A$3:$AZ$3,0)  ) )    ),"")</f>
        <v>08-18備</v>
      </c>
      <c r="T2" s="271" t="str">
        <f>_xlfn.IFNA(   IF(   IF(  INDEX(警職大表!$A$1:$AZ$100,MATCH($A2,警職大表!$A$1:$A$100,0),   MATCH(T$1,警職大表!$A$3:$AZ$3,0)  )=0,"",INDEX(警職大表!$A$1:$AZ$100,MATCH($A2,警職大表!$A$1:$A$100,0),   MATCH(T$1,警職大表!$A$3:$AZ$3,0)  )        )="",S2,  IF(  INDEX(警職大表!$A$1:$AZ$100,MATCH($A2,警職大表!$A$1:$A$100,0),   MATCH(T$1,警職大表!$A$3:$AZ$3,0)  )=0,"",INDEX(警職大表!$A$1:$AZ$100,MATCH($A2,警職大表!$A$1:$A$100,0),   MATCH(T$1,警職大表!$A$3:$AZ$3,0)  ) )    ),"")</f>
        <v>08-18備</v>
      </c>
      <c r="U2" s="271" t="str">
        <f>_xlfn.IFNA(   IF(   IF(  INDEX(警職大表!$A$1:$AZ$100,MATCH($A2,警職大表!$A$1:$A$100,0),   MATCH(U$1,警職大表!$A$3:$AZ$3,0)  )=0,"",INDEX(警職大表!$A$1:$AZ$100,MATCH($A2,警職大表!$A$1:$A$100,0),   MATCH(U$1,警職大表!$A$3:$AZ$3,0)  )        )="",T2,  IF(  INDEX(警職大表!$A$1:$AZ$100,MATCH($A2,警職大表!$A$1:$A$100,0),   MATCH(U$1,警職大表!$A$3:$AZ$3,0)  )=0,"",INDEX(警職大表!$A$1:$AZ$100,MATCH($A2,警職大表!$A$1:$A$100,0),   MATCH(U$1,警職大表!$A$3:$AZ$3,0)  ) )    ),"")</f>
        <v>08-18備</v>
      </c>
      <c r="V2" s="271" t="str">
        <f>_xlfn.IFNA(   IF(   IF(  INDEX(警職大表!$A$1:$AZ$100,MATCH($A2,警職大表!$A$1:$A$100,0),   MATCH(V$1,警職大表!$A$3:$AZ$3,0)  )=0,"",INDEX(警職大表!$A$1:$AZ$100,MATCH($A2,警職大表!$A$1:$A$100,0),   MATCH(V$1,警職大表!$A$3:$AZ$3,0)  )        )="",U2,  IF(  INDEX(警職大表!$A$1:$AZ$100,MATCH($A2,警職大表!$A$1:$A$100,0),   MATCH(V$1,警職大表!$A$3:$AZ$3,0)  )=0,"",INDEX(警職大表!$A$1:$AZ$100,MATCH($A2,警職大表!$A$1:$A$100,0),   MATCH(V$1,警職大表!$A$3:$AZ$3,0)  ) )    ),"")</f>
        <v>08-18備</v>
      </c>
      <c r="W2" s="271" t="str">
        <f>_xlfn.IFNA(   IF(   IF(  INDEX(警職大表!$A$1:$AZ$100,MATCH($A2,警職大表!$A$1:$A$100,0),   MATCH(W$1,警職大表!$A$3:$AZ$3,0)  )=0,"",INDEX(警職大表!$A$1:$AZ$100,MATCH($A2,警職大表!$A$1:$A$100,0),   MATCH(W$1,警職大表!$A$3:$AZ$3,0)  )        )="",V2,  IF(  INDEX(警職大表!$A$1:$AZ$100,MATCH($A2,警職大表!$A$1:$A$100,0),   MATCH(W$1,警職大表!$A$3:$AZ$3,0)  )=0,"",INDEX(警職大表!$A$1:$AZ$100,MATCH($A2,警職大表!$A$1:$A$100,0),   MATCH(W$1,警職大表!$A$3:$AZ$3,0)  ) )    ),"")</f>
        <v>08-18備</v>
      </c>
      <c r="X2" s="271" t="str">
        <f>_xlfn.IFNA(   IF(   IF(  INDEX(警職大表!$A$1:$AZ$100,MATCH($A2,警職大表!$A$1:$A$100,0),   MATCH(X$1,警職大表!$A$3:$AZ$3,0)  )=0,"",INDEX(警職大表!$A$1:$AZ$100,MATCH($A2,警職大表!$A$1:$A$100,0),   MATCH(X$1,警職大表!$A$3:$AZ$3,0)  )        )="",W2,  IF(  INDEX(警職大表!$A$1:$AZ$100,MATCH($A2,警職大表!$A$1:$A$100,0),   MATCH(X$1,警職大表!$A$3:$AZ$3,0)  )=0,"",INDEX(警職大表!$A$1:$AZ$100,MATCH($A2,警職大表!$A$1:$A$100,0),   MATCH(X$1,警職大表!$A$3:$AZ$3,0)  ) )    ),"")</f>
        <v>08-18備</v>
      </c>
      <c r="Y2" s="271" t="str">
        <f>_xlfn.IFNA(   IF(   IF(  INDEX(警職大表!$A$1:$AZ$100,MATCH($A2,警職大表!$A$1:$A$100,0),   MATCH(Y$1,警職大表!$A$3:$AZ$3,0)  )=0,"",INDEX(警職大表!$A$1:$AZ$100,MATCH($A2,警職大表!$A$1:$A$100,0),   MATCH(Y$1,警職大表!$A$3:$AZ$3,0)  )        )="",X2,  IF(  INDEX(警職大表!$A$1:$AZ$100,MATCH($A2,警職大表!$A$1:$A$100,0),   MATCH(Y$1,警職大表!$A$3:$AZ$3,0)  )=0,"",INDEX(警職大表!$A$1:$AZ$100,MATCH($A2,警職大表!$A$1:$A$100,0),   MATCH(Y$1,警職大表!$A$3:$AZ$3,0)  ) )    ),"")</f>
        <v>08-18備</v>
      </c>
      <c r="Z2" s="271" t="str">
        <f>_xlfn.IFNA(   IF(   IF(  INDEX(警職大表!$A$1:$AZ$100,MATCH($A2,警職大表!$A$1:$A$100,0),   MATCH(Z$1,警職大表!$A$3:$AZ$3,0)  )=0,"",INDEX(警職大表!$A$1:$AZ$100,MATCH($A2,警職大表!$A$1:$A$100,0),   MATCH(Z$1,警職大表!$A$3:$AZ$3,0)  )        )="",Y2,  IF(  INDEX(警職大表!$A$1:$AZ$100,MATCH($A2,警職大表!$A$1:$A$100,0),   MATCH(Z$1,警職大表!$A$3:$AZ$3,0)  )=0,"",INDEX(警職大表!$A$1:$AZ$100,MATCH($A2,警職大表!$A$1:$A$100,0),   MATCH(Z$1,警職大表!$A$3:$AZ$3,0)  ) )    ),"")</f>
        <v>08-18備</v>
      </c>
      <c r="AA2" s="271" t="str">
        <f>_xlfn.IFNA(   IF(   IF(  INDEX(警職大表!$A$1:$AZ$100,MATCH($A2,警職大表!$A$1:$A$100,0),   MATCH(AA$1,警職大表!$A$3:$AZ$3,0)  )=0,"",INDEX(警職大表!$A$1:$AZ$100,MATCH($A2,警職大表!$A$1:$A$100,0),   MATCH(AA$1,警職大表!$A$3:$AZ$3,0)  )        )="",Z2,  IF(  INDEX(警職大表!$A$1:$AZ$100,MATCH($A2,警職大表!$A$1:$A$100,0),   MATCH(AA$1,警職大表!$A$3:$AZ$3,0)  )=0,"",INDEX(警職大表!$A$1:$AZ$100,MATCH($A2,警職大表!$A$1:$A$100,0),   MATCH(AA$1,警職大表!$A$3:$AZ$3,0)  ) )    ),"")</f>
        <v>08-18備</v>
      </c>
      <c r="AB2" s="271" t="str">
        <f>_xlfn.IFNA(   IF(   IF(  INDEX(警職大表!$A$1:$AZ$100,MATCH($A2,警職大表!$A$1:$A$100,0),   MATCH(AB$1,警職大表!$A$3:$AZ$3,0)  )=0,"",INDEX(警職大表!$A$1:$AZ$100,MATCH($A2,警職大表!$A$1:$A$100,0),   MATCH(AB$1,警職大表!$A$3:$AZ$3,0)  )        )="",AA2,  IF(  INDEX(警職大表!$A$1:$AZ$100,MATCH($A2,警職大表!$A$1:$A$100,0),   MATCH(AB$1,警職大表!$A$3:$AZ$3,0)  )=0,"",INDEX(警職大表!$A$1:$AZ$100,MATCH($A2,警職大表!$A$1:$A$100,0),   MATCH(AB$1,警職大表!$A$3:$AZ$3,0)  ) )    ),"")</f>
        <v>08-18備</v>
      </c>
      <c r="AC2" s="271" t="str">
        <f>_xlfn.IFNA(   IF(   IF(  INDEX(警職大表!$A$1:$AZ$100,MATCH($A2,警職大表!$A$1:$A$100,0),   MATCH(AC$1,警職大表!$A$3:$AZ$3,0)  )=0,"",INDEX(警職大表!$A$1:$AZ$100,MATCH($A2,警職大表!$A$1:$A$100,0),   MATCH(AC$1,警職大表!$A$3:$AZ$3,0)  )        )="",AB2,  IF(  INDEX(警職大表!$A$1:$AZ$100,MATCH($A2,警職大表!$A$1:$A$100,0),   MATCH(AC$1,警職大表!$A$3:$AZ$3,0)  )=0,"",INDEX(警職大表!$A$1:$AZ$100,MATCH($A2,警職大表!$A$1:$A$100,0),   MATCH(AC$1,警職大表!$A$3:$AZ$3,0)  ) )    ),"")</f>
        <v>08-18備</v>
      </c>
      <c r="AD2" s="271" t="str">
        <f>_xlfn.IFNA(   IF(   IF(  INDEX(警職大表!$A$1:$AZ$100,MATCH($A2,警職大表!$A$1:$A$100,0),   MATCH(AD$1,警職大表!$A$3:$AZ$3,0)  )=0,"",INDEX(警職大表!$A$1:$AZ$100,MATCH($A2,警職大表!$A$1:$A$100,0),   MATCH(AD$1,警職大表!$A$3:$AZ$3,0)  )        )="",AC2,  IF(  INDEX(警職大表!$A$1:$AZ$100,MATCH($A2,警職大表!$A$1:$A$100,0),   MATCH(AD$1,警職大表!$A$3:$AZ$3,0)  )=0,"",INDEX(警職大表!$A$1:$AZ$100,MATCH($A2,警職大表!$A$1:$A$100,0),   MATCH(AD$1,警職大表!$A$3:$AZ$3,0)  ) )    ),"")</f>
        <v>08-18備</v>
      </c>
      <c r="AE2" s="271" t="str">
        <f>_xlfn.IFNA(   IF(   IF(  INDEX(警職大表!$A$1:$AZ$100,MATCH($A2,警職大表!$A$1:$A$100,0),   MATCH(AE$1,警職大表!$A$3:$AZ$3,0)  )=0,"",INDEX(警職大表!$A$1:$AZ$100,MATCH($A2,警職大表!$A$1:$A$100,0),   MATCH(AE$1,警職大表!$A$3:$AZ$3,0)  )        )="",AD2,  IF(  INDEX(警職大表!$A$1:$AZ$100,MATCH($A2,警職大表!$A$1:$A$100,0),   MATCH(AE$1,警職大表!$A$3:$AZ$3,0)  )=0,"",INDEX(警職大表!$A$1:$AZ$100,MATCH($A2,警職大表!$A$1:$A$100,0),   MATCH(AE$1,警職大表!$A$3:$AZ$3,0)  ) )    ),"")</f>
        <v>08-18備</v>
      </c>
      <c r="AF2" s="271" t="str">
        <f>_xlfn.IFNA(   IF(   IF(  INDEX(警職大表!$A$1:$AZ$100,MATCH($A2,警職大表!$A$1:$A$100,0),   MATCH(AF$1,警職大表!$A$3:$AZ$3,0)  )=0,"",INDEX(警職大表!$A$1:$AZ$100,MATCH($A2,警職大表!$A$1:$A$100,0),   MATCH(AF$1,警職大表!$A$3:$AZ$3,0)  )        )="",AE2,  IF(  INDEX(警職大表!$A$1:$AZ$100,MATCH($A2,警職大表!$A$1:$A$100,0),   MATCH(AF$1,警職大表!$A$3:$AZ$3,0)  )=0,"",INDEX(警職大表!$A$1:$AZ$100,MATCH($A2,警職大表!$A$1:$A$100,0),   MATCH(AF$1,警職大表!$A$3:$AZ$3,0)  ) )    ),"")</f>
        <v>08-18備</v>
      </c>
      <c r="AG2" s="271" t="str">
        <f>_xlfn.IFNA(   IF(   IF(  INDEX(警職大表!$A$1:$AZ$100,MATCH($A2,警職大表!$A$1:$A$100,0),   MATCH(AG$1,警職大表!$A$3:$AZ$3,0)  )=0,"",INDEX(警職大表!$A$1:$AZ$100,MATCH($A2,警職大表!$A$1:$A$100,0),   MATCH(AG$1,警職大表!$A$3:$AZ$3,0)  )        )="",AF2,  IF(  INDEX(警職大表!$A$1:$AZ$100,MATCH($A2,警職大表!$A$1:$A$100,0),   MATCH(AG$1,警職大表!$A$3:$AZ$3,0)  )=0,"",INDEX(警職大表!$A$1:$AZ$100,MATCH($A2,警職大表!$A$1:$A$100,0),   MATCH(AG$1,警職大表!$A$3:$AZ$3,0)  ) )    ),"")</f>
        <v>08-18備</v>
      </c>
      <c r="AL2" s="271" t="str">
        <f>A2</f>
        <v>A</v>
      </c>
      <c r="AM2" s="271" t="str">
        <f>B2</f>
        <v>陳正賢</v>
      </c>
      <c r="AN2" s="271" t="str">
        <f>INDEX(   $A$41:$AG$78, MATCH(AL2,$A$41:$A$78,0),MATCH(  DAY(勤務分配表!$AN$1),$A$41:$AL$41,0  )  )</f>
        <v>08-18備</v>
      </c>
      <c r="AO2" s="271" t="str">
        <f>IF((ROW(AO2)-1)&lt;=日期輸入!$B$5,_xlfn.IFNA(IF(INDEX($A$1:$AG$40,MATCH($AM2,$B$1:$B$100,0),VALUE($AO$1+3))="成","補",INDEX($A$1:$AG$40,MATCH($AM2,$B$1:$B$100,0),VALUE($AO$1+3))),""),"")</f>
        <v>X</v>
      </c>
      <c r="AP2" s="271" t="str">
        <f>IF((ROW(AP2)-1)&lt;=日期輸入!$B$5,_xlfn.IFNA(IF(INDEX($A$1:$AG$40,MATCH($AM2,$B$1:$B$100,0),VALUE($AP$1+3))="成","補",INDEX($A$1:$AG$40,MATCH($AM2,$B$1:$B$100,0),VALUE($AP$1+3))),""),"")</f>
        <v>08-18備</v>
      </c>
      <c r="AQ2" s="271" t="str">
        <f>IF((ROW(AQ2)-1)&lt;=日期輸入!$B$5,_xlfn.IFNA(IF(INDEX($A$1:$AG$40,MATCH($AM2,$B$1:$B$100,0),VALUE($AQ$1+3))="成","補",INDEX($A$1:$AG$40,MATCH($AM2,$B$1:$B$100,0),VALUE($AQ$1+3))),""),"")</f>
        <v>補</v>
      </c>
      <c r="AT2" s="270" t="str">
        <f>_xlfn.IFNA(  IF(  OR(  INDEX(   $A$1:$AG$38, MATCH(AL2,$A$1:$A$38,0),MATCH(  DAY(勤務分配表!$AN$1),$A$1:$AH$1,0  )  )="早",INDEX(   $A$1:$AG$38, MATCH(AL2,$A$1:$A$38,0),MATCH(  DAY(勤務分配表!$AN$1),$A$1:$AH$1,0  )  )="08-20"  ),"中隊長(A)18-20時內部管理",  IF(  OR(  INDEX(   $A$1:$AG$38, MATCH(AL2,$A$1:$A$38,0),MATCH(  DAY(勤務分配表!$AN$1),$A$1:$AH$1,0  )  )="晚",INDEX(   $A$1:$AG$38, MATCH(AL2,$A$1:$A$38,0),MATCH(  DAY(勤務分配表!$AN$1),$A$1:$AH$1,0  )  )="20-08"  ),"中隊長(A)06-08時內部管理",  ""  )  ),"")</f>
        <v/>
      </c>
      <c r="AU2" s="270" t="str">
        <f>IF(  AND(  AT2&lt;&gt;"",AT3&lt;&gt;""  ),"、",  IF(  AND(  AT2&lt;&gt;"",AT3=""  ),"。",""  ))</f>
        <v/>
      </c>
    </row>
    <row r="3" spans="1:47">
      <c r="A3" s="271" t="str">
        <f>IF(  (ROW(A3)-1)&lt;=日期輸入!$B$5,勤務分配!A3,"")</f>
        <v>B</v>
      </c>
      <c r="B3" s="271" t="str">
        <f>_xlfn.IFNA(  INDEX(警職大表!$A$1:$AZ$100,MATCH(A3,警職大表!$A$1:$A$100,0),3),"")</f>
        <v>薛信東</v>
      </c>
      <c r="C3" s="271" t="str">
        <f>_xlfn.IFNA(   IF(   IF(  INDEX(警職大表!$A$1:$AZ$100,MATCH($A3,警職大表!$A$1:$A$100,0),   MATCH(C$1,警職大表!$A$3:$AZ$3,0)  )=0,"",INDEX(警職大表!$A$1:$AZ$100,MATCH($A3,警職大表!$A$1:$A$100,0),   MATCH(C$1,警職大表!$A$3:$AZ$3,0)  )        )="",B3,  IF(  INDEX(警職大表!$A$1:$AZ$100,MATCH($A3,警職大表!$A$1:$A$100,0),   MATCH(C$1,警職大表!$A$3:$AZ$3,0)  )=0,"",INDEX(警職大表!$A$1:$AZ$100,MATCH($A3,警職大表!$A$1:$A$100,0),   MATCH(C$1,警職大表!$A$3:$AZ$3,0)  ) )    ),"")</f>
        <v>支援檢疫所</v>
      </c>
      <c r="D3" s="271" t="str">
        <f>_xlfn.IFNA(   IF(   IF(  INDEX(警職大表!$A$1:$AZ$100,MATCH($A3,警職大表!$A$1:$A$100,0),   MATCH(D$1,警職大表!$A$3:$AZ$3,0)  )=0,"",INDEX(警職大表!$A$1:$AZ$100,MATCH($A3,警職大表!$A$1:$A$100,0),   MATCH(D$1,警職大表!$A$3:$AZ$3,0)  )        )="",C3,  IF(  INDEX(警職大表!$A$1:$AZ$100,MATCH($A3,警職大表!$A$1:$A$100,0),   MATCH(D$1,警職大表!$A$3:$AZ$3,0)  )=0,"",INDEX(警職大表!$A$1:$AZ$100,MATCH($A3,警職大表!$A$1:$A$100,0),   MATCH(D$1,警職大表!$A$3:$AZ$3,0)  ) )    ),"")</f>
        <v>支援檢疫所</v>
      </c>
      <c r="E3" s="271" t="str">
        <f>_xlfn.IFNA(   IF(   IF(  INDEX(警職大表!$A$1:$AZ$100,MATCH($A3,警職大表!$A$1:$A$100,0),   MATCH(E$1,警職大表!$A$3:$AZ$3,0)  )=0,"",INDEX(警職大表!$A$1:$AZ$100,MATCH($A3,警職大表!$A$1:$A$100,0),   MATCH(E$1,警職大表!$A$3:$AZ$3,0)  )        )="",D3,  IF(  INDEX(警職大表!$A$1:$AZ$100,MATCH($A3,警職大表!$A$1:$A$100,0),   MATCH(E$1,警職大表!$A$3:$AZ$3,0)  )=0,"",INDEX(警職大表!$A$1:$AZ$100,MATCH($A3,警職大表!$A$1:$A$100,0),   MATCH(E$1,警職大表!$A$3:$AZ$3,0)  ) )    ),"")</f>
        <v>支援檢疫所</v>
      </c>
      <c r="F3" s="271" t="str">
        <f>_xlfn.IFNA(   IF(   IF(  INDEX(警職大表!$A$1:$AZ$100,MATCH($A3,警職大表!$A$1:$A$100,0),   MATCH(F$1,警職大表!$A$3:$AZ$3,0)  )=0,"",INDEX(警職大表!$A$1:$AZ$100,MATCH($A3,警職大表!$A$1:$A$100,0),   MATCH(F$1,警職大表!$A$3:$AZ$3,0)  )        )="",E3,  IF(  INDEX(警職大表!$A$1:$AZ$100,MATCH($A3,警職大表!$A$1:$A$100,0),   MATCH(F$1,警職大表!$A$3:$AZ$3,0)  )=0,"",INDEX(警職大表!$A$1:$AZ$100,MATCH($A3,警職大表!$A$1:$A$100,0),   MATCH(F$1,警職大表!$A$3:$AZ$3,0)  ) )    ),"")</f>
        <v>支援檢疫所</v>
      </c>
      <c r="G3" s="271" t="str">
        <f>_xlfn.IFNA(   IF(   IF(  INDEX(警職大表!$A$1:$AZ$100,MATCH($A3,警職大表!$A$1:$A$100,0),   MATCH(G$1,警職大表!$A$3:$AZ$3,0)  )=0,"",INDEX(警職大表!$A$1:$AZ$100,MATCH($A3,警職大表!$A$1:$A$100,0),   MATCH(G$1,警職大表!$A$3:$AZ$3,0)  )        )="",F3,  IF(  INDEX(警職大表!$A$1:$AZ$100,MATCH($A3,警職大表!$A$1:$A$100,0),   MATCH(G$1,警職大表!$A$3:$AZ$3,0)  )=0,"",INDEX(警職大表!$A$1:$AZ$100,MATCH($A3,警職大表!$A$1:$A$100,0),   MATCH(G$1,警職大表!$A$3:$AZ$3,0)  ) )    ),"")</f>
        <v>支援檢疫所</v>
      </c>
      <c r="H3" s="271" t="str">
        <f>_xlfn.IFNA(   IF(   IF(  INDEX(警職大表!$A$1:$AZ$100,MATCH($A3,警職大表!$A$1:$A$100,0),   MATCH(H$1,警職大表!$A$3:$AZ$3,0)  )=0,"",INDEX(警職大表!$A$1:$AZ$100,MATCH($A3,警職大表!$A$1:$A$100,0),   MATCH(H$1,警職大表!$A$3:$AZ$3,0)  )        )="",G3,  IF(  INDEX(警職大表!$A$1:$AZ$100,MATCH($A3,警職大表!$A$1:$A$100,0),   MATCH(H$1,警職大表!$A$3:$AZ$3,0)  )=0,"",INDEX(警職大表!$A$1:$AZ$100,MATCH($A3,警職大表!$A$1:$A$100,0),   MATCH(H$1,警職大表!$A$3:$AZ$3,0)  ) )    ),"")</f>
        <v>支援檢疫所</v>
      </c>
      <c r="I3" s="271" t="str">
        <f>_xlfn.IFNA(   IF(   IF(  INDEX(警職大表!$A$1:$AZ$100,MATCH($A3,警職大表!$A$1:$A$100,0),   MATCH(I$1,警職大表!$A$3:$AZ$3,0)  )=0,"",INDEX(警職大表!$A$1:$AZ$100,MATCH($A3,警職大表!$A$1:$A$100,0),   MATCH(I$1,警職大表!$A$3:$AZ$3,0)  )        )="",H3,  IF(  INDEX(警職大表!$A$1:$AZ$100,MATCH($A3,警職大表!$A$1:$A$100,0),   MATCH(I$1,警職大表!$A$3:$AZ$3,0)  )=0,"",INDEX(警職大表!$A$1:$AZ$100,MATCH($A3,警職大表!$A$1:$A$100,0),   MATCH(I$1,警職大表!$A$3:$AZ$3,0)  ) )    ),"")</f>
        <v>支援檢疫所</v>
      </c>
      <c r="J3" s="271" t="str">
        <f>_xlfn.IFNA(   IF(   IF(  INDEX(警職大表!$A$1:$AZ$100,MATCH($A3,警職大表!$A$1:$A$100,0),   MATCH(J$1,警職大表!$A$3:$AZ$3,0)  )=0,"",INDEX(警職大表!$A$1:$AZ$100,MATCH($A3,警職大表!$A$1:$A$100,0),   MATCH(J$1,警職大表!$A$3:$AZ$3,0)  )        )="",I3,  IF(  INDEX(警職大表!$A$1:$AZ$100,MATCH($A3,警職大表!$A$1:$A$100,0),   MATCH(J$1,警職大表!$A$3:$AZ$3,0)  )=0,"",INDEX(警職大表!$A$1:$AZ$100,MATCH($A3,警職大表!$A$1:$A$100,0),   MATCH(J$1,警職大表!$A$3:$AZ$3,0)  ) )    ),"")</f>
        <v>支援檢疫所</v>
      </c>
      <c r="K3" s="271" t="str">
        <f>_xlfn.IFNA(   IF(   IF(  INDEX(警職大表!$A$1:$AZ$100,MATCH($A3,警職大表!$A$1:$A$100,0),   MATCH(K$1,警職大表!$A$3:$AZ$3,0)  )=0,"",INDEX(警職大表!$A$1:$AZ$100,MATCH($A3,警職大表!$A$1:$A$100,0),   MATCH(K$1,警職大表!$A$3:$AZ$3,0)  )        )="",J3,  IF(  INDEX(警職大表!$A$1:$AZ$100,MATCH($A3,警職大表!$A$1:$A$100,0),   MATCH(K$1,警職大表!$A$3:$AZ$3,0)  )=0,"",INDEX(警職大表!$A$1:$AZ$100,MATCH($A3,警職大表!$A$1:$A$100,0),   MATCH(K$1,警職大表!$A$3:$AZ$3,0)  ) )    ),"")</f>
        <v>支援檢疫所</v>
      </c>
      <c r="L3" s="271" t="str">
        <f>_xlfn.IFNA(   IF(   IF(  INDEX(警職大表!$A$1:$AZ$100,MATCH($A3,警職大表!$A$1:$A$100,0),   MATCH(L$1,警職大表!$A$3:$AZ$3,0)  )=0,"",INDEX(警職大表!$A$1:$AZ$100,MATCH($A3,警職大表!$A$1:$A$100,0),   MATCH(L$1,警職大表!$A$3:$AZ$3,0)  )        )="",K3,  IF(  INDEX(警職大表!$A$1:$AZ$100,MATCH($A3,警職大表!$A$1:$A$100,0),   MATCH(L$1,警職大表!$A$3:$AZ$3,0)  )=0,"",INDEX(警職大表!$A$1:$AZ$100,MATCH($A3,警職大表!$A$1:$A$100,0),   MATCH(L$1,警職大表!$A$3:$AZ$3,0)  ) )    ),"")</f>
        <v>支援檢疫所</v>
      </c>
      <c r="M3" s="271" t="str">
        <f>_xlfn.IFNA(   IF(   IF(  INDEX(警職大表!$A$1:$AZ$100,MATCH($A3,警職大表!$A$1:$A$100,0),   MATCH(M$1,警職大表!$A$3:$AZ$3,0)  )=0,"",INDEX(警職大表!$A$1:$AZ$100,MATCH($A3,警職大表!$A$1:$A$100,0),   MATCH(M$1,警職大表!$A$3:$AZ$3,0)  )        )="",L3,  IF(  INDEX(警職大表!$A$1:$AZ$100,MATCH($A3,警職大表!$A$1:$A$100,0),   MATCH(M$1,警職大表!$A$3:$AZ$3,0)  )=0,"",INDEX(警職大表!$A$1:$AZ$100,MATCH($A3,警職大表!$A$1:$A$100,0),   MATCH(M$1,警職大表!$A$3:$AZ$3,0)  ) )    ),"")</f>
        <v>支援檢疫所</v>
      </c>
      <c r="N3" s="271" t="str">
        <f>_xlfn.IFNA(   IF(   IF(  INDEX(警職大表!$A$1:$AZ$100,MATCH($A3,警職大表!$A$1:$A$100,0),   MATCH(N$1,警職大表!$A$3:$AZ$3,0)  )=0,"",INDEX(警職大表!$A$1:$AZ$100,MATCH($A3,警職大表!$A$1:$A$100,0),   MATCH(N$1,警職大表!$A$3:$AZ$3,0)  )        )="",M3,  IF(  INDEX(警職大表!$A$1:$AZ$100,MATCH($A3,警職大表!$A$1:$A$100,0),   MATCH(N$1,警職大表!$A$3:$AZ$3,0)  )=0,"",INDEX(警職大表!$A$1:$AZ$100,MATCH($A3,警職大表!$A$1:$A$100,0),   MATCH(N$1,警職大表!$A$3:$AZ$3,0)  ) )    ),"")</f>
        <v>支援檢疫所</v>
      </c>
      <c r="O3" s="271" t="str">
        <f>_xlfn.IFNA(   IF(   IF(  INDEX(警職大表!$A$1:$AZ$100,MATCH($A3,警職大表!$A$1:$A$100,0),   MATCH(O$1,警職大表!$A$3:$AZ$3,0)  )=0,"",INDEX(警職大表!$A$1:$AZ$100,MATCH($A3,警職大表!$A$1:$A$100,0),   MATCH(O$1,警職大表!$A$3:$AZ$3,0)  )        )="",N3,  IF(  INDEX(警職大表!$A$1:$AZ$100,MATCH($A3,警職大表!$A$1:$A$100,0),   MATCH(O$1,警職大表!$A$3:$AZ$3,0)  )=0,"",INDEX(警職大表!$A$1:$AZ$100,MATCH($A3,警職大表!$A$1:$A$100,0),   MATCH(O$1,警職大表!$A$3:$AZ$3,0)  ) )    ),"")</f>
        <v>支援檢疫所</v>
      </c>
      <c r="P3" s="271" t="str">
        <f>_xlfn.IFNA(   IF(   IF(  INDEX(警職大表!$A$1:$AZ$100,MATCH($A3,警職大表!$A$1:$A$100,0),   MATCH(P$1,警職大表!$A$3:$AZ$3,0)  )=0,"",INDEX(警職大表!$A$1:$AZ$100,MATCH($A3,警職大表!$A$1:$A$100,0),   MATCH(P$1,警職大表!$A$3:$AZ$3,0)  )        )="",O3,  IF(  INDEX(警職大表!$A$1:$AZ$100,MATCH($A3,警職大表!$A$1:$A$100,0),   MATCH(P$1,警職大表!$A$3:$AZ$3,0)  )=0,"",INDEX(警職大表!$A$1:$AZ$100,MATCH($A3,警職大表!$A$1:$A$100,0),   MATCH(P$1,警職大表!$A$3:$AZ$3,0)  ) )    ),"")</f>
        <v>支援檢疫所</v>
      </c>
      <c r="Q3" s="271" t="str">
        <f>_xlfn.IFNA(   IF(   IF(  INDEX(警職大表!$A$1:$AZ$100,MATCH($A3,警職大表!$A$1:$A$100,0),   MATCH(Q$1,警職大表!$A$3:$AZ$3,0)  )=0,"",INDEX(警職大表!$A$1:$AZ$100,MATCH($A3,警職大表!$A$1:$A$100,0),   MATCH(Q$1,警職大表!$A$3:$AZ$3,0)  )        )="",P3,  IF(  INDEX(警職大表!$A$1:$AZ$100,MATCH($A3,警職大表!$A$1:$A$100,0),   MATCH(Q$1,警職大表!$A$3:$AZ$3,0)  )=0,"",INDEX(警職大表!$A$1:$AZ$100,MATCH($A3,警職大表!$A$1:$A$100,0),   MATCH(Q$1,警職大表!$A$3:$AZ$3,0)  ) )    ),"")</f>
        <v>支援檢疫所</v>
      </c>
      <c r="R3" s="271" t="str">
        <f>_xlfn.IFNA(   IF(   IF(  INDEX(警職大表!$A$1:$AZ$100,MATCH($A3,警職大表!$A$1:$A$100,0),   MATCH(R$1,警職大表!$A$3:$AZ$3,0)  )=0,"",INDEX(警職大表!$A$1:$AZ$100,MATCH($A3,警職大表!$A$1:$A$100,0),   MATCH(R$1,警職大表!$A$3:$AZ$3,0)  )        )="",Q3,  IF(  INDEX(警職大表!$A$1:$AZ$100,MATCH($A3,警職大表!$A$1:$A$100,0),   MATCH(R$1,警職大表!$A$3:$AZ$3,0)  )=0,"",INDEX(警職大表!$A$1:$AZ$100,MATCH($A3,警職大表!$A$1:$A$100,0),   MATCH(R$1,警職大表!$A$3:$AZ$3,0)  ) )    ),"")</f>
        <v>支援檢疫所</v>
      </c>
      <c r="S3" s="271" t="str">
        <f>_xlfn.IFNA(   IF(   IF(  INDEX(警職大表!$A$1:$AZ$100,MATCH($A3,警職大表!$A$1:$A$100,0),   MATCH(S$1,警職大表!$A$3:$AZ$3,0)  )=0,"",INDEX(警職大表!$A$1:$AZ$100,MATCH($A3,警職大表!$A$1:$A$100,0),   MATCH(S$1,警職大表!$A$3:$AZ$3,0)  )        )="",R3,  IF(  INDEX(警職大表!$A$1:$AZ$100,MATCH($A3,警職大表!$A$1:$A$100,0),   MATCH(S$1,警職大表!$A$3:$AZ$3,0)  )=0,"",INDEX(警職大表!$A$1:$AZ$100,MATCH($A3,警職大表!$A$1:$A$100,0),   MATCH(S$1,警職大表!$A$3:$AZ$3,0)  ) )    ),"")</f>
        <v>支援檢疫所</v>
      </c>
      <c r="T3" s="271" t="str">
        <f>_xlfn.IFNA(   IF(   IF(  INDEX(警職大表!$A$1:$AZ$100,MATCH($A3,警職大表!$A$1:$A$100,0),   MATCH(T$1,警職大表!$A$3:$AZ$3,0)  )=0,"",INDEX(警職大表!$A$1:$AZ$100,MATCH($A3,警職大表!$A$1:$A$100,0),   MATCH(T$1,警職大表!$A$3:$AZ$3,0)  )        )="",S3,  IF(  INDEX(警職大表!$A$1:$AZ$100,MATCH($A3,警職大表!$A$1:$A$100,0),   MATCH(T$1,警職大表!$A$3:$AZ$3,0)  )=0,"",INDEX(警職大表!$A$1:$AZ$100,MATCH($A3,警職大表!$A$1:$A$100,0),   MATCH(T$1,警職大表!$A$3:$AZ$3,0)  ) )    ),"")</f>
        <v>支援檢疫所</v>
      </c>
      <c r="U3" s="271" t="str">
        <f>_xlfn.IFNA(   IF(   IF(  INDEX(警職大表!$A$1:$AZ$100,MATCH($A3,警職大表!$A$1:$A$100,0),   MATCH(U$1,警職大表!$A$3:$AZ$3,0)  )=0,"",INDEX(警職大表!$A$1:$AZ$100,MATCH($A3,警職大表!$A$1:$A$100,0),   MATCH(U$1,警職大表!$A$3:$AZ$3,0)  )        )="",T3,  IF(  INDEX(警職大表!$A$1:$AZ$100,MATCH($A3,警職大表!$A$1:$A$100,0),   MATCH(U$1,警職大表!$A$3:$AZ$3,0)  )=0,"",INDEX(警職大表!$A$1:$AZ$100,MATCH($A3,警職大表!$A$1:$A$100,0),   MATCH(U$1,警職大表!$A$3:$AZ$3,0)  ) )    ),"")</f>
        <v>支援檢疫所</v>
      </c>
      <c r="V3" s="271" t="str">
        <f>_xlfn.IFNA(   IF(   IF(  INDEX(警職大表!$A$1:$AZ$100,MATCH($A3,警職大表!$A$1:$A$100,0),   MATCH(V$1,警職大表!$A$3:$AZ$3,0)  )=0,"",INDEX(警職大表!$A$1:$AZ$100,MATCH($A3,警職大表!$A$1:$A$100,0),   MATCH(V$1,警職大表!$A$3:$AZ$3,0)  )        )="",U3,  IF(  INDEX(警職大表!$A$1:$AZ$100,MATCH($A3,警職大表!$A$1:$A$100,0),   MATCH(V$1,警職大表!$A$3:$AZ$3,0)  )=0,"",INDEX(警職大表!$A$1:$AZ$100,MATCH($A3,警職大表!$A$1:$A$100,0),   MATCH(V$1,警職大表!$A$3:$AZ$3,0)  ) )    ),"")</f>
        <v>支援檢疫所</v>
      </c>
      <c r="W3" s="271" t="str">
        <f>_xlfn.IFNA(   IF(   IF(  INDEX(警職大表!$A$1:$AZ$100,MATCH($A3,警職大表!$A$1:$A$100,0),   MATCH(W$1,警職大表!$A$3:$AZ$3,0)  )=0,"",INDEX(警職大表!$A$1:$AZ$100,MATCH($A3,警職大表!$A$1:$A$100,0),   MATCH(W$1,警職大表!$A$3:$AZ$3,0)  )        )="",V3,  IF(  INDEX(警職大表!$A$1:$AZ$100,MATCH($A3,警職大表!$A$1:$A$100,0),   MATCH(W$1,警職大表!$A$3:$AZ$3,0)  )=0,"",INDEX(警職大表!$A$1:$AZ$100,MATCH($A3,警職大表!$A$1:$A$100,0),   MATCH(W$1,警職大表!$A$3:$AZ$3,0)  ) )    ),"")</f>
        <v>支援檢疫所</v>
      </c>
      <c r="X3" s="271" t="str">
        <f>_xlfn.IFNA(   IF(   IF(  INDEX(警職大表!$A$1:$AZ$100,MATCH($A3,警職大表!$A$1:$A$100,0),   MATCH(X$1,警職大表!$A$3:$AZ$3,0)  )=0,"",INDEX(警職大表!$A$1:$AZ$100,MATCH($A3,警職大表!$A$1:$A$100,0),   MATCH(X$1,警職大表!$A$3:$AZ$3,0)  )        )="",W3,  IF(  INDEX(警職大表!$A$1:$AZ$100,MATCH($A3,警職大表!$A$1:$A$100,0),   MATCH(X$1,警職大表!$A$3:$AZ$3,0)  )=0,"",INDEX(警職大表!$A$1:$AZ$100,MATCH($A3,警職大表!$A$1:$A$100,0),   MATCH(X$1,警職大表!$A$3:$AZ$3,0)  ) )    ),"")</f>
        <v>支援檢疫所</v>
      </c>
      <c r="Y3" s="271" t="str">
        <f>_xlfn.IFNA(   IF(   IF(  INDEX(警職大表!$A$1:$AZ$100,MATCH($A3,警職大表!$A$1:$A$100,0),   MATCH(Y$1,警職大表!$A$3:$AZ$3,0)  )=0,"",INDEX(警職大表!$A$1:$AZ$100,MATCH($A3,警職大表!$A$1:$A$100,0),   MATCH(Y$1,警職大表!$A$3:$AZ$3,0)  )        )="",X3,  IF(  INDEX(警職大表!$A$1:$AZ$100,MATCH($A3,警職大表!$A$1:$A$100,0),   MATCH(Y$1,警職大表!$A$3:$AZ$3,0)  )=0,"",INDEX(警職大表!$A$1:$AZ$100,MATCH($A3,警職大表!$A$1:$A$100,0),   MATCH(Y$1,警職大表!$A$3:$AZ$3,0)  ) )    ),"")</f>
        <v>支援檢疫所</v>
      </c>
      <c r="Z3" s="271" t="str">
        <f>_xlfn.IFNA(   IF(   IF(  INDEX(警職大表!$A$1:$AZ$100,MATCH($A3,警職大表!$A$1:$A$100,0),   MATCH(Z$1,警職大表!$A$3:$AZ$3,0)  )=0,"",INDEX(警職大表!$A$1:$AZ$100,MATCH($A3,警職大表!$A$1:$A$100,0),   MATCH(Z$1,警職大表!$A$3:$AZ$3,0)  )        )="",Y3,  IF(  INDEX(警職大表!$A$1:$AZ$100,MATCH($A3,警職大表!$A$1:$A$100,0),   MATCH(Z$1,警職大表!$A$3:$AZ$3,0)  )=0,"",INDEX(警職大表!$A$1:$AZ$100,MATCH($A3,警職大表!$A$1:$A$100,0),   MATCH(Z$1,警職大表!$A$3:$AZ$3,0)  ) )    ),"")</f>
        <v>支援檢疫所</v>
      </c>
      <c r="AA3" s="271" t="str">
        <f>_xlfn.IFNA(   IF(   IF(  INDEX(警職大表!$A$1:$AZ$100,MATCH($A3,警職大表!$A$1:$A$100,0),   MATCH(AA$1,警職大表!$A$3:$AZ$3,0)  )=0,"",INDEX(警職大表!$A$1:$AZ$100,MATCH($A3,警職大表!$A$1:$A$100,0),   MATCH(AA$1,警職大表!$A$3:$AZ$3,0)  )        )="",Z3,  IF(  INDEX(警職大表!$A$1:$AZ$100,MATCH($A3,警職大表!$A$1:$A$100,0),   MATCH(AA$1,警職大表!$A$3:$AZ$3,0)  )=0,"",INDEX(警職大表!$A$1:$AZ$100,MATCH($A3,警職大表!$A$1:$A$100,0),   MATCH(AA$1,警職大表!$A$3:$AZ$3,0)  ) )    ),"")</f>
        <v>支援檢疫所</v>
      </c>
      <c r="AB3" s="271" t="str">
        <f>_xlfn.IFNA(   IF(   IF(  INDEX(警職大表!$A$1:$AZ$100,MATCH($A3,警職大表!$A$1:$A$100,0),   MATCH(AB$1,警職大表!$A$3:$AZ$3,0)  )=0,"",INDEX(警職大表!$A$1:$AZ$100,MATCH($A3,警職大表!$A$1:$A$100,0),   MATCH(AB$1,警職大表!$A$3:$AZ$3,0)  )        )="",AA3,  IF(  INDEX(警職大表!$A$1:$AZ$100,MATCH($A3,警職大表!$A$1:$A$100,0),   MATCH(AB$1,警職大表!$A$3:$AZ$3,0)  )=0,"",INDEX(警職大表!$A$1:$AZ$100,MATCH($A3,警職大表!$A$1:$A$100,0),   MATCH(AB$1,警職大表!$A$3:$AZ$3,0)  ) )    ),"")</f>
        <v>支援檢疫所</v>
      </c>
      <c r="AC3" s="271" t="str">
        <f>_xlfn.IFNA(   IF(   IF(  INDEX(警職大表!$A$1:$AZ$100,MATCH($A3,警職大表!$A$1:$A$100,0),   MATCH(AC$1,警職大表!$A$3:$AZ$3,0)  )=0,"",INDEX(警職大表!$A$1:$AZ$100,MATCH($A3,警職大表!$A$1:$A$100,0),   MATCH(AC$1,警職大表!$A$3:$AZ$3,0)  )        )="",AB3,  IF(  INDEX(警職大表!$A$1:$AZ$100,MATCH($A3,警職大表!$A$1:$A$100,0),   MATCH(AC$1,警職大表!$A$3:$AZ$3,0)  )=0,"",INDEX(警職大表!$A$1:$AZ$100,MATCH($A3,警職大表!$A$1:$A$100,0),   MATCH(AC$1,警職大表!$A$3:$AZ$3,0)  ) )    ),"")</f>
        <v>支援檢疫所</v>
      </c>
      <c r="AD3" s="271" t="str">
        <f>_xlfn.IFNA(   IF(   IF(  INDEX(警職大表!$A$1:$AZ$100,MATCH($A3,警職大表!$A$1:$A$100,0),   MATCH(AD$1,警職大表!$A$3:$AZ$3,0)  )=0,"",INDEX(警職大表!$A$1:$AZ$100,MATCH($A3,警職大表!$A$1:$A$100,0),   MATCH(AD$1,警職大表!$A$3:$AZ$3,0)  )        )="",AC3,  IF(  INDEX(警職大表!$A$1:$AZ$100,MATCH($A3,警職大表!$A$1:$A$100,0),   MATCH(AD$1,警職大表!$A$3:$AZ$3,0)  )=0,"",INDEX(警職大表!$A$1:$AZ$100,MATCH($A3,警職大表!$A$1:$A$100,0),   MATCH(AD$1,警職大表!$A$3:$AZ$3,0)  ) )    ),"")</f>
        <v>支援檢疫所</v>
      </c>
      <c r="AE3" s="271" t="str">
        <f>_xlfn.IFNA(   IF(   IF(  INDEX(警職大表!$A$1:$AZ$100,MATCH($A3,警職大表!$A$1:$A$100,0),   MATCH(AE$1,警職大表!$A$3:$AZ$3,0)  )=0,"",INDEX(警職大表!$A$1:$AZ$100,MATCH($A3,警職大表!$A$1:$A$100,0),   MATCH(AE$1,警職大表!$A$3:$AZ$3,0)  )        )="",AD3,  IF(  INDEX(警職大表!$A$1:$AZ$100,MATCH($A3,警職大表!$A$1:$A$100,0),   MATCH(AE$1,警職大表!$A$3:$AZ$3,0)  )=0,"",INDEX(警職大表!$A$1:$AZ$100,MATCH($A3,警職大表!$A$1:$A$100,0),   MATCH(AE$1,警職大表!$A$3:$AZ$3,0)  ) )    ),"")</f>
        <v>支援檢疫所</v>
      </c>
      <c r="AF3" s="271" t="str">
        <f>_xlfn.IFNA(   IF(   IF(  INDEX(警職大表!$A$1:$AZ$100,MATCH($A3,警職大表!$A$1:$A$100,0),   MATCH(AF$1,警職大表!$A$3:$AZ$3,0)  )=0,"",INDEX(警職大表!$A$1:$AZ$100,MATCH($A3,警職大表!$A$1:$A$100,0),   MATCH(AF$1,警職大表!$A$3:$AZ$3,0)  )        )="",AE3,  IF(  INDEX(警職大表!$A$1:$AZ$100,MATCH($A3,警職大表!$A$1:$A$100,0),   MATCH(AF$1,警職大表!$A$3:$AZ$3,0)  )=0,"",INDEX(警職大表!$A$1:$AZ$100,MATCH($A3,警職大表!$A$1:$A$100,0),   MATCH(AF$1,警職大表!$A$3:$AZ$3,0)  ) )    ),"")</f>
        <v>支援檢疫所</v>
      </c>
      <c r="AG3" s="271" t="str">
        <f>_xlfn.IFNA(   IF(   IF(  INDEX(警職大表!$A$1:$AZ$100,MATCH($A3,警職大表!$A$1:$A$100,0),   MATCH(AG$1,警職大表!$A$3:$AZ$3,0)  )=0,"",INDEX(警職大表!$A$1:$AZ$100,MATCH($A3,警職大表!$A$1:$A$100,0),   MATCH(AG$1,警職大表!$A$3:$AZ$3,0)  )        )="",AF3,  IF(  INDEX(警職大表!$A$1:$AZ$100,MATCH($A3,警職大表!$A$1:$A$100,0),   MATCH(AG$1,警職大表!$A$3:$AZ$3,0)  )=0,"",INDEX(警職大表!$A$1:$AZ$100,MATCH($A3,警職大表!$A$1:$A$100,0),   MATCH(AG$1,警職大表!$A$3:$AZ$3,0)  ) )    ),"")</f>
        <v>支援檢疫所</v>
      </c>
      <c r="AL3" s="271" t="str">
        <f t="shared" ref="AL3:AL37" si="0">A3</f>
        <v>B</v>
      </c>
      <c r="AM3" s="271" t="str">
        <f t="shared" ref="AM3:AM37" si="1">B3</f>
        <v>薛信東</v>
      </c>
      <c r="AN3" s="271" t="str">
        <f>INDEX(   $A$41:$AG$78, MATCH(AL3,$A$41:$A$78,0),MATCH(  DAY(勤務分配表!$AN$1),$A$41:$AL$41,0  )  )</f>
        <v>支援(其他)</v>
      </c>
      <c r="AO3" s="271" t="str">
        <f>IF((ROW(AO3)-1)&lt;=日期輸入!$B$5,_xlfn.IFNA(IF(INDEX($A$1:$AG$40,MATCH($AM3,$B$1:$B$100,0),VALUE($AO$1+3))="成","補",INDEX($A$1:$AG$40,MATCH($AM3,$B$1:$B$100,0),VALUE($AO$1+3))),""),"")</f>
        <v>支援檢疫所</v>
      </c>
      <c r="AP3" s="271" t="str">
        <f>IF((ROW(AP3)-1)&lt;=日期輸入!$B$5,_xlfn.IFNA(IF(INDEX($A$1:$AG$40,MATCH($AM3,$B$1:$B$100,0),VALUE($AP$1+3))="成","補",INDEX($A$1:$AG$40,MATCH($AM3,$B$1:$B$100,0),VALUE($AP$1+3))),""),"")</f>
        <v>支援檢疫所</v>
      </c>
      <c r="AQ3" s="271" t="str">
        <f>IF((ROW(AQ3)-1)&lt;=日期輸入!$B$5,_xlfn.IFNA(IF(INDEX($A$1:$AG$40,MATCH($AM3,$B$1:$B$100,0),VALUE($AQ$1+3))="成","補",INDEX($A$1:$AG$40,MATCH($AM3,$B$1:$B$100,0),VALUE($AQ$1+3))),""),"")</f>
        <v>支援檢疫所</v>
      </c>
      <c r="AT3" s="270" t="str">
        <f>_xlfn.IFNA(  IF(  OR(  INDEX(   $A$1:$AG$38, MATCH(AL3,$A$1:$A$38,0),MATCH(  DAY(勤務分配表!$AN$1),$A$1:$AH$1,0  )  )="早",INDEX(   $A$1:$AG$38, MATCH(AL3,$A$1:$A$38,0),MATCH(  DAY(勤務分配表!$AN$1),$A$1:$AH$1,0  )  )="08-20"  ),"副中隊長(B)18-20時內部管理",  IF(  OR(  INDEX(   $A$1:$AG$38, MATCH(AL3,$A$1:$A$38,0),MATCH(  DAY(勤務分配表!$AN$1),$A$1:$AH$1,0  )  )="晚",INDEX(   $A$1:$AG$38, MATCH(AL3,$A$1:$A$38,0),MATCH(  DAY(勤務分配表!$AN$1),$A$1:$AH$1,0  )  )="20-08"  ),"副中隊長(B)06-08時內部管理",  ""  )  ),"")</f>
        <v/>
      </c>
      <c r="AU3" s="270" t="str">
        <f>IF(  AT3&lt;&gt;"","。","")</f>
        <v/>
      </c>
    </row>
    <row r="4" spans="1:47">
      <c r="A4" s="271" t="str">
        <f>IF(  (ROW(A4)-1)&lt;=日期輸入!$B$5,勤務分配!A4,"")</f>
        <v>E</v>
      </c>
      <c r="B4" s="271" t="str">
        <f>_xlfn.IFNA(  INDEX(警職大表!$A$1:$AZ$100,MATCH(A4,警職大表!$A$1:$A$100,0),3),"")</f>
        <v>洪偉傑</v>
      </c>
      <c r="C4" s="271" t="str">
        <f>_xlfn.IFNA(   IF(   IF(  INDEX(警職大表!$A$1:$AZ$100,MATCH($A4,警職大表!$A$1:$A$100,0),   MATCH(C$1,警職大表!$A$3:$AZ$3,0)  )=0,"",INDEX(警職大表!$A$1:$AZ$100,MATCH($A4,警職大表!$A$1:$A$100,0),   MATCH(C$1,警職大表!$A$3:$AZ$3,0)  )        )="",B4,  IF(  INDEX(警職大表!$A$1:$AZ$100,MATCH($A4,警職大表!$A$1:$A$100,0),   MATCH(C$1,警職大表!$A$3:$AZ$3,0)  )=0,"",INDEX(警職大表!$A$1:$AZ$100,MATCH($A4,警職大表!$A$1:$A$100,0),   MATCH(C$1,警職大表!$A$3:$AZ$3,0)  ) )    ),"")</f>
        <v>大夜</v>
      </c>
      <c r="D4" s="271" t="str">
        <f>_xlfn.IFNA(   IF(   IF(  INDEX(警職大表!$A$1:$AZ$100,MATCH($A4,警職大表!$A$1:$A$100,0),   MATCH(D$1,警職大表!$A$3:$AZ$3,0)  )=0,"",INDEX(警職大表!$A$1:$AZ$100,MATCH($A4,警職大表!$A$1:$A$100,0),   MATCH(D$1,警職大表!$A$3:$AZ$3,0)  )        )="",C4,  IF(  INDEX(警職大表!$A$1:$AZ$100,MATCH($A4,警職大表!$A$1:$A$100,0),   MATCH(D$1,警職大表!$A$3:$AZ$3,0)  )=0,"",INDEX(警職大表!$A$1:$AZ$100,MATCH($A4,警職大表!$A$1:$A$100,0),   MATCH(D$1,警職大表!$A$3:$AZ$3,0)  ) )    ),"")</f>
        <v>x</v>
      </c>
      <c r="E4" s="271" t="str">
        <f>_xlfn.IFNA(   IF(   IF(  INDEX(警職大表!$A$1:$AZ$100,MATCH($A4,警職大表!$A$1:$A$100,0),   MATCH(E$1,警職大表!$A$3:$AZ$3,0)  )=0,"",INDEX(警職大表!$A$1:$AZ$100,MATCH($A4,警職大表!$A$1:$A$100,0),   MATCH(E$1,警職大表!$A$3:$AZ$3,0)  )        )="",D4,  IF(  INDEX(警職大表!$A$1:$AZ$100,MATCH($A4,警職大表!$A$1:$A$100,0),   MATCH(E$1,警職大表!$A$3:$AZ$3,0)  )=0,"",INDEX(警職大表!$A$1:$AZ$100,MATCH($A4,警職大表!$A$1:$A$100,0),   MATCH(E$1,警職大表!$A$3:$AZ$3,0)  ) )    ),"")</f>
        <v>值1早</v>
      </c>
      <c r="F4" s="271" t="str">
        <f>_xlfn.IFNA(   IF(   IF(  INDEX(警職大表!$A$1:$AZ$100,MATCH($A4,警職大表!$A$1:$A$100,0),   MATCH(F$1,警職大表!$A$3:$AZ$3,0)  )=0,"",INDEX(警職大表!$A$1:$AZ$100,MATCH($A4,警職大表!$A$1:$A$100,0),   MATCH(F$1,警職大表!$A$3:$AZ$3,0)  )        )="",E4,  IF(  INDEX(警職大表!$A$1:$AZ$100,MATCH($A4,警職大表!$A$1:$A$100,0),   MATCH(F$1,警職大表!$A$3:$AZ$3,0)  )=0,"",INDEX(警職大表!$A$1:$AZ$100,MATCH($A4,警職大表!$A$1:$A$100,0),   MATCH(F$1,警職大表!$A$3:$AZ$3,0)  ) )    ),"")</f>
        <v>值1早</v>
      </c>
      <c r="G4" s="271" t="str">
        <f>_xlfn.IFNA(   IF(   IF(  INDEX(警職大表!$A$1:$AZ$100,MATCH($A4,警職大表!$A$1:$A$100,0),   MATCH(G$1,警職大表!$A$3:$AZ$3,0)  )=0,"",INDEX(警職大表!$A$1:$AZ$100,MATCH($A4,警職大表!$A$1:$A$100,0),   MATCH(G$1,警職大表!$A$3:$AZ$3,0)  )        )="",F4,  IF(  INDEX(警職大表!$A$1:$AZ$100,MATCH($A4,警職大表!$A$1:$A$100,0),   MATCH(G$1,警職大表!$A$3:$AZ$3,0)  )=0,"",INDEX(警職大表!$A$1:$AZ$100,MATCH($A4,警職大表!$A$1:$A$100,0),   MATCH(G$1,警職大表!$A$3:$AZ$3,0)  ) )    ),"")</f>
        <v>值1</v>
      </c>
      <c r="H4" s="271" t="str">
        <f>_xlfn.IFNA(   IF(   IF(  INDEX(警職大表!$A$1:$AZ$100,MATCH($A4,警職大表!$A$1:$A$100,0),   MATCH(H$1,警職大表!$A$3:$AZ$3,0)  )=0,"",INDEX(警職大表!$A$1:$AZ$100,MATCH($A4,警職大表!$A$1:$A$100,0),   MATCH(H$1,警職大表!$A$3:$AZ$3,0)  )        )="",G4,  IF(  INDEX(警職大表!$A$1:$AZ$100,MATCH($A4,警職大表!$A$1:$A$100,0),   MATCH(H$1,警職大表!$A$3:$AZ$3,0)  )=0,"",INDEX(警職大表!$A$1:$AZ$100,MATCH($A4,警職大表!$A$1:$A$100,0),   MATCH(H$1,警職大表!$A$3:$AZ$3,0)  ) )    ),"")</f>
        <v>值1</v>
      </c>
      <c r="I4" s="271" t="str">
        <f>_xlfn.IFNA(   IF(   IF(  INDEX(警職大表!$A$1:$AZ$100,MATCH($A4,警職大表!$A$1:$A$100,0),   MATCH(I$1,警職大表!$A$3:$AZ$3,0)  )=0,"",INDEX(警職大表!$A$1:$AZ$100,MATCH($A4,警職大表!$A$1:$A$100,0),   MATCH(I$1,警職大表!$A$3:$AZ$3,0)  )        )="",H4,  IF(  INDEX(警職大表!$A$1:$AZ$100,MATCH($A4,警職大表!$A$1:$A$100,0),   MATCH(I$1,警職大表!$A$3:$AZ$3,0)  )=0,"",INDEX(警職大表!$A$1:$AZ$100,MATCH($A4,警職大表!$A$1:$A$100,0),   MATCH(I$1,警職大表!$A$3:$AZ$3,0)  ) )    ),"")</f>
        <v>值1</v>
      </c>
      <c r="J4" s="271" t="str">
        <f>_xlfn.IFNA(   IF(   IF(  INDEX(警職大表!$A$1:$AZ$100,MATCH($A4,警職大表!$A$1:$A$100,0),   MATCH(J$1,警職大表!$A$3:$AZ$3,0)  )=0,"",INDEX(警職大表!$A$1:$AZ$100,MATCH($A4,警職大表!$A$1:$A$100,0),   MATCH(J$1,警職大表!$A$3:$AZ$3,0)  )        )="",I4,  IF(  INDEX(警職大表!$A$1:$AZ$100,MATCH($A4,警職大表!$A$1:$A$100,0),   MATCH(J$1,警職大表!$A$3:$AZ$3,0)  )=0,"",INDEX(警職大表!$A$1:$AZ$100,MATCH($A4,警職大表!$A$1:$A$100,0),   MATCH(J$1,警職大表!$A$3:$AZ$3,0)  ) )    ),"")</f>
        <v>值1</v>
      </c>
      <c r="K4" s="271" t="str">
        <f>_xlfn.IFNA(   IF(   IF(  INDEX(警職大表!$A$1:$AZ$100,MATCH($A4,警職大表!$A$1:$A$100,0),   MATCH(K$1,警職大表!$A$3:$AZ$3,0)  )=0,"",INDEX(警職大表!$A$1:$AZ$100,MATCH($A4,警職大表!$A$1:$A$100,0),   MATCH(K$1,警職大表!$A$3:$AZ$3,0)  )        )="",J4,  IF(  INDEX(警職大表!$A$1:$AZ$100,MATCH($A4,警職大表!$A$1:$A$100,0),   MATCH(K$1,警職大表!$A$3:$AZ$3,0)  )=0,"",INDEX(警職大表!$A$1:$AZ$100,MATCH($A4,警職大表!$A$1:$A$100,0),   MATCH(K$1,警職大表!$A$3:$AZ$3,0)  ) )    ),"")</f>
        <v>值1</v>
      </c>
      <c r="L4" s="271" t="str">
        <f>_xlfn.IFNA(   IF(   IF(  INDEX(警職大表!$A$1:$AZ$100,MATCH($A4,警職大表!$A$1:$A$100,0),   MATCH(L$1,警職大表!$A$3:$AZ$3,0)  )=0,"",INDEX(警職大表!$A$1:$AZ$100,MATCH($A4,警職大表!$A$1:$A$100,0),   MATCH(L$1,警職大表!$A$3:$AZ$3,0)  )        )="",K4,  IF(  INDEX(警職大表!$A$1:$AZ$100,MATCH($A4,警職大表!$A$1:$A$100,0),   MATCH(L$1,警職大表!$A$3:$AZ$3,0)  )=0,"",INDEX(警職大表!$A$1:$AZ$100,MATCH($A4,警職大表!$A$1:$A$100,0),   MATCH(L$1,警職大表!$A$3:$AZ$3,0)  ) )    ),"")</f>
        <v>值1</v>
      </c>
      <c r="M4" s="271" t="str">
        <f>_xlfn.IFNA(   IF(   IF(  INDEX(警職大表!$A$1:$AZ$100,MATCH($A4,警職大表!$A$1:$A$100,0),   MATCH(M$1,警職大表!$A$3:$AZ$3,0)  )=0,"",INDEX(警職大表!$A$1:$AZ$100,MATCH($A4,警職大表!$A$1:$A$100,0),   MATCH(M$1,警職大表!$A$3:$AZ$3,0)  )        )="",L4,  IF(  INDEX(警職大表!$A$1:$AZ$100,MATCH($A4,警職大表!$A$1:$A$100,0),   MATCH(M$1,警職大表!$A$3:$AZ$3,0)  )=0,"",INDEX(警職大表!$A$1:$AZ$100,MATCH($A4,警職大表!$A$1:$A$100,0),   MATCH(M$1,警職大表!$A$3:$AZ$3,0)  ) )    ),"")</f>
        <v>值1</v>
      </c>
      <c r="N4" s="271" t="str">
        <f>_xlfn.IFNA(   IF(   IF(  INDEX(警職大表!$A$1:$AZ$100,MATCH($A4,警職大表!$A$1:$A$100,0),   MATCH(N$1,警職大表!$A$3:$AZ$3,0)  )=0,"",INDEX(警職大表!$A$1:$AZ$100,MATCH($A4,警職大表!$A$1:$A$100,0),   MATCH(N$1,警職大表!$A$3:$AZ$3,0)  )        )="",M4,  IF(  INDEX(警職大表!$A$1:$AZ$100,MATCH($A4,警職大表!$A$1:$A$100,0),   MATCH(N$1,警職大表!$A$3:$AZ$3,0)  )=0,"",INDEX(警職大表!$A$1:$AZ$100,MATCH($A4,警職大表!$A$1:$A$100,0),   MATCH(N$1,警職大表!$A$3:$AZ$3,0)  ) )    ),"")</f>
        <v>值1</v>
      </c>
      <c r="O4" s="271" t="str">
        <f>_xlfn.IFNA(   IF(   IF(  INDEX(警職大表!$A$1:$AZ$100,MATCH($A4,警職大表!$A$1:$A$100,0),   MATCH(O$1,警職大表!$A$3:$AZ$3,0)  )=0,"",INDEX(警職大表!$A$1:$AZ$100,MATCH($A4,警職大表!$A$1:$A$100,0),   MATCH(O$1,警職大表!$A$3:$AZ$3,0)  )        )="",N4,  IF(  INDEX(警職大表!$A$1:$AZ$100,MATCH($A4,警職大表!$A$1:$A$100,0),   MATCH(O$1,警職大表!$A$3:$AZ$3,0)  )=0,"",INDEX(警職大表!$A$1:$AZ$100,MATCH($A4,警職大表!$A$1:$A$100,0),   MATCH(O$1,警職大表!$A$3:$AZ$3,0)  ) )    ),"")</f>
        <v>值1</v>
      </c>
      <c r="P4" s="271" t="str">
        <f>_xlfn.IFNA(   IF(   IF(  INDEX(警職大表!$A$1:$AZ$100,MATCH($A4,警職大表!$A$1:$A$100,0),   MATCH(P$1,警職大表!$A$3:$AZ$3,0)  )=0,"",INDEX(警職大表!$A$1:$AZ$100,MATCH($A4,警職大表!$A$1:$A$100,0),   MATCH(P$1,警職大表!$A$3:$AZ$3,0)  )        )="",O4,  IF(  INDEX(警職大表!$A$1:$AZ$100,MATCH($A4,警職大表!$A$1:$A$100,0),   MATCH(P$1,警職大表!$A$3:$AZ$3,0)  )=0,"",INDEX(警職大表!$A$1:$AZ$100,MATCH($A4,警職大表!$A$1:$A$100,0),   MATCH(P$1,警職大表!$A$3:$AZ$3,0)  ) )    ),"")</f>
        <v>值1</v>
      </c>
      <c r="Q4" s="271" t="str">
        <f>_xlfn.IFNA(   IF(   IF(  INDEX(警職大表!$A$1:$AZ$100,MATCH($A4,警職大表!$A$1:$A$100,0),   MATCH(Q$1,警職大表!$A$3:$AZ$3,0)  )=0,"",INDEX(警職大表!$A$1:$AZ$100,MATCH($A4,警職大表!$A$1:$A$100,0),   MATCH(Q$1,警職大表!$A$3:$AZ$3,0)  )        )="",P4,  IF(  INDEX(警職大表!$A$1:$AZ$100,MATCH($A4,警職大表!$A$1:$A$100,0),   MATCH(Q$1,警職大表!$A$3:$AZ$3,0)  )=0,"",INDEX(警職大表!$A$1:$AZ$100,MATCH($A4,警職大表!$A$1:$A$100,0),   MATCH(Q$1,警職大表!$A$3:$AZ$3,0)  ) )    ),"")</f>
        <v>值1</v>
      </c>
      <c r="R4" s="271" t="str">
        <f>_xlfn.IFNA(   IF(   IF(  INDEX(警職大表!$A$1:$AZ$100,MATCH($A4,警職大表!$A$1:$A$100,0),   MATCH(R$1,警職大表!$A$3:$AZ$3,0)  )=0,"",INDEX(警職大表!$A$1:$AZ$100,MATCH($A4,警職大表!$A$1:$A$100,0),   MATCH(R$1,警職大表!$A$3:$AZ$3,0)  )        )="",Q4,  IF(  INDEX(警職大表!$A$1:$AZ$100,MATCH($A4,警職大表!$A$1:$A$100,0),   MATCH(R$1,警職大表!$A$3:$AZ$3,0)  )=0,"",INDEX(警職大表!$A$1:$AZ$100,MATCH($A4,警職大表!$A$1:$A$100,0),   MATCH(R$1,警職大表!$A$3:$AZ$3,0)  ) )    ),"")</f>
        <v>x</v>
      </c>
      <c r="S4" s="271" t="str">
        <f>_xlfn.IFNA(   IF(   IF(  INDEX(警職大表!$A$1:$AZ$100,MATCH($A4,警職大表!$A$1:$A$100,0),   MATCH(S$1,警職大表!$A$3:$AZ$3,0)  )=0,"",INDEX(警職大表!$A$1:$AZ$100,MATCH($A4,警職大表!$A$1:$A$100,0),   MATCH(S$1,警職大表!$A$3:$AZ$3,0)  )        )="",R4,  IF(  INDEX(警職大表!$A$1:$AZ$100,MATCH($A4,警職大表!$A$1:$A$100,0),   MATCH(S$1,警職大表!$A$3:$AZ$3,0)  )=0,"",INDEX(警職大表!$A$1:$AZ$100,MATCH($A4,警職大表!$A$1:$A$100,0),   MATCH(S$1,警職大表!$A$3:$AZ$3,0)  ) )    ),"")</f>
        <v>值1</v>
      </c>
      <c r="T4" s="271" t="str">
        <f>_xlfn.IFNA(   IF(   IF(  INDEX(警職大表!$A$1:$AZ$100,MATCH($A4,警職大表!$A$1:$A$100,0),   MATCH(T$1,警職大表!$A$3:$AZ$3,0)  )=0,"",INDEX(警職大表!$A$1:$AZ$100,MATCH($A4,警職大表!$A$1:$A$100,0),   MATCH(T$1,警職大表!$A$3:$AZ$3,0)  )        )="",S4,  IF(  INDEX(警職大表!$A$1:$AZ$100,MATCH($A4,警職大表!$A$1:$A$100,0),   MATCH(T$1,警職大表!$A$3:$AZ$3,0)  )=0,"",INDEX(警職大表!$A$1:$AZ$100,MATCH($A4,警職大表!$A$1:$A$100,0),   MATCH(T$1,警職大表!$A$3:$AZ$3,0)  ) )    ),"")</f>
        <v>值1</v>
      </c>
      <c r="U4" s="271" t="str">
        <f>_xlfn.IFNA(   IF(   IF(  INDEX(警職大表!$A$1:$AZ$100,MATCH($A4,警職大表!$A$1:$A$100,0),   MATCH(U$1,警職大表!$A$3:$AZ$3,0)  )=0,"",INDEX(警職大表!$A$1:$AZ$100,MATCH($A4,警職大表!$A$1:$A$100,0),   MATCH(U$1,警職大表!$A$3:$AZ$3,0)  )        )="",T4,  IF(  INDEX(警職大表!$A$1:$AZ$100,MATCH($A4,警職大表!$A$1:$A$100,0),   MATCH(U$1,警職大表!$A$3:$AZ$3,0)  )=0,"",INDEX(警職大表!$A$1:$AZ$100,MATCH($A4,警職大表!$A$1:$A$100,0),   MATCH(U$1,警職大表!$A$3:$AZ$3,0)  ) )    ),"")</f>
        <v>值1</v>
      </c>
      <c r="V4" s="271" t="str">
        <f>_xlfn.IFNA(   IF(   IF(  INDEX(警職大表!$A$1:$AZ$100,MATCH($A4,警職大表!$A$1:$A$100,0),   MATCH(V$1,警職大表!$A$3:$AZ$3,0)  )=0,"",INDEX(警職大表!$A$1:$AZ$100,MATCH($A4,警職大表!$A$1:$A$100,0),   MATCH(V$1,警職大表!$A$3:$AZ$3,0)  )        )="",U4,  IF(  INDEX(警職大表!$A$1:$AZ$100,MATCH($A4,警職大表!$A$1:$A$100,0),   MATCH(V$1,警職大表!$A$3:$AZ$3,0)  )=0,"",INDEX(警職大表!$A$1:$AZ$100,MATCH($A4,警職大表!$A$1:$A$100,0),   MATCH(V$1,警職大表!$A$3:$AZ$3,0)  ) )    ),"")</f>
        <v>值1</v>
      </c>
      <c r="W4" s="271" t="str">
        <f>_xlfn.IFNA(   IF(   IF(  INDEX(警職大表!$A$1:$AZ$100,MATCH($A4,警職大表!$A$1:$A$100,0),   MATCH(W$1,警職大表!$A$3:$AZ$3,0)  )=0,"",INDEX(警職大表!$A$1:$AZ$100,MATCH($A4,警職大表!$A$1:$A$100,0),   MATCH(W$1,警職大表!$A$3:$AZ$3,0)  )        )="",V4,  IF(  INDEX(警職大表!$A$1:$AZ$100,MATCH($A4,警職大表!$A$1:$A$100,0),   MATCH(W$1,警職大表!$A$3:$AZ$3,0)  )=0,"",INDEX(警職大表!$A$1:$AZ$100,MATCH($A4,警職大表!$A$1:$A$100,0),   MATCH(W$1,警職大表!$A$3:$AZ$3,0)  ) )    ),"")</f>
        <v>值1</v>
      </c>
      <c r="X4" s="271" t="str">
        <f>_xlfn.IFNA(   IF(   IF(  INDEX(警職大表!$A$1:$AZ$100,MATCH($A4,警職大表!$A$1:$A$100,0),   MATCH(X$1,警職大表!$A$3:$AZ$3,0)  )=0,"",INDEX(警職大表!$A$1:$AZ$100,MATCH($A4,警職大表!$A$1:$A$100,0),   MATCH(X$1,警職大表!$A$3:$AZ$3,0)  )        )="",W4,  IF(  INDEX(警職大表!$A$1:$AZ$100,MATCH($A4,警職大表!$A$1:$A$100,0),   MATCH(X$1,警職大表!$A$3:$AZ$3,0)  )=0,"",INDEX(警職大表!$A$1:$AZ$100,MATCH($A4,警職大表!$A$1:$A$100,0),   MATCH(X$1,警職大表!$A$3:$AZ$3,0)  ) )    ),"")</f>
        <v>值1</v>
      </c>
      <c r="Y4" s="271" t="str">
        <f>_xlfn.IFNA(   IF(   IF(  INDEX(警職大表!$A$1:$AZ$100,MATCH($A4,警職大表!$A$1:$A$100,0),   MATCH(Y$1,警職大表!$A$3:$AZ$3,0)  )=0,"",INDEX(警職大表!$A$1:$AZ$100,MATCH($A4,警職大表!$A$1:$A$100,0),   MATCH(Y$1,警職大表!$A$3:$AZ$3,0)  )        )="",X4,  IF(  INDEX(警職大表!$A$1:$AZ$100,MATCH($A4,警職大表!$A$1:$A$100,0),   MATCH(Y$1,警職大表!$A$3:$AZ$3,0)  )=0,"",INDEX(警職大表!$A$1:$AZ$100,MATCH($A4,警職大表!$A$1:$A$100,0),   MATCH(Y$1,警職大表!$A$3:$AZ$3,0)  ) )    ),"")</f>
        <v>值1</v>
      </c>
      <c r="Z4" s="271" t="str">
        <f>_xlfn.IFNA(   IF(   IF(  INDEX(警職大表!$A$1:$AZ$100,MATCH($A4,警職大表!$A$1:$A$100,0),   MATCH(Z$1,警職大表!$A$3:$AZ$3,0)  )=0,"",INDEX(警職大表!$A$1:$AZ$100,MATCH($A4,警職大表!$A$1:$A$100,0),   MATCH(Z$1,警職大表!$A$3:$AZ$3,0)  )        )="",Y4,  IF(  INDEX(警職大表!$A$1:$AZ$100,MATCH($A4,警職大表!$A$1:$A$100,0),   MATCH(Z$1,警職大表!$A$3:$AZ$3,0)  )=0,"",INDEX(警職大表!$A$1:$AZ$100,MATCH($A4,警職大表!$A$1:$A$100,0),   MATCH(Z$1,警職大表!$A$3:$AZ$3,0)  ) )    ),"")</f>
        <v>值1</v>
      </c>
      <c r="AA4" s="271" t="str">
        <f>_xlfn.IFNA(   IF(   IF(  INDEX(警職大表!$A$1:$AZ$100,MATCH($A4,警職大表!$A$1:$A$100,0),   MATCH(AA$1,警職大表!$A$3:$AZ$3,0)  )=0,"",INDEX(警職大表!$A$1:$AZ$100,MATCH($A4,警職大表!$A$1:$A$100,0),   MATCH(AA$1,警職大表!$A$3:$AZ$3,0)  )        )="",Z4,  IF(  INDEX(警職大表!$A$1:$AZ$100,MATCH($A4,警職大表!$A$1:$A$100,0),   MATCH(AA$1,警職大表!$A$3:$AZ$3,0)  )=0,"",INDEX(警職大表!$A$1:$AZ$100,MATCH($A4,警職大表!$A$1:$A$100,0),   MATCH(AA$1,警職大表!$A$3:$AZ$3,0)  ) )    ),"")</f>
        <v>值1</v>
      </c>
      <c r="AB4" s="271" t="str">
        <f>_xlfn.IFNA(   IF(   IF(  INDEX(警職大表!$A$1:$AZ$100,MATCH($A4,警職大表!$A$1:$A$100,0),   MATCH(AB$1,警職大表!$A$3:$AZ$3,0)  )=0,"",INDEX(警職大表!$A$1:$AZ$100,MATCH($A4,警職大表!$A$1:$A$100,0),   MATCH(AB$1,警職大表!$A$3:$AZ$3,0)  )        )="",AA4,  IF(  INDEX(警職大表!$A$1:$AZ$100,MATCH($A4,警職大表!$A$1:$A$100,0),   MATCH(AB$1,警職大表!$A$3:$AZ$3,0)  )=0,"",INDEX(警職大表!$A$1:$AZ$100,MATCH($A4,警職大表!$A$1:$A$100,0),   MATCH(AB$1,警職大表!$A$3:$AZ$3,0)  ) )    ),"")</f>
        <v>值1</v>
      </c>
      <c r="AC4" s="271" t="str">
        <f>_xlfn.IFNA(   IF(   IF(  INDEX(警職大表!$A$1:$AZ$100,MATCH($A4,警職大表!$A$1:$A$100,0),   MATCH(AC$1,警職大表!$A$3:$AZ$3,0)  )=0,"",INDEX(警職大表!$A$1:$AZ$100,MATCH($A4,警職大表!$A$1:$A$100,0),   MATCH(AC$1,警職大表!$A$3:$AZ$3,0)  )        )="",AB4,  IF(  INDEX(警職大表!$A$1:$AZ$100,MATCH($A4,警職大表!$A$1:$A$100,0),   MATCH(AC$1,警職大表!$A$3:$AZ$3,0)  )=0,"",INDEX(警職大表!$A$1:$AZ$100,MATCH($A4,警職大表!$A$1:$A$100,0),   MATCH(AC$1,警職大表!$A$3:$AZ$3,0)  ) )    ),"")</f>
        <v>值1</v>
      </c>
      <c r="AD4" s="271" t="str">
        <f>_xlfn.IFNA(   IF(   IF(  INDEX(警職大表!$A$1:$AZ$100,MATCH($A4,警職大表!$A$1:$A$100,0),   MATCH(AD$1,警職大表!$A$3:$AZ$3,0)  )=0,"",INDEX(警職大表!$A$1:$AZ$100,MATCH($A4,警職大表!$A$1:$A$100,0),   MATCH(AD$1,警職大表!$A$3:$AZ$3,0)  )        )="",AC4,  IF(  INDEX(警職大表!$A$1:$AZ$100,MATCH($A4,警職大表!$A$1:$A$100,0),   MATCH(AD$1,警職大表!$A$3:$AZ$3,0)  )=0,"",INDEX(警職大表!$A$1:$AZ$100,MATCH($A4,警職大表!$A$1:$A$100,0),   MATCH(AD$1,警職大表!$A$3:$AZ$3,0)  ) )    ),"")</f>
        <v>值1</v>
      </c>
      <c r="AE4" s="271" t="str">
        <f>_xlfn.IFNA(   IF(   IF(  INDEX(警職大表!$A$1:$AZ$100,MATCH($A4,警職大表!$A$1:$A$100,0),   MATCH(AE$1,警職大表!$A$3:$AZ$3,0)  )=0,"",INDEX(警職大表!$A$1:$AZ$100,MATCH($A4,警職大表!$A$1:$A$100,0),   MATCH(AE$1,警職大表!$A$3:$AZ$3,0)  )        )="",AD4,  IF(  INDEX(警職大表!$A$1:$AZ$100,MATCH($A4,警職大表!$A$1:$A$100,0),   MATCH(AE$1,警職大表!$A$3:$AZ$3,0)  )=0,"",INDEX(警職大表!$A$1:$AZ$100,MATCH($A4,警職大表!$A$1:$A$100,0),   MATCH(AE$1,警職大表!$A$3:$AZ$3,0)  ) )    ),"")</f>
        <v>值1</v>
      </c>
      <c r="AF4" s="271" t="str">
        <f>_xlfn.IFNA(   IF(   IF(  INDEX(警職大表!$A$1:$AZ$100,MATCH($A4,警職大表!$A$1:$A$100,0),   MATCH(AF$1,警職大表!$A$3:$AZ$3,0)  )=0,"",INDEX(警職大表!$A$1:$AZ$100,MATCH($A4,警職大表!$A$1:$A$100,0),   MATCH(AF$1,警職大表!$A$3:$AZ$3,0)  )        )="",AE4,  IF(  INDEX(警職大表!$A$1:$AZ$100,MATCH($A4,警職大表!$A$1:$A$100,0),   MATCH(AF$1,警職大表!$A$3:$AZ$3,0)  )=0,"",INDEX(警職大表!$A$1:$AZ$100,MATCH($A4,警職大表!$A$1:$A$100,0),   MATCH(AF$1,警職大表!$A$3:$AZ$3,0)  ) )    ),"")</f>
        <v>值1</v>
      </c>
      <c r="AG4" s="271" t="str">
        <f>_xlfn.IFNA(   IF(   IF(  INDEX(警職大表!$A$1:$AZ$100,MATCH($A4,警職大表!$A$1:$A$100,0),   MATCH(AG$1,警職大表!$A$3:$AZ$3,0)  )=0,"",INDEX(警職大表!$A$1:$AZ$100,MATCH($A4,警職大表!$A$1:$A$100,0),   MATCH(AG$1,警職大表!$A$3:$AZ$3,0)  )        )="",AF4,  IF(  INDEX(警職大表!$A$1:$AZ$100,MATCH($A4,警職大表!$A$1:$A$100,0),   MATCH(AG$1,警職大表!$A$3:$AZ$3,0)  )=0,"",INDEX(警職大表!$A$1:$AZ$100,MATCH($A4,警職大表!$A$1:$A$100,0),   MATCH(AG$1,警職大表!$A$3:$AZ$3,0)  ) )    ),"")</f>
        <v>值1</v>
      </c>
      <c r="AL4" s="271" t="str">
        <f t="shared" si="0"/>
        <v>E</v>
      </c>
      <c r="AM4" s="271" t="str">
        <f t="shared" si="1"/>
        <v>洪偉傑</v>
      </c>
      <c r="AN4" s="271" t="str">
        <f>INDEX(   $A$41:$AG$78, MATCH(AL4,$A$41:$A$78,0),MATCH(  DAY(勤務分配表!$AN$1),$A$41:$AL$41,0  )  )</f>
        <v>值1(早)</v>
      </c>
      <c r="AO4" s="271" t="str">
        <f>IF((ROW(AO4)-1)&lt;=日期輸入!$B$5,_xlfn.IFNA(IF(INDEX($A$1:$AG$40,MATCH($AM4,$B$1:$B$100,0),VALUE($AO$1+3))="成","補",INDEX($A$1:$AG$40,MATCH($AM4,$B$1:$B$100,0),VALUE($AO$1+3))),""),"")</f>
        <v>大夜</v>
      </c>
      <c r="AP4" s="271" t="str">
        <f>IF((ROW(AP4)-1)&lt;=日期輸入!$B$5,_xlfn.IFNA(IF(INDEX($A$1:$AG$40,MATCH($AM4,$B$1:$B$100,0),VALUE($AP$1+3))="成","補",INDEX($A$1:$AG$40,MATCH($AM4,$B$1:$B$100,0),VALUE($AP$1+3))),""),"")</f>
        <v>x</v>
      </c>
      <c r="AQ4" s="271" t="str">
        <f>IF((ROW(AQ4)-1)&lt;=日期輸入!$B$5,_xlfn.IFNA(IF(INDEX($A$1:$AG$40,MATCH($AM4,$B$1:$B$100,0),VALUE($AQ$1+3))="成","補",INDEX($A$1:$AG$40,MATCH($AM4,$B$1:$B$100,0),VALUE($AQ$1+3))),""),"")</f>
        <v>值1早</v>
      </c>
      <c r="AT4" s="270" t="str">
        <f>_xlfn.IFNA(  IF(  OR(  INDEX(   $A$1:$AG$38, MATCH(AL4,$A$1:$A$38,0),MATCH(  DAY(勤務分配表!$AN$1),$A$1:$AH$1,0  )  )="值1早",INDEX(   $A$1:$AG$38, MATCH(AL4,$A$1:$A$38,0),MATCH(  DAY(勤務分配表!$AN$1),$A$1:$AH$1,0  )  )="08-20"  ),"分隊長(E)18-20時內部管理", ""),"")</f>
        <v/>
      </c>
      <c r="AU4" s="270" t="str">
        <f>IF(  AT4&lt;&gt;"","。","")</f>
        <v/>
      </c>
    </row>
    <row r="5" spans="1:47">
      <c r="A5" s="271" t="str">
        <f>IF(  (ROW(A5)-1)&lt;=日期輸入!$B$5,勤務分配!A5,"")</f>
        <v>F</v>
      </c>
      <c r="B5" s="271" t="str">
        <f>_xlfn.IFNA(  INDEX(警職大表!$A$1:$AZ$100,MATCH(A5,警職大表!$A$1:$A$100,0),3),"")</f>
        <v>李佳萱</v>
      </c>
      <c r="C5" s="271" t="str">
        <f>_xlfn.IFNA(   IF(   IF(  INDEX(警職大表!$A$1:$AZ$100,MATCH($A5,警職大表!$A$1:$A$100,0),   MATCH(C$1,警職大表!$A$3:$AZ$3,0)  )=0,"",INDEX(警職大表!$A$1:$AZ$100,MATCH($A5,警職大表!$A$1:$A$100,0),   MATCH(C$1,警職大表!$A$3:$AZ$3,0)  )        )="",B5,  IF(  INDEX(警職大表!$A$1:$AZ$100,MATCH($A5,警職大表!$A$1:$A$100,0),   MATCH(C$1,警職大表!$A$3:$AZ$3,0)  )=0,"",INDEX(警職大表!$A$1:$AZ$100,MATCH($A5,警職大表!$A$1:$A$100,0),   MATCH(C$1,警職大表!$A$3:$AZ$3,0)  ) )    ),"")</f>
        <v>育嬰假</v>
      </c>
      <c r="D5" s="271" t="str">
        <f>_xlfn.IFNA(   IF(   IF(  INDEX(警職大表!$A$1:$AZ$100,MATCH($A5,警職大表!$A$1:$A$100,0),   MATCH(D$1,警職大表!$A$3:$AZ$3,0)  )=0,"",INDEX(警職大表!$A$1:$AZ$100,MATCH($A5,警職大表!$A$1:$A$100,0),   MATCH(D$1,警職大表!$A$3:$AZ$3,0)  )        )="",C5,  IF(  INDEX(警職大表!$A$1:$AZ$100,MATCH($A5,警職大表!$A$1:$A$100,0),   MATCH(D$1,警職大表!$A$3:$AZ$3,0)  )=0,"",INDEX(警職大表!$A$1:$AZ$100,MATCH($A5,警職大表!$A$1:$A$100,0),   MATCH(D$1,警職大表!$A$3:$AZ$3,0)  ) )    ),"")</f>
        <v>育嬰假</v>
      </c>
      <c r="E5" s="271" t="str">
        <f>_xlfn.IFNA(   IF(   IF(  INDEX(警職大表!$A$1:$AZ$100,MATCH($A5,警職大表!$A$1:$A$100,0),   MATCH(E$1,警職大表!$A$3:$AZ$3,0)  )=0,"",INDEX(警職大表!$A$1:$AZ$100,MATCH($A5,警職大表!$A$1:$A$100,0),   MATCH(E$1,警職大表!$A$3:$AZ$3,0)  )        )="",D5,  IF(  INDEX(警職大表!$A$1:$AZ$100,MATCH($A5,警職大表!$A$1:$A$100,0),   MATCH(E$1,警職大表!$A$3:$AZ$3,0)  )=0,"",INDEX(警職大表!$A$1:$AZ$100,MATCH($A5,警職大表!$A$1:$A$100,0),   MATCH(E$1,警職大表!$A$3:$AZ$3,0)  ) )    ),"")</f>
        <v>育嬰假</v>
      </c>
      <c r="F5" s="271" t="str">
        <f>_xlfn.IFNA(   IF(   IF(  INDEX(警職大表!$A$1:$AZ$100,MATCH($A5,警職大表!$A$1:$A$100,0),   MATCH(F$1,警職大表!$A$3:$AZ$3,0)  )=0,"",INDEX(警職大表!$A$1:$AZ$100,MATCH($A5,警職大表!$A$1:$A$100,0),   MATCH(F$1,警職大表!$A$3:$AZ$3,0)  )        )="",E5,  IF(  INDEX(警職大表!$A$1:$AZ$100,MATCH($A5,警職大表!$A$1:$A$100,0),   MATCH(F$1,警職大表!$A$3:$AZ$3,0)  )=0,"",INDEX(警職大表!$A$1:$AZ$100,MATCH($A5,警職大表!$A$1:$A$100,0),   MATCH(F$1,警職大表!$A$3:$AZ$3,0)  ) )    ),"")</f>
        <v>育嬰假</v>
      </c>
      <c r="G5" s="271" t="str">
        <f>_xlfn.IFNA(   IF(   IF(  INDEX(警職大表!$A$1:$AZ$100,MATCH($A5,警職大表!$A$1:$A$100,0),   MATCH(G$1,警職大表!$A$3:$AZ$3,0)  )=0,"",INDEX(警職大表!$A$1:$AZ$100,MATCH($A5,警職大表!$A$1:$A$100,0),   MATCH(G$1,警職大表!$A$3:$AZ$3,0)  )        )="",F5,  IF(  INDEX(警職大表!$A$1:$AZ$100,MATCH($A5,警職大表!$A$1:$A$100,0),   MATCH(G$1,警職大表!$A$3:$AZ$3,0)  )=0,"",INDEX(警職大表!$A$1:$AZ$100,MATCH($A5,警職大表!$A$1:$A$100,0),   MATCH(G$1,警職大表!$A$3:$AZ$3,0)  ) )    ),"")</f>
        <v>育嬰假</v>
      </c>
      <c r="H5" s="271" t="str">
        <f>_xlfn.IFNA(   IF(   IF(  INDEX(警職大表!$A$1:$AZ$100,MATCH($A5,警職大表!$A$1:$A$100,0),   MATCH(H$1,警職大表!$A$3:$AZ$3,0)  )=0,"",INDEX(警職大表!$A$1:$AZ$100,MATCH($A5,警職大表!$A$1:$A$100,0),   MATCH(H$1,警職大表!$A$3:$AZ$3,0)  )        )="",G5,  IF(  INDEX(警職大表!$A$1:$AZ$100,MATCH($A5,警職大表!$A$1:$A$100,0),   MATCH(H$1,警職大表!$A$3:$AZ$3,0)  )=0,"",INDEX(警職大表!$A$1:$AZ$100,MATCH($A5,警職大表!$A$1:$A$100,0),   MATCH(H$1,警職大表!$A$3:$AZ$3,0)  ) )    ),"")</f>
        <v>育嬰假</v>
      </c>
      <c r="I5" s="271" t="str">
        <f>_xlfn.IFNA(   IF(   IF(  INDEX(警職大表!$A$1:$AZ$100,MATCH($A5,警職大表!$A$1:$A$100,0),   MATCH(I$1,警職大表!$A$3:$AZ$3,0)  )=0,"",INDEX(警職大表!$A$1:$AZ$100,MATCH($A5,警職大表!$A$1:$A$100,0),   MATCH(I$1,警職大表!$A$3:$AZ$3,0)  )        )="",H5,  IF(  INDEX(警職大表!$A$1:$AZ$100,MATCH($A5,警職大表!$A$1:$A$100,0),   MATCH(I$1,警職大表!$A$3:$AZ$3,0)  )=0,"",INDEX(警職大表!$A$1:$AZ$100,MATCH($A5,警職大表!$A$1:$A$100,0),   MATCH(I$1,警職大表!$A$3:$AZ$3,0)  ) )    ),"")</f>
        <v>育嬰假</v>
      </c>
      <c r="J5" s="271" t="str">
        <f>_xlfn.IFNA(   IF(   IF(  INDEX(警職大表!$A$1:$AZ$100,MATCH($A5,警職大表!$A$1:$A$100,0),   MATCH(J$1,警職大表!$A$3:$AZ$3,0)  )=0,"",INDEX(警職大表!$A$1:$AZ$100,MATCH($A5,警職大表!$A$1:$A$100,0),   MATCH(J$1,警職大表!$A$3:$AZ$3,0)  )        )="",I5,  IF(  INDEX(警職大表!$A$1:$AZ$100,MATCH($A5,警職大表!$A$1:$A$100,0),   MATCH(J$1,警職大表!$A$3:$AZ$3,0)  )=0,"",INDEX(警職大表!$A$1:$AZ$100,MATCH($A5,警職大表!$A$1:$A$100,0),   MATCH(J$1,警職大表!$A$3:$AZ$3,0)  ) )    ),"")</f>
        <v>育嬰假</v>
      </c>
      <c r="K5" s="271" t="str">
        <f>_xlfn.IFNA(   IF(   IF(  INDEX(警職大表!$A$1:$AZ$100,MATCH($A5,警職大表!$A$1:$A$100,0),   MATCH(K$1,警職大表!$A$3:$AZ$3,0)  )=0,"",INDEX(警職大表!$A$1:$AZ$100,MATCH($A5,警職大表!$A$1:$A$100,0),   MATCH(K$1,警職大表!$A$3:$AZ$3,0)  )        )="",J5,  IF(  INDEX(警職大表!$A$1:$AZ$100,MATCH($A5,警職大表!$A$1:$A$100,0),   MATCH(K$1,警職大表!$A$3:$AZ$3,0)  )=0,"",INDEX(警職大表!$A$1:$AZ$100,MATCH($A5,警職大表!$A$1:$A$100,0),   MATCH(K$1,警職大表!$A$3:$AZ$3,0)  ) )    ),"")</f>
        <v>育嬰假</v>
      </c>
      <c r="L5" s="271" t="str">
        <f>_xlfn.IFNA(   IF(   IF(  INDEX(警職大表!$A$1:$AZ$100,MATCH($A5,警職大表!$A$1:$A$100,0),   MATCH(L$1,警職大表!$A$3:$AZ$3,0)  )=0,"",INDEX(警職大表!$A$1:$AZ$100,MATCH($A5,警職大表!$A$1:$A$100,0),   MATCH(L$1,警職大表!$A$3:$AZ$3,0)  )        )="",K5,  IF(  INDEX(警職大表!$A$1:$AZ$100,MATCH($A5,警職大表!$A$1:$A$100,0),   MATCH(L$1,警職大表!$A$3:$AZ$3,0)  )=0,"",INDEX(警職大表!$A$1:$AZ$100,MATCH($A5,警職大表!$A$1:$A$100,0),   MATCH(L$1,警職大表!$A$3:$AZ$3,0)  ) )    ),"")</f>
        <v>育嬰假</v>
      </c>
      <c r="M5" s="271" t="str">
        <f>_xlfn.IFNA(   IF(   IF(  INDEX(警職大表!$A$1:$AZ$100,MATCH($A5,警職大表!$A$1:$A$100,0),   MATCH(M$1,警職大表!$A$3:$AZ$3,0)  )=0,"",INDEX(警職大表!$A$1:$AZ$100,MATCH($A5,警職大表!$A$1:$A$100,0),   MATCH(M$1,警職大表!$A$3:$AZ$3,0)  )        )="",L5,  IF(  INDEX(警職大表!$A$1:$AZ$100,MATCH($A5,警職大表!$A$1:$A$100,0),   MATCH(M$1,警職大表!$A$3:$AZ$3,0)  )=0,"",INDEX(警職大表!$A$1:$AZ$100,MATCH($A5,警職大表!$A$1:$A$100,0),   MATCH(M$1,警職大表!$A$3:$AZ$3,0)  ) )    ),"")</f>
        <v>育嬰假</v>
      </c>
      <c r="N5" s="271" t="str">
        <f>_xlfn.IFNA(   IF(   IF(  INDEX(警職大表!$A$1:$AZ$100,MATCH($A5,警職大表!$A$1:$A$100,0),   MATCH(N$1,警職大表!$A$3:$AZ$3,0)  )=0,"",INDEX(警職大表!$A$1:$AZ$100,MATCH($A5,警職大表!$A$1:$A$100,0),   MATCH(N$1,警職大表!$A$3:$AZ$3,0)  )        )="",M5,  IF(  INDEX(警職大表!$A$1:$AZ$100,MATCH($A5,警職大表!$A$1:$A$100,0),   MATCH(N$1,警職大表!$A$3:$AZ$3,0)  )=0,"",INDEX(警職大表!$A$1:$AZ$100,MATCH($A5,警職大表!$A$1:$A$100,0),   MATCH(N$1,警職大表!$A$3:$AZ$3,0)  ) )    ),"")</f>
        <v>育嬰假</v>
      </c>
      <c r="O5" s="271" t="str">
        <f>_xlfn.IFNA(   IF(   IF(  INDEX(警職大表!$A$1:$AZ$100,MATCH($A5,警職大表!$A$1:$A$100,0),   MATCH(O$1,警職大表!$A$3:$AZ$3,0)  )=0,"",INDEX(警職大表!$A$1:$AZ$100,MATCH($A5,警職大表!$A$1:$A$100,0),   MATCH(O$1,警職大表!$A$3:$AZ$3,0)  )        )="",N5,  IF(  INDEX(警職大表!$A$1:$AZ$100,MATCH($A5,警職大表!$A$1:$A$100,0),   MATCH(O$1,警職大表!$A$3:$AZ$3,0)  )=0,"",INDEX(警職大表!$A$1:$AZ$100,MATCH($A5,警職大表!$A$1:$A$100,0),   MATCH(O$1,警職大表!$A$3:$AZ$3,0)  ) )    ),"")</f>
        <v>育嬰假</v>
      </c>
      <c r="P5" s="271" t="str">
        <f>_xlfn.IFNA(   IF(   IF(  INDEX(警職大表!$A$1:$AZ$100,MATCH($A5,警職大表!$A$1:$A$100,0),   MATCH(P$1,警職大表!$A$3:$AZ$3,0)  )=0,"",INDEX(警職大表!$A$1:$AZ$100,MATCH($A5,警職大表!$A$1:$A$100,0),   MATCH(P$1,警職大表!$A$3:$AZ$3,0)  )        )="",O5,  IF(  INDEX(警職大表!$A$1:$AZ$100,MATCH($A5,警職大表!$A$1:$A$100,0),   MATCH(P$1,警職大表!$A$3:$AZ$3,0)  )=0,"",INDEX(警職大表!$A$1:$AZ$100,MATCH($A5,警職大表!$A$1:$A$100,0),   MATCH(P$1,警職大表!$A$3:$AZ$3,0)  ) )    ),"")</f>
        <v>育嬰假</v>
      </c>
      <c r="Q5" s="271" t="str">
        <f>_xlfn.IFNA(   IF(   IF(  INDEX(警職大表!$A$1:$AZ$100,MATCH($A5,警職大表!$A$1:$A$100,0),   MATCH(Q$1,警職大表!$A$3:$AZ$3,0)  )=0,"",INDEX(警職大表!$A$1:$AZ$100,MATCH($A5,警職大表!$A$1:$A$100,0),   MATCH(Q$1,警職大表!$A$3:$AZ$3,0)  )        )="",P5,  IF(  INDEX(警職大表!$A$1:$AZ$100,MATCH($A5,警職大表!$A$1:$A$100,0),   MATCH(Q$1,警職大表!$A$3:$AZ$3,0)  )=0,"",INDEX(警職大表!$A$1:$AZ$100,MATCH($A5,警職大表!$A$1:$A$100,0),   MATCH(Q$1,警職大表!$A$3:$AZ$3,0)  ) )    ),"")</f>
        <v>育嬰假</v>
      </c>
      <c r="R5" s="271" t="str">
        <f>_xlfn.IFNA(   IF(   IF(  INDEX(警職大表!$A$1:$AZ$100,MATCH($A5,警職大表!$A$1:$A$100,0),   MATCH(R$1,警職大表!$A$3:$AZ$3,0)  )=0,"",INDEX(警職大表!$A$1:$AZ$100,MATCH($A5,警職大表!$A$1:$A$100,0),   MATCH(R$1,警職大表!$A$3:$AZ$3,0)  )        )="",Q5,  IF(  INDEX(警職大表!$A$1:$AZ$100,MATCH($A5,警職大表!$A$1:$A$100,0),   MATCH(R$1,警職大表!$A$3:$AZ$3,0)  )=0,"",INDEX(警職大表!$A$1:$AZ$100,MATCH($A5,警職大表!$A$1:$A$100,0),   MATCH(R$1,警職大表!$A$3:$AZ$3,0)  ) )    ),"")</f>
        <v>育嬰假</v>
      </c>
      <c r="S5" s="271" t="str">
        <f>_xlfn.IFNA(   IF(   IF(  INDEX(警職大表!$A$1:$AZ$100,MATCH($A5,警職大表!$A$1:$A$100,0),   MATCH(S$1,警職大表!$A$3:$AZ$3,0)  )=0,"",INDEX(警職大表!$A$1:$AZ$100,MATCH($A5,警職大表!$A$1:$A$100,0),   MATCH(S$1,警職大表!$A$3:$AZ$3,0)  )        )="",R5,  IF(  INDEX(警職大表!$A$1:$AZ$100,MATCH($A5,警職大表!$A$1:$A$100,0),   MATCH(S$1,警職大表!$A$3:$AZ$3,0)  )=0,"",INDEX(警職大表!$A$1:$AZ$100,MATCH($A5,警職大表!$A$1:$A$100,0),   MATCH(S$1,警職大表!$A$3:$AZ$3,0)  ) )    ),"")</f>
        <v>育嬰假</v>
      </c>
      <c r="T5" s="271" t="str">
        <f>_xlfn.IFNA(   IF(   IF(  INDEX(警職大表!$A$1:$AZ$100,MATCH($A5,警職大表!$A$1:$A$100,0),   MATCH(T$1,警職大表!$A$3:$AZ$3,0)  )=0,"",INDEX(警職大表!$A$1:$AZ$100,MATCH($A5,警職大表!$A$1:$A$100,0),   MATCH(T$1,警職大表!$A$3:$AZ$3,0)  )        )="",S5,  IF(  INDEX(警職大表!$A$1:$AZ$100,MATCH($A5,警職大表!$A$1:$A$100,0),   MATCH(T$1,警職大表!$A$3:$AZ$3,0)  )=0,"",INDEX(警職大表!$A$1:$AZ$100,MATCH($A5,警職大表!$A$1:$A$100,0),   MATCH(T$1,警職大表!$A$3:$AZ$3,0)  ) )    ),"")</f>
        <v>育嬰假</v>
      </c>
      <c r="U5" s="271" t="str">
        <f>_xlfn.IFNA(   IF(   IF(  INDEX(警職大表!$A$1:$AZ$100,MATCH($A5,警職大表!$A$1:$A$100,0),   MATCH(U$1,警職大表!$A$3:$AZ$3,0)  )=0,"",INDEX(警職大表!$A$1:$AZ$100,MATCH($A5,警職大表!$A$1:$A$100,0),   MATCH(U$1,警職大表!$A$3:$AZ$3,0)  )        )="",T5,  IF(  INDEX(警職大表!$A$1:$AZ$100,MATCH($A5,警職大表!$A$1:$A$100,0),   MATCH(U$1,警職大表!$A$3:$AZ$3,0)  )=0,"",INDEX(警職大表!$A$1:$AZ$100,MATCH($A5,警職大表!$A$1:$A$100,0),   MATCH(U$1,警職大表!$A$3:$AZ$3,0)  ) )    ),"")</f>
        <v>育嬰假</v>
      </c>
      <c r="V5" s="271" t="str">
        <f>_xlfn.IFNA(   IF(   IF(  INDEX(警職大表!$A$1:$AZ$100,MATCH($A5,警職大表!$A$1:$A$100,0),   MATCH(V$1,警職大表!$A$3:$AZ$3,0)  )=0,"",INDEX(警職大表!$A$1:$AZ$100,MATCH($A5,警職大表!$A$1:$A$100,0),   MATCH(V$1,警職大表!$A$3:$AZ$3,0)  )        )="",U5,  IF(  INDEX(警職大表!$A$1:$AZ$100,MATCH($A5,警職大表!$A$1:$A$100,0),   MATCH(V$1,警職大表!$A$3:$AZ$3,0)  )=0,"",INDEX(警職大表!$A$1:$AZ$100,MATCH($A5,警職大表!$A$1:$A$100,0),   MATCH(V$1,警職大表!$A$3:$AZ$3,0)  ) )    ),"")</f>
        <v>育嬰假</v>
      </c>
      <c r="W5" s="271" t="str">
        <f>_xlfn.IFNA(   IF(   IF(  INDEX(警職大表!$A$1:$AZ$100,MATCH($A5,警職大表!$A$1:$A$100,0),   MATCH(W$1,警職大表!$A$3:$AZ$3,0)  )=0,"",INDEX(警職大表!$A$1:$AZ$100,MATCH($A5,警職大表!$A$1:$A$100,0),   MATCH(W$1,警職大表!$A$3:$AZ$3,0)  )        )="",V5,  IF(  INDEX(警職大表!$A$1:$AZ$100,MATCH($A5,警職大表!$A$1:$A$100,0),   MATCH(W$1,警職大表!$A$3:$AZ$3,0)  )=0,"",INDEX(警職大表!$A$1:$AZ$100,MATCH($A5,警職大表!$A$1:$A$100,0),   MATCH(W$1,警職大表!$A$3:$AZ$3,0)  ) )    ),"")</f>
        <v>育嬰假</v>
      </c>
      <c r="X5" s="271" t="str">
        <f>_xlfn.IFNA(   IF(   IF(  INDEX(警職大表!$A$1:$AZ$100,MATCH($A5,警職大表!$A$1:$A$100,0),   MATCH(X$1,警職大表!$A$3:$AZ$3,0)  )=0,"",INDEX(警職大表!$A$1:$AZ$100,MATCH($A5,警職大表!$A$1:$A$100,0),   MATCH(X$1,警職大表!$A$3:$AZ$3,0)  )        )="",W5,  IF(  INDEX(警職大表!$A$1:$AZ$100,MATCH($A5,警職大表!$A$1:$A$100,0),   MATCH(X$1,警職大表!$A$3:$AZ$3,0)  )=0,"",INDEX(警職大表!$A$1:$AZ$100,MATCH($A5,警職大表!$A$1:$A$100,0),   MATCH(X$1,警職大表!$A$3:$AZ$3,0)  ) )    ),"")</f>
        <v>育嬰假</v>
      </c>
      <c r="Y5" s="271" t="str">
        <f>_xlfn.IFNA(   IF(   IF(  INDEX(警職大表!$A$1:$AZ$100,MATCH($A5,警職大表!$A$1:$A$100,0),   MATCH(Y$1,警職大表!$A$3:$AZ$3,0)  )=0,"",INDEX(警職大表!$A$1:$AZ$100,MATCH($A5,警職大表!$A$1:$A$100,0),   MATCH(Y$1,警職大表!$A$3:$AZ$3,0)  )        )="",X5,  IF(  INDEX(警職大表!$A$1:$AZ$100,MATCH($A5,警職大表!$A$1:$A$100,0),   MATCH(Y$1,警職大表!$A$3:$AZ$3,0)  )=0,"",INDEX(警職大表!$A$1:$AZ$100,MATCH($A5,警職大表!$A$1:$A$100,0),   MATCH(Y$1,警職大表!$A$3:$AZ$3,0)  ) )    ),"")</f>
        <v>育嬰假</v>
      </c>
      <c r="Z5" s="271" t="str">
        <f>_xlfn.IFNA(   IF(   IF(  INDEX(警職大表!$A$1:$AZ$100,MATCH($A5,警職大表!$A$1:$A$100,0),   MATCH(Z$1,警職大表!$A$3:$AZ$3,0)  )=0,"",INDEX(警職大表!$A$1:$AZ$100,MATCH($A5,警職大表!$A$1:$A$100,0),   MATCH(Z$1,警職大表!$A$3:$AZ$3,0)  )        )="",Y5,  IF(  INDEX(警職大表!$A$1:$AZ$100,MATCH($A5,警職大表!$A$1:$A$100,0),   MATCH(Z$1,警職大表!$A$3:$AZ$3,0)  )=0,"",INDEX(警職大表!$A$1:$AZ$100,MATCH($A5,警職大表!$A$1:$A$100,0),   MATCH(Z$1,警職大表!$A$3:$AZ$3,0)  ) )    ),"")</f>
        <v>育嬰假</v>
      </c>
      <c r="AA5" s="271" t="str">
        <f>_xlfn.IFNA(   IF(   IF(  INDEX(警職大表!$A$1:$AZ$100,MATCH($A5,警職大表!$A$1:$A$100,0),   MATCH(AA$1,警職大表!$A$3:$AZ$3,0)  )=0,"",INDEX(警職大表!$A$1:$AZ$100,MATCH($A5,警職大表!$A$1:$A$100,0),   MATCH(AA$1,警職大表!$A$3:$AZ$3,0)  )        )="",Z5,  IF(  INDEX(警職大表!$A$1:$AZ$100,MATCH($A5,警職大表!$A$1:$A$100,0),   MATCH(AA$1,警職大表!$A$3:$AZ$3,0)  )=0,"",INDEX(警職大表!$A$1:$AZ$100,MATCH($A5,警職大表!$A$1:$A$100,0),   MATCH(AA$1,警職大表!$A$3:$AZ$3,0)  ) )    ),"")</f>
        <v>育嬰假</v>
      </c>
      <c r="AB5" s="271" t="str">
        <f>_xlfn.IFNA(   IF(   IF(  INDEX(警職大表!$A$1:$AZ$100,MATCH($A5,警職大表!$A$1:$A$100,0),   MATCH(AB$1,警職大表!$A$3:$AZ$3,0)  )=0,"",INDEX(警職大表!$A$1:$AZ$100,MATCH($A5,警職大表!$A$1:$A$100,0),   MATCH(AB$1,警職大表!$A$3:$AZ$3,0)  )        )="",AA5,  IF(  INDEX(警職大表!$A$1:$AZ$100,MATCH($A5,警職大表!$A$1:$A$100,0),   MATCH(AB$1,警職大表!$A$3:$AZ$3,0)  )=0,"",INDEX(警職大表!$A$1:$AZ$100,MATCH($A5,警職大表!$A$1:$A$100,0),   MATCH(AB$1,警職大表!$A$3:$AZ$3,0)  ) )    ),"")</f>
        <v>育嬰假</v>
      </c>
      <c r="AC5" s="271" t="str">
        <f>_xlfn.IFNA(   IF(   IF(  INDEX(警職大表!$A$1:$AZ$100,MATCH($A5,警職大表!$A$1:$A$100,0),   MATCH(AC$1,警職大表!$A$3:$AZ$3,0)  )=0,"",INDEX(警職大表!$A$1:$AZ$100,MATCH($A5,警職大表!$A$1:$A$100,0),   MATCH(AC$1,警職大表!$A$3:$AZ$3,0)  )        )="",AB5,  IF(  INDEX(警職大表!$A$1:$AZ$100,MATCH($A5,警職大表!$A$1:$A$100,0),   MATCH(AC$1,警職大表!$A$3:$AZ$3,0)  )=0,"",INDEX(警職大表!$A$1:$AZ$100,MATCH($A5,警職大表!$A$1:$A$100,0),   MATCH(AC$1,警職大表!$A$3:$AZ$3,0)  ) )    ),"")</f>
        <v>育嬰假</v>
      </c>
      <c r="AD5" s="271" t="str">
        <f>_xlfn.IFNA(   IF(   IF(  INDEX(警職大表!$A$1:$AZ$100,MATCH($A5,警職大表!$A$1:$A$100,0),   MATCH(AD$1,警職大表!$A$3:$AZ$3,0)  )=0,"",INDEX(警職大表!$A$1:$AZ$100,MATCH($A5,警職大表!$A$1:$A$100,0),   MATCH(AD$1,警職大表!$A$3:$AZ$3,0)  )        )="",AC5,  IF(  INDEX(警職大表!$A$1:$AZ$100,MATCH($A5,警職大表!$A$1:$A$100,0),   MATCH(AD$1,警職大表!$A$3:$AZ$3,0)  )=0,"",INDEX(警職大表!$A$1:$AZ$100,MATCH($A5,警職大表!$A$1:$A$100,0),   MATCH(AD$1,警職大表!$A$3:$AZ$3,0)  ) )    ),"")</f>
        <v>育嬰假</v>
      </c>
      <c r="AE5" s="271" t="str">
        <f>_xlfn.IFNA(   IF(   IF(  INDEX(警職大表!$A$1:$AZ$100,MATCH($A5,警職大表!$A$1:$A$100,0),   MATCH(AE$1,警職大表!$A$3:$AZ$3,0)  )=0,"",INDEX(警職大表!$A$1:$AZ$100,MATCH($A5,警職大表!$A$1:$A$100,0),   MATCH(AE$1,警職大表!$A$3:$AZ$3,0)  )        )="",AD5,  IF(  INDEX(警職大表!$A$1:$AZ$100,MATCH($A5,警職大表!$A$1:$A$100,0),   MATCH(AE$1,警職大表!$A$3:$AZ$3,0)  )=0,"",INDEX(警職大表!$A$1:$AZ$100,MATCH($A5,警職大表!$A$1:$A$100,0),   MATCH(AE$1,警職大表!$A$3:$AZ$3,0)  ) )    ),"")</f>
        <v>育嬰假</v>
      </c>
      <c r="AF5" s="271" t="str">
        <f>_xlfn.IFNA(   IF(   IF(  INDEX(警職大表!$A$1:$AZ$100,MATCH($A5,警職大表!$A$1:$A$100,0),   MATCH(AF$1,警職大表!$A$3:$AZ$3,0)  )=0,"",INDEX(警職大表!$A$1:$AZ$100,MATCH($A5,警職大表!$A$1:$A$100,0),   MATCH(AF$1,警職大表!$A$3:$AZ$3,0)  )        )="",AE5,  IF(  INDEX(警職大表!$A$1:$AZ$100,MATCH($A5,警職大表!$A$1:$A$100,0),   MATCH(AF$1,警職大表!$A$3:$AZ$3,0)  )=0,"",INDEX(警職大表!$A$1:$AZ$100,MATCH($A5,警職大表!$A$1:$A$100,0),   MATCH(AF$1,警職大表!$A$3:$AZ$3,0)  ) )    ),"")</f>
        <v>育嬰假</v>
      </c>
      <c r="AG5" s="271" t="str">
        <f>_xlfn.IFNA(   IF(   IF(  INDEX(警職大表!$A$1:$AZ$100,MATCH($A5,警職大表!$A$1:$A$100,0),   MATCH(AG$1,警職大表!$A$3:$AZ$3,0)  )=0,"",INDEX(警職大表!$A$1:$AZ$100,MATCH($A5,警職大表!$A$1:$A$100,0),   MATCH(AG$1,警職大表!$A$3:$AZ$3,0)  )        )="",AF5,  IF(  INDEX(警職大表!$A$1:$AZ$100,MATCH($A5,警職大表!$A$1:$A$100,0),   MATCH(AG$1,警職大表!$A$3:$AZ$3,0)  )=0,"",INDEX(警職大表!$A$1:$AZ$100,MATCH($A5,警職大表!$A$1:$A$100,0),   MATCH(AG$1,警職大表!$A$3:$AZ$3,0)  ) )    ),"")</f>
        <v>育嬰假</v>
      </c>
      <c r="AL5" s="271" t="str">
        <f t="shared" si="0"/>
        <v>F</v>
      </c>
      <c r="AM5" s="271" t="str">
        <f t="shared" si="1"/>
        <v>李佳萱</v>
      </c>
      <c r="AN5" s="271" t="str">
        <f>INDEX(   $A$41:$AG$78, MATCH(AL5,$A$41:$A$78,0),MATCH(  DAY(勤務分配表!$AN$1),$A$41:$AL$41,0  )  )</f>
        <v>育嬰假</v>
      </c>
      <c r="AO5" s="271" t="str">
        <f>IF((ROW(AO5)-1)&lt;=日期輸入!$B$5,_xlfn.IFNA(IF(INDEX($A$1:$AG$40,MATCH($AM5,$B$1:$B$100,0),VALUE($AO$1+3))="成","補",INDEX($A$1:$AG$40,MATCH($AM5,$B$1:$B$100,0),VALUE($AO$1+3))),""),"")</f>
        <v>育嬰假</v>
      </c>
      <c r="AP5" s="271" t="str">
        <f>IF((ROW(AP5)-1)&lt;=日期輸入!$B$5,_xlfn.IFNA(IF(INDEX($A$1:$AG$40,MATCH($AM5,$B$1:$B$100,0),VALUE($AP$1+3))="成","補",INDEX($A$1:$AG$40,MATCH($AM5,$B$1:$B$100,0),VALUE($AP$1+3))),""),"")</f>
        <v>育嬰假</v>
      </c>
      <c r="AQ5" s="271" t="str">
        <f>IF((ROW(AQ5)-1)&lt;=日期輸入!$B$5,_xlfn.IFNA(IF(INDEX($A$1:$AG$40,MATCH($AM5,$B$1:$B$100,0),VALUE($AQ$1+3))="成","補",INDEX($A$1:$AG$40,MATCH($AM5,$B$1:$B$100,0),VALUE($AQ$1+3))),""),"")</f>
        <v>育嬰假</v>
      </c>
    </row>
    <row r="6" spans="1:47">
      <c r="A6" s="271" t="str">
        <f>IF(  (ROW(A6)-1)&lt;=日期輸入!$B$5,勤務分配!A6,"")</f>
        <v>I</v>
      </c>
      <c r="B6" s="271" t="str">
        <f>_xlfn.IFNA(  INDEX(警職大表!$A$1:$AZ$100,MATCH(A6,警職大表!$A$1:$A$100,0),3),"")</f>
        <v>王志鋒</v>
      </c>
      <c r="C6" s="271" t="str">
        <f>_xlfn.IFNA(   IF(   IF(  INDEX(警職大表!$A$1:$AZ$100,MATCH($A6,警職大表!$A$1:$A$100,0),   MATCH(C$1,警職大表!$A$3:$AZ$3,0)  )=0,"",INDEX(警職大表!$A$1:$AZ$100,MATCH($A6,警職大表!$A$1:$A$100,0),   MATCH(C$1,警職大表!$A$3:$AZ$3,0)  )        )="",B6,  IF(  INDEX(警職大表!$A$1:$AZ$100,MATCH($A6,警職大表!$A$1:$A$100,0),   MATCH(C$1,警職大表!$A$3:$AZ$3,0)  )=0,"",INDEX(警職大表!$A$1:$AZ$100,MATCH($A6,警職大表!$A$1:$A$100,0),   MATCH(C$1,警職大表!$A$3:$AZ$3,0)  ) )    ),"")</f>
        <v>值1</v>
      </c>
      <c r="D6" s="271" t="str">
        <f>_xlfn.IFNA(   IF(   IF(  INDEX(警職大表!$A$1:$AZ$100,MATCH($A6,警職大表!$A$1:$A$100,0),   MATCH(D$1,警職大表!$A$3:$AZ$3,0)  )=0,"",INDEX(警職大表!$A$1:$AZ$100,MATCH($A6,警職大表!$A$1:$A$100,0),   MATCH(D$1,警職大表!$A$3:$AZ$3,0)  )        )="",C6,  IF(  INDEX(警職大表!$A$1:$AZ$100,MATCH($A6,警職大表!$A$1:$A$100,0),   MATCH(D$1,警職大表!$A$3:$AZ$3,0)  )=0,"",INDEX(警職大表!$A$1:$AZ$100,MATCH($A6,警職大表!$A$1:$A$100,0),   MATCH(D$1,警職大表!$A$3:$AZ$3,0)  ) )    ),"")</f>
        <v>值1</v>
      </c>
      <c r="E6" s="271" t="str">
        <f>_xlfn.IFNA(   IF(   IF(  INDEX(警職大表!$A$1:$AZ$100,MATCH($A6,警職大表!$A$1:$A$100,0),   MATCH(E$1,警職大表!$A$3:$AZ$3,0)  )=0,"",INDEX(警職大表!$A$1:$AZ$100,MATCH($A6,警職大表!$A$1:$A$100,0),   MATCH(E$1,警職大表!$A$3:$AZ$3,0)  )        )="",D6,  IF(  INDEX(警職大表!$A$1:$AZ$100,MATCH($A6,警職大表!$A$1:$A$100,0),   MATCH(E$1,警職大表!$A$3:$AZ$3,0)  )=0,"",INDEX(警職大表!$A$1:$AZ$100,MATCH($A6,警職大表!$A$1:$A$100,0),   MATCH(E$1,警職大表!$A$3:$AZ$3,0)  ) )    ),"")</f>
        <v>大夜</v>
      </c>
      <c r="F6" s="271" t="str">
        <f>_xlfn.IFNA(   IF(   IF(  INDEX(警職大表!$A$1:$AZ$100,MATCH($A6,警職大表!$A$1:$A$100,0),   MATCH(F$1,警職大表!$A$3:$AZ$3,0)  )=0,"",INDEX(警職大表!$A$1:$AZ$100,MATCH($A6,警職大表!$A$1:$A$100,0),   MATCH(F$1,警職大表!$A$3:$AZ$3,0)  )        )="",E6,  IF(  INDEX(警職大表!$A$1:$AZ$100,MATCH($A6,警職大表!$A$1:$A$100,0),   MATCH(F$1,警職大表!$A$3:$AZ$3,0)  )=0,"",INDEX(警職大表!$A$1:$AZ$100,MATCH($A6,警職大表!$A$1:$A$100,0),   MATCH(F$1,警職大表!$A$3:$AZ$3,0)  ) )    ),"")</f>
        <v>x</v>
      </c>
      <c r="G6" s="271" t="str">
        <f>_xlfn.IFNA(   IF(   IF(  INDEX(警職大表!$A$1:$AZ$100,MATCH($A6,警職大表!$A$1:$A$100,0),   MATCH(G$1,警職大表!$A$3:$AZ$3,0)  )=0,"",INDEX(警職大表!$A$1:$AZ$100,MATCH($A6,警職大表!$A$1:$A$100,0),   MATCH(G$1,警職大表!$A$3:$AZ$3,0)  )        )="",F6,  IF(  INDEX(警職大表!$A$1:$AZ$100,MATCH($A6,警職大表!$A$1:$A$100,0),   MATCH(G$1,警職大表!$A$3:$AZ$3,0)  )=0,"",INDEX(警職大表!$A$1:$AZ$100,MATCH($A6,警職大表!$A$1:$A$100,0),   MATCH(G$1,警職大表!$A$3:$AZ$3,0)  ) )    ),"")</f>
        <v>x</v>
      </c>
      <c r="H6" s="271" t="str">
        <f>_xlfn.IFNA(   IF(   IF(  INDEX(警職大表!$A$1:$AZ$100,MATCH($A6,警職大表!$A$1:$A$100,0),   MATCH(H$1,警職大表!$A$3:$AZ$3,0)  )=0,"",INDEX(警職大表!$A$1:$AZ$100,MATCH($A6,警職大表!$A$1:$A$100,0),   MATCH(H$1,警職大表!$A$3:$AZ$3,0)  )        )="",G6,  IF(  INDEX(警職大表!$A$1:$AZ$100,MATCH($A6,警職大表!$A$1:$A$100,0),   MATCH(H$1,警職大表!$A$3:$AZ$3,0)  )=0,"",INDEX(警職大表!$A$1:$AZ$100,MATCH($A6,警職大表!$A$1:$A$100,0),   MATCH(H$1,警職大表!$A$3:$AZ$3,0)  ) )    ),"")</f>
        <v>x</v>
      </c>
      <c r="I6" s="271" t="str">
        <f>_xlfn.IFNA(   IF(   IF(  INDEX(警職大表!$A$1:$AZ$100,MATCH($A6,警職大表!$A$1:$A$100,0),   MATCH(I$1,警職大表!$A$3:$AZ$3,0)  )=0,"",INDEX(警職大表!$A$1:$AZ$100,MATCH($A6,警職大表!$A$1:$A$100,0),   MATCH(I$1,警職大表!$A$3:$AZ$3,0)  )        )="",H6,  IF(  INDEX(警職大表!$A$1:$AZ$100,MATCH($A6,警職大表!$A$1:$A$100,0),   MATCH(I$1,警職大表!$A$3:$AZ$3,0)  )=0,"",INDEX(警職大表!$A$1:$AZ$100,MATCH($A6,警職大表!$A$1:$A$100,0),   MATCH(I$1,警職大表!$A$3:$AZ$3,0)  ) )    ),"")</f>
        <v>x</v>
      </c>
      <c r="J6" s="271" t="str">
        <f>_xlfn.IFNA(   IF(   IF(  INDEX(警職大表!$A$1:$AZ$100,MATCH($A6,警職大表!$A$1:$A$100,0),   MATCH(J$1,警職大表!$A$3:$AZ$3,0)  )=0,"",INDEX(警職大表!$A$1:$AZ$100,MATCH($A6,警職大表!$A$1:$A$100,0),   MATCH(J$1,警職大表!$A$3:$AZ$3,0)  )        )="",I6,  IF(  INDEX(警職大表!$A$1:$AZ$100,MATCH($A6,警職大表!$A$1:$A$100,0),   MATCH(J$1,警職大表!$A$3:$AZ$3,0)  )=0,"",INDEX(警職大表!$A$1:$AZ$100,MATCH($A6,警職大表!$A$1:$A$100,0),   MATCH(J$1,警職大表!$A$3:$AZ$3,0)  ) )    ),"")</f>
        <v>x</v>
      </c>
      <c r="K6" s="271" t="str">
        <f>_xlfn.IFNA(   IF(   IF(  INDEX(警職大表!$A$1:$AZ$100,MATCH($A6,警職大表!$A$1:$A$100,0),   MATCH(K$1,警職大表!$A$3:$AZ$3,0)  )=0,"",INDEX(警職大表!$A$1:$AZ$100,MATCH($A6,警職大表!$A$1:$A$100,0),   MATCH(K$1,警職大表!$A$3:$AZ$3,0)  )        )="",J6,  IF(  INDEX(警職大表!$A$1:$AZ$100,MATCH($A6,警職大表!$A$1:$A$100,0),   MATCH(K$1,警職大表!$A$3:$AZ$3,0)  )=0,"",INDEX(警職大表!$A$1:$AZ$100,MATCH($A6,警職大表!$A$1:$A$100,0),   MATCH(K$1,警職大表!$A$3:$AZ$3,0)  ) )    ),"")</f>
        <v>x</v>
      </c>
      <c r="L6" s="271" t="str">
        <f>_xlfn.IFNA(   IF(   IF(  INDEX(警職大表!$A$1:$AZ$100,MATCH($A6,警職大表!$A$1:$A$100,0),   MATCH(L$1,警職大表!$A$3:$AZ$3,0)  )=0,"",INDEX(警職大表!$A$1:$AZ$100,MATCH($A6,警職大表!$A$1:$A$100,0),   MATCH(L$1,警職大表!$A$3:$AZ$3,0)  )        )="",K6,  IF(  INDEX(警職大表!$A$1:$AZ$100,MATCH($A6,警職大表!$A$1:$A$100,0),   MATCH(L$1,警職大表!$A$3:$AZ$3,0)  )=0,"",INDEX(警職大表!$A$1:$AZ$100,MATCH($A6,警職大表!$A$1:$A$100,0),   MATCH(L$1,警職大表!$A$3:$AZ$3,0)  ) )    ),"")</f>
        <v>x</v>
      </c>
      <c r="M6" s="271" t="str">
        <f>_xlfn.IFNA(   IF(   IF(  INDEX(警職大表!$A$1:$AZ$100,MATCH($A6,警職大表!$A$1:$A$100,0),   MATCH(M$1,警職大表!$A$3:$AZ$3,0)  )=0,"",INDEX(警職大表!$A$1:$AZ$100,MATCH($A6,警職大表!$A$1:$A$100,0),   MATCH(M$1,警職大表!$A$3:$AZ$3,0)  )        )="",L6,  IF(  INDEX(警職大表!$A$1:$AZ$100,MATCH($A6,警職大表!$A$1:$A$100,0),   MATCH(M$1,警職大表!$A$3:$AZ$3,0)  )=0,"",INDEX(警職大表!$A$1:$AZ$100,MATCH($A6,警職大表!$A$1:$A$100,0),   MATCH(M$1,警職大表!$A$3:$AZ$3,0)  ) )    ),"")</f>
        <v>x</v>
      </c>
      <c r="N6" s="271" t="str">
        <f>_xlfn.IFNA(   IF(   IF(  INDEX(警職大表!$A$1:$AZ$100,MATCH($A6,警職大表!$A$1:$A$100,0),   MATCH(N$1,警職大表!$A$3:$AZ$3,0)  )=0,"",INDEX(警職大表!$A$1:$AZ$100,MATCH($A6,警職大表!$A$1:$A$100,0),   MATCH(N$1,警職大表!$A$3:$AZ$3,0)  )        )="",M6,  IF(  INDEX(警職大表!$A$1:$AZ$100,MATCH($A6,警職大表!$A$1:$A$100,0),   MATCH(N$1,警職大表!$A$3:$AZ$3,0)  )=0,"",INDEX(警職大表!$A$1:$AZ$100,MATCH($A6,警職大表!$A$1:$A$100,0),   MATCH(N$1,警職大表!$A$3:$AZ$3,0)  ) )    ),"")</f>
        <v>x</v>
      </c>
      <c r="O6" s="271" t="str">
        <f>_xlfn.IFNA(   IF(   IF(  INDEX(警職大表!$A$1:$AZ$100,MATCH($A6,警職大表!$A$1:$A$100,0),   MATCH(O$1,警職大表!$A$3:$AZ$3,0)  )=0,"",INDEX(警職大表!$A$1:$AZ$100,MATCH($A6,警職大表!$A$1:$A$100,0),   MATCH(O$1,警職大表!$A$3:$AZ$3,0)  )        )="",N6,  IF(  INDEX(警職大表!$A$1:$AZ$100,MATCH($A6,警職大表!$A$1:$A$100,0),   MATCH(O$1,警職大表!$A$3:$AZ$3,0)  )=0,"",INDEX(警職大表!$A$1:$AZ$100,MATCH($A6,警職大表!$A$1:$A$100,0),   MATCH(O$1,警職大表!$A$3:$AZ$3,0)  ) )    ),"")</f>
        <v>x</v>
      </c>
      <c r="P6" s="271" t="str">
        <f>_xlfn.IFNA(   IF(   IF(  INDEX(警職大表!$A$1:$AZ$100,MATCH($A6,警職大表!$A$1:$A$100,0),   MATCH(P$1,警職大表!$A$3:$AZ$3,0)  )=0,"",INDEX(警職大表!$A$1:$AZ$100,MATCH($A6,警職大表!$A$1:$A$100,0),   MATCH(P$1,警職大表!$A$3:$AZ$3,0)  )        )="",O6,  IF(  INDEX(警職大表!$A$1:$AZ$100,MATCH($A6,警職大表!$A$1:$A$100,0),   MATCH(P$1,警職大表!$A$3:$AZ$3,0)  )=0,"",INDEX(警職大表!$A$1:$AZ$100,MATCH($A6,警職大表!$A$1:$A$100,0),   MATCH(P$1,警職大表!$A$3:$AZ$3,0)  ) )    ),"")</f>
        <v>x</v>
      </c>
      <c r="Q6" s="271" t="str">
        <f>_xlfn.IFNA(   IF(   IF(  INDEX(警職大表!$A$1:$AZ$100,MATCH($A6,警職大表!$A$1:$A$100,0),   MATCH(Q$1,警職大表!$A$3:$AZ$3,0)  )=0,"",INDEX(警職大表!$A$1:$AZ$100,MATCH($A6,警職大表!$A$1:$A$100,0),   MATCH(Q$1,警職大表!$A$3:$AZ$3,0)  )        )="",P6,  IF(  INDEX(警職大表!$A$1:$AZ$100,MATCH($A6,警職大表!$A$1:$A$100,0),   MATCH(Q$1,警職大表!$A$3:$AZ$3,0)  )=0,"",INDEX(警職大表!$A$1:$AZ$100,MATCH($A6,警職大表!$A$1:$A$100,0),   MATCH(Q$1,警職大表!$A$3:$AZ$3,0)  ) )    ),"")</f>
        <v>x</v>
      </c>
      <c r="R6" s="271" t="str">
        <f>_xlfn.IFNA(   IF(   IF(  INDEX(警職大表!$A$1:$AZ$100,MATCH($A6,警職大表!$A$1:$A$100,0),   MATCH(R$1,警職大表!$A$3:$AZ$3,0)  )=0,"",INDEX(警職大表!$A$1:$AZ$100,MATCH($A6,警職大表!$A$1:$A$100,0),   MATCH(R$1,警職大表!$A$3:$AZ$3,0)  )        )="",Q6,  IF(  INDEX(警職大表!$A$1:$AZ$100,MATCH($A6,警職大表!$A$1:$A$100,0),   MATCH(R$1,警職大表!$A$3:$AZ$3,0)  )=0,"",INDEX(警職大表!$A$1:$AZ$100,MATCH($A6,警職大表!$A$1:$A$100,0),   MATCH(R$1,警職大表!$A$3:$AZ$3,0)  ) )    ),"")</f>
        <v>夜值</v>
      </c>
      <c r="S6" s="271" t="str">
        <f>_xlfn.IFNA(   IF(   IF(  INDEX(警職大表!$A$1:$AZ$100,MATCH($A6,警職大表!$A$1:$A$100,0),   MATCH(S$1,警職大表!$A$3:$AZ$3,0)  )=0,"",INDEX(警職大表!$A$1:$AZ$100,MATCH($A6,警職大表!$A$1:$A$100,0),   MATCH(S$1,警職大表!$A$3:$AZ$3,0)  )        )="",R6,  IF(  INDEX(警職大表!$A$1:$AZ$100,MATCH($A6,警職大表!$A$1:$A$100,0),   MATCH(S$1,警職大表!$A$3:$AZ$3,0)  )=0,"",INDEX(警職大表!$A$1:$AZ$100,MATCH($A6,警職大表!$A$1:$A$100,0),   MATCH(S$1,警職大表!$A$3:$AZ$3,0)  ) )    ),"")</f>
        <v>X</v>
      </c>
      <c r="T6" s="271" t="str">
        <f>_xlfn.IFNA(   IF(   IF(  INDEX(警職大表!$A$1:$AZ$100,MATCH($A6,警職大表!$A$1:$A$100,0),   MATCH(T$1,警職大表!$A$3:$AZ$3,0)  )=0,"",INDEX(警職大表!$A$1:$AZ$100,MATCH($A6,警職大表!$A$1:$A$100,0),   MATCH(T$1,警職大表!$A$3:$AZ$3,0)  )        )="",S6,  IF(  INDEX(警職大表!$A$1:$AZ$100,MATCH($A6,警職大表!$A$1:$A$100,0),   MATCH(T$1,警職大表!$A$3:$AZ$3,0)  )=0,"",INDEX(警職大表!$A$1:$AZ$100,MATCH($A6,警職大表!$A$1:$A$100,0),   MATCH(T$1,警職大表!$A$3:$AZ$3,0)  ) )    ),"")</f>
        <v>X</v>
      </c>
      <c r="U6" s="271" t="str">
        <f>_xlfn.IFNA(   IF(   IF(  INDEX(警職大表!$A$1:$AZ$100,MATCH($A6,警職大表!$A$1:$A$100,0),   MATCH(U$1,警職大表!$A$3:$AZ$3,0)  )=0,"",INDEX(警職大表!$A$1:$AZ$100,MATCH($A6,警職大表!$A$1:$A$100,0),   MATCH(U$1,警職大表!$A$3:$AZ$3,0)  )        )="",T6,  IF(  INDEX(警職大表!$A$1:$AZ$100,MATCH($A6,警職大表!$A$1:$A$100,0),   MATCH(U$1,警職大表!$A$3:$AZ$3,0)  )=0,"",INDEX(警職大表!$A$1:$AZ$100,MATCH($A6,警職大表!$A$1:$A$100,0),   MATCH(U$1,警職大表!$A$3:$AZ$3,0)  ) )    ),"")</f>
        <v>X</v>
      </c>
      <c r="V6" s="271" t="str">
        <f>_xlfn.IFNA(   IF(   IF(  INDEX(警職大表!$A$1:$AZ$100,MATCH($A6,警職大表!$A$1:$A$100,0),   MATCH(V$1,警職大表!$A$3:$AZ$3,0)  )=0,"",INDEX(警職大表!$A$1:$AZ$100,MATCH($A6,警職大表!$A$1:$A$100,0),   MATCH(V$1,警職大表!$A$3:$AZ$3,0)  )        )="",U6,  IF(  INDEX(警職大表!$A$1:$AZ$100,MATCH($A6,警職大表!$A$1:$A$100,0),   MATCH(V$1,警職大表!$A$3:$AZ$3,0)  )=0,"",INDEX(警職大表!$A$1:$AZ$100,MATCH($A6,警職大表!$A$1:$A$100,0),   MATCH(V$1,警職大表!$A$3:$AZ$3,0)  ) )    ),"")</f>
        <v>X</v>
      </c>
      <c r="W6" s="271" t="str">
        <f>_xlfn.IFNA(   IF(   IF(  INDEX(警職大表!$A$1:$AZ$100,MATCH($A6,警職大表!$A$1:$A$100,0),   MATCH(W$1,警職大表!$A$3:$AZ$3,0)  )=0,"",INDEX(警職大表!$A$1:$AZ$100,MATCH($A6,警職大表!$A$1:$A$100,0),   MATCH(W$1,警職大表!$A$3:$AZ$3,0)  )        )="",V6,  IF(  INDEX(警職大表!$A$1:$AZ$100,MATCH($A6,警職大表!$A$1:$A$100,0),   MATCH(W$1,警職大表!$A$3:$AZ$3,0)  )=0,"",INDEX(警職大表!$A$1:$AZ$100,MATCH($A6,警職大表!$A$1:$A$100,0),   MATCH(W$1,警職大表!$A$3:$AZ$3,0)  ) )    ),"")</f>
        <v>X</v>
      </c>
      <c r="X6" s="271" t="str">
        <f>_xlfn.IFNA(   IF(   IF(  INDEX(警職大表!$A$1:$AZ$100,MATCH($A6,警職大表!$A$1:$A$100,0),   MATCH(X$1,警職大表!$A$3:$AZ$3,0)  )=0,"",INDEX(警職大表!$A$1:$AZ$100,MATCH($A6,警職大表!$A$1:$A$100,0),   MATCH(X$1,警職大表!$A$3:$AZ$3,0)  )        )="",W6,  IF(  INDEX(警職大表!$A$1:$AZ$100,MATCH($A6,警職大表!$A$1:$A$100,0),   MATCH(X$1,警職大表!$A$3:$AZ$3,0)  )=0,"",INDEX(警職大表!$A$1:$AZ$100,MATCH($A6,警職大表!$A$1:$A$100,0),   MATCH(X$1,警職大表!$A$3:$AZ$3,0)  ) )    ),"")</f>
        <v>X</v>
      </c>
      <c r="Y6" s="271" t="str">
        <f>_xlfn.IFNA(   IF(   IF(  INDEX(警職大表!$A$1:$AZ$100,MATCH($A6,警職大表!$A$1:$A$100,0),   MATCH(Y$1,警職大表!$A$3:$AZ$3,0)  )=0,"",INDEX(警職大表!$A$1:$AZ$100,MATCH($A6,警職大表!$A$1:$A$100,0),   MATCH(Y$1,警職大表!$A$3:$AZ$3,0)  )        )="",X6,  IF(  INDEX(警職大表!$A$1:$AZ$100,MATCH($A6,警職大表!$A$1:$A$100,0),   MATCH(Y$1,警職大表!$A$3:$AZ$3,0)  )=0,"",INDEX(警職大表!$A$1:$AZ$100,MATCH($A6,警職大表!$A$1:$A$100,0),   MATCH(Y$1,警職大表!$A$3:$AZ$3,0)  ) )    ),"")</f>
        <v>X</v>
      </c>
      <c r="Z6" s="271" t="str">
        <f>_xlfn.IFNA(   IF(   IF(  INDEX(警職大表!$A$1:$AZ$100,MATCH($A6,警職大表!$A$1:$A$100,0),   MATCH(Z$1,警職大表!$A$3:$AZ$3,0)  )=0,"",INDEX(警職大表!$A$1:$AZ$100,MATCH($A6,警職大表!$A$1:$A$100,0),   MATCH(Z$1,警職大表!$A$3:$AZ$3,0)  )        )="",Y6,  IF(  INDEX(警職大表!$A$1:$AZ$100,MATCH($A6,警職大表!$A$1:$A$100,0),   MATCH(Z$1,警職大表!$A$3:$AZ$3,0)  )=0,"",INDEX(警職大表!$A$1:$AZ$100,MATCH($A6,警職大表!$A$1:$A$100,0),   MATCH(Z$1,警職大表!$A$3:$AZ$3,0)  ) )    ),"")</f>
        <v>X</v>
      </c>
      <c r="AA6" s="271" t="str">
        <f>_xlfn.IFNA(   IF(   IF(  INDEX(警職大表!$A$1:$AZ$100,MATCH($A6,警職大表!$A$1:$A$100,0),   MATCH(AA$1,警職大表!$A$3:$AZ$3,0)  )=0,"",INDEX(警職大表!$A$1:$AZ$100,MATCH($A6,警職大表!$A$1:$A$100,0),   MATCH(AA$1,警職大表!$A$3:$AZ$3,0)  )        )="",Z6,  IF(  INDEX(警職大表!$A$1:$AZ$100,MATCH($A6,警職大表!$A$1:$A$100,0),   MATCH(AA$1,警職大表!$A$3:$AZ$3,0)  )=0,"",INDEX(警職大表!$A$1:$AZ$100,MATCH($A6,警職大表!$A$1:$A$100,0),   MATCH(AA$1,警職大表!$A$3:$AZ$3,0)  ) )    ),"")</f>
        <v>X</v>
      </c>
      <c r="AB6" s="271" t="str">
        <f>_xlfn.IFNA(   IF(   IF(  INDEX(警職大表!$A$1:$AZ$100,MATCH($A6,警職大表!$A$1:$A$100,0),   MATCH(AB$1,警職大表!$A$3:$AZ$3,0)  )=0,"",INDEX(警職大表!$A$1:$AZ$100,MATCH($A6,警職大表!$A$1:$A$100,0),   MATCH(AB$1,警職大表!$A$3:$AZ$3,0)  )        )="",AA6,  IF(  INDEX(警職大表!$A$1:$AZ$100,MATCH($A6,警職大表!$A$1:$A$100,0),   MATCH(AB$1,警職大表!$A$3:$AZ$3,0)  )=0,"",INDEX(警職大表!$A$1:$AZ$100,MATCH($A6,警職大表!$A$1:$A$100,0),   MATCH(AB$1,警職大表!$A$3:$AZ$3,0)  ) )    ),"")</f>
        <v>X</v>
      </c>
      <c r="AC6" s="271" t="str">
        <f>_xlfn.IFNA(   IF(   IF(  INDEX(警職大表!$A$1:$AZ$100,MATCH($A6,警職大表!$A$1:$A$100,0),   MATCH(AC$1,警職大表!$A$3:$AZ$3,0)  )=0,"",INDEX(警職大表!$A$1:$AZ$100,MATCH($A6,警職大表!$A$1:$A$100,0),   MATCH(AC$1,警職大表!$A$3:$AZ$3,0)  )        )="",AB6,  IF(  INDEX(警職大表!$A$1:$AZ$100,MATCH($A6,警職大表!$A$1:$A$100,0),   MATCH(AC$1,警職大表!$A$3:$AZ$3,0)  )=0,"",INDEX(警職大表!$A$1:$AZ$100,MATCH($A6,警職大表!$A$1:$A$100,0),   MATCH(AC$1,警職大表!$A$3:$AZ$3,0)  ) )    ),"")</f>
        <v>X</v>
      </c>
      <c r="AD6" s="271" t="str">
        <f>_xlfn.IFNA(   IF(   IF(  INDEX(警職大表!$A$1:$AZ$100,MATCH($A6,警職大表!$A$1:$A$100,0),   MATCH(AD$1,警職大表!$A$3:$AZ$3,0)  )=0,"",INDEX(警職大表!$A$1:$AZ$100,MATCH($A6,警職大表!$A$1:$A$100,0),   MATCH(AD$1,警職大表!$A$3:$AZ$3,0)  )        )="",AC6,  IF(  INDEX(警職大表!$A$1:$AZ$100,MATCH($A6,警職大表!$A$1:$A$100,0),   MATCH(AD$1,警職大表!$A$3:$AZ$3,0)  )=0,"",INDEX(警職大表!$A$1:$AZ$100,MATCH($A6,警職大表!$A$1:$A$100,0),   MATCH(AD$1,警職大表!$A$3:$AZ$3,0)  ) )    ),"")</f>
        <v>X</v>
      </c>
      <c r="AE6" s="271" t="str">
        <f>_xlfn.IFNA(   IF(   IF(  INDEX(警職大表!$A$1:$AZ$100,MATCH($A6,警職大表!$A$1:$A$100,0),   MATCH(AE$1,警職大表!$A$3:$AZ$3,0)  )=0,"",INDEX(警職大表!$A$1:$AZ$100,MATCH($A6,警職大表!$A$1:$A$100,0),   MATCH(AE$1,警職大表!$A$3:$AZ$3,0)  )        )="",AD6,  IF(  INDEX(警職大表!$A$1:$AZ$100,MATCH($A6,警職大表!$A$1:$A$100,0),   MATCH(AE$1,警職大表!$A$3:$AZ$3,0)  )=0,"",INDEX(警職大表!$A$1:$AZ$100,MATCH($A6,警職大表!$A$1:$A$100,0),   MATCH(AE$1,警職大表!$A$3:$AZ$3,0)  ) )    ),"")</f>
        <v>X</v>
      </c>
      <c r="AF6" s="271" t="str">
        <f>_xlfn.IFNA(   IF(   IF(  INDEX(警職大表!$A$1:$AZ$100,MATCH($A6,警職大表!$A$1:$A$100,0),   MATCH(AF$1,警職大表!$A$3:$AZ$3,0)  )=0,"",INDEX(警職大表!$A$1:$AZ$100,MATCH($A6,警職大表!$A$1:$A$100,0),   MATCH(AF$1,警職大表!$A$3:$AZ$3,0)  )        )="",AE6,  IF(  INDEX(警職大表!$A$1:$AZ$100,MATCH($A6,警職大表!$A$1:$A$100,0),   MATCH(AF$1,警職大表!$A$3:$AZ$3,0)  )=0,"",INDEX(警職大表!$A$1:$AZ$100,MATCH($A6,警職大表!$A$1:$A$100,0),   MATCH(AF$1,警職大表!$A$3:$AZ$3,0)  ) )    ),"")</f>
        <v>X</v>
      </c>
      <c r="AG6" s="271" t="str">
        <f>_xlfn.IFNA(   IF(   IF(  INDEX(警職大表!$A$1:$AZ$100,MATCH($A6,警職大表!$A$1:$A$100,0),   MATCH(AG$1,警職大表!$A$3:$AZ$3,0)  )=0,"",INDEX(警職大表!$A$1:$AZ$100,MATCH($A6,警職大表!$A$1:$A$100,0),   MATCH(AG$1,警職大表!$A$3:$AZ$3,0)  )        )="",AF6,  IF(  INDEX(警職大表!$A$1:$AZ$100,MATCH($A6,警職大表!$A$1:$A$100,0),   MATCH(AG$1,警職大表!$A$3:$AZ$3,0)  )=0,"",INDEX(警職大表!$A$1:$AZ$100,MATCH($A6,警職大表!$A$1:$A$100,0),   MATCH(AG$1,警職大表!$A$3:$AZ$3,0)  ) )    ),"")</f>
        <v>X</v>
      </c>
      <c r="AL6" s="271" t="str">
        <f t="shared" si="0"/>
        <v>I</v>
      </c>
      <c r="AM6" s="271" t="str">
        <f t="shared" si="1"/>
        <v>王志鋒</v>
      </c>
      <c r="AN6" s="271" t="str">
        <f>INDEX(   $A$41:$AG$78, MATCH(AL6,$A$41:$A$78,0),MATCH(  DAY(勤務分配表!$AN$1),$A$41:$AL$41,0  )  )</f>
        <v>輪休</v>
      </c>
      <c r="AO6" s="271" t="str">
        <f>IF((ROW(AO6)-1)&lt;=日期輸入!$B$5,_xlfn.IFNA(IF(INDEX($A$1:$AG$40,MATCH($AM6,$B$1:$B$100,0),VALUE($AO$1+3))="成","補",INDEX($A$1:$AG$40,MATCH($AM6,$B$1:$B$100,0),VALUE($AO$1+3))),""),"")</f>
        <v>值1</v>
      </c>
      <c r="AP6" s="271" t="str">
        <f>IF((ROW(AP6)-1)&lt;=日期輸入!$B$5,_xlfn.IFNA(IF(INDEX($A$1:$AG$40,MATCH($AM6,$B$1:$B$100,0),VALUE($AP$1+3))="成","補",INDEX($A$1:$AG$40,MATCH($AM6,$B$1:$B$100,0),VALUE($AP$1+3))),""),"")</f>
        <v>值1</v>
      </c>
      <c r="AQ6" s="271" t="str">
        <f>IF((ROW(AQ6)-1)&lt;=日期輸入!$B$5,_xlfn.IFNA(IF(INDEX($A$1:$AG$40,MATCH($AM6,$B$1:$B$100,0),VALUE($AQ$1+3))="成","補",INDEX($A$1:$AG$40,MATCH($AM6,$B$1:$B$100,0),VALUE($AQ$1+3))),""),"")</f>
        <v>大夜</v>
      </c>
    </row>
    <row r="7" spans="1:47">
      <c r="A7" s="271" t="str">
        <f>IF(  (ROW(A7)-1)&lt;=日期輸入!$B$5,勤務分配!A7,"")</f>
        <v>J</v>
      </c>
      <c r="B7" s="271" t="str">
        <f>_xlfn.IFNA(  INDEX(警職大表!$A$1:$AZ$100,MATCH(A7,警職大表!$A$1:$A$100,0),3),"")</f>
        <v>黃臺境</v>
      </c>
      <c r="C7" s="271" t="str">
        <f>_xlfn.IFNA(   IF(   IF(  INDEX(警職大表!$A$1:$AZ$100,MATCH($A7,警職大表!$A$1:$A$100,0),   MATCH(C$1,警職大表!$A$3:$AZ$3,0)  )=0,"",INDEX(警職大表!$A$1:$AZ$100,MATCH($A7,警職大表!$A$1:$A$100,0),   MATCH(C$1,警職大表!$A$3:$AZ$3,0)  )        )="",B7,  IF(  INDEX(警職大表!$A$1:$AZ$100,MATCH($A7,警職大表!$A$1:$A$100,0),   MATCH(C$1,警職大表!$A$3:$AZ$3,0)  )=0,"",INDEX(警職大表!$A$1:$AZ$100,MATCH($A7,警職大表!$A$1:$A$100,0),   MATCH(C$1,警職大表!$A$3:$AZ$3,0)  ) )    ),"")</f>
        <v>黃臺境</v>
      </c>
      <c r="D7" s="271" t="str">
        <f>_xlfn.IFNA(   IF(   IF(  INDEX(警職大表!$A$1:$AZ$100,MATCH($A7,警職大表!$A$1:$A$100,0),   MATCH(D$1,警職大表!$A$3:$AZ$3,0)  )=0,"",INDEX(警職大表!$A$1:$AZ$100,MATCH($A7,警職大表!$A$1:$A$100,0),   MATCH(D$1,警職大表!$A$3:$AZ$3,0)  )        )="",C7,  IF(  INDEX(警職大表!$A$1:$AZ$100,MATCH($A7,警職大表!$A$1:$A$100,0),   MATCH(D$1,警職大表!$A$3:$AZ$3,0)  )=0,"",INDEX(警職大表!$A$1:$AZ$100,MATCH($A7,警職大表!$A$1:$A$100,0),   MATCH(D$1,警職大表!$A$3:$AZ$3,0)  ) )    ),"")</f>
        <v>黃臺境</v>
      </c>
      <c r="E7" s="271" t="str">
        <f>_xlfn.IFNA(   IF(   IF(  INDEX(警職大表!$A$1:$AZ$100,MATCH($A7,警職大表!$A$1:$A$100,0),   MATCH(E$1,警職大表!$A$3:$AZ$3,0)  )=0,"",INDEX(警職大表!$A$1:$AZ$100,MATCH($A7,警職大表!$A$1:$A$100,0),   MATCH(E$1,警職大表!$A$3:$AZ$3,0)  )        )="",D7,  IF(  INDEX(警職大表!$A$1:$AZ$100,MATCH($A7,警職大表!$A$1:$A$100,0),   MATCH(E$1,警職大表!$A$3:$AZ$3,0)  )=0,"",INDEX(警職大表!$A$1:$AZ$100,MATCH($A7,警職大表!$A$1:$A$100,0),   MATCH(E$1,警職大表!$A$3:$AZ$3,0)  ) )    ),"")</f>
        <v>黃臺境</v>
      </c>
      <c r="F7" s="271" t="str">
        <f>_xlfn.IFNA(   IF(   IF(  INDEX(警職大表!$A$1:$AZ$100,MATCH($A7,警職大表!$A$1:$A$100,0),   MATCH(F$1,警職大表!$A$3:$AZ$3,0)  )=0,"",INDEX(警職大表!$A$1:$AZ$100,MATCH($A7,警職大表!$A$1:$A$100,0),   MATCH(F$1,警職大表!$A$3:$AZ$3,0)  )        )="",E7,  IF(  INDEX(警職大表!$A$1:$AZ$100,MATCH($A7,警職大表!$A$1:$A$100,0),   MATCH(F$1,警職大表!$A$3:$AZ$3,0)  )=0,"",INDEX(警職大表!$A$1:$AZ$100,MATCH($A7,警職大表!$A$1:$A$100,0),   MATCH(F$1,警職大表!$A$3:$AZ$3,0)  ) )    ),"")</f>
        <v>黃臺境</v>
      </c>
      <c r="G7" s="271" t="str">
        <f>_xlfn.IFNA(   IF(   IF(  INDEX(警職大表!$A$1:$AZ$100,MATCH($A7,警職大表!$A$1:$A$100,0),   MATCH(G$1,警職大表!$A$3:$AZ$3,0)  )=0,"",INDEX(警職大表!$A$1:$AZ$100,MATCH($A7,警職大表!$A$1:$A$100,0),   MATCH(G$1,警職大表!$A$3:$AZ$3,0)  )        )="",F7,  IF(  INDEX(警職大表!$A$1:$AZ$100,MATCH($A7,警職大表!$A$1:$A$100,0),   MATCH(G$1,警職大表!$A$3:$AZ$3,0)  )=0,"",INDEX(警職大表!$A$1:$AZ$100,MATCH($A7,警職大表!$A$1:$A$100,0),   MATCH(G$1,警職大表!$A$3:$AZ$3,0)  ) )    ),"")</f>
        <v>黃臺境</v>
      </c>
      <c r="H7" s="271" t="str">
        <f>_xlfn.IFNA(   IF(   IF(  INDEX(警職大表!$A$1:$AZ$100,MATCH($A7,警職大表!$A$1:$A$100,0),   MATCH(H$1,警職大表!$A$3:$AZ$3,0)  )=0,"",INDEX(警職大表!$A$1:$AZ$100,MATCH($A7,警職大表!$A$1:$A$100,0),   MATCH(H$1,警職大表!$A$3:$AZ$3,0)  )        )="",G7,  IF(  INDEX(警職大表!$A$1:$AZ$100,MATCH($A7,警職大表!$A$1:$A$100,0),   MATCH(H$1,警職大表!$A$3:$AZ$3,0)  )=0,"",INDEX(警職大表!$A$1:$AZ$100,MATCH($A7,警職大表!$A$1:$A$100,0),   MATCH(H$1,警職大表!$A$3:$AZ$3,0)  ) )    ),"")</f>
        <v>黃臺境</v>
      </c>
      <c r="I7" s="271" t="str">
        <f>_xlfn.IFNA(   IF(   IF(  INDEX(警職大表!$A$1:$AZ$100,MATCH($A7,警職大表!$A$1:$A$100,0),   MATCH(I$1,警職大表!$A$3:$AZ$3,0)  )=0,"",INDEX(警職大表!$A$1:$AZ$100,MATCH($A7,警職大表!$A$1:$A$100,0),   MATCH(I$1,警職大表!$A$3:$AZ$3,0)  )        )="",H7,  IF(  INDEX(警職大表!$A$1:$AZ$100,MATCH($A7,警職大表!$A$1:$A$100,0),   MATCH(I$1,警職大表!$A$3:$AZ$3,0)  )=0,"",INDEX(警職大表!$A$1:$AZ$100,MATCH($A7,警職大表!$A$1:$A$100,0),   MATCH(I$1,警職大表!$A$3:$AZ$3,0)  ) )    ),"")</f>
        <v>黃臺境</v>
      </c>
      <c r="J7" s="271" t="str">
        <f>_xlfn.IFNA(   IF(   IF(  INDEX(警職大表!$A$1:$AZ$100,MATCH($A7,警職大表!$A$1:$A$100,0),   MATCH(J$1,警職大表!$A$3:$AZ$3,0)  )=0,"",INDEX(警職大表!$A$1:$AZ$100,MATCH($A7,警職大表!$A$1:$A$100,0),   MATCH(J$1,警職大表!$A$3:$AZ$3,0)  )        )="",I7,  IF(  INDEX(警職大表!$A$1:$AZ$100,MATCH($A7,警職大表!$A$1:$A$100,0),   MATCH(J$1,警職大表!$A$3:$AZ$3,0)  )=0,"",INDEX(警職大表!$A$1:$AZ$100,MATCH($A7,警職大表!$A$1:$A$100,0),   MATCH(J$1,警職大表!$A$3:$AZ$3,0)  ) )    ),"")</f>
        <v>黃臺境</v>
      </c>
      <c r="K7" s="271" t="str">
        <f>_xlfn.IFNA(   IF(   IF(  INDEX(警職大表!$A$1:$AZ$100,MATCH($A7,警職大表!$A$1:$A$100,0),   MATCH(K$1,警職大表!$A$3:$AZ$3,0)  )=0,"",INDEX(警職大表!$A$1:$AZ$100,MATCH($A7,警職大表!$A$1:$A$100,0),   MATCH(K$1,警職大表!$A$3:$AZ$3,0)  )        )="",J7,  IF(  INDEX(警職大表!$A$1:$AZ$100,MATCH($A7,警職大表!$A$1:$A$100,0),   MATCH(K$1,警職大表!$A$3:$AZ$3,0)  )=0,"",INDEX(警職大表!$A$1:$AZ$100,MATCH($A7,警職大表!$A$1:$A$100,0),   MATCH(K$1,警職大表!$A$3:$AZ$3,0)  ) )    ),"")</f>
        <v>黃臺境</v>
      </c>
      <c r="L7" s="271" t="str">
        <f>_xlfn.IFNA(   IF(   IF(  INDEX(警職大表!$A$1:$AZ$100,MATCH($A7,警職大表!$A$1:$A$100,0),   MATCH(L$1,警職大表!$A$3:$AZ$3,0)  )=0,"",INDEX(警職大表!$A$1:$AZ$100,MATCH($A7,警職大表!$A$1:$A$100,0),   MATCH(L$1,警職大表!$A$3:$AZ$3,0)  )        )="",K7,  IF(  INDEX(警職大表!$A$1:$AZ$100,MATCH($A7,警職大表!$A$1:$A$100,0),   MATCH(L$1,警職大表!$A$3:$AZ$3,0)  )=0,"",INDEX(警職大表!$A$1:$AZ$100,MATCH($A7,警職大表!$A$1:$A$100,0),   MATCH(L$1,警職大表!$A$3:$AZ$3,0)  ) )    ),"")</f>
        <v>黃臺境</v>
      </c>
      <c r="M7" s="271" t="str">
        <f>_xlfn.IFNA(   IF(   IF(  INDEX(警職大表!$A$1:$AZ$100,MATCH($A7,警職大表!$A$1:$A$100,0),   MATCH(M$1,警職大表!$A$3:$AZ$3,0)  )=0,"",INDEX(警職大表!$A$1:$AZ$100,MATCH($A7,警職大表!$A$1:$A$100,0),   MATCH(M$1,警職大表!$A$3:$AZ$3,0)  )        )="",L7,  IF(  INDEX(警職大表!$A$1:$AZ$100,MATCH($A7,警職大表!$A$1:$A$100,0),   MATCH(M$1,警職大表!$A$3:$AZ$3,0)  )=0,"",INDEX(警職大表!$A$1:$AZ$100,MATCH($A7,警職大表!$A$1:$A$100,0),   MATCH(M$1,警職大表!$A$3:$AZ$3,0)  ) )    ),"")</f>
        <v>黃臺境</v>
      </c>
      <c r="N7" s="271" t="str">
        <f>_xlfn.IFNA(   IF(   IF(  INDEX(警職大表!$A$1:$AZ$100,MATCH($A7,警職大表!$A$1:$A$100,0),   MATCH(N$1,警職大表!$A$3:$AZ$3,0)  )=0,"",INDEX(警職大表!$A$1:$AZ$100,MATCH($A7,警職大表!$A$1:$A$100,0),   MATCH(N$1,警職大表!$A$3:$AZ$3,0)  )        )="",M7,  IF(  INDEX(警職大表!$A$1:$AZ$100,MATCH($A7,警職大表!$A$1:$A$100,0),   MATCH(N$1,警職大表!$A$3:$AZ$3,0)  )=0,"",INDEX(警職大表!$A$1:$AZ$100,MATCH($A7,警職大表!$A$1:$A$100,0),   MATCH(N$1,警職大表!$A$3:$AZ$3,0)  ) )    ),"")</f>
        <v>黃臺境</v>
      </c>
      <c r="O7" s="271" t="str">
        <f>_xlfn.IFNA(   IF(   IF(  INDEX(警職大表!$A$1:$AZ$100,MATCH($A7,警職大表!$A$1:$A$100,0),   MATCH(O$1,警職大表!$A$3:$AZ$3,0)  )=0,"",INDEX(警職大表!$A$1:$AZ$100,MATCH($A7,警職大表!$A$1:$A$100,0),   MATCH(O$1,警職大表!$A$3:$AZ$3,0)  )        )="",N7,  IF(  INDEX(警職大表!$A$1:$AZ$100,MATCH($A7,警職大表!$A$1:$A$100,0),   MATCH(O$1,警職大表!$A$3:$AZ$3,0)  )=0,"",INDEX(警職大表!$A$1:$AZ$100,MATCH($A7,警職大表!$A$1:$A$100,0),   MATCH(O$1,警職大表!$A$3:$AZ$3,0)  ) )    ),"")</f>
        <v>黃臺境</v>
      </c>
      <c r="P7" s="271" t="str">
        <f>_xlfn.IFNA(   IF(   IF(  INDEX(警職大表!$A$1:$AZ$100,MATCH($A7,警職大表!$A$1:$A$100,0),   MATCH(P$1,警職大表!$A$3:$AZ$3,0)  )=0,"",INDEX(警職大表!$A$1:$AZ$100,MATCH($A7,警職大表!$A$1:$A$100,0),   MATCH(P$1,警職大表!$A$3:$AZ$3,0)  )        )="",O7,  IF(  INDEX(警職大表!$A$1:$AZ$100,MATCH($A7,警職大表!$A$1:$A$100,0),   MATCH(P$1,警職大表!$A$3:$AZ$3,0)  )=0,"",INDEX(警職大表!$A$1:$AZ$100,MATCH($A7,警職大表!$A$1:$A$100,0),   MATCH(P$1,警職大表!$A$3:$AZ$3,0)  ) )    ),"")</f>
        <v>黃臺境</v>
      </c>
      <c r="Q7" s="271" t="str">
        <f>_xlfn.IFNA(   IF(   IF(  INDEX(警職大表!$A$1:$AZ$100,MATCH($A7,警職大表!$A$1:$A$100,0),   MATCH(Q$1,警職大表!$A$3:$AZ$3,0)  )=0,"",INDEX(警職大表!$A$1:$AZ$100,MATCH($A7,警職大表!$A$1:$A$100,0),   MATCH(Q$1,警職大表!$A$3:$AZ$3,0)  )        )="",P7,  IF(  INDEX(警職大表!$A$1:$AZ$100,MATCH($A7,警職大表!$A$1:$A$100,0),   MATCH(Q$1,警職大表!$A$3:$AZ$3,0)  )=0,"",INDEX(警職大表!$A$1:$AZ$100,MATCH($A7,警職大表!$A$1:$A$100,0),   MATCH(Q$1,警職大表!$A$3:$AZ$3,0)  ) )    ),"")</f>
        <v>黃臺境</v>
      </c>
      <c r="R7" s="271" t="str">
        <f>_xlfn.IFNA(   IF(   IF(  INDEX(警職大表!$A$1:$AZ$100,MATCH($A7,警職大表!$A$1:$A$100,0),   MATCH(R$1,警職大表!$A$3:$AZ$3,0)  )=0,"",INDEX(警職大表!$A$1:$AZ$100,MATCH($A7,警職大表!$A$1:$A$100,0),   MATCH(R$1,警職大表!$A$3:$AZ$3,0)  )        )="",Q7,  IF(  INDEX(警職大表!$A$1:$AZ$100,MATCH($A7,警職大表!$A$1:$A$100,0),   MATCH(R$1,警職大表!$A$3:$AZ$3,0)  )=0,"",INDEX(警職大表!$A$1:$AZ$100,MATCH($A7,警職大表!$A$1:$A$100,0),   MATCH(R$1,警職大表!$A$3:$AZ$3,0)  ) )    ),"")</f>
        <v>黃臺境</v>
      </c>
      <c r="S7" s="271" t="str">
        <f>_xlfn.IFNA(   IF(   IF(  INDEX(警職大表!$A$1:$AZ$100,MATCH($A7,警職大表!$A$1:$A$100,0),   MATCH(S$1,警職大表!$A$3:$AZ$3,0)  )=0,"",INDEX(警職大表!$A$1:$AZ$100,MATCH($A7,警職大表!$A$1:$A$100,0),   MATCH(S$1,警職大表!$A$3:$AZ$3,0)  )        )="",R7,  IF(  INDEX(警職大表!$A$1:$AZ$100,MATCH($A7,警職大表!$A$1:$A$100,0),   MATCH(S$1,警職大表!$A$3:$AZ$3,0)  )=0,"",INDEX(警職大表!$A$1:$AZ$100,MATCH($A7,警職大表!$A$1:$A$100,0),   MATCH(S$1,警職大表!$A$3:$AZ$3,0)  ) )    ),"")</f>
        <v>黃臺境</v>
      </c>
      <c r="T7" s="271" t="str">
        <f>_xlfn.IFNA(   IF(   IF(  INDEX(警職大表!$A$1:$AZ$100,MATCH($A7,警職大表!$A$1:$A$100,0),   MATCH(T$1,警職大表!$A$3:$AZ$3,0)  )=0,"",INDEX(警職大表!$A$1:$AZ$100,MATCH($A7,警職大表!$A$1:$A$100,0),   MATCH(T$1,警職大表!$A$3:$AZ$3,0)  )        )="",S7,  IF(  INDEX(警職大表!$A$1:$AZ$100,MATCH($A7,警職大表!$A$1:$A$100,0),   MATCH(T$1,警職大表!$A$3:$AZ$3,0)  )=0,"",INDEX(警職大表!$A$1:$AZ$100,MATCH($A7,警職大表!$A$1:$A$100,0),   MATCH(T$1,警職大表!$A$3:$AZ$3,0)  ) )    ),"")</f>
        <v>黃臺境</v>
      </c>
      <c r="U7" s="271" t="str">
        <f>_xlfn.IFNA(   IF(   IF(  INDEX(警職大表!$A$1:$AZ$100,MATCH($A7,警職大表!$A$1:$A$100,0),   MATCH(U$1,警職大表!$A$3:$AZ$3,0)  )=0,"",INDEX(警職大表!$A$1:$AZ$100,MATCH($A7,警職大表!$A$1:$A$100,0),   MATCH(U$1,警職大表!$A$3:$AZ$3,0)  )        )="",T7,  IF(  INDEX(警職大表!$A$1:$AZ$100,MATCH($A7,警職大表!$A$1:$A$100,0),   MATCH(U$1,警職大表!$A$3:$AZ$3,0)  )=0,"",INDEX(警職大表!$A$1:$AZ$100,MATCH($A7,警職大表!$A$1:$A$100,0),   MATCH(U$1,警職大表!$A$3:$AZ$3,0)  ) )    ),"")</f>
        <v>黃臺境</v>
      </c>
      <c r="V7" s="271" t="str">
        <f>_xlfn.IFNA(   IF(   IF(  INDEX(警職大表!$A$1:$AZ$100,MATCH($A7,警職大表!$A$1:$A$100,0),   MATCH(V$1,警職大表!$A$3:$AZ$3,0)  )=0,"",INDEX(警職大表!$A$1:$AZ$100,MATCH($A7,警職大表!$A$1:$A$100,0),   MATCH(V$1,警職大表!$A$3:$AZ$3,0)  )        )="",U7,  IF(  INDEX(警職大表!$A$1:$AZ$100,MATCH($A7,警職大表!$A$1:$A$100,0),   MATCH(V$1,警職大表!$A$3:$AZ$3,0)  )=0,"",INDEX(警職大表!$A$1:$AZ$100,MATCH($A7,警職大表!$A$1:$A$100,0),   MATCH(V$1,警職大表!$A$3:$AZ$3,0)  ) )    ),"")</f>
        <v>黃臺境</v>
      </c>
      <c r="W7" s="271" t="str">
        <f>_xlfn.IFNA(   IF(   IF(  INDEX(警職大表!$A$1:$AZ$100,MATCH($A7,警職大表!$A$1:$A$100,0),   MATCH(W$1,警職大表!$A$3:$AZ$3,0)  )=0,"",INDEX(警職大表!$A$1:$AZ$100,MATCH($A7,警職大表!$A$1:$A$100,0),   MATCH(W$1,警職大表!$A$3:$AZ$3,0)  )        )="",V7,  IF(  INDEX(警職大表!$A$1:$AZ$100,MATCH($A7,警職大表!$A$1:$A$100,0),   MATCH(W$1,警職大表!$A$3:$AZ$3,0)  )=0,"",INDEX(警職大表!$A$1:$AZ$100,MATCH($A7,警職大表!$A$1:$A$100,0),   MATCH(W$1,警職大表!$A$3:$AZ$3,0)  ) )    ),"")</f>
        <v>黃臺境</v>
      </c>
      <c r="X7" s="271" t="str">
        <f>_xlfn.IFNA(   IF(   IF(  INDEX(警職大表!$A$1:$AZ$100,MATCH($A7,警職大表!$A$1:$A$100,0),   MATCH(X$1,警職大表!$A$3:$AZ$3,0)  )=0,"",INDEX(警職大表!$A$1:$AZ$100,MATCH($A7,警職大表!$A$1:$A$100,0),   MATCH(X$1,警職大表!$A$3:$AZ$3,0)  )        )="",W7,  IF(  INDEX(警職大表!$A$1:$AZ$100,MATCH($A7,警職大表!$A$1:$A$100,0),   MATCH(X$1,警職大表!$A$3:$AZ$3,0)  )=0,"",INDEX(警職大表!$A$1:$AZ$100,MATCH($A7,警職大表!$A$1:$A$100,0),   MATCH(X$1,警職大表!$A$3:$AZ$3,0)  ) )    ),"")</f>
        <v>黃臺境</v>
      </c>
      <c r="Y7" s="271" t="str">
        <f>_xlfn.IFNA(   IF(   IF(  INDEX(警職大表!$A$1:$AZ$100,MATCH($A7,警職大表!$A$1:$A$100,0),   MATCH(Y$1,警職大表!$A$3:$AZ$3,0)  )=0,"",INDEX(警職大表!$A$1:$AZ$100,MATCH($A7,警職大表!$A$1:$A$100,0),   MATCH(Y$1,警職大表!$A$3:$AZ$3,0)  )        )="",X7,  IF(  INDEX(警職大表!$A$1:$AZ$100,MATCH($A7,警職大表!$A$1:$A$100,0),   MATCH(Y$1,警職大表!$A$3:$AZ$3,0)  )=0,"",INDEX(警職大表!$A$1:$AZ$100,MATCH($A7,警職大表!$A$1:$A$100,0),   MATCH(Y$1,警職大表!$A$3:$AZ$3,0)  ) )    ),"")</f>
        <v>黃臺境</v>
      </c>
      <c r="Z7" s="271" t="str">
        <f>_xlfn.IFNA(   IF(   IF(  INDEX(警職大表!$A$1:$AZ$100,MATCH($A7,警職大表!$A$1:$A$100,0),   MATCH(Z$1,警職大表!$A$3:$AZ$3,0)  )=0,"",INDEX(警職大表!$A$1:$AZ$100,MATCH($A7,警職大表!$A$1:$A$100,0),   MATCH(Z$1,警職大表!$A$3:$AZ$3,0)  )        )="",Y7,  IF(  INDEX(警職大表!$A$1:$AZ$100,MATCH($A7,警職大表!$A$1:$A$100,0),   MATCH(Z$1,警職大表!$A$3:$AZ$3,0)  )=0,"",INDEX(警職大表!$A$1:$AZ$100,MATCH($A7,警職大表!$A$1:$A$100,0),   MATCH(Z$1,警職大表!$A$3:$AZ$3,0)  ) )    ),"")</f>
        <v>黃臺境</v>
      </c>
      <c r="AA7" s="271" t="str">
        <f>_xlfn.IFNA(   IF(   IF(  INDEX(警職大表!$A$1:$AZ$100,MATCH($A7,警職大表!$A$1:$A$100,0),   MATCH(AA$1,警職大表!$A$3:$AZ$3,0)  )=0,"",INDEX(警職大表!$A$1:$AZ$100,MATCH($A7,警職大表!$A$1:$A$100,0),   MATCH(AA$1,警職大表!$A$3:$AZ$3,0)  )        )="",Z7,  IF(  INDEX(警職大表!$A$1:$AZ$100,MATCH($A7,警職大表!$A$1:$A$100,0),   MATCH(AA$1,警職大表!$A$3:$AZ$3,0)  )=0,"",INDEX(警職大表!$A$1:$AZ$100,MATCH($A7,警職大表!$A$1:$A$100,0),   MATCH(AA$1,警職大表!$A$3:$AZ$3,0)  ) )    ),"")</f>
        <v>黃臺境</v>
      </c>
      <c r="AB7" s="271" t="str">
        <f>_xlfn.IFNA(   IF(   IF(  INDEX(警職大表!$A$1:$AZ$100,MATCH($A7,警職大表!$A$1:$A$100,0),   MATCH(AB$1,警職大表!$A$3:$AZ$3,0)  )=0,"",INDEX(警職大表!$A$1:$AZ$100,MATCH($A7,警職大表!$A$1:$A$100,0),   MATCH(AB$1,警職大表!$A$3:$AZ$3,0)  )        )="",AA7,  IF(  INDEX(警職大表!$A$1:$AZ$100,MATCH($A7,警職大表!$A$1:$A$100,0),   MATCH(AB$1,警職大表!$A$3:$AZ$3,0)  )=0,"",INDEX(警職大表!$A$1:$AZ$100,MATCH($A7,警職大表!$A$1:$A$100,0),   MATCH(AB$1,警職大表!$A$3:$AZ$3,0)  ) )    ),"")</f>
        <v>黃臺境</v>
      </c>
      <c r="AC7" s="271" t="str">
        <f>_xlfn.IFNA(   IF(   IF(  INDEX(警職大表!$A$1:$AZ$100,MATCH($A7,警職大表!$A$1:$A$100,0),   MATCH(AC$1,警職大表!$A$3:$AZ$3,0)  )=0,"",INDEX(警職大表!$A$1:$AZ$100,MATCH($A7,警職大表!$A$1:$A$100,0),   MATCH(AC$1,警職大表!$A$3:$AZ$3,0)  )        )="",AB7,  IF(  INDEX(警職大表!$A$1:$AZ$100,MATCH($A7,警職大表!$A$1:$A$100,0),   MATCH(AC$1,警職大表!$A$3:$AZ$3,0)  )=0,"",INDEX(警職大表!$A$1:$AZ$100,MATCH($A7,警職大表!$A$1:$A$100,0),   MATCH(AC$1,警職大表!$A$3:$AZ$3,0)  ) )    ),"")</f>
        <v>黃臺境</v>
      </c>
      <c r="AD7" s="271" t="str">
        <f>_xlfn.IFNA(   IF(   IF(  INDEX(警職大表!$A$1:$AZ$100,MATCH($A7,警職大表!$A$1:$A$100,0),   MATCH(AD$1,警職大表!$A$3:$AZ$3,0)  )=0,"",INDEX(警職大表!$A$1:$AZ$100,MATCH($A7,警職大表!$A$1:$A$100,0),   MATCH(AD$1,警職大表!$A$3:$AZ$3,0)  )        )="",AC7,  IF(  INDEX(警職大表!$A$1:$AZ$100,MATCH($A7,警職大表!$A$1:$A$100,0),   MATCH(AD$1,警職大表!$A$3:$AZ$3,0)  )=0,"",INDEX(警職大表!$A$1:$AZ$100,MATCH($A7,警職大表!$A$1:$A$100,0),   MATCH(AD$1,警職大表!$A$3:$AZ$3,0)  ) )    ),"")</f>
        <v>黃臺境</v>
      </c>
      <c r="AE7" s="271" t="str">
        <f>_xlfn.IFNA(   IF(   IF(  INDEX(警職大表!$A$1:$AZ$100,MATCH($A7,警職大表!$A$1:$A$100,0),   MATCH(AE$1,警職大表!$A$3:$AZ$3,0)  )=0,"",INDEX(警職大表!$A$1:$AZ$100,MATCH($A7,警職大表!$A$1:$A$100,0),   MATCH(AE$1,警職大表!$A$3:$AZ$3,0)  )        )="",AD7,  IF(  INDEX(警職大表!$A$1:$AZ$100,MATCH($A7,警職大表!$A$1:$A$100,0),   MATCH(AE$1,警職大表!$A$3:$AZ$3,0)  )=0,"",INDEX(警職大表!$A$1:$AZ$100,MATCH($A7,警職大表!$A$1:$A$100,0),   MATCH(AE$1,警職大表!$A$3:$AZ$3,0)  ) )    ),"")</f>
        <v>黃臺境</v>
      </c>
      <c r="AF7" s="271" t="str">
        <f>_xlfn.IFNA(   IF(   IF(  INDEX(警職大表!$A$1:$AZ$100,MATCH($A7,警職大表!$A$1:$A$100,0),   MATCH(AF$1,警職大表!$A$3:$AZ$3,0)  )=0,"",INDEX(警職大表!$A$1:$AZ$100,MATCH($A7,警職大表!$A$1:$A$100,0),   MATCH(AF$1,警職大表!$A$3:$AZ$3,0)  )        )="",AE7,  IF(  INDEX(警職大表!$A$1:$AZ$100,MATCH($A7,警職大表!$A$1:$A$100,0),   MATCH(AF$1,警職大表!$A$3:$AZ$3,0)  )=0,"",INDEX(警職大表!$A$1:$AZ$100,MATCH($A7,警職大表!$A$1:$A$100,0),   MATCH(AF$1,警職大表!$A$3:$AZ$3,0)  ) )    ),"")</f>
        <v>黃臺境</v>
      </c>
      <c r="AG7" s="271" t="str">
        <f>_xlfn.IFNA(   IF(   IF(  INDEX(警職大表!$A$1:$AZ$100,MATCH($A7,警職大表!$A$1:$A$100,0),   MATCH(AG$1,警職大表!$A$3:$AZ$3,0)  )=0,"",INDEX(警職大表!$A$1:$AZ$100,MATCH($A7,警職大表!$A$1:$A$100,0),   MATCH(AG$1,警職大表!$A$3:$AZ$3,0)  )        )="",AF7,  IF(  INDEX(警職大表!$A$1:$AZ$100,MATCH($A7,警職大表!$A$1:$A$100,0),   MATCH(AG$1,警職大表!$A$3:$AZ$3,0)  )=0,"",INDEX(警職大表!$A$1:$AZ$100,MATCH($A7,警職大表!$A$1:$A$100,0),   MATCH(AG$1,警職大表!$A$3:$AZ$3,0)  ) )    ),"")</f>
        <v>補</v>
      </c>
      <c r="AL7" s="271" t="str">
        <f t="shared" si="0"/>
        <v>J</v>
      </c>
      <c r="AM7" s="271" t="str">
        <f t="shared" si="1"/>
        <v>黃臺境</v>
      </c>
      <c r="AN7" s="271" t="str">
        <f>INDEX(   $A$41:$AG$78, MATCH(AL7,$A$41:$A$78,0),MATCH(  DAY(勤務分配表!$AN$1),$A$41:$AL$41,0  )  )</f>
        <v>補休</v>
      </c>
      <c r="AO7" s="271" t="str">
        <f>IF((ROW(AO7)-1)&lt;=日期輸入!$B$5,_xlfn.IFNA(IF(INDEX($A$1:$AG$40,MATCH($AM7,$B$1:$B$100,0),VALUE($AO$1+3))="成","補",INDEX($A$1:$AG$40,MATCH($AM7,$B$1:$B$100,0),VALUE($AO$1+3))),""),"")</f>
        <v>黃臺境</v>
      </c>
      <c r="AP7" s="271" t="str">
        <f>IF((ROW(AP7)-1)&lt;=日期輸入!$B$5,_xlfn.IFNA(IF(INDEX($A$1:$AG$40,MATCH($AM7,$B$1:$B$100,0),VALUE($AP$1+3))="成","補",INDEX($A$1:$AG$40,MATCH($AM7,$B$1:$B$100,0),VALUE($AP$1+3))),""),"")</f>
        <v>黃臺境</v>
      </c>
      <c r="AQ7" s="271" t="str">
        <f>IF((ROW(AQ7)-1)&lt;=日期輸入!$B$5,_xlfn.IFNA(IF(INDEX($A$1:$AG$40,MATCH($AM7,$B$1:$B$100,0),VALUE($AQ$1+3))="成","補",INDEX($A$1:$AG$40,MATCH($AM7,$B$1:$B$100,0),VALUE($AQ$1+3))),""),"")</f>
        <v>黃臺境</v>
      </c>
    </row>
    <row r="8" spans="1:47">
      <c r="A8" s="271" t="str">
        <f>IF(  (ROW(A8)-1)&lt;=日期輸入!$B$5,勤務分配!A8,"")</f>
        <v>K</v>
      </c>
      <c r="B8" s="271" t="str">
        <f>_xlfn.IFNA(  INDEX(警職大表!$A$1:$AZ$100,MATCH(A8,警職大表!$A$1:$A$100,0),3),"")</f>
        <v>袁郁章</v>
      </c>
      <c r="C8" s="271" t="str">
        <f>_xlfn.IFNA(   IF(   IF(  INDEX(警職大表!$A$1:$AZ$100,MATCH($A8,警職大表!$A$1:$A$100,0),   MATCH(C$1,警職大表!$A$3:$AZ$3,0)  )=0,"",INDEX(警職大表!$A$1:$AZ$100,MATCH($A8,警職大表!$A$1:$A$100,0),   MATCH(C$1,警職大表!$A$3:$AZ$3,0)  )        )="",B8,  IF(  INDEX(警職大表!$A$1:$AZ$100,MATCH($A8,警職大表!$A$1:$A$100,0),   MATCH(C$1,警職大表!$A$3:$AZ$3,0)  )=0,"",INDEX(警職大表!$A$1:$AZ$100,MATCH($A8,警職大表!$A$1:$A$100,0),   MATCH(C$1,警職大表!$A$3:$AZ$3,0)  ) )    ),"")</f>
        <v>夜值</v>
      </c>
      <c r="D8" s="271" t="str">
        <f>_xlfn.IFNA(   IF(   IF(  INDEX(警職大表!$A$1:$AZ$100,MATCH($A8,警職大表!$A$1:$A$100,0),   MATCH(D$1,警職大表!$A$3:$AZ$3,0)  )=0,"",INDEX(警職大表!$A$1:$AZ$100,MATCH($A8,警職大表!$A$1:$A$100,0),   MATCH(D$1,警職大表!$A$3:$AZ$3,0)  )        )="",C8,  IF(  INDEX(警職大表!$A$1:$AZ$100,MATCH($A8,警職大表!$A$1:$A$100,0),   MATCH(D$1,警職大表!$A$3:$AZ$3,0)  )=0,"",INDEX(警職大表!$A$1:$AZ$100,MATCH($A8,警職大表!$A$1:$A$100,0),   MATCH(D$1,警職大表!$A$3:$AZ$3,0)  ) )    ),"")</f>
        <v>夜值</v>
      </c>
      <c r="E8" s="271" t="str">
        <f>_xlfn.IFNA(   IF(   IF(  INDEX(警職大表!$A$1:$AZ$100,MATCH($A8,警職大表!$A$1:$A$100,0),   MATCH(E$1,警職大表!$A$3:$AZ$3,0)  )=0,"",INDEX(警職大表!$A$1:$AZ$100,MATCH($A8,警職大表!$A$1:$A$100,0),   MATCH(E$1,警職大表!$A$3:$AZ$3,0)  )        )="",D8,  IF(  INDEX(警職大表!$A$1:$AZ$100,MATCH($A8,警職大表!$A$1:$A$100,0),   MATCH(E$1,警職大表!$A$3:$AZ$3,0)  )=0,"",INDEX(警職大表!$A$1:$AZ$100,MATCH($A8,警職大表!$A$1:$A$100,0),   MATCH(E$1,警職大表!$A$3:$AZ$3,0)  ) )    ),"")</f>
        <v>補</v>
      </c>
      <c r="F8" s="271" t="str">
        <f>_xlfn.IFNA(   IF(   IF(  INDEX(警職大表!$A$1:$AZ$100,MATCH($A8,警職大表!$A$1:$A$100,0),   MATCH(F$1,警職大表!$A$3:$AZ$3,0)  )=0,"",INDEX(警職大表!$A$1:$AZ$100,MATCH($A8,警職大表!$A$1:$A$100,0),   MATCH(F$1,警職大表!$A$3:$AZ$3,0)  )        )="",E8,  IF(  INDEX(警職大表!$A$1:$AZ$100,MATCH($A8,警職大表!$A$1:$A$100,0),   MATCH(F$1,警職大表!$A$3:$AZ$3,0)  )=0,"",INDEX(警職大表!$A$1:$AZ$100,MATCH($A8,警職大表!$A$1:$A$100,0),   MATCH(F$1,警職大表!$A$3:$AZ$3,0)  ) )    ),"")</f>
        <v>補</v>
      </c>
      <c r="G8" s="271" t="str">
        <f>_xlfn.IFNA(   IF(   IF(  INDEX(警職大表!$A$1:$AZ$100,MATCH($A8,警職大表!$A$1:$A$100,0),   MATCH(G$1,警職大表!$A$3:$AZ$3,0)  )=0,"",INDEX(警職大表!$A$1:$AZ$100,MATCH($A8,警職大表!$A$1:$A$100,0),   MATCH(G$1,警職大表!$A$3:$AZ$3,0)  )        )="",F8,  IF(  INDEX(警職大表!$A$1:$AZ$100,MATCH($A8,警職大表!$A$1:$A$100,0),   MATCH(G$1,警職大表!$A$3:$AZ$3,0)  )=0,"",INDEX(警職大表!$A$1:$AZ$100,MATCH($A8,警職大表!$A$1:$A$100,0),   MATCH(G$1,警職大表!$A$3:$AZ$3,0)  ) )    ),"")</f>
        <v>補</v>
      </c>
      <c r="H8" s="271" t="str">
        <f>_xlfn.IFNA(   IF(   IF(  INDEX(警職大表!$A$1:$AZ$100,MATCH($A8,警職大表!$A$1:$A$100,0),   MATCH(H$1,警職大表!$A$3:$AZ$3,0)  )=0,"",INDEX(警職大表!$A$1:$AZ$100,MATCH($A8,警職大表!$A$1:$A$100,0),   MATCH(H$1,警職大表!$A$3:$AZ$3,0)  )        )="",G8,  IF(  INDEX(警職大表!$A$1:$AZ$100,MATCH($A8,警職大表!$A$1:$A$100,0),   MATCH(H$1,警職大表!$A$3:$AZ$3,0)  )=0,"",INDEX(警職大表!$A$1:$AZ$100,MATCH($A8,警職大表!$A$1:$A$100,0),   MATCH(H$1,警職大表!$A$3:$AZ$3,0)  ) )    ),"")</f>
        <v>補</v>
      </c>
      <c r="I8" s="271" t="str">
        <f>_xlfn.IFNA(   IF(   IF(  INDEX(警職大表!$A$1:$AZ$100,MATCH($A8,警職大表!$A$1:$A$100,0),   MATCH(I$1,警職大表!$A$3:$AZ$3,0)  )=0,"",INDEX(警職大表!$A$1:$AZ$100,MATCH($A8,警職大表!$A$1:$A$100,0),   MATCH(I$1,警職大表!$A$3:$AZ$3,0)  )        )="",H8,  IF(  INDEX(警職大表!$A$1:$AZ$100,MATCH($A8,警職大表!$A$1:$A$100,0),   MATCH(I$1,警職大表!$A$3:$AZ$3,0)  )=0,"",INDEX(警職大表!$A$1:$AZ$100,MATCH($A8,警職大表!$A$1:$A$100,0),   MATCH(I$1,警職大表!$A$3:$AZ$3,0)  ) )    ),"")</f>
        <v>補</v>
      </c>
      <c r="J8" s="271" t="str">
        <f>_xlfn.IFNA(   IF(   IF(  INDEX(警職大表!$A$1:$AZ$100,MATCH($A8,警職大表!$A$1:$A$100,0),   MATCH(J$1,警職大表!$A$3:$AZ$3,0)  )=0,"",INDEX(警職大表!$A$1:$AZ$100,MATCH($A8,警職大表!$A$1:$A$100,0),   MATCH(J$1,警職大表!$A$3:$AZ$3,0)  )        )="",I8,  IF(  INDEX(警職大表!$A$1:$AZ$100,MATCH($A8,警職大表!$A$1:$A$100,0),   MATCH(J$1,警職大表!$A$3:$AZ$3,0)  )=0,"",INDEX(警職大表!$A$1:$AZ$100,MATCH($A8,警職大表!$A$1:$A$100,0),   MATCH(J$1,警職大表!$A$3:$AZ$3,0)  ) )    ),"")</f>
        <v>補</v>
      </c>
      <c r="K8" s="271" t="str">
        <f>_xlfn.IFNA(   IF(   IF(  INDEX(警職大表!$A$1:$AZ$100,MATCH($A8,警職大表!$A$1:$A$100,0),   MATCH(K$1,警職大表!$A$3:$AZ$3,0)  )=0,"",INDEX(警職大表!$A$1:$AZ$100,MATCH($A8,警職大表!$A$1:$A$100,0),   MATCH(K$1,警職大表!$A$3:$AZ$3,0)  )        )="",J8,  IF(  INDEX(警職大表!$A$1:$AZ$100,MATCH($A8,警職大表!$A$1:$A$100,0),   MATCH(K$1,警職大表!$A$3:$AZ$3,0)  )=0,"",INDEX(警職大表!$A$1:$AZ$100,MATCH($A8,警職大表!$A$1:$A$100,0),   MATCH(K$1,警職大表!$A$3:$AZ$3,0)  ) )    ),"")</f>
        <v>補</v>
      </c>
      <c r="L8" s="271" t="str">
        <f>_xlfn.IFNA(   IF(   IF(  INDEX(警職大表!$A$1:$AZ$100,MATCH($A8,警職大表!$A$1:$A$100,0),   MATCH(L$1,警職大表!$A$3:$AZ$3,0)  )=0,"",INDEX(警職大表!$A$1:$AZ$100,MATCH($A8,警職大表!$A$1:$A$100,0),   MATCH(L$1,警職大表!$A$3:$AZ$3,0)  )        )="",K8,  IF(  INDEX(警職大表!$A$1:$AZ$100,MATCH($A8,警職大表!$A$1:$A$100,0),   MATCH(L$1,警職大表!$A$3:$AZ$3,0)  )=0,"",INDEX(警職大表!$A$1:$AZ$100,MATCH($A8,警職大表!$A$1:$A$100,0),   MATCH(L$1,警職大表!$A$3:$AZ$3,0)  ) )    ),"")</f>
        <v>補</v>
      </c>
      <c r="M8" s="271" t="str">
        <f>_xlfn.IFNA(   IF(   IF(  INDEX(警職大表!$A$1:$AZ$100,MATCH($A8,警職大表!$A$1:$A$100,0),   MATCH(M$1,警職大表!$A$3:$AZ$3,0)  )=0,"",INDEX(警職大表!$A$1:$AZ$100,MATCH($A8,警職大表!$A$1:$A$100,0),   MATCH(M$1,警職大表!$A$3:$AZ$3,0)  )        )="",L8,  IF(  INDEX(警職大表!$A$1:$AZ$100,MATCH($A8,警職大表!$A$1:$A$100,0),   MATCH(M$1,警職大表!$A$3:$AZ$3,0)  )=0,"",INDEX(警職大表!$A$1:$AZ$100,MATCH($A8,警職大表!$A$1:$A$100,0),   MATCH(M$1,警職大表!$A$3:$AZ$3,0)  ) )    ),"")</f>
        <v>補</v>
      </c>
      <c r="N8" s="271" t="str">
        <f>_xlfn.IFNA(   IF(   IF(  INDEX(警職大表!$A$1:$AZ$100,MATCH($A8,警職大表!$A$1:$A$100,0),   MATCH(N$1,警職大表!$A$3:$AZ$3,0)  )=0,"",INDEX(警職大表!$A$1:$AZ$100,MATCH($A8,警職大表!$A$1:$A$100,0),   MATCH(N$1,警職大表!$A$3:$AZ$3,0)  )        )="",M8,  IF(  INDEX(警職大表!$A$1:$AZ$100,MATCH($A8,警職大表!$A$1:$A$100,0),   MATCH(N$1,警職大表!$A$3:$AZ$3,0)  )=0,"",INDEX(警職大表!$A$1:$AZ$100,MATCH($A8,警職大表!$A$1:$A$100,0),   MATCH(N$1,警職大表!$A$3:$AZ$3,0)  ) )    ),"")</f>
        <v>補</v>
      </c>
      <c r="O8" s="271" t="str">
        <f>_xlfn.IFNA(   IF(   IF(  INDEX(警職大表!$A$1:$AZ$100,MATCH($A8,警職大表!$A$1:$A$100,0),   MATCH(O$1,警職大表!$A$3:$AZ$3,0)  )=0,"",INDEX(警職大表!$A$1:$AZ$100,MATCH($A8,警職大表!$A$1:$A$100,0),   MATCH(O$1,警職大表!$A$3:$AZ$3,0)  )        )="",N8,  IF(  INDEX(警職大表!$A$1:$AZ$100,MATCH($A8,警職大表!$A$1:$A$100,0),   MATCH(O$1,警職大表!$A$3:$AZ$3,0)  )=0,"",INDEX(警職大表!$A$1:$AZ$100,MATCH($A8,警職大表!$A$1:$A$100,0),   MATCH(O$1,警職大表!$A$3:$AZ$3,0)  ) )    ),"")</f>
        <v>補</v>
      </c>
      <c r="P8" s="271" t="str">
        <f>_xlfn.IFNA(   IF(   IF(  INDEX(警職大表!$A$1:$AZ$100,MATCH($A8,警職大表!$A$1:$A$100,0),   MATCH(P$1,警職大表!$A$3:$AZ$3,0)  )=0,"",INDEX(警職大表!$A$1:$AZ$100,MATCH($A8,警職大表!$A$1:$A$100,0),   MATCH(P$1,警職大表!$A$3:$AZ$3,0)  )        )="",O8,  IF(  INDEX(警職大表!$A$1:$AZ$100,MATCH($A8,警職大表!$A$1:$A$100,0),   MATCH(P$1,警職大表!$A$3:$AZ$3,0)  )=0,"",INDEX(警職大表!$A$1:$AZ$100,MATCH($A8,警職大表!$A$1:$A$100,0),   MATCH(P$1,警職大表!$A$3:$AZ$3,0)  ) )    ),"")</f>
        <v>補</v>
      </c>
      <c r="Q8" s="271" t="str">
        <f>_xlfn.IFNA(   IF(   IF(  INDEX(警職大表!$A$1:$AZ$100,MATCH($A8,警職大表!$A$1:$A$100,0),   MATCH(Q$1,警職大表!$A$3:$AZ$3,0)  )=0,"",INDEX(警職大表!$A$1:$AZ$100,MATCH($A8,警職大表!$A$1:$A$100,0),   MATCH(Q$1,警職大表!$A$3:$AZ$3,0)  )        )="",P8,  IF(  INDEX(警職大表!$A$1:$AZ$100,MATCH($A8,警職大表!$A$1:$A$100,0),   MATCH(Q$1,警職大表!$A$3:$AZ$3,0)  )=0,"",INDEX(警職大表!$A$1:$AZ$100,MATCH($A8,警職大表!$A$1:$A$100,0),   MATCH(Q$1,警職大表!$A$3:$AZ$3,0)  ) )    ),"")</f>
        <v>補</v>
      </c>
      <c r="R8" s="271" t="str">
        <f>_xlfn.IFNA(   IF(   IF(  INDEX(警職大表!$A$1:$AZ$100,MATCH($A8,警職大表!$A$1:$A$100,0),   MATCH(R$1,警職大表!$A$3:$AZ$3,0)  )=0,"",INDEX(警職大表!$A$1:$AZ$100,MATCH($A8,警職大表!$A$1:$A$100,0),   MATCH(R$1,警職大表!$A$3:$AZ$3,0)  )        )="",Q8,  IF(  INDEX(警職大表!$A$1:$AZ$100,MATCH($A8,警職大表!$A$1:$A$100,0),   MATCH(R$1,警職大表!$A$3:$AZ$3,0)  )=0,"",INDEX(警職大表!$A$1:$AZ$100,MATCH($A8,警職大表!$A$1:$A$100,0),   MATCH(R$1,警職大表!$A$3:$AZ$3,0)  ) )    ),"")</f>
        <v>補</v>
      </c>
      <c r="S8" s="271" t="str">
        <f>_xlfn.IFNA(   IF(   IF(  INDEX(警職大表!$A$1:$AZ$100,MATCH($A8,警職大表!$A$1:$A$100,0),   MATCH(S$1,警職大表!$A$3:$AZ$3,0)  )=0,"",INDEX(警職大表!$A$1:$AZ$100,MATCH($A8,警職大表!$A$1:$A$100,0),   MATCH(S$1,警職大表!$A$3:$AZ$3,0)  )        )="",R8,  IF(  INDEX(警職大表!$A$1:$AZ$100,MATCH($A8,警職大表!$A$1:$A$100,0),   MATCH(S$1,警職大表!$A$3:$AZ$3,0)  )=0,"",INDEX(警職大表!$A$1:$AZ$100,MATCH($A8,警職大表!$A$1:$A$100,0),   MATCH(S$1,警職大表!$A$3:$AZ$3,0)  ) )    ),"")</f>
        <v>補</v>
      </c>
      <c r="T8" s="271" t="str">
        <f>_xlfn.IFNA(   IF(   IF(  INDEX(警職大表!$A$1:$AZ$100,MATCH($A8,警職大表!$A$1:$A$100,0),   MATCH(T$1,警職大表!$A$3:$AZ$3,0)  )=0,"",INDEX(警職大表!$A$1:$AZ$100,MATCH($A8,警職大表!$A$1:$A$100,0),   MATCH(T$1,警職大表!$A$3:$AZ$3,0)  )        )="",S8,  IF(  INDEX(警職大表!$A$1:$AZ$100,MATCH($A8,警職大表!$A$1:$A$100,0),   MATCH(T$1,警職大表!$A$3:$AZ$3,0)  )=0,"",INDEX(警職大表!$A$1:$AZ$100,MATCH($A8,警職大表!$A$1:$A$100,0),   MATCH(T$1,警職大表!$A$3:$AZ$3,0)  ) )    ),"")</f>
        <v>補</v>
      </c>
      <c r="U8" s="271" t="str">
        <f>_xlfn.IFNA(   IF(   IF(  INDEX(警職大表!$A$1:$AZ$100,MATCH($A8,警職大表!$A$1:$A$100,0),   MATCH(U$1,警職大表!$A$3:$AZ$3,0)  )=0,"",INDEX(警職大表!$A$1:$AZ$100,MATCH($A8,警職大表!$A$1:$A$100,0),   MATCH(U$1,警職大表!$A$3:$AZ$3,0)  )        )="",T8,  IF(  INDEX(警職大表!$A$1:$AZ$100,MATCH($A8,警職大表!$A$1:$A$100,0),   MATCH(U$1,警職大表!$A$3:$AZ$3,0)  )=0,"",INDEX(警職大表!$A$1:$AZ$100,MATCH($A8,警職大表!$A$1:$A$100,0),   MATCH(U$1,警職大表!$A$3:$AZ$3,0)  ) )    ),"")</f>
        <v>補</v>
      </c>
      <c r="V8" s="271" t="str">
        <f>_xlfn.IFNA(   IF(   IF(  INDEX(警職大表!$A$1:$AZ$100,MATCH($A8,警職大表!$A$1:$A$100,0),   MATCH(V$1,警職大表!$A$3:$AZ$3,0)  )=0,"",INDEX(警職大表!$A$1:$AZ$100,MATCH($A8,警職大表!$A$1:$A$100,0),   MATCH(V$1,警職大表!$A$3:$AZ$3,0)  )        )="",U8,  IF(  INDEX(警職大表!$A$1:$AZ$100,MATCH($A8,警職大表!$A$1:$A$100,0),   MATCH(V$1,警職大表!$A$3:$AZ$3,0)  )=0,"",INDEX(警職大表!$A$1:$AZ$100,MATCH($A8,警職大表!$A$1:$A$100,0),   MATCH(V$1,警職大表!$A$3:$AZ$3,0)  ) )    ),"")</f>
        <v>補</v>
      </c>
      <c r="W8" s="271" t="str">
        <f>_xlfn.IFNA(   IF(   IF(  INDEX(警職大表!$A$1:$AZ$100,MATCH($A8,警職大表!$A$1:$A$100,0),   MATCH(W$1,警職大表!$A$3:$AZ$3,0)  )=0,"",INDEX(警職大表!$A$1:$AZ$100,MATCH($A8,警職大表!$A$1:$A$100,0),   MATCH(W$1,警職大表!$A$3:$AZ$3,0)  )        )="",V8,  IF(  INDEX(警職大表!$A$1:$AZ$100,MATCH($A8,警職大表!$A$1:$A$100,0),   MATCH(W$1,警職大表!$A$3:$AZ$3,0)  )=0,"",INDEX(警職大表!$A$1:$AZ$100,MATCH($A8,警職大表!$A$1:$A$100,0),   MATCH(W$1,警職大表!$A$3:$AZ$3,0)  ) )    ),"")</f>
        <v>補</v>
      </c>
      <c r="X8" s="271" t="str">
        <f>_xlfn.IFNA(   IF(   IF(  INDEX(警職大表!$A$1:$AZ$100,MATCH($A8,警職大表!$A$1:$A$100,0),   MATCH(X$1,警職大表!$A$3:$AZ$3,0)  )=0,"",INDEX(警職大表!$A$1:$AZ$100,MATCH($A8,警職大表!$A$1:$A$100,0),   MATCH(X$1,警職大表!$A$3:$AZ$3,0)  )        )="",W8,  IF(  INDEX(警職大表!$A$1:$AZ$100,MATCH($A8,警職大表!$A$1:$A$100,0),   MATCH(X$1,警職大表!$A$3:$AZ$3,0)  )=0,"",INDEX(警職大表!$A$1:$AZ$100,MATCH($A8,警職大表!$A$1:$A$100,0),   MATCH(X$1,警職大表!$A$3:$AZ$3,0)  ) )    ),"")</f>
        <v>補</v>
      </c>
      <c r="Y8" s="271" t="str">
        <f>_xlfn.IFNA(   IF(   IF(  INDEX(警職大表!$A$1:$AZ$100,MATCH($A8,警職大表!$A$1:$A$100,0),   MATCH(Y$1,警職大表!$A$3:$AZ$3,0)  )=0,"",INDEX(警職大表!$A$1:$AZ$100,MATCH($A8,警職大表!$A$1:$A$100,0),   MATCH(Y$1,警職大表!$A$3:$AZ$3,0)  )        )="",X8,  IF(  INDEX(警職大表!$A$1:$AZ$100,MATCH($A8,警職大表!$A$1:$A$100,0),   MATCH(Y$1,警職大表!$A$3:$AZ$3,0)  )=0,"",INDEX(警職大表!$A$1:$AZ$100,MATCH($A8,警職大表!$A$1:$A$100,0),   MATCH(Y$1,警職大表!$A$3:$AZ$3,0)  ) )    ),"")</f>
        <v>補</v>
      </c>
      <c r="Z8" s="271" t="str">
        <f>_xlfn.IFNA(   IF(   IF(  INDEX(警職大表!$A$1:$AZ$100,MATCH($A8,警職大表!$A$1:$A$100,0),   MATCH(Z$1,警職大表!$A$3:$AZ$3,0)  )=0,"",INDEX(警職大表!$A$1:$AZ$100,MATCH($A8,警職大表!$A$1:$A$100,0),   MATCH(Z$1,警職大表!$A$3:$AZ$3,0)  )        )="",Y8,  IF(  INDEX(警職大表!$A$1:$AZ$100,MATCH($A8,警職大表!$A$1:$A$100,0),   MATCH(Z$1,警職大表!$A$3:$AZ$3,0)  )=0,"",INDEX(警職大表!$A$1:$AZ$100,MATCH($A8,警職大表!$A$1:$A$100,0),   MATCH(Z$1,警職大表!$A$3:$AZ$3,0)  ) )    ),"")</f>
        <v>補</v>
      </c>
      <c r="AA8" s="271" t="str">
        <f>_xlfn.IFNA(   IF(   IF(  INDEX(警職大表!$A$1:$AZ$100,MATCH($A8,警職大表!$A$1:$A$100,0),   MATCH(AA$1,警職大表!$A$3:$AZ$3,0)  )=0,"",INDEX(警職大表!$A$1:$AZ$100,MATCH($A8,警職大表!$A$1:$A$100,0),   MATCH(AA$1,警職大表!$A$3:$AZ$3,0)  )        )="",Z8,  IF(  INDEX(警職大表!$A$1:$AZ$100,MATCH($A8,警職大表!$A$1:$A$100,0),   MATCH(AA$1,警職大表!$A$3:$AZ$3,0)  )=0,"",INDEX(警職大表!$A$1:$AZ$100,MATCH($A8,警職大表!$A$1:$A$100,0),   MATCH(AA$1,警職大表!$A$3:$AZ$3,0)  ) )    ),"")</f>
        <v>補</v>
      </c>
      <c r="AB8" s="271" t="str">
        <f>_xlfn.IFNA(   IF(   IF(  INDEX(警職大表!$A$1:$AZ$100,MATCH($A8,警職大表!$A$1:$A$100,0),   MATCH(AB$1,警職大表!$A$3:$AZ$3,0)  )=0,"",INDEX(警職大表!$A$1:$AZ$100,MATCH($A8,警職大表!$A$1:$A$100,0),   MATCH(AB$1,警職大表!$A$3:$AZ$3,0)  )        )="",AA8,  IF(  INDEX(警職大表!$A$1:$AZ$100,MATCH($A8,警職大表!$A$1:$A$100,0),   MATCH(AB$1,警職大表!$A$3:$AZ$3,0)  )=0,"",INDEX(警職大表!$A$1:$AZ$100,MATCH($A8,警職大表!$A$1:$A$100,0),   MATCH(AB$1,警職大表!$A$3:$AZ$3,0)  ) )    ),"")</f>
        <v>補</v>
      </c>
      <c r="AC8" s="271" t="str">
        <f>_xlfn.IFNA(   IF(   IF(  INDEX(警職大表!$A$1:$AZ$100,MATCH($A8,警職大表!$A$1:$A$100,0),   MATCH(AC$1,警職大表!$A$3:$AZ$3,0)  )=0,"",INDEX(警職大表!$A$1:$AZ$100,MATCH($A8,警職大表!$A$1:$A$100,0),   MATCH(AC$1,警職大表!$A$3:$AZ$3,0)  )        )="",AB8,  IF(  INDEX(警職大表!$A$1:$AZ$100,MATCH($A8,警職大表!$A$1:$A$100,0),   MATCH(AC$1,警職大表!$A$3:$AZ$3,0)  )=0,"",INDEX(警職大表!$A$1:$AZ$100,MATCH($A8,警職大表!$A$1:$A$100,0),   MATCH(AC$1,警職大表!$A$3:$AZ$3,0)  ) )    ),"")</f>
        <v>補</v>
      </c>
      <c r="AD8" s="271" t="str">
        <f>_xlfn.IFNA(   IF(   IF(  INDEX(警職大表!$A$1:$AZ$100,MATCH($A8,警職大表!$A$1:$A$100,0),   MATCH(AD$1,警職大表!$A$3:$AZ$3,0)  )=0,"",INDEX(警職大表!$A$1:$AZ$100,MATCH($A8,警職大表!$A$1:$A$100,0),   MATCH(AD$1,警職大表!$A$3:$AZ$3,0)  )        )="",AC8,  IF(  INDEX(警職大表!$A$1:$AZ$100,MATCH($A8,警職大表!$A$1:$A$100,0),   MATCH(AD$1,警職大表!$A$3:$AZ$3,0)  )=0,"",INDEX(警職大表!$A$1:$AZ$100,MATCH($A8,警職大表!$A$1:$A$100,0),   MATCH(AD$1,警職大表!$A$3:$AZ$3,0)  ) )    ),"")</f>
        <v>補</v>
      </c>
      <c r="AE8" s="271" t="str">
        <f>_xlfn.IFNA(   IF(   IF(  INDEX(警職大表!$A$1:$AZ$100,MATCH($A8,警職大表!$A$1:$A$100,0),   MATCH(AE$1,警職大表!$A$3:$AZ$3,0)  )=0,"",INDEX(警職大表!$A$1:$AZ$100,MATCH($A8,警職大表!$A$1:$A$100,0),   MATCH(AE$1,警職大表!$A$3:$AZ$3,0)  )        )="",AD8,  IF(  INDEX(警職大表!$A$1:$AZ$100,MATCH($A8,警職大表!$A$1:$A$100,0),   MATCH(AE$1,警職大表!$A$3:$AZ$3,0)  )=0,"",INDEX(警職大表!$A$1:$AZ$100,MATCH($A8,警職大表!$A$1:$A$100,0),   MATCH(AE$1,警職大表!$A$3:$AZ$3,0)  ) )    ),"")</f>
        <v>補</v>
      </c>
      <c r="AF8" s="271" t="str">
        <f>_xlfn.IFNA(   IF(   IF(  INDEX(警職大表!$A$1:$AZ$100,MATCH($A8,警職大表!$A$1:$A$100,0),   MATCH(AF$1,警職大表!$A$3:$AZ$3,0)  )=0,"",INDEX(警職大表!$A$1:$AZ$100,MATCH($A8,警職大表!$A$1:$A$100,0),   MATCH(AF$1,警職大表!$A$3:$AZ$3,0)  )        )="",AE8,  IF(  INDEX(警職大表!$A$1:$AZ$100,MATCH($A8,警職大表!$A$1:$A$100,0),   MATCH(AF$1,警職大表!$A$3:$AZ$3,0)  )=0,"",INDEX(警職大表!$A$1:$AZ$100,MATCH($A8,警職大表!$A$1:$A$100,0),   MATCH(AF$1,警職大表!$A$3:$AZ$3,0)  ) )    ),"")</f>
        <v>補</v>
      </c>
      <c r="AG8" s="271" t="str">
        <f>_xlfn.IFNA(   IF(   IF(  INDEX(警職大表!$A$1:$AZ$100,MATCH($A8,警職大表!$A$1:$A$100,0),   MATCH(AG$1,警職大表!$A$3:$AZ$3,0)  )=0,"",INDEX(警職大表!$A$1:$AZ$100,MATCH($A8,警職大表!$A$1:$A$100,0),   MATCH(AG$1,警職大表!$A$3:$AZ$3,0)  )        )="",AF8,  IF(  INDEX(警職大表!$A$1:$AZ$100,MATCH($A8,警職大表!$A$1:$A$100,0),   MATCH(AG$1,警職大表!$A$3:$AZ$3,0)  )=0,"",INDEX(警職大表!$A$1:$AZ$100,MATCH($A8,警職大表!$A$1:$A$100,0),   MATCH(AG$1,警職大表!$A$3:$AZ$3,0)  ) )    ),"")</f>
        <v>補</v>
      </c>
      <c r="AL8" s="271" t="str">
        <f t="shared" si="0"/>
        <v>K</v>
      </c>
      <c r="AM8" s="271" t="str">
        <f t="shared" si="1"/>
        <v>袁郁章</v>
      </c>
      <c r="AN8" s="271" t="str">
        <f>INDEX(   $A$41:$AG$78, MATCH(AL8,$A$41:$A$78,0),MATCH(  DAY(勤務分配表!$AN$1),$A$41:$AL$41,0  )  )</f>
        <v>補休</v>
      </c>
      <c r="AO8" s="271" t="str">
        <f>IF((ROW(AO8)-1)&lt;=日期輸入!$B$5,_xlfn.IFNA(IF(INDEX($A$1:$AG$40,MATCH($AM8,$B$1:$B$100,0),VALUE($AO$1+3))="成","補",INDEX($A$1:$AG$40,MATCH($AM8,$B$1:$B$100,0),VALUE($AO$1+3))),""),"")</f>
        <v>夜值</v>
      </c>
      <c r="AP8" s="271" t="str">
        <f>IF((ROW(AP8)-1)&lt;=日期輸入!$B$5,_xlfn.IFNA(IF(INDEX($A$1:$AG$40,MATCH($AM8,$B$1:$B$100,0),VALUE($AP$1+3))="成","補",INDEX($A$1:$AG$40,MATCH($AM8,$B$1:$B$100,0),VALUE($AP$1+3))),""),"")</f>
        <v>夜值</v>
      </c>
      <c r="AQ8" s="271" t="str">
        <f>IF((ROW(AQ8)-1)&lt;=日期輸入!$B$5,_xlfn.IFNA(IF(INDEX($A$1:$AG$40,MATCH($AM8,$B$1:$B$100,0),VALUE($AQ$1+3))="成","補",INDEX($A$1:$AG$40,MATCH($AM8,$B$1:$B$100,0),VALUE($AQ$1+3))),""),"")</f>
        <v>補</v>
      </c>
    </row>
    <row r="9" spans="1:47">
      <c r="A9" s="271" t="str">
        <f>IF(  (ROW(A9)-1)&lt;=日期輸入!$B$5,勤務分配!A9,"")</f>
        <v>L</v>
      </c>
      <c r="B9" s="271" t="str">
        <f>_xlfn.IFNA(  INDEX(警職大表!$A$1:$AZ$100,MATCH(A9,警職大表!$A$1:$A$100,0),3),"")</f>
        <v>黃慶生</v>
      </c>
      <c r="C9" s="271" t="str">
        <f>_xlfn.IFNA(   IF(   IF(  INDEX(警職大表!$A$1:$AZ$100,MATCH($A9,警職大表!$A$1:$A$100,0),   MATCH(C$1,警職大表!$A$3:$AZ$3,0)  )=0,"",INDEX(警職大表!$A$1:$AZ$100,MATCH($A9,警職大表!$A$1:$A$100,0),   MATCH(C$1,警職大表!$A$3:$AZ$3,0)  )        )="",B9,  IF(  INDEX(警職大表!$A$1:$AZ$100,MATCH($A9,警職大表!$A$1:$A$100,0),   MATCH(C$1,警職大表!$A$3:$AZ$3,0)  )=0,"",INDEX(警職大表!$A$1:$AZ$100,MATCH($A9,警職大表!$A$1:$A$100,0),   MATCH(C$1,警職大表!$A$3:$AZ$3,0)  ) )    ),"")</f>
        <v>X</v>
      </c>
      <c r="D9" s="271" t="str">
        <f>_xlfn.IFNA(   IF(   IF(  INDEX(警職大表!$A$1:$AZ$100,MATCH($A9,警職大表!$A$1:$A$100,0),   MATCH(D$1,警職大表!$A$3:$AZ$3,0)  )=0,"",INDEX(警職大表!$A$1:$AZ$100,MATCH($A9,警職大表!$A$1:$A$100,0),   MATCH(D$1,警職大表!$A$3:$AZ$3,0)  )        )="",C9,  IF(  INDEX(警職大表!$A$1:$AZ$100,MATCH($A9,警職大表!$A$1:$A$100,0),   MATCH(D$1,警職大表!$A$3:$AZ$3,0)  )=0,"",INDEX(警職大表!$A$1:$AZ$100,MATCH($A9,警職大表!$A$1:$A$100,0),   MATCH(D$1,警職大表!$A$3:$AZ$3,0)  ) )    ),"")</f>
        <v>X</v>
      </c>
      <c r="E9" s="271" t="str">
        <f>_xlfn.IFNA(   IF(   IF(  INDEX(警職大表!$A$1:$AZ$100,MATCH($A9,警職大表!$A$1:$A$100,0),   MATCH(E$1,警職大表!$A$3:$AZ$3,0)  )=0,"",INDEX(警職大表!$A$1:$AZ$100,MATCH($A9,警職大表!$A$1:$A$100,0),   MATCH(E$1,警職大表!$A$3:$AZ$3,0)  )        )="",D9,  IF(  INDEX(警職大表!$A$1:$AZ$100,MATCH($A9,警職大表!$A$1:$A$100,0),   MATCH(E$1,警職大表!$A$3:$AZ$3,0)  )=0,"",INDEX(警職大表!$A$1:$AZ$100,MATCH($A9,警職大表!$A$1:$A$100,0),   MATCH(E$1,警職大表!$A$3:$AZ$3,0)  ) )    ),"")</f>
        <v>休</v>
      </c>
      <c r="F9" s="271" t="str">
        <f>_xlfn.IFNA(   IF(   IF(  INDEX(警職大表!$A$1:$AZ$100,MATCH($A9,警職大表!$A$1:$A$100,0),   MATCH(F$1,警職大表!$A$3:$AZ$3,0)  )=0,"",INDEX(警職大表!$A$1:$AZ$100,MATCH($A9,警職大表!$A$1:$A$100,0),   MATCH(F$1,警職大表!$A$3:$AZ$3,0)  )        )="",E9,  IF(  INDEX(警職大表!$A$1:$AZ$100,MATCH($A9,警職大表!$A$1:$A$100,0),   MATCH(F$1,警職大表!$A$3:$AZ$3,0)  )=0,"",INDEX(警職大表!$A$1:$AZ$100,MATCH($A9,警職大表!$A$1:$A$100,0),   MATCH(F$1,警職大表!$A$3:$AZ$3,0)  ) )    ),"")</f>
        <v>夜值</v>
      </c>
      <c r="G9" s="271" t="str">
        <f>_xlfn.IFNA(   IF(   IF(  INDEX(警職大表!$A$1:$AZ$100,MATCH($A9,警職大表!$A$1:$A$100,0),   MATCH(G$1,警職大表!$A$3:$AZ$3,0)  )=0,"",INDEX(警職大表!$A$1:$AZ$100,MATCH($A9,警職大表!$A$1:$A$100,0),   MATCH(G$1,警職大表!$A$3:$AZ$3,0)  )        )="",F9,  IF(  INDEX(警職大表!$A$1:$AZ$100,MATCH($A9,警職大表!$A$1:$A$100,0),   MATCH(G$1,警職大表!$A$3:$AZ$3,0)  )=0,"",INDEX(警職大表!$A$1:$AZ$100,MATCH($A9,警職大表!$A$1:$A$100,0),   MATCH(G$1,警職大表!$A$3:$AZ$3,0)  ) )    ),"")</f>
        <v>夜值</v>
      </c>
      <c r="H9" s="271" t="str">
        <f>_xlfn.IFNA(   IF(   IF(  INDEX(警職大表!$A$1:$AZ$100,MATCH($A9,警職大表!$A$1:$A$100,0),   MATCH(H$1,警職大表!$A$3:$AZ$3,0)  )=0,"",INDEX(警職大表!$A$1:$AZ$100,MATCH($A9,警職大表!$A$1:$A$100,0),   MATCH(H$1,警職大表!$A$3:$AZ$3,0)  )        )="",G9,  IF(  INDEX(警職大表!$A$1:$AZ$100,MATCH($A9,警職大表!$A$1:$A$100,0),   MATCH(H$1,警職大表!$A$3:$AZ$3,0)  )=0,"",INDEX(警職大表!$A$1:$AZ$100,MATCH($A9,警職大表!$A$1:$A$100,0),   MATCH(H$1,警職大表!$A$3:$AZ$3,0)  ) )    ),"")</f>
        <v>夜值</v>
      </c>
      <c r="I9" s="271" t="str">
        <f>_xlfn.IFNA(   IF(   IF(  INDEX(警職大表!$A$1:$AZ$100,MATCH($A9,警職大表!$A$1:$A$100,0),   MATCH(I$1,警職大表!$A$3:$AZ$3,0)  )=0,"",INDEX(警職大表!$A$1:$AZ$100,MATCH($A9,警職大表!$A$1:$A$100,0),   MATCH(I$1,警職大表!$A$3:$AZ$3,0)  )        )="",H9,  IF(  INDEX(警職大表!$A$1:$AZ$100,MATCH($A9,警職大表!$A$1:$A$100,0),   MATCH(I$1,警職大表!$A$3:$AZ$3,0)  )=0,"",INDEX(警職大表!$A$1:$AZ$100,MATCH($A9,警職大表!$A$1:$A$100,0),   MATCH(I$1,警職大表!$A$3:$AZ$3,0)  ) )    ),"")</f>
        <v>夜值</v>
      </c>
      <c r="J9" s="271" t="str">
        <f>_xlfn.IFNA(   IF(   IF(  INDEX(警職大表!$A$1:$AZ$100,MATCH($A9,警職大表!$A$1:$A$100,0),   MATCH(J$1,警職大表!$A$3:$AZ$3,0)  )=0,"",INDEX(警職大表!$A$1:$AZ$100,MATCH($A9,警職大表!$A$1:$A$100,0),   MATCH(J$1,警職大表!$A$3:$AZ$3,0)  )        )="",I9,  IF(  INDEX(警職大表!$A$1:$AZ$100,MATCH($A9,警職大表!$A$1:$A$100,0),   MATCH(J$1,警職大表!$A$3:$AZ$3,0)  )=0,"",INDEX(警職大表!$A$1:$AZ$100,MATCH($A9,警職大表!$A$1:$A$100,0),   MATCH(J$1,警職大表!$A$3:$AZ$3,0)  ) )    ),"")</f>
        <v>夜值</v>
      </c>
      <c r="K9" s="271" t="str">
        <f>_xlfn.IFNA(   IF(   IF(  INDEX(警職大表!$A$1:$AZ$100,MATCH($A9,警職大表!$A$1:$A$100,0),   MATCH(K$1,警職大表!$A$3:$AZ$3,0)  )=0,"",INDEX(警職大表!$A$1:$AZ$100,MATCH($A9,警職大表!$A$1:$A$100,0),   MATCH(K$1,警職大表!$A$3:$AZ$3,0)  )        )="",J9,  IF(  INDEX(警職大表!$A$1:$AZ$100,MATCH($A9,警職大表!$A$1:$A$100,0),   MATCH(K$1,警職大表!$A$3:$AZ$3,0)  )=0,"",INDEX(警職大表!$A$1:$AZ$100,MATCH($A9,警職大表!$A$1:$A$100,0),   MATCH(K$1,警職大表!$A$3:$AZ$3,0)  ) )    ),"")</f>
        <v>夜值</v>
      </c>
      <c r="L9" s="271" t="str">
        <f>_xlfn.IFNA(   IF(   IF(  INDEX(警職大表!$A$1:$AZ$100,MATCH($A9,警職大表!$A$1:$A$100,0),   MATCH(L$1,警職大表!$A$3:$AZ$3,0)  )=0,"",INDEX(警職大表!$A$1:$AZ$100,MATCH($A9,警職大表!$A$1:$A$100,0),   MATCH(L$1,警職大表!$A$3:$AZ$3,0)  )        )="",K9,  IF(  INDEX(警職大表!$A$1:$AZ$100,MATCH($A9,警職大表!$A$1:$A$100,0),   MATCH(L$1,警職大表!$A$3:$AZ$3,0)  )=0,"",INDEX(警職大表!$A$1:$AZ$100,MATCH($A9,警職大表!$A$1:$A$100,0),   MATCH(L$1,警職大表!$A$3:$AZ$3,0)  ) )    ),"")</f>
        <v>夜值</v>
      </c>
      <c r="M9" s="271" t="str">
        <f>_xlfn.IFNA(   IF(   IF(  INDEX(警職大表!$A$1:$AZ$100,MATCH($A9,警職大表!$A$1:$A$100,0),   MATCH(M$1,警職大表!$A$3:$AZ$3,0)  )=0,"",INDEX(警職大表!$A$1:$AZ$100,MATCH($A9,警職大表!$A$1:$A$100,0),   MATCH(M$1,警職大表!$A$3:$AZ$3,0)  )        )="",L9,  IF(  INDEX(警職大表!$A$1:$AZ$100,MATCH($A9,警職大表!$A$1:$A$100,0),   MATCH(M$1,警職大表!$A$3:$AZ$3,0)  )=0,"",INDEX(警職大表!$A$1:$AZ$100,MATCH($A9,警職大表!$A$1:$A$100,0),   MATCH(M$1,警職大表!$A$3:$AZ$3,0)  ) )    ),"")</f>
        <v>夜值</v>
      </c>
      <c r="N9" s="271" t="str">
        <f>_xlfn.IFNA(   IF(   IF(  INDEX(警職大表!$A$1:$AZ$100,MATCH($A9,警職大表!$A$1:$A$100,0),   MATCH(N$1,警職大表!$A$3:$AZ$3,0)  )=0,"",INDEX(警職大表!$A$1:$AZ$100,MATCH($A9,警職大表!$A$1:$A$100,0),   MATCH(N$1,警職大表!$A$3:$AZ$3,0)  )        )="",M9,  IF(  INDEX(警職大表!$A$1:$AZ$100,MATCH($A9,警職大表!$A$1:$A$100,0),   MATCH(N$1,警職大表!$A$3:$AZ$3,0)  )=0,"",INDEX(警職大表!$A$1:$AZ$100,MATCH($A9,警職大表!$A$1:$A$100,0),   MATCH(N$1,警職大表!$A$3:$AZ$3,0)  ) )    ),"")</f>
        <v>夜值</v>
      </c>
      <c r="O9" s="271" t="str">
        <f>_xlfn.IFNA(   IF(   IF(  INDEX(警職大表!$A$1:$AZ$100,MATCH($A9,警職大表!$A$1:$A$100,0),   MATCH(O$1,警職大表!$A$3:$AZ$3,0)  )=0,"",INDEX(警職大表!$A$1:$AZ$100,MATCH($A9,警職大表!$A$1:$A$100,0),   MATCH(O$1,警職大表!$A$3:$AZ$3,0)  )        )="",N9,  IF(  INDEX(警職大表!$A$1:$AZ$100,MATCH($A9,警職大表!$A$1:$A$100,0),   MATCH(O$1,警職大表!$A$3:$AZ$3,0)  )=0,"",INDEX(警職大表!$A$1:$AZ$100,MATCH($A9,警職大表!$A$1:$A$100,0),   MATCH(O$1,警職大表!$A$3:$AZ$3,0)  ) )    ),"")</f>
        <v>夜值</v>
      </c>
      <c r="P9" s="271" t="str">
        <f>_xlfn.IFNA(   IF(   IF(  INDEX(警職大表!$A$1:$AZ$100,MATCH($A9,警職大表!$A$1:$A$100,0),   MATCH(P$1,警職大表!$A$3:$AZ$3,0)  )=0,"",INDEX(警職大表!$A$1:$AZ$100,MATCH($A9,警職大表!$A$1:$A$100,0),   MATCH(P$1,警職大表!$A$3:$AZ$3,0)  )        )="",O9,  IF(  INDEX(警職大表!$A$1:$AZ$100,MATCH($A9,警職大表!$A$1:$A$100,0),   MATCH(P$1,警職大表!$A$3:$AZ$3,0)  )=0,"",INDEX(警職大表!$A$1:$AZ$100,MATCH($A9,警職大表!$A$1:$A$100,0),   MATCH(P$1,警職大表!$A$3:$AZ$3,0)  ) )    ),"")</f>
        <v>夜值</v>
      </c>
      <c r="Q9" s="271" t="str">
        <f>_xlfn.IFNA(   IF(   IF(  INDEX(警職大表!$A$1:$AZ$100,MATCH($A9,警職大表!$A$1:$A$100,0),   MATCH(Q$1,警職大表!$A$3:$AZ$3,0)  )=0,"",INDEX(警職大表!$A$1:$AZ$100,MATCH($A9,警職大表!$A$1:$A$100,0),   MATCH(Q$1,警職大表!$A$3:$AZ$3,0)  )        )="",P9,  IF(  INDEX(警職大表!$A$1:$AZ$100,MATCH($A9,警職大表!$A$1:$A$100,0),   MATCH(Q$1,警職大表!$A$3:$AZ$3,0)  )=0,"",INDEX(警職大表!$A$1:$AZ$100,MATCH($A9,警職大表!$A$1:$A$100,0),   MATCH(Q$1,警職大表!$A$3:$AZ$3,0)  ) )    ),"")</f>
        <v>夜值</v>
      </c>
      <c r="R9" s="271" t="str">
        <f>_xlfn.IFNA(   IF(   IF(  INDEX(警職大表!$A$1:$AZ$100,MATCH($A9,警職大表!$A$1:$A$100,0),   MATCH(R$1,警職大表!$A$3:$AZ$3,0)  )=0,"",INDEX(警職大表!$A$1:$AZ$100,MATCH($A9,警職大表!$A$1:$A$100,0),   MATCH(R$1,警職大表!$A$3:$AZ$3,0)  )        )="",Q9,  IF(  INDEX(警職大表!$A$1:$AZ$100,MATCH($A9,警職大表!$A$1:$A$100,0),   MATCH(R$1,警職大表!$A$3:$AZ$3,0)  )=0,"",INDEX(警職大表!$A$1:$AZ$100,MATCH($A9,警職大表!$A$1:$A$100,0),   MATCH(R$1,警職大表!$A$3:$AZ$3,0)  ) )    ),"")</f>
        <v>夜值</v>
      </c>
      <c r="S9" s="271" t="str">
        <f>_xlfn.IFNA(   IF(   IF(  INDEX(警職大表!$A$1:$AZ$100,MATCH($A9,警職大表!$A$1:$A$100,0),   MATCH(S$1,警職大表!$A$3:$AZ$3,0)  )=0,"",INDEX(警職大表!$A$1:$AZ$100,MATCH($A9,警職大表!$A$1:$A$100,0),   MATCH(S$1,警職大表!$A$3:$AZ$3,0)  )        )="",R9,  IF(  INDEX(警職大表!$A$1:$AZ$100,MATCH($A9,警職大表!$A$1:$A$100,0),   MATCH(S$1,警職大表!$A$3:$AZ$3,0)  )=0,"",INDEX(警職大表!$A$1:$AZ$100,MATCH($A9,警職大表!$A$1:$A$100,0),   MATCH(S$1,警職大表!$A$3:$AZ$3,0)  ) )    ),"")</f>
        <v>夜值</v>
      </c>
      <c r="T9" s="271" t="str">
        <f>_xlfn.IFNA(   IF(   IF(  INDEX(警職大表!$A$1:$AZ$100,MATCH($A9,警職大表!$A$1:$A$100,0),   MATCH(T$1,警職大表!$A$3:$AZ$3,0)  )=0,"",INDEX(警職大表!$A$1:$AZ$100,MATCH($A9,警職大表!$A$1:$A$100,0),   MATCH(T$1,警職大表!$A$3:$AZ$3,0)  )        )="",S9,  IF(  INDEX(警職大表!$A$1:$AZ$100,MATCH($A9,警職大表!$A$1:$A$100,0),   MATCH(T$1,警職大表!$A$3:$AZ$3,0)  )=0,"",INDEX(警職大表!$A$1:$AZ$100,MATCH($A9,警職大表!$A$1:$A$100,0),   MATCH(T$1,警職大表!$A$3:$AZ$3,0)  ) )    ),"")</f>
        <v>夜值</v>
      </c>
      <c r="U9" s="271" t="str">
        <f>_xlfn.IFNA(   IF(   IF(  INDEX(警職大表!$A$1:$AZ$100,MATCH($A9,警職大表!$A$1:$A$100,0),   MATCH(U$1,警職大表!$A$3:$AZ$3,0)  )=0,"",INDEX(警職大表!$A$1:$AZ$100,MATCH($A9,警職大表!$A$1:$A$100,0),   MATCH(U$1,警職大表!$A$3:$AZ$3,0)  )        )="",T9,  IF(  INDEX(警職大表!$A$1:$AZ$100,MATCH($A9,警職大表!$A$1:$A$100,0),   MATCH(U$1,警職大表!$A$3:$AZ$3,0)  )=0,"",INDEX(警職大表!$A$1:$AZ$100,MATCH($A9,警職大表!$A$1:$A$100,0),   MATCH(U$1,警職大表!$A$3:$AZ$3,0)  ) )    ),"")</f>
        <v>夜值</v>
      </c>
      <c r="V9" s="271" t="str">
        <f>_xlfn.IFNA(   IF(   IF(  INDEX(警職大表!$A$1:$AZ$100,MATCH($A9,警職大表!$A$1:$A$100,0),   MATCH(V$1,警職大表!$A$3:$AZ$3,0)  )=0,"",INDEX(警職大表!$A$1:$AZ$100,MATCH($A9,警職大表!$A$1:$A$100,0),   MATCH(V$1,警職大表!$A$3:$AZ$3,0)  )        )="",U9,  IF(  INDEX(警職大表!$A$1:$AZ$100,MATCH($A9,警職大表!$A$1:$A$100,0),   MATCH(V$1,警職大表!$A$3:$AZ$3,0)  )=0,"",INDEX(警職大表!$A$1:$AZ$100,MATCH($A9,警職大表!$A$1:$A$100,0),   MATCH(V$1,警職大表!$A$3:$AZ$3,0)  ) )    ),"")</f>
        <v>夜值</v>
      </c>
      <c r="W9" s="271" t="str">
        <f>_xlfn.IFNA(   IF(   IF(  INDEX(警職大表!$A$1:$AZ$100,MATCH($A9,警職大表!$A$1:$A$100,0),   MATCH(W$1,警職大表!$A$3:$AZ$3,0)  )=0,"",INDEX(警職大表!$A$1:$AZ$100,MATCH($A9,警職大表!$A$1:$A$100,0),   MATCH(W$1,警職大表!$A$3:$AZ$3,0)  )        )="",V9,  IF(  INDEX(警職大表!$A$1:$AZ$100,MATCH($A9,警職大表!$A$1:$A$100,0),   MATCH(W$1,警職大表!$A$3:$AZ$3,0)  )=0,"",INDEX(警職大表!$A$1:$AZ$100,MATCH($A9,警職大表!$A$1:$A$100,0),   MATCH(W$1,警職大表!$A$3:$AZ$3,0)  ) )    ),"")</f>
        <v>夜值</v>
      </c>
      <c r="X9" s="271" t="str">
        <f>_xlfn.IFNA(   IF(   IF(  INDEX(警職大表!$A$1:$AZ$100,MATCH($A9,警職大表!$A$1:$A$100,0),   MATCH(X$1,警職大表!$A$3:$AZ$3,0)  )=0,"",INDEX(警職大表!$A$1:$AZ$100,MATCH($A9,警職大表!$A$1:$A$100,0),   MATCH(X$1,警職大表!$A$3:$AZ$3,0)  )        )="",W9,  IF(  INDEX(警職大表!$A$1:$AZ$100,MATCH($A9,警職大表!$A$1:$A$100,0),   MATCH(X$1,警職大表!$A$3:$AZ$3,0)  )=0,"",INDEX(警職大表!$A$1:$AZ$100,MATCH($A9,警職大表!$A$1:$A$100,0),   MATCH(X$1,警職大表!$A$3:$AZ$3,0)  ) )    ),"")</f>
        <v>夜值</v>
      </c>
      <c r="Y9" s="271" t="str">
        <f>_xlfn.IFNA(   IF(   IF(  INDEX(警職大表!$A$1:$AZ$100,MATCH($A9,警職大表!$A$1:$A$100,0),   MATCH(Y$1,警職大表!$A$3:$AZ$3,0)  )=0,"",INDEX(警職大表!$A$1:$AZ$100,MATCH($A9,警職大表!$A$1:$A$100,0),   MATCH(Y$1,警職大表!$A$3:$AZ$3,0)  )        )="",X9,  IF(  INDEX(警職大表!$A$1:$AZ$100,MATCH($A9,警職大表!$A$1:$A$100,0),   MATCH(Y$1,警職大表!$A$3:$AZ$3,0)  )=0,"",INDEX(警職大表!$A$1:$AZ$100,MATCH($A9,警職大表!$A$1:$A$100,0),   MATCH(Y$1,警職大表!$A$3:$AZ$3,0)  ) )    ),"")</f>
        <v>夜值</v>
      </c>
      <c r="Z9" s="271" t="str">
        <f>_xlfn.IFNA(   IF(   IF(  INDEX(警職大表!$A$1:$AZ$100,MATCH($A9,警職大表!$A$1:$A$100,0),   MATCH(Z$1,警職大表!$A$3:$AZ$3,0)  )=0,"",INDEX(警職大表!$A$1:$AZ$100,MATCH($A9,警職大表!$A$1:$A$100,0),   MATCH(Z$1,警職大表!$A$3:$AZ$3,0)  )        )="",Y9,  IF(  INDEX(警職大表!$A$1:$AZ$100,MATCH($A9,警職大表!$A$1:$A$100,0),   MATCH(Z$1,警職大表!$A$3:$AZ$3,0)  )=0,"",INDEX(警職大表!$A$1:$AZ$100,MATCH($A9,警職大表!$A$1:$A$100,0),   MATCH(Z$1,警職大表!$A$3:$AZ$3,0)  ) )    ),"")</f>
        <v>夜值</v>
      </c>
      <c r="AA9" s="271" t="str">
        <f>_xlfn.IFNA(   IF(   IF(  INDEX(警職大表!$A$1:$AZ$100,MATCH($A9,警職大表!$A$1:$A$100,0),   MATCH(AA$1,警職大表!$A$3:$AZ$3,0)  )=0,"",INDEX(警職大表!$A$1:$AZ$100,MATCH($A9,警職大表!$A$1:$A$100,0),   MATCH(AA$1,警職大表!$A$3:$AZ$3,0)  )        )="",Z9,  IF(  INDEX(警職大表!$A$1:$AZ$100,MATCH($A9,警職大表!$A$1:$A$100,0),   MATCH(AA$1,警職大表!$A$3:$AZ$3,0)  )=0,"",INDEX(警職大表!$A$1:$AZ$100,MATCH($A9,警職大表!$A$1:$A$100,0),   MATCH(AA$1,警職大表!$A$3:$AZ$3,0)  ) )    ),"")</f>
        <v>夜值</v>
      </c>
      <c r="AB9" s="271" t="str">
        <f>_xlfn.IFNA(   IF(   IF(  INDEX(警職大表!$A$1:$AZ$100,MATCH($A9,警職大表!$A$1:$A$100,0),   MATCH(AB$1,警職大表!$A$3:$AZ$3,0)  )=0,"",INDEX(警職大表!$A$1:$AZ$100,MATCH($A9,警職大表!$A$1:$A$100,0),   MATCH(AB$1,警職大表!$A$3:$AZ$3,0)  )        )="",AA9,  IF(  INDEX(警職大表!$A$1:$AZ$100,MATCH($A9,警職大表!$A$1:$A$100,0),   MATCH(AB$1,警職大表!$A$3:$AZ$3,0)  )=0,"",INDEX(警職大表!$A$1:$AZ$100,MATCH($A9,警職大表!$A$1:$A$100,0),   MATCH(AB$1,警職大表!$A$3:$AZ$3,0)  ) )    ),"")</f>
        <v>夜值</v>
      </c>
      <c r="AC9" s="271" t="str">
        <f>_xlfn.IFNA(   IF(   IF(  INDEX(警職大表!$A$1:$AZ$100,MATCH($A9,警職大表!$A$1:$A$100,0),   MATCH(AC$1,警職大表!$A$3:$AZ$3,0)  )=0,"",INDEX(警職大表!$A$1:$AZ$100,MATCH($A9,警職大表!$A$1:$A$100,0),   MATCH(AC$1,警職大表!$A$3:$AZ$3,0)  )        )="",AB9,  IF(  INDEX(警職大表!$A$1:$AZ$100,MATCH($A9,警職大表!$A$1:$A$100,0),   MATCH(AC$1,警職大表!$A$3:$AZ$3,0)  )=0,"",INDEX(警職大表!$A$1:$AZ$100,MATCH($A9,警職大表!$A$1:$A$100,0),   MATCH(AC$1,警職大表!$A$3:$AZ$3,0)  ) )    ),"")</f>
        <v>夜值</v>
      </c>
      <c r="AD9" s="271" t="str">
        <f>_xlfn.IFNA(   IF(   IF(  INDEX(警職大表!$A$1:$AZ$100,MATCH($A9,警職大表!$A$1:$A$100,0),   MATCH(AD$1,警職大表!$A$3:$AZ$3,0)  )=0,"",INDEX(警職大表!$A$1:$AZ$100,MATCH($A9,警職大表!$A$1:$A$100,0),   MATCH(AD$1,警職大表!$A$3:$AZ$3,0)  )        )="",AC9,  IF(  INDEX(警職大表!$A$1:$AZ$100,MATCH($A9,警職大表!$A$1:$A$100,0),   MATCH(AD$1,警職大表!$A$3:$AZ$3,0)  )=0,"",INDEX(警職大表!$A$1:$AZ$100,MATCH($A9,警職大表!$A$1:$A$100,0),   MATCH(AD$1,警職大表!$A$3:$AZ$3,0)  ) )    ),"")</f>
        <v>夜值</v>
      </c>
      <c r="AE9" s="271" t="str">
        <f>_xlfn.IFNA(   IF(   IF(  INDEX(警職大表!$A$1:$AZ$100,MATCH($A9,警職大表!$A$1:$A$100,0),   MATCH(AE$1,警職大表!$A$3:$AZ$3,0)  )=0,"",INDEX(警職大表!$A$1:$AZ$100,MATCH($A9,警職大表!$A$1:$A$100,0),   MATCH(AE$1,警職大表!$A$3:$AZ$3,0)  )        )="",AD9,  IF(  INDEX(警職大表!$A$1:$AZ$100,MATCH($A9,警職大表!$A$1:$A$100,0),   MATCH(AE$1,警職大表!$A$3:$AZ$3,0)  )=0,"",INDEX(警職大表!$A$1:$AZ$100,MATCH($A9,警職大表!$A$1:$A$100,0),   MATCH(AE$1,警職大表!$A$3:$AZ$3,0)  ) )    ),"")</f>
        <v>夜值</v>
      </c>
      <c r="AF9" s="271" t="str">
        <f>_xlfn.IFNA(   IF(   IF(  INDEX(警職大表!$A$1:$AZ$100,MATCH($A9,警職大表!$A$1:$A$100,0),   MATCH(AF$1,警職大表!$A$3:$AZ$3,0)  )=0,"",INDEX(警職大表!$A$1:$AZ$100,MATCH($A9,警職大表!$A$1:$A$100,0),   MATCH(AF$1,警職大表!$A$3:$AZ$3,0)  )        )="",AE9,  IF(  INDEX(警職大表!$A$1:$AZ$100,MATCH($A9,警職大表!$A$1:$A$100,0),   MATCH(AF$1,警職大表!$A$3:$AZ$3,0)  )=0,"",INDEX(警職大表!$A$1:$AZ$100,MATCH($A9,警職大表!$A$1:$A$100,0),   MATCH(AF$1,警職大表!$A$3:$AZ$3,0)  ) )    ),"")</f>
        <v>夜值</v>
      </c>
      <c r="AG9" s="271" t="str">
        <f>_xlfn.IFNA(   IF(   IF(  INDEX(警職大表!$A$1:$AZ$100,MATCH($A9,警職大表!$A$1:$A$100,0),   MATCH(AG$1,警職大表!$A$3:$AZ$3,0)  )=0,"",INDEX(警職大表!$A$1:$AZ$100,MATCH($A9,警職大表!$A$1:$A$100,0),   MATCH(AG$1,警職大表!$A$3:$AZ$3,0)  )        )="",AF9,  IF(  INDEX(警職大表!$A$1:$AZ$100,MATCH($A9,警職大表!$A$1:$A$100,0),   MATCH(AG$1,警職大表!$A$3:$AZ$3,0)  )=0,"",INDEX(警職大表!$A$1:$AZ$100,MATCH($A9,警職大表!$A$1:$A$100,0),   MATCH(AG$1,警職大表!$A$3:$AZ$3,0)  ) )    ),"")</f>
        <v>夜值</v>
      </c>
      <c r="AL9" s="271" t="str">
        <f t="shared" si="0"/>
        <v>L</v>
      </c>
      <c r="AM9" s="271" t="str">
        <f t="shared" si="1"/>
        <v>黃慶生</v>
      </c>
      <c r="AN9" s="271" t="str">
        <f>INDEX(   $A$41:$AG$78, MATCH(AL9,$A$41:$A$78,0),MATCH(  DAY(勤務分配表!$AN$1),$A$41:$AL$41,0  )  )</f>
        <v>夜值(晚)</v>
      </c>
      <c r="AO9" s="271" t="str">
        <f>IF((ROW(AO9)-1)&lt;=日期輸入!$B$5,_xlfn.IFNA(IF(INDEX($A$1:$AG$40,MATCH($AM9,$B$1:$B$100,0),VALUE($AO$1+3))="成","補",INDEX($A$1:$AG$40,MATCH($AM9,$B$1:$B$100,0),VALUE($AO$1+3))),""),"")</f>
        <v>X</v>
      </c>
      <c r="AP9" s="271" t="str">
        <f>IF((ROW(AP9)-1)&lt;=日期輸入!$B$5,_xlfn.IFNA(IF(INDEX($A$1:$AG$40,MATCH($AM9,$B$1:$B$100,0),VALUE($AP$1+3))="成","補",INDEX($A$1:$AG$40,MATCH($AM9,$B$1:$B$100,0),VALUE($AP$1+3))),""),"")</f>
        <v>X</v>
      </c>
      <c r="AQ9" s="271" t="str">
        <f>IF((ROW(AQ9)-1)&lt;=日期輸入!$B$5,_xlfn.IFNA(IF(INDEX($A$1:$AG$40,MATCH($AM9,$B$1:$B$100,0),VALUE($AQ$1+3))="成","補",INDEX($A$1:$AG$40,MATCH($AM9,$B$1:$B$100,0),VALUE($AQ$1+3))),""),"")</f>
        <v>休</v>
      </c>
    </row>
    <row r="10" spans="1:47">
      <c r="A10" s="271" t="str">
        <f>IF(  (ROW(A10)-1)&lt;=日期輸入!$B$5,勤務分配!A10,"")</f>
        <v>M</v>
      </c>
      <c r="B10" s="271" t="str">
        <f>_xlfn.IFNA(  INDEX(警職大表!$A$1:$AZ$100,MATCH(A10,警職大表!$A$1:$A$100,0),3),"")</f>
        <v>洪奇昌</v>
      </c>
      <c r="C10" s="271" t="str">
        <f>_xlfn.IFNA(   IF(   IF(  INDEX(警職大表!$A$1:$AZ$100,MATCH($A10,警職大表!$A$1:$A$100,0),   MATCH(C$1,警職大表!$A$3:$AZ$3,0)  )=0,"",INDEX(警職大表!$A$1:$AZ$100,MATCH($A10,警職大表!$A$1:$A$100,0),   MATCH(C$1,警職大表!$A$3:$AZ$3,0)  )        )="",B10,  IF(  INDEX(警職大表!$A$1:$AZ$100,MATCH($A10,警職大表!$A$1:$A$100,0),   MATCH(C$1,警職大表!$A$3:$AZ$3,0)  )=0,"",INDEX(警職大表!$A$1:$AZ$100,MATCH($A10,警職大表!$A$1:$A$100,0),   MATCH(C$1,警職大表!$A$3:$AZ$3,0)  ) )    ),"")</f>
        <v>休</v>
      </c>
      <c r="D10" s="271" t="str">
        <f>_xlfn.IFNA(   IF(   IF(  INDEX(警職大表!$A$1:$AZ$100,MATCH($A10,警職大表!$A$1:$A$100,0),   MATCH(D$1,警職大表!$A$3:$AZ$3,0)  )=0,"",INDEX(警職大表!$A$1:$AZ$100,MATCH($A10,警職大表!$A$1:$A$100,0),   MATCH(D$1,警職大表!$A$3:$AZ$3,0)  )        )="",C10,  IF(  INDEX(警職大表!$A$1:$AZ$100,MATCH($A10,警職大表!$A$1:$A$100,0),   MATCH(D$1,警職大表!$A$3:$AZ$3,0)  )=0,"",INDEX(警職大表!$A$1:$AZ$100,MATCH($A10,警職大表!$A$1:$A$100,0),   MATCH(D$1,警職大表!$A$3:$AZ$3,0)  ) )    ),"")</f>
        <v>休</v>
      </c>
      <c r="E10" s="271" t="str">
        <f>_xlfn.IFNA(   IF(   IF(  INDEX(警職大表!$A$1:$AZ$100,MATCH($A10,警職大表!$A$1:$A$100,0),   MATCH(E$1,警職大表!$A$3:$AZ$3,0)  )=0,"",INDEX(警職大表!$A$1:$AZ$100,MATCH($A10,警職大表!$A$1:$A$100,0),   MATCH(E$1,警職大表!$A$3:$AZ$3,0)  )        )="",D10,  IF(  INDEX(警職大表!$A$1:$AZ$100,MATCH($A10,警職大表!$A$1:$A$100,0),   MATCH(E$1,警職大表!$A$3:$AZ$3,0)  )=0,"",INDEX(警職大表!$A$1:$AZ$100,MATCH($A10,警職大表!$A$1:$A$100,0),   MATCH(E$1,警職大表!$A$3:$AZ$3,0)  ) )    ),"")</f>
        <v>夜值</v>
      </c>
      <c r="F10" s="271" t="str">
        <f>_xlfn.IFNA(   IF(   IF(  INDEX(警職大表!$A$1:$AZ$100,MATCH($A10,警職大表!$A$1:$A$100,0),   MATCH(F$1,警職大表!$A$3:$AZ$3,0)  )=0,"",INDEX(警職大表!$A$1:$AZ$100,MATCH($A10,警職大表!$A$1:$A$100,0),   MATCH(F$1,警職大表!$A$3:$AZ$3,0)  )        )="",E10,  IF(  INDEX(警職大表!$A$1:$AZ$100,MATCH($A10,警職大表!$A$1:$A$100,0),   MATCH(F$1,警職大表!$A$3:$AZ$3,0)  )=0,"",INDEX(警職大表!$A$1:$AZ$100,MATCH($A10,警職大表!$A$1:$A$100,0),   MATCH(F$1,警職大表!$A$3:$AZ$3,0)  ) )    ),"")</f>
        <v>X</v>
      </c>
      <c r="G10" s="271" t="str">
        <f>_xlfn.IFNA(   IF(   IF(  INDEX(警職大表!$A$1:$AZ$100,MATCH($A10,警職大表!$A$1:$A$100,0),   MATCH(G$1,警職大表!$A$3:$AZ$3,0)  )=0,"",INDEX(警職大表!$A$1:$AZ$100,MATCH($A10,警職大表!$A$1:$A$100,0),   MATCH(G$1,警職大表!$A$3:$AZ$3,0)  )        )="",F10,  IF(  INDEX(警職大表!$A$1:$AZ$100,MATCH($A10,警職大表!$A$1:$A$100,0),   MATCH(G$1,警職大表!$A$3:$AZ$3,0)  )=0,"",INDEX(警職大表!$A$1:$AZ$100,MATCH($A10,警職大表!$A$1:$A$100,0),   MATCH(G$1,警職大表!$A$3:$AZ$3,0)  ) )    ),"")</f>
        <v>X</v>
      </c>
      <c r="H10" s="271" t="str">
        <f>_xlfn.IFNA(   IF(   IF(  INDEX(警職大表!$A$1:$AZ$100,MATCH($A10,警職大表!$A$1:$A$100,0),   MATCH(H$1,警職大表!$A$3:$AZ$3,0)  )=0,"",INDEX(警職大表!$A$1:$AZ$100,MATCH($A10,警職大表!$A$1:$A$100,0),   MATCH(H$1,警職大表!$A$3:$AZ$3,0)  )        )="",G10,  IF(  INDEX(警職大表!$A$1:$AZ$100,MATCH($A10,警職大表!$A$1:$A$100,0),   MATCH(H$1,警職大表!$A$3:$AZ$3,0)  )=0,"",INDEX(警職大表!$A$1:$AZ$100,MATCH($A10,警職大表!$A$1:$A$100,0),   MATCH(H$1,警職大表!$A$3:$AZ$3,0)  ) )    ),"")</f>
        <v>X</v>
      </c>
      <c r="I10" s="271" t="str">
        <f>_xlfn.IFNA(   IF(   IF(  INDEX(警職大表!$A$1:$AZ$100,MATCH($A10,警職大表!$A$1:$A$100,0),   MATCH(I$1,警職大表!$A$3:$AZ$3,0)  )=0,"",INDEX(警職大表!$A$1:$AZ$100,MATCH($A10,警職大表!$A$1:$A$100,0),   MATCH(I$1,警職大表!$A$3:$AZ$3,0)  )        )="",H10,  IF(  INDEX(警職大表!$A$1:$AZ$100,MATCH($A10,警職大表!$A$1:$A$100,0),   MATCH(I$1,警職大表!$A$3:$AZ$3,0)  )=0,"",INDEX(警職大表!$A$1:$AZ$100,MATCH($A10,警職大表!$A$1:$A$100,0),   MATCH(I$1,警職大表!$A$3:$AZ$3,0)  ) )    ),"")</f>
        <v>X</v>
      </c>
      <c r="J10" s="271" t="str">
        <f>_xlfn.IFNA(   IF(   IF(  INDEX(警職大表!$A$1:$AZ$100,MATCH($A10,警職大表!$A$1:$A$100,0),   MATCH(J$1,警職大表!$A$3:$AZ$3,0)  )=0,"",INDEX(警職大表!$A$1:$AZ$100,MATCH($A10,警職大表!$A$1:$A$100,0),   MATCH(J$1,警職大表!$A$3:$AZ$3,0)  )        )="",I10,  IF(  INDEX(警職大表!$A$1:$AZ$100,MATCH($A10,警職大表!$A$1:$A$100,0),   MATCH(J$1,警職大表!$A$3:$AZ$3,0)  )=0,"",INDEX(警職大表!$A$1:$AZ$100,MATCH($A10,警職大表!$A$1:$A$100,0),   MATCH(J$1,警職大表!$A$3:$AZ$3,0)  ) )    ),"")</f>
        <v>X</v>
      </c>
      <c r="K10" s="271" t="str">
        <f>_xlfn.IFNA(   IF(   IF(  INDEX(警職大表!$A$1:$AZ$100,MATCH($A10,警職大表!$A$1:$A$100,0),   MATCH(K$1,警職大表!$A$3:$AZ$3,0)  )=0,"",INDEX(警職大表!$A$1:$AZ$100,MATCH($A10,警職大表!$A$1:$A$100,0),   MATCH(K$1,警職大表!$A$3:$AZ$3,0)  )        )="",J10,  IF(  INDEX(警職大表!$A$1:$AZ$100,MATCH($A10,警職大表!$A$1:$A$100,0),   MATCH(K$1,警職大表!$A$3:$AZ$3,0)  )=0,"",INDEX(警職大表!$A$1:$AZ$100,MATCH($A10,警職大表!$A$1:$A$100,0),   MATCH(K$1,警職大表!$A$3:$AZ$3,0)  ) )    ),"")</f>
        <v>X</v>
      </c>
      <c r="L10" s="271" t="str">
        <f>_xlfn.IFNA(   IF(   IF(  INDEX(警職大表!$A$1:$AZ$100,MATCH($A10,警職大表!$A$1:$A$100,0),   MATCH(L$1,警職大表!$A$3:$AZ$3,0)  )=0,"",INDEX(警職大表!$A$1:$AZ$100,MATCH($A10,警職大表!$A$1:$A$100,0),   MATCH(L$1,警職大表!$A$3:$AZ$3,0)  )        )="",K10,  IF(  INDEX(警職大表!$A$1:$AZ$100,MATCH($A10,警職大表!$A$1:$A$100,0),   MATCH(L$1,警職大表!$A$3:$AZ$3,0)  )=0,"",INDEX(警職大表!$A$1:$AZ$100,MATCH($A10,警職大表!$A$1:$A$100,0),   MATCH(L$1,警職大表!$A$3:$AZ$3,0)  ) )    ),"")</f>
        <v>X</v>
      </c>
      <c r="M10" s="271" t="str">
        <f>_xlfn.IFNA(   IF(   IF(  INDEX(警職大表!$A$1:$AZ$100,MATCH($A10,警職大表!$A$1:$A$100,0),   MATCH(M$1,警職大表!$A$3:$AZ$3,0)  )=0,"",INDEX(警職大表!$A$1:$AZ$100,MATCH($A10,警職大表!$A$1:$A$100,0),   MATCH(M$1,警職大表!$A$3:$AZ$3,0)  )        )="",L10,  IF(  INDEX(警職大表!$A$1:$AZ$100,MATCH($A10,警職大表!$A$1:$A$100,0),   MATCH(M$1,警職大表!$A$3:$AZ$3,0)  )=0,"",INDEX(警職大表!$A$1:$AZ$100,MATCH($A10,警職大表!$A$1:$A$100,0),   MATCH(M$1,警職大表!$A$3:$AZ$3,0)  ) )    ),"")</f>
        <v>X</v>
      </c>
      <c r="N10" s="271" t="str">
        <f>_xlfn.IFNA(   IF(   IF(  INDEX(警職大表!$A$1:$AZ$100,MATCH($A10,警職大表!$A$1:$A$100,0),   MATCH(N$1,警職大表!$A$3:$AZ$3,0)  )=0,"",INDEX(警職大表!$A$1:$AZ$100,MATCH($A10,警職大表!$A$1:$A$100,0),   MATCH(N$1,警職大表!$A$3:$AZ$3,0)  )        )="",M10,  IF(  INDEX(警職大表!$A$1:$AZ$100,MATCH($A10,警職大表!$A$1:$A$100,0),   MATCH(N$1,警職大表!$A$3:$AZ$3,0)  )=0,"",INDEX(警職大表!$A$1:$AZ$100,MATCH($A10,警職大表!$A$1:$A$100,0),   MATCH(N$1,警職大表!$A$3:$AZ$3,0)  ) )    ),"")</f>
        <v>X</v>
      </c>
      <c r="O10" s="271" t="str">
        <f>_xlfn.IFNA(   IF(   IF(  INDEX(警職大表!$A$1:$AZ$100,MATCH($A10,警職大表!$A$1:$A$100,0),   MATCH(O$1,警職大表!$A$3:$AZ$3,0)  )=0,"",INDEX(警職大表!$A$1:$AZ$100,MATCH($A10,警職大表!$A$1:$A$100,0),   MATCH(O$1,警職大表!$A$3:$AZ$3,0)  )        )="",N10,  IF(  INDEX(警職大表!$A$1:$AZ$100,MATCH($A10,警職大表!$A$1:$A$100,0),   MATCH(O$1,警職大表!$A$3:$AZ$3,0)  )=0,"",INDEX(警職大表!$A$1:$AZ$100,MATCH($A10,警職大表!$A$1:$A$100,0),   MATCH(O$1,警職大表!$A$3:$AZ$3,0)  ) )    ),"")</f>
        <v>X</v>
      </c>
      <c r="P10" s="271" t="str">
        <f>_xlfn.IFNA(   IF(   IF(  INDEX(警職大表!$A$1:$AZ$100,MATCH($A10,警職大表!$A$1:$A$100,0),   MATCH(P$1,警職大表!$A$3:$AZ$3,0)  )=0,"",INDEX(警職大表!$A$1:$AZ$100,MATCH($A10,警職大表!$A$1:$A$100,0),   MATCH(P$1,警職大表!$A$3:$AZ$3,0)  )        )="",O10,  IF(  INDEX(警職大表!$A$1:$AZ$100,MATCH($A10,警職大表!$A$1:$A$100,0),   MATCH(P$1,警職大表!$A$3:$AZ$3,0)  )=0,"",INDEX(警職大表!$A$1:$AZ$100,MATCH($A10,警職大表!$A$1:$A$100,0),   MATCH(P$1,警職大表!$A$3:$AZ$3,0)  ) )    ),"")</f>
        <v>X</v>
      </c>
      <c r="Q10" s="271" t="str">
        <f>_xlfn.IFNA(   IF(   IF(  INDEX(警職大表!$A$1:$AZ$100,MATCH($A10,警職大表!$A$1:$A$100,0),   MATCH(Q$1,警職大表!$A$3:$AZ$3,0)  )=0,"",INDEX(警職大表!$A$1:$AZ$100,MATCH($A10,警職大表!$A$1:$A$100,0),   MATCH(Q$1,警職大表!$A$3:$AZ$3,0)  )        )="",P10,  IF(  INDEX(警職大表!$A$1:$AZ$100,MATCH($A10,警職大表!$A$1:$A$100,0),   MATCH(Q$1,警職大表!$A$3:$AZ$3,0)  )=0,"",INDEX(警職大表!$A$1:$AZ$100,MATCH($A10,警職大表!$A$1:$A$100,0),   MATCH(Q$1,警職大表!$A$3:$AZ$3,0)  ) )    ),"")</f>
        <v>X</v>
      </c>
      <c r="R10" s="271" t="str">
        <f>_xlfn.IFNA(   IF(   IF(  INDEX(警職大表!$A$1:$AZ$100,MATCH($A10,警職大表!$A$1:$A$100,0),   MATCH(R$1,警職大表!$A$3:$AZ$3,0)  )=0,"",INDEX(警職大表!$A$1:$AZ$100,MATCH($A10,警職大表!$A$1:$A$100,0),   MATCH(R$1,警職大表!$A$3:$AZ$3,0)  )        )="",Q10,  IF(  INDEX(警職大表!$A$1:$AZ$100,MATCH($A10,警職大表!$A$1:$A$100,0),   MATCH(R$1,警職大表!$A$3:$AZ$3,0)  )=0,"",INDEX(警職大表!$A$1:$AZ$100,MATCH($A10,警職大表!$A$1:$A$100,0),   MATCH(R$1,警職大表!$A$3:$AZ$3,0)  ) )    ),"")</f>
        <v>X</v>
      </c>
      <c r="S10" s="271" t="str">
        <f>_xlfn.IFNA(   IF(   IF(  INDEX(警職大表!$A$1:$AZ$100,MATCH($A10,警職大表!$A$1:$A$100,0),   MATCH(S$1,警職大表!$A$3:$AZ$3,0)  )=0,"",INDEX(警職大表!$A$1:$AZ$100,MATCH($A10,警職大表!$A$1:$A$100,0),   MATCH(S$1,警職大表!$A$3:$AZ$3,0)  )        )="",R10,  IF(  INDEX(警職大表!$A$1:$AZ$100,MATCH($A10,警職大表!$A$1:$A$100,0),   MATCH(S$1,警職大表!$A$3:$AZ$3,0)  )=0,"",INDEX(警職大表!$A$1:$AZ$100,MATCH($A10,警職大表!$A$1:$A$100,0),   MATCH(S$1,警職大表!$A$3:$AZ$3,0)  ) )    ),"")</f>
        <v>X</v>
      </c>
      <c r="T10" s="271" t="str">
        <f>_xlfn.IFNA(   IF(   IF(  INDEX(警職大表!$A$1:$AZ$100,MATCH($A10,警職大表!$A$1:$A$100,0),   MATCH(T$1,警職大表!$A$3:$AZ$3,0)  )=0,"",INDEX(警職大表!$A$1:$AZ$100,MATCH($A10,警職大表!$A$1:$A$100,0),   MATCH(T$1,警職大表!$A$3:$AZ$3,0)  )        )="",S10,  IF(  INDEX(警職大表!$A$1:$AZ$100,MATCH($A10,警職大表!$A$1:$A$100,0),   MATCH(T$1,警職大表!$A$3:$AZ$3,0)  )=0,"",INDEX(警職大表!$A$1:$AZ$100,MATCH($A10,警職大表!$A$1:$A$100,0),   MATCH(T$1,警職大表!$A$3:$AZ$3,0)  ) )    ),"")</f>
        <v>X</v>
      </c>
      <c r="U10" s="271" t="str">
        <f>_xlfn.IFNA(   IF(   IF(  INDEX(警職大表!$A$1:$AZ$100,MATCH($A10,警職大表!$A$1:$A$100,0),   MATCH(U$1,警職大表!$A$3:$AZ$3,0)  )=0,"",INDEX(警職大表!$A$1:$AZ$100,MATCH($A10,警職大表!$A$1:$A$100,0),   MATCH(U$1,警職大表!$A$3:$AZ$3,0)  )        )="",T10,  IF(  INDEX(警職大表!$A$1:$AZ$100,MATCH($A10,警職大表!$A$1:$A$100,0),   MATCH(U$1,警職大表!$A$3:$AZ$3,0)  )=0,"",INDEX(警職大表!$A$1:$AZ$100,MATCH($A10,警職大表!$A$1:$A$100,0),   MATCH(U$1,警職大表!$A$3:$AZ$3,0)  ) )    ),"")</f>
        <v>X</v>
      </c>
      <c r="V10" s="271" t="str">
        <f>_xlfn.IFNA(   IF(   IF(  INDEX(警職大表!$A$1:$AZ$100,MATCH($A10,警職大表!$A$1:$A$100,0),   MATCH(V$1,警職大表!$A$3:$AZ$3,0)  )=0,"",INDEX(警職大表!$A$1:$AZ$100,MATCH($A10,警職大表!$A$1:$A$100,0),   MATCH(V$1,警職大表!$A$3:$AZ$3,0)  )        )="",U10,  IF(  INDEX(警職大表!$A$1:$AZ$100,MATCH($A10,警職大表!$A$1:$A$100,0),   MATCH(V$1,警職大表!$A$3:$AZ$3,0)  )=0,"",INDEX(警職大表!$A$1:$AZ$100,MATCH($A10,警職大表!$A$1:$A$100,0),   MATCH(V$1,警職大表!$A$3:$AZ$3,0)  ) )    ),"")</f>
        <v>X</v>
      </c>
      <c r="W10" s="271" t="str">
        <f>_xlfn.IFNA(   IF(   IF(  INDEX(警職大表!$A$1:$AZ$100,MATCH($A10,警職大表!$A$1:$A$100,0),   MATCH(W$1,警職大表!$A$3:$AZ$3,0)  )=0,"",INDEX(警職大表!$A$1:$AZ$100,MATCH($A10,警職大表!$A$1:$A$100,0),   MATCH(W$1,警職大表!$A$3:$AZ$3,0)  )        )="",V10,  IF(  INDEX(警職大表!$A$1:$AZ$100,MATCH($A10,警職大表!$A$1:$A$100,0),   MATCH(W$1,警職大表!$A$3:$AZ$3,0)  )=0,"",INDEX(警職大表!$A$1:$AZ$100,MATCH($A10,警職大表!$A$1:$A$100,0),   MATCH(W$1,警職大表!$A$3:$AZ$3,0)  ) )    ),"")</f>
        <v>X</v>
      </c>
      <c r="X10" s="271" t="str">
        <f>_xlfn.IFNA(   IF(   IF(  INDEX(警職大表!$A$1:$AZ$100,MATCH($A10,警職大表!$A$1:$A$100,0),   MATCH(X$1,警職大表!$A$3:$AZ$3,0)  )=0,"",INDEX(警職大表!$A$1:$AZ$100,MATCH($A10,警職大表!$A$1:$A$100,0),   MATCH(X$1,警職大表!$A$3:$AZ$3,0)  )        )="",W10,  IF(  INDEX(警職大表!$A$1:$AZ$100,MATCH($A10,警職大表!$A$1:$A$100,0),   MATCH(X$1,警職大表!$A$3:$AZ$3,0)  )=0,"",INDEX(警職大表!$A$1:$AZ$100,MATCH($A10,警職大表!$A$1:$A$100,0),   MATCH(X$1,警職大表!$A$3:$AZ$3,0)  ) )    ),"")</f>
        <v>X</v>
      </c>
      <c r="Y10" s="271" t="str">
        <f>_xlfn.IFNA(   IF(   IF(  INDEX(警職大表!$A$1:$AZ$100,MATCH($A10,警職大表!$A$1:$A$100,0),   MATCH(Y$1,警職大表!$A$3:$AZ$3,0)  )=0,"",INDEX(警職大表!$A$1:$AZ$100,MATCH($A10,警職大表!$A$1:$A$100,0),   MATCH(Y$1,警職大表!$A$3:$AZ$3,0)  )        )="",X10,  IF(  INDEX(警職大表!$A$1:$AZ$100,MATCH($A10,警職大表!$A$1:$A$100,0),   MATCH(Y$1,警職大表!$A$3:$AZ$3,0)  )=0,"",INDEX(警職大表!$A$1:$AZ$100,MATCH($A10,警職大表!$A$1:$A$100,0),   MATCH(Y$1,警職大表!$A$3:$AZ$3,0)  ) )    ),"")</f>
        <v>X</v>
      </c>
      <c r="Z10" s="271" t="str">
        <f>_xlfn.IFNA(   IF(   IF(  INDEX(警職大表!$A$1:$AZ$100,MATCH($A10,警職大表!$A$1:$A$100,0),   MATCH(Z$1,警職大表!$A$3:$AZ$3,0)  )=0,"",INDEX(警職大表!$A$1:$AZ$100,MATCH($A10,警職大表!$A$1:$A$100,0),   MATCH(Z$1,警職大表!$A$3:$AZ$3,0)  )        )="",Y10,  IF(  INDEX(警職大表!$A$1:$AZ$100,MATCH($A10,警職大表!$A$1:$A$100,0),   MATCH(Z$1,警職大表!$A$3:$AZ$3,0)  )=0,"",INDEX(警職大表!$A$1:$AZ$100,MATCH($A10,警職大表!$A$1:$A$100,0),   MATCH(Z$1,警職大表!$A$3:$AZ$3,0)  ) )    ),"")</f>
        <v>X</v>
      </c>
      <c r="AA10" s="271" t="str">
        <f>_xlfn.IFNA(   IF(   IF(  INDEX(警職大表!$A$1:$AZ$100,MATCH($A10,警職大表!$A$1:$A$100,0),   MATCH(AA$1,警職大表!$A$3:$AZ$3,0)  )=0,"",INDEX(警職大表!$A$1:$AZ$100,MATCH($A10,警職大表!$A$1:$A$100,0),   MATCH(AA$1,警職大表!$A$3:$AZ$3,0)  )        )="",Z10,  IF(  INDEX(警職大表!$A$1:$AZ$100,MATCH($A10,警職大表!$A$1:$A$100,0),   MATCH(AA$1,警職大表!$A$3:$AZ$3,0)  )=0,"",INDEX(警職大表!$A$1:$AZ$100,MATCH($A10,警職大表!$A$1:$A$100,0),   MATCH(AA$1,警職大表!$A$3:$AZ$3,0)  ) )    ),"")</f>
        <v>X</v>
      </c>
      <c r="AB10" s="271" t="str">
        <f>_xlfn.IFNA(   IF(   IF(  INDEX(警職大表!$A$1:$AZ$100,MATCH($A10,警職大表!$A$1:$A$100,0),   MATCH(AB$1,警職大表!$A$3:$AZ$3,0)  )=0,"",INDEX(警職大表!$A$1:$AZ$100,MATCH($A10,警職大表!$A$1:$A$100,0),   MATCH(AB$1,警職大表!$A$3:$AZ$3,0)  )        )="",AA10,  IF(  INDEX(警職大表!$A$1:$AZ$100,MATCH($A10,警職大表!$A$1:$A$100,0),   MATCH(AB$1,警職大表!$A$3:$AZ$3,0)  )=0,"",INDEX(警職大表!$A$1:$AZ$100,MATCH($A10,警職大表!$A$1:$A$100,0),   MATCH(AB$1,警職大表!$A$3:$AZ$3,0)  ) )    ),"")</f>
        <v>X</v>
      </c>
      <c r="AC10" s="271" t="str">
        <f>_xlfn.IFNA(   IF(   IF(  INDEX(警職大表!$A$1:$AZ$100,MATCH($A10,警職大表!$A$1:$A$100,0),   MATCH(AC$1,警職大表!$A$3:$AZ$3,0)  )=0,"",INDEX(警職大表!$A$1:$AZ$100,MATCH($A10,警職大表!$A$1:$A$100,0),   MATCH(AC$1,警職大表!$A$3:$AZ$3,0)  )        )="",AB10,  IF(  INDEX(警職大表!$A$1:$AZ$100,MATCH($A10,警職大表!$A$1:$A$100,0),   MATCH(AC$1,警職大表!$A$3:$AZ$3,0)  )=0,"",INDEX(警職大表!$A$1:$AZ$100,MATCH($A10,警職大表!$A$1:$A$100,0),   MATCH(AC$1,警職大表!$A$3:$AZ$3,0)  ) )    ),"")</f>
        <v>X</v>
      </c>
      <c r="AD10" s="271" t="str">
        <f>_xlfn.IFNA(   IF(   IF(  INDEX(警職大表!$A$1:$AZ$100,MATCH($A10,警職大表!$A$1:$A$100,0),   MATCH(AD$1,警職大表!$A$3:$AZ$3,0)  )=0,"",INDEX(警職大表!$A$1:$AZ$100,MATCH($A10,警職大表!$A$1:$A$100,0),   MATCH(AD$1,警職大表!$A$3:$AZ$3,0)  )        )="",AC10,  IF(  INDEX(警職大表!$A$1:$AZ$100,MATCH($A10,警職大表!$A$1:$A$100,0),   MATCH(AD$1,警職大表!$A$3:$AZ$3,0)  )=0,"",INDEX(警職大表!$A$1:$AZ$100,MATCH($A10,警職大表!$A$1:$A$100,0),   MATCH(AD$1,警職大表!$A$3:$AZ$3,0)  ) )    ),"")</f>
        <v>X</v>
      </c>
      <c r="AE10" s="271" t="str">
        <f>_xlfn.IFNA(   IF(   IF(  INDEX(警職大表!$A$1:$AZ$100,MATCH($A10,警職大表!$A$1:$A$100,0),   MATCH(AE$1,警職大表!$A$3:$AZ$3,0)  )=0,"",INDEX(警職大表!$A$1:$AZ$100,MATCH($A10,警職大表!$A$1:$A$100,0),   MATCH(AE$1,警職大表!$A$3:$AZ$3,0)  )        )="",AD10,  IF(  INDEX(警職大表!$A$1:$AZ$100,MATCH($A10,警職大表!$A$1:$A$100,0),   MATCH(AE$1,警職大表!$A$3:$AZ$3,0)  )=0,"",INDEX(警職大表!$A$1:$AZ$100,MATCH($A10,警職大表!$A$1:$A$100,0),   MATCH(AE$1,警職大表!$A$3:$AZ$3,0)  ) )    ),"")</f>
        <v>X</v>
      </c>
      <c r="AF10" s="271" t="str">
        <f>_xlfn.IFNA(   IF(   IF(  INDEX(警職大表!$A$1:$AZ$100,MATCH($A10,警職大表!$A$1:$A$100,0),   MATCH(AF$1,警職大表!$A$3:$AZ$3,0)  )=0,"",INDEX(警職大表!$A$1:$AZ$100,MATCH($A10,警職大表!$A$1:$A$100,0),   MATCH(AF$1,警職大表!$A$3:$AZ$3,0)  )        )="",AE10,  IF(  INDEX(警職大表!$A$1:$AZ$100,MATCH($A10,警職大表!$A$1:$A$100,0),   MATCH(AF$1,警職大表!$A$3:$AZ$3,0)  )=0,"",INDEX(警職大表!$A$1:$AZ$100,MATCH($A10,警職大表!$A$1:$A$100,0),   MATCH(AF$1,警職大表!$A$3:$AZ$3,0)  ) )    ),"")</f>
        <v>X</v>
      </c>
      <c r="AG10" s="271" t="str">
        <f>_xlfn.IFNA(   IF(   IF(  INDEX(警職大表!$A$1:$AZ$100,MATCH($A10,警職大表!$A$1:$A$100,0),   MATCH(AG$1,警職大表!$A$3:$AZ$3,0)  )=0,"",INDEX(警職大表!$A$1:$AZ$100,MATCH($A10,警職大表!$A$1:$A$100,0),   MATCH(AG$1,警職大表!$A$3:$AZ$3,0)  )        )="",AF10,  IF(  INDEX(警職大表!$A$1:$AZ$100,MATCH($A10,警職大表!$A$1:$A$100,0),   MATCH(AG$1,警職大表!$A$3:$AZ$3,0)  )=0,"",INDEX(警職大表!$A$1:$AZ$100,MATCH($A10,警職大表!$A$1:$A$100,0),   MATCH(AG$1,警職大表!$A$3:$AZ$3,0)  ) )    ),"")</f>
        <v>X</v>
      </c>
      <c r="AL10" s="271" t="str">
        <f t="shared" si="0"/>
        <v>M</v>
      </c>
      <c r="AM10" s="271" t="str">
        <f t="shared" si="1"/>
        <v>洪奇昌</v>
      </c>
      <c r="AN10" s="271" t="str">
        <f>INDEX(   $A$41:$AG$78, MATCH(AL10,$A$41:$A$78,0),MATCH(  DAY(勤務分配表!$AN$1),$A$41:$AL$41,0  )  )</f>
        <v>輪休</v>
      </c>
      <c r="AO10" s="271" t="str">
        <f>IF((ROW(AO10)-1)&lt;=日期輸入!$B$5,_xlfn.IFNA(IF(INDEX($A$1:$AG$40,MATCH($AM10,$B$1:$B$100,0),VALUE($AO$1+3))="成","補",INDEX($A$1:$AG$40,MATCH($AM10,$B$1:$B$100,0),VALUE($AO$1+3))),""),"")</f>
        <v>休</v>
      </c>
      <c r="AP10" s="271" t="str">
        <f>IF((ROW(AP10)-1)&lt;=日期輸入!$B$5,_xlfn.IFNA(IF(INDEX($A$1:$AG$40,MATCH($AM10,$B$1:$B$100,0),VALUE($AP$1+3))="成","補",INDEX($A$1:$AG$40,MATCH($AM10,$B$1:$B$100,0),VALUE($AP$1+3))),""),"")</f>
        <v>休</v>
      </c>
      <c r="AQ10" s="271" t="str">
        <f>IF((ROW(AQ10)-1)&lt;=日期輸入!$B$5,_xlfn.IFNA(IF(INDEX($A$1:$AG$40,MATCH($AM10,$B$1:$B$100,0),VALUE($AQ$1+3))="成","補",INDEX($A$1:$AG$40,MATCH($AM10,$B$1:$B$100,0),VALUE($AQ$1+3))),""),"")</f>
        <v>夜值</v>
      </c>
    </row>
    <row r="11" spans="1:47">
      <c r="A11" s="271" t="str">
        <f>IF(  (ROW(A11)-1)&lt;=日期輸入!$B$5,勤務分配!A11,"")</f>
        <v>N</v>
      </c>
      <c r="B11" s="271" t="str">
        <f>_xlfn.IFNA(  INDEX(警職大表!$A$1:$AZ$100,MATCH(A11,警職大表!$A$1:$A$100,0),3),"")</f>
        <v>陳正輝</v>
      </c>
      <c r="C11" s="271" t="str">
        <f>_xlfn.IFNA(   IF(   IF(  INDEX(警職大表!$A$1:$AZ$100,MATCH($A11,警職大表!$A$1:$A$100,0),   MATCH(C$1,警職大表!$A$3:$AZ$3,0)  )=0,"",INDEX(警職大表!$A$1:$AZ$100,MATCH($A11,警職大表!$A$1:$A$100,0),   MATCH(C$1,警職大表!$A$3:$AZ$3,0)  )        )="",B11,  IF(  INDEX(警職大表!$A$1:$AZ$100,MATCH($A11,警職大表!$A$1:$A$100,0),   MATCH(C$1,警職大表!$A$3:$AZ$3,0)  )=0,"",INDEX(警職大表!$A$1:$AZ$100,MATCH($A11,警職大表!$A$1:$A$100,0),   MATCH(C$1,警職大表!$A$3:$AZ$3,0)  ) )    ),"")</f>
        <v>/</v>
      </c>
      <c r="D11" s="271" t="str">
        <f>_xlfn.IFNA(   IF(   IF(  INDEX(警職大表!$A$1:$AZ$100,MATCH($A11,警職大表!$A$1:$A$100,0),   MATCH(D$1,警職大表!$A$3:$AZ$3,0)  )=0,"",INDEX(警職大表!$A$1:$AZ$100,MATCH($A11,警職大表!$A$1:$A$100,0),   MATCH(D$1,警職大表!$A$3:$AZ$3,0)  )        )="",C11,  IF(  INDEX(警職大表!$A$1:$AZ$100,MATCH($A11,警職大表!$A$1:$A$100,0),   MATCH(D$1,警職大表!$A$3:$AZ$3,0)  )=0,"",INDEX(警職大表!$A$1:$AZ$100,MATCH($A11,警職大表!$A$1:$A$100,0),   MATCH(D$1,警職大表!$A$3:$AZ$3,0)  ) )    ),"")</f>
        <v>X</v>
      </c>
      <c r="E11" s="271" t="str">
        <f>_xlfn.IFNA(   IF(   IF(  INDEX(警職大表!$A$1:$AZ$100,MATCH($A11,警職大表!$A$1:$A$100,0),   MATCH(E$1,警職大表!$A$3:$AZ$3,0)  )=0,"",INDEX(警職大表!$A$1:$AZ$100,MATCH($A11,警職大表!$A$1:$A$100,0),   MATCH(E$1,警職大表!$A$3:$AZ$3,0)  )        )="",D11,  IF(  INDEX(警職大表!$A$1:$AZ$100,MATCH($A11,警職大表!$A$1:$A$100,0),   MATCH(E$1,警職大表!$A$3:$AZ$3,0)  )=0,"",INDEX(警職大表!$A$1:$AZ$100,MATCH($A11,警職大表!$A$1:$A$100,0),   MATCH(E$1,警職大表!$A$3:$AZ$3,0)  ) )    ),"")</f>
        <v>X</v>
      </c>
      <c r="F11" s="271" t="str">
        <f>_xlfn.IFNA(   IF(   IF(  INDEX(警職大表!$A$1:$AZ$100,MATCH($A11,警職大表!$A$1:$A$100,0),   MATCH(F$1,警職大表!$A$3:$AZ$3,0)  )=0,"",INDEX(警職大表!$A$1:$AZ$100,MATCH($A11,警職大表!$A$1:$A$100,0),   MATCH(F$1,警職大表!$A$3:$AZ$3,0)  )        )="",E11,  IF(  INDEX(警職大表!$A$1:$AZ$100,MATCH($A11,警職大表!$A$1:$A$100,0),   MATCH(F$1,警職大表!$A$3:$AZ$3,0)  )=0,"",INDEX(警職大表!$A$1:$AZ$100,MATCH($A11,警職大表!$A$1:$A$100,0),   MATCH(F$1,警職大表!$A$3:$AZ$3,0)  ) )    ),"")</f>
        <v>/</v>
      </c>
      <c r="G11" s="271" t="str">
        <f>_xlfn.IFNA(   IF(   IF(  INDEX(警職大表!$A$1:$AZ$100,MATCH($A11,警職大表!$A$1:$A$100,0),   MATCH(G$1,警職大表!$A$3:$AZ$3,0)  )=0,"",INDEX(警職大表!$A$1:$AZ$100,MATCH($A11,警職大表!$A$1:$A$100,0),   MATCH(G$1,警職大表!$A$3:$AZ$3,0)  )        )="",F11,  IF(  INDEX(警職大表!$A$1:$AZ$100,MATCH($A11,警職大表!$A$1:$A$100,0),   MATCH(G$1,警職大表!$A$3:$AZ$3,0)  )=0,"",INDEX(警職大表!$A$1:$AZ$100,MATCH($A11,警職大表!$A$1:$A$100,0),   MATCH(G$1,警職大表!$A$3:$AZ$3,0)  ) )    ),"")</f>
        <v>/</v>
      </c>
      <c r="H11" s="271" t="str">
        <f>_xlfn.IFNA(   IF(   IF(  INDEX(警職大表!$A$1:$AZ$100,MATCH($A11,警職大表!$A$1:$A$100,0),   MATCH(H$1,警職大表!$A$3:$AZ$3,0)  )=0,"",INDEX(警職大表!$A$1:$AZ$100,MATCH($A11,警職大表!$A$1:$A$100,0),   MATCH(H$1,警職大表!$A$3:$AZ$3,0)  )        )="",G11,  IF(  INDEX(警職大表!$A$1:$AZ$100,MATCH($A11,警職大表!$A$1:$A$100,0),   MATCH(H$1,警職大表!$A$3:$AZ$3,0)  )=0,"",INDEX(警職大表!$A$1:$AZ$100,MATCH($A11,警職大表!$A$1:$A$100,0),   MATCH(H$1,警職大表!$A$3:$AZ$3,0)  ) )    ),"")</f>
        <v>/</v>
      </c>
      <c r="I11" s="271" t="str">
        <f>_xlfn.IFNA(   IF(   IF(  INDEX(警職大表!$A$1:$AZ$100,MATCH($A11,警職大表!$A$1:$A$100,0),   MATCH(I$1,警職大表!$A$3:$AZ$3,0)  )=0,"",INDEX(警職大表!$A$1:$AZ$100,MATCH($A11,警職大表!$A$1:$A$100,0),   MATCH(I$1,警職大表!$A$3:$AZ$3,0)  )        )="",H11,  IF(  INDEX(警職大表!$A$1:$AZ$100,MATCH($A11,警職大表!$A$1:$A$100,0),   MATCH(I$1,警職大表!$A$3:$AZ$3,0)  )=0,"",INDEX(警職大表!$A$1:$AZ$100,MATCH($A11,警職大表!$A$1:$A$100,0),   MATCH(I$1,警職大表!$A$3:$AZ$3,0)  ) )    ),"")</f>
        <v>/</v>
      </c>
      <c r="J11" s="271" t="str">
        <f>_xlfn.IFNA(   IF(   IF(  INDEX(警職大表!$A$1:$AZ$100,MATCH($A11,警職大表!$A$1:$A$100,0),   MATCH(J$1,警職大表!$A$3:$AZ$3,0)  )=0,"",INDEX(警職大表!$A$1:$AZ$100,MATCH($A11,警職大表!$A$1:$A$100,0),   MATCH(J$1,警職大表!$A$3:$AZ$3,0)  )        )="",I11,  IF(  INDEX(警職大表!$A$1:$AZ$100,MATCH($A11,警職大表!$A$1:$A$100,0),   MATCH(J$1,警職大表!$A$3:$AZ$3,0)  )=0,"",INDEX(警職大表!$A$1:$AZ$100,MATCH($A11,警職大表!$A$1:$A$100,0),   MATCH(J$1,警職大表!$A$3:$AZ$3,0)  ) )    ),"")</f>
        <v>/</v>
      </c>
      <c r="K11" s="271" t="str">
        <f>_xlfn.IFNA(   IF(   IF(  INDEX(警職大表!$A$1:$AZ$100,MATCH($A11,警職大表!$A$1:$A$100,0),   MATCH(K$1,警職大表!$A$3:$AZ$3,0)  )=0,"",INDEX(警職大表!$A$1:$AZ$100,MATCH($A11,警職大表!$A$1:$A$100,0),   MATCH(K$1,警職大表!$A$3:$AZ$3,0)  )        )="",J11,  IF(  INDEX(警職大表!$A$1:$AZ$100,MATCH($A11,警職大表!$A$1:$A$100,0),   MATCH(K$1,警職大表!$A$3:$AZ$3,0)  )=0,"",INDEX(警職大表!$A$1:$AZ$100,MATCH($A11,警職大表!$A$1:$A$100,0),   MATCH(K$1,警職大表!$A$3:$AZ$3,0)  ) )    ),"")</f>
        <v>/</v>
      </c>
      <c r="L11" s="271" t="str">
        <f>_xlfn.IFNA(   IF(   IF(  INDEX(警職大表!$A$1:$AZ$100,MATCH($A11,警職大表!$A$1:$A$100,0),   MATCH(L$1,警職大表!$A$3:$AZ$3,0)  )=0,"",INDEX(警職大表!$A$1:$AZ$100,MATCH($A11,警職大表!$A$1:$A$100,0),   MATCH(L$1,警職大表!$A$3:$AZ$3,0)  )        )="",K11,  IF(  INDEX(警職大表!$A$1:$AZ$100,MATCH($A11,警職大表!$A$1:$A$100,0),   MATCH(L$1,警職大表!$A$3:$AZ$3,0)  )=0,"",INDEX(警職大表!$A$1:$AZ$100,MATCH($A11,警職大表!$A$1:$A$100,0),   MATCH(L$1,警職大表!$A$3:$AZ$3,0)  ) )    ),"")</f>
        <v>/</v>
      </c>
      <c r="M11" s="271" t="str">
        <f>_xlfn.IFNA(   IF(   IF(  INDEX(警職大表!$A$1:$AZ$100,MATCH($A11,警職大表!$A$1:$A$100,0),   MATCH(M$1,警職大表!$A$3:$AZ$3,0)  )=0,"",INDEX(警職大表!$A$1:$AZ$100,MATCH($A11,警職大表!$A$1:$A$100,0),   MATCH(M$1,警職大表!$A$3:$AZ$3,0)  )        )="",L11,  IF(  INDEX(警職大表!$A$1:$AZ$100,MATCH($A11,警職大表!$A$1:$A$100,0),   MATCH(M$1,警職大表!$A$3:$AZ$3,0)  )=0,"",INDEX(警職大表!$A$1:$AZ$100,MATCH($A11,警職大表!$A$1:$A$100,0),   MATCH(M$1,警職大表!$A$3:$AZ$3,0)  ) )    ),"")</f>
        <v>/</v>
      </c>
      <c r="N11" s="271" t="str">
        <f>_xlfn.IFNA(   IF(   IF(  INDEX(警職大表!$A$1:$AZ$100,MATCH($A11,警職大表!$A$1:$A$100,0),   MATCH(N$1,警職大表!$A$3:$AZ$3,0)  )=0,"",INDEX(警職大表!$A$1:$AZ$100,MATCH($A11,警職大表!$A$1:$A$100,0),   MATCH(N$1,警職大表!$A$3:$AZ$3,0)  )        )="",M11,  IF(  INDEX(警職大表!$A$1:$AZ$100,MATCH($A11,警職大表!$A$1:$A$100,0),   MATCH(N$1,警職大表!$A$3:$AZ$3,0)  )=0,"",INDEX(警職大表!$A$1:$AZ$100,MATCH($A11,警職大表!$A$1:$A$100,0),   MATCH(N$1,警職大表!$A$3:$AZ$3,0)  ) )    ),"")</f>
        <v>/</v>
      </c>
      <c r="O11" s="271" t="str">
        <f>_xlfn.IFNA(   IF(   IF(  INDEX(警職大表!$A$1:$AZ$100,MATCH($A11,警職大表!$A$1:$A$100,0),   MATCH(O$1,警職大表!$A$3:$AZ$3,0)  )=0,"",INDEX(警職大表!$A$1:$AZ$100,MATCH($A11,警職大表!$A$1:$A$100,0),   MATCH(O$1,警職大表!$A$3:$AZ$3,0)  )        )="",N11,  IF(  INDEX(警職大表!$A$1:$AZ$100,MATCH($A11,警職大表!$A$1:$A$100,0),   MATCH(O$1,警職大表!$A$3:$AZ$3,0)  )=0,"",INDEX(警職大表!$A$1:$AZ$100,MATCH($A11,警職大表!$A$1:$A$100,0),   MATCH(O$1,警職大表!$A$3:$AZ$3,0)  ) )    ),"")</f>
        <v>/</v>
      </c>
      <c r="P11" s="271" t="str">
        <f>_xlfn.IFNA(   IF(   IF(  INDEX(警職大表!$A$1:$AZ$100,MATCH($A11,警職大表!$A$1:$A$100,0),   MATCH(P$1,警職大表!$A$3:$AZ$3,0)  )=0,"",INDEX(警職大表!$A$1:$AZ$100,MATCH($A11,警職大表!$A$1:$A$100,0),   MATCH(P$1,警職大表!$A$3:$AZ$3,0)  )        )="",O11,  IF(  INDEX(警職大表!$A$1:$AZ$100,MATCH($A11,警職大表!$A$1:$A$100,0),   MATCH(P$1,警職大表!$A$3:$AZ$3,0)  )=0,"",INDEX(警職大表!$A$1:$AZ$100,MATCH($A11,警職大表!$A$1:$A$100,0),   MATCH(P$1,警職大表!$A$3:$AZ$3,0)  ) )    ),"")</f>
        <v>/</v>
      </c>
      <c r="Q11" s="271" t="str">
        <f>_xlfn.IFNA(   IF(   IF(  INDEX(警職大表!$A$1:$AZ$100,MATCH($A11,警職大表!$A$1:$A$100,0),   MATCH(Q$1,警職大表!$A$3:$AZ$3,0)  )=0,"",INDEX(警職大表!$A$1:$AZ$100,MATCH($A11,警職大表!$A$1:$A$100,0),   MATCH(Q$1,警職大表!$A$3:$AZ$3,0)  )        )="",P11,  IF(  INDEX(警職大表!$A$1:$AZ$100,MATCH($A11,警職大表!$A$1:$A$100,0),   MATCH(Q$1,警職大表!$A$3:$AZ$3,0)  )=0,"",INDEX(警職大表!$A$1:$AZ$100,MATCH($A11,警職大表!$A$1:$A$100,0),   MATCH(Q$1,警職大表!$A$3:$AZ$3,0)  ) )    ),"")</f>
        <v>/</v>
      </c>
      <c r="R11" s="271" t="str">
        <f>_xlfn.IFNA(   IF(   IF(  INDEX(警職大表!$A$1:$AZ$100,MATCH($A11,警職大表!$A$1:$A$100,0),   MATCH(R$1,警職大表!$A$3:$AZ$3,0)  )=0,"",INDEX(警職大表!$A$1:$AZ$100,MATCH($A11,警職大表!$A$1:$A$100,0),   MATCH(R$1,警職大表!$A$3:$AZ$3,0)  )        )="",Q11,  IF(  INDEX(警職大表!$A$1:$AZ$100,MATCH($A11,警職大表!$A$1:$A$100,0),   MATCH(R$1,警職大表!$A$3:$AZ$3,0)  )=0,"",INDEX(警職大表!$A$1:$AZ$100,MATCH($A11,警職大表!$A$1:$A$100,0),   MATCH(R$1,警職大表!$A$3:$AZ$3,0)  ) )    ),"")</f>
        <v>/</v>
      </c>
      <c r="S11" s="271" t="str">
        <f>_xlfn.IFNA(   IF(   IF(  INDEX(警職大表!$A$1:$AZ$100,MATCH($A11,警職大表!$A$1:$A$100,0),   MATCH(S$1,警職大表!$A$3:$AZ$3,0)  )=0,"",INDEX(警職大表!$A$1:$AZ$100,MATCH($A11,警職大表!$A$1:$A$100,0),   MATCH(S$1,警職大表!$A$3:$AZ$3,0)  )        )="",R11,  IF(  INDEX(警職大表!$A$1:$AZ$100,MATCH($A11,警職大表!$A$1:$A$100,0),   MATCH(S$1,警職大表!$A$3:$AZ$3,0)  )=0,"",INDEX(警職大表!$A$1:$AZ$100,MATCH($A11,警職大表!$A$1:$A$100,0),   MATCH(S$1,警職大表!$A$3:$AZ$3,0)  ) )    ),"")</f>
        <v>/</v>
      </c>
      <c r="T11" s="271" t="str">
        <f>_xlfn.IFNA(   IF(   IF(  INDEX(警職大表!$A$1:$AZ$100,MATCH($A11,警職大表!$A$1:$A$100,0),   MATCH(T$1,警職大表!$A$3:$AZ$3,0)  )=0,"",INDEX(警職大表!$A$1:$AZ$100,MATCH($A11,警職大表!$A$1:$A$100,0),   MATCH(T$1,警職大表!$A$3:$AZ$3,0)  )        )="",S11,  IF(  INDEX(警職大表!$A$1:$AZ$100,MATCH($A11,警職大表!$A$1:$A$100,0),   MATCH(T$1,警職大表!$A$3:$AZ$3,0)  )=0,"",INDEX(警職大表!$A$1:$AZ$100,MATCH($A11,警職大表!$A$1:$A$100,0),   MATCH(T$1,警職大表!$A$3:$AZ$3,0)  ) )    ),"")</f>
        <v>/</v>
      </c>
      <c r="U11" s="271" t="str">
        <f>_xlfn.IFNA(   IF(   IF(  INDEX(警職大表!$A$1:$AZ$100,MATCH($A11,警職大表!$A$1:$A$100,0),   MATCH(U$1,警職大表!$A$3:$AZ$3,0)  )=0,"",INDEX(警職大表!$A$1:$AZ$100,MATCH($A11,警職大表!$A$1:$A$100,0),   MATCH(U$1,警職大表!$A$3:$AZ$3,0)  )        )="",T11,  IF(  INDEX(警職大表!$A$1:$AZ$100,MATCH($A11,警職大表!$A$1:$A$100,0),   MATCH(U$1,警職大表!$A$3:$AZ$3,0)  )=0,"",INDEX(警職大表!$A$1:$AZ$100,MATCH($A11,警職大表!$A$1:$A$100,0),   MATCH(U$1,警職大表!$A$3:$AZ$3,0)  ) )    ),"")</f>
        <v>/</v>
      </c>
      <c r="V11" s="271" t="str">
        <f>_xlfn.IFNA(   IF(   IF(  INDEX(警職大表!$A$1:$AZ$100,MATCH($A11,警職大表!$A$1:$A$100,0),   MATCH(V$1,警職大表!$A$3:$AZ$3,0)  )=0,"",INDEX(警職大表!$A$1:$AZ$100,MATCH($A11,警職大表!$A$1:$A$100,0),   MATCH(V$1,警職大表!$A$3:$AZ$3,0)  )        )="",U11,  IF(  INDEX(警職大表!$A$1:$AZ$100,MATCH($A11,警職大表!$A$1:$A$100,0),   MATCH(V$1,警職大表!$A$3:$AZ$3,0)  )=0,"",INDEX(警職大表!$A$1:$AZ$100,MATCH($A11,警職大表!$A$1:$A$100,0),   MATCH(V$1,警職大表!$A$3:$AZ$3,0)  ) )    ),"")</f>
        <v>/</v>
      </c>
      <c r="W11" s="271" t="str">
        <f>_xlfn.IFNA(   IF(   IF(  INDEX(警職大表!$A$1:$AZ$100,MATCH($A11,警職大表!$A$1:$A$100,0),   MATCH(W$1,警職大表!$A$3:$AZ$3,0)  )=0,"",INDEX(警職大表!$A$1:$AZ$100,MATCH($A11,警職大表!$A$1:$A$100,0),   MATCH(W$1,警職大表!$A$3:$AZ$3,0)  )        )="",V11,  IF(  INDEX(警職大表!$A$1:$AZ$100,MATCH($A11,警職大表!$A$1:$A$100,0),   MATCH(W$1,警職大表!$A$3:$AZ$3,0)  )=0,"",INDEX(警職大表!$A$1:$AZ$100,MATCH($A11,警職大表!$A$1:$A$100,0),   MATCH(W$1,警職大表!$A$3:$AZ$3,0)  ) )    ),"")</f>
        <v>/</v>
      </c>
      <c r="X11" s="271" t="str">
        <f>_xlfn.IFNA(   IF(   IF(  INDEX(警職大表!$A$1:$AZ$100,MATCH($A11,警職大表!$A$1:$A$100,0),   MATCH(X$1,警職大表!$A$3:$AZ$3,0)  )=0,"",INDEX(警職大表!$A$1:$AZ$100,MATCH($A11,警職大表!$A$1:$A$100,0),   MATCH(X$1,警職大表!$A$3:$AZ$3,0)  )        )="",W11,  IF(  INDEX(警職大表!$A$1:$AZ$100,MATCH($A11,警職大表!$A$1:$A$100,0),   MATCH(X$1,警職大表!$A$3:$AZ$3,0)  )=0,"",INDEX(警職大表!$A$1:$AZ$100,MATCH($A11,警職大表!$A$1:$A$100,0),   MATCH(X$1,警職大表!$A$3:$AZ$3,0)  ) )    ),"")</f>
        <v>/</v>
      </c>
      <c r="Y11" s="271" t="str">
        <f>_xlfn.IFNA(   IF(   IF(  INDEX(警職大表!$A$1:$AZ$100,MATCH($A11,警職大表!$A$1:$A$100,0),   MATCH(Y$1,警職大表!$A$3:$AZ$3,0)  )=0,"",INDEX(警職大表!$A$1:$AZ$100,MATCH($A11,警職大表!$A$1:$A$100,0),   MATCH(Y$1,警職大表!$A$3:$AZ$3,0)  )        )="",X11,  IF(  INDEX(警職大表!$A$1:$AZ$100,MATCH($A11,警職大表!$A$1:$A$100,0),   MATCH(Y$1,警職大表!$A$3:$AZ$3,0)  )=0,"",INDEX(警職大表!$A$1:$AZ$100,MATCH($A11,警職大表!$A$1:$A$100,0),   MATCH(Y$1,警職大表!$A$3:$AZ$3,0)  ) )    ),"")</f>
        <v>/</v>
      </c>
      <c r="Z11" s="271" t="str">
        <f>_xlfn.IFNA(   IF(   IF(  INDEX(警職大表!$A$1:$AZ$100,MATCH($A11,警職大表!$A$1:$A$100,0),   MATCH(Z$1,警職大表!$A$3:$AZ$3,0)  )=0,"",INDEX(警職大表!$A$1:$AZ$100,MATCH($A11,警職大表!$A$1:$A$100,0),   MATCH(Z$1,警職大表!$A$3:$AZ$3,0)  )        )="",Y11,  IF(  INDEX(警職大表!$A$1:$AZ$100,MATCH($A11,警職大表!$A$1:$A$100,0),   MATCH(Z$1,警職大表!$A$3:$AZ$3,0)  )=0,"",INDEX(警職大表!$A$1:$AZ$100,MATCH($A11,警職大表!$A$1:$A$100,0),   MATCH(Z$1,警職大表!$A$3:$AZ$3,0)  ) )    ),"")</f>
        <v>/</v>
      </c>
      <c r="AA11" s="271" t="str">
        <f>_xlfn.IFNA(   IF(   IF(  INDEX(警職大表!$A$1:$AZ$100,MATCH($A11,警職大表!$A$1:$A$100,0),   MATCH(AA$1,警職大表!$A$3:$AZ$3,0)  )=0,"",INDEX(警職大表!$A$1:$AZ$100,MATCH($A11,警職大表!$A$1:$A$100,0),   MATCH(AA$1,警職大表!$A$3:$AZ$3,0)  )        )="",Z11,  IF(  INDEX(警職大表!$A$1:$AZ$100,MATCH($A11,警職大表!$A$1:$A$100,0),   MATCH(AA$1,警職大表!$A$3:$AZ$3,0)  )=0,"",INDEX(警職大表!$A$1:$AZ$100,MATCH($A11,警職大表!$A$1:$A$100,0),   MATCH(AA$1,警職大表!$A$3:$AZ$3,0)  ) )    ),"")</f>
        <v>/</v>
      </c>
      <c r="AB11" s="271" t="str">
        <f>_xlfn.IFNA(   IF(   IF(  INDEX(警職大表!$A$1:$AZ$100,MATCH($A11,警職大表!$A$1:$A$100,0),   MATCH(AB$1,警職大表!$A$3:$AZ$3,0)  )=0,"",INDEX(警職大表!$A$1:$AZ$100,MATCH($A11,警職大表!$A$1:$A$100,0),   MATCH(AB$1,警職大表!$A$3:$AZ$3,0)  )        )="",AA11,  IF(  INDEX(警職大表!$A$1:$AZ$100,MATCH($A11,警職大表!$A$1:$A$100,0),   MATCH(AB$1,警職大表!$A$3:$AZ$3,0)  )=0,"",INDEX(警職大表!$A$1:$AZ$100,MATCH($A11,警職大表!$A$1:$A$100,0),   MATCH(AB$1,警職大表!$A$3:$AZ$3,0)  ) )    ),"")</f>
        <v>/</v>
      </c>
      <c r="AC11" s="271" t="str">
        <f>_xlfn.IFNA(   IF(   IF(  INDEX(警職大表!$A$1:$AZ$100,MATCH($A11,警職大表!$A$1:$A$100,0),   MATCH(AC$1,警職大表!$A$3:$AZ$3,0)  )=0,"",INDEX(警職大表!$A$1:$AZ$100,MATCH($A11,警職大表!$A$1:$A$100,0),   MATCH(AC$1,警職大表!$A$3:$AZ$3,0)  )        )="",AB11,  IF(  INDEX(警職大表!$A$1:$AZ$100,MATCH($A11,警職大表!$A$1:$A$100,0),   MATCH(AC$1,警職大表!$A$3:$AZ$3,0)  )=0,"",INDEX(警職大表!$A$1:$AZ$100,MATCH($A11,警職大表!$A$1:$A$100,0),   MATCH(AC$1,警職大表!$A$3:$AZ$3,0)  ) )    ),"")</f>
        <v>/</v>
      </c>
      <c r="AD11" s="271" t="str">
        <f>_xlfn.IFNA(   IF(   IF(  INDEX(警職大表!$A$1:$AZ$100,MATCH($A11,警職大表!$A$1:$A$100,0),   MATCH(AD$1,警職大表!$A$3:$AZ$3,0)  )=0,"",INDEX(警職大表!$A$1:$AZ$100,MATCH($A11,警職大表!$A$1:$A$100,0),   MATCH(AD$1,警職大表!$A$3:$AZ$3,0)  )        )="",AC11,  IF(  INDEX(警職大表!$A$1:$AZ$100,MATCH($A11,警職大表!$A$1:$A$100,0),   MATCH(AD$1,警職大表!$A$3:$AZ$3,0)  )=0,"",INDEX(警職大表!$A$1:$AZ$100,MATCH($A11,警職大表!$A$1:$A$100,0),   MATCH(AD$1,警職大表!$A$3:$AZ$3,0)  ) )    ),"")</f>
        <v>/</v>
      </c>
      <c r="AE11" s="271" t="str">
        <f>_xlfn.IFNA(   IF(   IF(  INDEX(警職大表!$A$1:$AZ$100,MATCH($A11,警職大表!$A$1:$A$100,0),   MATCH(AE$1,警職大表!$A$3:$AZ$3,0)  )=0,"",INDEX(警職大表!$A$1:$AZ$100,MATCH($A11,警職大表!$A$1:$A$100,0),   MATCH(AE$1,警職大表!$A$3:$AZ$3,0)  )        )="",AD11,  IF(  INDEX(警職大表!$A$1:$AZ$100,MATCH($A11,警職大表!$A$1:$A$100,0),   MATCH(AE$1,警職大表!$A$3:$AZ$3,0)  )=0,"",INDEX(警職大表!$A$1:$AZ$100,MATCH($A11,警職大表!$A$1:$A$100,0),   MATCH(AE$1,警職大表!$A$3:$AZ$3,0)  ) )    ),"")</f>
        <v>/</v>
      </c>
      <c r="AF11" s="271" t="str">
        <f>_xlfn.IFNA(   IF(   IF(  INDEX(警職大表!$A$1:$AZ$100,MATCH($A11,警職大表!$A$1:$A$100,0),   MATCH(AF$1,警職大表!$A$3:$AZ$3,0)  )=0,"",INDEX(警職大表!$A$1:$AZ$100,MATCH($A11,警職大表!$A$1:$A$100,0),   MATCH(AF$1,警職大表!$A$3:$AZ$3,0)  )        )="",AE11,  IF(  INDEX(警職大表!$A$1:$AZ$100,MATCH($A11,警職大表!$A$1:$A$100,0),   MATCH(AF$1,警職大表!$A$3:$AZ$3,0)  )=0,"",INDEX(警職大表!$A$1:$AZ$100,MATCH($A11,警職大表!$A$1:$A$100,0),   MATCH(AF$1,警職大表!$A$3:$AZ$3,0)  ) )    ),"")</f>
        <v>/</v>
      </c>
      <c r="AG11" s="271" t="str">
        <f>_xlfn.IFNA(   IF(   IF(  INDEX(警職大表!$A$1:$AZ$100,MATCH($A11,警職大表!$A$1:$A$100,0),   MATCH(AG$1,警職大表!$A$3:$AZ$3,0)  )=0,"",INDEX(警職大表!$A$1:$AZ$100,MATCH($A11,警職大表!$A$1:$A$100,0),   MATCH(AG$1,警職大表!$A$3:$AZ$3,0)  )        )="",AF11,  IF(  INDEX(警職大表!$A$1:$AZ$100,MATCH($A11,警職大表!$A$1:$A$100,0),   MATCH(AG$1,警職大表!$A$3:$AZ$3,0)  )=0,"",INDEX(警職大表!$A$1:$AZ$100,MATCH($A11,警職大表!$A$1:$A$100,0),   MATCH(AG$1,警職大表!$A$3:$AZ$3,0)  ) )    ),"")</f>
        <v>/</v>
      </c>
      <c r="AL11" s="271" t="str">
        <f t="shared" si="0"/>
        <v>N</v>
      </c>
      <c r="AM11" s="271" t="str">
        <f t="shared" si="1"/>
        <v>陳正輝</v>
      </c>
      <c r="AN11" s="271" t="str">
        <f>INDEX(   $A$41:$AG$78, MATCH(AL11,$A$41:$A$78,0),MATCH(  DAY(勤務分配表!$AN$1),$A$41:$AL$41,0  )  )</f>
        <v>空班</v>
      </c>
      <c r="AO11" s="271" t="str">
        <f>IF((ROW(AO11)-1)&lt;=日期輸入!$B$5,_xlfn.IFNA(IF(INDEX($A$1:$AG$40,MATCH($AM11,$B$1:$B$100,0),VALUE($AO$1+3))="成","補",INDEX($A$1:$AG$40,MATCH($AM11,$B$1:$B$100,0),VALUE($AO$1+3))),""),"")</f>
        <v>/</v>
      </c>
      <c r="AP11" s="271" t="str">
        <f>IF((ROW(AP11)-1)&lt;=日期輸入!$B$5,_xlfn.IFNA(IF(INDEX($A$1:$AG$40,MATCH($AM11,$B$1:$B$100,0),VALUE($AP$1+3))="成","補",INDEX($A$1:$AG$40,MATCH($AM11,$B$1:$B$100,0),VALUE($AP$1+3))),""),"")</f>
        <v>X</v>
      </c>
      <c r="AQ11" s="271" t="str">
        <f>IF((ROW(AQ11)-1)&lt;=日期輸入!$B$5,_xlfn.IFNA(IF(INDEX($A$1:$AG$40,MATCH($AM11,$B$1:$B$100,0),VALUE($AQ$1+3))="成","補",INDEX($A$1:$AG$40,MATCH($AM11,$B$1:$B$100,0),VALUE($AQ$1+3))),""),"")</f>
        <v>X</v>
      </c>
    </row>
    <row r="12" spans="1:47">
      <c r="A12" s="271" t="str">
        <f>IF(  (ROW(A12)-1)&lt;=日期輸入!$B$5,勤務分配!A12,"")</f>
        <v>O</v>
      </c>
      <c r="B12" s="271" t="str">
        <f>_xlfn.IFNA(  INDEX(警職大表!$A$1:$AZ$100,MATCH(A12,警職大表!$A$1:$A$100,0),3),"")</f>
        <v>陳佑任</v>
      </c>
      <c r="C12" s="271" t="str">
        <f>_xlfn.IFNA(   IF(   IF(  INDEX(警職大表!$A$1:$AZ$100,MATCH($A12,警職大表!$A$1:$A$100,0),   MATCH(C$1,警職大表!$A$3:$AZ$3,0)  )=0,"",INDEX(警職大表!$A$1:$AZ$100,MATCH($A12,警職大表!$A$1:$A$100,0),   MATCH(C$1,警職大表!$A$3:$AZ$3,0)  )        )="",B12,  IF(  INDEX(警職大表!$A$1:$AZ$100,MATCH($A12,警職大表!$A$1:$A$100,0),   MATCH(C$1,警職大表!$A$3:$AZ$3,0)  )=0,"",INDEX(警職大表!$A$1:$AZ$100,MATCH($A12,警職大表!$A$1:$A$100,0),   MATCH(C$1,警職大表!$A$3:$AZ$3,0)  ) )    ),"")</f>
        <v>/</v>
      </c>
      <c r="D12" s="271" t="str">
        <f>_xlfn.IFNA(   IF(   IF(  INDEX(警職大表!$A$1:$AZ$100,MATCH($A12,警職大表!$A$1:$A$100,0),   MATCH(D$1,警職大表!$A$3:$AZ$3,0)  )=0,"",INDEX(警職大表!$A$1:$AZ$100,MATCH($A12,警職大表!$A$1:$A$100,0),   MATCH(D$1,警職大表!$A$3:$AZ$3,0)  )        )="",C12,  IF(  INDEX(警職大表!$A$1:$AZ$100,MATCH($A12,警職大表!$A$1:$A$100,0),   MATCH(D$1,警職大表!$A$3:$AZ$3,0)  )=0,"",INDEX(警職大表!$A$1:$AZ$100,MATCH($A12,警職大表!$A$1:$A$100,0),   MATCH(D$1,警職大表!$A$3:$AZ$3,0)  ) )    ),"")</f>
        <v>X</v>
      </c>
      <c r="E12" s="271" t="str">
        <f>_xlfn.IFNA(   IF(   IF(  INDEX(警職大表!$A$1:$AZ$100,MATCH($A12,警職大表!$A$1:$A$100,0),   MATCH(E$1,警職大表!$A$3:$AZ$3,0)  )=0,"",INDEX(警職大表!$A$1:$AZ$100,MATCH($A12,警職大表!$A$1:$A$100,0),   MATCH(E$1,警職大表!$A$3:$AZ$3,0)  )        )="",D12,  IF(  INDEX(警職大表!$A$1:$AZ$100,MATCH($A12,警職大表!$A$1:$A$100,0),   MATCH(E$1,警職大表!$A$3:$AZ$3,0)  )=0,"",INDEX(警職大表!$A$1:$AZ$100,MATCH($A12,警職大表!$A$1:$A$100,0),   MATCH(E$1,警職大表!$A$3:$AZ$3,0)  ) )    ),"")</f>
        <v>X</v>
      </c>
      <c r="F12" s="271" t="str">
        <f>_xlfn.IFNA(   IF(   IF(  INDEX(警職大表!$A$1:$AZ$100,MATCH($A12,警職大表!$A$1:$A$100,0),   MATCH(F$1,警職大表!$A$3:$AZ$3,0)  )=0,"",INDEX(警職大表!$A$1:$AZ$100,MATCH($A12,警職大表!$A$1:$A$100,0),   MATCH(F$1,警職大表!$A$3:$AZ$3,0)  )        )="",E12,  IF(  INDEX(警職大表!$A$1:$AZ$100,MATCH($A12,警職大表!$A$1:$A$100,0),   MATCH(F$1,警職大表!$A$3:$AZ$3,0)  )=0,"",INDEX(警職大表!$A$1:$AZ$100,MATCH($A12,警職大表!$A$1:$A$100,0),   MATCH(F$1,警職大表!$A$3:$AZ$3,0)  ) )    ),"")</f>
        <v>/</v>
      </c>
      <c r="G12" s="271" t="str">
        <f>_xlfn.IFNA(   IF(   IF(  INDEX(警職大表!$A$1:$AZ$100,MATCH($A12,警職大表!$A$1:$A$100,0),   MATCH(G$1,警職大表!$A$3:$AZ$3,0)  )=0,"",INDEX(警職大表!$A$1:$AZ$100,MATCH($A12,警職大表!$A$1:$A$100,0),   MATCH(G$1,警職大表!$A$3:$AZ$3,0)  )        )="",F12,  IF(  INDEX(警職大表!$A$1:$AZ$100,MATCH($A12,警職大表!$A$1:$A$100,0),   MATCH(G$1,警職大表!$A$3:$AZ$3,0)  )=0,"",INDEX(警職大表!$A$1:$AZ$100,MATCH($A12,警職大表!$A$1:$A$100,0),   MATCH(G$1,警職大表!$A$3:$AZ$3,0)  ) )    ),"")</f>
        <v>大日</v>
      </c>
      <c r="H12" s="271" t="str">
        <f>_xlfn.IFNA(   IF(   IF(  INDEX(警職大表!$A$1:$AZ$100,MATCH($A12,警職大表!$A$1:$A$100,0),   MATCH(H$1,警職大表!$A$3:$AZ$3,0)  )=0,"",INDEX(警職大表!$A$1:$AZ$100,MATCH($A12,警職大表!$A$1:$A$100,0),   MATCH(H$1,警職大表!$A$3:$AZ$3,0)  )        )="",G12,  IF(  INDEX(警職大表!$A$1:$AZ$100,MATCH($A12,警職大表!$A$1:$A$100,0),   MATCH(H$1,警職大表!$A$3:$AZ$3,0)  )=0,"",INDEX(警職大表!$A$1:$AZ$100,MATCH($A12,警職大表!$A$1:$A$100,0),   MATCH(H$1,警職大表!$A$3:$AZ$3,0)  ) )    ),"")</f>
        <v>大日</v>
      </c>
      <c r="I12" s="271" t="str">
        <f>_xlfn.IFNA(   IF(   IF(  INDEX(警職大表!$A$1:$AZ$100,MATCH($A12,警職大表!$A$1:$A$100,0),   MATCH(I$1,警職大表!$A$3:$AZ$3,0)  )=0,"",INDEX(警職大表!$A$1:$AZ$100,MATCH($A12,警職大表!$A$1:$A$100,0),   MATCH(I$1,警職大表!$A$3:$AZ$3,0)  )        )="",H12,  IF(  INDEX(警職大表!$A$1:$AZ$100,MATCH($A12,警職大表!$A$1:$A$100,0),   MATCH(I$1,警職大表!$A$3:$AZ$3,0)  )=0,"",INDEX(警職大表!$A$1:$AZ$100,MATCH($A12,警職大表!$A$1:$A$100,0),   MATCH(I$1,警職大表!$A$3:$AZ$3,0)  ) )    ),"")</f>
        <v>大日</v>
      </c>
      <c r="J12" s="271" t="str">
        <f>_xlfn.IFNA(   IF(   IF(  INDEX(警職大表!$A$1:$AZ$100,MATCH($A12,警職大表!$A$1:$A$100,0),   MATCH(J$1,警職大表!$A$3:$AZ$3,0)  )=0,"",INDEX(警職大表!$A$1:$AZ$100,MATCH($A12,警職大表!$A$1:$A$100,0),   MATCH(J$1,警職大表!$A$3:$AZ$3,0)  )        )="",I12,  IF(  INDEX(警職大表!$A$1:$AZ$100,MATCH($A12,警職大表!$A$1:$A$100,0),   MATCH(J$1,警職大表!$A$3:$AZ$3,0)  )=0,"",INDEX(警職大表!$A$1:$AZ$100,MATCH($A12,警職大表!$A$1:$A$100,0),   MATCH(J$1,警職大表!$A$3:$AZ$3,0)  ) )    ),"")</f>
        <v>大日</v>
      </c>
      <c r="K12" s="271" t="str">
        <f>_xlfn.IFNA(   IF(   IF(  INDEX(警職大表!$A$1:$AZ$100,MATCH($A12,警職大表!$A$1:$A$100,0),   MATCH(K$1,警職大表!$A$3:$AZ$3,0)  )=0,"",INDEX(警職大表!$A$1:$AZ$100,MATCH($A12,警職大表!$A$1:$A$100,0),   MATCH(K$1,警職大表!$A$3:$AZ$3,0)  )        )="",J12,  IF(  INDEX(警職大表!$A$1:$AZ$100,MATCH($A12,警職大表!$A$1:$A$100,0),   MATCH(K$1,警職大表!$A$3:$AZ$3,0)  )=0,"",INDEX(警職大表!$A$1:$AZ$100,MATCH($A12,警職大表!$A$1:$A$100,0),   MATCH(K$1,警職大表!$A$3:$AZ$3,0)  ) )    ),"")</f>
        <v>大日</v>
      </c>
      <c r="L12" s="271" t="str">
        <f>_xlfn.IFNA(   IF(   IF(  INDEX(警職大表!$A$1:$AZ$100,MATCH($A12,警職大表!$A$1:$A$100,0),   MATCH(L$1,警職大表!$A$3:$AZ$3,0)  )=0,"",INDEX(警職大表!$A$1:$AZ$100,MATCH($A12,警職大表!$A$1:$A$100,0),   MATCH(L$1,警職大表!$A$3:$AZ$3,0)  )        )="",K12,  IF(  INDEX(警職大表!$A$1:$AZ$100,MATCH($A12,警職大表!$A$1:$A$100,0),   MATCH(L$1,警職大表!$A$3:$AZ$3,0)  )=0,"",INDEX(警職大表!$A$1:$AZ$100,MATCH($A12,警職大表!$A$1:$A$100,0),   MATCH(L$1,警職大表!$A$3:$AZ$3,0)  ) )    ),"")</f>
        <v>大日</v>
      </c>
      <c r="M12" s="271" t="str">
        <f>_xlfn.IFNA(   IF(   IF(  INDEX(警職大表!$A$1:$AZ$100,MATCH($A12,警職大表!$A$1:$A$100,0),   MATCH(M$1,警職大表!$A$3:$AZ$3,0)  )=0,"",INDEX(警職大表!$A$1:$AZ$100,MATCH($A12,警職大表!$A$1:$A$100,0),   MATCH(M$1,警職大表!$A$3:$AZ$3,0)  )        )="",L12,  IF(  INDEX(警職大表!$A$1:$AZ$100,MATCH($A12,警職大表!$A$1:$A$100,0),   MATCH(M$1,警職大表!$A$3:$AZ$3,0)  )=0,"",INDEX(警職大表!$A$1:$AZ$100,MATCH($A12,警職大表!$A$1:$A$100,0),   MATCH(M$1,警職大表!$A$3:$AZ$3,0)  ) )    ),"")</f>
        <v>大日</v>
      </c>
      <c r="N12" s="271" t="str">
        <f>_xlfn.IFNA(   IF(   IF(  INDEX(警職大表!$A$1:$AZ$100,MATCH($A12,警職大表!$A$1:$A$100,0),   MATCH(N$1,警職大表!$A$3:$AZ$3,0)  )=0,"",INDEX(警職大表!$A$1:$AZ$100,MATCH($A12,警職大表!$A$1:$A$100,0),   MATCH(N$1,警職大表!$A$3:$AZ$3,0)  )        )="",M12,  IF(  INDEX(警職大表!$A$1:$AZ$100,MATCH($A12,警職大表!$A$1:$A$100,0),   MATCH(N$1,警職大表!$A$3:$AZ$3,0)  )=0,"",INDEX(警職大表!$A$1:$AZ$100,MATCH($A12,警職大表!$A$1:$A$100,0),   MATCH(N$1,警職大表!$A$3:$AZ$3,0)  ) )    ),"")</f>
        <v>大日</v>
      </c>
      <c r="O12" s="271" t="str">
        <f>_xlfn.IFNA(   IF(   IF(  INDEX(警職大表!$A$1:$AZ$100,MATCH($A12,警職大表!$A$1:$A$100,0),   MATCH(O$1,警職大表!$A$3:$AZ$3,0)  )=0,"",INDEX(警職大表!$A$1:$AZ$100,MATCH($A12,警職大表!$A$1:$A$100,0),   MATCH(O$1,警職大表!$A$3:$AZ$3,0)  )        )="",N12,  IF(  INDEX(警職大表!$A$1:$AZ$100,MATCH($A12,警職大表!$A$1:$A$100,0),   MATCH(O$1,警職大表!$A$3:$AZ$3,0)  )=0,"",INDEX(警職大表!$A$1:$AZ$100,MATCH($A12,警職大表!$A$1:$A$100,0),   MATCH(O$1,警職大表!$A$3:$AZ$3,0)  ) )    ),"")</f>
        <v>大日</v>
      </c>
      <c r="P12" s="271" t="str">
        <f>_xlfn.IFNA(   IF(   IF(  INDEX(警職大表!$A$1:$AZ$100,MATCH($A12,警職大表!$A$1:$A$100,0),   MATCH(P$1,警職大表!$A$3:$AZ$3,0)  )=0,"",INDEX(警職大表!$A$1:$AZ$100,MATCH($A12,警職大表!$A$1:$A$100,0),   MATCH(P$1,警職大表!$A$3:$AZ$3,0)  )        )="",O12,  IF(  INDEX(警職大表!$A$1:$AZ$100,MATCH($A12,警職大表!$A$1:$A$100,0),   MATCH(P$1,警職大表!$A$3:$AZ$3,0)  )=0,"",INDEX(警職大表!$A$1:$AZ$100,MATCH($A12,警職大表!$A$1:$A$100,0),   MATCH(P$1,警職大表!$A$3:$AZ$3,0)  ) )    ),"")</f>
        <v>大日</v>
      </c>
      <c r="Q12" s="271" t="str">
        <f>_xlfn.IFNA(   IF(   IF(  INDEX(警職大表!$A$1:$AZ$100,MATCH($A12,警職大表!$A$1:$A$100,0),   MATCH(Q$1,警職大表!$A$3:$AZ$3,0)  )=0,"",INDEX(警職大表!$A$1:$AZ$100,MATCH($A12,警職大表!$A$1:$A$100,0),   MATCH(Q$1,警職大表!$A$3:$AZ$3,0)  )        )="",P12,  IF(  INDEX(警職大表!$A$1:$AZ$100,MATCH($A12,警職大表!$A$1:$A$100,0),   MATCH(Q$1,警職大表!$A$3:$AZ$3,0)  )=0,"",INDEX(警職大表!$A$1:$AZ$100,MATCH($A12,警職大表!$A$1:$A$100,0),   MATCH(Q$1,警職大表!$A$3:$AZ$3,0)  ) )    ),"")</f>
        <v>大日</v>
      </c>
      <c r="R12" s="271" t="str">
        <f>_xlfn.IFNA(   IF(   IF(  INDEX(警職大表!$A$1:$AZ$100,MATCH($A12,警職大表!$A$1:$A$100,0),   MATCH(R$1,警職大表!$A$3:$AZ$3,0)  )=0,"",INDEX(警職大表!$A$1:$AZ$100,MATCH($A12,警職大表!$A$1:$A$100,0),   MATCH(R$1,警職大表!$A$3:$AZ$3,0)  )        )="",Q12,  IF(  INDEX(警職大表!$A$1:$AZ$100,MATCH($A12,警職大表!$A$1:$A$100,0),   MATCH(R$1,警職大表!$A$3:$AZ$3,0)  )=0,"",INDEX(警職大表!$A$1:$AZ$100,MATCH($A12,警職大表!$A$1:$A$100,0),   MATCH(R$1,警職大表!$A$3:$AZ$3,0)  ) )    ),"")</f>
        <v>大日</v>
      </c>
      <c r="S12" s="271" t="str">
        <f>_xlfn.IFNA(   IF(   IF(  INDEX(警職大表!$A$1:$AZ$100,MATCH($A12,警職大表!$A$1:$A$100,0),   MATCH(S$1,警職大表!$A$3:$AZ$3,0)  )=0,"",INDEX(警職大表!$A$1:$AZ$100,MATCH($A12,警職大表!$A$1:$A$100,0),   MATCH(S$1,警職大表!$A$3:$AZ$3,0)  )        )="",R12,  IF(  INDEX(警職大表!$A$1:$AZ$100,MATCH($A12,警職大表!$A$1:$A$100,0),   MATCH(S$1,警職大表!$A$3:$AZ$3,0)  )=0,"",INDEX(警職大表!$A$1:$AZ$100,MATCH($A12,警職大表!$A$1:$A$100,0),   MATCH(S$1,警職大表!$A$3:$AZ$3,0)  ) )    ),"")</f>
        <v>大日</v>
      </c>
      <c r="T12" s="271" t="str">
        <f>_xlfn.IFNA(   IF(   IF(  INDEX(警職大表!$A$1:$AZ$100,MATCH($A12,警職大表!$A$1:$A$100,0),   MATCH(T$1,警職大表!$A$3:$AZ$3,0)  )=0,"",INDEX(警職大表!$A$1:$AZ$100,MATCH($A12,警職大表!$A$1:$A$100,0),   MATCH(T$1,警職大表!$A$3:$AZ$3,0)  )        )="",S12,  IF(  INDEX(警職大表!$A$1:$AZ$100,MATCH($A12,警職大表!$A$1:$A$100,0),   MATCH(T$1,警職大表!$A$3:$AZ$3,0)  )=0,"",INDEX(警職大表!$A$1:$AZ$100,MATCH($A12,警職大表!$A$1:$A$100,0),   MATCH(T$1,警職大表!$A$3:$AZ$3,0)  ) )    ),"")</f>
        <v>大日</v>
      </c>
      <c r="U12" s="271" t="str">
        <f>_xlfn.IFNA(   IF(   IF(  INDEX(警職大表!$A$1:$AZ$100,MATCH($A12,警職大表!$A$1:$A$100,0),   MATCH(U$1,警職大表!$A$3:$AZ$3,0)  )=0,"",INDEX(警職大表!$A$1:$AZ$100,MATCH($A12,警職大表!$A$1:$A$100,0),   MATCH(U$1,警職大表!$A$3:$AZ$3,0)  )        )="",T12,  IF(  INDEX(警職大表!$A$1:$AZ$100,MATCH($A12,警職大表!$A$1:$A$100,0),   MATCH(U$1,警職大表!$A$3:$AZ$3,0)  )=0,"",INDEX(警職大表!$A$1:$AZ$100,MATCH($A12,警職大表!$A$1:$A$100,0),   MATCH(U$1,警職大表!$A$3:$AZ$3,0)  ) )    ),"")</f>
        <v>大日</v>
      </c>
      <c r="V12" s="271" t="str">
        <f>_xlfn.IFNA(   IF(   IF(  INDEX(警職大表!$A$1:$AZ$100,MATCH($A12,警職大表!$A$1:$A$100,0),   MATCH(V$1,警職大表!$A$3:$AZ$3,0)  )=0,"",INDEX(警職大表!$A$1:$AZ$100,MATCH($A12,警職大表!$A$1:$A$100,0),   MATCH(V$1,警職大表!$A$3:$AZ$3,0)  )        )="",U12,  IF(  INDEX(警職大表!$A$1:$AZ$100,MATCH($A12,警職大表!$A$1:$A$100,0),   MATCH(V$1,警職大表!$A$3:$AZ$3,0)  )=0,"",INDEX(警職大表!$A$1:$AZ$100,MATCH($A12,警職大表!$A$1:$A$100,0),   MATCH(V$1,警職大表!$A$3:$AZ$3,0)  ) )    ),"")</f>
        <v>大日</v>
      </c>
      <c r="W12" s="271" t="str">
        <f>_xlfn.IFNA(   IF(   IF(  INDEX(警職大表!$A$1:$AZ$100,MATCH($A12,警職大表!$A$1:$A$100,0),   MATCH(W$1,警職大表!$A$3:$AZ$3,0)  )=0,"",INDEX(警職大表!$A$1:$AZ$100,MATCH($A12,警職大表!$A$1:$A$100,0),   MATCH(W$1,警職大表!$A$3:$AZ$3,0)  )        )="",V12,  IF(  INDEX(警職大表!$A$1:$AZ$100,MATCH($A12,警職大表!$A$1:$A$100,0),   MATCH(W$1,警職大表!$A$3:$AZ$3,0)  )=0,"",INDEX(警職大表!$A$1:$AZ$100,MATCH($A12,警職大表!$A$1:$A$100,0),   MATCH(W$1,警職大表!$A$3:$AZ$3,0)  ) )    ),"")</f>
        <v>大日</v>
      </c>
      <c r="X12" s="271" t="str">
        <f>_xlfn.IFNA(   IF(   IF(  INDEX(警職大表!$A$1:$AZ$100,MATCH($A12,警職大表!$A$1:$A$100,0),   MATCH(X$1,警職大表!$A$3:$AZ$3,0)  )=0,"",INDEX(警職大表!$A$1:$AZ$100,MATCH($A12,警職大表!$A$1:$A$100,0),   MATCH(X$1,警職大表!$A$3:$AZ$3,0)  )        )="",W12,  IF(  INDEX(警職大表!$A$1:$AZ$100,MATCH($A12,警職大表!$A$1:$A$100,0),   MATCH(X$1,警職大表!$A$3:$AZ$3,0)  )=0,"",INDEX(警職大表!$A$1:$AZ$100,MATCH($A12,警職大表!$A$1:$A$100,0),   MATCH(X$1,警職大表!$A$3:$AZ$3,0)  ) )    ),"")</f>
        <v>大日</v>
      </c>
      <c r="Y12" s="271" t="str">
        <f>_xlfn.IFNA(   IF(   IF(  INDEX(警職大表!$A$1:$AZ$100,MATCH($A12,警職大表!$A$1:$A$100,0),   MATCH(Y$1,警職大表!$A$3:$AZ$3,0)  )=0,"",INDEX(警職大表!$A$1:$AZ$100,MATCH($A12,警職大表!$A$1:$A$100,0),   MATCH(Y$1,警職大表!$A$3:$AZ$3,0)  )        )="",X12,  IF(  INDEX(警職大表!$A$1:$AZ$100,MATCH($A12,警職大表!$A$1:$A$100,0),   MATCH(Y$1,警職大表!$A$3:$AZ$3,0)  )=0,"",INDEX(警職大表!$A$1:$AZ$100,MATCH($A12,警職大表!$A$1:$A$100,0),   MATCH(Y$1,警職大表!$A$3:$AZ$3,0)  ) )    ),"")</f>
        <v>大日</v>
      </c>
      <c r="Z12" s="271" t="str">
        <f>_xlfn.IFNA(   IF(   IF(  INDEX(警職大表!$A$1:$AZ$100,MATCH($A12,警職大表!$A$1:$A$100,0),   MATCH(Z$1,警職大表!$A$3:$AZ$3,0)  )=0,"",INDEX(警職大表!$A$1:$AZ$100,MATCH($A12,警職大表!$A$1:$A$100,0),   MATCH(Z$1,警職大表!$A$3:$AZ$3,0)  )        )="",Y12,  IF(  INDEX(警職大表!$A$1:$AZ$100,MATCH($A12,警職大表!$A$1:$A$100,0),   MATCH(Z$1,警職大表!$A$3:$AZ$3,0)  )=0,"",INDEX(警職大表!$A$1:$AZ$100,MATCH($A12,警職大表!$A$1:$A$100,0),   MATCH(Z$1,警職大表!$A$3:$AZ$3,0)  ) )    ),"")</f>
        <v>大日</v>
      </c>
      <c r="AA12" s="271" t="str">
        <f>_xlfn.IFNA(   IF(   IF(  INDEX(警職大表!$A$1:$AZ$100,MATCH($A12,警職大表!$A$1:$A$100,0),   MATCH(AA$1,警職大表!$A$3:$AZ$3,0)  )=0,"",INDEX(警職大表!$A$1:$AZ$100,MATCH($A12,警職大表!$A$1:$A$100,0),   MATCH(AA$1,警職大表!$A$3:$AZ$3,0)  )        )="",Z12,  IF(  INDEX(警職大表!$A$1:$AZ$100,MATCH($A12,警職大表!$A$1:$A$100,0),   MATCH(AA$1,警職大表!$A$3:$AZ$3,0)  )=0,"",INDEX(警職大表!$A$1:$AZ$100,MATCH($A12,警職大表!$A$1:$A$100,0),   MATCH(AA$1,警職大表!$A$3:$AZ$3,0)  ) )    ),"")</f>
        <v>大日</v>
      </c>
      <c r="AB12" s="271" t="str">
        <f>_xlfn.IFNA(   IF(   IF(  INDEX(警職大表!$A$1:$AZ$100,MATCH($A12,警職大表!$A$1:$A$100,0),   MATCH(AB$1,警職大表!$A$3:$AZ$3,0)  )=0,"",INDEX(警職大表!$A$1:$AZ$100,MATCH($A12,警職大表!$A$1:$A$100,0),   MATCH(AB$1,警職大表!$A$3:$AZ$3,0)  )        )="",AA12,  IF(  INDEX(警職大表!$A$1:$AZ$100,MATCH($A12,警職大表!$A$1:$A$100,0),   MATCH(AB$1,警職大表!$A$3:$AZ$3,0)  )=0,"",INDEX(警職大表!$A$1:$AZ$100,MATCH($A12,警職大表!$A$1:$A$100,0),   MATCH(AB$1,警職大表!$A$3:$AZ$3,0)  ) )    ),"")</f>
        <v>大日</v>
      </c>
      <c r="AC12" s="271" t="str">
        <f>_xlfn.IFNA(   IF(   IF(  INDEX(警職大表!$A$1:$AZ$100,MATCH($A12,警職大表!$A$1:$A$100,0),   MATCH(AC$1,警職大表!$A$3:$AZ$3,0)  )=0,"",INDEX(警職大表!$A$1:$AZ$100,MATCH($A12,警職大表!$A$1:$A$100,0),   MATCH(AC$1,警職大表!$A$3:$AZ$3,0)  )        )="",AB12,  IF(  INDEX(警職大表!$A$1:$AZ$100,MATCH($A12,警職大表!$A$1:$A$100,0),   MATCH(AC$1,警職大表!$A$3:$AZ$3,0)  )=0,"",INDEX(警職大表!$A$1:$AZ$100,MATCH($A12,警職大表!$A$1:$A$100,0),   MATCH(AC$1,警職大表!$A$3:$AZ$3,0)  ) )    ),"")</f>
        <v>大日</v>
      </c>
      <c r="AD12" s="271" t="str">
        <f>_xlfn.IFNA(   IF(   IF(  INDEX(警職大表!$A$1:$AZ$100,MATCH($A12,警職大表!$A$1:$A$100,0),   MATCH(AD$1,警職大表!$A$3:$AZ$3,0)  )=0,"",INDEX(警職大表!$A$1:$AZ$100,MATCH($A12,警職大表!$A$1:$A$100,0),   MATCH(AD$1,警職大表!$A$3:$AZ$3,0)  )        )="",AC12,  IF(  INDEX(警職大表!$A$1:$AZ$100,MATCH($A12,警職大表!$A$1:$A$100,0),   MATCH(AD$1,警職大表!$A$3:$AZ$3,0)  )=0,"",INDEX(警職大表!$A$1:$AZ$100,MATCH($A12,警職大表!$A$1:$A$100,0),   MATCH(AD$1,警職大表!$A$3:$AZ$3,0)  ) )    ),"")</f>
        <v>大日</v>
      </c>
      <c r="AE12" s="271" t="str">
        <f>_xlfn.IFNA(   IF(   IF(  INDEX(警職大表!$A$1:$AZ$100,MATCH($A12,警職大表!$A$1:$A$100,0),   MATCH(AE$1,警職大表!$A$3:$AZ$3,0)  )=0,"",INDEX(警職大表!$A$1:$AZ$100,MATCH($A12,警職大表!$A$1:$A$100,0),   MATCH(AE$1,警職大表!$A$3:$AZ$3,0)  )        )="",AD12,  IF(  INDEX(警職大表!$A$1:$AZ$100,MATCH($A12,警職大表!$A$1:$A$100,0),   MATCH(AE$1,警職大表!$A$3:$AZ$3,0)  )=0,"",INDEX(警職大表!$A$1:$AZ$100,MATCH($A12,警職大表!$A$1:$A$100,0),   MATCH(AE$1,警職大表!$A$3:$AZ$3,0)  ) )    ),"")</f>
        <v>大日</v>
      </c>
      <c r="AF12" s="271" t="str">
        <f>_xlfn.IFNA(   IF(   IF(  INDEX(警職大表!$A$1:$AZ$100,MATCH($A12,警職大表!$A$1:$A$100,0),   MATCH(AF$1,警職大表!$A$3:$AZ$3,0)  )=0,"",INDEX(警職大表!$A$1:$AZ$100,MATCH($A12,警職大表!$A$1:$A$100,0),   MATCH(AF$1,警職大表!$A$3:$AZ$3,0)  )        )="",AE12,  IF(  INDEX(警職大表!$A$1:$AZ$100,MATCH($A12,警職大表!$A$1:$A$100,0),   MATCH(AF$1,警職大表!$A$3:$AZ$3,0)  )=0,"",INDEX(警職大表!$A$1:$AZ$100,MATCH($A12,警職大表!$A$1:$A$100,0),   MATCH(AF$1,警職大表!$A$3:$AZ$3,0)  ) )    ),"")</f>
        <v>大日</v>
      </c>
      <c r="AG12" s="271" t="str">
        <f>_xlfn.IFNA(   IF(   IF(  INDEX(警職大表!$A$1:$AZ$100,MATCH($A12,警職大表!$A$1:$A$100,0),   MATCH(AG$1,警職大表!$A$3:$AZ$3,0)  )=0,"",INDEX(警職大表!$A$1:$AZ$100,MATCH($A12,警職大表!$A$1:$A$100,0),   MATCH(AG$1,警職大表!$A$3:$AZ$3,0)  )        )="",AF12,  IF(  INDEX(警職大表!$A$1:$AZ$100,MATCH($A12,警職大表!$A$1:$A$100,0),   MATCH(AG$1,警職大表!$A$3:$AZ$3,0)  )=0,"",INDEX(警職大表!$A$1:$AZ$100,MATCH($A12,警職大表!$A$1:$A$100,0),   MATCH(AG$1,警職大表!$A$3:$AZ$3,0)  ) )    ),"")</f>
        <v>大日</v>
      </c>
      <c r="AL12" s="271" t="str">
        <f t="shared" si="0"/>
        <v>O</v>
      </c>
      <c r="AM12" s="271" t="str">
        <f t="shared" si="1"/>
        <v>陳佑任</v>
      </c>
      <c r="AN12" s="271" t="str">
        <f>INDEX(   $A$41:$AG$78, MATCH(AL12,$A$41:$A$78,0),MATCH(  DAY(勤務分配表!$AN$1),$A$41:$AL$41,0  )  )</f>
        <v>大隊值日(日)</v>
      </c>
      <c r="AO12" s="271" t="str">
        <f>IF((ROW(AO12)-1)&lt;=日期輸入!$B$5,_xlfn.IFNA(IF(INDEX($A$1:$AG$40,MATCH($AM12,$B$1:$B$100,0),VALUE($AO$1+3))="成","補",INDEX($A$1:$AG$40,MATCH($AM12,$B$1:$B$100,0),VALUE($AO$1+3))),""),"")</f>
        <v>/</v>
      </c>
      <c r="AP12" s="271" t="str">
        <f>IF((ROW(AP12)-1)&lt;=日期輸入!$B$5,_xlfn.IFNA(IF(INDEX($A$1:$AG$40,MATCH($AM12,$B$1:$B$100,0),VALUE($AP$1+3))="成","補",INDEX($A$1:$AG$40,MATCH($AM12,$B$1:$B$100,0),VALUE($AP$1+3))),""),"")</f>
        <v>X</v>
      </c>
      <c r="AQ12" s="271" t="str">
        <f>IF((ROW(AQ12)-1)&lt;=日期輸入!$B$5,_xlfn.IFNA(IF(INDEX($A$1:$AG$40,MATCH($AM12,$B$1:$B$100,0),VALUE($AQ$1+3))="成","補",INDEX($A$1:$AG$40,MATCH($AM12,$B$1:$B$100,0),VALUE($AQ$1+3))),""),"")</f>
        <v>X</v>
      </c>
    </row>
    <row r="13" spans="1:47">
      <c r="A13" s="271" t="str">
        <f>IF(  (ROW(A13)-1)&lt;=日期輸入!$B$5,勤務分配!A13,"")</f>
        <v>P</v>
      </c>
      <c r="B13" s="271" t="str">
        <f>_xlfn.IFNA(  INDEX(警職大表!$A$1:$AZ$100,MATCH(A13,警職大表!$A$1:$A$100,0),3),"")</f>
        <v>林明道(支援總隊)</v>
      </c>
      <c r="C13" s="271" t="str">
        <f>_xlfn.IFNA(   IF(   IF(  INDEX(警職大表!$A$1:$AZ$100,MATCH($A13,警職大表!$A$1:$A$100,0),   MATCH(C$1,警職大表!$A$3:$AZ$3,0)  )=0,"",INDEX(警職大表!$A$1:$AZ$100,MATCH($A13,警職大表!$A$1:$A$100,0),   MATCH(C$1,警職大表!$A$3:$AZ$3,0)  )        )="",B13,  IF(  INDEX(警職大表!$A$1:$AZ$100,MATCH($A13,警職大表!$A$1:$A$100,0),   MATCH(C$1,警職大表!$A$3:$AZ$3,0)  )=0,"",INDEX(警職大表!$A$1:$AZ$100,MATCH($A13,警職大表!$A$1:$A$100,0),   MATCH(C$1,警職大表!$A$3:$AZ$3,0)  ) )    ),"")</f>
        <v>/</v>
      </c>
      <c r="D13" s="271" t="str">
        <f>_xlfn.IFNA(   IF(   IF(  INDEX(警職大表!$A$1:$AZ$100,MATCH($A13,警職大表!$A$1:$A$100,0),   MATCH(D$1,警職大表!$A$3:$AZ$3,0)  )=0,"",INDEX(警職大表!$A$1:$AZ$100,MATCH($A13,警職大表!$A$1:$A$100,0),   MATCH(D$1,警職大表!$A$3:$AZ$3,0)  )        )="",C13,  IF(  INDEX(警職大表!$A$1:$AZ$100,MATCH($A13,警職大表!$A$1:$A$100,0),   MATCH(D$1,警職大表!$A$3:$AZ$3,0)  )=0,"",INDEX(警職大表!$A$1:$AZ$100,MATCH($A13,警職大表!$A$1:$A$100,0),   MATCH(D$1,警職大表!$A$3:$AZ$3,0)  ) )    ),"")</f>
        <v>X</v>
      </c>
      <c r="E13" s="271" t="str">
        <f>_xlfn.IFNA(   IF(   IF(  INDEX(警職大表!$A$1:$AZ$100,MATCH($A13,警職大表!$A$1:$A$100,0),   MATCH(E$1,警職大表!$A$3:$AZ$3,0)  )=0,"",INDEX(警職大表!$A$1:$AZ$100,MATCH($A13,警職大表!$A$1:$A$100,0),   MATCH(E$1,警職大表!$A$3:$AZ$3,0)  )        )="",D13,  IF(  INDEX(警職大表!$A$1:$AZ$100,MATCH($A13,警職大表!$A$1:$A$100,0),   MATCH(E$1,警職大表!$A$3:$AZ$3,0)  )=0,"",INDEX(警職大表!$A$1:$AZ$100,MATCH($A13,警職大表!$A$1:$A$100,0),   MATCH(E$1,警職大表!$A$3:$AZ$3,0)  ) )    ),"")</f>
        <v>X</v>
      </c>
      <c r="F13" s="271" t="str">
        <f>_xlfn.IFNA(   IF(   IF(  INDEX(警職大表!$A$1:$AZ$100,MATCH($A13,警職大表!$A$1:$A$100,0),   MATCH(F$1,警職大表!$A$3:$AZ$3,0)  )=0,"",INDEX(警職大表!$A$1:$AZ$100,MATCH($A13,警職大表!$A$1:$A$100,0),   MATCH(F$1,警職大表!$A$3:$AZ$3,0)  )        )="",E13,  IF(  INDEX(警職大表!$A$1:$AZ$100,MATCH($A13,警職大表!$A$1:$A$100,0),   MATCH(F$1,警職大表!$A$3:$AZ$3,0)  )=0,"",INDEX(警職大表!$A$1:$AZ$100,MATCH($A13,警職大表!$A$1:$A$100,0),   MATCH(F$1,警職大表!$A$3:$AZ$3,0)  ) )    ),"")</f>
        <v>/</v>
      </c>
      <c r="G13" s="271" t="str">
        <f>_xlfn.IFNA(   IF(   IF(  INDEX(警職大表!$A$1:$AZ$100,MATCH($A13,警職大表!$A$1:$A$100,0),   MATCH(G$1,警職大表!$A$3:$AZ$3,0)  )=0,"",INDEX(警職大表!$A$1:$AZ$100,MATCH($A13,警職大表!$A$1:$A$100,0),   MATCH(G$1,警職大表!$A$3:$AZ$3,0)  )        )="",F13,  IF(  INDEX(警職大表!$A$1:$AZ$100,MATCH($A13,警職大表!$A$1:$A$100,0),   MATCH(G$1,警職大表!$A$3:$AZ$3,0)  )=0,"",INDEX(警職大表!$A$1:$AZ$100,MATCH($A13,警職大表!$A$1:$A$100,0),   MATCH(G$1,警職大表!$A$3:$AZ$3,0)  ) )    ),"")</f>
        <v>/</v>
      </c>
      <c r="H13" s="271" t="str">
        <f>_xlfn.IFNA(   IF(   IF(  INDEX(警職大表!$A$1:$AZ$100,MATCH($A13,警職大表!$A$1:$A$100,0),   MATCH(H$1,警職大表!$A$3:$AZ$3,0)  )=0,"",INDEX(警職大表!$A$1:$AZ$100,MATCH($A13,警職大表!$A$1:$A$100,0),   MATCH(H$1,警職大表!$A$3:$AZ$3,0)  )        )="",G13,  IF(  INDEX(警職大表!$A$1:$AZ$100,MATCH($A13,警職大表!$A$1:$A$100,0),   MATCH(H$1,警職大表!$A$3:$AZ$3,0)  )=0,"",INDEX(警職大表!$A$1:$AZ$100,MATCH($A13,警職大表!$A$1:$A$100,0),   MATCH(H$1,警職大表!$A$3:$AZ$3,0)  ) )    ),"")</f>
        <v>/</v>
      </c>
      <c r="I13" s="271" t="str">
        <f>_xlfn.IFNA(   IF(   IF(  INDEX(警職大表!$A$1:$AZ$100,MATCH($A13,警職大表!$A$1:$A$100,0),   MATCH(I$1,警職大表!$A$3:$AZ$3,0)  )=0,"",INDEX(警職大表!$A$1:$AZ$100,MATCH($A13,警職大表!$A$1:$A$100,0),   MATCH(I$1,警職大表!$A$3:$AZ$3,0)  )        )="",H13,  IF(  INDEX(警職大表!$A$1:$AZ$100,MATCH($A13,警職大表!$A$1:$A$100,0),   MATCH(I$1,警職大表!$A$3:$AZ$3,0)  )=0,"",INDEX(警職大表!$A$1:$AZ$100,MATCH($A13,警職大表!$A$1:$A$100,0),   MATCH(I$1,警職大表!$A$3:$AZ$3,0)  ) )    ),"")</f>
        <v>/</v>
      </c>
      <c r="J13" s="271" t="str">
        <f>_xlfn.IFNA(   IF(   IF(  INDEX(警職大表!$A$1:$AZ$100,MATCH($A13,警職大表!$A$1:$A$100,0),   MATCH(J$1,警職大表!$A$3:$AZ$3,0)  )=0,"",INDEX(警職大表!$A$1:$AZ$100,MATCH($A13,警職大表!$A$1:$A$100,0),   MATCH(J$1,警職大表!$A$3:$AZ$3,0)  )        )="",I13,  IF(  INDEX(警職大表!$A$1:$AZ$100,MATCH($A13,警職大表!$A$1:$A$100,0),   MATCH(J$1,警職大表!$A$3:$AZ$3,0)  )=0,"",INDEX(警職大表!$A$1:$AZ$100,MATCH($A13,警職大表!$A$1:$A$100,0),   MATCH(J$1,警職大表!$A$3:$AZ$3,0)  ) )    ),"")</f>
        <v>/</v>
      </c>
      <c r="K13" s="271" t="str">
        <f>_xlfn.IFNA(   IF(   IF(  INDEX(警職大表!$A$1:$AZ$100,MATCH($A13,警職大表!$A$1:$A$100,0),   MATCH(K$1,警職大表!$A$3:$AZ$3,0)  )=0,"",INDEX(警職大表!$A$1:$AZ$100,MATCH($A13,警職大表!$A$1:$A$100,0),   MATCH(K$1,警職大表!$A$3:$AZ$3,0)  )        )="",J13,  IF(  INDEX(警職大表!$A$1:$AZ$100,MATCH($A13,警職大表!$A$1:$A$100,0),   MATCH(K$1,警職大表!$A$3:$AZ$3,0)  )=0,"",INDEX(警職大表!$A$1:$AZ$100,MATCH($A13,警職大表!$A$1:$A$100,0),   MATCH(K$1,警職大表!$A$3:$AZ$3,0)  ) )    ),"")</f>
        <v>/</v>
      </c>
      <c r="L13" s="271" t="str">
        <f>_xlfn.IFNA(   IF(   IF(  INDEX(警職大表!$A$1:$AZ$100,MATCH($A13,警職大表!$A$1:$A$100,0),   MATCH(L$1,警職大表!$A$3:$AZ$3,0)  )=0,"",INDEX(警職大表!$A$1:$AZ$100,MATCH($A13,警職大表!$A$1:$A$100,0),   MATCH(L$1,警職大表!$A$3:$AZ$3,0)  )        )="",K13,  IF(  INDEX(警職大表!$A$1:$AZ$100,MATCH($A13,警職大表!$A$1:$A$100,0),   MATCH(L$1,警職大表!$A$3:$AZ$3,0)  )=0,"",INDEX(警職大表!$A$1:$AZ$100,MATCH($A13,警職大表!$A$1:$A$100,0),   MATCH(L$1,警職大表!$A$3:$AZ$3,0)  ) )    ),"")</f>
        <v>/</v>
      </c>
      <c r="M13" s="271" t="str">
        <f>_xlfn.IFNA(   IF(   IF(  INDEX(警職大表!$A$1:$AZ$100,MATCH($A13,警職大表!$A$1:$A$100,0),   MATCH(M$1,警職大表!$A$3:$AZ$3,0)  )=0,"",INDEX(警職大表!$A$1:$AZ$100,MATCH($A13,警職大表!$A$1:$A$100,0),   MATCH(M$1,警職大表!$A$3:$AZ$3,0)  )        )="",L13,  IF(  INDEX(警職大表!$A$1:$AZ$100,MATCH($A13,警職大表!$A$1:$A$100,0),   MATCH(M$1,警職大表!$A$3:$AZ$3,0)  )=0,"",INDEX(警職大表!$A$1:$AZ$100,MATCH($A13,警職大表!$A$1:$A$100,0),   MATCH(M$1,警職大表!$A$3:$AZ$3,0)  ) )    ),"")</f>
        <v>/</v>
      </c>
      <c r="N13" s="271" t="str">
        <f>_xlfn.IFNA(   IF(   IF(  INDEX(警職大表!$A$1:$AZ$100,MATCH($A13,警職大表!$A$1:$A$100,0),   MATCH(N$1,警職大表!$A$3:$AZ$3,0)  )=0,"",INDEX(警職大表!$A$1:$AZ$100,MATCH($A13,警職大表!$A$1:$A$100,0),   MATCH(N$1,警職大表!$A$3:$AZ$3,0)  )        )="",M13,  IF(  INDEX(警職大表!$A$1:$AZ$100,MATCH($A13,警職大表!$A$1:$A$100,0),   MATCH(N$1,警職大表!$A$3:$AZ$3,0)  )=0,"",INDEX(警職大表!$A$1:$AZ$100,MATCH($A13,警職大表!$A$1:$A$100,0),   MATCH(N$1,警職大表!$A$3:$AZ$3,0)  ) )    ),"")</f>
        <v>/</v>
      </c>
      <c r="O13" s="271" t="str">
        <f>_xlfn.IFNA(   IF(   IF(  INDEX(警職大表!$A$1:$AZ$100,MATCH($A13,警職大表!$A$1:$A$100,0),   MATCH(O$1,警職大表!$A$3:$AZ$3,0)  )=0,"",INDEX(警職大表!$A$1:$AZ$100,MATCH($A13,警職大表!$A$1:$A$100,0),   MATCH(O$1,警職大表!$A$3:$AZ$3,0)  )        )="",N13,  IF(  INDEX(警職大表!$A$1:$AZ$100,MATCH($A13,警職大表!$A$1:$A$100,0),   MATCH(O$1,警職大表!$A$3:$AZ$3,0)  )=0,"",INDEX(警職大表!$A$1:$AZ$100,MATCH($A13,警職大表!$A$1:$A$100,0),   MATCH(O$1,警職大表!$A$3:$AZ$3,0)  ) )    ),"")</f>
        <v>/</v>
      </c>
      <c r="P13" s="271" t="str">
        <f>_xlfn.IFNA(   IF(   IF(  INDEX(警職大表!$A$1:$AZ$100,MATCH($A13,警職大表!$A$1:$A$100,0),   MATCH(P$1,警職大表!$A$3:$AZ$3,0)  )=0,"",INDEX(警職大表!$A$1:$AZ$100,MATCH($A13,警職大表!$A$1:$A$100,0),   MATCH(P$1,警職大表!$A$3:$AZ$3,0)  )        )="",O13,  IF(  INDEX(警職大表!$A$1:$AZ$100,MATCH($A13,警職大表!$A$1:$A$100,0),   MATCH(P$1,警職大表!$A$3:$AZ$3,0)  )=0,"",INDEX(警職大表!$A$1:$AZ$100,MATCH($A13,警職大表!$A$1:$A$100,0),   MATCH(P$1,警職大表!$A$3:$AZ$3,0)  ) )    ),"")</f>
        <v>/</v>
      </c>
      <c r="Q13" s="271" t="str">
        <f>_xlfn.IFNA(   IF(   IF(  INDEX(警職大表!$A$1:$AZ$100,MATCH($A13,警職大表!$A$1:$A$100,0),   MATCH(Q$1,警職大表!$A$3:$AZ$3,0)  )=0,"",INDEX(警職大表!$A$1:$AZ$100,MATCH($A13,警職大表!$A$1:$A$100,0),   MATCH(Q$1,警職大表!$A$3:$AZ$3,0)  )        )="",P13,  IF(  INDEX(警職大表!$A$1:$AZ$100,MATCH($A13,警職大表!$A$1:$A$100,0),   MATCH(Q$1,警職大表!$A$3:$AZ$3,0)  )=0,"",INDEX(警職大表!$A$1:$AZ$100,MATCH($A13,警職大表!$A$1:$A$100,0),   MATCH(Q$1,警職大表!$A$3:$AZ$3,0)  ) )    ),"")</f>
        <v>/</v>
      </c>
      <c r="R13" s="271" t="str">
        <f>_xlfn.IFNA(   IF(   IF(  INDEX(警職大表!$A$1:$AZ$100,MATCH($A13,警職大表!$A$1:$A$100,0),   MATCH(R$1,警職大表!$A$3:$AZ$3,0)  )=0,"",INDEX(警職大表!$A$1:$AZ$100,MATCH($A13,警職大表!$A$1:$A$100,0),   MATCH(R$1,警職大表!$A$3:$AZ$3,0)  )        )="",Q13,  IF(  INDEX(警職大表!$A$1:$AZ$100,MATCH($A13,警職大表!$A$1:$A$100,0),   MATCH(R$1,警職大表!$A$3:$AZ$3,0)  )=0,"",INDEX(警職大表!$A$1:$AZ$100,MATCH($A13,警職大表!$A$1:$A$100,0),   MATCH(R$1,警職大表!$A$3:$AZ$3,0)  ) )    ),"")</f>
        <v>/</v>
      </c>
      <c r="S13" s="271" t="str">
        <f>_xlfn.IFNA(   IF(   IF(  INDEX(警職大表!$A$1:$AZ$100,MATCH($A13,警職大表!$A$1:$A$100,0),   MATCH(S$1,警職大表!$A$3:$AZ$3,0)  )=0,"",INDEX(警職大表!$A$1:$AZ$100,MATCH($A13,警職大表!$A$1:$A$100,0),   MATCH(S$1,警職大表!$A$3:$AZ$3,0)  )        )="",R13,  IF(  INDEX(警職大表!$A$1:$AZ$100,MATCH($A13,警職大表!$A$1:$A$100,0),   MATCH(S$1,警職大表!$A$3:$AZ$3,0)  )=0,"",INDEX(警職大表!$A$1:$AZ$100,MATCH($A13,警職大表!$A$1:$A$100,0),   MATCH(S$1,警職大表!$A$3:$AZ$3,0)  ) )    ),"")</f>
        <v>/</v>
      </c>
      <c r="T13" s="271" t="str">
        <f>_xlfn.IFNA(   IF(   IF(  INDEX(警職大表!$A$1:$AZ$100,MATCH($A13,警職大表!$A$1:$A$100,0),   MATCH(T$1,警職大表!$A$3:$AZ$3,0)  )=0,"",INDEX(警職大表!$A$1:$AZ$100,MATCH($A13,警職大表!$A$1:$A$100,0),   MATCH(T$1,警職大表!$A$3:$AZ$3,0)  )        )="",S13,  IF(  INDEX(警職大表!$A$1:$AZ$100,MATCH($A13,警職大表!$A$1:$A$100,0),   MATCH(T$1,警職大表!$A$3:$AZ$3,0)  )=0,"",INDEX(警職大表!$A$1:$AZ$100,MATCH($A13,警職大表!$A$1:$A$100,0),   MATCH(T$1,警職大表!$A$3:$AZ$3,0)  ) )    ),"")</f>
        <v>/</v>
      </c>
      <c r="U13" s="271" t="str">
        <f>_xlfn.IFNA(   IF(   IF(  INDEX(警職大表!$A$1:$AZ$100,MATCH($A13,警職大表!$A$1:$A$100,0),   MATCH(U$1,警職大表!$A$3:$AZ$3,0)  )=0,"",INDEX(警職大表!$A$1:$AZ$100,MATCH($A13,警職大表!$A$1:$A$100,0),   MATCH(U$1,警職大表!$A$3:$AZ$3,0)  )        )="",T13,  IF(  INDEX(警職大表!$A$1:$AZ$100,MATCH($A13,警職大表!$A$1:$A$100,0),   MATCH(U$1,警職大表!$A$3:$AZ$3,0)  )=0,"",INDEX(警職大表!$A$1:$AZ$100,MATCH($A13,警職大表!$A$1:$A$100,0),   MATCH(U$1,警職大表!$A$3:$AZ$3,0)  ) )    ),"")</f>
        <v>/</v>
      </c>
      <c r="V13" s="271" t="str">
        <f>_xlfn.IFNA(   IF(   IF(  INDEX(警職大表!$A$1:$AZ$100,MATCH($A13,警職大表!$A$1:$A$100,0),   MATCH(V$1,警職大表!$A$3:$AZ$3,0)  )=0,"",INDEX(警職大表!$A$1:$AZ$100,MATCH($A13,警職大表!$A$1:$A$100,0),   MATCH(V$1,警職大表!$A$3:$AZ$3,0)  )        )="",U13,  IF(  INDEX(警職大表!$A$1:$AZ$100,MATCH($A13,警職大表!$A$1:$A$100,0),   MATCH(V$1,警職大表!$A$3:$AZ$3,0)  )=0,"",INDEX(警職大表!$A$1:$AZ$100,MATCH($A13,警職大表!$A$1:$A$100,0),   MATCH(V$1,警職大表!$A$3:$AZ$3,0)  ) )    ),"")</f>
        <v>/</v>
      </c>
      <c r="W13" s="271" t="str">
        <f>_xlfn.IFNA(   IF(   IF(  INDEX(警職大表!$A$1:$AZ$100,MATCH($A13,警職大表!$A$1:$A$100,0),   MATCH(W$1,警職大表!$A$3:$AZ$3,0)  )=0,"",INDEX(警職大表!$A$1:$AZ$100,MATCH($A13,警職大表!$A$1:$A$100,0),   MATCH(W$1,警職大表!$A$3:$AZ$3,0)  )        )="",V13,  IF(  INDEX(警職大表!$A$1:$AZ$100,MATCH($A13,警職大表!$A$1:$A$100,0),   MATCH(W$1,警職大表!$A$3:$AZ$3,0)  )=0,"",INDEX(警職大表!$A$1:$AZ$100,MATCH($A13,警職大表!$A$1:$A$100,0),   MATCH(W$1,警職大表!$A$3:$AZ$3,0)  ) )    ),"")</f>
        <v>/</v>
      </c>
      <c r="X13" s="271" t="str">
        <f>_xlfn.IFNA(   IF(   IF(  INDEX(警職大表!$A$1:$AZ$100,MATCH($A13,警職大表!$A$1:$A$100,0),   MATCH(X$1,警職大表!$A$3:$AZ$3,0)  )=0,"",INDEX(警職大表!$A$1:$AZ$100,MATCH($A13,警職大表!$A$1:$A$100,0),   MATCH(X$1,警職大表!$A$3:$AZ$3,0)  )        )="",W13,  IF(  INDEX(警職大表!$A$1:$AZ$100,MATCH($A13,警職大表!$A$1:$A$100,0),   MATCH(X$1,警職大表!$A$3:$AZ$3,0)  )=0,"",INDEX(警職大表!$A$1:$AZ$100,MATCH($A13,警職大表!$A$1:$A$100,0),   MATCH(X$1,警職大表!$A$3:$AZ$3,0)  ) )    ),"")</f>
        <v>/</v>
      </c>
      <c r="Y13" s="271" t="str">
        <f>_xlfn.IFNA(   IF(   IF(  INDEX(警職大表!$A$1:$AZ$100,MATCH($A13,警職大表!$A$1:$A$100,0),   MATCH(Y$1,警職大表!$A$3:$AZ$3,0)  )=0,"",INDEX(警職大表!$A$1:$AZ$100,MATCH($A13,警職大表!$A$1:$A$100,0),   MATCH(Y$1,警職大表!$A$3:$AZ$3,0)  )        )="",X13,  IF(  INDEX(警職大表!$A$1:$AZ$100,MATCH($A13,警職大表!$A$1:$A$100,0),   MATCH(Y$1,警職大表!$A$3:$AZ$3,0)  )=0,"",INDEX(警職大表!$A$1:$AZ$100,MATCH($A13,警職大表!$A$1:$A$100,0),   MATCH(Y$1,警職大表!$A$3:$AZ$3,0)  ) )    ),"")</f>
        <v>/</v>
      </c>
      <c r="Z13" s="271" t="str">
        <f>_xlfn.IFNA(   IF(   IF(  INDEX(警職大表!$A$1:$AZ$100,MATCH($A13,警職大表!$A$1:$A$100,0),   MATCH(Z$1,警職大表!$A$3:$AZ$3,0)  )=0,"",INDEX(警職大表!$A$1:$AZ$100,MATCH($A13,警職大表!$A$1:$A$100,0),   MATCH(Z$1,警職大表!$A$3:$AZ$3,0)  )        )="",Y13,  IF(  INDEX(警職大表!$A$1:$AZ$100,MATCH($A13,警職大表!$A$1:$A$100,0),   MATCH(Z$1,警職大表!$A$3:$AZ$3,0)  )=0,"",INDEX(警職大表!$A$1:$AZ$100,MATCH($A13,警職大表!$A$1:$A$100,0),   MATCH(Z$1,警職大表!$A$3:$AZ$3,0)  ) )    ),"")</f>
        <v>/</v>
      </c>
      <c r="AA13" s="271" t="str">
        <f>_xlfn.IFNA(   IF(   IF(  INDEX(警職大表!$A$1:$AZ$100,MATCH($A13,警職大表!$A$1:$A$100,0),   MATCH(AA$1,警職大表!$A$3:$AZ$3,0)  )=0,"",INDEX(警職大表!$A$1:$AZ$100,MATCH($A13,警職大表!$A$1:$A$100,0),   MATCH(AA$1,警職大表!$A$3:$AZ$3,0)  )        )="",Z13,  IF(  INDEX(警職大表!$A$1:$AZ$100,MATCH($A13,警職大表!$A$1:$A$100,0),   MATCH(AA$1,警職大表!$A$3:$AZ$3,0)  )=0,"",INDEX(警職大表!$A$1:$AZ$100,MATCH($A13,警職大表!$A$1:$A$100,0),   MATCH(AA$1,警職大表!$A$3:$AZ$3,0)  ) )    ),"")</f>
        <v>/</v>
      </c>
      <c r="AB13" s="271" t="str">
        <f>_xlfn.IFNA(   IF(   IF(  INDEX(警職大表!$A$1:$AZ$100,MATCH($A13,警職大表!$A$1:$A$100,0),   MATCH(AB$1,警職大表!$A$3:$AZ$3,0)  )=0,"",INDEX(警職大表!$A$1:$AZ$100,MATCH($A13,警職大表!$A$1:$A$100,0),   MATCH(AB$1,警職大表!$A$3:$AZ$3,0)  )        )="",AA13,  IF(  INDEX(警職大表!$A$1:$AZ$100,MATCH($A13,警職大表!$A$1:$A$100,0),   MATCH(AB$1,警職大表!$A$3:$AZ$3,0)  )=0,"",INDEX(警職大表!$A$1:$AZ$100,MATCH($A13,警職大表!$A$1:$A$100,0),   MATCH(AB$1,警職大表!$A$3:$AZ$3,0)  ) )    ),"")</f>
        <v>/</v>
      </c>
      <c r="AC13" s="271" t="str">
        <f>_xlfn.IFNA(   IF(   IF(  INDEX(警職大表!$A$1:$AZ$100,MATCH($A13,警職大表!$A$1:$A$100,0),   MATCH(AC$1,警職大表!$A$3:$AZ$3,0)  )=0,"",INDEX(警職大表!$A$1:$AZ$100,MATCH($A13,警職大表!$A$1:$A$100,0),   MATCH(AC$1,警職大表!$A$3:$AZ$3,0)  )        )="",AB13,  IF(  INDEX(警職大表!$A$1:$AZ$100,MATCH($A13,警職大表!$A$1:$A$100,0),   MATCH(AC$1,警職大表!$A$3:$AZ$3,0)  )=0,"",INDEX(警職大表!$A$1:$AZ$100,MATCH($A13,警職大表!$A$1:$A$100,0),   MATCH(AC$1,警職大表!$A$3:$AZ$3,0)  ) )    ),"")</f>
        <v>/</v>
      </c>
      <c r="AD13" s="271" t="str">
        <f>_xlfn.IFNA(   IF(   IF(  INDEX(警職大表!$A$1:$AZ$100,MATCH($A13,警職大表!$A$1:$A$100,0),   MATCH(AD$1,警職大表!$A$3:$AZ$3,0)  )=0,"",INDEX(警職大表!$A$1:$AZ$100,MATCH($A13,警職大表!$A$1:$A$100,0),   MATCH(AD$1,警職大表!$A$3:$AZ$3,0)  )        )="",AC13,  IF(  INDEX(警職大表!$A$1:$AZ$100,MATCH($A13,警職大表!$A$1:$A$100,0),   MATCH(AD$1,警職大表!$A$3:$AZ$3,0)  )=0,"",INDEX(警職大表!$A$1:$AZ$100,MATCH($A13,警職大表!$A$1:$A$100,0),   MATCH(AD$1,警職大表!$A$3:$AZ$3,0)  ) )    ),"")</f>
        <v>/</v>
      </c>
      <c r="AE13" s="271" t="str">
        <f>_xlfn.IFNA(   IF(   IF(  INDEX(警職大表!$A$1:$AZ$100,MATCH($A13,警職大表!$A$1:$A$100,0),   MATCH(AE$1,警職大表!$A$3:$AZ$3,0)  )=0,"",INDEX(警職大表!$A$1:$AZ$100,MATCH($A13,警職大表!$A$1:$A$100,0),   MATCH(AE$1,警職大表!$A$3:$AZ$3,0)  )        )="",AD13,  IF(  INDEX(警職大表!$A$1:$AZ$100,MATCH($A13,警職大表!$A$1:$A$100,0),   MATCH(AE$1,警職大表!$A$3:$AZ$3,0)  )=0,"",INDEX(警職大表!$A$1:$AZ$100,MATCH($A13,警職大表!$A$1:$A$100,0),   MATCH(AE$1,警職大表!$A$3:$AZ$3,0)  ) )    ),"")</f>
        <v>/</v>
      </c>
      <c r="AF13" s="271" t="str">
        <f>_xlfn.IFNA(   IF(   IF(  INDEX(警職大表!$A$1:$AZ$100,MATCH($A13,警職大表!$A$1:$A$100,0),   MATCH(AF$1,警職大表!$A$3:$AZ$3,0)  )=0,"",INDEX(警職大表!$A$1:$AZ$100,MATCH($A13,警職大表!$A$1:$A$100,0),   MATCH(AF$1,警職大表!$A$3:$AZ$3,0)  )        )="",AE13,  IF(  INDEX(警職大表!$A$1:$AZ$100,MATCH($A13,警職大表!$A$1:$A$100,0),   MATCH(AF$1,警職大表!$A$3:$AZ$3,0)  )=0,"",INDEX(警職大表!$A$1:$AZ$100,MATCH($A13,警職大表!$A$1:$A$100,0),   MATCH(AF$1,警職大表!$A$3:$AZ$3,0)  ) )    ),"")</f>
        <v>/</v>
      </c>
      <c r="AG13" s="271" t="str">
        <f>_xlfn.IFNA(   IF(   IF(  INDEX(警職大表!$A$1:$AZ$100,MATCH($A13,警職大表!$A$1:$A$100,0),   MATCH(AG$1,警職大表!$A$3:$AZ$3,0)  )=0,"",INDEX(警職大表!$A$1:$AZ$100,MATCH($A13,警職大表!$A$1:$A$100,0),   MATCH(AG$1,警職大表!$A$3:$AZ$3,0)  )        )="",AF13,  IF(  INDEX(警職大表!$A$1:$AZ$100,MATCH($A13,警職大表!$A$1:$A$100,0),   MATCH(AG$1,警職大表!$A$3:$AZ$3,0)  )=0,"",INDEX(警職大表!$A$1:$AZ$100,MATCH($A13,警職大表!$A$1:$A$100,0),   MATCH(AG$1,警職大表!$A$3:$AZ$3,0)  ) )    ),"")</f>
        <v>/</v>
      </c>
      <c r="AL13" s="271" t="str">
        <f t="shared" si="0"/>
        <v>P</v>
      </c>
      <c r="AM13" s="271" t="str">
        <f t="shared" si="1"/>
        <v>林明道(支援總隊)</v>
      </c>
      <c r="AN13" s="271" t="str">
        <f>INDEX(   $A$41:$AG$78, MATCH(AL13,$A$41:$A$78,0),MATCH(  DAY(勤務分配表!$AN$1),$A$41:$AL$41,0  )  )</f>
        <v>08-18水電科</v>
      </c>
      <c r="AO13" s="271" t="str">
        <f>IF((ROW(AO13)-1)&lt;=日期輸入!$B$5,_xlfn.IFNA(IF(INDEX($A$1:$AG$40,MATCH($AM13,$B$1:$B$100,0),VALUE($AO$1+3))="成","補",INDEX($A$1:$AG$40,MATCH($AM13,$B$1:$B$100,0),VALUE($AO$1+3))),""),"")</f>
        <v>/</v>
      </c>
      <c r="AP13" s="271" t="str">
        <f>IF((ROW(AP13)-1)&lt;=日期輸入!$B$5,_xlfn.IFNA(IF(INDEX($A$1:$AG$40,MATCH($AM13,$B$1:$B$100,0),VALUE($AP$1+3))="成","補",INDEX($A$1:$AG$40,MATCH($AM13,$B$1:$B$100,0),VALUE($AP$1+3))),""),"")</f>
        <v>X</v>
      </c>
      <c r="AQ13" s="271" t="str">
        <f>IF((ROW(AQ13)-1)&lt;=日期輸入!$B$5,_xlfn.IFNA(IF(INDEX($A$1:$AG$40,MATCH($AM13,$B$1:$B$100,0),VALUE($AQ$1+3))="成","補",INDEX($A$1:$AG$40,MATCH($AM13,$B$1:$B$100,0),VALUE($AQ$1+3))),""),"")</f>
        <v>X</v>
      </c>
    </row>
    <row r="14" spans="1:47">
      <c r="A14" s="271" t="str">
        <f>IF(  (ROW(A14)-1)&lt;=日期輸入!$B$5,勤務分配!A14,"")</f>
        <v>Q</v>
      </c>
      <c r="B14" s="271" t="str">
        <f>_xlfn.IFNA(  INDEX(警職大表!$A$1:$AZ$100,MATCH(A14,警職大表!$A$1:$A$100,0),3),"")</f>
        <v>謝福生(支援總隊)</v>
      </c>
      <c r="C14" s="271" t="str">
        <f>_xlfn.IFNA(   IF(   IF(  INDEX(警職大表!$A$1:$AZ$100,MATCH($A14,警職大表!$A$1:$A$100,0),   MATCH(C$1,警職大表!$A$3:$AZ$3,0)  )=0,"",INDEX(警職大表!$A$1:$AZ$100,MATCH($A14,警職大表!$A$1:$A$100,0),   MATCH(C$1,警職大表!$A$3:$AZ$3,0)  )        )="",B14,  IF(  INDEX(警職大表!$A$1:$AZ$100,MATCH($A14,警職大表!$A$1:$A$100,0),   MATCH(C$1,警職大表!$A$3:$AZ$3,0)  )=0,"",INDEX(警職大表!$A$1:$AZ$100,MATCH($A14,警職大表!$A$1:$A$100,0),   MATCH(C$1,警職大表!$A$3:$AZ$3,0)  ) )    ),"")</f>
        <v>謝福生(支援總隊)</v>
      </c>
      <c r="D14" s="271" t="str">
        <f>_xlfn.IFNA(   IF(   IF(  INDEX(警職大表!$A$1:$AZ$100,MATCH($A14,警職大表!$A$1:$A$100,0),   MATCH(D$1,警職大表!$A$3:$AZ$3,0)  )=0,"",INDEX(警職大表!$A$1:$AZ$100,MATCH($A14,警職大表!$A$1:$A$100,0),   MATCH(D$1,警職大表!$A$3:$AZ$3,0)  )        )="",C14,  IF(  INDEX(警職大表!$A$1:$AZ$100,MATCH($A14,警職大表!$A$1:$A$100,0),   MATCH(D$1,警職大表!$A$3:$AZ$3,0)  )=0,"",INDEX(警職大表!$A$1:$AZ$100,MATCH($A14,警職大表!$A$1:$A$100,0),   MATCH(D$1,警職大表!$A$3:$AZ$3,0)  ) )    ),"")</f>
        <v>X</v>
      </c>
      <c r="E14" s="271" t="str">
        <f>_xlfn.IFNA(   IF(   IF(  INDEX(警職大表!$A$1:$AZ$100,MATCH($A14,警職大表!$A$1:$A$100,0),   MATCH(E$1,警職大表!$A$3:$AZ$3,0)  )=0,"",INDEX(警職大表!$A$1:$AZ$100,MATCH($A14,警職大表!$A$1:$A$100,0),   MATCH(E$1,警職大表!$A$3:$AZ$3,0)  )        )="",D14,  IF(  INDEX(警職大表!$A$1:$AZ$100,MATCH($A14,警職大表!$A$1:$A$100,0),   MATCH(E$1,警職大表!$A$3:$AZ$3,0)  )=0,"",INDEX(警職大表!$A$1:$AZ$100,MATCH($A14,警職大表!$A$1:$A$100,0),   MATCH(E$1,警職大表!$A$3:$AZ$3,0)  ) )    ),"")</f>
        <v>X</v>
      </c>
      <c r="F14" s="271" t="str">
        <f>_xlfn.IFNA(   IF(   IF(  INDEX(警職大表!$A$1:$AZ$100,MATCH($A14,警職大表!$A$1:$A$100,0),   MATCH(F$1,警職大表!$A$3:$AZ$3,0)  )=0,"",INDEX(警職大表!$A$1:$AZ$100,MATCH($A14,警職大表!$A$1:$A$100,0),   MATCH(F$1,警職大表!$A$3:$AZ$3,0)  )        )="",E14,  IF(  INDEX(警職大表!$A$1:$AZ$100,MATCH($A14,警職大表!$A$1:$A$100,0),   MATCH(F$1,警職大表!$A$3:$AZ$3,0)  )=0,"",INDEX(警職大表!$A$1:$AZ$100,MATCH($A14,警職大表!$A$1:$A$100,0),   MATCH(F$1,警職大表!$A$3:$AZ$3,0)  ) )    ),"")</f>
        <v>X</v>
      </c>
      <c r="G14" s="271" t="str">
        <f>_xlfn.IFNA(   IF(   IF(  INDEX(警職大表!$A$1:$AZ$100,MATCH($A14,警職大表!$A$1:$A$100,0),   MATCH(G$1,警職大表!$A$3:$AZ$3,0)  )=0,"",INDEX(警職大表!$A$1:$AZ$100,MATCH($A14,警職大表!$A$1:$A$100,0),   MATCH(G$1,警職大表!$A$3:$AZ$3,0)  )        )="",F14,  IF(  INDEX(警職大表!$A$1:$AZ$100,MATCH($A14,警職大表!$A$1:$A$100,0),   MATCH(G$1,警職大表!$A$3:$AZ$3,0)  )=0,"",INDEX(警職大表!$A$1:$AZ$100,MATCH($A14,警職大表!$A$1:$A$100,0),   MATCH(G$1,警職大表!$A$3:$AZ$3,0)  ) )    ),"")</f>
        <v>/</v>
      </c>
      <c r="H14" s="271" t="str">
        <f>_xlfn.IFNA(   IF(   IF(  INDEX(警職大表!$A$1:$AZ$100,MATCH($A14,警職大表!$A$1:$A$100,0),   MATCH(H$1,警職大表!$A$3:$AZ$3,0)  )=0,"",INDEX(警職大表!$A$1:$AZ$100,MATCH($A14,警職大表!$A$1:$A$100,0),   MATCH(H$1,警職大表!$A$3:$AZ$3,0)  )        )="",G14,  IF(  INDEX(警職大表!$A$1:$AZ$100,MATCH($A14,警職大表!$A$1:$A$100,0),   MATCH(H$1,警職大表!$A$3:$AZ$3,0)  )=0,"",INDEX(警職大表!$A$1:$AZ$100,MATCH($A14,警職大表!$A$1:$A$100,0),   MATCH(H$1,警職大表!$A$3:$AZ$3,0)  ) )    ),"")</f>
        <v>/</v>
      </c>
      <c r="I14" s="271" t="str">
        <f>_xlfn.IFNA(   IF(   IF(  INDEX(警職大表!$A$1:$AZ$100,MATCH($A14,警職大表!$A$1:$A$100,0),   MATCH(I$1,警職大表!$A$3:$AZ$3,0)  )=0,"",INDEX(警職大表!$A$1:$AZ$100,MATCH($A14,警職大表!$A$1:$A$100,0),   MATCH(I$1,警職大表!$A$3:$AZ$3,0)  )        )="",H14,  IF(  INDEX(警職大表!$A$1:$AZ$100,MATCH($A14,警職大表!$A$1:$A$100,0),   MATCH(I$1,警職大表!$A$3:$AZ$3,0)  )=0,"",INDEX(警職大表!$A$1:$AZ$100,MATCH($A14,警職大表!$A$1:$A$100,0),   MATCH(I$1,警職大表!$A$3:$AZ$3,0)  ) )    ),"")</f>
        <v>/</v>
      </c>
      <c r="J14" s="271" t="str">
        <f>_xlfn.IFNA(   IF(   IF(  INDEX(警職大表!$A$1:$AZ$100,MATCH($A14,警職大表!$A$1:$A$100,0),   MATCH(J$1,警職大表!$A$3:$AZ$3,0)  )=0,"",INDEX(警職大表!$A$1:$AZ$100,MATCH($A14,警職大表!$A$1:$A$100,0),   MATCH(J$1,警職大表!$A$3:$AZ$3,0)  )        )="",I14,  IF(  INDEX(警職大表!$A$1:$AZ$100,MATCH($A14,警職大表!$A$1:$A$100,0),   MATCH(J$1,警職大表!$A$3:$AZ$3,0)  )=0,"",INDEX(警職大表!$A$1:$AZ$100,MATCH($A14,警職大表!$A$1:$A$100,0),   MATCH(J$1,警職大表!$A$3:$AZ$3,0)  ) )    ),"")</f>
        <v>/</v>
      </c>
      <c r="K14" s="271" t="str">
        <f>_xlfn.IFNA(   IF(   IF(  INDEX(警職大表!$A$1:$AZ$100,MATCH($A14,警職大表!$A$1:$A$100,0),   MATCH(K$1,警職大表!$A$3:$AZ$3,0)  )=0,"",INDEX(警職大表!$A$1:$AZ$100,MATCH($A14,警職大表!$A$1:$A$100,0),   MATCH(K$1,警職大表!$A$3:$AZ$3,0)  )        )="",J14,  IF(  INDEX(警職大表!$A$1:$AZ$100,MATCH($A14,警職大表!$A$1:$A$100,0),   MATCH(K$1,警職大表!$A$3:$AZ$3,0)  )=0,"",INDEX(警職大表!$A$1:$AZ$100,MATCH($A14,警職大表!$A$1:$A$100,0),   MATCH(K$1,警職大表!$A$3:$AZ$3,0)  ) )    ),"")</f>
        <v>/</v>
      </c>
      <c r="L14" s="271" t="str">
        <f>_xlfn.IFNA(   IF(   IF(  INDEX(警職大表!$A$1:$AZ$100,MATCH($A14,警職大表!$A$1:$A$100,0),   MATCH(L$1,警職大表!$A$3:$AZ$3,0)  )=0,"",INDEX(警職大表!$A$1:$AZ$100,MATCH($A14,警職大表!$A$1:$A$100,0),   MATCH(L$1,警職大表!$A$3:$AZ$3,0)  )        )="",K14,  IF(  INDEX(警職大表!$A$1:$AZ$100,MATCH($A14,警職大表!$A$1:$A$100,0),   MATCH(L$1,警職大表!$A$3:$AZ$3,0)  )=0,"",INDEX(警職大表!$A$1:$AZ$100,MATCH($A14,警職大表!$A$1:$A$100,0),   MATCH(L$1,警職大表!$A$3:$AZ$3,0)  ) )    ),"")</f>
        <v>/</v>
      </c>
      <c r="M14" s="271" t="str">
        <f>_xlfn.IFNA(   IF(   IF(  INDEX(警職大表!$A$1:$AZ$100,MATCH($A14,警職大表!$A$1:$A$100,0),   MATCH(M$1,警職大表!$A$3:$AZ$3,0)  )=0,"",INDEX(警職大表!$A$1:$AZ$100,MATCH($A14,警職大表!$A$1:$A$100,0),   MATCH(M$1,警職大表!$A$3:$AZ$3,0)  )        )="",L14,  IF(  INDEX(警職大表!$A$1:$AZ$100,MATCH($A14,警職大表!$A$1:$A$100,0),   MATCH(M$1,警職大表!$A$3:$AZ$3,0)  )=0,"",INDEX(警職大表!$A$1:$AZ$100,MATCH($A14,警職大表!$A$1:$A$100,0),   MATCH(M$1,警職大表!$A$3:$AZ$3,0)  ) )    ),"")</f>
        <v>/</v>
      </c>
      <c r="N14" s="271" t="str">
        <f>_xlfn.IFNA(   IF(   IF(  INDEX(警職大表!$A$1:$AZ$100,MATCH($A14,警職大表!$A$1:$A$100,0),   MATCH(N$1,警職大表!$A$3:$AZ$3,0)  )=0,"",INDEX(警職大表!$A$1:$AZ$100,MATCH($A14,警職大表!$A$1:$A$100,0),   MATCH(N$1,警職大表!$A$3:$AZ$3,0)  )        )="",M14,  IF(  INDEX(警職大表!$A$1:$AZ$100,MATCH($A14,警職大表!$A$1:$A$100,0),   MATCH(N$1,警職大表!$A$3:$AZ$3,0)  )=0,"",INDEX(警職大表!$A$1:$AZ$100,MATCH($A14,警職大表!$A$1:$A$100,0),   MATCH(N$1,警職大表!$A$3:$AZ$3,0)  ) )    ),"")</f>
        <v>/</v>
      </c>
      <c r="O14" s="271" t="str">
        <f>_xlfn.IFNA(   IF(   IF(  INDEX(警職大表!$A$1:$AZ$100,MATCH($A14,警職大表!$A$1:$A$100,0),   MATCH(O$1,警職大表!$A$3:$AZ$3,0)  )=0,"",INDEX(警職大表!$A$1:$AZ$100,MATCH($A14,警職大表!$A$1:$A$100,0),   MATCH(O$1,警職大表!$A$3:$AZ$3,0)  )        )="",N14,  IF(  INDEX(警職大表!$A$1:$AZ$100,MATCH($A14,警職大表!$A$1:$A$100,0),   MATCH(O$1,警職大表!$A$3:$AZ$3,0)  )=0,"",INDEX(警職大表!$A$1:$AZ$100,MATCH($A14,警職大表!$A$1:$A$100,0),   MATCH(O$1,警職大表!$A$3:$AZ$3,0)  ) )    ),"")</f>
        <v>/</v>
      </c>
      <c r="P14" s="271" t="str">
        <f>_xlfn.IFNA(   IF(   IF(  INDEX(警職大表!$A$1:$AZ$100,MATCH($A14,警職大表!$A$1:$A$100,0),   MATCH(P$1,警職大表!$A$3:$AZ$3,0)  )=0,"",INDEX(警職大表!$A$1:$AZ$100,MATCH($A14,警職大表!$A$1:$A$100,0),   MATCH(P$1,警職大表!$A$3:$AZ$3,0)  )        )="",O14,  IF(  INDEX(警職大表!$A$1:$AZ$100,MATCH($A14,警職大表!$A$1:$A$100,0),   MATCH(P$1,警職大表!$A$3:$AZ$3,0)  )=0,"",INDEX(警職大表!$A$1:$AZ$100,MATCH($A14,警職大表!$A$1:$A$100,0),   MATCH(P$1,警職大表!$A$3:$AZ$3,0)  ) )    ),"")</f>
        <v>/</v>
      </c>
      <c r="Q14" s="271" t="str">
        <f>_xlfn.IFNA(   IF(   IF(  INDEX(警職大表!$A$1:$AZ$100,MATCH($A14,警職大表!$A$1:$A$100,0),   MATCH(Q$1,警職大表!$A$3:$AZ$3,0)  )=0,"",INDEX(警職大表!$A$1:$AZ$100,MATCH($A14,警職大表!$A$1:$A$100,0),   MATCH(Q$1,警職大表!$A$3:$AZ$3,0)  )        )="",P14,  IF(  INDEX(警職大表!$A$1:$AZ$100,MATCH($A14,警職大表!$A$1:$A$100,0),   MATCH(Q$1,警職大表!$A$3:$AZ$3,0)  )=0,"",INDEX(警職大表!$A$1:$AZ$100,MATCH($A14,警職大表!$A$1:$A$100,0),   MATCH(Q$1,警職大表!$A$3:$AZ$3,0)  ) )    ),"")</f>
        <v>/</v>
      </c>
      <c r="R14" s="271" t="str">
        <f>_xlfn.IFNA(   IF(   IF(  INDEX(警職大表!$A$1:$AZ$100,MATCH($A14,警職大表!$A$1:$A$100,0),   MATCH(R$1,警職大表!$A$3:$AZ$3,0)  )=0,"",INDEX(警職大表!$A$1:$AZ$100,MATCH($A14,警職大表!$A$1:$A$100,0),   MATCH(R$1,警職大表!$A$3:$AZ$3,0)  )        )="",Q14,  IF(  INDEX(警職大表!$A$1:$AZ$100,MATCH($A14,警職大表!$A$1:$A$100,0),   MATCH(R$1,警職大表!$A$3:$AZ$3,0)  )=0,"",INDEX(警職大表!$A$1:$AZ$100,MATCH($A14,警職大表!$A$1:$A$100,0),   MATCH(R$1,警職大表!$A$3:$AZ$3,0)  ) )    ),"")</f>
        <v>/</v>
      </c>
      <c r="S14" s="271" t="str">
        <f>_xlfn.IFNA(   IF(   IF(  INDEX(警職大表!$A$1:$AZ$100,MATCH($A14,警職大表!$A$1:$A$100,0),   MATCH(S$1,警職大表!$A$3:$AZ$3,0)  )=0,"",INDEX(警職大表!$A$1:$AZ$100,MATCH($A14,警職大表!$A$1:$A$100,0),   MATCH(S$1,警職大表!$A$3:$AZ$3,0)  )        )="",R14,  IF(  INDEX(警職大表!$A$1:$AZ$100,MATCH($A14,警職大表!$A$1:$A$100,0),   MATCH(S$1,警職大表!$A$3:$AZ$3,0)  )=0,"",INDEX(警職大表!$A$1:$AZ$100,MATCH($A14,警職大表!$A$1:$A$100,0),   MATCH(S$1,警職大表!$A$3:$AZ$3,0)  ) )    ),"")</f>
        <v>/</v>
      </c>
      <c r="T14" s="271" t="str">
        <f>_xlfn.IFNA(   IF(   IF(  INDEX(警職大表!$A$1:$AZ$100,MATCH($A14,警職大表!$A$1:$A$100,0),   MATCH(T$1,警職大表!$A$3:$AZ$3,0)  )=0,"",INDEX(警職大表!$A$1:$AZ$100,MATCH($A14,警職大表!$A$1:$A$100,0),   MATCH(T$1,警職大表!$A$3:$AZ$3,0)  )        )="",S14,  IF(  INDEX(警職大表!$A$1:$AZ$100,MATCH($A14,警職大表!$A$1:$A$100,0),   MATCH(T$1,警職大表!$A$3:$AZ$3,0)  )=0,"",INDEX(警職大表!$A$1:$AZ$100,MATCH($A14,警職大表!$A$1:$A$100,0),   MATCH(T$1,警職大表!$A$3:$AZ$3,0)  ) )    ),"")</f>
        <v>/</v>
      </c>
      <c r="U14" s="271" t="str">
        <f>_xlfn.IFNA(   IF(   IF(  INDEX(警職大表!$A$1:$AZ$100,MATCH($A14,警職大表!$A$1:$A$100,0),   MATCH(U$1,警職大表!$A$3:$AZ$3,0)  )=0,"",INDEX(警職大表!$A$1:$AZ$100,MATCH($A14,警職大表!$A$1:$A$100,0),   MATCH(U$1,警職大表!$A$3:$AZ$3,0)  )        )="",T14,  IF(  INDEX(警職大表!$A$1:$AZ$100,MATCH($A14,警職大表!$A$1:$A$100,0),   MATCH(U$1,警職大表!$A$3:$AZ$3,0)  )=0,"",INDEX(警職大表!$A$1:$AZ$100,MATCH($A14,警職大表!$A$1:$A$100,0),   MATCH(U$1,警職大表!$A$3:$AZ$3,0)  ) )    ),"")</f>
        <v>/</v>
      </c>
      <c r="V14" s="271" t="str">
        <f>_xlfn.IFNA(   IF(   IF(  INDEX(警職大表!$A$1:$AZ$100,MATCH($A14,警職大表!$A$1:$A$100,0),   MATCH(V$1,警職大表!$A$3:$AZ$3,0)  )=0,"",INDEX(警職大表!$A$1:$AZ$100,MATCH($A14,警職大表!$A$1:$A$100,0),   MATCH(V$1,警職大表!$A$3:$AZ$3,0)  )        )="",U14,  IF(  INDEX(警職大表!$A$1:$AZ$100,MATCH($A14,警職大表!$A$1:$A$100,0),   MATCH(V$1,警職大表!$A$3:$AZ$3,0)  )=0,"",INDEX(警職大表!$A$1:$AZ$100,MATCH($A14,警職大表!$A$1:$A$100,0),   MATCH(V$1,警職大表!$A$3:$AZ$3,0)  ) )    ),"")</f>
        <v>/</v>
      </c>
      <c r="W14" s="271" t="str">
        <f>_xlfn.IFNA(   IF(   IF(  INDEX(警職大表!$A$1:$AZ$100,MATCH($A14,警職大表!$A$1:$A$100,0),   MATCH(W$1,警職大表!$A$3:$AZ$3,0)  )=0,"",INDEX(警職大表!$A$1:$AZ$100,MATCH($A14,警職大表!$A$1:$A$100,0),   MATCH(W$1,警職大表!$A$3:$AZ$3,0)  )        )="",V14,  IF(  INDEX(警職大表!$A$1:$AZ$100,MATCH($A14,警職大表!$A$1:$A$100,0),   MATCH(W$1,警職大表!$A$3:$AZ$3,0)  )=0,"",INDEX(警職大表!$A$1:$AZ$100,MATCH($A14,警職大表!$A$1:$A$100,0),   MATCH(W$1,警職大表!$A$3:$AZ$3,0)  ) )    ),"")</f>
        <v>/</v>
      </c>
      <c r="X14" s="271" t="str">
        <f>_xlfn.IFNA(   IF(   IF(  INDEX(警職大表!$A$1:$AZ$100,MATCH($A14,警職大表!$A$1:$A$100,0),   MATCH(X$1,警職大表!$A$3:$AZ$3,0)  )=0,"",INDEX(警職大表!$A$1:$AZ$100,MATCH($A14,警職大表!$A$1:$A$100,0),   MATCH(X$1,警職大表!$A$3:$AZ$3,0)  )        )="",W14,  IF(  INDEX(警職大表!$A$1:$AZ$100,MATCH($A14,警職大表!$A$1:$A$100,0),   MATCH(X$1,警職大表!$A$3:$AZ$3,0)  )=0,"",INDEX(警職大表!$A$1:$AZ$100,MATCH($A14,警職大表!$A$1:$A$100,0),   MATCH(X$1,警職大表!$A$3:$AZ$3,0)  ) )    ),"")</f>
        <v>/</v>
      </c>
      <c r="Y14" s="271" t="str">
        <f>_xlfn.IFNA(   IF(   IF(  INDEX(警職大表!$A$1:$AZ$100,MATCH($A14,警職大表!$A$1:$A$100,0),   MATCH(Y$1,警職大表!$A$3:$AZ$3,0)  )=0,"",INDEX(警職大表!$A$1:$AZ$100,MATCH($A14,警職大表!$A$1:$A$100,0),   MATCH(Y$1,警職大表!$A$3:$AZ$3,0)  )        )="",X14,  IF(  INDEX(警職大表!$A$1:$AZ$100,MATCH($A14,警職大表!$A$1:$A$100,0),   MATCH(Y$1,警職大表!$A$3:$AZ$3,0)  )=0,"",INDEX(警職大表!$A$1:$AZ$100,MATCH($A14,警職大表!$A$1:$A$100,0),   MATCH(Y$1,警職大表!$A$3:$AZ$3,0)  ) )    ),"")</f>
        <v>/</v>
      </c>
      <c r="Z14" s="271" t="str">
        <f>_xlfn.IFNA(   IF(   IF(  INDEX(警職大表!$A$1:$AZ$100,MATCH($A14,警職大表!$A$1:$A$100,0),   MATCH(Z$1,警職大表!$A$3:$AZ$3,0)  )=0,"",INDEX(警職大表!$A$1:$AZ$100,MATCH($A14,警職大表!$A$1:$A$100,0),   MATCH(Z$1,警職大表!$A$3:$AZ$3,0)  )        )="",Y14,  IF(  INDEX(警職大表!$A$1:$AZ$100,MATCH($A14,警職大表!$A$1:$A$100,0),   MATCH(Z$1,警職大表!$A$3:$AZ$3,0)  )=0,"",INDEX(警職大表!$A$1:$AZ$100,MATCH($A14,警職大表!$A$1:$A$100,0),   MATCH(Z$1,警職大表!$A$3:$AZ$3,0)  ) )    ),"")</f>
        <v>/</v>
      </c>
      <c r="AA14" s="271" t="str">
        <f>_xlfn.IFNA(   IF(   IF(  INDEX(警職大表!$A$1:$AZ$100,MATCH($A14,警職大表!$A$1:$A$100,0),   MATCH(AA$1,警職大表!$A$3:$AZ$3,0)  )=0,"",INDEX(警職大表!$A$1:$AZ$100,MATCH($A14,警職大表!$A$1:$A$100,0),   MATCH(AA$1,警職大表!$A$3:$AZ$3,0)  )        )="",Z14,  IF(  INDEX(警職大表!$A$1:$AZ$100,MATCH($A14,警職大表!$A$1:$A$100,0),   MATCH(AA$1,警職大表!$A$3:$AZ$3,0)  )=0,"",INDEX(警職大表!$A$1:$AZ$100,MATCH($A14,警職大表!$A$1:$A$100,0),   MATCH(AA$1,警職大表!$A$3:$AZ$3,0)  ) )    ),"")</f>
        <v>/</v>
      </c>
      <c r="AB14" s="271" t="str">
        <f>_xlfn.IFNA(   IF(   IF(  INDEX(警職大表!$A$1:$AZ$100,MATCH($A14,警職大表!$A$1:$A$100,0),   MATCH(AB$1,警職大表!$A$3:$AZ$3,0)  )=0,"",INDEX(警職大表!$A$1:$AZ$100,MATCH($A14,警職大表!$A$1:$A$100,0),   MATCH(AB$1,警職大表!$A$3:$AZ$3,0)  )        )="",AA14,  IF(  INDEX(警職大表!$A$1:$AZ$100,MATCH($A14,警職大表!$A$1:$A$100,0),   MATCH(AB$1,警職大表!$A$3:$AZ$3,0)  )=0,"",INDEX(警職大表!$A$1:$AZ$100,MATCH($A14,警職大表!$A$1:$A$100,0),   MATCH(AB$1,警職大表!$A$3:$AZ$3,0)  ) )    ),"")</f>
        <v>/</v>
      </c>
      <c r="AC14" s="271" t="str">
        <f>_xlfn.IFNA(   IF(   IF(  INDEX(警職大表!$A$1:$AZ$100,MATCH($A14,警職大表!$A$1:$A$100,0),   MATCH(AC$1,警職大表!$A$3:$AZ$3,0)  )=0,"",INDEX(警職大表!$A$1:$AZ$100,MATCH($A14,警職大表!$A$1:$A$100,0),   MATCH(AC$1,警職大表!$A$3:$AZ$3,0)  )        )="",AB14,  IF(  INDEX(警職大表!$A$1:$AZ$100,MATCH($A14,警職大表!$A$1:$A$100,0),   MATCH(AC$1,警職大表!$A$3:$AZ$3,0)  )=0,"",INDEX(警職大表!$A$1:$AZ$100,MATCH($A14,警職大表!$A$1:$A$100,0),   MATCH(AC$1,警職大表!$A$3:$AZ$3,0)  ) )    ),"")</f>
        <v>/</v>
      </c>
      <c r="AD14" s="271" t="str">
        <f>_xlfn.IFNA(   IF(   IF(  INDEX(警職大表!$A$1:$AZ$100,MATCH($A14,警職大表!$A$1:$A$100,0),   MATCH(AD$1,警職大表!$A$3:$AZ$3,0)  )=0,"",INDEX(警職大表!$A$1:$AZ$100,MATCH($A14,警職大表!$A$1:$A$100,0),   MATCH(AD$1,警職大表!$A$3:$AZ$3,0)  )        )="",AC14,  IF(  INDEX(警職大表!$A$1:$AZ$100,MATCH($A14,警職大表!$A$1:$A$100,0),   MATCH(AD$1,警職大表!$A$3:$AZ$3,0)  )=0,"",INDEX(警職大表!$A$1:$AZ$100,MATCH($A14,警職大表!$A$1:$A$100,0),   MATCH(AD$1,警職大表!$A$3:$AZ$3,0)  ) )    ),"")</f>
        <v>/</v>
      </c>
      <c r="AE14" s="271" t="str">
        <f>_xlfn.IFNA(   IF(   IF(  INDEX(警職大表!$A$1:$AZ$100,MATCH($A14,警職大表!$A$1:$A$100,0),   MATCH(AE$1,警職大表!$A$3:$AZ$3,0)  )=0,"",INDEX(警職大表!$A$1:$AZ$100,MATCH($A14,警職大表!$A$1:$A$100,0),   MATCH(AE$1,警職大表!$A$3:$AZ$3,0)  )        )="",AD14,  IF(  INDEX(警職大表!$A$1:$AZ$100,MATCH($A14,警職大表!$A$1:$A$100,0),   MATCH(AE$1,警職大表!$A$3:$AZ$3,0)  )=0,"",INDEX(警職大表!$A$1:$AZ$100,MATCH($A14,警職大表!$A$1:$A$100,0),   MATCH(AE$1,警職大表!$A$3:$AZ$3,0)  ) )    ),"")</f>
        <v>/</v>
      </c>
      <c r="AF14" s="271" t="str">
        <f>_xlfn.IFNA(   IF(   IF(  INDEX(警職大表!$A$1:$AZ$100,MATCH($A14,警職大表!$A$1:$A$100,0),   MATCH(AF$1,警職大表!$A$3:$AZ$3,0)  )=0,"",INDEX(警職大表!$A$1:$AZ$100,MATCH($A14,警職大表!$A$1:$A$100,0),   MATCH(AF$1,警職大表!$A$3:$AZ$3,0)  )        )="",AE14,  IF(  INDEX(警職大表!$A$1:$AZ$100,MATCH($A14,警職大表!$A$1:$A$100,0),   MATCH(AF$1,警職大表!$A$3:$AZ$3,0)  )=0,"",INDEX(警職大表!$A$1:$AZ$100,MATCH($A14,警職大表!$A$1:$A$100,0),   MATCH(AF$1,警職大表!$A$3:$AZ$3,0)  ) )    ),"")</f>
        <v>/</v>
      </c>
      <c r="AG14" s="271" t="str">
        <f>_xlfn.IFNA(   IF(   IF(  INDEX(警職大表!$A$1:$AZ$100,MATCH($A14,警職大表!$A$1:$A$100,0),   MATCH(AG$1,警職大表!$A$3:$AZ$3,0)  )=0,"",INDEX(警職大表!$A$1:$AZ$100,MATCH($A14,警職大表!$A$1:$A$100,0),   MATCH(AG$1,警職大表!$A$3:$AZ$3,0)  )        )="",AF14,  IF(  INDEX(警職大表!$A$1:$AZ$100,MATCH($A14,警職大表!$A$1:$A$100,0),   MATCH(AG$1,警職大表!$A$3:$AZ$3,0)  )=0,"",INDEX(警職大表!$A$1:$AZ$100,MATCH($A14,警職大表!$A$1:$A$100,0),   MATCH(AG$1,警職大表!$A$3:$AZ$3,0)  ) )    ),"")</f>
        <v>/</v>
      </c>
      <c r="AL14" s="271" t="str">
        <f t="shared" si="0"/>
        <v>Q</v>
      </c>
      <c r="AM14" s="271" t="str">
        <f t="shared" si="1"/>
        <v>謝福生(支援總隊)</v>
      </c>
      <c r="AN14" s="271" t="str">
        <f>INDEX(   $A$41:$AG$78, MATCH(AL14,$A$41:$A$78,0),MATCH(  DAY(勤務分配表!$AN$1),$A$41:$AL$41,0  )  )</f>
        <v>08-18水電科</v>
      </c>
      <c r="AO14" s="271" t="str">
        <f>IF((ROW(AO14)-1)&lt;=日期輸入!$B$5,_xlfn.IFNA(IF(INDEX($A$1:$AG$40,MATCH($AM14,$B$1:$B$100,0),VALUE($AO$1+3))="成","補",INDEX($A$1:$AG$40,MATCH($AM14,$B$1:$B$100,0),VALUE($AO$1+3))),""),"")</f>
        <v>謝福生(支援總隊)</v>
      </c>
      <c r="AP14" s="271" t="str">
        <f>IF((ROW(AP14)-1)&lt;=日期輸入!$B$5,_xlfn.IFNA(IF(INDEX($A$1:$AG$40,MATCH($AM14,$B$1:$B$100,0),VALUE($AP$1+3))="成","補",INDEX($A$1:$AG$40,MATCH($AM14,$B$1:$B$100,0),VALUE($AP$1+3))),""),"")</f>
        <v>X</v>
      </c>
      <c r="AQ14" s="271" t="str">
        <f>IF((ROW(AQ14)-1)&lt;=日期輸入!$B$5,_xlfn.IFNA(IF(INDEX($A$1:$AG$40,MATCH($AM14,$B$1:$B$100,0),VALUE($AQ$1+3))="成","補",INDEX($A$1:$AG$40,MATCH($AM14,$B$1:$B$100,0),VALUE($AQ$1+3))),""),"")</f>
        <v>X</v>
      </c>
    </row>
    <row r="15" spans="1:47">
      <c r="A15" s="271">
        <f>IF(  (ROW(A15)-1)&lt;=日期輸入!$B$5,勤務分配!A15,"")</f>
        <v>51</v>
      </c>
      <c r="B15" s="271" t="str">
        <f>_xlfn.IFNA(  INDEX(警職大表!$A$1:$AZ$100,MATCH(A15,警職大表!$A$1:$A$100,0),3),"")</f>
        <v>陳俊印</v>
      </c>
      <c r="C15" s="271" t="str">
        <f>_xlfn.IFNA(   IF(   IF(  INDEX(警職大表!$A$1:$AZ$100,MATCH($A15,警職大表!$A$1:$A$100,0),   MATCH(C$1,警職大表!$A$3:$AZ$3,0)  )=0,"",INDEX(警職大表!$A$1:$AZ$100,MATCH($A15,警職大表!$A$1:$A$100,0),   MATCH(C$1,警職大表!$A$3:$AZ$3,0)  )        )="",B15,  IF(  INDEX(警職大表!$A$1:$AZ$100,MATCH($A15,警職大表!$A$1:$A$100,0),   MATCH(C$1,警職大表!$A$3:$AZ$3,0)  )=0,"",INDEX(警職大表!$A$1:$AZ$100,MATCH($A15,警職大表!$A$1:$A$100,0),   MATCH(C$1,警職大表!$A$3:$AZ$3,0)  ) )    ),"")</f>
        <v>08-18秘書室</v>
      </c>
      <c r="D15" s="271" t="str">
        <f>_xlfn.IFNA(   IF(   IF(  INDEX(警職大表!$A$1:$AZ$100,MATCH($A15,警職大表!$A$1:$A$100,0),   MATCH(D$1,警職大表!$A$3:$AZ$3,0)  )=0,"",INDEX(警職大表!$A$1:$AZ$100,MATCH($A15,警職大表!$A$1:$A$100,0),   MATCH(D$1,警職大表!$A$3:$AZ$3,0)  )        )="",C15,  IF(  INDEX(警職大表!$A$1:$AZ$100,MATCH($A15,警職大表!$A$1:$A$100,0),   MATCH(D$1,警職大表!$A$3:$AZ$3,0)  )=0,"",INDEX(警職大表!$A$1:$AZ$100,MATCH($A15,警職大表!$A$1:$A$100,0),   MATCH(D$1,警職大表!$A$3:$AZ$3,0)  ) )    ),"")</f>
        <v>X</v>
      </c>
      <c r="E15" s="271" t="str">
        <f>_xlfn.IFNA(   IF(   IF(  INDEX(警職大表!$A$1:$AZ$100,MATCH($A15,警職大表!$A$1:$A$100,0),   MATCH(E$1,警職大表!$A$3:$AZ$3,0)  )=0,"",INDEX(警職大表!$A$1:$AZ$100,MATCH($A15,警職大表!$A$1:$A$100,0),   MATCH(E$1,警職大表!$A$3:$AZ$3,0)  )        )="",D15,  IF(  INDEX(警職大表!$A$1:$AZ$100,MATCH($A15,警職大表!$A$1:$A$100,0),   MATCH(E$1,警職大表!$A$3:$AZ$3,0)  )=0,"",INDEX(警職大表!$A$1:$AZ$100,MATCH($A15,警職大表!$A$1:$A$100,0),   MATCH(E$1,警職大表!$A$3:$AZ$3,0)  ) )    ),"")</f>
        <v>X</v>
      </c>
      <c r="F15" s="271" t="str">
        <f>_xlfn.IFNA(   IF(   IF(  INDEX(警職大表!$A$1:$AZ$100,MATCH($A15,警職大表!$A$1:$A$100,0),   MATCH(F$1,警職大表!$A$3:$AZ$3,0)  )=0,"",INDEX(警職大表!$A$1:$AZ$100,MATCH($A15,警職大表!$A$1:$A$100,0),   MATCH(F$1,警職大表!$A$3:$AZ$3,0)  )        )="",E15,  IF(  INDEX(警職大表!$A$1:$AZ$100,MATCH($A15,警職大表!$A$1:$A$100,0),   MATCH(F$1,警職大表!$A$3:$AZ$3,0)  )=0,"",INDEX(警職大表!$A$1:$AZ$100,MATCH($A15,警職大表!$A$1:$A$100,0),   MATCH(F$1,警職大表!$A$3:$AZ$3,0)  ) )    ),"")</f>
        <v>08-18秘書室</v>
      </c>
      <c r="G15" s="271" t="str">
        <f>_xlfn.IFNA(   IF(   IF(  INDEX(警職大表!$A$1:$AZ$100,MATCH($A15,警職大表!$A$1:$A$100,0),   MATCH(G$1,警職大表!$A$3:$AZ$3,0)  )=0,"",INDEX(警職大表!$A$1:$AZ$100,MATCH($A15,警職大表!$A$1:$A$100,0),   MATCH(G$1,警職大表!$A$3:$AZ$3,0)  )        )="",F15,  IF(  INDEX(警職大表!$A$1:$AZ$100,MATCH($A15,警職大表!$A$1:$A$100,0),   MATCH(G$1,警職大表!$A$3:$AZ$3,0)  )=0,"",INDEX(警職大表!$A$1:$AZ$100,MATCH($A15,警職大表!$A$1:$A$100,0),   MATCH(G$1,警職大表!$A$3:$AZ$3,0)  ) )    ),"")</f>
        <v>08-18秘書室</v>
      </c>
      <c r="H15" s="271" t="str">
        <f>_xlfn.IFNA(   IF(   IF(  INDEX(警職大表!$A$1:$AZ$100,MATCH($A15,警職大表!$A$1:$A$100,0),   MATCH(H$1,警職大表!$A$3:$AZ$3,0)  )=0,"",INDEX(警職大表!$A$1:$AZ$100,MATCH($A15,警職大表!$A$1:$A$100,0),   MATCH(H$1,警職大表!$A$3:$AZ$3,0)  )        )="",G15,  IF(  INDEX(警職大表!$A$1:$AZ$100,MATCH($A15,警職大表!$A$1:$A$100,0),   MATCH(H$1,警職大表!$A$3:$AZ$3,0)  )=0,"",INDEX(警職大表!$A$1:$AZ$100,MATCH($A15,警職大表!$A$1:$A$100,0),   MATCH(H$1,警職大表!$A$3:$AZ$3,0)  ) )    ),"")</f>
        <v>08-18秘書室</v>
      </c>
      <c r="I15" s="271" t="str">
        <f>_xlfn.IFNA(   IF(   IF(  INDEX(警職大表!$A$1:$AZ$100,MATCH($A15,警職大表!$A$1:$A$100,0),   MATCH(I$1,警職大表!$A$3:$AZ$3,0)  )=0,"",INDEX(警職大表!$A$1:$AZ$100,MATCH($A15,警職大表!$A$1:$A$100,0),   MATCH(I$1,警職大表!$A$3:$AZ$3,0)  )        )="",H15,  IF(  INDEX(警職大表!$A$1:$AZ$100,MATCH($A15,警職大表!$A$1:$A$100,0),   MATCH(I$1,警職大表!$A$3:$AZ$3,0)  )=0,"",INDEX(警職大表!$A$1:$AZ$100,MATCH($A15,警職大表!$A$1:$A$100,0),   MATCH(I$1,警職大表!$A$3:$AZ$3,0)  ) )    ),"")</f>
        <v>08-18秘書室</v>
      </c>
      <c r="J15" s="271" t="str">
        <f>_xlfn.IFNA(   IF(   IF(  INDEX(警職大表!$A$1:$AZ$100,MATCH($A15,警職大表!$A$1:$A$100,0),   MATCH(J$1,警職大表!$A$3:$AZ$3,0)  )=0,"",INDEX(警職大表!$A$1:$AZ$100,MATCH($A15,警職大表!$A$1:$A$100,0),   MATCH(J$1,警職大表!$A$3:$AZ$3,0)  )        )="",I15,  IF(  INDEX(警職大表!$A$1:$AZ$100,MATCH($A15,警職大表!$A$1:$A$100,0),   MATCH(J$1,警職大表!$A$3:$AZ$3,0)  )=0,"",INDEX(警職大表!$A$1:$AZ$100,MATCH($A15,警職大表!$A$1:$A$100,0),   MATCH(J$1,警職大表!$A$3:$AZ$3,0)  ) )    ),"")</f>
        <v>08-18秘書室</v>
      </c>
      <c r="K15" s="271" t="str">
        <f>_xlfn.IFNA(   IF(   IF(  INDEX(警職大表!$A$1:$AZ$100,MATCH($A15,警職大表!$A$1:$A$100,0),   MATCH(K$1,警職大表!$A$3:$AZ$3,0)  )=0,"",INDEX(警職大表!$A$1:$AZ$100,MATCH($A15,警職大表!$A$1:$A$100,0),   MATCH(K$1,警職大表!$A$3:$AZ$3,0)  )        )="",J15,  IF(  INDEX(警職大表!$A$1:$AZ$100,MATCH($A15,警職大表!$A$1:$A$100,0),   MATCH(K$1,警職大表!$A$3:$AZ$3,0)  )=0,"",INDEX(警職大表!$A$1:$AZ$100,MATCH($A15,警職大表!$A$1:$A$100,0),   MATCH(K$1,警職大表!$A$3:$AZ$3,0)  ) )    ),"")</f>
        <v>08-18秘書室</v>
      </c>
      <c r="L15" s="271" t="str">
        <f>_xlfn.IFNA(   IF(   IF(  INDEX(警職大表!$A$1:$AZ$100,MATCH($A15,警職大表!$A$1:$A$100,0),   MATCH(L$1,警職大表!$A$3:$AZ$3,0)  )=0,"",INDEX(警職大表!$A$1:$AZ$100,MATCH($A15,警職大表!$A$1:$A$100,0),   MATCH(L$1,警職大表!$A$3:$AZ$3,0)  )        )="",K15,  IF(  INDEX(警職大表!$A$1:$AZ$100,MATCH($A15,警職大表!$A$1:$A$100,0),   MATCH(L$1,警職大表!$A$3:$AZ$3,0)  )=0,"",INDEX(警職大表!$A$1:$AZ$100,MATCH($A15,警職大表!$A$1:$A$100,0),   MATCH(L$1,警職大表!$A$3:$AZ$3,0)  ) )    ),"")</f>
        <v>08-18秘書室</v>
      </c>
      <c r="M15" s="271" t="str">
        <f>_xlfn.IFNA(   IF(   IF(  INDEX(警職大表!$A$1:$AZ$100,MATCH($A15,警職大表!$A$1:$A$100,0),   MATCH(M$1,警職大表!$A$3:$AZ$3,0)  )=0,"",INDEX(警職大表!$A$1:$AZ$100,MATCH($A15,警職大表!$A$1:$A$100,0),   MATCH(M$1,警職大表!$A$3:$AZ$3,0)  )        )="",L15,  IF(  INDEX(警職大表!$A$1:$AZ$100,MATCH($A15,警職大表!$A$1:$A$100,0),   MATCH(M$1,警職大表!$A$3:$AZ$3,0)  )=0,"",INDEX(警職大表!$A$1:$AZ$100,MATCH($A15,警職大表!$A$1:$A$100,0),   MATCH(M$1,警職大表!$A$3:$AZ$3,0)  ) )    ),"")</f>
        <v>08-18秘書室</v>
      </c>
      <c r="N15" s="271" t="str">
        <f>_xlfn.IFNA(   IF(   IF(  INDEX(警職大表!$A$1:$AZ$100,MATCH($A15,警職大表!$A$1:$A$100,0),   MATCH(N$1,警職大表!$A$3:$AZ$3,0)  )=0,"",INDEX(警職大表!$A$1:$AZ$100,MATCH($A15,警職大表!$A$1:$A$100,0),   MATCH(N$1,警職大表!$A$3:$AZ$3,0)  )        )="",M15,  IF(  INDEX(警職大表!$A$1:$AZ$100,MATCH($A15,警職大表!$A$1:$A$100,0),   MATCH(N$1,警職大表!$A$3:$AZ$3,0)  )=0,"",INDEX(警職大表!$A$1:$AZ$100,MATCH($A15,警職大表!$A$1:$A$100,0),   MATCH(N$1,警職大表!$A$3:$AZ$3,0)  ) )    ),"")</f>
        <v>08-18秘書室</v>
      </c>
      <c r="O15" s="271" t="str">
        <f>_xlfn.IFNA(   IF(   IF(  INDEX(警職大表!$A$1:$AZ$100,MATCH($A15,警職大表!$A$1:$A$100,0),   MATCH(O$1,警職大表!$A$3:$AZ$3,0)  )=0,"",INDEX(警職大表!$A$1:$AZ$100,MATCH($A15,警職大表!$A$1:$A$100,0),   MATCH(O$1,警職大表!$A$3:$AZ$3,0)  )        )="",N15,  IF(  INDEX(警職大表!$A$1:$AZ$100,MATCH($A15,警職大表!$A$1:$A$100,0),   MATCH(O$1,警職大表!$A$3:$AZ$3,0)  )=0,"",INDEX(警職大表!$A$1:$AZ$100,MATCH($A15,警職大表!$A$1:$A$100,0),   MATCH(O$1,警職大表!$A$3:$AZ$3,0)  ) )    ),"")</f>
        <v>08-18秘書室</v>
      </c>
      <c r="P15" s="271" t="str">
        <f>_xlfn.IFNA(   IF(   IF(  INDEX(警職大表!$A$1:$AZ$100,MATCH($A15,警職大表!$A$1:$A$100,0),   MATCH(P$1,警職大表!$A$3:$AZ$3,0)  )=0,"",INDEX(警職大表!$A$1:$AZ$100,MATCH($A15,警職大表!$A$1:$A$100,0),   MATCH(P$1,警職大表!$A$3:$AZ$3,0)  )        )="",O15,  IF(  INDEX(警職大表!$A$1:$AZ$100,MATCH($A15,警職大表!$A$1:$A$100,0),   MATCH(P$1,警職大表!$A$3:$AZ$3,0)  )=0,"",INDEX(警職大表!$A$1:$AZ$100,MATCH($A15,警職大表!$A$1:$A$100,0),   MATCH(P$1,警職大表!$A$3:$AZ$3,0)  ) )    ),"")</f>
        <v>08-18秘書室</v>
      </c>
      <c r="Q15" s="271" t="str">
        <f>_xlfn.IFNA(   IF(   IF(  INDEX(警職大表!$A$1:$AZ$100,MATCH($A15,警職大表!$A$1:$A$100,0),   MATCH(Q$1,警職大表!$A$3:$AZ$3,0)  )=0,"",INDEX(警職大表!$A$1:$AZ$100,MATCH($A15,警職大表!$A$1:$A$100,0),   MATCH(Q$1,警職大表!$A$3:$AZ$3,0)  )        )="",P15,  IF(  INDEX(警職大表!$A$1:$AZ$100,MATCH($A15,警職大表!$A$1:$A$100,0),   MATCH(Q$1,警職大表!$A$3:$AZ$3,0)  )=0,"",INDEX(警職大表!$A$1:$AZ$100,MATCH($A15,警職大表!$A$1:$A$100,0),   MATCH(Q$1,警職大表!$A$3:$AZ$3,0)  ) )    ),"")</f>
        <v>08-18秘書室</v>
      </c>
      <c r="R15" s="271" t="str">
        <f>_xlfn.IFNA(   IF(   IF(  INDEX(警職大表!$A$1:$AZ$100,MATCH($A15,警職大表!$A$1:$A$100,0),   MATCH(R$1,警職大表!$A$3:$AZ$3,0)  )=0,"",INDEX(警職大表!$A$1:$AZ$100,MATCH($A15,警職大表!$A$1:$A$100,0),   MATCH(R$1,警職大表!$A$3:$AZ$3,0)  )        )="",Q15,  IF(  INDEX(警職大表!$A$1:$AZ$100,MATCH($A15,警職大表!$A$1:$A$100,0),   MATCH(R$1,警職大表!$A$3:$AZ$3,0)  )=0,"",INDEX(警職大表!$A$1:$AZ$100,MATCH($A15,警職大表!$A$1:$A$100,0),   MATCH(R$1,警職大表!$A$3:$AZ$3,0)  ) )    ),"")</f>
        <v>08-18秘書室</v>
      </c>
      <c r="S15" s="271" t="str">
        <f>_xlfn.IFNA(   IF(   IF(  INDEX(警職大表!$A$1:$AZ$100,MATCH($A15,警職大表!$A$1:$A$100,0),   MATCH(S$1,警職大表!$A$3:$AZ$3,0)  )=0,"",INDEX(警職大表!$A$1:$AZ$100,MATCH($A15,警職大表!$A$1:$A$100,0),   MATCH(S$1,警職大表!$A$3:$AZ$3,0)  )        )="",R15,  IF(  INDEX(警職大表!$A$1:$AZ$100,MATCH($A15,警職大表!$A$1:$A$100,0),   MATCH(S$1,警職大表!$A$3:$AZ$3,0)  )=0,"",INDEX(警職大表!$A$1:$AZ$100,MATCH($A15,警職大表!$A$1:$A$100,0),   MATCH(S$1,警職大表!$A$3:$AZ$3,0)  ) )    ),"")</f>
        <v>/</v>
      </c>
      <c r="T15" s="271" t="str">
        <f>_xlfn.IFNA(   IF(   IF(  INDEX(警職大表!$A$1:$AZ$100,MATCH($A15,警職大表!$A$1:$A$100,0),   MATCH(T$1,警職大表!$A$3:$AZ$3,0)  )=0,"",INDEX(警職大表!$A$1:$AZ$100,MATCH($A15,警職大表!$A$1:$A$100,0),   MATCH(T$1,警職大表!$A$3:$AZ$3,0)  )        )="",S15,  IF(  INDEX(警職大表!$A$1:$AZ$100,MATCH($A15,警職大表!$A$1:$A$100,0),   MATCH(T$1,警職大表!$A$3:$AZ$3,0)  )=0,"",INDEX(警職大表!$A$1:$AZ$100,MATCH($A15,警職大表!$A$1:$A$100,0),   MATCH(T$1,警職大表!$A$3:$AZ$3,0)  ) )    ),"")</f>
        <v>x</v>
      </c>
      <c r="U15" s="271" t="str">
        <f>_xlfn.IFNA(   IF(   IF(  INDEX(警職大表!$A$1:$AZ$100,MATCH($A15,警職大表!$A$1:$A$100,0),   MATCH(U$1,警職大表!$A$3:$AZ$3,0)  )=0,"",INDEX(警職大表!$A$1:$AZ$100,MATCH($A15,警職大表!$A$1:$A$100,0),   MATCH(U$1,警職大表!$A$3:$AZ$3,0)  )        )="",T15,  IF(  INDEX(警職大表!$A$1:$AZ$100,MATCH($A15,警職大表!$A$1:$A$100,0),   MATCH(U$1,警職大表!$A$3:$AZ$3,0)  )=0,"",INDEX(警職大表!$A$1:$AZ$100,MATCH($A15,警職大表!$A$1:$A$100,0),   MATCH(U$1,警職大表!$A$3:$AZ$3,0)  ) )    ),"")</f>
        <v>x</v>
      </c>
      <c r="V15" s="271" t="str">
        <f>_xlfn.IFNA(   IF(   IF(  INDEX(警職大表!$A$1:$AZ$100,MATCH($A15,警職大表!$A$1:$A$100,0),   MATCH(V$1,警職大表!$A$3:$AZ$3,0)  )=0,"",INDEX(警職大表!$A$1:$AZ$100,MATCH($A15,警職大表!$A$1:$A$100,0),   MATCH(V$1,警職大表!$A$3:$AZ$3,0)  )        )="",U15,  IF(  INDEX(警職大表!$A$1:$AZ$100,MATCH($A15,警職大表!$A$1:$A$100,0),   MATCH(V$1,警職大表!$A$3:$AZ$3,0)  )=0,"",INDEX(警職大表!$A$1:$AZ$100,MATCH($A15,警職大表!$A$1:$A$100,0),   MATCH(V$1,警職大表!$A$3:$AZ$3,0)  ) )    ),"")</f>
        <v>x</v>
      </c>
      <c r="W15" s="271" t="str">
        <f>_xlfn.IFNA(   IF(   IF(  INDEX(警職大表!$A$1:$AZ$100,MATCH($A15,警職大表!$A$1:$A$100,0),   MATCH(W$1,警職大表!$A$3:$AZ$3,0)  )=0,"",INDEX(警職大表!$A$1:$AZ$100,MATCH($A15,警職大表!$A$1:$A$100,0),   MATCH(W$1,警職大表!$A$3:$AZ$3,0)  )        )="",V15,  IF(  INDEX(警職大表!$A$1:$AZ$100,MATCH($A15,警職大表!$A$1:$A$100,0),   MATCH(W$1,警職大表!$A$3:$AZ$3,0)  )=0,"",INDEX(警職大表!$A$1:$AZ$100,MATCH($A15,警職大表!$A$1:$A$100,0),   MATCH(W$1,警職大表!$A$3:$AZ$3,0)  ) )    ),"")</f>
        <v>x</v>
      </c>
      <c r="X15" s="271" t="str">
        <f>_xlfn.IFNA(   IF(   IF(  INDEX(警職大表!$A$1:$AZ$100,MATCH($A15,警職大表!$A$1:$A$100,0),   MATCH(X$1,警職大表!$A$3:$AZ$3,0)  )=0,"",INDEX(警職大表!$A$1:$AZ$100,MATCH($A15,警職大表!$A$1:$A$100,0),   MATCH(X$1,警職大表!$A$3:$AZ$3,0)  )        )="",W15,  IF(  INDEX(警職大表!$A$1:$AZ$100,MATCH($A15,警職大表!$A$1:$A$100,0),   MATCH(X$1,警職大表!$A$3:$AZ$3,0)  )=0,"",INDEX(警職大表!$A$1:$AZ$100,MATCH($A15,警職大表!$A$1:$A$100,0),   MATCH(X$1,警職大表!$A$3:$AZ$3,0)  ) )    ),"")</f>
        <v>/</v>
      </c>
      <c r="Y15" s="271" t="str">
        <f>_xlfn.IFNA(   IF(   IF(  INDEX(警職大表!$A$1:$AZ$100,MATCH($A15,警職大表!$A$1:$A$100,0),   MATCH(Y$1,警職大表!$A$3:$AZ$3,0)  )=0,"",INDEX(警職大表!$A$1:$AZ$100,MATCH($A15,警職大表!$A$1:$A$100,0),   MATCH(Y$1,警職大表!$A$3:$AZ$3,0)  )        )="",X15,  IF(  INDEX(警職大表!$A$1:$AZ$100,MATCH($A15,警職大表!$A$1:$A$100,0),   MATCH(Y$1,警職大表!$A$3:$AZ$3,0)  )=0,"",INDEX(警職大表!$A$1:$AZ$100,MATCH($A15,警職大表!$A$1:$A$100,0),   MATCH(Y$1,警職大表!$A$3:$AZ$3,0)  ) )    ),"")</f>
        <v>/</v>
      </c>
      <c r="Z15" s="271" t="str">
        <f>_xlfn.IFNA(   IF(   IF(  INDEX(警職大表!$A$1:$AZ$100,MATCH($A15,警職大表!$A$1:$A$100,0),   MATCH(Z$1,警職大表!$A$3:$AZ$3,0)  )=0,"",INDEX(警職大表!$A$1:$AZ$100,MATCH($A15,警職大表!$A$1:$A$100,0),   MATCH(Z$1,警職大表!$A$3:$AZ$3,0)  )        )="",Y15,  IF(  INDEX(警職大表!$A$1:$AZ$100,MATCH($A15,警職大表!$A$1:$A$100,0),   MATCH(Z$1,警職大表!$A$3:$AZ$3,0)  )=0,"",INDEX(警職大表!$A$1:$AZ$100,MATCH($A15,警職大表!$A$1:$A$100,0),   MATCH(Z$1,警職大表!$A$3:$AZ$3,0)  ) )    ),"")</f>
        <v>/</v>
      </c>
      <c r="AA15" s="271" t="str">
        <f>_xlfn.IFNA(   IF(   IF(  INDEX(警職大表!$A$1:$AZ$100,MATCH($A15,警職大表!$A$1:$A$100,0),   MATCH(AA$1,警職大表!$A$3:$AZ$3,0)  )=0,"",INDEX(警職大表!$A$1:$AZ$100,MATCH($A15,警職大表!$A$1:$A$100,0),   MATCH(AA$1,警職大表!$A$3:$AZ$3,0)  )        )="",Z15,  IF(  INDEX(警職大表!$A$1:$AZ$100,MATCH($A15,警職大表!$A$1:$A$100,0),   MATCH(AA$1,警職大表!$A$3:$AZ$3,0)  )=0,"",INDEX(警職大表!$A$1:$AZ$100,MATCH($A15,警職大表!$A$1:$A$100,0),   MATCH(AA$1,警職大表!$A$3:$AZ$3,0)  ) )    ),"")</f>
        <v>/</v>
      </c>
      <c r="AB15" s="271" t="str">
        <f>_xlfn.IFNA(   IF(   IF(  INDEX(警職大表!$A$1:$AZ$100,MATCH($A15,警職大表!$A$1:$A$100,0),   MATCH(AB$1,警職大表!$A$3:$AZ$3,0)  )=0,"",INDEX(警職大表!$A$1:$AZ$100,MATCH($A15,警職大表!$A$1:$A$100,0),   MATCH(AB$1,警職大表!$A$3:$AZ$3,0)  )        )="",AA15,  IF(  INDEX(警職大表!$A$1:$AZ$100,MATCH($A15,警職大表!$A$1:$A$100,0),   MATCH(AB$1,警職大表!$A$3:$AZ$3,0)  )=0,"",INDEX(警職大表!$A$1:$AZ$100,MATCH($A15,警職大表!$A$1:$A$100,0),   MATCH(AB$1,警職大表!$A$3:$AZ$3,0)  ) )    ),"")</f>
        <v>/</v>
      </c>
      <c r="AC15" s="271" t="str">
        <f>_xlfn.IFNA(   IF(   IF(  INDEX(警職大表!$A$1:$AZ$100,MATCH($A15,警職大表!$A$1:$A$100,0),   MATCH(AC$1,警職大表!$A$3:$AZ$3,0)  )=0,"",INDEX(警職大表!$A$1:$AZ$100,MATCH($A15,警職大表!$A$1:$A$100,0),   MATCH(AC$1,警職大表!$A$3:$AZ$3,0)  )        )="",AB15,  IF(  INDEX(警職大表!$A$1:$AZ$100,MATCH($A15,警職大表!$A$1:$A$100,0),   MATCH(AC$1,警職大表!$A$3:$AZ$3,0)  )=0,"",INDEX(警職大表!$A$1:$AZ$100,MATCH($A15,警職大表!$A$1:$A$100,0),   MATCH(AC$1,警職大表!$A$3:$AZ$3,0)  ) )    ),"")</f>
        <v>/</v>
      </c>
      <c r="AD15" s="271" t="str">
        <f>_xlfn.IFNA(   IF(   IF(  INDEX(警職大表!$A$1:$AZ$100,MATCH($A15,警職大表!$A$1:$A$100,0),   MATCH(AD$1,警職大表!$A$3:$AZ$3,0)  )=0,"",INDEX(警職大表!$A$1:$AZ$100,MATCH($A15,警職大表!$A$1:$A$100,0),   MATCH(AD$1,警職大表!$A$3:$AZ$3,0)  )        )="",AC15,  IF(  INDEX(警職大表!$A$1:$AZ$100,MATCH($A15,警職大表!$A$1:$A$100,0),   MATCH(AD$1,警職大表!$A$3:$AZ$3,0)  )=0,"",INDEX(警職大表!$A$1:$AZ$100,MATCH($A15,警職大表!$A$1:$A$100,0),   MATCH(AD$1,警職大表!$A$3:$AZ$3,0)  ) )    ),"")</f>
        <v>/</v>
      </c>
      <c r="AE15" s="271" t="str">
        <f>_xlfn.IFNA(   IF(   IF(  INDEX(警職大表!$A$1:$AZ$100,MATCH($A15,警職大表!$A$1:$A$100,0),   MATCH(AE$1,警職大表!$A$3:$AZ$3,0)  )=0,"",INDEX(警職大表!$A$1:$AZ$100,MATCH($A15,警職大表!$A$1:$A$100,0),   MATCH(AE$1,警職大表!$A$3:$AZ$3,0)  )        )="",AD15,  IF(  INDEX(警職大表!$A$1:$AZ$100,MATCH($A15,警職大表!$A$1:$A$100,0),   MATCH(AE$1,警職大表!$A$3:$AZ$3,0)  )=0,"",INDEX(警職大表!$A$1:$AZ$100,MATCH($A15,警職大表!$A$1:$A$100,0),   MATCH(AE$1,警職大表!$A$3:$AZ$3,0)  ) )    ),"")</f>
        <v>/</v>
      </c>
      <c r="AF15" s="271" t="str">
        <f>_xlfn.IFNA(   IF(   IF(  INDEX(警職大表!$A$1:$AZ$100,MATCH($A15,警職大表!$A$1:$A$100,0),   MATCH(AF$1,警職大表!$A$3:$AZ$3,0)  )=0,"",INDEX(警職大表!$A$1:$AZ$100,MATCH($A15,警職大表!$A$1:$A$100,0),   MATCH(AF$1,警職大表!$A$3:$AZ$3,0)  )        )="",AE15,  IF(  INDEX(警職大表!$A$1:$AZ$100,MATCH($A15,警職大表!$A$1:$A$100,0),   MATCH(AF$1,警職大表!$A$3:$AZ$3,0)  )=0,"",INDEX(警職大表!$A$1:$AZ$100,MATCH($A15,警職大表!$A$1:$A$100,0),   MATCH(AF$1,警職大表!$A$3:$AZ$3,0)  ) )    ),"")</f>
        <v>/</v>
      </c>
      <c r="AG15" s="271" t="str">
        <f>_xlfn.IFNA(   IF(   IF(  INDEX(警職大表!$A$1:$AZ$100,MATCH($A15,警職大表!$A$1:$A$100,0),   MATCH(AG$1,警職大表!$A$3:$AZ$3,0)  )=0,"",INDEX(警職大表!$A$1:$AZ$100,MATCH($A15,警職大表!$A$1:$A$100,0),   MATCH(AG$1,警職大表!$A$3:$AZ$3,0)  )        )="",AF15,  IF(  INDEX(警職大表!$A$1:$AZ$100,MATCH($A15,警職大表!$A$1:$A$100,0),   MATCH(AG$1,警職大表!$A$3:$AZ$3,0)  )=0,"",INDEX(警職大表!$A$1:$AZ$100,MATCH($A15,警職大表!$A$1:$A$100,0),   MATCH(AG$1,警職大表!$A$3:$AZ$3,0)  ) )    ),"")</f>
        <v>/</v>
      </c>
      <c r="AL15" s="271">
        <f t="shared" si="0"/>
        <v>51</v>
      </c>
      <c r="AM15" s="271" t="str">
        <f t="shared" si="1"/>
        <v>陳俊印</v>
      </c>
      <c r="AN15" s="271" t="str">
        <f>INDEX(   $A$41:$AG$78, MATCH(AL15,$A$41:$A$78,0),MATCH(  DAY(勤務分配表!$AN$1),$A$41:$AL$41,0  )  )</f>
        <v>空班</v>
      </c>
      <c r="AO15" s="271" t="str">
        <f>IF((ROW(AO15)-1)&lt;=日期輸入!$B$5,_xlfn.IFNA(IF(INDEX($A$1:$AG$40,MATCH($AM15,$B$1:$B$100,0),VALUE($AO$1+3))="成","補",INDEX($A$1:$AG$40,MATCH($AM15,$B$1:$B$100,0),VALUE($AO$1+3))),""),"")</f>
        <v>08-18秘書室</v>
      </c>
      <c r="AP15" s="271" t="str">
        <f>IF((ROW(AP15)-1)&lt;=日期輸入!$B$5,_xlfn.IFNA(IF(INDEX($A$1:$AG$40,MATCH($AM15,$B$1:$B$100,0),VALUE($AP$1+3))="成","補",INDEX($A$1:$AG$40,MATCH($AM15,$B$1:$B$100,0),VALUE($AP$1+3))),""),"")</f>
        <v>X</v>
      </c>
      <c r="AQ15" s="271" t="str">
        <f>IF((ROW(AQ15)-1)&lt;=日期輸入!$B$5,_xlfn.IFNA(IF(INDEX($A$1:$AG$40,MATCH($AM15,$B$1:$B$100,0),VALUE($AQ$1+3))="成","補",INDEX($A$1:$AG$40,MATCH($AM15,$B$1:$B$100,0),VALUE($AQ$1+3))),""),"")</f>
        <v>X</v>
      </c>
    </row>
    <row r="16" spans="1:47">
      <c r="A16" s="271">
        <f>IF(  (ROW(A16)-1)&lt;=日期輸入!$B$5,勤務分配!A16,"")</f>
        <v>52</v>
      </c>
      <c r="B16" s="271" t="str">
        <f>_xlfn.IFNA(  INDEX(警職大表!$A$1:$AZ$100,MATCH(A16,警職大表!$A$1:$A$100,0),3),"")</f>
        <v>曾文彬</v>
      </c>
      <c r="C16" s="271" t="str">
        <f>_xlfn.IFNA(   IF(   IF(  INDEX(警職大表!$A$1:$AZ$100,MATCH($A16,警職大表!$A$1:$A$100,0),   MATCH(C$1,警職大表!$A$3:$AZ$3,0)  )=0,"",INDEX(警職大表!$A$1:$AZ$100,MATCH($A16,警職大表!$A$1:$A$100,0),   MATCH(C$1,警職大表!$A$3:$AZ$3,0)  )        )="",B16,  IF(  INDEX(警職大表!$A$1:$AZ$100,MATCH($A16,警職大表!$A$1:$A$100,0),   MATCH(C$1,警職大表!$A$3:$AZ$3,0)  )=0,"",INDEX(警職大表!$A$1:$AZ$100,MATCH($A16,警職大表!$A$1:$A$100,0),   MATCH(C$1,警職大表!$A$3:$AZ$3,0)  ) )    ),"")</f>
        <v>X</v>
      </c>
      <c r="D16" s="271" t="str">
        <f>_xlfn.IFNA(   IF(   IF(  INDEX(警職大表!$A$1:$AZ$100,MATCH($A16,警職大表!$A$1:$A$100,0),   MATCH(D$1,警職大表!$A$3:$AZ$3,0)  )=0,"",INDEX(警職大表!$A$1:$AZ$100,MATCH($A16,警職大表!$A$1:$A$100,0),   MATCH(D$1,警職大表!$A$3:$AZ$3,0)  )        )="",C16,  IF(  INDEX(警職大表!$A$1:$AZ$100,MATCH($A16,警職大表!$A$1:$A$100,0),   MATCH(D$1,警職大表!$A$3:$AZ$3,0)  )=0,"",INDEX(警職大表!$A$1:$AZ$100,MATCH($A16,警職大表!$A$1:$A$100,0),   MATCH(D$1,警職大表!$A$3:$AZ$3,0)  ) )    ),"")</f>
        <v>/</v>
      </c>
      <c r="E16" s="271" t="str">
        <f>_xlfn.IFNA(   IF(   IF(  INDEX(警職大表!$A$1:$AZ$100,MATCH($A16,警職大表!$A$1:$A$100,0),   MATCH(E$1,警職大表!$A$3:$AZ$3,0)  )=0,"",INDEX(警職大表!$A$1:$AZ$100,MATCH($A16,警職大表!$A$1:$A$100,0),   MATCH(E$1,警職大表!$A$3:$AZ$3,0)  )        )="",D16,  IF(  INDEX(警職大表!$A$1:$AZ$100,MATCH($A16,警職大表!$A$1:$A$100,0),   MATCH(E$1,警職大表!$A$3:$AZ$3,0)  )=0,"",INDEX(警職大表!$A$1:$AZ$100,MATCH($A16,警職大表!$A$1:$A$100,0),   MATCH(E$1,警職大表!$A$3:$AZ$3,0)  ) )    ),"")</f>
        <v>/</v>
      </c>
      <c r="F16" s="271" t="str">
        <f>_xlfn.IFNA(   IF(   IF(  INDEX(警職大表!$A$1:$AZ$100,MATCH($A16,警職大表!$A$1:$A$100,0),   MATCH(F$1,警職大表!$A$3:$AZ$3,0)  )=0,"",INDEX(警職大表!$A$1:$AZ$100,MATCH($A16,警職大表!$A$1:$A$100,0),   MATCH(F$1,警職大表!$A$3:$AZ$3,0)  )        )="",E16,  IF(  INDEX(警職大表!$A$1:$AZ$100,MATCH($A16,警職大表!$A$1:$A$100,0),   MATCH(F$1,警職大表!$A$3:$AZ$3,0)  )=0,"",INDEX(警職大表!$A$1:$AZ$100,MATCH($A16,警職大表!$A$1:$A$100,0),   MATCH(F$1,警職大表!$A$3:$AZ$3,0)  ) )    ),"")</f>
        <v>/</v>
      </c>
      <c r="G16" s="271" t="str">
        <f>_xlfn.IFNA(   IF(   IF(  INDEX(警職大表!$A$1:$AZ$100,MATCH($A16,警職大表!$A$1:$A$100,0),   MATCH(G$1,警職大表!$A$3:$AZ$3,0)  )=0,"",INDEX(警職大表!$A$1:$AZ$100,MATCH($A16,警職大表!$A$1:$A$100,0),   MATCH(G$1,警職大表!$A$3:$AZ$3,0)  )        )="",F16,  IF(  INDEX(警職大表!$A$1:$AZ$100,MATCH($A16,警職大表!$A$1:$A$100,0),   MATCH(G$1,警職大表!$A$3:$AZ$3,0)  )=0,"",INDEX(警職大表!$A$1:$AZ$100,MATCH($A16,警職大表!$A$1:$A$100,0),   MATCH(G$1,警職大表!$A$3:$AZ$3,0)  ) )    ),"")</f>
        <v>/</v>
      </c>
      <c r="H16" s="271" t="str">
        <f>_xlfn.IFNA(   IF(   IF(  INDEX(警職大表!$A$1:$AZ$100,MATCH($A16,警職大表!$A$1:$A$100,0),   MATCH(H$1,警職大表!$A$3:$AZ$3,0)  )=0,"",INDEX(警職大表!$A$1:$AZ$100,MATCH($A16,警職大表!$A$1:$A$100,0),   MATCH(H$1,警職大表!$A$3:$AZ$3,0)  )        )="",G16,  IF(  INDEX(警職大表!$A$1:$AZ$100,MATCH($A16,警職大表!$A$1:$A$100,0),   MATCH(H$1,警職大表!$A$3:$AZ$3,0)  )=0,"",INDEX(警職大表!$A$1:$AZ$100,MATCH($A16,警職大表!$A$1:$A$100,0),   MATCH(H$1,警職大表!$A$3:$AZ$3,0)  ) )    ),"")</f>
        <v>/</v>
      </c>
      <c r="I16" s="271" t="str">
        <f>_xlfn.IFNA(   IF(   IF(  INDEX(警職大表!$A$1:$AZ$100,MATCH($A16,警職大表!$A$1:$A$100,0),   MATCH(I$1,警職大表!$A$3:$AZ$3,0)  )=0,"",INDEX(警職大表!$A$1:$AZ$100,MATCH($A16,警職大表!$A$1:$A$100,0),   MATCH(I$1,警職大表!$A$3:$AZ$3,0)  )        )="",H16,  IF(  INDEX(警職大表!$A$1:$AZ$100,MATCH($A16,警職大表!$A$1:$A$100,0),   MATCH(I$1,警職大表!$A$3:$AZ$3,0)  )=0,"",INDEX(警職大表!$A$1:$AZ$100,MATCH($A16,警職大表!$A$1:$A$100,0),   MATCH(I$1,警職大表!$A$3:$AZ$3,0)  ) )    ),"")</f>
        <v>/</v>
      </c>
      <c r="J16" s="271" t="str">
        <f>_xlfn.IFNA(   IF(   IF(  INDEX(警職大表!$A$1:$AZ$100,MATCH($A16,警職大表!$A$1:$A$100,0),   MATCH(J$1,警職大表!$A$3:$AZ$3,0)  )=0,"",INDEX(警職大表!$A$1:$AZ$100,MATCH($A16,警職大表!$A$1:$A$100,0),   MATCH(J$1,警職大表!$A$3:$AZ$3,0)  )        )="",I16,  IF(  INDEX(警職大表!$A$1:$AZ$100,MATCH($A16,警職大表!$A$1:$A$100,0),   MATCH(J$1,警職大表!$A$3:$AZ$3,0)  )=0,"",INDEX(警職大表!$A$1:$AZ$100,MATCH($A16,警職大表!$A$1:$A$100,0),   MATCH(J$1,警職大表!$A$3:$AZ$3,0)  ) )    ),"")</f>
        <v>/</v>
      </c>
      <c r="K16" s="271" t="str">
        <f>_xlfn.IFNA(   IF(   IF(  INDEX(警職大表!$A$1:$AZ$100,MATCH($A16,警職大表!$A$1:$A$100,0),   MATCH(K$1,警職大表!$A$3:$AZ$3,0)  )=0,"",INDEX(警職大表!$A$1:$AZ$100,MATCH($A16,警職大表!$A$1:$A$100,0),   MATCH(K$1,警職大表!$A$3:$AZ$3,0)  )        )="",J16,  IF(  INDEX(警職大表!$A$1:$AZ$100,MATCH($A16,警職大表!$A$1:$A$100,0),   MATCH(K$1,警職大表!$A$3:$AZ$3,0)  )=0,"",INDEX(警職大表!$A$1:$AZ$100,MATCH($A16,警職大表!$A$1:$A$100,0),   MATCH(K$1,警職大表!$A$3:$AZ$3,0)  ) )    ),"")</f>
        <v>/</v>
      </c>
      <c r="L16" s="271" t="str">
        <f>_xlfn.IFNA(   IF(   IF(  INDEX(警職大表!$A$1:$AZ$100,MATCH($A16,警職大表!$A$1:$A$100,0),   MATCH(L$1,警職大表!$A$3:$AZ$3,0)  )=0,"",INDEX(警職大表!$A$1:$AZ$100,MATCH($A16,警職大表!$A$1:$A$100,0),   MATCH(L$1,警職大表!$A$3:$AZ$3,0)  )        )="",K16,  IF(  INDEX(警職大表!$A$1:$AZ$100,MATCH($A16,警職大表!$A$1:$A$100,0),   MATCH(L$1,警職大表!$A$3:$AZ$3,0)  )=0,"",INDEX(警職大表!$A$1:$AZ$100,MATCH($A16,警職大表!$A$1:$A$100,0),   MATCH(L$1,警職大表!$A$3:$AZ$3,0)  ) )    ),"")</f>
        <v>/</v>
      </c>
      <c r="M16" s="271" t="str">
        <f>_xlfn.IFNA(   IF(   IF(  INDEX(警職大表!$A$1:$AZ$100,MATCH($A16,警職大表!$A$1:$A$100,0),   MATCH(M$1,警職大表!$A$3:$AZ$3,0)  )=0,"",INDEX(警職大表!$A$1:$AZ$100,MATCH($A16,警職大表!$A$1:$A$100,0),   MATCH(M$1,警職大表!$A$3:$AZ$3,0)  )        )="",L16,  IF(  INDEX(警職大表!$A$1:$AZ$100,MATCH($A16,警職大表!$A$1:$A$100,0),   MATCH(M$1,警職大表!$A$3:$AZ$3,0)  )=0,"",INDEX(警職大表!$A$1:$AZ$100,MATCH($A16,警職大表!$A$1:$A$100,0),   MATCH(M$1,警職大表!$A$3:$AZ$3,0)  ) )    ),"")</f>
        <v>/</v>
      </c>
      <c r="N16" s="271" t="str">
        <f>_xlfn.IFNA(   IF(   IF(  INDEX(警職大表!$A$1:$AZ$100,MATCH($A16,警職大表!$A$1:$A$100,0),   MATCH(N$1,警職大表!$A$3:$AZ$3,0)  )=0,"",INDEX(警職大表!$A$1:$AZ$100,MATCH($A16,警職大表!$A$1:$A$100,0),   MATCH(N$1,警職大表!$A$3:$AZ$3,0)  )        )="",M16,  IF(  INDEX(警職大表!$A$1:$AZ$100,MATCH($A16,警職大表!$A$1:$A$100,0),   MATCH(N$1,警職大表!$A$3:$AZ$3,0)  )=0,"",INDEX(警職大表!$A$1:$AZ$100,MATCH($A16,警職大表!$A$1:$A$100,0),   MATCH(N$1,警職大表!$A$3:$AZ$3,0)  ) )    ),"")</f>
        <v>/</v>
      </c>
      <c r="O16" s="271" t="str">
        <f>_xlfn.IFNA(   IF(   IF(  INDEX(警職大表!$A$1:$AZ$100,MATCH($A16,警職大表!$A$1:$A$100,0),   MATCH(O$1,警職大表!$A$3:$AZ$3,0)  )=0,"",INDEX(警職大表!$A$1:$AZ$100,MATCH($A16,警職大表!$A$1:$A$100,0),   MATCH(O$1,警職大表!$A$3:$AZ$3,0)  )        )="",N16,  IF(  INDEX(警職大表!$A$1:$AZ$100,MATCH($A16,警職大表!$A$1:$A$100,0),   MATCH(O$1,警職大表!$A$3:$AZ$3,0)  )=0,"",INDEX(警職大表!$A$1:$AZ$100,MATCH($A16,警職大表!$A$1:$A$100,0),   MATCH(O$1,警職大表!$A$3:$AZ$3,0)  ) )    ),"")</f>
        <v>/</v>
      </c>
      <c r="P16" s="271" t="str">
        <f>_xlfn.IFNA(   IF(   IF(  INDEX(警職大表!$A$1:$AZ$100,MATCH($A16,警職大表!$A$1:$A$100,0),   MATCH(P$1,警職大表!$A$3:$AZ$3,0)  )=0,"",INDEX(警職大表!$A$1:$AZ$100,MATCH($A16,警職大表!$A$1:$A$100,0),   MATCH(P$1,警職大表!$A$3:$AZ$3,0)  )        )="",O16,  IF(  INDEX(警職大表!$A$1:$AZ$100,MATCH($A16,警職大表!$A$1:$A$100,0),   MATCH(P$1,警職大表!$A$3:$AZ$3,0)  )=0,"",INDEX(警職大表!$A$1:$AZ$100,MATCH($A16,警職大表!$A$1:$A$100,0),   MATCH(P$1,警職大表!$A$3:$AZ$3,0)  ) )    ),"")</f>
        <v>/</v>
      </c>
      <c r="Q16" s="271" t="str">
        <f>_xlfn.IFNA(   IF(   IF(  INDEX(警職大表!$A$1:$AZ$100,MATCH($A16,警職大表!$A$1:$A$100,0),   MATCH(Q$1,警職大表!$A$3:$AZ$3,0)  )=0,"",INDEX(警職大表!$A$1:$AZ$100,MATCH($A16,警職大表!$A$1:$A$100,0),   MATCH(Q$1,警職大表!$A$3:$AZ$3,0)  )        )="",P16,  IF(  INDEX(警職大表!$A$1:$AZ$100,MATCH($A16,警職大表!$A$1:$A$100,0),   MATCH(Q$1,警職大表!$A$3:$AZ$3,0)  )=0,"",INDEX(警職大表!$A$1:$AZ$100,MATCH($A16,警職大表!$A$1:$A$100,0),   MATCH(Q$1,警職大表!$A$3:$AZ$3,0)  ) )    ),"")</f>
        <v>/</v>
      </c>
      <c r="R16" s="271" t="str">
        <f>_xlfn.IFNA(   IF(   IF(  INDEX(警職大表!$A$1:$AZ$100,MATCH($A16,警職大表!$A$1:$A$100,0),   MATCH(R$1,警職大表!$A$3:$AZ$3,0)  )=0,"",INDEX(警職大表!$A$1:$AZ$100,MATCH($A16,警職大表!$A$1:$A$100,0),   MATCH(R$1,警職大表!$A$3:$AZ$3,0)  )        )="",Q16,  IF(  INDEX(警職大表!$A$1:$AZ$100,MATCH($A16,警職大表!$A$1:$A$100,0),   MATCH(R$1,警職大表!$A$3:$AZ$3,0)  )=0,"",INDEX(警職大表!$A$1:$AZ$100,MATCH($A16,警職大表!$A$1:$A$100,0),   MATCH(R$1,警職大表!$A$3:$AZ$3,0)  ) )    ),"")</f>
        <v>/</v>
      </c>
      <c r="S16" s="271" t="str">
        <f>_xlfn.IFNA(   IF(   IF(  INDEX(警職大表!$A$1:$AZ$100,MATCH($A16,警職大表!$A$1:$A$100,0),   MATCH(S$1,警職大表!$A$3:$AZ$3,0)  )=0,"",INDEX(警職大表!$A$1:$AZ$100,MATCH($A16,警職大表!$A$1:$A$100,0),   MATCH(S$1,警職大表!$A$3:$AZ$3,0)  )        )="",R16,  IF(  INDEX(警職大表!$A$1:$AZ$100,MATCH($A16,警職大表!$A$1:$A$100,0),   MATCH(S$1,警職大表!$A$3:$AZ$3,0)  )=0,"",INDEX(警職大表!$A$1:$AZ$100,MATCH($A16,警職大表!$A$1:$A$100,0),   MATCH(S$1,警職大表!$A$3:$AZ$3,0)  ) )    ),"")</f>
        <v>/</v>
      </c>
      <c r="T16" s="271" t="str">
        <f>_xlfn.IFNA(   IF(   IF(  INDEX(警職大表!$A$1:$AZ$100,MATCH($A16,警職大表!$A$1:$A$100,0),   MATCH(T$1,警職大表!$A$3:$AZ$3,0)  )=0,"",INDEX(警職大表!$A$1:$AZ$100,MATCH($A16,警職大表!$A$1:$A$100,0),   MATCH(T$1,警職大表!$A$3:$AZ$3,0)  )        )="",S16,  IF(  INDEX(警職大表!$A$1:$AZ$100,MATCH($A16,警職大表!$A$1:$A$100,0),   MATCH(T$1,警職大表!$A$3:$AZ$3,0)  )=0,"",INDEX(警職大表!$A$1:$AZ$100,MATCH($A16,警職大表!$A$1:$A$100,0),   MATCH(T$1,警職大表!$A$3:$AZ$3,0)  ) )    ),"")</f>
        <v>/</v>
      </c>
      <c r="U16" s="271" t="str">
        <f>_xlfn.IFNA(   IF(   IF(  INDEX(警職大表!$A$1:$AZ$100,MATCH($A16,警職大表!$A$1:$A$100,0),   MATCH(U$1,警職大表!$A$3:$AZ$3,0)  )=0,"",INDEX(警職大表!$A$1:$AZ$100,MATCH($A16,警職大表!$A$1:$A$100,0),   MATCH(U$1,警職大表!$A$3:$AZ$3,0)  )        )="",T16,  IF(  INDEX(警職大表!$A$1:$AZ$100,MATCH($A16,警職大表!$A$1:$A$100,0),   MATCH(U$1,警職大表!$A$3:$AZ$3,0)  )=0,"",INDEX(警職大表!$A$1:$AZ$100,MATCH($A16,警職大表!$A$1:$A$100,0),   MATCH(U$1,警職大表!$A$3:$AZ$3,0)  ) )    ),"")</f>
        <v>/</v>
      </c>
      <c r="V16" s="271" t="str">
        <f>_xlfn.IFNA(   IF(   IF(  INDEX(警職大表!$A$1:$AZ$100,MATCH($A16,警職大表!$A$1:$A$100,0),   MATCH(V$1,警職大表!$A$3:$AZ$3,0)  )=0,"",INDEX(警職大表!$A$1:$AZ$100,MATCH($A16,警職大表!$A$1:$A$100,0),   MATCH(V$1,警職大表!$A$3:$AZ$3,0)  )        )="",U16,  IF(  INDEX(警職大表!$A$1:$AZ$100,MATCH($A16,警職大表!$A$1:$A$100,0),   MATCH(V$1,警職大表!$A$3:$AZ$3,0)  )=0,"",INDEX(警職大表!$A$1:$AZ$100,MATCH($A16,警職大表!$A$1:$A$100,0),   MATCH(V$1,警職大表!$A$3:$AZ$3,0)  ) )    ),"")</f>
        <v>/</v>
      </c>
      <c r="W16" s="271" t="str">
        <f>_xlfn.IFNA(   IF(   IF(  INDEX(警職大表!$A$1:$AZ$100,MATCH($A16,警職大表!$A$1:$A$100,0),   MATCH(W$1,警職大表!$A$3:$AZ$3,0)  )=0,"",INDEX(警職大表!$A$1:$AZ$100,MATCH($A16,警職大表!$A$1:$A$100,0),   MATCH(W$1,警職大表!$A$3:$AZ$3,0)  )        )="",V16,  IF(  INDEX(警職大表!$A$1:$AZ$100,MATCH($A16,警職大表!$A$1:$A$100,0),   MATCH(W$1,警職大表!$A$3:$AZ$3,0)  )=0,"",INDEX(警職大表!$A$1:$AZ$100,MATCH($A16,警職大表!$A$1:$A$100,0),   MATCH(W$1,警職大表!$A$3:$AZ$3,0)  ) )    ),"")</f>
        <v>/</v>
      </c>
      <c r="X16" s="271" t="str">
        <f>_xlfn.IFNA(   IF(   IF(  INDEX(警職大表!$A$1:$AZ$100,MATCH($A16,警職大表!$A$1:$A$100,0),   MATCH(X$1,警職大表!$A$3:$AZ$3,0)  )=0,"",INDEX(警職大表!$A$1:$AZ$100,MATCH($A16,警職大表!$A$1:$A$100,0),   MATCH(X$1,警職大表!$A$3:$AZ$3,0)  )        )="",W16,  IF(  INDEX(警職大表!$A$1:$AZ$100,MATCH($A16,警職大表!$A$1:$A$100,0),   MATCH(X$1,警職大表!$A$3:$AZ$3,0)  )=0,"",INDEX(警職大表!$A$1:$AZ$100,MATCH($A16,警職大表!$A$1:$A$100,0),   MATCH(X$1,警職大表!$A$3:$AZ$3,0)  ) )    ),"")</f>
        <v>/</v>
      </c>
      <c r="Y16" s="271" t="str">
        <f>_xlfn.IFNA(   IF(   IF(  INDEX(警職大表!$A$1:$AZ$100,MATCH($A16,警職大表!$A$1:$A$100,0),   MATCH(Y$1,警職大表!$A$3:$AZ$3,0)  )=0,"",INDEX(警職大表!$A$1:$AZ$100,MATCH($A16,警職大表!$A$1:$A$100,0),   MATCH(Y$1,警職大表!$A$3:$AZ$3,0)  )        )="",X16,  IF(  INDEX(警職大表!$A$1:$AZ$100,MATCH($A16,警職大表!$A$1:$A$100,0),   MATCH(Y$1,警職大表!$A$3:$AZ$3,0)  )=0,"",INDEX(警職大表!$A$1:$AZ$100,MATCH($A16,警職大表!$A$1:$A$100,0),   MATCH(Y$1,警職大表!$A$3:$AZ$3,0)  ) )    ),"")</f>
        <v>/</v>
      </c>
      <c r="Z16" s="271" t="str">
        <f>_xlfn.IFNA(   IF(   IF(  INDEX(警職大表!$A$1:$AZ$100,MATCH($A16,警職大表!$A$1:$A$100,0),   MATCH(Z$1,警職大表!$A$3:$AZ$3,0)  )=0,"",INDEX(警職大表!$A$1:$AZ$100,MATCH($A16,警職大表!$A$1:$A$100,0),   MATCH(Z$1,警職大表!$A$3:$AZ$3,0)  )        )="",Y16,  IF(  INDEX(警職大表!$A$1:$AZ$100,MATCH($A16,警職大表!$A$1:$A$100,0),   MATCH(Z$1,警職大表!$A$3:$AZ$3,0)  )=0,"",INDEX(警職大表!$A$1:$AZ$100,MATCH($A16,警職大表!$A$1:$A$100,0),   MATCH(Z$1,警職大表!$A$3:$AZ$3,0)  ) )    ),"")</f>
        <v>/</v>
      </c>
      <c r="AA16" s="271" t="str">
        <f>_xlfn.IFNA(   IF(   IF(  INDEX(警職大表!$A$1:$AZ$100,MATCH($A16,警職大表!$A$1:$A$100,0),   MATCH(AA$1,警職大表!$A$3:$AZ$3,0)  )=0,"",INDEX(警職大表!$A$1:$AZ$100,MATCH($A16,警職大表!$A$1:$A$100,0),   MATCH(AA$1,警職大表!$A$3:$AZ$3,0)  )        )="",Z16,  IF(  INDEX(警職大表!$A$1:$AZ$100,MATCH($A16,警職大表!$A$1:$A$100,0),   MATCH(AA$1,警職大表!$A$3:$AZ$3,0)  )=0,"",INDEX(警職大表!$A$1:$AZ$100,MATCH($A16,警職大表!$A$1:$A$100,0),   MATCH(AA$1,警職大表!$A$3:$AZ$3,0)  ) )    ),"")</f>
        <v>/</v>
      </c>
      <c r="AB16" s="271" t="str">
        <f>_xlfn.IFNA(   IF(   IF(  INDEX(警職大表!$A$1:$AZ$100,MATCH($A16,警職大表!$A$1:$A$100,0),   MATCH(AB$1,警職大表!$A$3:$AZ$3,0)  )=0,"",INDEX(警職大表!$A$1:$AZ$100,MATCH($A16,警職大表!$A$1:$A$100,0),   MATCH(AB$1,警職大表!$A$3:$AZ$3,0)  )        )="",AA16,  IF(  INDEX(警職大表!$A$1:$AZ$100,MATCH($A16,警職大表!$A$1:$A$100,0),   MATCH(AB$1,警職大表!$A$3:$AZ$3,0)  )=0,"",INDEX(警職大表!$A$1:$AZ$100,MATCH($A16,警職大表!$A$1:$A$100,0),   MATCH(AB$1,警職大表!$A$3:$AZ$3,0)  ) )    ),"")</f>
        <v>/</v>
      </c>
      <c r="AC16" s="271" t="str">
        <f>_xlfn.IFNA(   IF(   IF(  INDEX(警職大表!$A$1:$AZ$100,MATCH($A16,警職大表!$A$1:$A$100,0),   MATCH(AC$1,警職大表!$A$3:$AZ$3,0)  )=0,"",INDEX(警職大表!$A$1:$AZ$100,MATCH($A16,警職大表!$A$1:$A$100,0),   MATCH(AC$1,警職大表!$A$3:$AZ$3,0)  )        )="",AB16,  IF(  INDEX(警職大表!$A$1:$AZ$100,MATCH($A16,警職大表!$A$1:$A$100,0),   MATCH(AC$1,警職大表!$A$3:$AZ$3,0)  )=0,"",INDEX(警職大表!$A$1:$AZ$100,MATCH($A16,警職大表!$A$1:$A$100,0),   MATCH(AC$1,警職大表!$A$3:$AZ$3,0)  ) )    ),"")</f>
        <v>/</v>
      </c>
      <c r="AD16" s="271" t="str">
        <f>_xlfn.IFNA(   IF(   IF(  INDEX(警職大表!$A$1:$AZ$100,MATCH($A16,警職大表!$A$1:$A$100,0),   MATCH(AD$1,警職大表!$A$3:$AZ$3,0)  )=0,"",INDEX(警職大表!$A$1:$AZ$100,MATCH($A16,警職大表!$A$1:$A$100,0),   MATCH(AD$1,警職大表!$A$3:$AZ$3,0)  )        )="",AC16,  IF(  INDEX(警職大表!$A$1:$AZ$100,MATCH($A16,警職大表!$A$1:$A$100,0),   MATCH(AD$1,警職大表!$A$3:$AZ$3,0)  )=0,"",INDEX(警職大表!$A$1:$AZ$100,MATCH($A16,警職大表!$A$1:$A$100,0),   MATCH(AD$1,警職大表!$A$3:$AZ$3,0)  ) )    ),"")</f>
        <v>/</v>
      </c>
      <c r="AE16" s="271" t="str">
        <f>_xlfn.IFNA(   IF(   IF(  INDEX(警職大表!$A$1:$AZ$100,MATCH($A16,警職大表!$A$1:$A$100,0),   MATCH(AE$1,警職大表!$A$3:$AZ$3,0)  )=0,"",INDEX(警職大表!$A$1:$AZ$100,MATCH($A16,警職大表!$A$1:$A$100,0),   MATCH(AE$1,警職大表!$A$3:$AZ$3,0)  )        )="",AD16,  IF(  INDEX(警職大表!$A$1:$AZ$100,MATCH($A16,警職大表!$A$1:$A$100,0),   MATCH(AE$1,警職大表!$A$3:$AZ$3,0)  )=0,"",INDEX(警職大表!$A$1:$AZ$100,MATCH($A16,警職大表!$A$1:$A$100,0),   MATCH(AE$1,警職大表!$A$3:$AZ$3,0)  ) )    ),"")</f>
        <v>/</v>
      </c>
      <c r="AF16" s="271" t="str">
        <f>_xlfn.IFNA(   IF(   IF(  INDEX(警職大表!$A$1:$AZ$100,MATCH($A16,警職大表!$A$1:$A$100,0),   MATCH(AF$1,警職大表!$A$3:$AZ$3,0)  )=0,"",INDEX(警職大表!$A$1:$AZ$100,MATCH($A16,警職大表!$A$1:$A$100,0),   MATCH(AF$1,警職大表!$A$3:$AZ$3,0)  )        )="",AE16,  IF(  INDEX(警職大表!$A$1:$AZ$100,MATCH($A16,警職大表!$A$1:$A$100,0),   MATCH(AF$1,警職大表!$A$3:$AZ$3,0)  )=0,"",INDEX(警職大表!$A$1:$AZ$100,MATCH($A16,警職大表!$A$1:$A$100,0),   MATCH(AF$1,警職大表!$A$3:$AZ$3,0)  ) )    ),"")</f>
        <v>/</v>
      </c>
      <c r="AG16" s="271" t="str">
        <f>_xlfn.IFNA(   IF(   IF(  INDEX(警職大表!$A$1:$AZ$100,MATCH($A16,警職大表!$A$1:$A$100,0),   MATCH(AG$1,警職大表!$A$3:$AZ$3,0)  )=0,"",INDEX(警職大表!$A$1:$AZ$100,MATCH($A16,警職大表!$A$1:$A$100,0),   MATCH(AG$1,警職大表!$A$3:$AZ$3,0)  )        )="",AF16,  IF(  INDEX(警職大表!$A$1:$AZ$100,MATCH($A16,警職大表!$A$1:$A$100,0),   MATCH(AG$1,警職大表!$A$3:$AZ$3,0)  )=0,"",INDEX(警職大表!$A$1:$AZ$100,MATCH($A16,警職大表!$A$1:$A$100,0),   MATCH(AG$1,警職大表!$A$3:$AZ$3,0)  ) )    ),"")</f>
        <v>/</v>
      </c>
      <c r="AL16" s="271">
        <f t="shared" si="0"/>
        <v>52</v>
      </c>
      <c r="AM16" s="271" t="str">
        <f t="shared" si="1"/>
        <v>曾文彬</v>
      </c>
      <c r="AN16" s="271" t="str">
        <f>INDEX(   $A$41:$AG$78, MATCH(AL16,$A$41:$A$78,0),MATCH(  DAY(勤務分配表!$AN$1),$A$41:$AL$41,0  )  )</f>
        <v>空班</v>
      </c>
      <c r="AO16" s="271" t="str">
        <f>IF((ROW(AO16)-1)&lt;=日期輸入!$B$5,_xlfn.IFNA(IF(INDEX($A$1:$AG$40,MATCH($AM16,$B$1:$B$100,0),VALUE($AO$1+3))="成","補",INDEX($A$1:$AG$40,MATCH($AM16,$B$1:$B$100,0),VALUE($AO$1+3))),""),"")</f>
        <v>X</v>
      </c>
      <c r="AP16" s="271" t="str">
        <f>IF((ROW(AP16)-1)&lt;=日期輸入!$B$5,_xlfn.IFNA(IF(INDEX($A$1:$AG$40,MATCH($AM16,$B$1:$B$100,0),VALUE($AP$1+3))="成","補",INDEX($A$1:$AG$40,MATCH($AM16,$B$1:$B$100,0),VALUE($AP$1+3))),""),"")</f>
        <v>/</v>
      </c>
      <c r="AQ16" s="271" t="str">
        <f>IF((ROW(AQ16)-1)&lt;=日期輸入!$B$5,_xlfn.IFNA(IF(INDEX($A$1:$AG$40,MATCH($AM16,$B$1:$B$100,0),VALUE($AQ$1+3))="成","補",INDEX($A$1:$AG$40,MATCH($AM16,$B$1:$B$100,0),VALUE($AQ$1+3))),""),"")</f>
        <v>/</v>
      </c>
    </row>
    <row r="17" spans="1:43">
      <c r="A17" s="271">
        <f>IF(  (ROW(A17)-1)&lt;=日期輸入!$B$5,勤務分配!A17,"")</f>
        <v>53</v>
      </c>
      <c r="B17" s="271" t="str">
        <f>_xlfn.IFNA(  INDEX(警職大表!$A$1:$AZ$100,MATCH(A17,警職大表!$A$1:$A$100,0),3),"")</f>
        <v>鄒本強</v>
      </c>
      <c r="C17" s="271" t="str">
        <f>_xlfn.IFNA(   IF(   IF(  INDEX(警職大表!$A$1:$AZ$100,MATCH($A17,警職大表!$A$1:$A$100,0),   MATCH(C$1,警職大表!$A$3:$AZ$3,0)  )=0,"",INDEX(警職大表!$A$1:$AZ$100,MATCH($A17,警職大表!$A$1:$A$100,0),   MATCH(C$1,警職大表!$A$3:$AZ$3,0)  )        )="",B17,  IF(  INDEX(警職大表!$A$1:$AZ$100,MATCH($A17,警職大表!$A$1:$A$100,0),   MATCH(C$1,警職大表!$A$3:$AZ$3,0)  )=0,"",INDEX(警職大表!$A$1:$AZ$100,MATCH($A17,警職大表!$A$1:$A$100,0),   MATCH(C$1,警職大表!$A$3:$AZ$3,0)  ) )    ),"")</f>
        <v>支援秘書室</v>
      </c>
      <c r="D17" s="271" t="str">
        <f>_xlfn.IFNA(   IF(   IF(  INDEX(警職大表!$A$1:$AZ$100,MATCH($A17,警職大表!$A$1:$A$100,0),   MATCH(D$1,警職大表!$A$3:$AZ$3,0)  )=0,"",INDEX(警職大表!$A$1:$AZ$100,MATCH($A17,警職大表!$A$1:$A$100,0),   MATCH(D$1,警職大表!$A$3:$AZ$3,0)  )        )="",C17,  IF(  INDEX(警職大表!$A$1:$AZ$100,MATCH($A17,警職大表!$A$1:$A$100,0),   MATCH(D$1,警職大表!$A$3:$AZ$3,0)  )=0,"",INDEX(警職大表!$A$1:$AZ$100,MATCH($A17,警職大表!$A$1:$A$100,0),   MATCH(D$1,警職大表!$A$3:$AZ$3,0)  ) )    ),"")</f>
        <v>支援秘書室</v>
      </c>
      <c r="E17" s="271" t="str">
        <f>_xlfn.IFNA(   IF(   IF(  INDEX(警職大表!$A$1:$AZ$100,MATCH($A17,警職大表!$A$1:$A$100,0),   MATCH(E$1,警職大表!$A$3:$AZ$3,0)  )=0,"",INDEX(警職大表!$A$1:$AZ$100,MATCH($A17,警職大表!$A$1:$A$100,0),   MATCH(E$1,警職大表!$A$3:$AZ$3,0)  )        )="",D17,  IF(  INDEX(警職大表!$A$1:$AZ$100,MATCH($A17,警職大表!$A$1:$A$100,0),   MATCH(E$1,警職大表!$A$3:$AZ$3,0)  )=0,"",INDEX(警職大表!$A$1:$AZ$100,MATCH($A17,警職大表!$A$1:$A$100,0),   MATCH(E$1,警職大表!$A$3:$AZ$3,0)  ) )    ),"")</f>
        <v>支援秘書室</v>
      </c>
      <c r="F17" s="271" t="str">
        <f>_xlfn.IFNA(   IF(   IF(  INDEX(警職大表!$A$1:$AZ$100,MATCH($A17,警職大表!$A$1:$A$100,0),   MATCH(F$1,警職大表!$A$3:$AZ$3,0)  )=0,"",INDEX(警職大表!$A$1:$AZ$100,MATCH($A17,警職大表!$A$1:$A$100,0),   MATCH(F$1,警職大表!$A$3:$AZ$3,0)  )        )="",E17,  IF(  INDEX(警職大表!$A$1:$AZ$100,MATCH($A17,警職大表!$A$1:$A$100,0),   MATCH(F$1,警職大表!$A$3:$AZ$3,0)  )=0,"",INDEX(警職大表!$A$1:$AZ$100,MATCH($A17,警職大表!$A$1:$A$100,0),   MATCH(F$1,警職大表!$A$3:$AZ$3,0)  ) )    ),"")</f>
        <v>支援秘書室</v>
      </c>
      <c r="G17" s="271" t="str">
        <f>_xlfn.IFNA(   IF(   IF(  INDEX(警職大表!$A$1:$AZ$100,MATCH($A17,警職大表!$A$1:$A$100,0),   MATCH(G$1,警職大表!$A$3:$AZ$3,0)  )=0,"",INDEX(警職大表!$A$1:$AZ$100,MATCH($A17,警職大表!$A$1:$A$100,0),   MATCH(G$1,警職大表!$A$3:$AZ$3,0)  )        )="",F17,  IF(  INDEX(警職大表!$A$1:$AZ$100,MATCH($A17,警職大表!$A$1:$A$100,0),   MATCH(G$1,警職大表!$A$3:$AZ$3,0)  )=0,"",INDEX(警職大表!$A$1:$AZ$100,MATCH($A17,警職大表!$A$1:$A$100,0),   MATCH(G$1,警職大表!$A$3:$AZ$3,0)  ) )    ),"")</f>
        <v>支援秘書室</v>
      </c>
      <c r="H17" s="271" t="str">
        <f>_xlfn.IFNA(   IF(   IF(  INDEX(警職大表!$A$1:$AZ$100,MATCH($A17,警職大表!$A$1:$A$100,0),   MATCH(H$1,警職大表!$A$3:$AZ$3,0)  )=0,"",INDEX(警職大表!$A$1:$AZ$100,MATCH($A17,警職大表!$A$1:$A$100,0),   MATCH(H$1,警職大表!$A$3:$AZ$3,0)  )        )="",G17,  IF(  INDEX(警職大表!$A$1:$AZ$100,MATCH($A17,警職大表!$A$1:$A$100,0),   MATCH(H$1,警職大表!$A$3:$AZ$3,0)  )=0,"",INDEX(警職大表!$A$1:$AZ$100,MATCH($A17,警職大表!$A$1:$A$100,0),   MATCH(H$1,警職大表!$A$3:$AZ$3,0)  ) )    ),"")</f>
        <v>支援秘書室</v>
      </c>
      <c r="I17" s="271" t="str">
        <f>_xlfn.IFNA(   IF(   IF(  INDEX(警職大表!$A$1:$AZ$100,MATCH($A17,警職大表!$A$1:$A$100,0),   MATCH(I$1,警職大表!$A$3:$AZ$3,0)  )=0,"",INDEX(警職大表!$A$1:$AZ$100,MATCH($A17,警職大表!$A$1:$A$100,0),   MATCH(I$1,警職大表!$A$3:$AZ$3,0)  )        )="",H17,  IF(  INDEX(警職大表!$A$1:$AZ$100,MATCH($A17,警職大表!$A$1:$A$100,0),   MATCH(I$1,警職大表!$A$3:$AZ$3,0)  )=0,"",INDEX(警職大表!$A$1:$AZ$100,MATCH($A17,警職大表!$A$1:$A$100,0),   MATCH(I$1,警職大表!$A$3:$AZ$3,0)  ) )    ),"")</f>
        <v>支援秘書室</v>
      </c>
      <c r="J17" s="271" t="str">
        <f>_xlfn.IFNA(   IF(   IF(  INDEX(警職大表!$A$1:$AZ$100,MATCH($A17,警職大表!$A$1:$A$100,0),   MATCH(J$1,警職大表!$A$3:$AZ$3,0)  )=0,"",INDEX(警職大表!$A$1:$AZ$100,MATCH($A17,警職大表!$A$1:$A$100,0),   MATCH(J$1,警職大表!$A$3:$AZ$3,0)  )        )="",I17,  IF(  INDEX(警職大表!$A$1:$AZ$100,MATCH($A17,警職大表!$A$1:$A$100,0),   MATCH(J$1,警職大表!$A$3:$AZ$3,0)  )=0,"",INDEX(警職大表!$A$1:$AZ$100,MATCH($A17,警職大表!$A$1:$A$100,0),   MATCH(J$1,警職大表!$A$3:$AZ$3,0)  ) )    ),"")</f>
        <v>支援秘書室</v>
      </c>
      <c r="K17" s="271" t="str">
        <f>_xlfn.IFNA(   IF(   IF(  INDEX(警職大表!$A$1:$AZ$100,MATCH($A17,警職大表!$A$1:$A$100,0),   MATCH(K$1,警職大表!$A$3:$AZ$3,0)  )=0,"",INDEX(警職大表!$A$1:$AZ$100,MATCH($A17,警職大表!$A$1:$A$100,0),   MATCH(K$1,警職大表!$A$3:$AZ$3,0)  )        )="",J17,  IF(  INDEX(警職大表!$A$1:$AZ$100,MATCH($A17,警職大表!$A$1:$A$100,0),   MATCH(K$1,警職大表!$A$3:$AZ$3,0)  )=0,"",INDEX(警職大表!$A$1:$AZ$100,MATCH($A17,警職大表!$A$1:$A$100,0),   MATCH(K$1,警職大表!$A$3:$AZ$3,0)  ) )    ),"")</f>
        <v>支援秘書室</v>
      </c>
      <c r="L17" s="271" t="str">
        <f>_xlfn.IFNA(   IF(   IF(  INDEX(警職大表!$A$1:$AZ$100,MATCH($A17,警職大表!$A$1:$A$100,0),   MATCH(L$1,警職大表!$A$3:$AZ$3,0)  )=0,"",INDEX(警職大表!$A$1:$AZ$100,MATCH($A17,警職大表!$A$1:$A$100,0),   MATCH(L$1,警職大表!$A$3:$AZ$3,0)  )        )="",K17,  IF(  INDEX(警職大表!$A$1:$AZ$100,MATCH($A17,警職大表!$A$1:$A$100,0),   MATCH(L$1,警職大表!$A$3:$AZ$3,0)  )=0,"",INDEX(警職大表!$A$1:$AZ$100,MATCH($A17,警職大表!$A$1:$A$100,0),   MATCH(L$1,警職大表!$A$3:$AZ$3,0)  ) )    ),"")</f>
        <v>支援秘書室</v>
      </c>
      <c r="M17" s="271" t="str">
        <f>_xlfn.IFNA(   IF(   IF(  INDEX(警職大表!$A$1:$AZ$100,MATCH($A17,警職大表!$A$1:$A$100,0),   MATCH(M$1,警職大表!$A$3:$AZ$3,0)  )=0,"",INDEX(警職大表!$A$1:$AZ$100,MATCH($A17,警職大表!$A$1:$A$100,0),   MATCH(M$1,警職大表!$A$3:$AZ$3,0)  )        )="",L17,  IF(  INDEX(警職大表!$A$1:$AZ$100,MATCH($A17,警職大表!$A$1:$A$100,0),   MATCH(M$1,警職大表!$A$3:$AZ$3,0)  )=0,"",INDEX(警職大表!$A$1:$AZ$100,MATCH($A17,警職大表!$A$1:$A$100,0),   MATCH(M$1,警職大表!$A$3:$AZ$3,0)  ) )    ),"")</f>
        <v>支援秘書室</v>
      </c>
      <c r="N17" s="271" t="str">
        <f>_xlfn.IFNA(   IF(   IF(  INDEX(警職大表!$A$1:$AZ$100,MATCH($A17,警職大表!$A$1:$A$100,0),   MATCH(N$1,警職大表!$A$3:$AZ$3,0)  )=0,"",INDEX(警職大表!$A$1:$AZ$100,MATCH($A17,警職大表!$A$1:$A$100,0),   MATCH(N$1,警職大表!$A$3:$AZ$3,0)  )        )="",M17,  IF(  INDEX(警職大表!$A$1:$AZ$100,MATCH($A17,警職大表!$A$1:$A$100,0),   MATCH(N$1,警職大表!$A$3:$AZ$3,0)  )=0,"",INDEX(警職大表!$A$1:$AZ$100,MATCH($A17,警職大表!$A$1:$A$100,0),   MATCH(N$1,警職大表!$A$3:$AZ$3,0)  ) )    ),"")</f>
        <v>支援秘書室</v>
      </c>
      <c r="O17" s="271" t="str">
        <f>_xlfn.IFNA(   IF(   IF(  INDEX(警職大表!$A$1:$AZ$100,MATCH($A17,警職大表!$A$1:$A$100,0),   MATCH(O$1,警職大表!$A$3:$AZ$3,0)  )=0,"",INDEX(警職大表!$A$1:$AZ$100,MATCH($A17,警職大表!$A$1:$A$100,0),   MATCH(O$1,警職大表!$A$3:$AZ$3,0)  )        )="",N17,  IF(  INDEX(警職大表!$A$1:$AZ$100,MATCH($A17,警職大表!$A$1:$A$100,0),   MATCH(O$1,警職大表!$A$3:$AZ$3,0)  )=0,"",INDEX(警職大表!$A$1:$AZ$100,MATCH($A17,警職大表!$A$1:$A$100,0),   MATCH(O$1,警職大表!$A$3:$AZ$3,0)  ) )    ),"")</f>
        <v>支援秘書室</v>
      </c>
      <c r="P17" s="271" t="str">
        <f>_xlfn.IFNA(   IF(   IF(  INDEX(警職大表!$A$1:$AZ$100,MATCH($A17,警職大表!$A$1:$A$100,0),   MATCH(P$1,警職大表!$A$3:$AZ$3,0)  )=0,"",INDEX(警職大表!$A$1:$AZ$100,MATCH($A17,警職大表!$A$1:$A$100,0),   MATCH(P$1,警職大表!$A$3:$AZ$3,0)  )        )="",O17,  IF(  INDEX(警職大表!$A$1:$AZ$100,MATCH($A17,警職大表!$A$1:$A$100,0),   MATCH(P$1,警職大表!$A$3:$AZ$3,0)  )=0,"",INDEX(警職大表!$A$1:$AZ$100,MATCH($A17,警職大表!$A$1:$A$100,0),   MATCH(P$1,警職大表!$A$3:$AZ$3,0)  ) )    ),"")</f>
        <v>支援秘書室</v>
      </c>
      <c r="Q17" s="271" t="str">
        <f>_xlfn.IFNA(   IF(   IF(  INDEX(警職大表!$A$1:$AZ$100,MATCH($A17,警職大表!$A$1:$A$100,0),   MATCH(Q$1,警職大表!$A$3:$AZ$3,0)  )=0,"",INDEX(警職大表!$A$1:$AZ$100,MATCH($A17,警職大表!$A$1:$A$100,0),   MATCH(Q$1,警職大表!$A$3:$AZ$3,0)  )        )="",P17,  IF(  INDEX(警職大表!$A$1:$AZ$100,MATCH($A17,警職大表!$A$1:$A$100,0),   MATCH(Q$1,警職大表!$A$3:$AZ$3,0)  )=0,"",INDEX(警職大表!$A$1:$AZ$100,MATCH($A17,警職大表!$A$1:$A$100,0),   MATCH(Q$1,警職大表!$A$3:$AZ$3,0)  ) )    ),"")</f>
        <v>支援秘書室</v>
      </c>
      <c r="R17" s="271" t="str">
        <f>_xlfn.IFNA(   IF(   IF(  INDEX(警職大表!$A$1:$AZ$100,MATCH($A17,警職大表!$A$1:$A$100,0),   MATCH(R$1,警職大表!$A$3:$AZ$3,0)  )=0,"",INDEX(警職大表!$A$1:$AZ$100,MATCH($A17,警職大表!$A$1:$A$100,0),   MATCH(R$1,警職大表!$A$3:$AZ$3,0)  )        )="",Q17,  IF(  INDEX(警職大表!$A$1:$AZ$100,MATCH($A17,警職大表!$A$1:$A$100,0),   MATCH(R$1,警職大表!$A$3:$AZ$3,0)  )=0,"",INDEX(警職大表!$A$1:$AZ$100,MATCH($A17,警職大表!$A$1:$A$100,0),   MATCH(R$1,警職大表!$A$3:$AZ$3,0)  ) )    ),"")</f>
        <v>支援秘書室</v>
      </c>
      <c r="S17" s="271" t="str">
        <f>_xlfn.IFNA(   IF(   IF(  INDEX(警職大表!$A$1:$AZ$100,MATCH($A17,警職大表!$A$1:$A$100,0),   MATCH(S$1,警職大表!$A$3:$AZ$3,0)  )=0,"",INDEX(警職大表!$A$1:$AZ$100,MATCH($A17,警職大表!$A$1:$A$100,0),   MATCH(S$1,警職大表!$A$3:$AZ$3,0)  )        )="",R17,  IF(  INDEX(警職大表!$A$1:$AZ$100,MATCH($A17,警職大表!$A$1:$A$100,0),   MATCH(S$1,警職大表!$A$3:$AZ$3,0)  )=0,"",INDEX(警職大表!$A$1:$AZ$100,MATCH($A17,警職大表!$A$1:$A$100,0),   MATCH(S$1,警職大表!$A$3:$AZ$3,0)  ) )    ),"")</f>
        <v>支援秘書室</v>
      </c>
      <c r="T17" s="271" t="str">
        <f>_xlfn.IFNA(   IF(   IF(  INDEX(警職大表!$A$1:$AZ$100,MATCH($A17,警職大表!$A$1:$A$100,0),   MATCH(T$1,警職大表!$A$3:$AZ$3,0)  )=0,"",INDEX(警職大表!$A$1:$AZ$100,MATCH($A17,警職大表!$A$1:$A$100,0),   MATCH(T$1,警職大表!$A$3:$AZ$3,0)  )        )="",S17,  IF(  INDEX(警職大表!$A$1:$AZ$100,MATCH($A17,警職大表!$A$1:$A$100,0),   MATCH(T$1,警職大表!$A$3:$AZ$3,0)  )=0,"",INDEX(警職大表!$A$1:$AZ$100,MATCH($A17,警職大表!$A$1:$A$100,0),   MATCH(T$1,警職大表!$A$3:$AZ$3,0)  ) )    ),"")</f>
        <v>支援秘書室</v>
      </c>
      <c r="U17" s="271" t="str">
        <f>_xlfn.IFNA(   IF(   IF(  INDEX(警職大表!$A$1:$AZ$100,MATCH($A17,警職大表!$A$1:$A$100,0),   MATCH(U$1,警職大表!$A$3:$AZ$3,0)  )=0,"",INDEX(警職大表!$A$1:$AZ$100,MATCH($A17,警職大表!$A$1:$A$100,0),   MATCH(U$1,警職大表!$A$3:$AZ$3,0)  )        )="",T17,  IF(  INDEX(警職大表!$A$1:$AZ$100,MATCH($A17,警職大表!$A$1:$A$100,0),   MATCH(U$1,警職大表!$A$3:$AZ$3,0)  )=0,"",INDEX(警職大表!$A$1:$AZ$100,MATCH($A17,警職大表!$A$1:$A$100,0),   MATCH(U$1,警職大表!$A$3:$AZ$3,0)  ) )    ),"")</f>
        <v>支援秘書室</v>
      </c>
      <c r="V17" s="271" t="str">
        <f>_xlfn.IFNA(   IF(   IF(  INDEX(警職大表!$A$1:$AZ$100,MATCH($A17,警職大表!$A$1:$A$100,0),   MATCH(V$1,警職大表!$A$3:$AZ$3,0)  )=0,"",INDEX(警職大表!$A$1:$AZ$100,MATCH($A17,警職大表!$A$1:$A$100,0),   MATCH(V$1,警職大表!$A$3:$AZ$3,0)  )        )="",U17,  IF(  INDEX(警職大表!$A$1:$AZ$100,MATCH($A17,警職大表!$A$1:$A$100,0),   MATCH(V$1,警職大表!$A$3:$AZ$3,0)  )=0,"",INDEX(警職大表!$A$1:$AZ$100,MATCH($A17,警職大表!$A$1:$A$100,0),   MATCH(V$1,警職大表!$A$3:$AZ$3,0)  ) )    ),"")</f>
        <v>支援秘書室</v>
      </c>
      <c r="W17" s="271" t="str">
        <f>_xlfn.IFNA(   IF(   IF(  INDEX(警職大表!$A$1:$AZ$100,MATCH($A17,警職大表!$A$1:$A$100,0),   MATCH(W$1,警職大表!$A$3:$AZ$3,0)  )=0,"",INDEX(警職大表!$A$1:$AZ$100,MATCH($A17,警職大表!$A$1:$A$100,0),   MATCH(W$1,警職大表!$A$3:$AZ$3,0)  )        )="",V17,  IF(  INDEX(警職大表!$A$1:$AZ$100,MATCH($A17,警職大表!$A$1:$A$100,0),   MATCH(W$1,警職大表!$A$3:$AZ$3,0)  )=0,"",INDEX(警職大表!$A$1:$AZ$100,MATCH($A17,警職大表!$A$1:$A$100,0),   MATCH(W$1,警職大表!$A$3:$AZ$3,0)  ) )    ),"")</f>
        <v>支援秘書室</v>
      </c>
      <c r="X17" s="271" t="str">
        <f>_xlfn.IFNA(   IF(   IF(  INDEX(警職大表!$A$1:$AZ$100,MATCH($A17,警職大表!$A$1:$A$100,0),   MATCH(X$1,警職大表!$A$3:$AZ$3,0)  )=0,"",INDEX(警職大表!$A$1:$AZ$100,MATCH($A17,警職大表!$A$1:$A$100,0),   MATCH(X$1,警職大表!$A$3:$AZ$3,0)  )        )="",W17,  IF(  INDEX(警職大表!$A$1:$AZ$100,MATCH($A17,警職大表!$A$1:$A$100,0),   MATCH(X$1,警職大表!$A$3:$AZ$3,0)  )=0,"",INDEX(警職大表!$A$1:$AZ$100,MATCH($A17,警職大表!$A$1:$A$100,0),   MATCH(X$1,警職大表!$A$3:$AZ$3,0)  ) )    ),"")</f>
        <v>支援秘書室</v>
      </c>
      <c r="Y17" s="271" t="str">
        <f>_xlfn.IFNA(   IF(   IF(  INDEX(警職大表!$A$1:$AZ$100,MATCH($A17,警職大表!$A$1:$A$100,0),   MATCH(Y$1,警職大表!$A$3:$AZ$3,0)  )=0,"",INDEX(警職大表!$A$1:$AZ$100,MATCH($A17,警職大表!$A$1:$A$100,0),   MATCH(Y$1,警職大表!$A$3:$AZ$3,0)  )        )="",X17,  IF(  INDEX(警職大表!$A$1:$AZ$100,MATCH($A17,警職大表!$A$1:$A$100,0),   MATCH(Y$1,警職大表!$A$3:$AZ$3,0)  )=0,"",INDEX(警職大表!$A$1:$AZ$100,MATCH($A17,警職大表!$A$1:$A$100,0),   MATCH(Y$1,警職大表!$A$3:$AZ$3,0)  ) )    ),"")</f>
        <v>支援秘書室</v>
      </c>
      <c r="Z17" s="271" t="str">
        <f>_xlfn.IFNA(   IF(   IF(  INDEX(警職大表!$A$1:$AZ$100,MATCH($A17,警職大表!$A$1:$A$100,0),   MATCH(Z$1,警職大表!$A$3:$AZ$3,0)  )=0,"",INDEX(警職大表!$A$1:$AZ$100,MATCH($A17,警職大表!$A$1:$A$100,0),   MATCH(Z$1,警職大表!$A$3:$AZ$3,0)  )        )="",Y17,  IF(  INDEX(警職大表!$A$1:$AZ$100,MATCH($A17,警職大表!$A$1:$A$100,0),   MATCH(Z$1,警職大表!$A$3:$AZ$3,0)  )=0,"",INDEX(警職大表!$A$1:$AZ$100,MATCH($A17,警職大表!$A$1:$A$100,0),   MATCH(Z$1,警職大表!$A$3:$AZ$3,0)  ) )    ),"")</f>
        <v>支援秘書室</v>
      </c>
      <c r="AA17" s="271" t="str">
        <f>_xlfn.IFNA(   IF(   IF(  INDEX(警職大表!$A$1:$AZ$100,MATCH($A17,警職大表!$A$1:$A$100,0),   MATCH(AA$1,警職大表!$A$3:$AZ$3,0)  )=0,"",INDEX(警職大表!$A$1:$AZ$100,MATCH($A17,警職大表!$A$1:$A$100,0),   MATCH(AA$1,警職大表!$A$3:$AZ$3,0)  )        )="",Z17,  IF(  INDEX(警職大表!$A$1:$AZ$100,MATCH($A17,警職大表!$A$1:$A$100,0),   MATCH(AA$1,警職大表!$A$3:$AZ$3,0)  )=0,"",INDEX(警職大表!$A$1:$AZ$100,MATCH($A17,警職大表!$A$1:$A$100,0),   MATCH(AA$1,警職大表!$A$3:$AZ$3,0)  ) )    ),"")</f>
        <v>支援秘書室</v>
      </c>
      <c r="AB17" s="271" t="str">
        <f>_xlfn.IFNA(   IF(   IF(  INDEX(警職大表!$A$1:$AZ$100,MATCH($A17,警職大表!$A$1:$A$100,0),   MATCH(AB$1,警職大表!$A$3:$AZ$3,0)  )=0,"",INDEX(警職大表!$A$1:$AZ$100,MATCH($A17,警職大表!$A$1:$A$100,0),   MATCH(AB$1,警職大表!$A$3:$AZ$3,0)  )        )="",AA17,  IF(  INDEX(警職大表!$A$1:$AZ$100,MATCH($A17,警職大表!$A$1:$A$100,0),   MATCH(AB$1,警職大表!$A$3:$AZ$3,0)  )=0,"",INDEX(警職大表!$A$1:$AZ$100,MATCH($A17,警職大表!$A$1:$A$100,0),   MATCH(AB$1,警職大表!$A$3:$AZ$3,0)  ) )    ),"")</f>
        <v>支援秘書室</v>
      </c>
      <c r="AC17" s="271" t="str">
        <f>_xlfn.IFNA(   IF(   IF(  INDEX(警職大表!$A$1:$AZ$100,MATCH($A17,警職大表!$A$1:$A$100,0),   MATCH(AC$1,警職大表!$A$3:$AZ$3,0)  )=0,"",INDEX(警職大表!$A$1:$AZ$100,MATCH($A17,警職大表!$A$1:$A$100,0),   MATCH(AC$1,警職大表!$A$3:$AZ$3,0)  )        )="",AB17,  IF(  INDEX(警職大表!$A$1:$AZ$100,MATCH($A17,警職大表!$A$1:$A$100,0),   MATCH(AC$1,警職大表!$A$3:$AZ$3,0)  )=0,"",INDEX(警職大表!$A$1:$AZ$100,MATCH($A17,警職大表!$A$1:$A$100,0),   MATCH(AC$1,警職大表!$A$3:$AZ$3,0)  ) )    ),"")</f>
        <v>支援秘書室</v>
      </c>
      <c r="AD17" s="271" t="str">
        <f>_xlfn.IFNA(   IF(   IF(  INDEX(警職大表!$A$1:$AZ$100,MATCH($A17,警職大表!$A$1:$A$100,0),   MATCH(AD$1,警職大表!$A$3:$AZ$3,0)  )=0,"",INDEX(警職大表!$A$1:$AZ$100,MATCH($A17,警職大表!$A$1:$A$100,0),   MATCH(AD$1,警職大表!$A$3:$AZ$3,0)  )        )="",AC17,  IF(  INDEX(警職大表!$A$1:$AZ$100,MATCH($A17,警職大表!$A$1:$A$100,0),   MATCH(AD$1,警職大表!$A$3:$AZ$3,0)  )=0,"",INDEX(警職大表!$A$1:$AZ$100,MATCH($A17,警職大表!$A$1:$A$100,0),   MATCH(AD$1,警職大表!$A$3:$AZ$3,0)  ) )    ),"")</f>
        <v>支援秘書室</v>
      </c>
      <c r="AE17" s="271" t="str">
        <f>_xlfn.IFNA(   IF(   IF(  INDEX(警職大表!$A$1:$AZ$100,MATCH($A17,警職大表!$A$1:$A$100,0),   MATCH(AE$1,警職大表!$A$3:$AZ$3,0)  )=0,"",INDEX(警職大表!$A$1:$AZ$100,MATCH($A17,警職大表!$A$1:$A$100,0),   MATCH(AE$1,警職大表!$A$3:$AZ$3,0)  )        )="",AD17,  IF(  INDEX(警職大表!$A$1:$AZ$100,MATCH($A17,警職大表!$A$1:$A$100,0),   MATCH(AE$1,警職大表!$A$3:$AZ$3,0)  )=0,"",INDEX(警職大表!$A$1:$AZ$100,MATCH($A17,警職大表!$A$1:$A$100,0),   MATCH(AE$1,警職大表!$A$3:$AZ$3,0)  ) )    ),"")</f>
        <v>支援秘書室</v>
      </c>
      <c r="AF17" s="271" t="str">
        <f>_xlfn.IFNA(   IF(   IF(  INDEX(警職大表!$A$1:$AZ$100,MATCH($A17,警職大表!$A$1:$A$100,0),   MATCH(AF$1,警職大表!$A$3:$AZ$3,0)  )=0,"",INDEX(警職大表!$A$1:$AZ$100,MATCH($A17,警職大表!$A$1:$A$100,0),   MATCH(AF$1,警職大表!$A$3:$AZ$3,0)  )        )="",AE17,  IF(  INDEX(警職大表!$A$1:$AZ$100,MATCH($A17,警職大表!$A$1:$A$100,0),   MATCH(AF$1,警職大表!$A$3:$AZ$3,0)  )=0,"",INDEX(警職大表!$A$1:$AZ$100,MATCH($A17,警職大表!$A$1:$A$100,0),   MATCH(AF$1,警職大表!$A$3:$AZ$3,0)  ) )    ),"")</f>
        <v>支援秘書室</v>
      </c>
      <c r="AG17" s="271" t="str">
        <f>_xlfn.IFNA(   IF(   IF(  INDEX(警職大表!$A$1:$AZ$100,MATCH($A17,警職大表!$A$1:$A$100,0),   MATCH(AG$1,警職大表!$A$3:$AZ$3,0)  )=0,"",INDEX(警職大表!$A$1:$AZ$100,MATCH($A17,警職大表!$A$1:$A$100,0),   MATCH(AG$1,警職大表!$A$3:$AZ$3,0)  )        )="",AF17,  IF(  INDEX(警職大表!$A$1:$AZ$100,MATCH($A17,警職大表!$A$1:$A$100,0),   MATCH(AG$1,警職大表!$A$3:$AZ$3,0)  )=0,"",INDEX(警職大表!$A$1:$AZ$100,MATCH($A17,警職大表!$A$1:$A$100,0),   MATCH(AG$1,警職大表!$A$3:$AZ$3,0)  ) )    ),"")</f>
        <v>支援秘書室</v>
      </c>
      <c r="AL17" s="271">
        <f t="shared" si="0"/>
        <v>53</v>
      </c>
      <c r="AM17" s="271" t="str">
        <f t="shared" si="1"/>
        <v>鄒本強</v>
      </c>
      <c r="AN17" s="271" t="str">
        <f>INDEX(   $A$41:$AG$78, MATCH(AL17,$A$41:$A$78,0),MATCH(  DAY(勤務分配表!$AN$1),$A$41:$AL$41,0  )  )</f>
        <v>支援總(大)隊</v>
      </c>
      <c r="AO17" s="271" t="str">
        <f>IF((ROW(AO17)-1)&lt;=日期輸入!$B$5,_xlfn.IFNA(IF(INDEX($A$1:$AG$40,MATCH($AM17,$B$1:$B$100,0),VALUE($AO$1+3))="成","補",INDEX($A$1:$AG$40,MATCH($AM17,$B$1:$B$100,0),VALUE($AO$1+3))),""),"")</f>
        <v>支援秘書室</v>
      </c>
      <c r="AP17" s="271" t="str">
        <f>IF((ROW(AP17)-1)&lt;=日期輸入!$B$5,_xlfn.IFNA(IF(INDEX($A$1:$AG$40,MATCH($AM17,$B$1:$B$100,0),VALUE($AP$1+3))="成","補",INDEX($A$1:$AG$40,MATCH($AM17,$B$1:$B$100,0),VALUE($AP$1+3))),""),"")</f>
        <v>支援秘書室</v>
      </c>
      <c r="AQ17" s="271" t="str">
        <f>IF((ROW(AQ17)-1)&lt;=日期輸入!$B$5,_xlfn.IFNA(IF(INDEX($A$1:$AG$40,MATCH($AM17,$B$1:$B$100,0),VALUE($AQ$1+3))="成","補",INDEX($A$1:$AG$40,MATCH($AM17,$B$1:$B$100,0),VALUE($AQ$1+3))),""),"")</f>
        <v>支援秘書室</v>
      </c>
    </row>
    <row r="18" spans="1:43">
      <c r="A18" s="271">
        <f>IF(  (ROW(A18)-1)&lt;=日期輸入!$B$5,勤務分配!A18,"")</f>
        <v>54</v>
      </c>
      <c r="B18" s="271" t="str">
        <f>_xlfn.IFNA(  INDEX(警職大表!$A$1:$AZ$100,MATCH(A18,警職大表!$A$1:$A$100,0),3),"")</f>
        <v>王俊欽</v>
      </c>
      <c r="C18" s="271" t="str">
        <f>_xlfn.IFNA(   IF(   IF(  INDEX(警職大表!$A$1:$AZ$100,MATCH($A18,警職大表!$A$1:$A$100,0),   MATCH(C$1,警職大表!$A$3:$AZ$3,0)  )=0,"",INDEX(警職大表!$A$1:$AZ$100,MATCH($A18,警職大表!$A$1:$A$100,0),   MATCH(C$1,警職大表!$A$3:$AZ$3,0)  )        )="",B18,  IF(  INDEX(警職大表!$A$1:$AZ$100,MATCH($A18,警職大表!$A$1:$A$100,0),   MATCH(C$1,警職大表!$A$3:$AZ$3,0)  )=0,"",INDEX(警職大表!$A$1:$AZ$100,MATCH($A18,警職大表!$A$1:$A$100,0),   MATCH(C$1,警職大表!$A$3:$AZ$3,0)  ) )    ),"")</f>
        <v>支援出納室</v>
      </c>
      <c r="D18" s="271" t="str">
        <f>_xlfn.IFNA(   IF(   IF(  INDEX(警職大表!$A$1:$AZ$100,MATCH($A18,警職大表!$A$1:$A$100,0),   MATCH(D$1,警職大表!$A$3:$AZ$3,0)  )=0,"",INDEX(警職大表!$A$1:$AZ$100,MATCH($A18,警職大表!$A$1:$A$100,0),   MATCH(D$1,警職大表!$A$3:$AZ$3,0)  )        )="",C18,  IF(  INDEX(警職大表!$A$1:$AZ$100,MATCH($A18,警職大表!$A$1:$A$100,0),   MATCH(D$1,警職大表!$A$3:$AZ$3,0)  )=0,"",INDEX(警職大表!$A$1:$AZ$100,MATCH($A18,警職大表!$A$1:$A$100,0),   MATCH(D$1,警職大表!$A$3:$AZ$3,0)  ) )    ),"")</f>
        <v>支援出納室</v>
      </c>
      <c r="E18" s="271" t="str">
        <f>_xlfn.IFNA(   IF(   IF(  INDEX(警職大表!$A$1:$AZ$100,MATCH($A18,警職大表!$A$1:$A$100,0),   MATCH(E$1,警職大表!$A$3:$AZ$3,0)  )=0,"",INDEX(警職大表!$A$1:$AZ$100,MATCH($A18,警職大表!$A$1:$A$100,0),   MATCH(E$1,警職大表!$A$3:$AZ$3,0)  )        )="",D18,  IF(  INDEX(警職大表!$A$1:$AZ$100,MATCH($A18,警職大表!$A$1:$A$100,0),   MATCH(E$1,警職大表!$A$3:$AZ$3,0)  )=0,"",INDEX(警職大表!$A$1:$AZ$100,MATCH($A18,警職大表!$A$1:$A$100,0),   MATCH(E$1,警職大表!$A$3:$AZ$3,0)  ) )    ),"")</f>
        <v>支援出納室</v>
      </c>
      <c r="F18" s="271" t="str">
        <f>_xlfn.IFNA(   IF(   IF(  INDEX(警職大表!$A$1:$AZ$100,MATCH($A18,警職大表!$A$1:$A$100,0),   MATCH(F$1,警職大表!$A$3:$AZ$3,0)  )=0,"",INDEX(警職大表!$A$1:$AZ$100,MATCH($A18,警職大表!$A$1:$A$100,0),   MATCH(F$1,警職大表!$A$3:$AZ$3,0)  )        )="",E18,  IF(  INDEX(警職大表!$A$1:$AZ$100,MATCH($A18,警職大表!$A$1:$A$100,0),   MATCH(F$1,警職大表!$A$3:$AZ$3,0)  )=0,"",INDEX(警職大表!$A$1:$AZ$100,MATCH($A18,警職大表!$A$1:$A$100,0),   MATCH(F$1,警職大表!$A$3:$AZ$3,0)  ) )    ),"")</f>
        <v>支援出納室</v>
      </c>
      <c r="G18" s="271" t="str">
        <f>_xlfn.IFNA(   IF(   IF(  INDEX(警職大表!$A$1:$AZ$100,MATCH($A18,警職大表!$A$1:$A$100,0),   MATCH(G$1,警職大表!$A$3:$AZ$3,0)  )=0,"",INDEX(警職大表!$A$1:$AZ$100,MATCH($A18,警職大表!$A$1:$A$100,0),   MATCH(G$1,警職大表!$A$3:$AZ$3,0)  )        )="",F18,  IF(  INDEX(警職大表!$A$1:$AZ$100,MATCH($A18,警職大表!$A$1:$A$100,0),   MATCH(G$1,警職大表!$A$3:$AZ$3,0)  )=0,"",INDEX(警職大表!$A$1:$AZ$100,MATCH($A18,警職大表!$A$1:$A$100,0),   MATCH(G$1,警職大表!$A$3:$AZ$3,0)  ) )    ),"")</f>
        <v>支援出納室</v>
      </c>
      <c r="H18" s="271" t="str">
        <f>_xlfn.IFNA(   IF(   IF(  INDEX(警職大表!$A$1:$AZ$100,MATCH($A18,警職大表!$A$1:$A$100,0),   MATCH(H$1,警職大表!$A$3:$AZ$3,0)  )=0,"",INDEX(警職大表!$A$1:$AZ$100,MATCH($A18,警職大表!$A$1:$A$100,0),   MATCH(H$1,警職大表!$A$3:$AZ$3,0)  )        )="",G18,  IF(  INDEX(警職大表!$A$1:$AZ$100,MATCH($A18,警職大表!$A$1:$A$100,0),   MATCH(H$1,警職大表!$A$3:$AZ$3,0)  )=0,"",INDEX(警職大表!$A$1:$AZ$100,MATCH($A18,警職大表!$A$1:$A$100,0),   MATCH(H$1,警職大表!$A$3:$AZ$3,0)  ) )    ),"")</f>
        <v>支援出納室</v>
      </c>
      <c r="I18" s="271" t="str">
        <f>_xlfn.IFNA(   IF(   IF(  INDEX(警職大表!$A$1:$AZ$100,MATCH($A18,警職大表!$A$1:$A$100,0),   MATCH(I$1,警職大表!$A$3:$AZ$3,0)  )=0,"",INDEX(警職大表!$A$1:$AZ$100,MATCH($A18,警職大表!$A$1:$A$100,0),   MATCH(I$1,警職大表!$A$3:$AZ$3,0)  )        )="",H18,  IF(  INDEX(警職大表!$A$1:$AZ$100,MATCH($A18,警職大表!$A$1:$A$100,0),   MATCH(I$1,警職大表!$A$3:$AZ$3,0)  )=0,"",INDEX(警職大表!$A$1:$AZ$100,MATCH($A18,警職大表!$A$1:$A$100,0),   MATCH(I$1,警職大表!$A$3:$AZ$3,0)  ) )    ),"")</f>
        <v>支援出納室</v>
      </c>
      <c r="J18" s="271" t="str">
        <f>_xlfn.IFNA(   IF(   IF(  INDEX(警職大表!$A$1:$AZ$100,MATCH($A18,警職大表!$A$1:$A$100,0),   MATCH(J$1,警職大表!$A$3:$AZ$3,0)  )=0,"",INDEX(警職大表!$A$1:$AZ$100,MATCH($A18,警職大表!$A$1:$A$100,0),   MATCH(J$1,警職大表!$A$3:$AZ$3,0)  )        )="",I18,  IF(  INDEX(警職大表!$A$1:$AZ$100,MATCH($A18,警職大表!$A$1:$A$100,0),   MATCH(J$1,警職大表!$A$3:$AZ$3,0)  )=0,"",INDEX(警職大表!$A$1:$AZ$100,MATCH($A18,警職大表!$A$1:$A$100,0),   MATCH(J$1,警職大表!$A$3:$AZ$3,0)  ) )    ),"")</f>
        <v>支援出納室</v>
      </c>
      <c r="K18" s="271" t="str">
        <f>_xlfn.IFNA(   IF(   IF(  INDEX(警職大表!$A$1:$AZ$100,MATCH($A18,警職大表!$A$1:$A$100,0),   MATCH(K$1,警職大表!$A$3:$AZ$3,0)  )=0,"",INDEX(警職大表!$A$1:$AZ$100,MATCH($A18,警職大表!$A$1:$A$100,0),   MATCH(K$1,警職大表!$A$3:$AZ$3,0)  )        )="",J18,  IF(  INDEX(警職大表!$A$1:$AZ$100,MATCH($A18,警職大表!$A$1:$A$100,0),   MATCH(K$1,警職大表!$A$3:$AZ$3,0)  )=0,"",INDEX(警職大表!$A$1:$AZ$100,MATCH($A18,警職大表!$A$1:$A$100,0),   MATCH(K$1,警職大表!$A$3:$AZ$3,0)  ) )    ),"")</f>
        <v>支援出納室</v>
      </c>
      <c r="L18" s="271" t="str">
        <f>_xlfn.IFNA(   IF(   IF(  INDEX(警職大表!$A$1:$AZ$100,MATCH($A18,警職大表!$A$1:$A$100,0),   MATCH(L$1,警職大表!$A$3:$AZ$3,0)  )=0,"",INDEX(警職大表!$A$1:$AZ$100,MATCH($A18,警職大表!$A$1:$A$100,0),   MATCH(L$1,警職大表!$A$3:$AZ$3,0)  )        )="",K18,  IF(  INDEX(警職大表!$A$1:$AZ$100,MATCH($A18,警職大表!$A$1:$A$100,0),   MATCH(L$1,警職大表!$A$3:$AZ$3,0)  )=0,"",INDEX(警職大表!$A$1:$AZ$100,MATCH($A18,警職大表!$A$1:$A$100,0),   MATCH(L$1,警職大表!$A$3:$AZ$3,0)  ) )    ),"")</f>
        <v>支援出納室</v>
      </c>
      <c r="M18" s="271" t="str">
        <f>_xlfn.IFNA(   IF(   IF(  INDEX(警職大表!$A$1:$AZ$100,MATCH($A18,警職大表!$A$1:$A$100,0),   MATCH(M$1,警職大表!$A$3:$AZ$3,0)  )=0,"",INDEX(警職大表!$A$1:$AZ$100,MATCH($A18,警職大表!$A$1:$A$100,0),   MATCH(M$1,警職大表!$A$3:$AZ$3,0)  )        )="",L18,  IF(  INDEX(警職大表!$A$1:$AZ$100,MATCH($A18,警職大表!$A$1:$A$100,0),   MATCH(M$1,警職大表!$A$3:$AZ$3,0)  )=0,"",INDEX(警職大表!$A$1:$AZ$100,MATCH($A18,警職大表!$A$1:$A$100,0),   MATCH(M$1,警職大表!$A$3:$AZ$3,0)  ) )    ),"")</f>
        <v>支援出納室</v>
      </c>
      <c r="N18" s="271" t="str">
        <f>_xlfn.IFNA(   IF(   IF(  INDEX(警職大表!$A$1:$AZ$100,MATCH($A18,警職大表!$A$1:$A$100,0),   MATCH(N$1,警職大表!$A$3:$AZ$3,0)  )=0,"",INDEX(警職大表!$A$1:$AZ$100,MATCH($A18,警職大表!$A$1:$A$100,0),   MATCH(N$1,警職大表!$A$3:$AZ$3,0)  )        )="",M18,  IF(  INDEX(警職大表!$A$1:$AZ$100,MATCH($A18,警職大表!$A$1:$A$100,0),   MATCH(N$1,警職大表!$A$3:$AZ$3,0)  )=0,"",INDEX(警職大表!$A$1:$AZ$100,MATCH($A18,警職大表!$A$1:$A$100,0),   MATCH(N$1,警職大表!$A$3:$AZ$3,0)  ) )    ),"")</f>
        <v>支援出納室</v>
      </c>
      <c r="O18" s="271" t="str">
        <f>_xlfn.IFNA(   IF(   IF(  INDEX(警職大表!$A$1:$AZ$100,MATCH($A18,警職大表!$A$1:$A$100,0),   MATCH(O$1,警職大表!$A$3:$AZ$3,0)  )=0,"",INDEX(警職大表!$A$1:$AZ$100,MATCH($A18,警職大表!$A$1:$A$100,0),   MATCH(O$1,警職大表!$A$3:$AZ$3,0)  )        )="",N18,  IF(  INDEX(警職大表!$A$1:$AZ$100,MATCH($A18,警職大表!$A$1:$A$100,0),   MATCH(O$1,警職大表!$A$3:$AZ$3,0)  )=0,"",INDEX(警職大表!$A$1:$AZ$100,MATCH($A18,警職大表!$A$1:$A$100,0),   MATCH(O$1,警職大表!$A$3:$AZ$3,0)  ) )    ),"")</f>
        <v>支援出納室</v>
      </c>
      <c r="P18" s="271" t="str">
        <f>_xlfn.IFNA(   IF(   IF(  INDEX(警職大表!$A$1:$AZ$100,MATCH($A18,警職大表!$A$1:$A$100,0),   MATCH(P$1,警職大表!$A$3:$AZ$3,0)  )=0,"",INDEX(警職大表!$A$1:$AZ$100,MATCH($A18,警職大表!$A$1:$A$100,0),   MATCH(P$1,警職大表!$A$3:$AZ$3,0)  )        )="",O18,  IF(  INDEX(警職大表!$A$1:$AZ$100,MATCH($A18,警職大表!$A$1:$A$100,0),   MATCH(P$1,警職大表!$A$3:$AZ$3,0)  )=0,"",INDEX(警職大表!$A$1:$AZ$100,MATCH($A18,警職大表!$A$1:$A$100,0),   MATCH(P$1,警職大表!$A$3:$AZ$3,0)  ) )    ),"")</f>
        <v>支援出納室</v>
      </c>
      <c r="Q18" s="271" t="str">
        <f>_xlfn.IFNA(   IF(   IF(  INDEX(警職大表!$A$1:$AZ$100,MATCH($A18,警職大表!$A$1:$A$100,0),   MATCH(Q$1,警職大表!$A$3:$AZ$3,0)  )=0,"",INDEX(警職大表!$A$1:$AZ$100,MATCH($A18,警職大表!$A$1:$A$100,0),   MATCH(Q$1,警職大表!$A$3:$AZ$3,0)  )        )="",P18,  IF(  INDEX(警職大表!$A$1:$AZ$100,MATCH($A18,警職大表!$A$1:$A$100,0),   MATCH(Q$1,警職大表!$A$3:$AZ$3,0)  )=0,"",INDEX(警職大表!$A$1:$AZ$100,MATCH($A18,警職大表!$A$1:$A$100,0),   MATCH(Q$1,警職大表!$A$3:$AZ$3,0)  ) )    ),"")</f>
        <v>支援出納室</v>
      </c>
      <c r="R18" s="271" t="str">
        <f>_xlfn.IFNA(   IF(   IF(  INDEX(警職大表!$A$1:$AZ$100,MATCH($A18,警職大表!$A$1:$A$100,0),   MATCH(R$1,警職大表!$A$3:$AZ$3,0)  )=0,"",INDEX(警職大表!$A$1:$AZ$100,MATCH($A18,警職大表!$A$1:$A$100,0),   MATCH(R$1,警職大表!$A$3:$AZ$3,0)  )        )="",Q18,  IF(  INDEX(警職大表!$A$1:$AZ$100,MATCH($A18,警職大表!$A$1:$A$100,0),   MATCH(R$1,警職大表!$A$3:$AZ$3,0)  )=0,"",INDEX(警職大表!$A$1:$AZ$100,MATCH($A18,警職大表!$A$1:$A$100,0),   MATCH(R$1,警職大表!$A$3:$AZ$3,0)  ) )    ),"")</f>
        <v>支援出納室</v>
      </c>
      <c r="S18" s="271" t="str">
        <f>_xlfn.IFNA(   IF(   IF(  INDEX(警職大表!$A$1:$AZ$100,MATCH($A18,警職大表!$A$1:$A$100,0),   MATCH(S$1,警職大表!$A$3:$AZ$3,0)  )=0,"",INDEX(警職大表!$A$1:$AZ$100,MATCH($A18,警職大表!$A$1:$A$100,0),   MATCH(S$1,警職大表!$A$3:$AZ$3,0)  )        )="",R18,  IF(  INDEX(警職大表!$A$1:$AZ$100,MATCH($A18,警職大表!$A$1:$A$100,0),   MATCH(S$1,警職大表!$A$3:$AZ$3,0)  )=0,"",INDEX(警職大表!$A$1:$AZ$100,MATCH($A18,警職大表!$A$1:$A$100,0),   MATCH(S$1,警職大表!$A$3:$AZ$3,0)  ) )    ),"")</f>
        <v>支援出納室</v>
      </c>
      <c r="T18" s="271" t="str">
        <f>_xlfn.IFNA(   IF(   IF(  INDEX(警職大表!$A$1:$AZ$100,MATCH($A18,警職大表!$A$1:$A$100,0),   MATCH(T$1,警職大表!$A$3:$AZ$3,0)  )=0,"",INDEX(警職大表!$A$1:$AZ$100,MATCH($A18,警職大表!$A$1:$A$100,0),   MATCH(T$1,警職大表!$A$3:$AZ$3,0)  )        )="",S18,  IF(  INDEX(警職大表!$A$1:$AZ$100,MATCH($A18,警職大表!$A$1:$A$100,0),   MATCH(T$1,警職大表!$A$3:$AZ$3,0)  )=0,"",INDEX(警職大表!$A$1:$AZ$100,MATCH($A18,警職大表!$A$1:$A$100,0),   MATCH(T$1,警職大表!$A$3:$AZ$3,0)  ) )    ),"")</f>
        <v>支援出納室</v>
      </c>
      <c r="U18" s="271" t="str">
        <f>_xlfn.IFNA(   IF(   IF(  INDEX(警職大表!$A$1:$AZ$100,MATCH($A18,警職大表!$A$1:$A$100,0),   MATCH(U$1,警職大表!$A$3:$AZ$3,0)  )=0,"",INDEX(警職大表!$A$1:$AZ$100,MATCH($A18,警職大表!$A$1:$A$100,0),   MATCH(U$1,警職大表!$A$3:$AZ$3,0)  )        )="",T18,  IF(  INDEX(警職大表!$A$1:$AZ$100,MATCH($A18,警職大表!$A$1:$A$100,0),   MATCH(U$1,警職大表!$A$3:$AZ$3,0)  )=0,"",INDEX(警職大表!$A$1:$AZ$100,MATCH($A18,警職大表!$A$1:$A$100,0),   MATCH(U$1,警職大表!$A$3:$AZ$3,0)  ) )    ),"")</f>
        <v>支援出納室</v>
      </c>
      <c r="V18" s="271" t="str">
        <f>_xlfn.IFNA(   IF(   IF(  INDEX(警職大表!$A$1:$AZ$100,MATCH($A18,警職大表!$A$1:$A$100,0),   MATCH(V$1,警職大表!$A$3:$AZ$3,0)  )=0,"",INDEX(警職大表!$A$1:$AZ$100,MATCH($A18,警職大表!$A$1:$A$100,0),   MATCH(V$1,警職大表!$A$3:$AZ$3,0)  )        )="",U18,  IF(  INDEX(警職大表!$A$1:$AZ$100,MATCH($A18,警職大表!$A$1:$A$100,0),   MATCH(V$1,警職大表!$A$3:$AZ$3,0)  )=0,"",INDEX(警職大表!$A$1:$AZ$100,MATCH($A18,警職大表!$A$1:$A$100,0),   MATCH(V$1,警職大表!$A$3:$AZ$3,0)  ) )    ),"")</f>
        <v>支援出納室</v>
      </c>
      <c r="W18" s="271" t="str">
        <f>_xlfn.IFNA(   IF(   IF(  INDEX(警職大表!$A$1:$AZ$100,MATCH($A18,警職大表!$A$1:$A$100,0),   MATCH(W$1,警職大表!$A$3:$AZ$3,0)  )=0,"",INDEX(警職大表!$A$1:$AZ$100,MATCH($A18,警職大表!$A$1:$A$100,0),   MATCH(W$1,警職大表!$A$3:$AZ$3,0)  )        )="",V18,  IF(  INDEX(警職大表!$A$1:$AZ$100,MATCH($A18,警職大表!$A$1:$A$100,0),   MATCH(W$1,警職大表!$A$3:$AZ$3,0)  )=0,"",INDEX(警職大表!$A$1:$AZ$100,MATCH($A18,警職大表!$A$1:$A$100,0),   MATCH(W$1,警職大表!$A$3:$AZ$3,0)  ) )    ),"")</f>
        <v>支援出納室</v>
      </c>
      <c r="X18" s="271" t="str">
        <f>_xlfn.IFNA(   IF(   IF(  INDEX(警職大表!$A$1:$AZ$100,MATCH($A18,警職大表!$A$1:$A$100,0),   MATCH(X$1,警職大表!$A$3:$AZ$3,0)  )=0,"",INDEX(警職大表!$A$1:$AZ$100,MATCH($A18,警職大表!$A$1:$A$100,0),   MATCH(X$1,警職大表!$A$3:$AZ$3,0)  )        )="",W18,  IF(  INDEX(警職大表!$A$1:$AZ$100,MATCH($A18,警職大表!$A$1:$A$100,0),   MATCH(X$1,警職大表!$A$3:$AZ$3,0)  )=0,"",INDEX(警職大表!$A$1:$AZ$100,MATCH($A18,警職大表!$A$1:$A$100,0),   MATCH(X$1,警職大表!$A$3:$AZ$3,0)  ) )    ),"")</f>
        <v>支援出納室</v>
      </c>
      <c r="Y18" s="271" t="str">
        <f>_xlfn.IFNA(   IF(   IF(  INDEX(警職大表!$A$1:$AZ$100,MATCH($A18,警職大表!$A$1:$A$100,0),   MATCH(Y$1,警職大表!$A$3:$AZ$3,0)  )=0,"",INDEX(警職大表!$A$1:$AZ$100,MATCH($A18,警職大表!$A$1:$A$100,0),   MATCH(Y$1,警職大表!$A$3:$AZ$3,0)  )        )="",X18,  IF(  INDEX(警職大表!$A$1:$AZ$100,MATCH($A18,警職大表!$A$1:$A$100,0),   MATCH(Y$1,警職大表!$A$3:$AZ$3,0)  )=0,"",INDEX(警職大表!$A$1:$AZ$100,MATCH($A18,警職大表!$A$1:$A$100,0),   MATCH(Y$1,警職大表!$A$3:$AZ$3,0)  ) )    ),"")</f>
        <v>支援出納室</v>
      </c>
      <c r="Z18" s="271" t="str">
        <f>_xlfn.IFNA(   IF(   IF(  INDEX(警職大表!$A$1:$AZ$100,MATCH($A18,警職大表!$A$1:$A$100,0),   MATCH(Z$1,警職大表!$A$3:$AZ$3,0)  )=0,"",INDEX(警職大表!$A$1:$AZ$100,MATCH($A18,警職大表!$A$1:$A$100,0),   MATCH(Z$1,警職大表!$A$3:$AZ$3,0)  )        )="",Y18,  IF(  INDEX(警職大表!$A$1:$AZ$100,MATCH($A18,警職大表!$A$1:$A$100,0),   MATCH(Z$1,警職大表!$A$3:$AZ$3,0)  )=0,"",INDEX(警職大表!$A$1:$AZ$100,MATCH($A18,警職大表!$A$1:$A$100,0),   MATCH(Z$1,警職大表!$A$3:$AZ$3,0)  ) )    ),"")</f>
        <v>支援出納室</v>
      </c>
      <c r="AA18" s="271" t="str">
        <f>_xlfn.IFNA(   IF(   IF(  INDEX(警職大表!$A$1:$AZ$100,MATCH($A18,警職大表!$A$1:$A$100,0),   MATCH(AA$1,警職大表!$A$3:$AZ$3,0)  )=0,"",INDEX(警職大表!$A$1:$AZ$100,MATCH($A18,警職大表!$A$1:$A$100,0),   MATCH(AA$1,警職大表!$A$3:$AZ$3,0)  )        )="",Z18,  IF(  INDEX(警職大表!$A$1:$AZ$100,MATCH($A18,警職大表!$A$1:$A$100,0),   MATCH(AA$1,警職大表!$A$3:$AZ$3,0)  )=0,"",INDEX(警職大表!$A$1:$AZ$100,MATCH($A18,警職大表!$A$1:$A$100,0),   MATCH(AA$1,警職大表!$A$3:$AZ$3,0)  ) )    ),"")</f>
        <v>支援出納室</v>
      </c>
      <c r="AB18" s="271" t="str">
        <f>_xlfn.IFNA(   IF(   IF(  INDEX(警職大表!$A$1:$AZ$100,MATCH($A18,警職大表!$A$1:$A$100,0),   MATCH(AB$1,警職大表!$A$3:$AZ$3,0)  )=0,"",INDEX(警職大表!$A$1:$AZ$100,MATCH($A18,警職大表!$A$1:$A$100,0),   MATCH(AB$1,警職大表!$A$3:$AZ$3,0)  )        )="",AA18,  IF(  INDEX(警職大表!$A$1:$AZ$100,MATCH($A18,警職大表!$A$1:$A$100,0),   MATCH(AB$1,警職大表!$A$3:$AZ$3,0)  )=0,"",INDEX(警職大表!$A$1:$AZ$100,MATCH($A18,警職大表!$A$1:$A$100,0),   MATCH(AB$1,警職大表!$A$3:$AZ$3,0)  ) )    ),"")</f>
        <v>支援出納室</v>
      </c>
      <c r="AC18" s="271" t="str">
        <f>_xlfn.IFNA(   IF(   IF(  INDEX(警職大表!$A$1:$AZ$100,MATCH($A18,警職大表!$A$1:$A$100,0),   MATCH(AC$1,警職大表!$A$3:$AZ$3,0)  )=0,"",INDEX(警職大表!$A$1:$AZ$100,MATCH($A18,警職大表!$A$1:$A$100,0),   MATCH(AC$1,警職大表!$A$3:$AZ$3,0)  )        )="",AB18,  IF(  INDEX(警職大表!$A$1:$AZ$100,MATCH($A18,警職大表!$A$1:$A$100,0),   MATCH(AC$1,警職大表!$A$3:$AZ$3,0)  )=0,"",INDEX(警職大表!$A$1:$AZ$100,MATCH($A18,警職大表!$A$1:$A$100,0),   MATCH(AC$1,警職大表!$A$3:$AZ$3,0)  ) )    ),"")</f>
        <v>支援出納室</v>
      </c>
      <c r="AD18" s="271" t="str">
        <f>_xlfn.IFNA(   IF(   IF(  INDEX(警職大表!$A$1:$AZ$100,MATCH($A18,警職大表!$A$1:$A$100,0),   MATCH(AD$1,警職大表!$A$3:$AZ$3,0)  )=0,"",INDEX(警職大表!$A$1:$AZ$100,MATCH($A18,警職大表!$A$1:$A$100,0),   MATCH(AD$1,警職大表!$A$3:$AZ$3,0)  )        )="",AC18,  IF(  INDEX(警職大表!$A$1:$AZ$100,MATCH($A18,警職大表!$A$1:$A$100,0),   MATCH(AD$1,警職大表!$A$3:$AZ$3,0)  )=0,"",INDEX(警職大表!$A$1:$AZ$100,MATCH($A18,警職大表!$A$1:$A$100,0),   MATCH(AD$1,警職大表!$A$3:$AZ$3,0)  ) )    ),"")</f>
        <v>支援出納室</v>
      </c>
      <c r="AE18" s="271" t="str">
        <f>_xlfn.IFNA(   IF(   IF(  INDEX(警職大表!$A$1:$AZ$100,MATCH($A18,警職大表!$A$1:$A$100,0),   MATCH(AE$1,警職大表!$A$3:$AZ$3,0)  )=0,"",INDEX(警職大表!$A$1:$AZ$100,MATCH($A18,警職大表!$A$1:$A$100,0),   MATCH(AE$1,警職大表!$A$3:$AZ$3,0)  )        )="",AD18,  IF(  INDEX(警職大表!$A$1:$AZ$100,MATCH($A18,警職大表!$A$1:$A$100,0),   MATCH(AE$1,警職大表!$A$3:$AZ$3,0)  )=0,"",INDEX(警職大表!$A$1:$AZ$100,MATCH($A18,警職大表!$A$1:$A$100,0),   MATCH(AE$1,警職大表!$A$3:$AZ$3,0)  ) )    ),"")</f>
        <v>支援出納室</v>
      </c>
      <c r="AF18" s="271" t="str">
        <f>_xlfn.IFNA(   IF(   IF(  INDEX(警職大表!$A$1:$AZ$100,MATCH($A18,警職大表!$A$1:$A$100,0),   MATCH(AF$1,警職大表!$A$3:$AZ$3,0)  )=0,"",INDEX(警職大表!$A$1:$AZ$100,MATCH($A18,警職大表!$A$1:$A$100,0),   MATCH(AF$1,警職大表!$A$3:$AZ$3,0)  )        )="",AE18,  IF(  INDEX(警職大表!$A$1:$AZ$100,MATCH($A18,警職大表!$A$1:$A$100,0),   MATCH(AF$1,警職大表!$A$3:$AZ$3,0)  )=0,"",INDEX(警職大表!$A$1:$AZ$100,MATCH($A18,警職大表!$A$1:$A$100,0),   MATCH(AF$1,警職大表!$A$3:$AZ$3,0)  ) )    ),"")</f>
        <v>支援出納室</v>
      </c>
      <c r="AG18" s="271" t="str">
        <f>_xlfn.IFNA(   IF(   IF(  INDEX(警職大表!$A$1:$AZ$100,MATCH($A18,警職大表!$A$1:$A$100,0),   MATCH(AG$1,警職大表!$A$3:$AZ$3,0)  )=0,"",INDEX(警職大表!$A$1:$AZ$100,MATCH($A18,警職大表!$A$1:$A$100,0),   MATCH(AG$1,警職大表!$A$3:$AZ$3,0)  )        )="",AF18,  IF(  INDEX(警職大表!$A$1:$AZ$100,MATCH($A18,警職大表!$A$1:$A$100,0),   MATCH(AG$1,警職大表!$A$3:$AZ$3,0)  )=0,"",INDEX(警職大表!$A$1:$AZ$100,MATCH($A18,警職大表!$A$1:$A$100,0),   MATCH(AG$1,警職大表!$A$3:$AZ$3,0)  ) )    ),"")</f>
        <v>支援出納室</v>
      </c>
      <c r="AL18" s="271">
        <f t="shared" si="0"/>
        <v>54</v>
      </c>
      <c r="AM18" s="271" t="str">
        <f t="shared" si="1"/>
        <v>王俊欽</v>
      </c>
      <c r="AN18" s="271" t="str">
        <f>INDEX(   $A$41:$AG$78, MATCH(AL18,$A$41:$A$78,0),MATCH(  DAY(勤務分配表!$AN$1),$A$41:$AL$41,0  )  )</f>
        <v>支援總(大)隊</v>
      </c>
      <c r="AO18" s="271" t="str">
        <f>IF((ROW(AO18)-1)&lt;=日期輸入!$B$5,_xlfn.IFNA(IF(INDEX($A$1:$AG$40,MATCH($AM18,$B$1:$B$100,0),VALUE($AO$1+3))="成","補",INDEX($A$1:$AG$40,MATCH($AM18,$B$1:$B$100,0),VALUE($AO$1+3))),""),"")</f>
        <v>支援出納室</v>
      </c>
      <c r="AP18" s="271" t="str">
        <f>IF((ROW(AP18)-1)&lt;=日期輸入!$B$5,_xlfn.IFNA(IF(INDEX($A$1:$AG$40,MATCH($AM18,$B$1:$B$100,0),VALUE($AP$1+3))="成","補",INDEX($A$1:$AG$40,MATCH($AM18,$B$1:$B$100,0),VALUE($AP$1+3))),""),"")</f>
        <v>支援出納室</v>
      </c>
      <c r="AQ18" s="271" t="str">
        <f>IF((ROW(AQ18)-1)&lt;=日期輸入!$B$5,_xlfn.IFNA(IF(INDEX($A$1:$AG$40,MATCH($AM18,$B$1:$B$100,0),VALUE($AQ$1+3))="成","補",INDEX($A$1:$AG$40,MATCH($AM18,$B$1:$B$100,0),VALUE($AQ$1+3))),""),"")</f>
        <v>支援出納室</v>
      </c>
    </row>
    <row r="19" spans="1:43">
      <c r="A19" s="271">
        <f>IF(  (ROW(A19)-1)&lt;=日期輸入!$B$5,勤務分配!A19,"")</f>
        <v>55</v>
      </c>
      <c r="B19" s="271" t="str">
        <f>_xlfn.IFNA(  INDEX(警職大表!$A$1:$AZ$100,MATCH(A19,警職大表!$A$1:$A$100,0),3),"")</f>
        <v>林明慧</v>
      </c>
      <c r="C19" s="271" t="str">
        <f>_xlfn.IFNA(   IF(   IF(  INDEX(警職大表!$A$1:$AZ$100,MATCH($A19,警職大表!$A$1:$A$100,0),   MATCH(C$1,警職大表!$A$3:$AZ$3,0)  )=0,"",INDEX(警職大表!$A$1:$AZ$100,MATCH($A19,警職大表!$A$1:$A$100,0),   MATCH(C$1,警職大表!$A$3:$AZ$3,0)  )        )="",B19,  IF(  INDEX(警職大表!$A$1:$AZ$100,MATCH($A19,警職大表!$A$1:$A$100,0),   MATCH(C$1,警職大表!$A$3:$AZ$3,0)  )=0,"",INDEX(警職大表!$A$1:$AZ$100,MATCH($A19,警職大表!$A$1:$A$100,0),   MATCH(C$1,警職大表!$A$3:$AZ$3,0)  ) )    ),"")</f>
        <v>支援警務科</v>
      </c>
      <c r="D19" s="271" t="str">
        <f>_xlfn.IFNA(   IF(   IF(  INDEX(警職大表!$A$1:$AZ$100,MATCH($A19,警職大表!$A$1:$A$100,0),   MATCH(D$1,警職大表!$A$3:$AZ$3,0)  )=0,"",INDEX(警職大表!$A$1:$AZ$100,MATCH($A19,警職大表!$A$1:$A$100,0),   MATCH(D$1,警職大表!$A$3:$AZ$3,0)  )        )="",C19,  IF(  INDEX(警職大表!$A$1:$AZ$100,MATCH($A19,警職大表!$A$1:$A$100,0),   MATCH(D$1,警職大表!$A$3:$AZ$3,0)  )=0,"",INDEX(警職大表!$A$1:$AZ$100,MATCH($A19,警職大表!$A$1:$A$100,0),   MATCH(D$1,警職大表!$A$3:$AZ$3,0)  ) )    ),"")</f>
        <v>支援警務科</v>
      </c>
      <c r="E19" s="271" t="str">
        <f>_xlfn.IFNA(   IF(   IF(  INDEX(警職大表!$A$1:$AZ$100,MATCH($A19,警職大表!$A$1:$A$100,0),   MATCH(E$1,警職大表!$A$3:$AZ$3,0)  )=0,"",INDEX(警職大表!$A$1:$AZ$100,MATCH($A19,警職大表!$A$1:$A$100,0),   MATCH(E$1,警職大表!$A$3:$AZ$3,0)  )        )="",D19,  IF(  INDEX(警職大表!$A$1:$AZ$100,MATCH($A19,警職大表!$A$1:$A$100,0),   MATCH(E$1,警職大表!$A$3:$AZ$3,0)  )=0,"",INDEX(警職大表!$A$1:$AZ$100,MATCH($A19,警職大表!$A$1:$A$100,0),   MATCH(E$1,警職大表!$A$3:$AZ$3,0)  ) )    ),"")</f>
        <v>支援警務科</v>
      </c>
      <c r="F19" s="271" t="str">
        <f>_xlfn.IFNA(   IF(   IF(  INDEX(警職大表!$A$1:$AZ$100,MATCH($A19,警職大表!$A$1:$A$100,0),   MATCH(F$1,警職大表!$A$3:$AZ$3,0)  )=0,"",INDEX(警職大表!$A$1:$AZ$100,MATCH($A19,警職大表!$A$1:$A$100,0),   MATCH(F$1,警職大表!$A$3:$AZ$3,0)  )        )="",E19,  IF(  INDEX(警職大表!$A$1:$AZ$100,MATCH($A19,警職大表!$A$1:$A$100,0),   MATCH(F$1,警職大表!$A$3:$AZ$3,0)  )=0,"",INDEX(警職大表!$A$1:$AZ$100,MATCH($A19,警職大表!$A$1:$A$100,0),   MATCH(F$1,警職大表!$A$3:$AZ$3,0)  ) )    ),"")</f>
        <v>支援警務科</v>
      </c>
      <c r="G19" s="271" t="str">
        <f>_xlfn.IFNA(   IF(   IF(  INDEX(警職大表!$A$1:$AZ$100,MATCH($A19,警職大表!$A$1:$A$100,0),   MATCH(G$1,警職大表!$A$3:$AZ$3,0)  )=0,"",INDEX(警職大表!$A$1:$AZ$100,MATCH($A19,警職大表!$A$1:$A$100,0),   MATCH(G$1,警職大表!$A$3:$AZ$3,0)  )        )="",F19,  IF(  INDEX(警職大表!$A$1:$AZ$100,MATCH($A19,警職大表!$A$1:$A$100,0),   MATCH(G$1,警職大表!$A$3:$AZ$3,0)  )=0,"",INDEX(警職大表!$A$1:$AZ$100,MATCH($A19,警職大表!$A$1:$A$100,0),   MATCH(G$1,警職大表!$A$3:$AZ$3,0)  ) )    ),"")</f>
        <v>支援警務科</v>
      </c>
      <c r="H19" s="271" t="str">
        <f>_xlfn.IFNA(   IF(   IF(  INDEX(警職大表!$A$1:$AZ$100,MATCH($A19,警職大表!$A$1:$A$100,0),   MATCH(H$1,警職大表!$A$3:$AZ$3,0)  )=0,"",INDEX(警職大表!$A$1:$AZ$100,MATCH($A19,警職大表!$A$1:$A$100,0),   MATCH(H$1,警職大表!$A$3:$AZ$3,0)  )        )="",G19,  IF(  INDEX(警職大表!$A$1:$AZ$100,MATCH($A19,警職大表!$A$1:$A$100,0),   MATCH(H$1,警職大表!$A$3:$AZ$3,0)  )=0,"",INDEX(警職大表!$A$1:$AZ$100,MATCH($A19,警職大表!$A$1:$A$100,0),   MATCH(H$1,警職大表!$A$3:$AZ$3,0)  ) )    ),"")</f>
        <v>支援警務科</v>
      </c>
      <c r="I19" s="271" t="str">
        <f>_xlfn.IFNA(   IF(   IF(  INDEX(警職大表!$A$1:$AZ$100,MATCH($A19,警職大表!$A$1:$A$100,0),   MATCH(I$1,警職大表!$A$3:$AZ$3,0)  )=0,"",INDEX(警職大表!$A$1:$AZ$100,MATCH($A19,警職大表!$A$1:$A$100,0),   MATCH(I$1,警職大表!$A$3:$AZ$3,0)  )        )="",H19,  IF(  INDEX(警職大表!$A$1:$AZ$100,MATCH($A19,警職大表!$A$1:$A$100,0),   MATCH(I$1,警職大表!$A$3:$AZ$3,0)  )=0,"",INDEX(警職大表!$A$1:$AZ$100,MATCH($A19,警職大表!$A$1:$A$100,0),   MATCH(I$1,警職大表!$A$3:$AZ$3,0)  ) )    ),"")</f>
        <v>支援警務科</v>
      </c>
      <c r="J19" s="271" t="str">
        <f>_xlfn.IFNA(   IF(   IF(  INDEX(警職大表!$A$1:$AZ$100,MATCH($A19,警職大表!$A$1:$A$100,0),   MATCH(J$1,警職大表!$A$3:$AZ$3,0)  )=0,"",INDEX(警職大表!$A$1:$AZ$100,MATCH($A19,警職大表!$A$1:$A$100,0),   MATCH(J$1,警職大表!$A$3:$AZ$3,0)  )        )="",I19,  IF(  INDEX(警職大表!$A$1:$AZ$100,MATCH($A19,警職大表!$A$1:$A$100,0),   MATCH(J$1,警職大表!$A$3:$AZ$3,0)  )=0,"",INDEX(警職大表!$A$1:$AZ$100,MATCH($A19,警職大表!$A$1:$A$100,0),   MATCH(J$1,警職大表!$A$3:$AZ$3,0)  ) )    ),"")</f>
        <v>支援警務科</v>
      </c>
      <c r="K19" s="271" t="str">
        <f>_xlfn.IFNA(   IF(   IF(  INDEX(警職大表!$A$1:$AZ$100,MATCH($A19,警職大表!$A$1:$A$100,0),   MATCH(K$1,警職大表!$A$3:$AZ$3,0)  )=0,"",INDEX(警職大表!$A$1:$AZ$100,MATCH($A19,警職大表!$A$1:$A$100,0),   MATCH(K$1,警職大表!$A$3:$AZ$3,0)  )        )="",J19,  IF(  INDEX(警職大表!$A$1:$AZ$100,MATCH($A19,警職大表!$A$1:$A$100,0),   MATCH(K$1,警職大表!$A$3:$AZ$3,0)  )=0,"",INDEX(警職大表!$A$1:$AZ$100,MATCH($A19,警職大表!$A$1:$A$100,0),   MATCH(K$1,警職大表!$A$3:$AZ$3,0)  ) )    ),"")</f>
        <v>支援警務科</v>
      </c>
      <c r="L19" s="271" t="str">
        <f>_xlfn.IFNA(   IF(   IF(  INDEX(警職大表!$A$1:$AZ$100,MATCH($A19,警職大表!$A$1:$A$100,0),   MATCH(L$1,警職大表!$A$3:$AZ$3,0)  )=0,"",INDEX(警職大表!$A$1:$AZ$100,MATCH($A19,警職大表!$A$1:$A$100,0),   MATCH(L$1,警職大表!$A$3:$AZ$3,0)  )        )="",K19,  IF(  INDEX(警職大表!$A$1:$AZ$100,MATCH($A19,警職大表!$A$1:$A$100,0),   MATCH(L$1,警職大表!$A$3:$AZ$3,0)  )=0,"",INDEX(警職大表!$A$1:$AZ$100,MATCH($A19,警職大表!$A$1:$A$100,0),   MATCH(L$1,警職大表!$A$3:$AZ$3,0)  ) )    ),"")</f>
        <v>支援警務科</v>
      </c>
      <c r="M19" s="271" t="str">
        <f>_xlfn.IFNA(   IF(   IF(  INDEX(警職大表!$A$1:$AZ$100,MATCH($A19,警職大表!$A$1:$A$100,0),   MATCH(M$1,警職大表!$A$3:$AZ$3,0)  )=0,"",INDEX(警職大表!$A$1:$AZ$100,MATCH($A19,警職大表!$A$1:$A$100,0),   MATCH(M$1,警職大表!$A$3:$AZ$3,0)  )        )="",L19,  IF(  INDEX(警職大表!$A$1:$AZ$100,MATCH($A19,警職大表!$A$1:$A$100,0),   MATCH(M$1,警職大表!$A$3:$AZ$3,0)  )=0,"",INDEX(警職大表!$A$1:$AZ$100,MATCH($A19,警職大表!$A$1:$A$100,0),   MATCH(M$1,警職大表!$A$3:$AZ$3,0)  ) )    ),"")</f>
        <v>支援警務科</v>
      </c>
      <c r="N19" s="271" t="str">
        <f>_xlfn.IFNA(   IF(   IF(  INDEX(警職大表!$A$1:$AZ$100,MATCH($A19,警職大表!$A$1:$A$100,0),   MATCH(N$1,警職大表!$A$3:$AZ$3,0)  )=0,"",INDEX(警職大表!$A$1:$AZ$100,MATCH($A19,警職大表!$A$1:$A$100,0),   MATCH(N$1,警職大表!$A$3:$AZ$3,0)  )        )="",M19,  IF(  INDEX(警職大表!$A$1:$AZ$100,MATCH($A19,警職大表!$A$1:$A$100,0),   MATCH(N$1,警職大表!$A$3:$AZ$3,0)  )=0,"",INDEX(警職大表!$A$1:$AZ$100,MATCH($A19,警職大表!$A$1:$A$100,0),   MATCH(N$1,警職大表!$A$3:$AZ$3,0)  ) )    ),"")</f>
        <v>支援警務科</v>
      </c>
      <c r="O19" s="271" t="str">
        <f>_xlfn.IFNA(   IF(   IF(  INDEX(警職大表!$A$1:$AZ$100,MATCH($A19,警職大表!$A$1:$A$100,0),   MATCH(O$1,警職大表!$A$3:$AZ$3,0)  )=0,"",INDEX(警職大表!$A$1:$AZ$100,MATCH($A19,警職大表!$A$1:$A$100,0),   MATCH(O$1,警職大表!$A$3:$AZ$3,0)  )        )="",N19,  IF(  INDEX(警職大表!$A$1:$AZ$100,MATCH($A19,警職大表!$A$1:$A$100,0),   MATCH(O$1,警職大表!$A$3:$AZ$3,0)  )=0,"",INDEX(警職大表!$A$1:$AZ$100,MATCH($A19,警職大表!$A$1:$A$100,0),   MATCH(O$1,警職大表!$A$3:$AZ$3,0)  ) )    ),"")</f>
        <v>支援警務科</v>
      </c>
      <c r="P19" s="271" t="str">
        <f>_xlfn.IFNA(   IF(   IF(  INDEX(警職大表!$A$1:$AZ$100,MATCH($A19,警職大表!$A$1:$A$100,0),   MATCH(P$1,警職大表!$A$3:$AZ$3,0)  )=0,"",INDEX(警職大表!$A$1:$AZ$100,MATCH($A19,警職大表!$A$1:$A$100,0),   MATCH(P$1,警職大表!$A$3:$AZ$3,0)  )        )="",O19,  IF(  INDEX(警職大表!$A$1:$AZ$100,MATCH($A19,警職大表!$A$1:$A$100,0),   MATCH(P$1,警職大表!$A$3:$AZ$3,0)  )=0,"",INDEX(警職大表!$A$1:$AZ$100,MATCH($A19,警職大表!$A$1:$A$100,0),   MATCH(P$1,警職大表!$A$3:$AZ$3,0)  ) )    ),"")</f>
        <v>支援警務科</v>
      </c>
      <c r="Q19" s="271" t="str">
        <f>_xlfn.IFNA(   IF(   IF(  INDEX(警職大表!$A$1:$AZ$100,MATCH($A19,警職大表!$A$1:$A$100,0),   MATCH(Q$1,警職大表!$A$3:$AZ$3,0)  )=0,"",INDEX(警職大表!$A$1:$AZ$100,MATCH($A19,警職大表!$A$1:$A$100,0),   MATCH(Q$1,警職大表!$A$3:$AZ$3,0)  )        )="",P19,  IF(  INDEX(警職大表!$A$1:$AZ$100,MATCH($A19,警職大表!$A$1:$A$100,0),   MATCH(Q$1,警職大表!$A$3:$AZ$3,0)  )=0,"",INDEX(警職大表!$A$1:$AZ$100,MATCH($A19,警職大表!$A$1:$A$100,0),   MATCH(Q$1,警職大表!$A$3:$AZ$3,0)  ) )    ),"")</f>
        <v>支援警務科</v>
      </c>
      <c r="R19" s="271" t="str">
        <f>_xlfn.IFNA(   IF(   IF(  INDEX(警職大表!$A$1:$AZ$100,MATCH($A19,警職大表!$A$1:$A$100,0),   MATCH(R$1,警職大表!$A$3:$AZ$3,0)  )=0,"",INDEX(警職大表!$A$1:$AZ$100,MATCH($A19,警職大表!$A$1:$A$100,0),   MATCH(R$1,警職大表!$A$3:$AZ$3,0)  )        )="",Q19,  IF(  INDEX(警職大表!$A$1:$AZ$100,MATCH($A19,警職大表!$A$1:$A$100,0),   MATCH(R$1,警職大表!$A$3:$AZ$3,0)  )=0,"",INDEX(警職大表!$A$1:$AZ$100,MATCH($A19,警職大表!$A$1:$A$100,0),   MATCH(R$1,警職大表!$A$3:$AZ$3,0)  ) )    ),"")</f>
        <v>支援警務科</v>
      </c>
      <c r="S19" s="271" t="str">
        <f>_xlfn.IFNA(   IF(   IF(  INDEX(警職大表!$A$1:$AZ$100,MATCH($A19,警職大表!$A$1:$A$100,0),   MATCH(S$1,警職大表!$A$3:$AZ$3,0)  )=0,"",INDEX(警職大表!$A$1:$AZ$100,MATCH($A19,警職大表!$A$1:$A$100,0),   MATCH(S$1,警職大表!$A$3:$AZ$3,0)  )        )="",R19,  IF(  INDEX(警職大表!$A$1:$AZ$100,MATCH($A19,警職大表!$A$1:$A$100,0),   MATCH(S$1,警職大表!$A$3:$AZ$3,0)  )=0,"",INDEX(警職大表!$A$1:$AZ$100,MATCH($A19,警職大表!$A$1:$A$100,0),   MATCH(S$1,警職大表!$A$3:$AZ$3,0)  ) )    ),"")</f>
        <v>支援警務科</v>
      </c>
      <c r="T19" s="271" t="str">
        <f>_xlfn.IFNA(   IF(   IF(  INDEX(警職大表!$A$1:$AZ$100,MATCH($A19,警職大表!$A$1:$A$100,0),   MATCH(T$1,警職大表!$A$3:$AZ$3,0)  )=0,"",INDEX(警職大表!$A$1:$AZ$100,MATCH($A19,警職大表!$A$1:$A$100,0),   MATCH(T$1,警職大表!$A$3:$AZ$3,0)  )        )="",S19,  IF(  INDEX(警職大表!$A$1:$AZ$100,MATCH($A19,警職大表!$A$1:$A$100,0),   MATCH(T$1,警職大表!$A$3:$AZ$3,0)  )=0,"",INDEX(警職大表!$A$1:$AZ$100,MATCH($A19,警職大表!$A$1:$A$100,0),   MATCH(T$1,警職大表!$A$3:$AZ$3,0)  ) )    ),"")</f>
        <v>支援警務科</v>
      </c>
      <c r="U19" s="271" t="str">
        <f>_xlfn.IFNA(   IF(   IF(  INDEX(警職大表!$A$1:$AZ$100,MATCH($A19,警職大表!$A$1:$A$100,0),   MATCH(U$1,警職大表!$A$3:$AZ$3,0)  )=0,"",INDEX(警職大表!$A$1:$AZ$100,MATCH($A19,警職大表!$A$1:$A$100,0),   MATCH(U$1,警職大表!$A$3:$AZ$3,0)  )        )="",T19,  IF(  INDEX(警職大表!$A$1:$AZ$100,MATCH($A19,警職大表!$A$1:$A$100,0),   MATCH(U$1,警職大表!$A$3:$AZ$3,0)  )=0,"",INDEX(警職大表!$A$1:$AZ$100,MATCH($A19,警職大表!$A$1:$A$100,0),   MATCH(U$1,警職大表!$A$3:$AZ$3,0)  ) )    ),"")</f>
        <v>支援警務科</v>
      </c>
      <c r="V19" s="271" t="str">
        <f>_xlfn.IFNA(   IF(   IF(  INDEX(警職大表!$A$1:$AZ$100,MATCH($A19,警職大表!$A$1:$A$100,0),   MATCH(V$1,警職大表!$A$3:$AZ$3,0)  )=0,"",INDEX(警職大表!$A$1:$AZ$100,MATCH($A19,警職大表!$A$1:$A$100,0),   MATCH(V$1,警職大表!$A$3:$AZ$3,0)  )        )="",U19,  IF(  INDEX(警職大表!$A$1:$AZ$100,MATCH($A19,警職大表!$A$1:$A$100,0),   MATCH(V$1,警職大表!$A$3:$AZ$3,0)  )=0,"",INDEX(警職大表!$A$1:$AZ$100,MATCH($A19,警職大表!$A$1:$A$100,0),   MATCH(V$1,警職大表!$A$3:$AZ$3,0)  ) )    ),"")</f>
        <v>支援警務科</v>
      </c>
      <c r="W19" s="271" t="str">
        <f>_xlfn.IFNA(   IF(   IF(  INDEX(警職大表!$A$1:$AZ$100,MATCH($A19,警職大表!$A$1:$A$100,0),   MATCH(W$1,警職大表!$A$3:$AZ$3,0)  )=0,"",INDEX(警職大表!$A$1:$AZ$100,MATCH($A19,警職大表!$A$1:$A$100,0),   MATCH(W$1,警職大表!$A$3:$AZ$3,0)  )        )="",V19,  IF(  INDEX(警職大表!$A$1:$AZ$100,MATCH($A19,警職大表!$A$1:$A$100,0),   MATCH(W$1,警職大表!$A$3:$AZ$3,0)  )=0,"",INDEX(警職大表!$A$1:$AZ$100,MATCH($A19,警職大表!$A$1:$A$100,0),   MATCH(W$1,警職大表!$A$3:$AZ$3,0)  ) )    ),"")</f>
        <v>支援警務科</v>
      </c>
      <c r="X19" s="271" t="str">
        <f>_xlfn.IFNA(   IF(   IF(  INDEX(警職大表!$A$1:$AZ$100,MATCH($A19,警職大表!$A$1:$A$100,0),   MATCH(X$1,警職大表!$A$3:$AZ$3,0)  )=0,"",INDEX(警職大表!$A$1:$AZ$100,MATCH($A19,警職大表!$A$1:$A$100,0),   MATCH(X$1,警職大表!$A$3:$AZ$3,0)  )        )="",W19,  IF(  INDEX(警職大表!$A$1:$AZ$100,MATCH($A19,警職大表!$A$1:$A$100,0),   MATCH(X$1,警職大表!$A$3:$AZ$3,0)  )=0,"",INDEX(警職大表!$A$1:$AZ$100,MATCH($A19,警職大表!$A$1:$A$100,0),   MATCH(X$1,警職大表!$A$3:$AZ$3,0)  ) )    ),"")</f>
        <v>支援警務科</v>
      </c>
      <c r="Y19" s="271" t="str">
        <f>_xlfn.IFNA(   IF(   IF(  INDEX(警職大表!$A$1:$AZ$100,MATCH($A19,警職大表!$A$1:$A$100,0),   MATCH(Y$1,警職大表!$A$3:$AZ$3,0)  )=0,"",INDEX(警職大表!$A$1:$AZ$100,MATCH($A19,警職大表!$A$1:$A$100,0),   MATCH(Y$1,警職大表!$A$3:$AZ$3,0)  )        )="",X19,  IF(  INDEX(警職大表!$A$1:$AZ$100,MATCH($A19,警職大表!$A$1:$A$100,0),   MATCH(Y$1,警職大表!$A$3:$AZ$3,0)  )=0,"",INDEX(警職大表!$A$1:$AZ$100,MATCH($A19,警職大表!$A$1:$A$100,0),   MATCH(Y$1,警職大表!$A$3:$AZ$3,0)  ) )    ),"")</f>
        <v>支援警務科</v>
      </c>
      <c r="Z19" s="271" t="str">
        <f>_xlfn.IFNA(   IF(   IF(  INDEX(警職大表!$A$1:$AZ$100,MATCH($A19,警職大表!$A$1:$A$100,0),   MATCH(Z$1,警職大表!$A$3:$AZ$3,0)  )=0,"",INDEX(警職大表!$A$1:$AZ$100,MATCH($A19,警職大表!$A$1:$A$100,0),   MATCH(Z$1,警職大表!$A$3:$AZ$3,0)  )        )="",Y19,  IF(  INDEX(警職大表!$A$1:$AZ$100,MATCH($A19,警職大表!$A$1:$A$100,0),   MATCH(Z$1,警職大表!$A$3:$AZ$3,0)  )=0,"",INDEX(警職大表!$A$1:$AZ$100,MATCH($A19,警職大表!$A$1:$A$100,0),   MATCH(Z$1,警職大表!$A$3:$AZ$3,0)  ) )    ),"")</f>
        <v>支援警務科</v>
      </c>
      <c r="AA19" s="271" t="str">
        <f>_xlfn.IFNA(   IF(   IF(  INDEX(警職大表!$A$1:$AZ$100,MATCH($A19,警職大表!$A$1:$A$100,0),   MATCH(AA$1,警職大表!$A$3:$AZ$3,0)  )=0,"",INDEX(警職大表!$A$1:$AZ$100,MATCH($A19,警職大表!$A$1:$A$100,0),   MATCH(AA$1,警職大表!$A$3:$AZ$3,0)  )        )="",Z19,  IF(  INDEX(警職大表!$A$1:$AZ$100,MATCH($A19,警職大表!$A$1:$A$100,0),   MATCH(AA$1,警職大表!$A$3:$AZ$3,0)  )=0,"",INDEX(警職大表!$A$1:$AZ$100,MATCH($A19,警職大表!$A$1:$A$100,0),   MATCH(AA$1,警職大表!$A$3:$AZ$3,0)  ) )    ),"")</f>
        <v>支援警務科</v>
      </c>
      <c r="AB19" s="271" t="str">
        <f>_xlfn.IFNA(   IF(   IF(  INDEX(警職大表!$A$1:$AZ$100,MATCH($A19,警職大表!$A$1:$A$100,0),   MATCH(AB$1,警職大表!$A$3:$AZ$3,0)  )=0,"",INDEX(警職大表!$A$1:$AZ$100,MATCH($A19,警職大表!$A$1:$A$100,0),   MATCH(AB$1,警職大表!$A$3:$AZ$3,0)  )        )="",AA19,  IF(  INDEX(警職大表!$A$1:$AZ$100,MATCH($A19,警職大表!$A$1:$A$100,0),   MATCH(AB$1,警職大表!$A$3:$AZ$3,0)  )=0,"",INDEX(警職大表!$A$1:$AZ$100,MATCH($A19,警職大表!$A$1:$A$100,0),   MATCH(AB$1,警職大表!$A$3:$AZ$3,0)  ) )    ),"")</f>
        <v>支援警務科</v>
      </c>
      <c r="AC19" s="271" t="str">
        <f>_xlfn.IFNA(   IF(   IF(  INDEX(警職大表!$A$1:$AZ$100,MATCH($A19,警職大表!$A$1:$A$100,0),   MATCH(AC$1,警職大表!$A$3:$AZ$3,0)  )=0,"",INDEX(警職大表!$A$1:$AZ$100,MATCH($A19,警職大表!$A$1:$A$100,0),   MATCH(AC$1,警職大表!$A$3:$AZ$3,0)  )        )="",AB19,  IF(  INDEX(警職大表!$A$1:$AZ$100,MATCH($A19,警職大表!$A$1:$A$100,0),   MATCH(AC$1,警職大表!$A$3:$AZ$3,0)  )=0,"",INDEX(警職大表!$A$1:$AZ$100,MATCH($A19,警職大表!$A$1:$A$100,0),   MATCH(AC$1,警職大表!$A$3:$AZ$3,0)  ) )    ),"")</f>
        <v>支援警務科</v>
      </c>
      <c r="AD19" s="271" t="str">
        <f>_xlfn.IFNA(   IF(   IF(  INDEX(警職大表!$A$1:$AZ$100,MATCH($A19,警職大表!$A$1:$A$100,0),   MATCH(AD$1,警職大表!$A$3:$AZ$3,0)  )=0,"",INDEX(警職大表!$A$1:$AZ$100,MATCH($A19,警職大表!$A$1:$A$100,0),   MATCH(AD$1,警職大表!$A$3:$AZ$3,0)  )        )="",AC19,  IF(  INDEX(警職大表!$A$1:$AZ$100,MATCH($A19,警職大表!$A$1:$A$100,0),   MATCH(AD$1,警職大表!$A$3:$AZ$3,0)  )=0,"",INDEX(警職大表!$A$1:$AZ$100,MATCH($A19,警職大表!$A$1:$A$100,0),   MATCH(AD$1,警職大表!$A$3:$AZ$3,0)  ) )    ),"")</f>
        <v>支援警務科</v>
      </c>
      <c r="AE19" s="271" t="str">
        <f>_xlfn.IFNA(   IF(   IF(  INDEX(警職大表!$A$1:$AZ$100,MATCH($A19,警職大表!$A$1:$A$100,0),   MATCH(AE$1,警職大表!$A$3:$AZ$3,0)  )=0,"",INDEX(警職大表!$A$1:$AZ$100,MATCH($A19,警職大表!$A$1:$A$100,0),   MATCH(AE$1,警職大表!$A$3:$AZ$3,0)  )        )="",AD19,  IF(  INDEX(警職大表!$A$1:$AZ$100,MATCH($A19,警職大表!$A$1:$A$100,0),   MATCH(AE$1,警職大表!$A$3:$AZ$3,0)  )=0,"",INDEX(警職大表!$A$1:$AZ$100,MATCH($A19,警職大表!$A$1:$A$100,0),   MATCH(AE$1,警職大表!$A$3:$AZ$3,0)  ) )    ),"")</f>
        <v>支援警務科</v>
      </c>
      <c r="AF19" s="271" t="str">
        <f>_xlfn.IFNA(   IF(   IF(  INDEX(警職大表!$A$1:$AZ$100,MATCH($A19,警職大表!$A$1:$A$100,0),   MATCH(AF$1,警職大表!$A$3:$AZ$3,0)  )=0,"",INDEX(警職大表!$A$1:$AZ$100,MATCH($A19,警職大表!$A$1:$A$100,0),   MATCH(AF$1,警職大表!$A$3:$AZ$3,0)  )        )="",AE19,  IF(  INDEX(警職大表!$A$1:$AZ$100,MATCH($A19,警職大表!$A$1:$A$100,0),   MATCH(AF$1,警職大表!$A$3:$AZ$3,0)  )=0,"",INDEX(警職大表!$A$1:$AZ$100,MATCH($A19,警職大表!$A$1:$A$100,0),   MATCH(AF$1,警職大表!$A$3:$AZ$3,0)  ) )    ),"")</f>
        <v>支援警務科</v>
      </c>
      <c r="AG19" s="271" t="str">
        <f>_xlfn.IFNA(   IF(   IF(  INDEX(警職大表!$A$1:$AZ$100,MATCH($A19,警職大表!$A$1:$A$100,0),   MATCH(AG$1,警職大表!$A$3:$AZ$3,0)  )=0,"",INDEX(警職大表!$A$1:$AZ$100,MATCH($A19,警職大表!$A$1:$A$100,0),   MATCH(AG$1,警職大表!$A$3:$AZ$3,0)  )        )="",AF19,  IF(  INDEX(警職大表!$A$1:$AZ$100,MATCH($A19,警職大表!$A$1:$A$100,0),   MATCH(AG$1,警職大表!$A$3:$AZ$3,0)  )=0,"",INDEX(警職大表!$A$1:$AZ$100,MATCH($A19,警職大表!$A$1:$A$100,0),   MATCH(AG$1,警職大表!$A$3:$AZ$3,0)  ) )    ),"")</f>
        <v>支援警務科</v>
      </c>
      <c r="AL19" s="271">
        <f t="shared" si="0"/>
        <v>55</v>
      </c>
      <c r="AM19" s="271" t="str">
        <f t="shared" si="1"/>
        <v>林明慧</v>
      </c>
      <c r="AN19" s="271" t="str">
        <f>INDEX(   $A$41:$AG$78, MATCH(AL19,$A$41:$A$78,0),MATCH(  DAY(勤務分配表!$AN$1),$A$41:$AL$41,0  )  )</f>
        <v>支援總(大)隊</v>
      </c>
      <c r="AO19" s="271" t="str">
        <f>IF((ROW(AO19)-1)&lt;=日期輸入!$B$5,_xlfn.IFNA(IF(INDEX($A$1:$AG$40,MATCH($AM19,$B$1:$B$100,0),VALUE($AO$1+3))="成","補",INDEX($A$1:$AG$40,MATCH($AM19,$B$1:$B$100,0),VALUE($AO$1+3))),""),"")</f>
        <v>支援警務科</v>
      </c>
      <c r="AP19" s="271" t="str">
        <f>IF((ROW(AP19)-1)&lt;=日期輸入!$B$5,_xlfn.IFNA(IF(INDEX($A$1:$AG$40,MATCH($AM19,$B$1:$B$100,0),VALUE($AP$1+3))="成","補",INDEX($A$1:$AG$40,MATCH($AM19,$B$1:$B$100,0),VALUE($AP$1+3))),""),"")</f>
        <v>支援警務科</v>
      </c>
      <c r="AQ19" s="271" t="str">
        <f>IF((ROW(AQ19)-1)&lt;=日期輸入!$B$5,_xlfn.IFNA(IF(INDEX($A$1:$AG$40,MATCH($AM19,$B$1:$B$100,0),VALUE($AQ$1+3))="成","補",INDEX($A$1:$AG$40,MATCH($AM19,$B$1:$B$100,0),VALUE($AQ$1+3))),""),"")</f>
        <v>支援警務科</v>
      </c>
    </row>
    <row r="20" spans="1:43">
      <c r="A20" s="271">
        <f>IF(  (ROW(A20)-1)&lt;=日期輸入!$B$5,勤務分配!A20,"")</f>
        <v>56</v>
      </c>
      <c r="B20" s="271" t="str">
        <f>_xlfn.IFNA(  INDEX(警職大表!$A$1:$AZ$100,MATCH(A20,警職大表!$A$1:$A$100,0),3),"")</f>
        <v>王美惠</v>
      </c>
      <c r="C20" s="271" t="str">
        <f>_xlfn.IFNA(  IF(  INDEX(警職大表!$A$1:$AZ$100,MATCH($A20,警職大表!$A$1:$A$100,0),   MATCH(C$1,警職大表!$A$3:$AZ$3,0)  )=0,"",INDEX(警職大表!$A$1:$AZ$100,MATCH($A20,警職大表!$A$1:$A$100,0),   MATCH(C$1,警職大表!$A$3:$AZ$3,0)  )                ),"")</f>
        <v>支援事務股</v>
      </c>
      <c r="D20" s="271" t="str">
        <f>_xlfn.IFNA(   IF(   IF(  INDEX(警職大表!$A$1:$AZ$100,MATCH($A20,警職大表!$A$1:$A$100,0),   MATCH(D$1,警職大表!$A$3:$AZ$3,0)  )=0,"",INDEX(警職大表!$A$1:$AZ$100,MATCH($A20,警職大表!$A$1:$A$100,0),   MATCH(D$1,警職大表!$A$3:$AZ$3,0)  )        )="",C20,  IF(  INDEX(警職大表!$A$1:$AZ$100,MATCH($A20,警職大表!$A$1:$A$100,0),   MATCH(D$1,警職大表!$A$3:$AZ$3,0)  )=0,"",INDEX(警職大表!$A$1:$AZ$100,MATCH($A20,警職大表!$A$1:$A$100,0),   MATCH(D$1,警職大表!$A$3:$AZ$3,0)  ) )    ),"")</f>
        <v>支援事務股</v>
      </c>
      <c r="E20" s="271" t="str">
        <f>_xlfn.IFNA(   IF(   IF(  INDEX(警職大表!$A$1:$AZ$100,MATCH($A20,警職大表!$A$1:$A$100,0),   MATCH(E$1,警職大表!$A$3:$AZ$3,0)  )=0,"",INDEX(警職大表!$A$1:$AZ$100,MATCH($A20,警職大表!$A$1:$A$100,0),   MATCH(E$1,警職大表!$A$3:$AZ$3,0)  )        )="",D20,  IF(  INDEX(警職大表!$A$1:$AZ$100,MATCH($A20,警職大表!$A$1:$A$100,0),   MATCH(E$1,警職大表!$A$3:$AZ$3,0)  )=0,"",INDEX(警職大表!$A$1:$AZ$100,MATCH($A20,警職大表!$A$1:$A$100,0),   MATCH(E$1,警職大表!$A$3:$AZ$3,0)  ) )    ),"")</f>
        <v>支援事務股</v>
      </c>
      <c r="F20" s="271" t="str">
        <f>_xlfn.IFNA(   IF(   IF(  INDEX(警職大表!$A$1:$AZ$100,MATCH($A20,警職大表!$A$1:$A$100,0),   MATCH(F$1,警職大表!$A$3:$AZ$3,0)  )=0,"",INDEX(警職大表!$A$1:$AZ$100,MATCH($A20,警職大表!$A$1:$A$100,0),   MATCH(F$1,警職大表!$A$3:$AZ$3,0)  )        )="",E20,  IF(  INDEX(警職大表!$A$1:$AZ$100,MATCH($A20,警職大表!$A$1:$A$100,0),   MATCH(F$1,警職大表!$A$3:$AZ$3,0)  )=0,"",INDEX(警職大表!$A$1:$AZ$100,MATCH($A20,警職大表!$A$1:$A$100,0),   MATCH(F$1,警職大表!$A$3:$AZ$3,0)  ) )    ),"")</f>
        <v>支援事務股</v>
      </c>
      <c r="G20" s="271" t="str">
        <f>_xlfn.IFNA(   IF(   IF(  INDEX(警職大表!$A$1:$AZ$100,MATCH($A20,警職大表!$A$1:$A$100,0),   MATCH(G$1,警職大表!$A$3:$AZ$3,0)  )=0,"",INDEX(警職大表!$A$1:$AZ$100,MATCH($A20,警職大表!$A$1:$A$100,0),   MATCH(G$1,警職大表!$A$3:$AZ$3,0)  )        )="",F20,  IF(  INDEX(警職大表!$A$1:$AZ$100,MATCH($A20,警職大表!$A$1:$A$100,0),   MATCH(G$1,警職大表!$A$3:$AZ$3,0)  )=0,"",INDEX(警職大表!$A$1:$AZ$100,MATCH($A20,警職大表!$A$1:$A$100,0),   MATCH(G$1,警職大表!$A$3:$AZ$3,0)  ) )    ),"")</f>
        <v>支援事務股</v>
      </c>
      <c r="H20" s="271" t="str">
        <f>_xlfn.IFNA(   IF(   IF(  INDEX(警職大表!$A$1:$AZ$100,MATCH($A20,警職大表!$A$1:$A$100,0),   MATCH(H$1,警職大表!$A$3:$AZ$3,0)  )=0,"",INDEX(警職大表!$A$1:$AZ$100,MATCH($A20,警職大表!$A$1:$A$100,0),   MATCH(H$1,警職大表!$A$3:$AZ$3,0)  )        )="",G20,  IF(  INDEX(警職大表!$A$1:$AZ$100,MATCH($A20,警職大表!$A$1:$A$100,0),   MATCH(H$1,警職大表!$A$3:$AZ$3,0)  )=0,"",INDEX(警職大表!$A$1:$AZ$100,MATCH($A20,警職大表!$A$1:$A$100,0),   MATCH(H$1,警職大表!$A$3:$AZ$3,0)  ) )    ),"")</f>
        <v>支援事務股</v>
      </c>
      <c r="I20" s="271" t="str">
        <f>_xlfn.IFNA(   IF(   IF(  INDEX(警職大表!$A$1:$AZ$100,MATCH($A20,警職大表!$A$1:$A$100,0),   MATCH(I$1,警職大表!$A$3:$AZ$3,0)  )=0,"",INDEX(警職大表!$A$1:$AZ$100,MATCH($A20,警職大表!$A$1:$A$100,0),   MATCH(I$1,警職大表!$A$3:$AZ$3,0)  )        )="",H20,  IF(  INDEX(警職大表!$A$1:$AZ$100,MATCH($A20,警職大表!$A$1:$A$100,0),   MATCH(I$1,警職大表!$A$3:$AZ$3,0)  )=0,"",INDEX(警職大表!$A$1:$AZ$100,MATCH($A20,警職大表!$A$1:$A$100,0),   MATCH(I$1,警職大表!$A$3:$AZ$3,0)  ) )    ),"")</f>
        <v>支援事務股</v>
      </c>
      <c r="J20" s="271" t="str">
        <f>_xlfn.IFNA(   IF(   IF(  INDEX(警職大表!$A$1:$AZ$100,MATCH($A20,警職大表!$A$1:$A$100,0),   MATCH(J$1,警職大表!$A$3:$AZ$3,0)  )=0,"",INDEX(警職大表!$A$1:$AZ$100,MATCH($A20,警職大表!$A$1:$A$100,0),   MATCH(J$1,警職大表!$A$3:$AZ$3,0)  )        )="",I20,  IF(  INDEX(警職大表!$A$1:$AZ$100,MATCH($A20,警職大表!$A$1:$A$100,0),   MATCH(J$1,警職大表!$A$3:$AZ$3,0)  )=0,"",INDEX(警職大表!$A$1:$AZ$100,MATCH($A20,警職大表!$A$1:$A$100,0),   MATCH(J$1,警職大表!$A$3:$AZ$3,0)  ) )    ),"")</f>
        <v>支援事務股</v>
      </c>
      <c r="K20" s="271" t="str">
        <f>_xlfn.IFNA(   IF(   IF(  INDEX(警職大表!$A$1:$AZ$100,MATCH($A20,警職大表!$A$1:$A$100,0),   MATCH(K$1,警職大表!$A$3:$AZ$3,0)  )=0,"",INDEX(警職大表!$A$1:$AZ$100,MATCH($A20,警職大表!$A$1:$A$100,0),   MATCH(K$1,警職大表!$A$3:$AZ$3,0)  )        )="",J20,  IF(  INDEX(警職大表!$A$1:$AZ$100,MATCH($A20,警職大表!$A$1:$A$100,0),   MATCH(K$1,警職大表!$A$3:$AZ$3,0)  )=0,"",INDEX(警職大表!$A$1:$AZ$100,MATCH($A20,警職大表!$A$1:$A$100,0),   MATCH(K$1,警職大表!$A$3:$AZ$3,0)  ) )    ),"")</f>
        <v>支援事務股</v>
      </c>
      <c r="L20" s="271" t="str">
        <f>_xlfn.IFNA(   IF(   IF(  INDEX(警職大表!$A$1:$AZ$100,MATCH($A20,警職大表!$A$1:$A$100,0),   MATCH(L$1,警職大表!$A$3:$AZ$3,0)  )=0,"",INDEX(警職大表!$A$1:$AZ$100,MATCH($A20,警職大表!$A$1:$A$100,0),   MATCH(L$1,警職大表!$A$3:$AZ$3,0)  )        )="",K20,  IF(  INDEX(警職大表!$A$1:$AZ$100,MATCH($A20,警職大表!$A$1:$A$100,0),   MATCH(L$1,警職大表!$A$3:$AZ$3,0)  )=0,"",INDEX(警職大表!$A$1:$AZ$100,MATCH($A20,警職大表!$A$1:$A$100,0),   MATCH(L$1,警職大表!$A$3:$AZ$3,0)  ) )    ),"")</f>
        <v>支援事務股</v>
      </c>
      <c r="M20" s="271" t="str">
        <f>_xlfn.IFNA(   IF(   IF(  INDEX(警職大表!$A$1:$AZ$100,MATCH($A20,警職大表!$A$1:$A$100,0),   MATCH(M$1,警職大表!$A$3:$AZ$3,0)  )=0,"",INDEX(警職大表!$A$1:$AZ$100,MATCH($A20,警職大表!$A$1:$A$100,0),   MATCH(M$1,警職大表!$A$3:$AZ$3,0)  )        )="",L20,  IF(  INDEX(警職大表!$A$1:$AZ$100,MATCH($A20,警職大表!$A$1:$A$100,0),   MATCH(M$1,警職大表!$A$3:$AZ$3,0)  )=0,"",INDEX(警職大表!$A$1:$AZ$100,MATCH($A20,警職大表!$A$1:$A$100,0),   MATCH(M$1,警職大表!$A$3:$AZ$3,0)  ) )    ),"")</f>
        <v>支援事務股</v>
      </c>
      <c r="N20" s="271" t="str">
        <f>_xlfn.IFNA(   IF(   IF(  INDEX(警職大表!$A$1:$AZ$100,MATCH($A20,警職大表!$A$1:$A$100,0),   MATCH(N$1,警職大表!$A$3:$AZ$3,0)  )=0,"",INDEX(警職大表!$A$1:$AZ$100,MATCH($A20,警職大表!$A$1:$A$100,0),   MATCH(N$1,警職大表!$A$3:$AZ$3,0)  )        )="",M20,  IF(  INDEX(警職大表!$A$1:$AZ$100,MATCH($A20,警職大表!$A$1:$A$100,0),   MATCH(N$1,警職大表!$A$3:$AZ$3,0)  )=0,"",INDEX(警職大表!$A$1:$AZ$100,MATCH($A20,警職大表!$A$1:$A$100,0),   MATCH(N$1,警職大表!$A$3:$AZ$3,0)  ) )    ),"")</f>
        <v>支援事務股</v>
      </c>
      <c r="O20" s="271" t="str">
        <f>_xlfn.IFNA(   IF(   IF(  INDEX(警職大表!$A$1:$AZ$100,MATCH($A20,警職大表!$A$1:$A$100,0),   MATCH(O$1,警職大表!$A$3:$AZ$3,0)  )=0,"",INDEX(警職大表!$A$1:$AZ$100,MATCH($A20,警職大表!$A$1:$A$100,0),   MATCH(O$1,警職大表!$A$3:$AZ$3,0)  )        )="",N20,  IF(  INDEX(警職大表!$A$1:$AZ$100,MATCH($A20,警職大表!$A$1:$A$100,0),   MATCH(O$1,警職大表!$A$3:$AZ$3,0)  )=0,"",INDEX(警職大表!$A$1:$AZ$100,MATCH($A20,警職大表!$A$1:$A$100,0),   MATCH(O$1,警職大表!$A$3:$AZ$3,0)  ) )    ),"")</f>
        <v>支援事務股</v>
      </c>
      <c r="P20" s="271" t="str">
        <f>_xlfn.IFNA(   IF(   IF(  INDEX(警職大表!$A$1:$AZ$100,MATCH($A20,警職大表!$A$1:$A$100,0),   MATCH(P$1,警職大表!$A$3:$AZ$3,0)  )=0,"",INDEX(警職大表!$A$1:$AZ$100,MATCH($A20,警職大表!$A$1:$A$100,0),   MATCH(P$1,警職大表!$A$3:$AZ$3,0)  )        )="",O20,  IF(  INDEX(警職大表!$A$1:$AZ$100,MATCH($A20,警職大表!$A$1:$A$100,0),   MATCH(P$1,警職大表!$A$3:$AZ$3,0)  )=0,"",INDEX(警職大表!$A$1:$AZ$100,MATCH($A20,警職大表!$A$1:$A$100,0),   MATCH(P$1,警職大表!$A$3:$AZ$3,0)  ) )    ),"")</f>
        <v>支援事務股</v>
      </c>
      <c r="Q20" s="271" t="str">
        <f>_xlfn.IFNA(   IF(   IF(  INDEX(警職大表!$A$1:$AZ$100,MATCH($A20,警職大表!$A$1:$A$100,0),   MATCH(Q$1,警職大表!$A$3:$AZ$3,0)  )=0,"",INDEX(警職大表!$A$1:$AZ$100,MATCH($A20,警職大表!$A$1:$A$100,0),   MATCH(Q$1,警職大表!$A$3:$AZ$3,0)  )        )="",P20,  IF(  INDEX(警職大表!$A$1:$AZ$100,MATCH($A20,警職大表!$A$1:$A$100,0),   MATCH(Q$1,警職大表!$A$3:$AZ$3,0)  )=0,"",INDEX(警職大表!$A$1:$AZ$100,MATCH($A20,警職大表!$A$1:$A$100,0),   MATCH(Q$1,警職大表!$A$3:$AZ$3,0)  ) )    ),"")</f>
        <v>支援事務股</v>
      </c>
      <c r="R20" s="271" t="str">
        <f>_xlfn.IFNA(   IF(   IF(  INDEX(警職大表!$A$1:$AZ$100,MATCH($A20,警職大表!$A$1:$A$100,0),   MATCH(R$1,警職大表!$A$3:$AZ$3,0)  )=0,"",INDEX(警職大表!$A$1:$AZ$100,MATCH($A20,警職大表!$A$1:$A$100,0),   MATCH(R$1,警職大表!$A$3:$AZ$3,0)  )        )="",Q20,  IF(  INDEX(警職大表!$A$1:$AZ$100,MATCH($A20,警職大表!$A$1:$A$100,0),   MATCH(R$1,警職大表!$A$3:$AZ$3,0)  )=0,"",INDEX(警職大表!$A$1:$AZ$100,MATCH($A20,警職大表!$A$1:$A$100,0),   MATCH(R$1,警職大表!$A$3:$AZ$3,0)  ) )    ),"")</f>
        <v>支援事務股</v>
      </c>
      <c r="S20" s="271" t="str">
        <f>_xlfn.IFNA(   IF(   IF(  INDEX(警職大表!$A$1:$AZ$100,MATCH($A20,警職大表!$A$1:$A$100,0),   MATCH(S$1,警職大表!$A$3:$AZ$3,0)  )=0,"",INDEX(警職大表!$A$1:$AZ$100,MATCH($A20,警職大表!$A$1:$A$100,0),   MATCH(S$1,警職大表!$A$3:$AZ$3,0)  )        )="",R20,  IF(  INDEX(警職大表!$A$1:$AZ$100,MATCH($A20,警職大表!$A$1:$A$100,0),   MATCH(S$1,警職大表!$A$3:$AZ$3,0)  )=0,"",INDEX(警職大表!$A$1:$AZ$100,MATCH($A20,警職大表!$A$1:$A$100,0),   MATCH(S$1,警職大表!$A$3:$AZ$3,0)  ) )    ),"")</f>
        <v>支援事務股</v>
      </c>
      <c r="T20" s="271" t="str">
        <f>_xlfn.IFNA(   IF(   IF(  INDEX(警職大表!$A$1:$AZ$100,MATCH($A20,警職大表!$A$1:$A$100,0),   MATCH(T$1,警職大表!$A$3:$AZ$3,0)  )=0,"",INDEX(警職大表!$A$1:$AZ$100,MATCH($A20,警職大表!$A$1:$A$100,0),   MATCH(T$1,警職大表!$A$3:$AZ$3,0)  )        )="",S20,  IF(  INDEX(警職大表!$A$1:$AZ$100,MATCH($A20,警職大表!$A$1:$A$100,0),   MATCH(T$1,警職大表!$A$3:$AZ$3,0)  )=0,"",INDEX(警職大表!$A$1:$AZ$100,MATCH($A20,警職大表!$A$1:$A$100,0),   MATCH(T$1,警職大表!$A$3:$AZ$3,0)  ) )    ),"")</f>
        <v>支援事務股</v>
      </c>
      <c r="U20" s="271" t="str">
        <f>_xlfn.IFNA(   IF(   IF(  INDEX(警職大表!$A$1:$AZ$100,MATCH($A20,警職大表!$A$1:$A$100,0),   MATCH(U$1,警職大表!$A$3:$AZ$3,0)  )=0,"",INDEX(警職大表!$A$1:$AZ$100,MATCH($A20,警職大表!$A$1:$A$100,0),   MATCH(U$1,警職大表!$A$3:$AZ$3,0)  )        )="",T20,  IF(  INDEX(警職大表!$A$1:$AZ$100,MATCH($A20,警職大表!$A$1:$A$100,0),   MATCH(U$1,警職大表!$A$3:$AZ$3,0)  )=0,"",INDEX(警職大表!$A$1:$AZ$100,MATCH($A20,警職大表!$A$1:$A$100,0),   MATCH(U$1,警職大表!$A$3:$AZ$3,0)  ) )    ),"")</f>
        <v>支援事務股</v>
      </c>
      <c r="V20" s="271" t="str">
        <f>_xlfn.IFNA(   IF(   IF(  INDEX(警職大表!$A$1:$AZ$100,MATCH($A20,警職大表!$A$1:$A$100,0),   MATCH(V$1,警職大表!$A$3:$AZ$3,0)  )=0,"",INDEX(警職大表!$A$1:$AZ$100,MATCH($A20,警職大表!$A$1:$A$100,0),   MATCH(V$1,警職大表!$A$3:$AZ$3,0)  )        )="",U20,  IF(  INDEX(警職大表!$A$1:$AZ$100,MATCH($A20,警職大表!$A$1:$A$100,0),   MATCH(V$1,警職大表!$A$3:$AZ$3,0)  )=0,"",INDEX(警職大表!$A$1:$AZ$100,MATCH($A20,警職大表!$A$1:$A$100,0),   MATCH(V$1,警職大表!$A$3:$AZ$3,0)  ) )    ),"")</f>
        <v>支援事務股</v>
      </c>
      <c r="W20" s="271" t="str">
        <f>_xlfn.IFNA(   IF(   IF(  INDEX(警職大表!$A$1:$AZ$100,MATCH($A20,警職大表!$A$1:$A$100,0),   MATCH(W$1,警職大表!$A$3:$AZ$3,0)  )=0,"",INDEX(警職大表!$A$1:$AZ$100,MATCH($A20,警職大表!$A$1:$A$100,0),   MATCH(W$1,警職大表!$A$3:$AZ$3,0)  )        )="",V20,  IF(  INDEX(警職大表!$A$1:$AZ$100,MATCH($A20,警職大表!$A$1:$A$100,0),   MATCH(W$1,警職大表!$A$3:$AZ$3,0)  )=0,"",INDEX(警職大表!$A$1:$AZ$100,MATCH($A20,警職大表!$A$1:$A$100,0),   MATCH(W$1,警職大表!$A$3:$AZ$3,0)  ) )    ),"")</f>
        <v>支援事務股</v>
      </c>
      <c r="X20" s="271" t="str">
        <f>_xlfn.IFNA(   IF(   IF(  INDEX(警職大表!$A$1:$AZ$100,MATCH($A20,警職大表!$A$1:$A$100,0),   MATCH(X$1,警職大表!$A$3:$AZ$3,0)  )=0,"",INDEX(警職大表!$A$1:$AZ$100,MATCH($A20,警職大表!$A$1:$A$100,0),   MATCH(X$1,警職大表!$A$3:$AZ$3,0)  )        )="",W20,  IF(  INDEX(警職大表!$A$1:$AZ$100,MATCH($A20,警職大表!$A$1:$A$100,0),   MATCH(X$1,警職大表!$A$3:$AZ$3,0)  )=0,"",INDEX(警職大表!$A$1:$AZ$100,MATCH($A20,警職大表!$A$1:$A$100,0),   MATCH(X$1,警職大表!$A$3:$AZ$3,0)  ) )    ),"")</f>
        <v>支援事務股</v>
      </c>
      <c r="Y20" s="271" t="str">
        <f>_xlfn.IFNA(   IF(   IF(  INDEX(警職大表!$A$1:$AZ$100,MATCH($A20,警職大表!$A$1:$A$100,0),   MATCH(Y$1,警職大表!$A$3:$AZ$3,0)  )=0,"",INDEX(警職大表!$A$1:$AZ$100,MATCH($A20,警職大表!$A$1:$A$100,0),   MATCH(Y$1,警職大表!$A$3:$AZ$3,0)  )        )="",X20,  IF(  INDEX(警職大表!$A$1:$AZ$100,MATCH($A20,警職大表!$A$1:$A$100,0),   MATCH(Y$1,警職大表!$A$3:$AZ$3,0)  )=0,"",INDEX(警職大表!$A$1:$AZ$100,MATCH($A20,警職大表!$A$1:$A$100,0),   MATCH(Y$1,警職大表!$A$3:$AZ$3,0)  ) )    ),"")</f>
        <v>支援事務股</v>
      </c>
      <c r="Z20" s="271" t="str">
        <f>_xlfn.IFNA(   IF(   IF(  INDEX(警職大表!$A$1:$AZ$100,MATCH($A20,警職大表!$A$1:$A$100,0),   MATCH(Z$1,警職大表!$A$3:$AZ$3,0)  )=0,"",INDEX(警職大表!$A$1:$AZ$100,MATCH($A20,警職大表!$A$1:$A$100,0),   MATCH(Z$1,警職大表!$A$3:$AZ$3,0)  )        )="",Y20,  IF(  INDEX(警職大表!$A$1:$AZ$100,MATCH($A20,警職大表!$A$1:$A$100,0),   MATCH(Z$1,警職大表!$A$3:$AZ$3,0)  )=0,"",INDEX(警職大表!$A$1:$AZ$100,MATCH($A20,警職大表!$A$1:$A$100,0),   MATCH(Z$1,警職大表!$A$3:$AZ$3,0)  ) )    ),"")</f>
        <v>支援事務股</v>
      </c>
      <c r="AA20" s="271" t="str">
        <f>_xlfn.IFNA(   IF(   IF(  INDEX(警職大表!$A$1:$AZ$100,MATCH($A20,警職大表!$A$1:$A$100,0),   MATCH(AA$1,警職大表!$A$3:$AZ$3,0)  )=0,"",INDEX(警職大表!$A$1:$AZ$100,MATCH($A20,警職大表!$A$1:$A$100,0),   MATCH(AA$1,警職大表!$A$3:$AZ$3,0)  )        )="",Z20,  IF(  INDEX(警職大表!$A$1:$AZ$100,MATCH($A20,警職大表!$A$1:$A$100,0),   MATCH(AA$1,警職大表!$A$3:$AZ$3,0)  )=0,"",INDEX(警職大表!$A$1:$AZ$100,MATCH($A20,警職大表!$A$1:$A$100,0),   MATCH(AA$1,警職大表!$A$3:$AZ$3,0)  ) )    ),"")</f>
        <v>支援事務股</v>
      </c>
      <c r="AB20" s="271" t="str">
        <f>_xlfn.IFNA(   IF(   IF(  INDEX(警職大表!$A$1:$AZ$100,MATCH($A20,警職大表!$A$1:$A$100,0),   MATCH(AB$1,警職大表!$A$3:$AZ$3,0)  )=0,"",INDEX(警職大表!$A$1:$AZ$100,MATCH($A20,警職大表!$A$1:$A$100,0),   MATCH(AB$1,警職大表!$A$3:$AZ$3,0)  )        )="",AA20,  IF(  INDEX(警職大表!$A$1:$AZ$100,MATCH($A20,警職大表!$A$1:$A$100,0),   MATCH(AB$1,警職大表!$A$3:$AZ$3,0)  )=0,"",INDEX(警職大表!$A$1:$AZ$100,MATCH($A20,警職大表!$A$1:$A$100,0),   MATCH(AB$1,警職大表!$A$3:$AZ$3,0)  ) )    ),"")</f>
        <v>支援事務股</v>
      </c>
      <c r="AC20" s="271" t="str">
        <f>_xlfn.IFNA(   IF(   IF(  INDEX(警職大表!$A$1:$AZ$100,MATCH($A20,警職大表!$A$1:$A$100,0),   MATCH(AC$1,警職大表!$A$3:$AZ$3,0)  )=0,"",INDEX(警職大表!$A$1:$AZ$100,MATCH($A20,警職大表!$A$1:$A$100,0),   MATCH(AC$1,警職大表!$A$3:$AZ$3,0)  )        )="",AB20,  IF(  INDEX(警職大表!$A$1:$AZ$100,MATCH($A20,警職大表!$A$1:$A$100,0),   MATCH(AC$1,警職大表!$A$3:$AZ$3,0)  )=0,"",INDEX(警職大表!$A$1:$AZ$100,MATCH($A20,警職大表!$A$1:$A$100,0),   MATCH(AC$1,警職大表!$A$3:$AZ$3,0)  ) )    ),"")</f>
        <v>支援事務股</v>
      </c>
      <c r="AD20" s="271" t="str">
        <f>_xlfn.IFNA(   IF(   IF(  INDEX(警職大表!$A$1:$AZ$100,MATCH($A20,警職大表!$A$1:$A$100,0),   MATCH(AD$1,警職大表!$A$3:$AZ$3,0)  )=0,"",INDEX(警職大表!$A$1:$AZ$100,MATCH($A20,警職大表!$A$1:$A$100,0),   MATCH(AD$1,警職大表!$A$3:$AZ$3,0)  )        )="",AC20,  IF(  INDEX(警職大表!$A$1:$AZ$100,MATCH($A20,警職大表!$A$1:$A$100,0),   MATCH(AD$1,警職大表!$A$3:$AZ$3,0)  )=0,"",INDEX(警職大表!$A$1:$AZ$100,MATCH($A20,警職大表!$A$1:$A$100,0),   MATCH(AD$1,警職大表!$A$3:$AZ$3,0)  ) )    ),"")</f>
        <v>支援事務股</v>
      </c>
      <c r="AE20" s="271" t="str">
        <f>_xlfn.IFNA(   IF(   IF(  INDEX(警職大表!$A$1:$AZ$100,MATCH($A20,警職大表!$A$1:$A$100,0),   MATCH(AE$1,警職大表!$A$3:$AZ$3,0)  )=0,"",INDEX(警職大表!$A$1:$AZ$100,MATCH($A20,警職大表!$A$1:$A$100,0),   MATCH(AE$1,警職大表!$A$3:$AZ$3,0)  )        )="",AD20,  IF(  INDEX(警職大表!$A$1:$AZ$100,MATCH($A20,警職大表!$A$1:$A$100,0),   MATCH(AE$1,警職大表!$A$3:$AZ$3,0)  )=0,"",INDEX(警職大表!$A$1:$AZ$100,MATCH($A20,警職大表!$A$1:$A$100,0),   MATCH(AE$1,警職大表!$A$3:$AZ$3,0)  ) )    ),"")</f>
        <v>支援事務股</v>
      </c>
      <c r="AF20" s="271" t="str">
        <f>_xlfn.IFNA(   IF(   IF(  INDEX(警職大表!$A$1:$AZ$100,MATCH($A20,警職大表!$A$1:$A$100,0),   MATCH(AF$1,警職大表!$A$3:$AZ$3,0)  )=0,"",INDEX(警職大表!$A$1:$AZ$100,MATCH($A20,警職大表!$A$1:$A$100,0),   MATCH(AF$1,警職大表!$A$3:$AZ$3,0)  )        )="",AE20,  IF(  INDEX(警職大表!$A$1:$AZ$100,MATCH($A20,警職大表!$A$1:$A$100,0),   MATCH(AF$1,警職大表!$A$3:$AZ$3,0)  )=0,"",INDEX(警職大表!$A$1:$AZ$100,MATCH($A20,警職大表!$A$1:$A$100,0),   MATCH(AF$1,警職大表!$A$3:$AZ$3,0)  ) )    ),"")</f>
        <v>支援事務股</v>
      </c>
      <c r="AG20" s="271" t="str">
        <f>_xlfn.IFNA(   IF(   IF(  INDEX(警職大表!$A$1:$AZ$100,MATCH($A20,警職大表!$A$1:$A$100,0),   MATCH(AG$1,警職大表!$A$3:$AZ$3,0)  )=0,"",INDEX(警職大表!$A$1:$AZ$100,MATCH($A20,警職大表!$A$1:$A$100,0),   MATCH(AG$1,警職大表!$A$3:$AZ$3,0)  )        )="",AF20,  IF(  INDEX(警職大表!$A$1:$AZ$100,MATCH($A20,警職大表!$A$1:$A$100,0),   MATCH(AG$1,警職大表!$A$3:$AZ$3,0)  )=0,"",INDEX(警職大表!$A$1:$AZ$100,MATCH($A20,警職大表!$A$1:$A$100,0),   MATCH(AG$1,警職大表!$A$3:$AZ$3,0)  ) )    ),"")</f>
        <v>支援事務股</v>
      </c>
      <c r="AL20" s="271">
        <f t="shared" si="0"/>
        <v>56</v>
      </c>
      <c r="AM20" s="271" t="str">
        <f t="shared" si="1"/>
        <v>王美惠</v>
      </c>
      <c r="AN20" s="271" t="str">
        <f>INDEX(   $A$41:$AG$78, MATCH(AL20,$A$41:$A$78,0),MATCH(  DAY(勤務分配表!$AN$1),$A$41:$AL$41,0  )  )</f>
        <v>支援總(大)隊</v>
      </c>
      <c r="AO20" s="271" t="str">
        <f>IF((ROW(AO20)-1)&lt;=日期輸入!$B$5,_xlfn.IFNA(IF(INDEX($A$1:$AG$40,MATCH($AM20,$B$1:$B$100,0),VALUE($AO$1+3))="成","補",INDEX($A$1:$AG$40,MATCH($AM20,$B$1:$B$100,0),VALUE($AO$1+3))),""),"")</f>
        <v>支援事務股</v>
      </c>
      <c r="AP20" s="271" t="str">
        <f>IF((ROW(AP20)-1)&lt;=日期輸入!$B$5,_xlfn.IFNA(IF(INDEX($A$1:$AG$40,MATCH($AM20,$B$1:$B$100,0),VALUE($AP$1+3))="成","補",INDEX($A$1:$AG$40,MATCH($AM20,$B$1:$B$100,0),VALUE($AP$1+3))),""),"")</f>
        <v>支援事務股</v>
      </c>
      <c r="AQ20" s="271" t="str">
        <f>IF((ROW(AQ20)-1)&lt;=日期輸入!$B$5,_xlfn.IFNA(IF(INDEX($A$1:$AG$40,MATCH($AM20,$B$1:$B$100,0),VALUE($AQ$1+3))="成","補",INDEX($A$1:$AG$40,MATCH($AM20,$B$1:$B$100,0),VALUE($AQ$1+3))),""),"")</f>
        <v>支援事務股</v>
      </c>
    </row>
    <row r="21" spans="1:43">
      <c r="A21" s="271" t="str">
        <f>IF(  (ROW(A21)-1)&lt;=日期輸入!$B$5,勤務分配!A21,"")</f>
        <v/>
      </c>
      <c r="B21" s="271" t="str">
        <f>_xlfn.IFNA(  INDEX(警職大表!$A$1:$AZ$100,MATCH(A21,警職大表!$A$1:$A$100,0),3),"")</f>
        <v/>
      </c>
      <c r="C21" s="271" t="str">
        <f>_xlfn.IFNA(  IF(  INDEX(警職大表!$A$1:$AZ$100,MATCH($A21,警職大表!$A$1:$A$100,0),   MATCH(C$1,警職大表!$A$3:$AZ$3,0)  )=0,"",INDEX(警職大表!$A$1:$AZ$100,MATCH($A21,警職大表!$A$1:$A$100,0),   MATCH(C$1,警職大表!$A$3:$AZ$3,0)  )                ),"")</f>
        <v/>
      </c>
      <c r="D21" s="271" t="str">
        <f>_xlfn.IFNA(   IF(   IF(  INDEX(警職大表!$A$1:$AZ$100,MATCH($A21,警職大表!$A$1:$A$100,0),   MATCH(D$1,警職大表!$A$3:$AZ$3,0)  )=0,"",INDEX(警職大表!$A$1:$AZ$100,MATCH($A21,警職大表!$A$1:$A$100,0),   MATCH(D$1,警職大表!$A$3:$AZ$3,0)  )        )="",C21,  IF(  INDEX(警職大表!$A$1:$AZ$100,MATCH($A21,警職大表!$A$1:$A$100,0),   MATCH(D$1,警職大表!$A$3:$AZ$3,0)  )=0,"",INDEX(警職大表!$A$1:$AZ$100,MATCH($A21,警職大表!$A$1:$A$100,0),   MATCH(D$1,警職大表!$A$3:$AZ$3,0)  ) )    ),"")</f>
        <v/>
      </c>
      <c r="E21" s="271" t="str">
        <f>_xlfn.IFNA(   IF(   IF(  INDEX(警職大表!$A$1:$AZ$100,MATCH($A21,警職大表!$A$1:$A$100,0),   MATCH(E$1,警職大表!$A$3:$AZ$3,0)  )=0,"",INDEX(警職大表!$A$1:$AZ$100,MATCH($A21,警職大表!$A$1:$A$100,0),   MATCH(E$1,警職大表!$A$3:$AZ$3,0)  )        )="",D21,  IF(  INDEX(警職大表!$A$1:$AZ$100,MATCH($A21,警職大表!$A$1:$A$100,0),   MATCH(E$1,警職大表!$A$3:$AZ$3,0)  )=0,"",INDEX(警職大表!$A$1:$AZ$100,MATCH($A21,警職大表!$A$1:$A$100,0),   MATCH(E$1,警職大表!$A$3:$AZ$3,0)  ) )    ),"")</f>
        <v/>
      </c>
      <c r="F21" s="271" t="str">
        <f>_xlfn.IFNA(   IF(   IF(  INDEX(警職大表!$A$1:$AZ$100,MATCH($A21,警職大表!$A$1:$A$100,0),   MATCH(F$1,警職大表!$A$3:$AZ$3,0)  )=0,"",INDEX(警職大表!$A$1:$AZ$100,MATCH($A21,警職大表!$A$1:$A$100,0),   MATCH(F$1,警職大表!$A$3:$AZ$3,0)  )        )="",E21,  IF(  INDEX(警職大表!$A$1:$AZ$100,MATCH($A21,警職大表!$A$1:$A$100,0),   MATCH(F$1,警職大表!$A$3:$AZ$3,0)  )=0,"",INDEX(警職大表!$A$1:$AZ$100,MATCH($A21,警職大表!$A$1:$A$100,0),   MATCH(F$1,警職大表!$A$3:$AZ$3,0)  ) )    ),"")</f>
        <v/>
      </c>
      <c r="G21" s="271" t="str">
        <f>_xlfn.IFNA(   IF(   IF(  INDEX(警職大表!$A$1:$AZ$100,MATCH($A21,警職大表!$A$1:$A$100,0),   MATCH(G$1,警職大表!$A$3:$AZ$3,0)  )=0,"",INDEX(警職大表!$A$1:$AZ$100,MATCH($A21,警職大表!$A$1:$A$100,0),   MATCH(G$1,警職大表!$A$3:$AZ$3,0)  )        )="",F21,  IF(  INDEX(警職大表!$A$1:$AZ$100,MATCH($A21,警職大表!$A$1:$A$100,0),   MATCH(G$1,警職大表!$A$3:$AZ$3,0)  )=0,"",INDEX(警職大表!$A$1:$AZ$100,MATCH($A21,警職大表!$A$1:$A$100,0),   MATCH(G$1,警職大表!$A$3:$AZ$3,0)  ) )    ),"")</f>
        <v/>
      </c>
      <c r="H21" s="271" t="str">
        <f>_xlfn.IFNA(   IF(   IF(  INDEX(警職大表!$A$1:$AZ$100,MATCH($A21,警職大表!$A$1:$A$100,0),   MATCH(H$1,警職大表!$A$3:$AZ$3,0)  )=0,"",INDEX(警職大表!$A$1:$AZ$100,MATCH($A21,警職大表!$A$1:$A$100,0),   MATCH(H$1,警職大表!$A$3:$AZ$3,0)  )        )="",G21,  IF(  INDEX(警職大表!$A$1:$AZ$100,MATCH($A21,警職大表!$A$1:$A$100,0),   MATCH(H$1,警職大表!$A$3:$AZ$3,0)  )=0,"",INDEX(警職大表!$A$1:$AZ$100,MATCH($A21,警職大表!$A$1:$A$100,0),   MATCH(H$1,警職大表!$A$3:$AZ$3,0)  ) )    ),"")</f>
        <v/>
      </c>
      <c r="I21" s="271" t="str">
        <f>_xlfn.IFNA(   IF(   IF(  INDEX(警職大表!$A$1:$AZ$100,MATCH($A21,警職大表!$A$1:$A$100,0),   MATCH(I$1,警職大表!$A$3:$AZ$3,0)  )=0,"",INDEX(警職大表!$A$1:$AZ$100,MATCH($A21,警職大表!$A$1:$A$100,0),   MATCH(I$1,警職大表!$A$3:$AZ$3,0)  )        )="",H21,  IF(  INDEX(警職大表!$A$1:$AZ$100,MATCH($A21,警職大表!$A$1:$A$100,0),   MATCH(I$1,警職大表!$A$3:$AZ$3,0)  )=0,"",INDEX(警職大表!$A$1:$AZ$100,MATCH($A21,警職大表!$A$1:$A$100,0),   MATCH(I$1,警職大表!$A$3:$AZ$3,0)  ) )    ),"")</f>
        <v/>
      </c>
      <c r="J21" s="271" t="str">
        <f>_xlfn.IFNA(   IF(   IF(  INDEX(警職大表!$A$1:$AZ$100,MATCH($A21,警職大表!$A$1:$A$100,0),   MATCH(J$1,警職大表!$A$3:$AZ$3,0)  )=0,"",INDEX(警職大表!$A$1:$AZ$100,MATCH($A21,警職大表!$A$1:$A$100,0),   MATCH(J$1,警職大表!$A$3:$AZ$3,0)  )        )="",I21,  IF(  INDEX(警職大表!$A$1:$AZ$100,MATCH($A21,警職大表!$A$1:$A$100,0),   MATCH(J$1,警職大表!$A$3:$AZ$3,0)  )=0,"",INDEX(警職大表!$A$1:$AZ$100,MATCH($A21,警職大表!$A$1:$A$100,0),   MATCH(J$1,警職大表!$A$3:$AZ$3,0)  ) )    ),"")</f>
        <v/>
      </c>
      <c r="K21" s="271" t="str">
        <f>_xlfn.IFNA(   IF(   IF(  INDEX(警職大表!$A$1:$AZ$100,MATCH($A21,警職大表!$A$1:$A$100,0),   MATCH(K$1,警職大表!$A$3:$AZ$3,0)  )=0,"",INDEX(警職大表!$A$1:$AZ$100,MATCH($A21,警職大表!$A$1:$A$100,0),   MATCH(K$1,警職大表!$A$3:$AZ$3,0)  )        )="",J21,  IF(  INDEX(警職大表!$A$1:$AZ$100,MATCH($A21,警職大表!$A$1:$A$100,0),   MATCH(K$1,警職大表!$A$3:$AZ$3,0)  )=0,"",INDEX(警職大表!$A$1:$AZ$100,MATCH($A21,警職大表!$A$1:$A$100,0),   MATCH(K$1,警職大表!$A$3:$AZ$3,0)  ) )    ),"")</f>
        <v/>
      </c>
      <c r="L21" s="271" t="str">
        <f>_xlfn.IFNA(   IF(   IF(  INDEX(警職大表!$A$1:$AZ$100,MATCH($A21,警職大表!$A$1:$A$100,0),   MATCH(L$1,警職大表!$A$3:$AZ$3,0)  )=0,"",INDEX(警職大表!$A$1:$AZ$100,MATCH($A21,警職大表!$A$1:$A$100,0),   MATCH(L$1,警職大表!$A$3:$AZ$3,0)  )        )="",K21,  IF(  INDEX(警職大表!$A$1:$AZ$100,MATCH($A21,警職大表!$A$1:$A$100,0),   MATCH(L$1,警職大表!$A$3:$AZ$3,0)  )=0,"",INDEX(警職大表!$A$1:$AZ$100,MATCH($A21,警職大表!$A$1:$A$100,0),   MATCH(L$1,警職大表!$A$3:$AZ$3,0)  ) )    ),"")</f>
        <v/>
      </c>
      <c r="M21" s="271" t="str">
        <f>_xlfn.IFNA(   IF(   IF(  INDEX(警職大表!$A$1:$AZ$100,MATCH($A21,警職大表!$A$1:$A$100,0),   MATCH(M$1,警職大表!$A$3:$AZ$3,0)  )=0,"",INDEX(警職大表!$A$1:$AZ$100,MATCH($A21,警職大表!$A$1:$A$100,0),   MATCH(M$1,警職大表!$A$3:$AZ$3,0)  )        )="",L21,  IF(  INDEX(警職大表!$A$1:$AZ$100,MATCH($A21,警職大表!$A$1:$A$100,0),   MATCH(M$1,警職大表!$A$3:$AZ$3,0)  )=0,"",INDEX(警職大表!$A$1:$AZ$100,MATCH($A21,警職大表!$A$1:$A$100,0),   MATCH(M$1,警職大表!$A$3:$AZ$3,0)  ) )    ),"")</f>
        <v/>
      </c>
      <c r="N21" s="271" t="str">
        <f>_xlfn.IFNA(   IF(   IF(  INDEX(警職大表!$A$1:$AZ$100,MATCH($A21,警職大表!$A$1:$A$100,0),   MATCH(N$1,警職大表!$A$3:$AZ$3,0)  )=0,"",INDEX(警職大表!$A$1:$AZ$100,MATCH($A21,警職大表!$A$1:$A$100,0),   MATCH(N$1,警職大表!$A$3:$AZ$3,0)  )        )="",M21,  IF(  INDEX(警職大表!$A$1:$AZ$100,MATCH($A21,警職大表!$A$1:$A$100,0),   MATCH(N$1,警職大表!$A$3:$AZ$3,0)  )=0,"",INDEX(警職大表!$A$1:$AZ$100,MATCH($A21,警職大表!$A$1:$A$100,0),   MATCH(N$1,警職大表!$A$3:$AZ$3,0)  ) )    ),"")</f>
        <v/>
      </c>
      <c r="O21" s="271" t="str">
        <f>_xlfn.IFNA(   IF(   IF(  INDEX(警職大表!$A$1:$AZ$100,MATCH($A21,警職大表!$A$1:$A$100,0),   MATCH(O$1,警職大表!$A$3:$AZ$3,0)  )=0,"",INDEX(警職大表!$A$1:$AZ$100,MATCH($A21,警職大表!$A$1:$A$100,0),   MATCH(O$1,警職大表!$A$3:$AZ$3,0)  )        )="",N21,  IF(  INDEX(警職大表!$A$1:$AZ$100,MATCH($A21,警職大表!$A$1:$A$100,0),   MATCH(O$1,警職大表!$A$3:$AZ$3,0)  )=0,"",INDEX(警職大表!$A$1:$AZ$100,MATCH($A21,警職大表!$A$1:$A$100,0),   MATCH(O$1,警職大表!$A$3:$AZ$3,0)  ) )    ),"")</f>
        <v/>
      </c>
      <c r="P21" s="271" t="str">
        <f>_xlfn.IFNA(   IF(   IF(  INDEX(警職大表!$A$1:$AZ$100,MATCH($A21,警職大表!$A$1:$A$100,0),   MATCH(P$1,警職大表!$A$3:$AZ$3,0)  )=0,"",INDEX(警職大表!$A$1:$AZ$100,MATCH($A21,警職大表!$A$1:$A$100,0),   MATCH(P$1,警職大表!$A$3:$AZ$3,0)  )        )="",O21,  IF(  INDEX(警職大表!$A$1:$AZ$100,MATCH($A21,警職大表!$A$1:$A$100,0),   MATCH(P$1,警職大表!$A$3:$AZ$3,0)  )=0,"",INDEX(警職大表!$A$1:$AZ$100,MATCH($A21,警職大表!$A$1:$A$100,0),   MATCH(P$1,警職大表!$A$3:$AZ$3,0)  ) )    ),"")</f>
        <v/>
      </c>
      <c r="Q21" s="271" t="str">
        <f>_xlfn.IFNA(   IF(   IF(  INDEX(警職大表!$A$1:$AZ$100,MATCH($A21,警職大表!$A$1:$A$100,0),   MATCH(Q$1,警職大表!$A$3:$AZ$3,0)  )=0,"",INDEX(警職大表!$A$1:$AZ$100,MATCH($A21,警職大表!$A$1:$A$100,0),   MATCH(Q$1,警職大表!$A$3:$AZ$3,0)  )        )="",P21,  IF(  INDEX(警職大表!$A$1:$AZ$100,MATCH($A21,警職大表!$A$1:$A$100,0),   MATCH(Q$1,警職大表!$A$3:$AZ$3,0)  )=0,"",INDEX(警職大表!$A$1:$AZ$100,MATCH($A21,警職大表!$A$1:$A$100,0),   MATCH(Q$1,警職大表!$A$3:$AZ$3,0)  ) )    ),"")</f>
        <v/>
      </c>
      <c r="R21" s="271" t="str">
        <f>_xlfn.IFNA(   IF(   IF(  INDEX(警職大表!$A$1:$AZ$100,MATCH($A21,警職大表!$A$1:$A$100,0),   MATCH(R$1,警職大表!$A$3:$AZ$3,0)  )=0,"",INDEX(警職大表!$A$1:$AZ$100,MATCH($A21,警職大表!$A$1:$A$100,0),   MATCH(R$1,警職大表!$A$3:$AZ$3,0)  )        )="",Q21,  IF(  INDEX(警職大表!$A$1:$AZ$100,MATCH($A21,警職大表!$A$1:$A$100,0),   MATCH(R$1,警職大表!$A$3:$AZ$3,0)  )=0,"",INDEX(警職大表!$A$1:$AZ$100,MATCH($A21,警職大表!$A$1:$A$100,0),   MATCH(R$1,警職大表!$A$3:$AZ$3,0)  ) )    ),"")</f>
        <v/>
      </c>
      <c r="S21" s="271" t="str">
        <f>_xlfn.IFNA(   IF(   IF(  INDEX(警職大表!$A$1:$AZ$100,MATCH($A21,警職大表!$A$1:$A$100,0),   MATCH(S$1,警職大表!$A$3:$AZ$3,0)  )=0,"",INDEX(警職大表!$A$1:$AZ$100,MATCH($A21,警職大表!$A$1:$A$100,0),   MATCH(S$1,警職大表!$A$3:$AZ$3,0)  )        )="",R21,  IF(  INDEX(警職大表!$A$1:$AZ$100,MATCH($A21,警職大表!$A$1:$A$100,0),   MATCH(S$1,警職大表!$A$3:$AZ$3,0)  )=0,"",INDEX(警職大表!$A$1:$AZ$100,MATCH($A21,警職大表!$A$1:$A$100,0),   MATCH(S$1,警職大表!$A$3:$AZ$3,0)  ) )    ),"")</f>
        <v/>
      </c>
      <c r="T21" s="271" t="str">
        <f>_xlfn.IFNA(   IF(   IF(  INDEX(警職大表!$A$1:$AZ$100,MATCH($A21,警職大表!$A$1:$A$100,0),   MATCH(T$1,警職大表!$A$3:$AZ$3,0)  )=0,"",INDEX(警職大表!$A$1:$AZ$100,MATCH($A21,警職大表!$A$1:$A$100,0),   MATCH(T$1,警職大表!$A$3:$AZ$3,0)  )        )="",S21,  IF(  INDEX(警職大表!$A$1:$AZ$100,MATCH($A21,警職大表!$A$1:$A$100,0),   MATCH(T$1,警職大表!$A$3:$AZ$3,0)  )=0,"",INDEX(警職大表!$A$1:$AZ$100,MATCH($A21,警職大表!$A$1:$A$100,0),   MATCH(T$1,警職大表!$A$3:$AZ$3,0)  ) )    ),"")</f>
        <v/>
      </c>
      <c r="U21" s="271" t="str">
        <f>_xlfn.IFNA(   IF(   IF(  INDEX(警職大表!$A$1:$AZ$100,MATCH($A21,警職大表!$A$1:$A$100,0),   MATCH(U$1,警職大表!$A$3:$AZ$3,0)  )=0,"",INDEX(警職大表!$A$1:$AZ$100,MATCH($A21,警職大表!$A$1:$A$100,0),   MATCH(U$1,警職大表!$A$3:$AZ$3,0)  )        )="",T21,  IF(  INDEX(警職大表!$A$1:$AZ$100,MATCH($A21,警職大表!$A$1:$A$100,0),   MATCH(U$1,警職大表!$A$3:$AZ$3,0)  )=0,"",INDEX(警職大表!$A$1:$AZ$100,MATCH($A21,警職大表!$A$1:$A$100,0),   MATCH(U$1,警職大表!$A$3:$AZ$3,0)  ) )    ),"")</f>
        <v/>
      </c>
      <c r="V21" s="271" t="str">
        <f>_xlfn.IFNA(   IF(   IF(  INDEX(警職大表!$A$1:$AZ$100,MATCH($A21,警職大表!$A$1:$A$100,0),   MATCH(V$1,警職大表!$A$3:$AZ$3,0)  )=0,"",INDEX(警職大表!$A$1:$AZ$100,MATCH($A21,警職大表!$A$1:$A$100,0),   MATCH(V$1,警職大表!$A$3:$AZ$3,0)  )        )="",U21,  IF(  INDEX(警職大表!$A$1:$AZ$100,MATCH($A21,警職大表!$A$1:$A$100,0),   MATCH(V$1,警職大表!$A$3:$AZ$3,0)  )=0,"",INDEX(警職大表!$A$1:$AZ$100,MATCH($A21,警職大表!$A$1:$A$100,0),   MATCH(V$1,警職大表!$A$3:$AZ$3,0)  ) )    ),"")</f>
        <v/>
      </c>
      <c r="W21" s="271" t="str">
        <f>_xlfn.IFNA(   IF(   IF(  INDEX(警職大表!$A$1:$AZ$100,MATCH($A21,警職大表!$A$1:$A$100,0),   MATCH(W$1,警職大表!$A$3:$AZ$3,0)  )=0,"",INDEX(警職大表!$A$1:$AZ$100,MATCH($A21,警職大表!$A$1:$A$100,0),   MATCH(W$1,警職大表!$A$3:$AZ$3,0)  )        )="",V21,  IF(  INDEX(警職大表!$A$1:$AZ$100,MATCH($A21,警職大表!$A$1:$A$100,0),   MATCH(W$1,警職大表!$A$3:$AZ$3,0)  )=0,"",INDEX(警職大表!$A$1:$AZ$100,MATCH($A21,警職大表!$A$1:$A$100,0),   MATCH(W$1,警職大表!$A$3:$AZ$3,0)  ) )    ),"")</f>
        <v/>
      </c>
      <c r="X21" s="271" t="str">
        <f>_xlfn.IFNA(   IF(   IF(  INDEX(警職大表!$A$1:$AZ$100,MATCH($A21,警職大表!$A$1:$A$100,0),   MATCH(X$1,警職大表!$A$3:$AZ$3,0)  )=0,"",INDEX(警職大表!$A$1:$AZ$100,MATCH($A21,警職大表!$A$1:$A$100,0),   MATCH(X$1,警職大表!$A$3:$AZ$3,0)  )        )="",W21,  IF(  INDEX(警職大表!$A$1:$AZ$100,MATCH($A21,警職大表!$A$1:$A$100,0),   MATCH(X$1,警職大表!$A$3:$AZ$3,0)  )=0,"",INDEX(警職大表!$A$1:$AZ$100,MATCH($A21,警職大表!$A$1:$A$100,0),   MATCH(X$1,警職大表!$A$3:$AZ$3,0)  ) )    ),"")</f>
        <v/>
      </c>
      <c r="Y21" s="271" t="str">
        <f>_xlfn.IFNA(   IF(   IF(  INDEX(警職大表!$A$1:$AZ$100,MATCH($A21,警職大表!$A$1:$A$100,0),   MATCH(Y$1,警職大表!$A$3:$AZ$3,0)  )=0,"",INDEX(警職大表!$A$1:$AZ$100,MATCH($A21,警職大表!$A$1:$A$100,0),   MATCH(Y$1,警職大表!$A$3:$AZ$3,0)  )        )="",X21,  IF(  INDEX(警職大表!$A$1:$AZ$100,MATCH($A21,警職大表!$A$1:$A$100,0),   MATCH(Y$1,警職大表!$A$3:$AZ$3,0)  )=0,"",INDEX(警職大表!$A$1:$AZ$100,MATCH($A21,警職大表!$A$1:$A$100,0),   MATCH(Y$1,警職大表!$A$3:$AZ$3,0)  ) )    ),"")</f>
        <v/>
      </c>
      <c r="Z21" s="271" t="str">
        <f>_xlfn.IFNA(   IF(   IF(  INDEX(警職大表!$A$1:$AZ$100,MATCH($A21,警職大表!$A$1:$A$100,0),   MATCH(Z$1,警職大表!$A$3:$AZ$3,0)  )=0,"",INDEX(警職大表!$A$1:$AZ$100,MATCH($A21,警職大表!$A$1:$A$100,0),   MATCH(Z$1,警職大表!$A$3:$AZ$3,0)  )        )="",Y21,  IF(  INDEX(警職大表!$A$1:$AZ$100,MATCH($A21,警職大表!$A$1:$A$100,0),   MATCH(Z$1,警職大表!$A$3:$AZ$3,0)  )=0,"",INDEX(警職大表!$A$1:$AZ$100,MATCH($A21,警職大表!$A$1:$A$100,0),   MATCH(Z$1,警職大表!$A$3:$AZ$3,0)  ) )    ),"")</f>
        <v/>
      </c>
      <c r="AA21" s="271" t="str">
        <f>_xlfn.IFNA(   IF(   IF(  INDEX(警職大表!$A$1:$AZ$100,MATCH($A21,警職大表!$A$1:$A$100,0),   MATCH(AA$1,警職大表!$A$3:$AZ$3,0)  )=0,"",INDEX(警職大表!$A$1:$AZ$100,MATCH($A21,警職大表!$A$1:$A$100,0),   MATCH(AA$1,警職大表!$A$3:$AZ$3,0)  )        )="",Z21,  IF(  INDEX(警職大表!$A$1:$AZ$100,MATCH($A21,警職大表!$A$1:$A$100,0),   MATCH(AA$1,警職大表!$A$3:$AZ$3,0)  )=0,"",INDEX(警職大表!$A$1:$AZ$100,MATCH($A21,警職大表!$A$1:$A$100,0),   MATCH(AA$1,警職大表!$A$3:$AZ$3,0)  ) )    ),"")</f>
        <v/>
      </c>
      <c r="AB21" s="271" t="str">
        <f>_xlfn.IFNA(   IF(   IF(  INDEX(警職大表!$A$1:$AZ$100,MATCH($A21,警職大表!$A$1:$A$100,0),   MATCH(AB$1,警職大表!$A$3:$AZ$3,0)  )=0,"",INDEX(警職大表!$A$1:$AZ$100,MATCH($A21,警職大表!$A$1:$A$100,0),   MATCH(AB$1,警職大表!$A$3:$AZ$3,0)  )        )="",AA21,  IF(  INDEX(警職大表!$A$1:$AZ$100,MATCH($A21,警職大表!$A$1:$A$100,0),   MATCH(AB$1,警職大表!$A$3:$AZ$3,0)  )=0,"",INDEX(警職大表!$A$1:$AZ$100,MATCH($A21,警職大表!$A$1:$A$100,0),   MATCH(AB$1,警職大表!$A$3:$AZ$3,0)  ) )    ),"")</f>
        <v/>
      </c>
      <c r="AC21" s="271" t="str">
        <f>_xlfn.IFNA(   IF(   IF(  INDEX(警職大表!$A$1:$AZ$100,MATCH($A21,警職大表!$A$1:$A$100,0),   MATCH(AC$1,警職大表!$A$3:$AZ$3,0)  )=0,"",INDEX(警職大表!$A$1:$AZ$100,MATCH($A21,警職大表!$A$1:$A$100,0),   MATCH(AC$1,警職大表!$A$3:$AZ$3,0)  )        )="",AB21,  IF(  INDEX(警職大表!$A$1:$AZ$100,MATCH($A21,警職大表!$A$1:$A$100,0),   MATCH(AC$1,警職大表!$A$3:$AZ$3,0)  )=0,"",INDEX(警職大表!$A$1:$AZ$100,MATCH($A21,警職大表!$A$1:$A$100,0),   MATCH(AC$1,警職大表!$A$3:$AZ$3,0)  ) )    ),"")</f>
        <v/>
      </c>
      <c r="AD21" s="271" t="str">
        <f>_xlfn.IFNA(   IF(   IF(  INDEX(警職大表!$A$1:$AZ$100,MATCH($A21,警職大表!$A$1:$A$100,0),   MATCH(AD$1,警職大表!$A$3:$AZ$3,0)  )=0,"",INDEX(警職大表!$A$1:$AZ$100,MATCH($A21,警職大表!$A$1:$A$100,0),   MATCH(AD$1,警職大表!$A$3:$AZ$3,0)  )        )="",AC21,  IF(  INDEX(警職大表!$A$1:$AZ$100,MATCH($A21,警職大表!$A$1:$A$100,0),   MATCH(AD$1,警職大表!$A$3:$AZ$3,0)  )=0,"",INDEX(警職大表!$A$1:$AZ$100,MATCH($A21,警職大表!$A$1:$A$100,0),   MATCH(AD$1,警職大表!$A$3:$AZ$3,0)  ) )    ),"")</f>
        <v/>
      </c>
      <c r="AE21" s="271" t="str">
        <f>_xlfn.IFNA(   IF(   IF(  INDEX(警職大表!$A$1:$AZ$100,MATCH($A21,警職大表!$A$1:$A$100,0),   MATCH(AE$1,警職大表!$A$3:$AZ$3,0)  )=0,"",INDEX(警職大表!$A$1:$AZ$100,MATCH($A21,警職大表!$A$1:$A$100,0),   MATCH(AE$1,警職大表!$A$3:$AZ$3,0)  )        )="",AD21,  IF(  INDEX(警職大表!$A$1:$AZ$100,MATCH($A21,警職大表!$A$1:$A$100,0),   MATCH(AE$1,警職大表!$A$3:$AZ$3,0)  )=0,"",INDEX(警職大表!$A$1:$AZ$100,MATCH($A21,警職大表!$A$1:$A$100,0),   MATCH(AE$1,警職大表!$A$3:$AZ$3,0)  ) )    ),"")</f>
        <v/>
      </c>
      <c r="AF21" s="271" t="str">
        <f>_xlfn.IFNA(   IF(   IF(  INDEX(警職大表!$A$1:$AZ$100,MATCH($A21,警職大表!$A$1:$A$100,0),   MATCH(AF$1,警職大表!$A$3:$AZ$3,0)  )=0,"",INDEX(警職大表!$A$1:$AZ$100,MATCH($A21,警職大表!$A$1:$A$100,0),   MATCH(AF$1,警職大表!$A$3:$AZ$3,0)  )        )="",AE21,  IF(  INDEX(警職大表!$A$1:$AZ$100,MATCH($A21,警職大表!$A$1:$A$100,0),   MATCH(AF$1,警職大表!$A$3:$AZ$3,0)  )=0,"",INDEX(警職大表!$A$1:$AZ$100,MATCH($A21,警職大表!$A$1:$A$100,0),   MATCH(AF$1,警職大表!$A$3:$AZ$3,0)  ) )    ),"")</f>
        <v/>
      </c>
      <c r="AG21" s="271" t="str">
        <f>_xlfn.IFNA(   IF(   IF(  INDEX(警職大表!$A$1:$AZ$100,MATCH($A21,警職大表!$A$1:$A$100,0),   MATCH(AG$1,警職大表!$A$3:$AZ$3,0)  )=0,"",INDEX(警職大表!$A$1:$AZ$100,MATCH($A21,警職大表!$A$1:$A$100,0),   MATCH(AG$1,警職大表!$A$3:$AZ$3,0)  )        )="",AF21,  IF(  INDEX(警職大表!$A$1:$AZ$100,MATCH($A21,警職大表!$A$1:$A$100,0),   MATCH(AG$1,警職大表!$A$3:$AZ$3,0)  )=0,"",INDEX(警職大表!$A$1:$AZ$100,MATCH($A21,警職大表!$A$1:$A$100,0),   MATCH(AG$1,警職大表!$A$3:$AZ$3,0)  ) )    ),"")</f>
        <v/>
      </c>
      <c r="AL21" s="271" t="str">
        <f t="shared" si="0"/>
        <v/>
      </c>
      <c r="AM21" s="271" t="str">
        <f t="shared" si="1"/>
        <v/>
      </c>
      <c r="AN21" s="271" t="str">
        <f>INDEX(   $A$41:$AG$78, MATCH(AL21,$A$41:$A$78,0),MATCH(  DAY(勤務分配表!$AN$1),$A$41:$AL$41,0  )  )</f>
        <v/>
      </c>
      <c r="AO21" s="271" t="str">
        <f>IF((ROW(AO21)-1)&lt;=日期輸入!$B$5,_xlfn.IFNA(IF(INDEX($A$1:$AG$40,MATCH($AM21,$B$1:$B$100,0),VALUE($AO$1+3))="成","補",INDEX($A$1:$AG$40,MATCH($AM21,$B$1:$B$100,0),VALUE($AO$1+3))),""),"")</f>
        <v/>
      </c>
      <c r="AP21" s="271" t="str">
        <f>IF((ROW(AP21)-1)&lt;=日期輸入!$B$5,_xlfn.IFNA(IF(INDEX($A$1:$AG$40,MATCH($AM21,$B$1:$B$100,0),VALUE($AP$1+3))="成","補",INDEX($A$1:$AG$40,MATCH($AM21,$B$1:$B$100,0),VALUE($AP$1+3))),""),"")</f>
        <v/>
      </c>
      <c r="AQ21" s="271" t="str">
        <f>IF((ROW(AQ21)-1)&lt;=日期輸入!$B$5,_xlfn.IFNA(IF(INDEX($A$1:$AG$40,MATCH($AM21,$B$1:$B$100,0),VALUE($AQ$1+3))="成","補",INDEX($A$1:$AG$40,MATCH($AM21,$B$1:$B$100,0),VALUE($AQ$1+3))),""),"")</f>
        <v/>
      </c>
    </row>
    <row r="22" spans="1:43">
      <c r="A22" s="271" t="str">
        <f>IF(  (ROW(A22)-1)&lt;=日期輸入!$B$5,勤務分配!A22,"")</f>
        <v/>
      </c>
      <c r="B22" s="271" t="str">
        <f>_xlfn.IFNA(  INDEX(警職大表!$A$1:$AZ$100,MATCH(A22,警職大表!$A$1:$A$100,0),3),"")</f>
        <v/>
      </c>
      <c r="C22" s="271" t="str">
        <f>_xlfn.IFNA(  IF(  INDEX(警職大表!$A$1:$AZ$100,MATCH($A22,警職大表!$A$1:$A$100,0),   MATCH(C$1,警職大表!$A$3:$AZ$3,0)  )=0,"",INDEX(警職大表!$A$1:$AZ$100,MATCH($A22,警職大表!$A$1:$A$100,0),   MATCH(C$1,警職大表!$A$3:$AZ$3,0)  )                ),"")</f>
        <v/>
      </c>
      <c r="D22" s="271" t="str">
        <f>_xlfn.IFNA(   IF(   IF(  INDEX(警職大表!$A$1:$AZ$100,MATCH($A22,警職大表!$A$1:$A$100,0),   MATCH(D$1,警職大表!$A$3:$AZ$3,0)  )=0,"",INDEX(警職大表!$A$1:$AZ$100,MATCH($A22,警職大表!$A$1:$A$100,0),   MATCH(D$1,警職大表!$A$3:$AZ$3,0)  )        )="",C22,  IF(  INDEX(警職大表!$A$1:$AZ$100,MATCH($A22,警職大表!$A$1:$A$100,0),   MATCH(D$1,警職大表!$A$3:$AZ$3,0)  )=0,"",INDEX(警職大表!$A$1:$AZ$100,MATCH($A22,警職大表!$A$1:$A$100,0),   MATCH(D$1,警職大表!$A$3:$AZ$3,0)  ) )    ),"")</f>
        <v/>
      </c>
      <c r="E22" s="271" t="str">
        <f>_xlfn.IFNA(   IF(   IF(  INDEX(警職大表!$A$1:$AZ$100,MATCH($A22,警職大表!$A$1:$A$100,0),   MATCH(E$1,警職大表!$A$3:$AZ$3,0)  )=0,"",INDEX(警職大表!$A$1:$AZ$100,MATCH($A22,警職大表!$A$1:$A$100,0),   MATCH(E$1,警職大表!$A$3:$AZ$3,0)  )        )="",D22,  IF(  INDEX(警職大表!$A$1:$AZ$100,MATCH($A22,警職大表!$A$1:$A$100,0),   MATCH(E$1,警職大表!$A$3:$AZ$3,0)  )=0,"",INDEX(警職大表!$A$1:$AZ$100,MATCH($A22,警職大表!$A$1:$A$100,0),   MATCH(E$1,警職大表!$A$3:$AZ$3,0)  ) )    ),"")</f>
        <v/>
      </c>
      <c r="F22" s="271" t="str">
        <f>_xlfn.IFNA(   IF(   IF(  INDEX(警職大表!$A$1:$AZ$100,MATCH($A22,警職大表!$A$1:$A$100,0),   MATCH(F$1,警職大表!$A$3:$AZ$3,0)  )=0,"",INDEX(警職大表!$A$1:$AZ$100,MATCH($A22,警職大表!$A$1:$A$100,0),   MATCH(F$1,警職大表!$A$3:$AZ$3,0)  )        )="",E22,  IF(  INDEX(警職大表!$A$1:$AZ$100,MATCH($A22,警職大表!$A$1:$A$100,0),   MATCH(F$1,警職大表!$A$3:$AZ$3,0)  )=0,"",INDEX(警職大表!$A$1:$AZ$100,MATCH($A22,警職大表!$A$1:$A$100,0),   MATCH(F$1,警職大表!$A$3:$AZ$3,0)  ) )    ),"")</f>
        <v/>
      </c>
      <c r="G22" s="271" t="str">
        <f>_xlfn.IFNA(   IF(   IF(  INDEX(警職大表!$A$1:$AZ$100,MATCH($A22,警職大表!$A$1:$A$100,0),   MATCH(G$1,警職大表!$A$3:$AZ$3,0)  )=0,"",INDEX(警職大表!$A$1:$AZ$100,MATCH($A22,警職大表!$A$1:$A$100,0),   MATCH(G$1,警職大表!$A$3:$AZ$3,0)  )        )="",F22,  IF(  INDEX(警職大表!$A$1:$AZ$100,MATCH($A22,警職大表!$A$1:$A$100,0),   MATCH(G$1,警職大表!$A$3:$AZ$3,0)  )=0,"",INDEX(警職大表!$A$1:$AZ$100,MATCH($A22,警職大表!$A$1:$A$100,0),   MATCH(G$1,警職大表!$A$3:$AZ$3,0)  ) )    ),"")</f>
        <v/>
      </c>
      <c r="H22" s="271" t="str">
        <f>_xlfn.IFNA(   IF(   IF(  INDEX(警職大表!$A$1:$AZ$100,MATCH($A22,警職大表!$A$1:$A$100,0),   MATCH(H$1,警職大表!$A$3:$AZ$3,0)  )=0,"",INDEX(警職大表!$A$1:$AZ$100,MATCH($A22,警職大表!$A$1:$A$100,0),   MATCH(H$1,警職大表!$A$3:$AZ$3,0)  )        )="",G22,  IF(  INDEX(警職大表!$A$1:$AZ$100,MATCH($A22,警職大表!$A$1:$A$100,0),   MATCH(H$1,警職大表!$A$3:$AZ$3,0)  )=0,"",INDEX(警職大表!$A$1:$AZ$100,MATCH($A22,警職大表!$A$1:$A$100,0),   MATCH(H$1,警職大表!$A$3:$AZ$3,0)  ) )    ),"")</f>
        <v/>
      </c>
      <c r="I22" s="271" t="str">
        <f>_xlfn.IFNA(   IF(   IF(  INDEX(警職大表!$A$1:$AZ$100,MATCH($A22,警職大表!$A$1:$A$100,0),   MATCH(I$1,警職大表!$A$3:$AZ$3,0)  )=0,"",INDEX(警職大表!$A$1:$AZ$100,MATCH($A22,警職大表!$A$1:$A$100,0),   MATCH(I$1,警職大表!$A$3:$AZ$3,0)  )        )="",H22,  IF(  INDEX(警職大表!$A$1:$AZ$100,MATCH($A22,警職大表!$A$1:$A$100,0),   MATCH(I$1,警職大表!$A$3:$AZ$3,0)  )=0,"",INDEX(警職大表!$A$1:$AZ$100,MATCH($A22,警職大表!$A$1:$A$100,0),   MATCH(I$1,警職大表!$A$3:$AZ$3,0)  ) )    ),"")</f>
        <v/>
      </c>
      <c r="J22" s="271" t="str">
        <f>_xlfn.IFNA(   IF(   IF(  INDEX(警職大表!$A$1:$AZ$100,MATCH($A22,警職大表!$A$1:$A$100,0),   MATCH(J$1,警職大表!$A$3:$AZ$3,0)  )=0,"",INDEX(警職大表!$A$1:$AZ$100,MATCH($A22,警職大表!$A$1:$A$100,0),   MATCH(J$1,警職大表!$A$3:$AZ$3,0)  )        )="",I22,  IF(  INDEX(警職大表!$A$1:$AZ$100,MATCH($A22,警職大表!$A$1:$A$100,0),   MATCH(J$1,警職大表!$A$3:$AZ$3,0)  )=0,"",INDEX(警職大表!$A$1:$AZ$100,MATCH($A22,警職大表!$A$1:$A$100,0),   MATCH(J$1,警職大表!$A$3:$AZ$3,0)  ) )    ),"")</f>
        <v/>
      </c>
      <c r="K22" s="271" t="str">
        <f>_xlfn.IFNA(   IF(   IF(  INDEX(警職大表!$A$1:$AZ$100,MATCH($A22,警職大表!$A$1:$A$100,0),   MATCH(K$1,警職大表!$A$3:$AZ$3,0)  )=0,"",INDEX(警職大表!$A$1:$AZ$100,MATCH($A22,警職大表!$A$1:$A$100,0),   MATCH(K$1,警職大表!$A$3:$AZ$3,0)  )        )="",J22,  IF(  INDEX(警職大表!$A$1:$AZ$100,MATCH($A22,警職大表!$A$1:$A$100,0),   MATCH(K$1,警職大表!$A$3:$AZ$3,0)  )=0,"",INDEX(警職大表!$A$1:$AZ$100,MATCH($A22,警職大表!$A$1:$A$100,0),   MATCH(K$1,警職大表!$A$3:$AZ$3,0)  ) )    ),"")</f>
        <v/>
      </c>
      <c r="L22" s="271" t="str">
        <f>_xlfn.IFNA(   IF(   IF(  INDEX(警職大表!$A$1:$AZ$100,MATCH($A22,警職大表!$A$1:$A$100,0),   MATCH(L$1,警職大表!$A$3:$AZ$3,0)  )=0,"",INDEX(警職大表!$A$1:$AZ$100,MATCH($A22,警職大表!$A$1:$A$100,0),   MATCH(L$1,警職大表!$A$3:$AZ$3,0)  )        )="",K22,  IF(  INDEX(警職大表!$A$1:$AZ$100,MATCH($A22,警職大表!$A$1:$A$100,0),   MATCH(L$1,警職大表!$A$3:$AZ$3,0)  )=0,"",INDEX(警職大表!$A$1:$AZ$100,MATCH($A22,警職大表!$A$1:$A$100,0),   MATCH(L$1,警職大表!$A$3:$AZ$3,0)  ) )    ),"")</f>
        <v/>
      </c>
      <c r="M22" s="271" t="str">
        <f>_xlfn.IFNA(   IF(   IF(  INDEX(警職大表!$A$1:$AZ$100,MATCH($A22,警職大表!$A$1:$A$100,0),   MATCH(M$1,警職大表!$A$3:$AZ$3,0)  )=0,"",INDEX(警職大表!$A$1:$AZ$100,MATCH($A22,警職大表!$A$1:$A$100,0),   MATCH(M$1,警職大表!$A$3:$AZ$3,0)  )        )="",L22,  IF(  INDEX(警職大表!$A$1:$AZ$100,MATCH($A22,警職大表!$A$1:$A$100,0),   MATCH(M$1,警職大表!$A$3:$AZ$3,0)  )=0,"",INDEX(警職大表!$A$1:$AZ$100,MATCH($A22,警職大表!$A$1:$A$100,0),   MATCH(M$1,警職大表!$A$3:$AZ$3,0)  ) )    ),"")</f>
        <v/>
      </c>
      <c r="N22" s="271" t="str">
        <f>_xlfn.IFNA(   IF(   IF(  INDEX(警職大表!$A$1:$AZ$100,MATCH($A22,警職大表!$A$1:$A$100,0),   MATCH(N$1,警職大表!$A$3:$AZ$3,0)  )=0,"",INDEX(警職大表!$A$1:$AZ$100,MATCH($A22,警職大表!$A$1:$A$100,0),   MATCH(N$1,警職大表!$A$3:$AZ$3,0)  )        )="",M22,  IF(  INDEX(警職大表!$A$1:$AZ$100,MATCH($A22,警職大表!$A$1:$A$100,0),   MATCH(N$1,警職大表!$A$3:$AZ$3,0)  )=0,"",INDEX(警職大表!$A$1:$AZ$100,MATCH($A22,警職大表!$A$1:$A$100,0),   MATCH(N$1,警職大表!$A$3:$AZ$3,0)  ) )    ),"")</f>
        <v/>
      </c>
      <c r="O22" s="271" t="str">
        <f>_xlfn.IFNA(   IF(   IF(  INDEX(警職大表!$A$1:$AZ$100,MATCH($A22,警職大表!$A$1:$A$100,0),   MATCH(O$1,警職大表!$A$3:$AZ$3,0)  )=0,"",INDEX(警職大表!$A$1:$AZ$100,MATCH($A22,警職大表!$A$1:$A$100,0),   MATCH(O$1,警職大表!$A$3:$AZ$3,0)  )        )="",N22,  IF(  INDEX(警職大表!$A$1:$AZ$100,MATCH($A22,警職大表!$A$1:$A$100,0),   MATCH(O$1,警職大表!$A$3:$AZ$3,0)  )=0,"",INDEX(警職大表!$A$1:$AZ$100,MATCH($A22,警職大表!$A$1:$A$100,0),   MATCH(O$1,警職大表!$A$3:$AZ$3,0)  ) )    ),"")</f>
        <v/>
      </c>
      <c r="P22" s="271" t="str">
        <f>_xlfn.IFNA(   IF(   IF(  INDEX(警職大表!$A$1:$AZ$100,MATCH($A22,警職大表!$A$1:$A$100,0),   MATCH(P$1,警職大表!$A$3:$AZ$3,0)  )=0,"",INDEX(警職大表!$A$1:$AZ$100,MATCH($A22,警職大表!$A$1:$A$100,0),   MATCH(P$1,警職大表!$A$3:$AZ$3,0)  )        )="",O22,  IF(  INDEX(警職大表!$A$1:$AZ$100,MATCH($A22,警職大表!$A$1:$A$100,0),   MATCH(P$1,警職大表!$A$3:$AZ$3,0)  )=0,"",INDEX(警職大表!$A$1:$AZ$100,MATCH($A22,警職大表!$A$1:$A$100,0),   MATCH(P$1,警職大表!$A$3:$AZ$3,0)  ) )    ),"")</f>
        <v/>
      </c>
      <c r="Q22" s="271" t="str">
        <f>_xlfn.IFNA(   IF(   IF(  INDEX(警職大表!$A$1:$AZ$100,MATCH($A22,警職大表!$A$1:$A$100,0),   MATCH(Q$1,警職大表!$A$3:$AZ$3,0)  )=0,"",INDEX(警職大表!$A$1:$AZ$100,MATCH($A22,警職大表!$A$1:$A$100,0),   MATCH(Q$1,警職大表!$A$3:$AZ$3,0)  )        )="",P22,  IF(  INDEX(警職大表!$A$1:$AZ$100,MATCH($A22,警職大表!$A$1:$A$100,0),   MATCH(Q$1,警職大表!$A$3:$AZ$3,0)  )=0,"",INDEX(警職大表!$A$1:$AZ$100,MATCH($A22,警職大表!$A$1:$A$100,0),   MATCH(Q$1,警職大表!$A$3:$AZ$3,0)  ) )    ),"")</f>
        <v/>
      </c>
      <c r="R22" s="271" t="str">
        <f>_xlfn.IFNA(   IF(   IF(  INDEX(警職大表!$A$1:$AZ$100,MATCH($A22,警職大表!$A$1:$A$100,0),   MATCH(R$1,警職大表!$A$3:$AZ$3,0)  )=0,"",INDEX(警職大表!$A$1:$AZ$100,MATCH($A22,警職大表!$A$1:$A$100,0),   MATCH(R$1,警職大表!$A$3:$AZ$3,0)  )        )="",Q22,  IF(  INDEX(警職大表!$A$1:$AZ$100,MATCH($A22,警職大表!$A$1:$A$100,0),   MATCH(R$1,警職大表!$A$3:$AZ$3,0)  )=0,"",INDEX(警職大表!$A$1:$AZ$100,MATCH($A22,警職大表!$A$1:$A$100,0),   MATCH(R$1,警職大表!$A$3:$AZ$3,0)  ) )    ),"")</f>
        <v/>
      </c>
      <c r="S22" s="271" t="str">
        <f>_xlfn.IFNA(   IF(   IF(  INDEX(警職大表!$A$1:$AZ$100,MATCH($A22,警職大表!$A$1:$A$100,0),   MATCH(S$1,警職大表!$A$3:$AZ$3,0)  )=0,"",INDEX(警職大表!$A$1:$AZ$100,MATCH($A22,警職大表!$A$1:$A$100,0),   MATCH(S$1,警職大表!$A$3:$AZ$3,0)  )        )="",R22,  IF(  INDEX(警職大表!$A$1:$AZ$100,MATCH($A22,警職大表!$A$1:$A$100,0),   MATCH(S$1,警職大表!$A$3:$AZ$3,0)  )=0,"",INDEX(警職大表!$A$1:$AZ$100,MATCH($A22,警職大表!$A$1:$A$100,0),   MATCH(S$1,警職大表!$A$3:$AZ$3,0)  ) )    ),"")</f>
        <v/>
      </c>
      <c r="T22" s="271" t="str">
        <f>_xlfn.IFNA(   IF(   IF(  INDEX(警職大表!$A$1:$AZ$100,MATCH($A22,警職大表!$A$1:$A$100,0),   MATCH(T$1,警職大表!$A$3:$AZ$3,0)  )=0,"",INDEX(警職大表!$A$1:$AZ$100,MATCH($A22,警職大表!$A$1:$A$100,0),   MATCH(T$1,警職大表!$A$3:$AZ$3,0)  )        )="",S22,  IF(  INDEX(警職大表!$A$1:$AZ$100,MATCH($A22,警職大表!$A$1:$A$100,0),   MATCH(T$1,警職大表!$A$3:$AZ$3,0)  )=0,"",INDEX(警職大表!$A$1:$AZ$100,MATCH($A22,警職大表!$A$1:$A$100,0),   MATCH(T$1,警職大表!$A$3:$AZ$3,0)  ) )    ),"")</f>
        <v/>
      </c>
      <c r="U22" s="271" t="str">
        <f>_xlfn.IFNA(   IF(   IF(  INDEX(警職大表!$A$1:$AZ$100,MATCH($A22,警職大表!$A$1:$A$100,0),   MATCH(U$1,警職大表!$A$3:$AZ$3,0)  )=0,"",INDEX(警職大表!$A$1:$AZ$100,MATCH($A22,警職大表!$A$1:$A$100,0),   MATCH(U$1,警職大表!$A$3:$AZ$3,0)  )        )="",T22,  IF(  INDEX(警職大表!$A$1:$AZ$100,MATCH($A22,警職大表!$A$1:$A$100,0),   MATCH(U$1,警職大表!$A$3:$AZ$3,0)  )=0,"",INDEX(警職大表!$A$1:$AZ$100,MATCH($A22,警職大表!$A$1:$A$100,0),   MATCH(U$1,警職大表!$A$3:$AZ$3,0)  ) )    ),"")</f>
        <v/>
      </c>
      <c r="V22" s="271" t="str">
        <f>_xlfn.IFNA(   IF(   IF(  INDEX(警職大表!$A$1:$AZ$100,MATCH($A22,警職大表!$A$1:$A$100,0),   MATCH(V$1,警職大表!$A$3:$AZ$3,0)  )=0,"",INDEX(警職大表!$A$1:$AZ$100,MATCH($A22,警職大表!$A$1:$A$100,0),   MATCH(V$1,警職大表!$A$3:$AZ$3,0)  )        )="",U22,  IF(  INDEX(警職大表!$A$1:$AZ$100,MATCH($A22,警職大表!$A$1:$A$100,0),   MATCH(V$1,警職大表!$A$3:$AZ$3,0)  )=0,"",INDEX(警職大表!$A$1:$AZ$100,MATCH($A22,警職大表!$A$1:$A$100,0),   MATCH(V$1,警職大表!$A$3:$AZ$3,0)  ) )    ),"")</f>
        <v/>
      </c>
      <c r="W22" s="271" t="str">
        <f>_xlfn.IFNA(   IF(   IF(  INDEX(警職大表!$A$1:$AZ$100,MATCH($A22,警職大表!$A$1:$A$100,0),   MATCH(W$1,警職大表!$A$3:$AZ$3,0)  )=0,"",INDEX(警職大表!$A$1:$AZ$100,MATCH($A22,警職大表!$A$1:$A$100,0),   MATCH(W$1,警職大表!$A$3:$AZ$3,0)  )        )="",V22,  IF(  INDEX(警職大表!$A$1:$AZ$100,MATCH($A22,警職大表!$A$1:$A$100,0),   MATCH(W$1,警職大表!$A$3:$AZ$3,0)  )=0,"",INDEX(警職大表!$A$1:$AZ$100,MATCH($A22,警職大表!$A$1:$A$100,0),   MATCH(W$1,警職大表!$A$3:$AZ$3,0)  ) )    ),"")</f>
        <v/>
      </c>
      <c r="X22" s="271" t="str">
        <f>_xlfn.IFNA(   IF(   IF(  INDEX(警職大表!$A$1:$AZ$100,MATCH($A22,警職大表!$A$1:$A$100,0),   MATCH(X$1,警職大表!$A$3:$AZ$3,0)  )=0,"",INDEX(警職大表!$A$1:$AZ$100,MATCH($A22,警職大表!$A$1:$A$100,0),   MATCH(X$1,警職大表!$A$3:$AZ$3,0)  )        )="",W22,  IF(  INDEX(警職大表!$A$1:$AZ$100,MATCH($A22,警職大表!$A$1:$A$100,0),   MATCH(X$1,警職大表!$A$3:$AZ$3,0)  )=0,"",INDEX(警職大表!$A$1:$AZ$100,MATCH($A22,警職大表!$A$1:$A$100,0),   MATCH(X$1,警職大表!$A$3:$AZ$3,0)  ) )    ),"")</f>
        <v/>
      </c>
      <c r="Y22" s="271" t="str">
        <f>_xlfn.IFNA(   IF(   IF(  INDEX(警職大表!$A$1:$AZ$100,MATCH($A22,警職大表!$A$1:$A$100,0),   MATCH(Y$1,警職大表!$A$3:$AZ$3,0)  )=0,"",INDEX(警職大表!$A$1:$AZ$100,MATCH($A22,警職大表!$A$1:$A$100,0),   MATCH(Y$1,警職大表!$A$3:$AZ$3,0)  )        )="",X22,  IF(  INDEX(警職大表!$A$1:$AZ$100,MATCH($A22,警職大表!$A$1:$A$100,0),   MATCH(Y$1,警職大表!$A$3:$AZ$3,0)  )=0,"",INDEX(警職大表!$A$1:$AZ$100,MATCH($A22,警職大表!$A$1:$A$100,0),   MATCH(Y$1,警職大表!$A$3:$AZ$3,0)  ) )    ),"")</f>
        <v/>
      </c>
      <c r="Z22" s="271" t="str">
        <f>_xlfn.IFNA(   IF(   IF(  INDEX(警職大表!$A$1:$AZ$100,MATCH($A22,警職大表!$A$1:$A$100,0),   MATCH(Z$1,警職大表!$A$3:$AZ$3,0)  )=0,"",INDEX(警職大表!$A$1:$AZ$100,MATCH($A22,警職大表!$A$1:$A$100,0),   MATCH(Z$1,警職大表!$A$3:$AZ$3,0)  )        )="",Y22,  IF(  INDEX(警職大表!$A$1:$AZ$100,MATCH($A22,警職大表!$A$1:$A$100,0),   MATCH(Z$1,警職大表!$A$3:$AZ$3,0)  )=0,"",INDEX(警職大表!$A$1:$AZ$100,MATCH($A22,警職大表!$A$1:$A$100,0),   MATCH(Z$1,警職大表!$A$3:$AZ$3,0)  ) )    ),"")</f>
        <v/>
      </c>
      <c r="AA22" s="271" t="str">
        <f>_xlfn.IFNA(   IF(   IF(  INDEX(警職大表!$A$1:$AZ$100,MATCH($A22,警職大表!$A$1:$A$100,0),   MATCH(AA$1,警職大表!$A$3:$AZ$3,0)  )=0,"",INDEX(警職大表!$A$1:$AZ$100,MATCH($A22,警職大表!$A$1:$A$100,0),   MATCH(AA$1,警職大表!$A$3:$AZ$3,0)  )        )="",Z22,  IF(  INDEX(警職大表!$A$1:$AZ$100,MATCH($A22,警職大表!$A$1:$A$100,0),   MATCH(AA$1,警職大表!$A$3:$AZ$3,0)  )=0,"",INDEX(警職大表!$A$1:$AZ$100,MATCH($A22,警職大表!$A$1:$A$100,0),   MATCH(AA$1,警職大表!$A$3:$AZ$3,0)  ) )    ),"")</f>
        <v/>
      </c>
      <c r="AB22" s="271" t="str">
        <f>_xlfn.IFNA(   IF(   IF(  INDEX(警職大表!$A$1:$AZ$100,MATCH($A22,警職大表!$A$1:$A$100,0),   MATCH(AB$1,警職大表!$A$3:$AZ$3,0)  )=0,"",INDEX(警職大表!$A$1:$AZ$100,MATCH($A22,警職大表!$A$1:$A$100,0),   MATCH(AB$1,警職大表!$A$3:$AZ$3,0)  )        )="",AA22,  IF(  INDEX(警職大表!$A$1:$AZ$100,MATCH($A22,警職大表!$A$1:$A$100,0),   MATCH(AB$1,警職大表!$A$3:$AZ$3,0)  )=0,"",INDEX(警職大表!$A$1:$AZ$100,MATCH($A22,警職大表!$A$1:$A$100,0),   MATCH(AB$1,警職大表!$A$3:$AZ$3,0)  ) )    ),"")</f>
        <v/>
      </c>
      <c r="AC22" s="271" t="str">
        <f>_xlfn.IFNA(   IF(   IF(  INDEX(警職大表!$A$1:$AZ$100,MATCH($A22,警職大表!$A$1:$A$100,0),   MATCH(AC$1,警職大表!$A$3:$AZ$3,0)  )=0,"",INDEX(警職大表!$A$1:$AZ$100,MATCH($A22,警職大表!$A$1:$A$100,0),   MATCH(AC$1,警職大表!$A$3:$AZ$3,0)  )        )="",AB22,  IF(  INDEX(警職大表!$A$1:$AZ$100,MATCH($A22,警職大表!$A$1:$A$100,0),   MATCH(AC$1,警職大表!$A$3:$AZ$3,0)  )=0,"",INDEX(警職大表!$A$1:$AZ$100,MATCH($A22,警職大表!$A$1:$A$100,0),   MATCH(AC$1,警職大表!$A$3:$AZ$3,0)  ) )    ),"")</f>
        <v/>
      </c>
      <c r="AD22" s="271" t="str">
        <f>_xlfn.IFNA(   IF(   IF(  INDEX(警職大表!$A$1:$AZ$100,MATCH($A22,警職大表!$A$1:$A$100,0),   MATCH(AD$1,警職大表!$A$3:$AZ$3,0)  )=0,"",INDEX(警職大表!$A$1:$AZ$100,MATCH($A22,警職大表!$A$1:$A$100,0),   MATCH(AD$1,警職大表!$A$3:$AZ$3,0)  )        )="",AC22,  IF(  INDEX(警職大表!$A$1:$AZ$100,MATCH($A22,警職大表!$A$1:$A$100,0),   MATCH(AD$1,警職大表!$A$3:$AZ$3,0)  )=0,"",INDEX(警職大表!$A$1:$AZ$100,MATCH($A22,警職大表!$A$1:$A$100,0),   MATCH(AD$1,警職大表!$A$3:$AZ$3,0)  ) )    ),"")</f>
        <v/>
      </c>
      <c r="AE22" s="271" t="str">
        <f>_xlfn.IFNA(   IF(   IF(  INDEX(警職大表!$A$1:$AZ$100,MATCH($A22,警職大表!$A$1:$A$100,0),   MATCH(AE$1,警職大表!$A$3:$AZ$3,0)  )=0,"",INDEX(警職大表!$A$1:$AZ$100,MATCH($A22,警職大表!$A$1:$A$100,0),   MATCH(AE$1,警職大表!$A$3:$AZ$3,0)  )        )="",AD22,  IF(  INDEX(警職大表!$A$1:$AZ$100,MATCH($A22,警職大表!$A$1:$A$100,0),   MATCH(AE$1,警職大表!$A$3:$AZ$3,0)  )=0,"",INDEX(警職大表!$A$1:$AZ$100,MATCH($A22,警職大表!$A$1:$A$100,0),   MATCH(AE$1,警職大表!$A$3:$AZ$3,0)  ) )    ),"")</f>
        <v/>
      </c>
      <c r="AF22" s="271" t="str">
        <f>_xlfn.IFNA(   IF(   IF(  INDEX(警職大表!$A$1:$AZ$100,MATCH($A22,警職大表!$A$1:$A$100,0),   MATCH(AF$1,警職大表!$A$3:$AZ$3,0)  )=0,"",INDEX(警職大表!$A$1:$AZ$100,MATCH($A22,警職大表!$A$1:$A$100,0),   MATCH(AF$1,警職大表!$A$3:$AZ$3,0)  )        )="",AE22,  IF(  INDEX(警職大表!$A$1:$AZ$100,MATCH($A22,警職大表!$A$1:$A$100,0),   MATCH(AF$1,警職大表!$A$3:$AZ$3,0)  )=0,"",INDEX(警職大表!$A$1:$AZ$100,MATCH($A22,警職大表!$A$1:$A$100,0),   MATCH(AF$1,警職大表!$A$3:$AZ$3,0)  ) )    ),"")</f>
        <v/>
      </c>
      <c r="AG22" s="271" t="str">
        <f>_xlfn.IFNA(   IF(   IF(  INDEX(警職大表!$A$1:$AZ$100,MATCH($A22,警職大表!$A$1:$A$100,0),   MATCH(AG$1,警職大表!$A$3:$AZ$3,0)  )=0,"",INDEX(警職大表!$A$1:$AZ$100,MATCH($A22,警職大表!$A$1:$A$100,0),   MATCH(AG$1,警職大表!$A$3:$AZ$3,0)  )        )="",AF22,  IF(  INDEX(警職大表!$A$1:$AZ$100,MATCH($A22,警職大表!$A$1:$A$100,0),   MATCH(AG$1,警職大表!$A$3:$AZ$3,0)  )=0,"",INDEX(警職大表!$A$1:$AZ$100,MATCH($A22,警職大表!$A$1:$A$100,0),   MATCH(AG$1,警職大表!$A$3:$AZ$3,0)  ) )    ),"")</f>
        <v/>
      </c>
      <c r="AL22" s="271" t="str">
        <f t="shared" si="0"/>
        <v/>
      </c>
      <c r="AM22" s="271" t="str">
        <f t="shared" si="1"/>
        <v/>
      </c>
      <c r="AN22" s="271" t="str">
        <f>INDEX(   $A$41:$AG$78, MATCH(AL22,$A$41:$A$78,0),MATCH(  DAY(勤務分配表!$AN$1),$A$41:$AL$41,0  )  )</f>
        <v/>
      </c>
      <c r="AO22" s="271" t="str">
        <f>IF((ROW(AO22)-1)&lt;=日期輸入!$B$5,_xlfn.IFNA(IF(INDEX($A$1:$AG$40,MATCH($AM22,$B$1:$B$100,0),VALUE($AO$1+3))="成","補",INDEX($A$1:$AG$40,MATCH($AM22,$B$1:$B$100,0),VALUE($AO$1+3))),""),"")</f>
        <v/>
      </c>
      <c r="AP22" s="271" t="str">
        <f>IF((ROW(AP22)-1)&lt;=日期輸入!$B$5,_xlfn.IFNA(IF(INDEX($A$1:$AG$40,MATCH($AM22,$B$1:$B$100,0),VALUE($AP$1+3))="成","補",INDEX($A$1:$AG$40,MATCH($AM22,$B$1:$B$100,0),VALUE($AP$1+3))),""),"")</f>
        <v/>
      </c>
      <c r="AQ22" s="271" t="str">
        <f>IF((ROW(AQ22)-1)&lt;=日期輸入!$B$5,_xlfn.IFNA(IF(INDEX($A$1:$AG$40,MATCH($AM22,$B$1:$B$100,0),VALUE($AQ$1+3))="成","補",INDEX($A$1:$AG$40,MATCH($AM22,$B$1:$B$100,0),VALUE($AQ$1+3))),""),"")</f>
        <v/>
      </c>
    </row>
    <row r="23" spans="1:43">
      <c r="A23" s="271" t="str">
        <f>IF(  (ROW(A23)-1)&lt;=日期輸入!$B$5,勤務分配!A23,"")</f>
        <v/>
      </c>
      <c r="B23" s="271" t="str">
        <f>_xlfn.IFNA(  INDEX(警職大表!$A$1:$AZ$100,MATCH(A23,警職大表!$A$1:$A$100,0),3),"")</f>
        <v/>
      </c>
      <c r="C23" s="271" t="str">
        <f>_xlfn.IFNA(  IF(  INDEX(警職大表!$A$1:$AZ$100,MATCH($A23,警職大表!$A$1:$A$100,0),   MATCH(C$1,警職大表!$A$3:$AZ$3,0)  )=0,"",INDEX(警職大表!$A$1:$AZ$100,MATCH($A23,警職大表!$A$1:$A$100,0),   MATCH(C$1,警職大表!$A$3:$AZ$3,0)  )                ),"")</f>
        <v/>
      </c>
      <c r="D23" s="271" t="str">
        <f>_xlfn.IFNA(   IF(   IF(  INDEX(警職大表!$A$1:$AZ$100,MATCH($A23,警職大表!$A$1:$A$100,0),   MATCH(D$1,警職大表!$A$3:$AZ$3,0)  )=0,"",INDEX(警職大表!$A$1:$AZ$100,MATCH($A23,警職大表!$A$1:$A$100,0),   MATCH(D$1,警職大表!$A$3:$AZ$3,0)  )        )="",C23,  IF(  INDEX(警職大表!$A$1:$AZ$100,MATCH($A23,警職大表!$A$1:$A$100,0),   MATCH(D$1,警職大表!$A$3:$AZ$3,0)  )=0,"",INDEX(警職大表!$A$1:$AZ$100,MATCH($A23,警職大表!$A$1:$A$100,0),   MATCH(D$1,警職大表!$A$3:$AZ$3,0)  ) )    ),"")</f>
        <v/>
      </c>
      <c r="E23" s="271" t="str">
        <f>_xlfn.IFNA(   IF(   IF(  INDEX(警職大表!$A$1:$AZ$100,MATCH($A23,警職大表!$A$1:$A$100,0),   MATCH(E$1,警職大表!$A$3:$AZ$3,0)  )=0,"",INDEX(警職大表!$A$1:$AZ$100,MATCH($A23,警職大表!$A$1:$A$100,0),   MATCH(E$1,警職大表!$A$3:$AZ$3,0)  )        )="",D23,  IF(  INDEX(警職大表!$A$1:$AZ$100,MATCH($A23,警職大表!$A$1:$A$100,0),   MATCH(E$1,警職大表!$A$3:$AZ$3,0)  )=0,"",INDEX(警職大表!$A$1:$AZ$100,MATCH($A23,警職大表!$A$1:$A$100,0),   MATCH(E$1,警職大表!$A$3:$AZ$3,0)  ) )    ),"")</f>
        <v/>
      </c>
      <c r="F23" s="271" t="str">
        <f>_xlfn.IFNA(   IF(   IF(  INDEX(警職大表!$A$1:$AZ$100,MATCH($A23,警職大表!$A$1:$A$100,0),   MATCH(F$1,警職大表!$A$3:$AZ$3,0)  )=0,"",INDEX(警職大表!$A$1:$AZ$100,MATCH($A23,警職大表!$A$1:$A$100,0),   MATCH(F$1,警職大表!$A$3:$AZ$3,0)  )        )="",E23,  IF(  INDEX(警職大表!$A$1:$AZ$100,MATCH($A23,警職大表!$A$1:$A$100,0),   MATCH(F$1,警職大表!$A$3:$AZ$3,0)  )=0,"",INDEX(警職大表!$A$1:$AZ$100,MATCH($A23,警職大表!$A$1:$A$100,0),   MATCH(F$1,警職大表!$A$3:$AZ$3,0)  ) )    ),"")</f>
        <v/>
      </c>
      <c r="G23" s="271" t="str">
        <f>_xlfn.IFNA(   IF(   IF(  INDEX(警職大表!$A$1:$AZ$100,MATCH($A23,警職大表!$A$1:$A$100,0),   MATCH(G$1,警職大表!$A$3:$AZ$3,0)  )=0,"",INDEX(警職大表!$A$1:$AZ$100,MATCH($A23,警職大表!$A$1:$A$100,0),   MATCH(G$1,警職大表!$A$3:$AZ$3,0)  )        )="",F23,  IF(  INDEX(警職大表!$A$1:$AZ$100,MATCH($A23,警職大表!$A$1:$A$100,0),   MATCH(G$1,警職大表!$A$3:$AZ$3,0)  )=0,"",INDEX(警職大表!$A$1:$AZ$100,MATCH($A23,警職大表!$A$1:$A$100,0),   MATCH(G$1,警職大表!$A$3:$AZ$3,0)  ) )    ),"")</f>
        <v/>
      </c>
      <c r="H23" s="271" t="str">
        <f>_xlfn.IFNA(   IF(   IF(  INDEX(警職大表!$A$1:$AZ$100,MATCH($A23,警職大表!$A$1:$A$100,0),   MATCH(H$1,警職大表!$A$3:$AZ$3,0)  )=0,"",INDEX(警職大表!$A$1:$AZ$100,MATCH($A23,警職大表!$A$1:$A$100,0),   MATCH(H$1,警職大表!$A$3:$AZ$3,0)  )        )="",G23,  IF(  INDEX(警職大表!$A$1:$AZ$100,MATCH($A23,警職大表!$A$1:$A$100,0),   MATCH(H$1,警職大表!$A$3:$AZ$3,0)  )=0,"",INDEX(警職大表!$A$1:$AZ$100,MATCH($A23,警職大表!$A$1:$A$100,0),   MATCH(H$1,警職大表!$A$3:$AZ$3,0)  ) )    ),"")</f>
        <v/>
      </c>
      <c r="I23" s="271" t="str">
        <f>_xlfn.IFNA(   IF(   IF(  INDEX(警職大表!$A$1:$AZ$100,MATCH($A23,警職大表!$A$1:$A$100,0),   MATCH(I$1,警職大表!$A$3:$AZ$3,0)  )=0,"",INDEX(警職大表!$A$1:$AZ$100,MATCH($A23,警職大表!$A$1:$A$100,0),   MATCH(I$1,警職大表!$A$3:$AZ$3,0)  )        )="",H23,  IF(  INDEX(警職大表!$A$1:$AZ$100,MATCH($A23,警職大表!$A$1:$A$100,0),   MATCH(I$1,警職大表!$A$3:$AZ$3,0)  )=0,"",INDEX(警職大表!$A$1:$AZ$100,MATCH($A23,警職大表!$A$1:$A$100,0),   MATCH(I$1,警職大表!$A$3:$AZ$3,0)  ) )    ),"")</f>
        <v/>
      </c>
      <c r="J23" s="271" t="str">
        <f>_xlfn.IFNA(   IF(   IF(  INDEX(警職大表!$A$1:$AZ$100,MATCH($A23,警職大表!$A$1:$A$100,0),   MATCH(J$1,警職大表!$A$3:$AZ$3,0)  )=0,"",INDEX(警職大表!$A$1:$AZ$100,MATCH($A23,警職大表!$A$1:$A$100,0),   MATCH(J$1,警職大表!$A$3:$AZ$3,0)  )        )="",I23,  IF(  INDEX(警職大表!$A$1:$AZ$100,MATCH($A23,警職大表!$A$1:$A$100,0),   MATCH(J$1,警職大表!$A$3:$AZ$3,0)  )=0,"",INDEX(警職大表!$A$1:$AZ$100,MATCH($A23,警職大表!$A$1:$A$100,0),   MATCH(J$1,警職大表!$A$3:$AZ$3,0)  ) )    ),"")</f>
        <v/>
      </c>
      <c r="K23" s="271" t="str">
        <f>_xlfn.IFNA(   IF(   IF(  INDEX(警職大表!$A$1:$AZ$100,MATCH($A23,警職大表!$A$1:$A$100,0),   MATCH(K$1,警職大表!$A$3:$AZ$3,0)  )=0,"",INDEX(警職大表!$A$1:$AZ$100,MATCH($A23,警職大表!$A$1:$A$100,0),   MATCH(K$1,警職大表!$A$3:$AZ$3,0)  )        )="",J23,  IF(  INDEX(警職大表!$A$1:$AZ$100,MATCH($A23,警職大表!$A$1:$A$100,0),   MATCH(K$1,警職大表!$A$3:$AZ$3,0)  )=0,"",INDEX(警職大表!$A$1:$AZ$100,MATCH($A23,警職大表!$A$1:$A$100,0),   MATCH(K$1,警職大表!$A$3:$AZ$3,0)  ) )    ),"")</f>
        <v/>
      </c>
      <c r="L23" s="271" t="str">
        <f>_xlfn.IFNA(   IF(   IF(  INDEX(警職大表!$A$1:$AZ$100,MATCH($A23,警職大表!$A$1:$A$100,0),   MATCH(L$1,警職大表!$A$3:$AZ$3,0)  )=0,"",INDEX(警職大表!$A$1:$AZ$100,MATCH($A23,警職大表!$A$1:$A$100,0),   MATCH(L$1,警職大表!$A$3:$AZ$3,0)  )        )="",K23,  IF(  INDEX(警職大表!$A$1:$AZ$100,MATCH($A23,警職大表!$A$1:$A$100,0),   MATCH(L$1,警職大表!$A$3:$AZ$3,0)  )=0,"",INDEX(警職大表!$A$1:$AZ$100,MATCH($A23,警職大表!$A$1:$A$100,0),   MATCH(L$1,警職大表!$A$3:$AZ$3,0)  ) )    ),"")</f>
        <v/>
      </c>
      <c r="M23" s="271" t="str">
        <f>_xlfn.IFNA(   IF(   IF(  INDEX(警職大表!$A$1:$AZ$100,MATCH($A23,警職大表!$A$1:$A$100,0),   MATCH(M$1,警職大表!$A$3:$AZ$3,0)  )=0,"",INDEX(警職大表!$A$1:$AZ$100,MATCH($A23,警職大表!$A$1:$A$100,0),   MATCH(M$1,警職大表!$A$3:$AZ$3,0)  )        )="",L23,  IF(  INDEX(警職大表!$A$1:$AZ$100,MATCH($A23,警職大表!$A$1:$A$100,0),   MATCH(M$1,警職大表!$A$3:$AZ$3,0)  )=0,"",INDEX(警職大表!$A$1:$AZ$100,MATCH($A23,警職大表!$A$1:$A$100,0),   MATCH(M$1,警職大表!$A$3:$AZ$3,0)  ) )    ),"")</f>
        <v/>
      </c>
      <c r="N23" s="271" t="str">
        <f>_xlfn.IFNA(   IF(   IF(  INDEX(警職大表!$A$1:$AZ$100,MATCH($A23,警職大表!$A$1:$A$100,0),   MATCH(N$1,警職大表!$A$3:$AZ$3,0)  )=0,"",INDEX(警職大表!$A$1:$AZ$100,MATCH($A23,警職大表!$A$1:$A$100,0),   MATCH(N$1,警職大表!$A$3:$AZ$3,0)  )        )="",M23,  IF(  INDEX(警職大表!$A$1:$AZ$100,MATCH($A23,警職大表!$A$1:$A$100,0),   MATCH(N$1,警職大表!$A$3:$AZ$3,0)  )=0,"",INDEX(警職大表!$A$1:$AZ$100,MATCH($A23,警職大表!$A$1:$A$100,0),   MATCH(N$1,警職大表!$A$3:$AZ$3,0)  ) )    ),"")</f>
        <v/>
      </c>
      <c r="O23" s="271" t="str">
        <f>_xlfn.IFNA(   IF(   IF(  INDEX(警職大表!$A$1:$AZ$100,MATCH($A23,警職大表!$A$1:$A$100,0),   MATCH(O$1,警職大表!$A$3:$AZ$3,0)  )=0,"",INDEX(警職大表!$A$1:$AZ$100,MATCH($A23,警職大表!$A$1:$A$100,0),   MATCH(O$1,警職大表!$A$3:$AZ$3,0)  )        )="",N23,  IF(  INDEX(警職大表!$A$1:$AZ$100,MATCH($A23,警職大表!$A$1:$A$100,0),   MATCH(O$1,警職大表!$A$3:$AZ$3,0)  )=0,"",INDEX(警職大表!$A$1:$AZ$100,MATCH($A23,警職大表!$A$1:$A$100,0),   MATCH(O$1,警職大表!$A$3:$AZ$3,0)  ) )    ),"")</f>
        <v/>
      </c>
      <c r="P23" s="271" t="str">
        <f>_xlfn.IFNA(   IF(   IF(  INDEX(警職大表!$A$1:$AZ$100,MATCH($A23,警職大表!$A$1:$A$100,0),   MATCH(P$1,警職大表!$A$3:$AZ$3,0)  )=0,"",INDEX(警職大表!$A$1:$AZ$100,MATCH($A23,警職大表!$A$1:$A$100,0),   MATCH(P$1,警職大表!$A$3:$AZ$3,0)  )        )="",O23,  IF(  INDEX(警職大表!$A$1:$AZ$100,MATCH($A23,警職大表!$A$1:$A$100,0),   MATCH(P$1,警職大表!$A$3:$AZ$3,0)  )=0,"",INDEX(警職大表!$A$1:$AZ$100,MATCH($A23,警職大表!$A$1:$A$100,0),   MATCH(P$1,警職大表!$A$3:$AZ$3,0)  ) )    ),"")</f>
        <v/>
      </c>
      <c r="Q23" s="271" t="str">
        <f>_xlfn.IFNA(   IF(   IF(  INDEX(警職大表!$A$1:$AZ$100,MATCH($A23,警職大表!$A$1:$A$100,0),   MATCH(Q$1,警職大表!$A$3:$AZ$3,0)  )=0,"",INDEX(警職大表!$A$1:$AZ$100,MATCH($A23,警職大表!$A$1:$A$100,0),   MATCH(Q$1,警職大表!$A$3:$AZ$3,0)  )        )="",P23,  IF(  INDEX(警職大表!$A$1:$AZ$100,MATCH($A23,警職大表!$A$1:$A$100,0),   MATCH(Q$1,警職大表!$A$3:$AZ$3,0)  )=0,"",INDEX(警職大表!$A$1:$AZ$100,MATCH($A23,警職大表!$A$1:$A$100,0),   MATCH(Q$1,警職大表!$A$3:$AZ$3,0)  ) )    ),"")</f>
        <v/>
      </c>
      <c r="R23" s="271" t="str">
        <f>_xlfn.IFNA(   IF(   IF(  INDEX(警職大表!$A$1:$AZ$100,MATCH($A23,警職大表!$A$1:$A$100,0),   MATCH(R$1,警職大表!$A$3:$AZ$3,0)  )=0,"",INDEX(警職大表!$A$1:$AZ$100,MATCH($A23,警職大表!$A$1:$A$100,0),   MATCH(R$1,警職大表!$A$3:$AZ$3,0)  )        )="",Q23,  IF(  INDEX(警職大表!$A$1:$AZ$100,MATCH($A23,警職大表!$A$1:$A$100,0),   MATCH(R$1,警職大表!$A$3:$AZ$3,0)  )=0,"",INDEX(警職大表!$A$1:$AZ$100,MATCH($A23,警職大表!$A$1:$A$100,0),   MATCH(R$1,警職大表!$A$3:$AZ$3,0)  ) )    ),"")</f>
        <v/>
      </c>
      <c r="S23" s="271" t="str">
        <f>_xlfn.IFNA(   IF(   IF(  INDEX(警職大表!$A$1:$AZ$100,MATCH($A23,警職大表!$A$1:$A$100,0),   MATCH(S$1,警職大表!$A$3:$AZ$3,0)  )=0,"",INDEX(警職大表!$A$1:$AZ$100,MATCH($A23,警職大表!$A$1:$A$100,0),   MATCH(S$1,警職大表!$A$3:$AZ$3,0)  )        )="",R23,  IF(  INDEX(警職大表!$A$1:$AZ$100,MATCH($A23,警職大表!$A$1:$A$100,0),   MATCH(S$1,警職大表!$A$3:$AZ$3,0)  )=0,"",INDEX(警職大表!$A$1:$AZ$100,MATCH($A23,警職大表!$A$1:$A$100,0),   MATCH(S$1,警職大表!$A$3:$AZ$3,0)  ) )    ),"")</f>
        <v/>
      </c>
      <c r="T23" s="271" t="str">
        <f>_xlfn.IFNA(   IF(   IF(  INDEX(警職大表!$A$1:$AZ$100,MATCH($A23,警職大表!$A$1:$A$100,0),   MATCH(T$1,警職大表!$A$3:$AZ$3,0)  )=0,"",INDEX(警職大表!$A$1:$AZ$100,MATCH($A23,警職大表!$A$1:$A$100,0),   MATCH(T$1,警職大表!$A$3:$AZ$3,0)  )        )="",S23,  IF(  INDEX(警職大表!$A$1:$AZ$100,MATCH($A23,警職大表!$A$1:$A$100,0),   MATCH(T$1,警職大表!$A$3:$AZ$3,0)  )=0,"",INDEX(警職大表!$A$1:$AZ$100,MATCH($A23,警職大表!$A$1:$A$100,0),   MATCH(T$1,警職大表!$A$3:$AZ$3,0)  ) )    ),"")</f>
        <v/>
      </c>
      <c r="U23" s="271" t="str">
        <f>_xlfn.IFNA(   IF(   IF(  INDEX(警職大表!$A$1:$AZ$100,MATCH($A23,警職大表!$A$1:$A$100,0),   MATCH(U$1,警職大表!$A$3:$AZ$3,0)  )=0,"",INDEX(警職大表!$A$1:$AZ$100,MATCH($A23,警職大表!$A$1:$A$100,0),   MATCH(U$1,警職大表!$A$3:$AZ$3,0)  )        )="",T23,  IF(  INDEX(警職大表!$A$1:$AZ$100,MATCH($A23,警職大表!$A$1:$A$100,0),   MATCH(U$1,警職大表!$A$3:$AZ$3,0)  )=0,"",INDEX(警職大表!$A$1:$AZ$100,MATCH($A23,警職大表!$A$1:$A$100,0),   MATCH(U$1,警職大表!$A$3:$AZ$3,0)  ) )    ),"")</f>
        <v/>
      </c>
      <c r="V23" s="271" t="str">
        <f>_xlfn.IFNA(   IF(   IF(  INDEX(警職大表!$A$1:$AZ$100,MATCH($A23,警職大表!$A$1:$A$100,0),   MATCH(V$1,警職大表!$A$3:$AZ$3,0)  )=0,"",INDEX(警職大表!$A$1:$AZ$100,MATCH($A23,警職大表!$A$1:$A$100,0),   MATCH(V$1,警職大表!$A$3:$AZ$3,0)  )        )="",U23,  IF(  INDEX(警職大表!$A$1:$AZ$100,MATCH($A23,警職大表!$A$1:$A$100,0),   MATCH(V$1,警職大表!$A$3:$AZ$3,0)  )=0,"",INDEX(警職大表!$A$1:$AZ$100,MATCH($A23,警職大表!$A$1:$A$100,0),   MATCH(V$1,警職大表!$A$3:$AZ$3,0)  ) )    ),"")</f>
        <v/>
      </c>
      <c r="W23" s="271" t="str">
        <f>_xlfn.IFNA(   IF(   IF(  INDEX(警職大表!$A$1:$AZ$100,MATCH($A23,警職大表!$A$1:$A$100,0),   MATCH(W$1,警職大表!$A$3:$AZ$3,0)  )=0,"",INDEX(警職大表!$A$1:$AZ$100,MATCH($A23,警職大表!$A$1:$A$100,0),   MATCH(W$1,警職大表!$A$3:$AZ$3,0)  )        )="",V23,  IF(  INDEX(警職大表!$A$1:$AZ$100,MATCH($A23,警職大表!$A$1:$A$100,0),   MATCH(W$1,警職大表!$A$3:$AZ$3,0)  )=0,"",INDEX(警職大表!$A$1:$AZ$100,MATCH($A23,警職大表!$A$1:$A$100,0),   MATCH(W$1,警職大表!$A$3:$AZ$3,0)  ) )    ),"")</f>
        <v/>
      </c>
      <c r="X23" s="271" t="str">
        <f>_xlfn.IFNA(   IF(   IF(  INDEX(警職大表!$A$1:$AZ$100,MATCH($A23,警職大表!$A$1:$A$100,0),   MATCH(X$1,警職大表!$A$3:$AZ$3,0)  )=0,"",INDEX(警職大表!$A$1:$AZ$100,MATCH($A23,警職大表!$A$1:$A$100,0),   MATCH(X$1,警職大表!$A$3:$AZ$3,0)  )        )="",W23,  IF(  INDEX(警職大表!$A$1:$AZ$100,MATCH($A23,警職大表!$A$1:$A$100,0),   MATCH(X$1,警職大表!$A$3:$AZ$3,0)  )=0,"",INDEX(警職大表!$A$1:$AZ$100,MATCH($A23,警職大表!$A$1:$A$100,0),   MATCH(X$1,警職大表!$A$3:$AZ$3,0)  ) )    ),"")</f>
        <v/>
      </c>
      <c r="Y23" s="271" t="str">
        <f>_xlfn.IFNA(   IF(   IF(  INDEX(警職大表!$A$1:$AZ$100,MATCH($A23,警職大表!$A$1:$A$100,0),   MATCH(Y$1,警職大表!$A$3:$AZ$3,0)  )=0,"",INDEX(警職大表!$A$1:$AZ$100,MATCH($A23,警職大表!$A$1:$A$100,0),   MATCH(Y$1,警職大表!$A$3:$AZ$3,0)  )        )="",X23,  IF(  INDEX(警職大表!$A$1:$AZ$100,MATCH($A23,警職大表!$A$1:$A$100,0),   MATCH(Y$1,警職大表!$A$3:$AZ$3,0)  )=0,"",INDEX(警職大表!$A$1:$AZ$100,MATCH($A23,警職大表!$A$1:$A$100,0),   MATCH(Y$1,警職大表!$A$3:$AZ$3,0)  ) )    ),"")</f>
        <v/>
      </c>
      <c r="Z23" s="271" t="str">
        <f>_xlfn.IFNA(   IF(   IF(  INDEX(警職大表!$A$1:$AZ$100,MATCH($A23,警職大表!$A$1:$A$100,0),   MATCH(Z$1,警職大表!$A$3:$AZ$3,0)  )=0,"",INDEX(警職大表!$A$1:$AZ$100,MATCH($A23,警職大表!$A$1:$A$100,0),   MATCH(Z$1,警職大表!$A$3:$AZ$3,0)  )        )="",Y23,  IF(  INDEX(警職大表!$A$1:$AZ$100,MATCH($A23,警職大表!$A$1:$A$100,0),   MATCH(Z$1,警職大表!$A$3:$AZ$3,0)  )=0,"",INDEX(警職大表!$A$1:$AZ$100,MATCH($A23,警職大表!$A$1:$A$100,0),   MATCH(Z$1,警職大表!$A$3:$AZ$3,0)  ) )    ),"")</f>
        <v/>
      </c>
      <c r="AA23" s="271" t="str">
        <f>_xlfn.IFNA(   IF(   IF(  INDEX(警職大表!$A$1:$AZ$100,MATCH($A23,警職大表!$A$1:$A$100,0),   MATCH(AA$1,警職大表!$A$3:$AZ$3,0)  )=0,"",INDEX(警職大表!$A$1:$AZ$100,MATCH($A23,警職大表!$A$1:$A$100,0),   MATCH(AA$1,警職大表!$A$3:$AZ$3,0)  )        )="",Z23,  IF(  INDEX(警職大表!$A$1:$AZ$100,MATCH($A23,警職大表!$A$1:$A$100,0),   MATCH(AA$1,警職大表!$A$3:$AZ$3,0)  )=0,"",INDEX(警職大表!$A$1:$AZ$100,MATCH($A23,警職大表!$A$1:$A$100,0),   MATCH(AA$1,警職大表!$A$3:$AZ$3,0)  ) )    ),"")</f>
        <v/>
      </c>
      <c r="AB23" s="271" t="str">
        <f>_xlfn.IFNA(   IF(   IF(  INDEX(警職大表!$A$1:$AZ$100,MATCH($A23,警職大表!$A$1:$A$100,0),   MATCH(AB$1,警職大表!$A$3:$AZ$3,0)  )=0,"",INDEX(警職大表!$A$1:$AZ$100,MATCH($A23,警職大表!$A$1:$A$100,0),   MATCH(AB$1,警職大表!$A$3:$AZ$3,0)  )        )="",AA23,  IF(  INDEX(警職大表!$A$1:$AZ$100,MATCH($A23,警職大表!$A$1:$A$100,0),   MATCH(AB$1,警職大表!$A$3:$AZ$3,0)  )=0,"",INDEX(警職大表!$A$1:$AZ$100,MATCH($A23,警職大表!$A$1:$A$100,0),   MATCH(AB$1,警職大表!$A$3:$AZ$3,0)  ) )    ),"")</f>
        <v/>
      </c>
      <c r="AC23" s="271" t="str">
        <f>_xlfn.IFNA(   IF(   IF(  INDEX(警職大表!$A$1:$AZ$100,MATCH($A23,警職大表!$A$1:$A$100,0),   MATCH(AC$1,警職大表!$A$3:$AZ$3,0)  )=0,"",INDEX(警職大表!$A$1:$AZ$100,MATCH($A23,警職大表!$A$1:$A$100,0),   MATCH(AC$1,警職大表!$A$3:$AZ$3,0)  )        )="",AB23,  IF(  INDEX(警職大表!$A$1:$AZ$100,MATCH($A23,警職大表!$A$1:$A$100,0),   MATCH(AC$1,警職大表!$A$3:$AZ$3,0)  )=0,"",INDEX(警職大表!$A$1:$AZ$100,MATCH($A23,警職大表!$A$1:$A$100,0),   MATCH(AC$1,警職大表!$A$3:$AZ$3,0)  ) )    ),"")</f>
        <v/>
      </c>
      <c r="AD23" s="271" t="str">
        <f>_xlfn.IFNA(   IF(   IF(  INDEX(警職大表!$A$1:$AZ$100,MATCH($A23,警職大表!$A$1:$A$100,0),   MATCH(AD$1,警職大表!$A$3:$AZ$3,0)  )=0,"",INDEX(警職大表!$A$1:$AZ$100,MATCH($A23,警職大表!$A$1:$A$100,0),   MATCH(AD$1,警職大表!$A$3:$AZ$3,0)  )        )="",AC23,  IF(  INDEX(警職大表!$A$1:$AZ$100,MATCH($A23,警職大表!$A$1:$A$100,0),   MATCH(AD$1,警職大表!$A$3:$AZ$3,0)  )=0,"",INDEX(警職大表!$A$1:$AZ$100,MATCH($A23,警職大表!$A$1:$A$100,0),   MATCH(AD$1,警職大表!$A$3:$AZ$3,0)  ) )    ),"")</f>
        <v/>
      </c>
      <c r="AE23" s="271" t="str">
        <f>_xlfn.IFNA(   IF(   IF(  INDEX(警職大表!$A$1:$AZ$100,MATCH($A23,警職大表!$A$1:$A$100,0),   MATCH(AE$1,警職大表!$A$3:$AZ$3,0)  )=0,"",INDEX(警職大表!$A$1:$AZ$100,MATCH($A23,警職大表!$A$1:$A$100,0),   MATCH(AE$1,警職大表!$A$3:$AZ$3,0)  )        )="",AD23,  IF(  INDEX(警職大表!$A$1:$AZ$100,MATCH($A23,警職大表!$A$1:$A$100,0),   MATCH(AE$1,警職大表!$A$3:$AZ$3,0)  )=0,"",INDEX(警職大表!$A$1:$AZ$100,MATCH($A23,警職大表!$A$1:$A$100,0),   MATCH(AE$1,警職大表!$A$3:$AZ$3,0)  ) )    ),"")</f>
        <v/>
      </c>
      <c r="AF23" s="271" t="str">
        <f>_xlfn.IFNA(   IF(   IF(  INDEX(警職大表!$A$1:$AZ$100,MATCH($A23,警職大表!$A$1:$A$100,0),   MATCH(AF$1,警職大表!$A$3:$AZ$3,0)  )=0,"",INDEX(警職大表!$A$1:$AZ$100,MATCH($A23,警職大表!$A$1:$A$100,0),   MATCH(AF$1,警職大表!$A$3:$AZ$3,0)  )        )="",AE23,  IF(  INDEX(警職大表!$A$1:$AZ$100,MATCH($A23,警職大表!$A$1:$A$100,0),   MATCH(AF$1,警職大表!$A$3:$AZ$3,0)  )=0,"",INDEX(警職大表!$A$1:$AZ$100,MATCH($A23,警職大表!$A$1:$A$100,0),   MATCH(AF$1,警職大表!$A$3:$AZ$3,0)  ) )    ),"")</f>
        <v/>
      </c>
      <c r="AG23" s="271" t="str">
        <f>_xlfn.IFNA(   IF(   IF(  INDEX(警職大表!$A$1:$AZ$100,MATCH($A23,警職大表!$A$1:$A$100,0),   MATCH(AG$1,警職大表!$A$3:$AZ$3,0)  )=0,"",INDEX(警職大表!$A$1:$AZ$100,MATCH($A23,警職大表!$A$1:$A$100,0),   MATCH(AG$1,警職大表!$A$3:$AZ$3,0)  )        )="",AF23,  IF(  INDEX(警職大表!$A$1:$AZ$100,MATCH($A23,警職大表!$A$1:$A$100,0),   MATCH(AG$1,警職大表!$A$3:$AZ$3,0)  )=0,"",INDEX(警職大表!$A$1:$AZ$100,MATCH($A23,警職大表!$A$1:$A$100,0),   MATCH(AG$1,警職大表!$A$3:$AZ$3,0)  ) )    ),"")</f>
        <v/>
      </c>
      <c r="AL23" s="271" t="str">
        <f t="shared" si="0"/>
        <v/>
      </c>
      <c r="AM23" s="271" t="str">
        <f t="shared" si="1"/>
        <v/>
      </c>
      <c r="AN23" s="271" t="str">
        <f>INDEX(   $A$41:$AG$78, MATCH(AL23,$A$41:$A$78,0),MATCH(  DAY(勤務分配表!$AN$1),$A$41:$AL$41,0  )  )</f>
        <v/>
      </c>
      <c r="AO23" s="271" t="str">
        <f>IF((ROW(AO23)-1)&lt;=日期輸入!$B$5,_xlfn.IFNA(IF(INDEX($A$1:$AG$40,MATCH($AM23,$B$1:$B$100,0),VALUE($AO$1+3))="成","補",INDEX($A$1:$AG$40,MATCH($AM23,$B$1:$B$100,0),VALUE($AO$1+3))),""),"")</f>
        <v/>
      </c>
      <c r="AP23" s="271" t="str">
        <f>IF((ROW(AP23)-1)&lt;=日期輸入!$B$5,_xlfn.IFNA(IF(INDEX($A$1:$AG$40,MATCH($AM23,$B$1:$B$100,0),VALUE($AP$1+3))="成","補",INDEX($A$1:$AG$40,MATCH($AM23,$B$1:$B$100,0),VALUE($AP$1+3))),""),"")</f>
        <v/>
      </c>
      <c r="AQ23" s="271" t="str">
        <f>IF((ROW(AQ23)-1)&lt;=日期輸入!$B$5,_xlfn.IFNA(IF(INDEX($A$1:$AG$40,MATCH($AM23,$B$1:$B$100,0),VALUE($AQ$1+3))="成","補",INDEX($A$1:$AG$40,MATCH($AM23,$B$1:$B$100,0),VALUE($AQ$1+3))),""),"")</f>
        <v/>
      </c>
    </row>
    <row r="24" spans="1:43">
      <c r="A24" s="271" t="str">
        <f>IF(  (ROW(A24)-1)&lt;=日期輸入!$B$5,勤務分配!A24,"")</f>
        <v/>
      </c>
      <c r="B24" s="271" t="str">
        <f>_xlfn.IFNA(  INDEX(警職大表!$A$1:$AZ$100,MATCH(A24,警職大表!$A$1:$A$100,0),3),"")</f>
        <v/>
      </c>
      <c r="C24" s="271" t="str">
        <f>_xlfn.IFNA(  IF(  INDEX(警職大表!$A$1:$AZ$100,MATCH($A24,警職大表!$A$1:$A$100,0),   MATCH(C$1,警職大表!$A$3:$AZ$3,0)  )=0,"",INDEX(警職大表!$A$1:$AZ$100,MATCH($A24,警職大表!$A$1:$A$100,0),   MATCH(C$1,警職大表!$A$3:$AZ$3,0)  )                ),"")</f>
        <v/>
      </c>
      <c r="D24" s="271" t="str">
        <f>_xlfn.IFNA(   IF(   IF(  INDEX(警職大表!$A$1:$AZ$100,MATCH($A24,警職大表!$A$1:$A$100,0),   MATCH(D$1,警職大表!$A$3:$AZ$3,0)  )=0,"",INDEX(警職大表!$A$1:$AZ$100,MATCH($A24,警職大表!$A$1:$A$100,0),   MATCH(D$1,警職大表!$A$3:$AZ$3,0)  )        )="",C24,  IF(  INDEX(警職大表!$A$1:$AZ$100,MATCH($A24,警職大表!$A$1:$A$100,0),   MATCH(D$1,警職大表!$A$3:$AZ$3,0)  )=0,"",INDEX(警職大表!$A$1:$AZ$100,MATCH($A24,警職大表!$A$1:$A$100,0),   MATCH(D$1,警職大表!$A$3:$AZ$3,0)  ) )    ),"")</f>
        <v/>
      </c>
      <c r="E24" s="271" t="str">
        <f>_xlfn.IFNA(   IF(   IF(  INDEX(警職大表!$A$1:$AZ$100,MATCH($A24,警職大表!$A$1:$A$100,0),   MATCH(E$1,警職大表!$A$3:$AZ$3,0)  )=0,"",INDEX(警職大表!$A$1:$AZ$100,MATCH($A24,警職大表!$A$1:$A$100,0),   MATCH(E$1,警職大表!$A$3:$AZ$3,0)  )        )="",D24,  IF(  INDEX(警職大表!$A$1:$AZ$100,MATCH($A24,警職大表!$A$1:$A$100,0),   MATCH(E$1,警職大表!$A$3:$AZ$3,0)  )=0,"",INDEX(警職大表!$A$1:$AZ$100,MATCH($A24,警職大表!$A$1:$A$100,0),   MATCH(E$1,警職大表!$A$3:$AZ$3,0)  ) )    ),"")</f>
        <v/>
      </c>
      <c r="F24" s="271" t="str">
        <f>_xlfn.IFNA(   IF(   IF(  INDEX(警職大表!$A$1:$AZ$100,MATCH($A24,警職大表!$A$1:$A$100,0),   MATCH(F$1,警職大表!$A$3:$AZ$3,0)  )=0,"",INDEX(警職大表!$A$1:$AZ$100,MATCH($A24,警職大表!$A$1:$A$100,0),   MATCH(F$1,警職大表!$A$3:$AZ$3,0)  )        )="",E24,  IF(  INDEX(警職大表!$A$1:$AZ$100,MATCH($A24,警職大表!$A$1:$A$100,0),   MATCH(F$1,警職大表!$A$3:$AZ$3,0)  )=0,"",INDEX(警職大表!$A$1:$AZ$100,MATCH($A24,警職大表!$A$1:$A$100,0),   MATCH(F$1,警職大表!$A$3:$AZ$3,0)  ) )    ),"")</f>
        <v/>
      </c>
      <c r="G24" s="271" t="str">
        <f>_xlfn.IFNA(   IF(   IF(  INDEX(警職大表!$A$1:$AZ$100,MATCH($A24,警職大表!$A$1:$A$100,0),   MATCH(G$1,警職大表!$A$3:$AZ$3,0)  )=0,"",INDEX(警職大表!$A$1:$AZ$100,MATCH($A24,警職大表!$A$1:$A$100,0),   MATCH(G$1,警職大表!$A$3:$AZ$3,0)  )        )="",F24,  IF(  INDEX(警職大表!$A$1:$AZ$100,MATCH($A24,警職大表!$A$1:$A$100,0),   MATCH(G$1,警職大表!$A$3:$AZ$3,0)  )=0,"",INDEX(警職大表!$A$1:$AZ$100,MATCH($A24,警職大表!$A$1:$A$100,0),   MATCH(G$1,警職大表!$A$3:$AZ$3,0)  ) )    ),"")</f>
        <v/>
      </c>
      <c r="H24" s="271" t="str">
        <f>_xlfn.IFNA(   IF(   IF(  INDEX(警職大表!$A$1:$AZ$100,MATCH($A24,警職大表!$A$1:$A$100,0),   MATCH(H$1,警職大表!$A$3:$AZ$3,0)  )=0,"",INDEX(警職大表!$A$1:$AZ$100,MATCH($A24,警職大表!$A$1:$A$100,0),   MATCH(H$1,警職大表!$A$3:$AZ$3,0)  )        )="",G24,  IF(  INDEX(警職大表!$A$1:$AZ$100,MATCH($A24,警職大表!$A$1:$A$100,0),   MATCH(H$1,警職大表!$A$3:$AZ$3,0)  )=0,"",INDEX(警職大表!$A$1:$AZ$100,MATCH($A24,警職大表!$A$1:$A$100,0),   MATCH(H$1,警職大表!$A$3:$AZ$3,0)  ) )    ),"")</f>
        <v/>
      </c>
      <c r="I24" s="271" t="str">
        <f>_xlfn.IFNA(   IF(   IF(  INDEX(警職大表!$A$1:$AZ$100,MATCH($A24,警職大表!$A$1:$A$100,0),   MATCH(I$1,警職大表!$A$3:$AZ$3,0)  )=0,"",INDEX(警職大表!$A$1:$AZ$100,MATCH($A24,警職大表!$A$1:$A$100,0),   MATCH(I$1,警職大表!$A$3:$AZ$3,0)  )        )="",H24,  IF(  INDEX(警職大表!$A$1:$AZ$100,MATCH($A24,警職大表!$A$1:$A$100,0),   MATCH(I$1,警職大表!$A$3:$AZ$3,0)  )=0,"",INDEX(警職大表!$A$1:$AZ$100,MATCH($A24,警職大表!$A$1:$A$100,0),   MATCH(I$1,警職大表!$A$3:$AZ$3,0)  ) )    ),"")</f>
        <v/>
      </c>
      <c r="J24" s="271" t="str">
        <f>_xlfn.IFNA(   IF(   IF(  INDEX(警職大表!$A$1:$AZ$100,MATCH($A24,警職大表!$A$1:$A$100,0),   MATCH(J$1,警職大表!$A$3:$AZ$3,0)  )=0,"",INDEX(警職大表!$A$1:$AZ$100,MATCH($A24,警職大表!$A$1:$A$100,0),   MATCH(J$1,警職大表!$A$3:$AZ$3,0)  )        )="",I24,  IF(  INDEX(警職大表!$A$1:$AZ$100,MATCH($A24,警職大表!$A$1:$A$100,0),   MATCH(J$1,警職大表!$A$3:$AZ$3,0)  )=0,"",INDEX(警職大表!$A$1:$AZ$100,MATCH($A24,警職大表!$A$1:$A$100,0),   MATCH(J$1,警職大表!$A$3:$AZ$3,0)  ) )    ),"")</f>
        <v/>
      </c>
      <c r="K24" s="271" t="str">
        <f>_xlfn.IFNA(   IF(   IF(  INDEX(警職大表!$A$1:$AZ$100,MATCH($A24,警職大表!$A$1:$A$100,0),   MATCH(K$1,警職大表!$A$3:$AZ$3,0)  )=0,"",INDEX(警職大表!$A$1:$AZ$100,MATCH($A24,警職大表!$A$1:$A$100,0),   MATCH(K$1,警職大表!$A$3:$AZ$3,0)  )        )="",J24,  IF(  INDEX(警職大表!$A$1:$AZ$100,MATCH($A24,警職大表!$A$1:$A$100,0),   MATCH(K$1,警職大表!$A$3:$AZ$3,0)  )=0,"",INDEX(警職大表!$A$1:$AZ$100,MATCH($A24,警職大表!$A$1:$A$100,0),   MATCH(K$1,警職大表!$A$3:$AZ$3,0)  ) )    ),"")</f>
        <v/>
      </c>
      <c r="L24" s="271" t="str">
        <f>_xlfn.IFNA(   IF(   IF(  INDEX(警職大表!$A$1:$AZ$100,MATCH($A24,警職大表!$A$1:$A$100,0),   MATCH(L$1,警職大表!$A$3:$AZ$3,0)  )=0,"",INDEX(警職大表!$A$1:$AZ$100,MATCH($A24,警職大表!$A$1:$A$100,0),   MATCH(L$1,警職大表!$A$3:$AZ$3,0)  )        )="",K24,  IF(  INDEX(警職大表!$A$1:$AZ$100,MATCH($A24,警職大表!$A$1:$A$100,0),   MATCH(L$1,警職大表!$A$3:$AZ$3,0)  )=0,"",INDEX(警職大表!$A$1:$AZ$100,MATCH($A24,警職大表!$A$1:$A$100,0),   MATCH(L$1,警職大表!$A$3:$AZ$3,0)  ) )    ),"")</f>
        <v/>
      </c>
      <c r="M24" s="271" t="str">
        <f>_xlfn.IFNA(   IF(   IF(  INDEX(警職大表!$A$1:$AZ$100,MATCH($A24,警職大表!$A$1:$A$100,0),   MATCH(M$1,警職大表!$A$3:$AZ$3,0)  )=0,"",INDEX(警職大表!$A$1:$AZ$100,MATCH($A24,警職大表!$A$1:$A$100,0),   MATCH(M$1,警職大表!$A$3:$AZ$3,0)  )        )="",L24,  IF(  INDEX(警職大表!$A$1:$AZ$100,MATCH($A24,警職大表!$A$1:$A$100,0),   MATCH(M$1,警職大表!$A$3:$AZ$3,0)  )=0,"",INDEX(警職大表!$A$1:$AZ$100,MATCH($A24,警職大表!$A$1:$A$100,0),   MATCH(M$1,警職大表!$A$3:$AZ$3,0)  ) )    ),"")</f>
        <v/>
      </c>
      <c r="N24" s="271" t="str">
        <f>_xlfn.IFNA(   IF(   IF(  INDEX(警職大表!$A$1:$AZ$100,MATCH($A24,警職大表!$A$1:$A$100,0),   MATCH(N$1,警職大表!$A$3:$AZ$3,0)  )=0,"",INDEX(警職大表!$A$1:$AZ$100,MATCH($A24,警職大表!$A$1:$A$100,0),   MATCH(N$1,警職大表!$A$3:$AZ$3,0)  )        )="",M24,  IF(  INDEX(警職大表!$A$1:$AZ$100,MATCH($A24,警職大表!$A$1:$A$100,0),   MATCH(N$1,警職大表!$A$3:$AZ$3,0)  )=0,"",INDEX(警職大表!$A$1:$AZ$100,MATCH($A24,警職大表!$A$1:$A$100,0),   MATCH(N$1,警職大表!$A$3:$AZ$3,0)  ) )    ),"")</f>
        <v/>
      </c>
      <c r="O24" s="271" t="str">
        <f>_xlfn.IFNA(   IF(   IF(  INDEX(警職大表!$A$1:$AZ$100,MATCH($A24,警職大表!$A$1:$A$100,0),   MATCH(O$1,警職大表!$A$3:$AZ$3,0)  )=0,"",INDEX(警職大表!$A$1:$AZ$100,MATCH($A24,警職大表!$A$1:$A$100,0),   MATCH(O$1,警職大表!$A$3:$AZ$3,0)  )        )="",N24,  IF(  INDEX(警職大表!$A$1:$AZ$100,MATCH($A24,警職大表!$A$1:$A$100,0),   MATCH(O$1,警職大表!$A$3:$AZ$3,0)  )=0,"",INDEX(警職大表!$A$1:$AZ$100,MATCH($A24,警職大表!$A$1:$A$100,0),   MATCH(O$1,警職大表!$A$3:$AZ$3,0)  ) )    ),"")</f>
        <v/>
      </c>
      <c r="P24" s="271" t="str">
        <f>_xlfn.IFNA(   IF(   IF(  INDEX(警職大表!$A$1:$AZ$100,MATCH($A24,警職大表!$A$1:$A$100,0),   MATCH(P$1,警職大表!$A$3:$AZ$3,0)  )=0,"",INDEX(警職大表!$A$1:$AZ$100,MATCH($A24,警職大表!$A$1:$A$100,0),   MATCH(P$1,警職大表!$A$3:$AZ$3,0)  )        )="",O24,  IF(  INDEX(警職大表!$A$1:$AZ$100,MATCH($A24,警職大表!$A$1:$A$100,0),   MATCH(P$1,警職大表!$A$3:$AZ$3,0)  )=0,"",INDEX(警職大表!$A$1:$AZ$100,MATCH($A24,警職大表!$A$1:$A$100,0),   MATCH(P$1,警職大表!$A$3:$AZ$3,0)  ) )    ),"")</f>
        <v/>
      </c>
      <c r="Q24" s="271" t="str">
        <f>_xlfn.IFNA(   IF(   IF(  INDEX(警職大表!$A$1:$AZ$100,MATCH($A24,警職大表!$A$1:$A$100,0),   MATCH(Q$1,警職大表!$A$3:$AZ$3,0)  )=0,"",INDEX(警職大表!$A$1:$AZ$100,MATCH($A24,警職大表!$A$1:$A$100,0),   MATCH(Q$1,警職大表!$A$3:$AZ$3,0)  )        )="",P24,  IF(  INDEX(警職大表!$A$1:$AZ$100,MATCH($A24,警職大表!$A$1:$A$100,0),   MATCH(Q$1,警職大表!$A$3:$AZ$3,0)  )=0,"",INDEX(警職大表!$A$1:$AZ$100,MATCH($A24,警職大表!$A$1:$A$100,0),   MATCH(Q$1,警職大表!$A$3:$AZ$3,0)  ) )    ),"")</f>
        <v/>
      </c>
      <c r="R24" s="271" t="str">
        <f>_xlfn.IFNA(   IF(   IF(  INDEX(警職大表!$A$1:$AZ$100,MATCH($A24,警職大表!$A$1:$A$100,0),   MATCH(R$1,警職大表!$A$3:$AZ$3,0)  )=0,"",INDEX(警職大表!$A$1:$AZ$100,MATCH($A24,警職大表!$A$1:$A$100,0),   MATCH(R$1,警職大表!$A$3:$AZ$3,0)  )        )="",Q24,  IF(  INDEX(警職大表!$A$1:$AZ$100,MATCH($A24,警職大表!$A$1:$A$100,0),   MATCH(R$1,警職大表!$A$3:$AZ$3,0)  )=0,"",INDEX(警職大表!$A$1:$AZ$100,MATCH($A24,警職大表!$A$1:$A$100,0),   MATCH(R$1,警職大表!$A$3:$AZ$3,0)  ) )    ),"")</f>
        <v/>
      </c>
      <c r="S24" s="271" t="str">
        <f>_xlfn.IFNA(   IF(   IF(  INDEX(警職大表!$A$1:$AZ$100,MATCH($A24,警職大表!$A$1:$A$100,0),   MATCH(S$1,警職大表!$A$3:$AZ$3,0)  )=0,"",INDEX(警職大表!$A$1:$AZ$100,MATCH($A24,警職大表!$A$1:$A$100,0),   MATCH(S$1,警職大表!$A$3:$AZ$3,0)  )        )="",R24,  IF(  INDEX(警職大表!$A$1:$AZ$100,MATCH($A24,警職大表!$A$1:$A$100,0),   MATCH(S$1,警職大表!$A$3:$AZ$3,0)  )=0,"",INDEX(警職大表!$A$1:$AZ$100,MATCH($A24,警職大表!$A$1:$A$100,0),   MATCH(S$1,警職大表!$A$3:$AZ$3,0)  ) )    ),"")</f>
        <v/>
      </c>
      <c r="T24" s="271" t="str">
        <f>_xlfn.IFNA(   IF(   IF(  INDEX(警職大表!$A$1:$AZ$100,MATCH($A24,警職大表!$A$1:$A$100,0),   MATCH(T$1,警職大表!$A$3:$AZ$3,0)  )=0,"",INDEX(警職大表!$A$1:$AZ$100,MATCH($A24,警職大表!$A$1:$A$100,0),   MATCH(T$1,警職大表!$A$3:$AZ$3,0)  )        )="",S24,  IF(  INDEX(警職大表!$A$1:$AZ$100,MATCH($A24,警職大表!$A$1:$A$100,0),   MATCH(T$1,警職大表!$A$3:$AZ$3,0)  )=0,"",INDEX(警職大表!$A$1:$AZ$100,MATCH($A24,警職大表!$A$1:$A$100,0),   MATCH(T$1,警職大表!$A$3:$AZ$3,0)  ) )    ),"")</f>
        <v/>
      </c>
      <c r="U24" s="271" t="str">
        <f>_xlfn.IFNA(   IF(   IF(  INDEX(警職大表!$A$1:$AZ$100,MATCH($A24,警職大表!$A$1:$A$100,0),   MATCH(U$1,警職大表!$A$3:$AZ$3,0)  )=0,"",INDEX(警職大表!$A$1:$AZ$100,MATCH($A24,警職大表!$A$1:$A$100,0),   MATCH(U$1,警職大表!$A$3:$AZ$3,0)  )        )="",T24,  IF(  INDEX(警職大表!$A$1:$AZ$100,MATCH($A24,警職大表!$A$1:$A$100,0),   MATCH(U$1,警職大表!$A$3:$AZ$3,0)  )=0,"",INDEX(警職大表!$A$1:$AZ$100,MATCH($A24,警職大表!$A$1:$A$100,0),   MATCH(U$1,警職大表!$A$3:$AZ$3,0)  ) )    ),"")</f>
        <v/>
      </c>
      <c r="V24" s="271" t="str">
        <f>_xlfn.IFNA(   IF(   IF(  INDEX(警職大表!$A$1:$AZ$100,MATCH($A24,警職大表!$A$1:$A$100,0),   MATCH(V$1,警職大表!$A$3:$AZ$3,0)  )=0,"",INDEX(警職大表!$A$1:$AZ$100,MATCH($A24,警職大表!$A$1:$A$100,0),   MATCH(V$1,警職大表!$A$3:$AZ$3,0)  )        )="",U24,  IF(  INDEX(警職大表!$A$1:$AZ$100,MATCH($A24,警職大表!$A$1:$A$100,0),   MATCH(V$1,警職大表!$A$3:$AZ$3,0)  )=0,"",INDEX(警職大表!$A$1:$AZ$100,MATCH($A24,警職大表!$A$1:$A$100,0),   MATCH(V$1,警職大表!$A$3:$AZ$3,0)  ) )    ),"")</f>
        <v/>
      </c>
      <c r="W24" s="271" t="str">
        <f>_xlfn.IFNA(   IF(   IF(  INDEX(警職大表!$A$1:$AZ$100,MATCH($A24,警職大表!$A$1:$A$100,0),   MATCH(W$1,警職大表!$A$3:$AZ$3,0)  )=0,"",INDEX(警職大表!$A$1:$AZ$100,MATCH($A24,警職大表!$A$1:$A$100,0),   MATCH(W$1,警職大表!$A$3:$AZ$3,0)  )        )="",V24,  IF(  INDEX(警職大表!$A$1:$AZ$100,MATCH($A24,警職大表!$A$1:$A$100,0),   MATCH(W$1,警職大表!$A$3:$AZ$3,0)  )=0,"",INDEX(警職大表!$A$1:$AZ$100,MATCH($A24,警職大表!$A$1:$A$100,0),   MATCH(W$1,警職大表!$A$3:$AZ$3,0)  ) )    ),"")</f>
        <v/>
      </c>
      <c r="X24" s="271" t="str">
        <f>_xlfn.IFNA(   IF(   IF(  INDEX(警職大表!$A$1:$AZ$100,MATCH($A24,警職大表!$A$1:$A$100,0),   MATCH(X$1,警職大表!$A$3:$AZ$3,0)  )=0,"",INDEX(警職大表!$A$1:$AZ$100,MATCH($A24,警職大表!$A$1:$A$100,0),   MATCH(X$1,警職大表!$A$3:$AZ$3,0)  )        )="",W24,  IF(  INDEX(警職大表!$A$1:$AZ$100,MATCH($A24,警職大表!$A$1:$A$100,0),   MATCH(X$1,警職大表!$A$3:$AZ$3,0)  )=0,"",INDEX(警職大表!$A$1:$AZ$100,MATCH($A24,警職大表!$A$1:$A$100,0),   MATCH(X$1,警職大表!$A$3:$AZ$3,0)  ) )    ),"")</f>
        <v/>
      </c>
      <c r="Y24" s="271" t="str">
        <f>_xlfn.IFNA(   IF(   IF(  INDEX(警職大表!$A$1:$AZ$100,MATCH($A24,警職大表!$A$1:$A$100,0),   MATCH(Y$1,警職大表!$A$3:$AZ$3,0)  )=0,"",INDEX(警職大表!$A$1:$AZ$100,MATCH($A24,警職大表!$A$1:$A$100,0),   MATCH(Y$1,警職大表!$A$3:$AZ$3,0)  )        )="",X24,  IF(  INDEX(警職大表!$A$1:$AZ$100,MATCH($A24,警職大表!$A$1:$A$100,0),   MATCH(Y$1,警職大表!$A$3:$AZ$3,0)  )=0,"",INDEX(警職大表!$A$1:$AZ$100,MATCH($A24,警職大表!$A$1:$A$100,0),   MATCH(Y$1,警職大表!$A$3:$AZ$3,0)  ) )    ),"")</f>
        <v/>
      </c>
      <c r="Z24" s="271" t="str">
        <f>_xlfn.IFNA(   IF(   IF(  INDEX(警職大表!$A$1:$AZ$100,MATCH($A24,警職大表!$A$1:$A$100,0),   MATCH(Z$1,警職大表!$A$3:$AZ$3,0)  )=0,"",INDEX(警職大表!$A$1:$AZ$100,MATCH($A24,警職大表!$A$1:$A$100,0),   MATCH(Z$1,警職大表!$A$3:$AZ$3,0)  )        )="",Y24,  IF(  INDEX(警職大表!$A$1:$AZ$100,MATCH($A24,警職大表!$A$1:$A$100,0),   MATCH(Z$1,警職大表!$A$3:$AZ$3,0)  )=0,"",INDEX(警職大表!$A$1:$AZ$100,MATCH($A24,警職大表!$A$1:$A$100,0),   MATCH(Z$1,警職大表!$A$3:$AZ$3,0)  ) )    ),"")</f>
        <v/>
      </c>
      <c r="AA24" s="271" t="str">
        <f>_xlfn.IFNA(   IF(   IF(  INDEX(警職大表!$A$1:$AZ$100,MATCH($A24,警職大表!$A$1:$A$100,0),   MATCH(AA$1,警職大表!$A$3:$AZ$3,0)  )=0,"",INDEX(警職大表!$A$1:$AZ$100,MATCH($A24,警職大表!$A$1:$A$100,0),   MATCH(AA$1,警職大表!$A$3:$AZ$3,0)  )        )="",Z24,  IF(  INDEX(警職大表!$A$1:$AZ$100,MATCH($A24,警職大表!$A$1:$A$100,0),   MATCH(AA$1,警職大表!$A$3:$AZ$3,0)  )=0,"",INDEX(警職大表!$A$1:$AZ$100,MATCH($A24,警職大表!$A$1:$A$100,0),   MATCH(AA$1,警職大表!$A$3:$AZ$3,0)  ) )    ),"")</f>
        <v/>
      </c>
      <c r="AB24" s="271" t="str">
        <f>_xlfn.IFNA(   IF(   IF(  INDEX(警職大表!$A$1:$AZ$100,MATCH($A24,警職大表!$A$1:$A$100,0),   MATCH(AB$1,警職大表!$A$3:$AZ$3,0)  )=0,"",INDEX(警職大表!$A$1:$AZ$100,MATCH($A24,警職大表!$A$1:$A$100,0),   MATCH(AB$1,警職大表!$A$3:$AZ$3,0)  )        )="",AA24,  IF(  INDEX(警職大表!$A$1:$AZ$100,MATCH($A24,警職大表!$A$1:$A$100,0),   MATCH(AB$1,警職大表!$A$3:$AZ$3,0)  )=0,"",INDEX(警職大表!$A$1:$AZ$100,MATCH($A24,警職大表!$A$1:$A$100,0),   MATCH(AB$1,警職大表!$A$3:$AZ$3,0)  ) )    ),"")</f>
        <v/>
      </c>
      <c r="AC24" s="271" t="str">
        <f>_xlfn.IFNA(   IF(   IF(  INDEX(警職大表!$A$1:$AZ$100,MATCH($A24,警職大表!$A$1:$A$100,0),   MATCH(AC$1,警職大表!$A$3:$AZ$3,0)  )=0,"",INDEX(警職大表!$A$1:$AZ$100,MATCH($A24,警職大表!$A$1:$A$100,0),   MATCH(AC$1,警職大表!$A$3:$AZ$3,0)  )        )="",AB24,  IF(  INDEX(警職大表!$A$1:$AZ$100,MATCH($A24,警職大表!$A$1:$A$100,0),   MATCH(AC$1,警職大表!$A$3:$AZ$3,0)  )=0,"",INDEX(警職大表!$A$1:$AZ$100,MATCH($A24,警職大表!$A$1:$A$100,0),   MATCH(AC$1,警職大表!$A$3:$AZ$3,0)  ) )    ),"")</f>
        <v/>
      </c>
      <c r="AD24" s="271" t="str">
        <f>_xlfn.IFNA(   IF(   IF(  INDEX(警職大表!$A$1:$AZ$100,MATCH($A24,警職大表!$A$1:$A$100,0),   MATCH(AD$1,警職大表!$A$3:$AZ$3,0)  )=0,"",INDEX(警職大表!$A$1:$AZ$100,MATCH($A24,警職大表!$A$1:$A$100,0),   MATCH(AD$1,警職大表!$A$3:$AZ$3,0)  )        )="",AC24,  IF(  INDEX(警職大表!$A$1:$AZ$100,MATCH($A24,警職大表!$A$1:$A$100,0),   MATCH(AD$1,警職大表!$A$3:$AZ$3,0)  )=0,"",INDEX(警職大表!$A$1:$AZ$100,MATCH($A24,警職大表!$A$1:$A$100,0),   MATCH(AD$1,警職大表!$A$3:$AZ$3,0)  ) )    ),"")</f>
        <v/>
      </c>
      <c r="AE24" s="271" t="str">
        <f>_xlfn.IFNA(   IF(   IF(  INDEX(警職大表!$A$1:$AZ$100,MATCH($A24,警職大表!$A$1:$A$100,0),   MATCH(AE$1,警職大表!$A$3:$AZ$3,0)  )=0,"",INDEX(警職大表!$A$1:$AZ$100,MATCH($A24,警職大表!$A$1:$A$100,0),   MATCH(AE$1,警職大表!$A$3:$AZ$3,0)  )        )="",AD24,  IF(  INDEX(警職大表!$A$1:$AZ$100,MATCH($A24,警職大表!$A$1:$A$100,0),   MATCH(AE$1,警職大表!$A$3:$AZ$3,0)  )=0,"",INDEX(警職大表!$A$1:$AZ$100,MATCH($A24,警職大表!$A$1:$A$100,0),   MATCH(AE$1,警職大表!$A$3:$AZ$3,0)  ) )    ),"")</f>
        <v/>
      </c>
      <c r="AF24" s="271" t="str">
        <f>_xlfn.IFNA(   IF(   IF(  INDEX(警職大表!$A$1:$AZ$100,MATCH($A24,警職大表!$A$1:$A$100,0),   MATCH(AF$1,警職大表!$A$3:$AZ$3,0)  )=0,"",INDEX(警職大表!$A$1:$AZ$100,MATCH($A24,警職大表!$A$1:$A$100,0),   MATCH(AF$1,警職大表!$A$3:$AZ$3,0)  )        )="",AE24,  IF(  INDEX(警職大表!$A$1:$AZ$100,MATCH($A24,警職大表!$A$1:$A$100,0),   MATCH(AF$1,警職大表!$A$3:$AZ$3,0)  )=0,"",INDEX(警職大表!$A$1:$AZ$100,MATCH($A24,警職大表!$A$1:$A$100,0),   MATCH(AF$1,警職大表!$A$3:$AZ$3,0)  ) )    ),"")</f>
        <v/>
      </c>
      <c r="AG24" s="271" t="str">
        <f>_xlfn.IFNA(   IF(   IF(  INDEX(警職大表!$A$1:$AZ$100,MATCH($A24,警職大表!$A$1:$A$100,0),   MATCH(AG$1,警職大表!$A$3:$AZ$3,0)  )=0,"",INDEX(警職大表!$A$1:$AZ$100,MATCH($A24,警職大表!$A$1:$A$100,0),   MATCH(AG$1,警職大表!$A$3:$AZ$3,0)  )        )="",AF24,  IF(  INDEX(警職大表!$A$1:$AZ$100,MATCH($A24,警職大表!$A$1:$A$100,0),   MATCH(AG$1,警職大表!$A$3:$AZ$3,0)  )=0,"",INDEX(警職大表!$A$1:$AZ$100,MATCH($A24,警職大表!$A$1:$A$100,0),   MATCH(AG$1,警職大表!$A$3:$AZ$3,0)  ) )    ),"")</f>
        <v/>
      </c>
      <c r="AL24" s="271" t="str">
        <f t="shared" si="0"/>
        <v/>
      </c>
      <c r="AM24" s="271" t="str">
        <f t="shared" si="1"/>
        <v/>
      </c>
      <c r="AN24" s="271" t="str">
        <f>INDEX(   $A$41:$AG$78, MATCH(AL24,$A$41:$A$78,0),MATCH(  DAY(勤務分配表!$AN$1),$A$41:$AL$41,0  )  )</f>
        <v/>
      </c>
      <c r="AO24" s="271" t="str">
        <f>IF((ROW(AO24)-1)&lt;=日期輸入!$B$5,_xlfn.IFNA(IF(INDEX($A$1:$AG$40,MATCH($AM24,$B$1:$B$100,0),VALUE($AO$1+3))="成","補",INDEX($A$1:$AG$40,MATCH($AM24,$B$1:$B$100,0),VALUE($AO$1+3))),""),"")</f>
        <v/>
      </c>
      <c r="AP24" s="271" t="str">
        <f>IF((ROW(AP24)-1)&lt;=日期輸入!$B$5,_xlfn.IFNA(IF(INDEX($A$1:$AG$40,MATCH($AM24,$B$1:$B$100,0),VALUE($AP$1+3))="成","補",INDEX($A$1:$AG$40,MATCH($AM24,$B$1:$B$100,0),VALUE($AP$1+3))),""),"")</f>
        <v/>
      </c>
      <c r="AQ24" s="271" t="str">
        <f>IF((ROW(AQ24)-1)&lt;=日期輸入!$B$5,_xlfn.IFNA(IF(INDEX($A$1:$AG$40,MATCH($AM24,$B$1:$B$100,0),VALUE($AQ$1+3))="成","補",INDEX($A$1:$AG$40,MATCH($AM24,$B$1:$B$100,0),VALUE($AQ$1+3))),""),"")</f>
        <v/>
      </c>
    </row>
    <row r="25" spans="1:43">
      <c r="A25" s="271" t="str">
        <f>IF(  (ROW(A25)-1)&lt;=日期輸入!$B$5,勤務分配!A25,"")</f>
        <v/>
      </c>
      <c r="B25" s="271" t="str">
        <f>_xlfn.IFNA(  INDEX(警職大表!$A$1:$AZ$100,MATCH(A25,警職大表!$A$1:$A$100,0),3),"")</f>
        <v/>
      </c>
      <c r="C25" s="271" t="str">
        <f>_xlfn.IFNA(  IF(  INDEX(警職大表!$A$1:$AZ$100,MATCH($A25,警職大表!$A$1:$A$100,0),   MATCH(C$1,警職大表!$A$3:$AZ$3,0)  )=0,"",INDEX(警職大表!$A$1:$AZ$100,MATCH($A25,警職大表!$A$1:$A$100,0),   MATCH(C$1,警職大表!$A$3:$AZ$3,0)  )                ),"")</f>
        <v/>
      </c>
      <c r="D25" s="271" t="str">
        <f>_xlfn.IFNA(   IF(   IF(  INDEX(警職大表!$A$1:$AZ$100,MATCH($A25,警職大表!$A$1:$A$100,0),   MATCH(D$1,警職大表!$A$3:$AZ$3,0)  )=0,"",INDEX(警職大表!$A$1:$AZ$100,MATCH($A25,警職大表!$A$1:$A$100,0),   MATCH(D$1,警職大表!$A$3:$AZ$3,0)  )        )="",C25,  IF(  INDEX(警職大表!$A$1:$AZ$100,MATCH($A25,警職大表!$A$1:$A$100,0),   MATCH(D$1,警職大表!$A$3:$AZ$3,0)  )=0,"",INDEX(警職大表!$A$1:$AZ$100,MATCH($A25,警職大表!$A$1:$A$100,0),   MATCH(D$1,警職大表!$A$3:$AZ$3,0)  ) )    ),"")</f>
        <v/>
      </c>
      <c r="E25" s="271" t="str">
        <f>_xlfn.IFNA(   IF(   IF(  INDEX(警職大表!$A$1:$AZ$100,MATCH($A25,警職大表!$A$1:$A$100,0),   MATCH(E$1,警職大表!$A$3:$AZ$3,0)  )=0,"",INDEX(警職大表!$A$1:$AZ$100,MATCH($A25,警職大表!$A$1:$A$100,0),   MATCH(E$1,警職大表!$A$3:$AZ$3,0)  )        )="",D25,  IF(  INDEX(警職大表!$A$1:$AZ$100,MATCH($A25,警職大表!$A$1:$A$100,0),   MATCH(E$1,警職大表!$A$3:$AZ$3,0)  )=0,"",INDEX(警職大表!$A$1:$AZ$100,MATCH($A25,警職大表!$A$1:$A$100,0),   MATCH(E$1,警職大表!$A$3:$AZ$3,0)  ) )    ),"")</f>
        <v/>
      </c>
      <c r="F25" s="271" t="str">
        <f>_xlfn.IFNA(   IF(   IF(  INDEX(警職大表!$A$1:$AZ$100,MATCH($A25,警職大表!$A$1:$A$100,0),   MATCH(F$1,警職大表!$A$3:$AZ$3,0)  )=0,"",INDEX(警職大表!$A$1:$AZ$100,MATCH($A25,警職大表!$A$1:$A$100,0),   MATCH(F$1,警職大表!$A$3:$AZ$3,0)  )        )="",E25,  IF(  INDEX(警職大表!$A$1:$AZ$100,MATCH($A25,警職大表!$A$1:$A$100,0),   MATCH(F$1,警職大表!$A$3:$AZ$3,0)  )=0,"",INDEX(警職大表!$A$1:$AZ$100,MATCH($A25,警職大表!$A$1:$A$100,0),   MATCH(F$1,警職大表!$A$3:$AZ$3,0)  ) )    ),"")</f>
        <v/>
      </c>
      <c r="G25" s="271" t="str">
        <f>_xlfn.IFNA(   IF(   IF(  INDEX(警職大表!$A$1:$AZ$100,MATCH($A25,警職大表!$A$1:$A$100,0),   MATCH(G$1,警職大表!$A$3:$AZ$3,0)  )=0,"",INDEX(警職大表!$A$1:$AZ$100,MATCH($A25,警職大表!$A$1:$A$100,0),   MATCH(G$1,警職大表!$A$3:$AZ$3,0)  )        )="",F25,  IF(  INDEX(警職大表!$A$1:$AZ$100,MATCH($A25,警職大表!$A$1:$A$100,0),   MATCH(G$1,警職大表!$A$3:$AZ$3,0)  )=0,"",INDEX(警職大表!$A$1:$AZ$100,MATCH($A25,警職大表!$A$1:$A$100,0),   MATCH(G$1,警職大表!$A$3:$AZ$3,0)  ) )    ),"")</f>
        <v/>
      </c>
      <c r="H25" s="271" t="str">
        <f>_xlfn.IFNA(   IF(   IF(  INDEX(警職大表!$A$1:$AZ$100,MATCH($A25,警職大表!$A$1:$A$100,0),   MATCH(H$1,警職大表!$A$3:$AZ$3,0)  )=0,"",INDEX(警職大表!$A$1:$AZ$100,MATCH($A25,警職大表!$A$1:$A$100,0),   MATCH(H$1,警職大表!$A$3:$AZ$3,0)  )        )="",G25,  IF(  INDEX(警職大表!$A$1:$AZ$100,MATCH($A25,警職大表!$A$1:$A$100,0),   MATCH(H$1,警職大表!$A$3:$AZ$3,0)  )=0,"",INDEX(警職大表!$A$1:$AZ$100,MATCH($A25,警職大表!$A$1:$A$100,0),   MATCH(H$1,警職大表!$A$3:$AZ$3,0)  ) )    ),"")</f>
        <v/>
      </c>
      <c r="I25" s="271" t="str">
        <f>_xlfn.IFNA(   IF(   IF(  INDEX(警職大表!$A$1:$AZ$100,MATCH($A25,警職大表!$A$1:$A$100,0),   MATCH(I$1,警職大表!$A$3:$AZ$3,0)  )=0,"",INDEX(警職大表!$A$1:$AZ$100,MATCH($A25,警職大表!$A$1:$A$100,0),   MATCH(I$1,警職大表!$A$3:$AZ$3,0)  )        )="",H25,  IF(  INDEX(警職大表!$A$1:$AZ$100,MATCH($A25,警職大表!$A$1:$A$100,0),   MATCH(I$1,警職大表!$A$3:$AZ$3,0)  )=0,"",INDEX(警職大表!$A$1:$AZ$100,MATCH($A25,警職大表!$A$1:$A$100,0),   MATCH(I$1,警職大表!$A$3:$AZ$3,0)  ) )    ),"")</f>
        <v/>
      </c>
      <c r="J25" s="271" t="str">
        <f>_xlfn.IFNA(   IF(   IF(  INDEX(警職大表!$A$1:$AZ$100,MATCH($A25,警職大表!$A$1:$A$100,0),   MATCH(J$1,警職大表!$A$3:$AZ$3,0)  )=0,"",INDEX(警職大表!$A$1:$AZ$100,MATCH($A25,警職大表!$A$1:$A$100,0),   MATCH(J$1,警職大表!$A$3:$AZ$3,0)  )        )="",I25,  IF(  INDEX(警職大表!$A$1:$AZ$100,MATCH($A25,警職大表!$A$1:$A$100,0),   MATCH(J$1,警職大表!$A$3:$AZ$3,0)  )=0,"",INDEX(警職大表!$A$1:$AZ$100,MATCH($A25,警職大表!$A$1:$A$100,0),   MATCH(J$1,警職大表!$A$3:$AZ$3,0)  ) )    ),"")</f>
        <v/>
      </c>
      <c r="K25" s="271" t="str">
        <f>_xlfn.IFNA(   IF(   IF(  INDEX(警職大表!$A$1:$AZ$100,MATCH($A25,警職大表!$A$1:$A$100,0),   MATCH(K$1,警職大表!$A$3:$AZ$3,0)  )=0,"",INDEX(警職大表!$A$1:$AZ$100,MATCH($A25,警職大表!$A$1:$A$100,0),   MATCH(K$1,警職大表!$A$3:$AZ$3,0)  )        )="",J25,  IF(  INDEX(警職大表!$A$1:$AZ$100,MATCH($A25,警職大表!$A$1:$A$100,0),   MATCH(K$1,警職大表!$A$3:$AZ$3,0)  )=0,"",INDEX(警職大表!$A$1:$AZ$100,MATCH($A25,警職大表!$A$1:$A$100,0),   MATCH(K$1,警職大表!$A$3:$AZ$3,0)  ) )    ),"")</f>
        <v/>
      </c>
      <c r="L25" s="271" t="str">
        <f>_xlfn.IFNA(   IF(   IF(  INDEX(警職大表!$A$1:$AZ$100,MATCH($A25,警職大表!$A$1:$A$100,0),   MATCH(L$1,警職大表!$A$3:$AZ$3,0)  )=0,"",INDEX(警職大表!$A$1:$AZ$100,MATCH($A25,警職大表!$A$1:$A$100,0),   MATCH(L$1,警職大表!$A$3:$AZ$3,0)  )        )="",K25,  IF(  INDEX(警職大表!$A$1:$AZ$100,MATCH($A25,警職大表!$A$1:$A$100,0),   MATCH(L$1,警職大表!$A$3:$AZ$3,0)  )=0,"",INDEX(警職大表!$A$1:$AZ$100,MATCH($A25,警職大表!$A$1:$A$100,0),   MATCH(L$1,警職大表!$A$3:$AZ$3,0)  ) )    ),"")</f>
        <v/>
      </c>
      <c r="M25" s="271" t="str">
        <f>_xlfn.IFNA(   IF(   IF(  INDEX(警職大表!$A$1:$AZ$100,MATCH($A25,警職大表!$A$1:$A$100,0),   MATCH(M$1,警職大表!$A$3:$AZ$3,0)  )=0,"",INDEX(警職大表!$A$1:$AZ$100,MATCH($A25,警職大表!$A$1:$A$100,0),   MATCH(M$1,警職大表!$A$3:$AZ$3,0)  )        )="",L25,  IF(  INDEX(警職大表!$A$1:$AZ$100,MATCH($A25,警職大表!$A$1:$A$100,0),   MATCH(M$1,警職大表!$A$3:$AZ$3,0)  )=0,"",INDEX(警職大表!$A$1:$AZ$100,MATCH($A25,警職大表!$A$1:$A$100,0),   MATCH(M$1,警職大表!$A$3:$AZ$3,0)  ) )    ),"")</f>
        <v/>
      </c>
      <c r="N25" s="271" t="str">
        <f>_xlfn.IFNA(   IF(   IF(  INDEX(警職大表!$A$1:$AZ$100,MATCH($A25,警職大表!$A$1:$A$100,0),   MATCH(N$1,警職大表!$A$3:$AZ$3,0)  )=0,"",INDEX(警職大表!$A$1:$AZ$100,MATCH($A25,警職大表!$A$1:$A$100,0),   MATCH(N$1,警職大表!$A$3:$AZ$3,0)  )        )="",M25,  IF(  INDEX(警職大表!$A$1:$AZ$100,MATCH($A25,警職大表!$A$1:$A$100,0),   MATCH(N$1,警職大表!$A$3:$AZ$3,0)  )=0,"",INDEX(警職大表!$A$1:$AZ$100,MATCH($A25,警職大表!$A$1:$A$100,0),   MATCH(N$1,警職大表!$A$3:$AZ$3,0)  ) )    ),"")</f>
        <v/>
      </c>
      <c r="O25" s="271" t="str">
        <f>_xlfn.IFNA(   IF(   IF(  INDEX(警職大表!$A$1:$AZ$100,MATCH($A25,警職大表!$A$1:$A$100,0),   MATCH(O$1,警職大表!$A$3:$AZ$3,0)  )=0,"",INDEX(警職大表!$A$1:$AZ$100,MATCH($A25,警職大表!$A$1:$A$100,0),   MATCH(O$1,警職大表!$A$3:$AZ$3,0)  )        )="",N25,  IF(  INDEX(警職大表!$A$1:$AZ$100,MATCH($A25,警職大表!$A$1:$A$100,0),   MATCH(O$1,警職大表!$A$3:$AZ$3,0)  )=0,"",INDEX(警職大表!$A$1:$AZ$100,MATCH($A25,警職大表!$A$1:$A$100,0),   MATCH(O$1,警職大表!$A$3:$AZ$3,0)  ) )    ),"")</f>
        <v/>
      </c>
      <c r="P25" s="271" t="str">
        <f>_xlfn.IFNA(   IF(   IF(  INDEX(警職大表!$A$1:$AZ$100,MATCH($A25,警職大表!$A$1:$A$100,0),   MATCH(P$1,警職大表!$A$3:$AZ$3,0)  )=0,"",INDEX(警職大表!$A$1:$AZ$100,MATCH($A25,警職大表!$A$1:$A$100,0),   MATCH(P$1,警職大表!$A$3:$AZ$3,0)  )        )="",O25,  IF(  INDEX(警職大表!$A$1:$AZ$100,MATCH($A25,警職大表!$A$1:$A$100,0),   MATCH(P$1,警職大表!$A$3:$AZ$3,0)  )=0,"",INDEX(警職大表!$A$1:$AZ$100,MATCH($A25,警職大表!$A$1:$A$100,0),   MATCH(P$1,警職大表!$A$3:$AZ$3,0)  ) )    ),"")</f>
        <v/>
      </c>
      <c r="Q25" s="271" t="str">
        <f>_xlfn.IFNA(   IF(   IF(  INDEX(警職大表!$A$1:$AZ$100,MATCH($A25,警職大表!$A$1:$A$100,0),   MATCH(Q$1,警職大表!$A$3:$AZ$3,0)  )=0,"",INDEX(警職大表!$A$1:$AZ$100,MATCH($A25,警職大表!$A$1:$A$100,0),   MATCH(Q$1,警職大表!$A$3:$AZ$3,0)  )        )="",P25,  IF(  INDEX(警職大表!$A$1:$AZ$100,MATCH($A25,警職大表!$A$1:$A$100,0),   MATCH(Q$1,警職大表!$A$3:$AZ$3,0)  )=0,"",INDEX(警職大表!$A$1:$AZ$100,MATCH($A25,警職大表!$A$1:$A$100,0),   MATCH(Q$1,警職大表!$A$3:$AZ$3,0)  ) )    ),"")</f>
        <v/>
      </c>
      <c r="R25" s="271" t="str">
        <f>_xlfn.IFNA(   IF(   IF(  INDEX(警職大表!$A$1:$AZ$100,MATCH($A25,警職大表!$A$1:$A$100,0),   MATCH(R$1,警職大表!$A$3:$AZ$3,0)  )=0,"",INDEX(警職大表!$A$1:$AZ$100,MATCH($A25,警職大表!$A$1:$A$100,0),   MATCH(R$1,警職大表!$A$3:$AZ$3,0)  )        )="",Q25,  IF(  INDEX(警職大表!$A$1:$AZ$100,MATCH($A25,警職大表!$A$1:$A$100,0),   MATCH(R$1,警職大表!$A$3:$AZ$3,0)  )=0,"",INDEX(警職大表!$A$1:$AZ$100,MATCH($A25,警職大表!$A$1:$A$100,0),   MATCH(R$1,警職大表!$A$3:$AZ$3,0)  ) )    ),"")</f>
        <v/>
      </c>
      <c r="S25" s="271" t="str">
        <f>_xlfn.IFNA(   IF(   IF(  INDEX(警職大表!$A$1:$AZ$100,MATCH($A25,警職大表!$A$1:$A$100,0),   MATCH(S$1,警職大表!$A$3:$AZ$3,0)  )=0,"",INDEX(警職大表!$A$1:$AZ$100,MATCH($A25,警職大表!$A$1:$A$100,0),   MATCH(S$1,警職大表!$A$3:$AZ$3,0)  )        )="",R25,  IF(  INDEX(警職大表!$A$1:$AZ$100,MATCH($A25,警職大表!$A$1:$A$100,0),   MATCH(S$1,警職大表!$A$3:$AZ$3,0)  )=0,"",INDEX(警職大表!$A$1:$AZ$100,MATCH($A25,警職大表!$A$1:$A$100,0),   MATCH(S$1,警職大表!$A$3:$AZ$3,0)  ) )    ),"")</f>
        <v/>
      </c>
      <c r="T25" s="271" t="str">
        <f>_xlfn.IFNA(   IF(   IF(  INDEX(警職大表!$A$1:$AZ$100,MATCH($A25,警職大表!$A$1:$A$100,0),   MATCH(T$1,警職大表!$A$3:$AZ$3,0)  )=0,"",INDEX(警職大表!$A$1:$AZ$100,MATCH($A25,警職大表!$A$1:$A$100,0),   MATCH(T$1,警職大表!$A$3:$AZ$3,0)  )        )="",S25,  IF(  INDEX(警職大表!$A$1:$AZ$100,MATCH($A25,警職大表!$A$1:$A$100,0),   MATCH(T$1,警職大表!$A$3:$AZ$3,0)  )=0,"",INDEX(警職大表!$A$1:$AZ$100,MATCH($A25,警職大表!$A$1:$A$100,0),   MATCH(T$1,警職大表!$A$3:$AZ$3,0)  ) )    ),"")</f>
        <v/>
      </c>
      <c r="U25" s="271" t="str">
        <f>_xlfn.IFNA(   IF(   IF(  INDEX(警職大表!$A$1:$AZ$100,MATCH($A25,警職大表!$A$1:$A$100,0),   MATCH(U$1,警職大表!$A$3:$AZ$3,0)  )=0,"",INDEX(警職大表!$A$1:$AZ$100,MATCH($A25,警職大表!$A$1:$A$100,0),   MATCH(U$1,警職大表!$A$3:$AZ$3,0)  )        )="",T25,  IF(  INDEX(警職大表!$A$1:$AZ$100,MATCH($A25,警職大表!$A$1:$A$100,0),   MATCH(U$1,警職大表!$A$3:$AZ$3,0)  )=0,"",INDEX(警職大表!$A$1:$AZ$100,MATCH($A25,警職大表!$A$1:$A$100,0),   MATCH(U$1,警職大表!$A$3:$AZ$3,0)  ) )    ),"")</f>
        <v/>
      </c>
      <c r="V25" s="271" t="str">
        <f>_xlfn.IFNA(   IF(   IF(  INDEX(警職大表!$A$1:$AZ$100,MATCH($A25,警職大表!$A$1:$A$100,0),   MATCH(V$1,警職大表!$A$3:$AZ$3,0)  )=0,"",INDEX(警職大表!$A$1:$AZ$100,MATCH($A25,警職大表!$A$1:$A$100,0),   MATCH(V$1,警職大表!$A$3:$AZ$3,0)  )        )="",U25,  IF(  INDEX(警職大表!$A$1:$AZ$100,MATCH($A25,警職大表!$A$1:$A$100,0),   MATCH(V$1,警職大表!$A$3:$AZ$3,0)  )=0,"",INDEX(警職大表!$A$1:$AZ$100,MATCH($A25,警職大表!$A$1:$A$100,0),   MATCH(V$1,警職大表!$A$3:$AZ$3,0)  ) )    ),"")</f>
        <v/>
      </c>
      <c r="W25" s="271" t="str">
        <f>_xlfn.IFNA(   IF(   IF(  INDEX(警職大表!$A$1:$AZ$100,MATCH($A25,警職大表!$A$1:$A$100,0),   MATCH(W$1,警職大表!$A$3:$AZ$3,0)  )=0,"",INDEX(警職大表!$A$1:$AZ$100,MATCH($A25,警職大表!$A$1:$A$100,0),   MATCH(W$1,警職大表!$A$3:$AZ$3,0)  )        )="",V25,  IF(  INDEX(警職大表!$A$1:$AZ$100,MATCH($A25,警職大表!$A$1:$A$100,0),   MATCH(W$1,警職大表!$A$3:$AZ$3,0)  )=0,"",INDEX(警職大表!$A$1:$AZ$100,MATCH($A25,警職大表!$A$1:$A$100,0),   MATCH(W$1,警職大表!$A$3:$AZ$3,0)  ) )    ),"")</f>
        <v/>
      </c>
      <c r="X25" s="271" t="str">
        <f>_xlfn.IFNA(   IF(   IF(  INDEX(警職大表!$A$1:$AZ$100,MATCH($A25,警職大表!$A$1:$A$100,0),   MATCH(X$1,警職大表!$A$3:$AZ$3,0)  )=0,"",INDEX(警職大表!$A$1:$AZ$100,MATCH($A25,警職大表!$A$1:$A$100,0),   MATCH(X$1,警職大表!$A$3:$AZ$3,0)  )        )="",W25,  IF(  INDEX(警職大表!$A$1:$AZ$100,MATCH($A25,警職大表!$A$1:$A$100,0),   MATCH(X$1,警職大表!$A$3:$AZ$3,0)  )=0,"",INDEX(警職大表!$A$1:$AZ$100,MATCH($A25,警職大表!$A$1:$A$100,0),   MATCH(X$1,警職大表!$A$3:$AZ$3,0)  ) )    ),"")</f>
        <v/>
      </c>
      <c r="Y25" s="271" t="str">
        <f>_xlfn.IFNA(   IF(   IF(  INDEX(警職大表!$A$1:$AZ$100,MATCH($A25,警職大表!$A$1:$A$100,0),   MATCH(Y$1,警職大表!$A$3:$AZ$3,0)  )=0,"",INDEX(警職大表!$A$1:$AZ$100,MATCH($A25,警職大表!$A$1:$A$100,0),   MATCH(Y$1,警職大表!$A$3:$AZ$3,0)  )        )="",X25,  IF(  INDEX(警職大表!$A$1:$AZ$100,MATCH($A25,警職大表!$A$1:$A$100,0),   MATCH(Y$1,警職大表!$A$3:$AZ$3,0)  )=0,"",INDEX(警職大表!$A$1:$AZ$100,MATCH($A25,警職大表!$A$1:$A$100,0),   MATCH(Y$1,警職大表!$A$3:$AZ$3,0)  ) )    ),"")</f>
        <v/>
      </c>
      <c r="Z25" s="271" t="str">
        <f>_xlfn.IFNA(   IF(   IF(  INDEX(警職大表!$A$1:$AZ$100,MATCH($A25,警職大表!$A$1:$A$100,0),   MATCH(Z$1,警職大表!$A$3:$AZ$3,0)  )=0,"",INDEX(警職大表!$A$1:$AZ$100,MATCH($A25,警職大表!$A$1:$A$100,0),   MATCH(Z$1,警職大表!$A$3:$AZ$3,0)  )        )="",Y25,  IF(  INDEX(警職大表!$A$1:$AZ$100,MATCH($A25,警職大表!$A$1:$A$100,0),   MATCH(Z$1,警職大表!$A$3:$AZ$3,0)  )=0,"",INDEX(警職大表!$A$1:$AZ$100,MATCH($A25,警職大表!$A$1:$A$100,0),   MATCH(Z$1,警職大表!$A$3:$AZ$3,0)  ) )    ),"")</f>
        <v/>
      </c>
      <c r="AA25" s="271" t="str">
        <f>_xlfn.IFNA(   IF(   IF(  INDEX(警職大表!$A$1:$AZ$100,MATCH($A25,警職大表!$A$1:$A$100,0),   MATCH(AA$1,警職大表!$A$3:$AZ$3,0)  )=0,"",INDEX(警職大表!$A$1:$AZ$100,MATCH($A25,警職大表!$A$1:$A$100,0),   MATCH(AA$1,警職大表!$A$3:$AZ$3,0)  )        )="",Z25,  IF(  INDEX(警職大表!$A$1:$AZ$100,MATCH($A25,警職大表!$A$1:$A$100,0),   MATCH(AA$1,警職大表!$A$3:$AZ$3,0)  )=0,"",INDEX(警職大表!$A$1:$AZ$100,MATCH($A25,警職大表!$A$1:$A$100,0),   MATCH(AA$1,警職大表!$A$3:$AZ$3,0)  ) )    ),"")</f>
        <v/>
      </c>
      <c r="AB25" s="271" t="str">
        <f>_xlfn.IFNA(   IF(   IF(  INDEX(警職大表!$A$1:$AZ$100,MATCH($A25,警職大表!$A$1:$A$100,0),   MATCH(AB$1,警職大表!$A$3:$AZ$3,0)  )=0,"",INDEX(警職大表!$A$1:$AZ$100,MATCH($A25,警職大表!$A$1:$A$100,0),   MATCH(AB$1,警職大表!$A$3:$AZ$3,0)  )        )="",AA25,  IF(  INDEX(警職大表!$A$1:$AZ$100,MATCH($A25,警職大表!$A$1:$A$100,0),   MATCH(AB$1,警職大表!$A$3:$AZ$3,0)  )=0,"",INDEX(警職大表!$A$1:$AZ$100,MATCH($A25,警職大表!$A$1:$A$100,0),   MATCH(AB$1,警職大表!$A$3:$AZ$3,0)  ) )    ),"")</f>
        <v/>
      </c>
      <c r="AC25" s="271" t="str">
        <f>_xlfn.IFNA(   IF(   IF(  INDEX(警職大表!$A$1:$AZ$100,MATCH($A25,警職大表!$A$1:$A$100,0),   MATCH(AC$1,警職大表!$A$3:$AZ$3,0)  )=0,"",INDEX(警職大表!$A$1:$AZ$100,MATCH($A25,警職大表!$A$1:$A$100,0),   MATCH(AC$1,警職大表!$A$3:$AZ$3,0)  )        )="",AB25,  IF(  INDEX(警職大表!$A$1:$AZ$100,MATCH($A25,警職大表!$A$1:$A$100,0),   MATCH(AC$1,警職大表!$A$3:$AZ$3,0)  )=0,"",INDEX(警職大表!$A$1:$AZ$100,MATCH($A25,警職大表!$A$1:$A$100,0),   MATCH(AC$1,警職大表!$A$3:$AZ$3,0)  ) )    ),"")</f>
        <v/>
      </c>
      <c r="AD25" s="271" t="str">
        <f>_xlfn.IFNA(   IF(   IF(  INDEX(警職大表!$A$1:$AZ$100,MATCH($A25,警職大表!$A$1:$A$100,0),   MATCH(AD$1,警職大表!$A$3:$AZ$3,0)  )=0,"",INDEX(警職大表!$A$1:$AZ$100,MATCH($A25,警職大表!$A$1:$A$100,0),   MATCH(AD$1,警職大表!$A$3:$AZ$3,0)  )        )="",AC25,  IF(  INDEX(警職大表!$A$1:$AZ$100,MATCH($A25,警職大表!$A$1:$A$100,0),   MATCH(AD$1,警職大表!$A$3:$AZ$3,0)  )=0,"",INDEX(警職大表!$A$1:$AZ$100,MATCH($A25,警職大表!$A$1:$A$100,0),   MATCH(AD$1,警職大表!$A$3:$AZ$3,0)  ) )    ),"")</f>
        <v/>
      </c>
      <c r="AE25" s="271" t="str">
        <f>_xlfn.IFNA(   IF(   IF(  INDEX(警職大表!$A$1:$AZ$100,MATCH($A25,警職大表!$A$1:$A$100,0),   MATCH(AE$1,警職大表!$A$3:$AZ$3,0)  )=0,"",INDEX(警職大表!$A$1:$AZ$100,MATCH($A25,警職大表!$A$1:$A$100,0),   MATCH(AE$1,警職大表!$A$3:$AZ$3,0)  )        )="",AD25,  IF(  INDEX(警職大表!$A$1:$AZ$100,MATCH($A25,警職大表!$A$1:$A$100,0),   MATCH(AE$1,警職大表!$A$3:$AZ$3,0)  )=0,"",INDEX(警職大表!$A$1:$AZ$100,MATCH($A25,警職大表!$A$1:$A$100,0),   MATCH(AE$1,警職大表!$A$3:$AZ$3,0)  ) )    ),"")</f>
        <v/>
      </c>
      <c r="AF25" s="271" t="str">
        <f>_xlfn.IFNA(   IF(   IF(  INDEX(警職大表!$A$1:$AZ$100,MATCH($A25,警職大表!$A$1:$A$100,0),   MATCH(AF$1,警職大表!$A$3:$AZ$3,0)  )=0,"",INDEX(警職大表!$A$1:$AZ$100,MATCH($A25,警職大表!$A$1:$A$100,0),   MATCH(AF$1,警職大表!$A$3:$AZ$3,0)  )        )="",AE25,  IF(  INDEX(警職大表!$A$1:$AZ$100,MATCH($A25,警職大表!$A$1:$A$100,0),   MATCH(AF$1,警職大表!$A$3:$AZ$3,0)  )=0,"",INDEX(警職大表!$A$1:$AZ$100,MATCH($A25,警職大表!$A$1:$A$100,0),   MATCH(AF$1,警職大表!$A$3:$AZ$3,0)  ) )    ),"")</f>
        <v/>
      </c>
      <c r="AG25" s="271" t="str">
        <f>_xlfn.IFNA(   IF(   IF(  INDEX(警職大表!$A$1:$AZ$100,MATCH($A25,警職大表!$A$1:$A$100,0),   MATCH(AG$1,警職大表!$A$3:$AZ$3,0)  )=0,"",INDEX(警職大表!$A$1:$AZ$100,MATCH($A25,警職大表!$A$1:$A$100,0),   MATCH(AG$1,警職大表!$A$3:$AZ$3,0)  )        )="",AF25,  IF(  INDEX(警職大表!$A$1:$AZ$100,MATCH($A25,警職大表!$A$1:$A$100,0),   MATCH(AG$1,警職大表!$A$3:$AZ$3,0)  )=0,"",INDEX(警職大表!$A$1:$AZ$100,MATCH($A25,警職大表!$A$1:$A$100,0),   MATCH(AG$1,警職大表!$A$3:$AZ$3,0)  ) )    ),"")</f>
        <v/>
      </c>
      <c r="AL25" s="271" t="str">
        <f t="shared" si="0"/>
        <v/>
      </c>
      <c r="AM25" s="271" t="str">
        <f t="shared" si="1"/>
        <v/>
      </c>
      <c r="AN25" s="271" t="str">
        <f>INDEX(   $A$41:$AG$78, MATCH(AL25,$A$41:$A$78,0),MATCH(  DAY(勤務分配表!$AN$1),$A$41:$AL$41,0  )  )</f>
        <v/>
      </c>
      <c r="AO25" s="271" t="str">
        <f>IF((ROW(AO25)-1)&lt;=日期輸入!$B$5,_xlfn.IFNA(IF(INDEX($A$1:$AG$40,MATCH($AM25,$B$1:$B$100,0),VALUE($AO$1+3))="成","補",INDEX($A$1:$AG$40,MATCH($AM25,$B$1:$B$100,0),VALUE($AO$1+3))),""),"")</f>
        <v/>
      </c>
      <c r="AP25" s="271" t="str">
        <f>IF((ROW(AP25)-1)&lt;=日期輸入!$B$5,_xlfn.IFNA(IF(INDEX($A$1:$AG$40,MATCH($AM25,$B$1:$B$100,0),VALUE($AP$1+3))="成","補",INDEX($A$1:$AG$40,MATCH($AM25,$B$1:$B$100,0),VALUE($AP$1+3))),""),"")</f>
        <v/>
      </c>
      <c r="AQ25" s="271" t="str">
        <f>IF((ROW(AQ25)-1)&lt;=日期輸入!$B$5,_xlfn.IFNA(IF(INDEX($A$1:$AG$40,MATCH($AM25,$B$1:$B$100,0),VALUE($AQ$1+3))="成","補",INDEX($A$1:$AG$40,MATCH($AM25,$B$1:$B$100,0),VALUE($AQ$1+3))),""),"")</f>
        <v/>
      </c>
    </row>
    <row r="26" spans="1:43">
      <c r="A26" s="271" t="str">
        <f>IF(  (ROW(A26)-1)&lt;=日期輸入!$B$5,勤務分配!A26,"")</f>
        <v/>
      </c>
      <c r="B26" s="271" t="str">
        <f>_xlfn.IFNA(  INDEX(警職大表!$A$1:$AZ$100,MATCH(A26,警職大表!$A$1:$A$100,0),3),"")</f>
        <v/>
      </c>
      <c r="C26" s="271" t="str">
        <f>_xlfn.IFNA(  IF(  INDEX(警職大表!$A$1:$AZ$100,MATCH($A26,警職大表!$A$1:$A$100,0),   MATCH(C$1,警職大表!$A$3:$AZ$3,0)  )=0,"",INDEX(警職大表!$A$1:$AZ$100,MATCH($A26,警職大表!$A$1:$A$100,0),   MATCH(C$1,警職大表!$A$3:$AZ$3,0)  )                ),"")</f>
        <v/>
      </c>
      <c r="D26" s="271" t="str">
        <f>_xlfn.IFNA(   IF(   IF(  INDEX(警職大表!$A$1:$AZ$100,MATCH($A26,警職大表!$A$1:$A$100,0),   MATCH(D$1,警職大表!$A$3:$AZ$3,0)  )=0,"",INDEX(警職大表!$A$1:$AZ$100,MATCH($A26,警職大表!$A$1:$A$100,0),   MATCH(D$1,警職大表!$A$3:$AZ$3,0)  )        )="",C26,  IF(  INDEX(警職大表!$A$1:$AZ$100,MATCH($A26,警職大表!$A$1:$A$100,0),   MATCH(D$1,警職大表!$A$3:$AZ$3,0)  )=0,"",INDEX(警職大表!$A$1:$AZ$100,MATCH($A26,警職大表!$A$1:$A$100,0),   MATCH(D$1,警職大表!$A$3:$AZ$3,0)  ) )    ),"")</f>
        <v/>
      </c>
      <c r="E26" s="271" t="str">
        <f>_xlfn.IFNA(   IF(   IF(  INDEX(警職大表!$A$1:$AZ$100,MATCH($A26,警職大表!$A$1:$A$100,0),   MATCH(E$1,警職大表!$A$3:$AZ$3,0)  )=0,"",INDEX(警職大表!$A$1:$AZ$100,MATCH($A26,警職大表!$A$1:$A$100,0),   MATCH(E$1,警職大表!$A$3:$AZ$3,0)  )        )="",D26,  IF(  INDEX(警職大表!$A$1:$AZ$100,MATCH($A26,警職大表!$A$1:$A$100,0),   MATCH(E$1,警職大表!$A$3:$AZ$3,0)  )=0,"",INDEX(警職大表!$A$1:$AZ$100,MATCH($A26,警職大表!$A$1:$A$100,0),   MATCH(E$1,警職大表!$A$3:$AZ$3,0)  ) )    ),"")</f>
        <v/>
      </c>
      <c r="F26" s="271" t="str">
        <f>_xlfn.IFNA(   IF(   IF(  INDEX(警職大表!$A$1:$AZ$100,MATCH($A26,警職大表!$A$1:$A$100,0),   MATCH(F$1,警職大表!$A$3:$AZ$3,0)  )=0,"",INDEX(警職大表!$A$1:$AZ$100,MATCH($A26,警職大表!$A$1:$A$100,0),   MATCH(F$1,警職大表!$A$3:$AZ$3,0)  )        )="",E26,  IF(  INDEX(警職大表!$A$1:$AZ$100,MATCH($A26,警職大表!$A$1:$A$100,0),   MATCH(F$1,警職大表!$A$3:$AZ$3,0)  )=0,"",INDEX(警職大表!$A$1:$AZ$100,MATCH($A26,警職大表!$A$1:$A$100,0),   MATCH(F$1,警職大表!$A$3:$AZ$3,0)  ) )    ),"")</f>
        <v/>
      </c>
      <c r="G26" s="271" t="str">
        <f>_xlfn.IFNA(   IF(   IF(  INDEX(警職大表!$A$1:$AZ$100,MATCH($A26,警職大表!$A$1:$A$100,0),   MATCH(G$1,警職大表!$A$3:$AZ$3,0)  )=0,"",INDEX(警職大表!$A$1:$AZ$100,MATCH($A26,警職大表!$A$1:$A$100,0),   MATCH(G$1,警職大表!$A$3:$AZ$3,0)  )        )="",F26,  IF(  INDEX(警職大表!$A$1:$AZ$100,MATCH($A26,警職大表!$A$1:$A$100,0),   MATCH(G$1,警職大表!$A$3:$AZ$3,0)  )=0,"",INDEX(警職大表!$A$1:$AZ$100,MATCH($A26,警職大表!$A$1:$A$100,0),   MATCH(G$1,警職大表!$A$3:$AZ$3,0)  ) )    ),"")</f>
        <v/>
      </c>
      <c r="H26" s="271" t="str">
        <f>_xlfn.IFNA(   IF(   IF(  INDEX(警職大表!$A$1:$AZ$100,MATCH($A26,警職大表!$A$1:$A$100,0),   MATCH(H$1,警職大表!$A$3:$AZ$3,0)  )=0,"",INDEX(警職大表!$A$1:$AZ$100,MATCH($A26,警職大表!$A$1:$A$100,0),   MATCH(H$1,警職大表!$A$3:$AZ$3,0)  )        )="",G26,  IF(  INDEX(警職大表!$A$1:$AZ$100,MATCH($A26,警職大表!$A$1:$A$100,0),   MATCH(H$1,警職大表!$A$3:$AZ$3,0)  )=0,"",INDEX(警職大表!$A$1:$AZ$100,MATCH($A26,警職大表!$A$1:$A$100,0),   MATCH(H$1,警職大表!$A$3:$AZ$3,0)  ) )    ),"")</f>
        <v/>
      </c>
      <c r="I26" s="271" t="str">
        <f>_xlfn.IFNA(   IF(   IF(  INDEX(警職大表!$A$1:$AZ$100,MATCH($A26,警職大表!$A$1:$A$100,0),   MATCH(I$1,警職大表!$A$3:$AZ$3,0)  )=0,"",INDEX(警職大表!$A$1:$AZ$100,MATCH($A26,警職大表!$A$1:$A$100,0),   MATCH(I$1,警職大表!$A$3:$AZ$3,0)  )        )="",H26,  IF(  INDEX(警職大表!$A$1:$AZ$100,MATCH($A26,警職大表!$A$1:$A$100,0),   MATCH(I$1,警職大表!$A$3:$AZ$3,0)  )=0,"",INDEX(警職大表!$A$1:$AZ$100,MATCH($A26,警職大表!$A$1:$A$100,0),   MATCH(I$1,警職大表!$A$3:$AZ$3,0)  ) )    ),"")</f>
        <v/>
      </c>
      <c r="J26" s="271" t="str">
        <f>_xlfn.IFNA(   IF(   IF(  INDEX(警職大表!$A$1:$AZ$100,MATCH($A26,警職大表!$A$1:$A$100,0),   MATCH(J$1,警職大表!$A$3:$AZ$3,0)  )=0,"",INDEX(警職大表!$A$1:$AZ$100,MATCH($A26,警職大表!$A$1:$A$100,0),   MATCH(J$1,警職大表!$A$3:$AZ$3,0)  )        )="",I26,  IF(  INDEX(警職大表!$A$1:$AZ$100,MATCH($A26,警職大表!$A$1:$A$100,0),   MATCH(J$1,警職大表!$A$3:$AZ$3,0)  )=0,"",INDEX(警職大表!$A$1:$AZ$100,MATCH($A26,警職大表!$A$1:$A$100,0),   MATCH(J$1,警職大表!$A$3:$AZ$3,0)  ) )    ),"")</f>
        <v/>
      </c>
      <c r="K26" s="271" t="str">
        <f>_xlfn.IFNA(   IF(   IF(  INDEX(警職大表!$A$1:$AZ$100,MATCH($A26,警職大表!$A$1:$A$100,0),   MATCH(K$1,警職大表!$A$3:$AZ$3,0)  )=0,"",INDEX(警職大表!$A$1:$AZ$100,MATCH($A26,警職大表!$A$1:$A$100,0),   MATCH(K$1,警職大表!$A$3:$AZ$3,0)  )        )="",J26,  IF(  INDEX(警職大表!$A$1:$AZ$100,MATCH($A26,警職大表!$A$1:$A$100,0),   MATCH(K$1,警職大表!$A$3:$AZ$3,0)  )=0,"",INDEX(警職大表!$A$1:$AZ$100,MATCH($A26,警職大表!$A$1:$A$100,0),   MATCH(K$1,警職大表!$A$3:$AZ$3,0)  ) )    ),"")</f>
        <v/>
      </c>
      <c r="L26" s="271" t="str">
        <f>_xlfn.IFNA(   IF(   IF(  INDEX(警職大表!$A$1:$AZ$100,MATCH($A26,警職大表!$A$1:$A$100,0),   MATCH(L$1,警職大表!$A$3:$AZ$3,0)  )=0,"",INDEX(警職大表!$A$1:$AZ$100,MATCH($A26,警職大表!$A$1:$A$100,0),   MATCH(L$1,警職大表!$A$3:$AZ$3,0)  )        )="",K26,  IF(  INDEX(警職大表!$A$1:$AZ$100,MATCH($A26,警職大表!$A$1:$A$100,0),   MATCH(L$1,警職大表!$A$3:$AZ$3,0)  )=0,"",INDEX(警職大表!$A$1:$AZ$100,MATCH($A26,警職大表!$A$1:$A$100,0),   MATCH(L$1,警職大表!$A$3:$AZ$3,0)  ) )    ),"")</f>
        <v/>
      </c>
      <c r="M26" s="271" t="str">
        <f>_xlfn.IFNA(   IF(   IF(  INDEX(警職大表!$A$1:$AZ$100,MATCH($A26,警職大表!$A$1:$A$100,0),   MATCH(M$1,警職大表!$A$3:$AZ$3,0)  )=0,"",INDEX(警職大表!$A$1:$AZ$100,MATCH($A26,警職大表!$A$1:$A$100,0),   MATCH(M$1,警職大表!$A$3:$AZ$3,0)  )        )="",L26,  IF(  INDEX(警職大表!$A$1:$AZ$100,MATCH($A26,警職大表!$A$1:$A$100,0),   MATCH(M$1,警職大表!$A$3:$AZ$3,0)  )=0,"",INDEX(警職大表!$A$1:$AZ$100,MATCH($A26,警職大表!$A$1:$A$100,0),   MATCH(M$1,警職大表!$A$3:$AZ$3,0)  ) )    ),"")</f>
        <v/>
      </c>
      <c r="N26" s="271" t="str">
        <f>_xlfn.IFNA(   IF(   IF(  INDEX(警職大表!$A$1:$AZ$100,MATCH($A26,警職大表!$A$1:$A$100,0),   MATCH(N$1,警職大表!$A$3:$AZ$3,0)  )=0,"",INDEX(警職大表!$A$1:$AZ$100,MATCH($A26,警職大表!$A$1:$A$100,0),   MATCH(N$1,警職大表!$A$3:$AZ$3,0)  )        )="",M26,  IF(  INDEX(警職大表!$A$1:$AZ$100,MATCH($A26,警職大表!$A$1:$A$100,0),   MATCH(N$1,警職大表!$A$3:$AZ$3,0)  )=0,"",INDEX(警職大表!$A$1:$AZ$100,MATCH($A26,警職大表!$A$1:$A$100,0),   MATCH(N$1,警職大表!$A$3:$AZ$3,0)  ) )    ),"")</f>
        <v/>
      </c>
      <c r="O26" s="271" t="str">
        <f>_xlfn.IFNA(   IF(   IF(  INDEX(警職大表!$A$1:$AZ$100,MATCH($A26,警職大表!$A$1:$A$100,0),   MATCH(O$1,警職大表!$A$3:$AZ$3,0)  )=0,"",INDEX(警職大表!$A$1:$AZ$100,MATCH($A26,警職大表!$A$1:$A$100,0),   MATCH(O$1,警職大表!$A$3:$AZ$3,0)  )        )="",N26,  IF(  INDEX(警職大表!$A$1:$AZ$100,MATCH($A26,警職大表!$A$1:$A$100,0),   MATCH(O$1,警職大表!$A$3:$AZ$3,0)  )=0,"",INDEX(警職大表!$A$1:$AZ$100,MATCH($A26,警職大表!$A$1:$A$100,0),   MATCH(O$1,警職大表!$A$3:$AZ$3,0)  ) )    ),"")</f>
        <v/>
      </c>
      <c r="P26" s="271" t="str">
        <f>_xlfn.IFNA(   IF(   IF(  INDEX(警職大表!$A$1:$AZ$100,MATCH($A26,警職大表!$A$1:$A$100,0),   MATCH(P$1,警職大表!$A$3:$AZ$3,0)  )=0,"",INDEX(警職大表!$A$1:$AZ$100,MATCH($A26,警職大表!$A$1:$A$100,0),   MATCH(P$1,警職大表!$A$3:$AZ$3,0)  )        )="",O26,  IF(  INDEX(警職大表!$A$1:$AZ$100,MATCH($A26,警職大表!$A$1:$A$100,0),   MATCH(P$1,警職大表!$A$3:$AZ$3,0)  )=0,"",INDEX(警職大表!$A$1:$AZ$100,MATCH($A26,警職大表!$A$1:$A$100,0),   MATCH(P$1,警職大表!$A$3:$AZ$3,0)  ) )    ),"")</f>
        <v/>
      </c>
      <c r="Q26" s="271" t="str">
        <f>_xlfn.IFNA(   IF(   IF(  INDEX(警職大表!$A$1:$AZ$100,MATCH($A26,警職大表!$A$1:$A$100,0),   MATCH(Q$1,警職大表!$A$3:$AZ$3,0)  )=0,"",INDEX(警職大表!$A$1:$AZ$100,MATCH($A26,警職大表!$A$1:$A$100,0),   MATCH(Q$1,警職大表!$A$3:$AZ$3,0)  )        )="",P26,  IF(  INDEX(警職大表!$A$1:$AZ$100,MATCH($A26,警職大表!$A$1:$A$100,0),   MATCH(Q$1,警職大表!$A$3:$AZ$3,0)  )=0,"",INDEX(警職大表!$A$1:$AZ$100,MATCH($A26,警職大表!$A$1:$A$100,0),   MATCH(Q$1,警職大表!$A$3:$AZ$3,0)  ) )    ),"")</f>
        <v/>
      </c>
      <c r="R26" s="271" t="str">
        <f>_xlfn.IFNA(   IF(   IF(  INDEX(警職大表!$A$1:$AZ$100,MATCH($A26,警職大表!$A$1:$A$100,0),   MATCH(R$1,警職大表!$A$3:$AZ$3,0)  )=0,"",INDEX(警職大表!$A$1:$AZ$100,MATCH($A26,警職大表!$A$1:$A$100,0),   MATCH(R$1,警職大表!$A$3:$AZ$3,0)  )        )="",Q26,  IF(  INDEX(警職大表!$A$1:$AZ$100,MATCH($A26,警職大表!$A$1:$A$100,0),   MATCH(R$1,警職大表!$A$3:$AZ$3,0)  )=0,"",INDEX(警職大表!$A$1:$AZ$100,MATCH($A26,警職大表!$A$1:$A$100,0),   MATCH(R$1,警職大表!$A$3:$AZ$3,0)  ) )    ),"")</f>
        <v/>
      </c>
      <c r="S26" s="271" t="str">
        <f>_xlfn.IFNA(   IF(   IF(  INDEX(警職大表!$A$1:$AZ$100,MATCH($A26,警職大表!$A$1:$A$100,0),   MATCH(S$1,警職大表!$A$3:$AZ$3,0)  )=0,"",INDEX(警職大表!$A$1:$AZ$100,MATCH($A26,警職大表!$A$1:$A$100,0),   MATCH(S$1,警職大表!$A$3:$AZ$3,0)  )        )="",R26,  IF(  INDEX(警職大表!$A$1:$AZ$100,MATCH($A26,警職大表!$A$1:$A$100,0),   MATCH(S$1,警職大表!$A$3:$AZ$3,0)  )=0,"",INDEX(警職大表!$A$1:$AZ$100,MATCH($A26,警職大表!$A$1:$A$100,0),   MATCH(S$1,警職大表!$A$3:$AZ$3,0)  ) )    ),"")</f>
        <v/>
      </c>
      <c r="T26" s="271" t="str">
        <f>_xlfn.IFNA(   IF(   IF(  INDEX(警職大表!$A$1:$AZ$100,MATCH($A26,警職大表!$A$1:$A$100,0),   MATCH(T$1,警職大表!$A$3:$AZ$3,0)  )=0,"",INDEX(警職大表!$A$1:$AZ$100,MATCH($A26,警職大表!$A$1:$A$100,0),   MATCH(T$1,警職大表!$A$3:$AZ$3,0)  )        )="",S26,  IF(  INDEX(警職大表!$A$1:$AZ$100,MATCH($A26,警職大表!$A$1:$A$100,0),   MATCH(T$1,警職大表!$A$3:$AZ$3,0)  )=0,"",INDEX(警職大表!$A$1:$AZ$100,MATCH($A26,警職大表!$A$1:$A$100,0),   MATCH(T$1,警職大表!$A$3:$AZ$3,0)  ) )    ),"")</f>
        <v/>
      </c>
      <c r="U26" s="271" t="str">
        <f>_xlfn.IFNA(   IF(   IF(  INDEX(警職大表!$A$1:$AZ$100,MATCH($A26,警職大表!$A$1:$A$100,0),   MATCH(U$1,警職大表!$A$3:$AZ$3,0)  )=0,"",INDEX(警職大表!$A$1:$AZ$100,MATCH($A26,警職大表!$A$1:$A$100,0),   MATCH(U$1,警職大表!$A$3:$AZ$3,0)  )        )="",T26,  IF(  INDEX(警職大表!$A$1:$AZ$100,MATCH($A26,警職大表!$A$1:$A$100,0),   MATCH(U$1,警職大表!$A$3:$AZ$3,0)  )=0,"",INDEX(警職大表!$A$1:$AZ$100,MATCH($A26,警職大表!$A$1:$A$100,0),   MATCH(U$1,警職大表!$A$3:$AZ$3,0)  ) )    ),"")</f>
        <v/>
      </c>
      <c r="V26" s="271" t="str">
        <f>_xlfn.IFNA(   IF(   IF(  INDEX(警職大表!$A$1:$AZ$100,MATCH($A26,警職大表!$A$1:$A$100,0),   MATCH(V$1,警職大表!$A$3:$AZ$3,0)  )=0,"",INDEX(警職大表!$A$1:$AZ$100,MATCH($A26,警職大表!$A$1:$A$100,0),   MATCH(V$1,警職大表!$A$3:$AZ$3,0)  )        )="",U26,  IF(  INDEX(警職大表!$A$1:$AZ$100,MATCH($A26,警職大表!$A$1:$A$100,0),   MATCH(V$1,警職大表!$A$3:$AZ$3,0)  )=0,"",INDEX(警職大表!$A$1:$AZ$100,MATCH($A26,警職大表!$A$1:$A$100,0),   MATCH(V$1,警職大表!$A$3:$AZ$3,0)  ) )    ),"")</f>
        <v/>
      </c>
      <c r="W26" s="271" t="str">
        <f>_xlfn.IFNA(   IF(   IF(  INDEX(警職大表!$A$1:$AZ$100,MATCH($A26,警職大表!$A$1:$A$100,0),   MATCH(W$1,警職大表!$A$3:$AZ$3,0)  )=0,"",INDEX(警職大表!$A$1:$AZ$100,MATCH($A26,警職大表!$A$1:$A$100,0),   MATCH(W$1,警職大表!$A$3:$AZ$3,0)  )        )="",V26,  IF(  INDEX(警職大表!$A$1:$AZ$100,MATCH($A26,警職大表!$A$1:$A$100,0),   MATCH(W$1,警職大表!$A$3:$AZ$3,0)  )=0,"",INDEX(警職大表!$A$1:$AZ$100,MATCH($A26,警職大表!$A$1:$A$100,0),   MATCH(W$1,警職大表!$A$3:$AZ$3,0)  ) )    ),"")</f>
        <v/>
      </c>
      <c r="X26" s="271" t="str">
        <f>_xlfn.IFNA(   IF(   IF(  INDEX(警職大表!$A$1:$AZ$100,MATCH($A26,警職大表!$A$1:$A$100,0),   MATCH(X$1,警職大表!$A$3:$AZ$3,0)  )=0,"",INDEX(警職大表!$A$1:$AZ$100,MATCH($A26,警職大表!$A$1:$A$100,0),   MATCH(X$1,警職大表!$A$3:$AZ$3,0)  )        )="",W26,  IF(  INDEX(警職大表!$A$1:$AZ$100,MATCH($A26,警職大表!$A$1:$A$100,0),   MATCH(X$1,警職大表!$A$3:$AZ$3,0)  )=0,"",INDEX(警職大表!$A$1:$AZ$100,MATCH($A26,警職大表!$A$1:$A$100,0),   MATCH(X$1,警職大表!$A$3:$AZ$3,0)  ) )    ),"")</f>
        <v/>
      </c>
      <c r="Y26" s="271" t="str">
        <f>_xlfn.IFNA(   IF(   IF(  INDEX(警職大表!$A$1:$AZ$100,MATCH($A26,警職大表!$A$1:$A$100,0),   MATCH(Y$1,警職大表!$A$3:$AZ$3,0)  )=0,"",INDEX(警職大表!$A$1:$AZ$100,MATCH($A26,警職大表!$A$1:$A$100,0),   MATCH(Y$1,警職大表!$A$3:$AZ$3,0)  )        )="",X26,  IF(  INDEX(警職大表!$A$1:$AZ$100,MATCH($A26,警職大表!$A$1:$A$100,0),   MATCH(Y$1,警職大表!$A$3:$AZ$3,0)  )=0,"",INDEX(警職大表!$A$1:$AZ$100,MATCH($A26,警職大表!$A$1:$A$100,0),   MATCH(Y$1,警職大表!$A$3:$AZ$3,0)  ) )    ),"")</f>
        <v/>
      </c>
      <c r="Z26" s="271" t="str">
        <f>_xlfn.IFNA(   IF(   IF(  INDEX(警職大表!$A$1:$AZ$100,MATCH($A26,警職大表!$A$1:$A$100,0),   MATCH(Z$1,警職大表!$A$3:$AZ$3,0)  )=0,"",INDEX(警職大表!$A$1:$AZ$100,MATCH($A26,警職大表!$A$1:$A$100,0),   MATCH(Z$1,警職大表!$A$3:$AZ$3,0)  )        )="",Y26,  IF(  INDEX(警職大表!$A$1:$AZ$100,MATCH($A26,警職大表!$A$1:$A$100,0),   MATCH(Z$1,警職大表!$A$3:$AZ$3,0)  )=0,"",INDEX(警職大表!$A$1:$AZ$100,MATCH($A26,警職大表!$A$1:$A$100,0),   MATCH(Z$1,警職大表!$A$3:$AZ$3,0)  ) )    ),"")</f>
        <v/>
      </c>
      <c r="AA26" s="271" t="str">
        <f>_xlfn.IFNA(   IF(   IF(  INDEX(警職大表!$A$1:$AZ$100,MATCH($A26,警職大表!$A$1:$A$100,0),   MATCH(AA$1,警職大表!$A$3:$AZ$3,0)  )=0,"",INDEX(警職大表!$A$1:$AZ$100,MATCH($A26,警職大表!$A$1:$A$100,0),   MATCH(AA$1,警職大表!$A$3:$AZ$3,0)  )        )="",Z26,  IF(  INDEX(警職大表!$A$1:$AZ$100,MATCH($A26,警職大表!$A$1:$A$100,0),   MATCH(AA$1,警職大表!$A$3:$AZ$3,0)  )=0,"",INDEX(警職大表!$A$1:$AZ$100,MATCH($A26,警職大表!$A$1:$A$100,0),   MATCH(AA$1,警職大表!$A$3:$AZ$3,0)  ) )    ),"")</f>
        <v/>
      </c>
      <c r="AB26" s="271" t="str">
        <f>_xlfn.IFNA(   IF(   IF(  INDEX(警職大表!$A$1:$AZ$100,MATCH($A26,警職大表!$A$1:$A$100,0),   MATCH(AB$1,警職大表!$A$3:$AZ$3,0)  )=0,"",INDEX(警職大表!$A$1:$AZ$100,MATCH($A26,警職大表!$A$1:$A$100,0),   MATCH(AB$1,警職大表!$A$3:$AZ$3,0)  )        )="",AA26,  IF(  INDEX(警職大表!$A$1:$AZ$100,MATCH($A26,警職大表!$A$1:$A$100,0),   MATCH(AB$1,警職大表!$A$3:$AZ$3,0)  )=0,"",INDEX(警職大表!$A$1:$AZ$100,MATCH($A26,警職大表!$A$1:$A$100,0),   MATCH(AB$1,警職大表!$A$3:$AZ$3,0)  ) )    ),"")</f>
        <v/>
      </c>
      <c r="AC26" s="271" t="str">
        <f>_xlfn.IFNA(   IF(   IF(  INDEX(警職大表!$A$1:$AZ$100,MATCH($A26,警職大表!$A$1:$A$100,0),   MATCH(AC$1,警職大表!$A$3:$AZ$3,0)  )=0,"",INDEX(警職大表!$A$1:$AZ$100,MATCH($A26,警職大表!$A$1:$A$100,0),   MATCH(AC$1,警職大表!$A$3:$AZ$3,0)  )        )="",AB26,  IF(  INDEX(警職大表!$A$1:$AZ$100,MATCH($A26,警職大表!$A$1:$A$100,0),   MATCH(AC$1,警職大表!$A$3:$AZ$3,0)  )=0,"",INDEX(警職大表!$A$1:$AZ$100,MATCH($A26,警職大表!$A$1:$A$100,0),   MATCH(AC$1,警職大表!$A$3:$AZ$3,0)  ) )    ),"")</f>
        <v/>
      </c>
      <c r="AD26" s="271" t="str">
        <f>_xlfn.IFNA(   IF(   IF(  INDEX(警職大表!$A$1:$AZ$100,MATCH($A26,警職大表!$A$1:$A$100,0),   MATCH(AD$1,警職大表!$A$3:$AZ$3,0)  )=0,"",INDEX(警職大表!$A$1:$AZ$100,MATCH($A26,警職大表!$A$1:$A$100,0),   MATCH(AD$1,警職大表!$A$3:$AZ$3,0)  )        )="",AC26,  IF(  INDEX(警職大表!$A$1:$AZ$100,MATCH($A26,警職大表!$A$1:$A$100,0),   MATCH(AD$1,警職大表!$A$3:$AZ$3,0)  )=0,"",INDEX(警職大表!$A$1:$AZ$100,MATCH($A26,警職大表!$A$1:$A$100,0),   MATCH(AD$1,警職大表!$A$3:$AZ$3,0)  ) )    ),"")</f>
        <v/>
      </c>
      <c r="AE26" s="271" t="str">
        <f>_xlfn.IFNA(   IF(   IF(  INDEX(警職大表!$A$1:$AZ$100,MATCH($A26,警職大表!$A$1:$A$100,0),   MATCH(AE$1,警職大表!$A$3:$AZ$3,0)  )=0,"",INDEX(警職大表!$A$1:$AZ$100,MATCH($A26,警職大表!$A$1:$A$100,0),   MATCH(AE$1,警職大表!$A$3:$AZ$3,0)  )        )="",AD26,  IF(  INDEX(警職大表!$A$1:$AZ$100,MATCH($A26,警職大表!$A$1:$A$100,0),   MATCH(AE$1,警職大表!$A$3:$AZ$3,0)  )=0,"",INDEX(警職大表!$A$1:$AZ$100,MATCH($A26,警職大表!$A$1:$A$100,0),   MATCH(AE$1,警職大表!$A$3:$AZ$3,0)  ) )    ),"")</f>
        <v/>
      </c>
      <c r="AF26" s="271" t="str">
        <f>_xlfn.IFNA(   IF(   IF(  INDEX(警職大表!$A$1:$AZ$100,MATCH($A26,警職大表!$A$1:$A$100,0),   MATCH(AF$1,警職大表!$A$3:$AZ$3,0)  )=0,"",INDEX(警職大表!$A$1:$AZ$100,MATCH($A26,警職大表!$A$1:$A$100,0),   MATCH(AF$1,警職大表!$A$3:$AZ$3,0)  )        )="",AE26,  IF(  INDEX(警職大表!$A$1:$AZ$100,MATCH($A26,警職大表!$A$1:$A$100,0),   MATCH(AF$1,警職大表!$A$3:$AZ$3,0)  )=0,"",INDEX(警職大表!$A$1:$AZ$100,MATCH($A26,警職大表!$A$1:$A$100,0),   MATCH(AF$1,警職大表!$A$3:$AZ$3,0)  ) )    ),"")</f>
        <v/>
      </c>
      <c r="AG26" s="271" t="str">
        <f>_xlfn.IFNA(   IF(   IF(  INDEX(警職大表!$A$1:$AZ$100,MATCH($A26,警職大表!$A$1:$A$100,0),   MATCH(AG$1,警職大表!$A$3:$AZ$3,0)  )=0,"",INDEX(警職大表!$A$1:$AZ$100,MATCH($A26,警職大表!$A$1:$A$100,0),   MATCH(AG$1,警職大表!$A$3:$AZ$3,0)  )        )="",AF26,  IF(  INDEX(警職大表!$A$1:$AZ$100,MATCH($A26,警職大表!$A$1:$A$100,0),   MATCH(AG$1,警職大表!$A$3:$AZ$3,0)  )=0,"",INDEX(警職大表!$A$1:$AZ$100,MATCH($A26,警職大表!$A$1:$A$100,0),   MATCH(AG$1,警職大表!$A$3:$AZ$3,0)  ) )    ),"")</f>
        <v/>
      </c>
      <c r="AL26" s="271" t="str">
        <f t="shared" si="0"/>
        <v/>
      </c>
      <c r="AM26" s="271" t="str">
        <f t="shared" si="1"/>
        <v/>
      </c>
      <c r="AN26" s="271" t="str">
        <f>INDEX(   $A$41:$AG$78, MATCH(AL26,$A$41:$A$78,0),MATCH(  DAY(勤務分配表!$AN$1),$A$41:$AL$41,0  )  )</f>
        <v/>
      </c>
      <c r="AO26" s="271" t="str">
        <f>IF((ROW(AO26)-1)&lt;=日期輸入!$B$5,_xlfn.IFNA(IF(INDEX($A$1:$AG$40,MATCH($AM26,$B$1:$B$100,0),VALUE($AO$1+3))="成","補",INDEX($A$1:$AG$40,MATCH($AM26,$B$1:$B$100,0),VALUE($AO$1+3))),""),"")</f>
        <v/>
      </c>
      <c r="AP26" s="271" t="str">
        <f>IF((ROW(AP26)-1)&lt;=日期輸入!$B$5,_xlfn.IFNA(IF(INDEX($A$1:$AG$40,MATCH($AM26,$B$1:$B$100,0),VALUE($AP$1+3))="成","補",INDEX($A$1:$AG$40,MATCH($AM26,$B$1:$B$100,0),VALUE($AP$1+3))),""),"")</f>
        <v/>
      </c>
      <c r="AQ26" s="271" t="str">
        <f>IF((ROW(AQ26)-1)&lt;=日期輸入!$B$5,_xlfn.IFNA(IF(INDEX($A$1:$AG$40,MATCH($AM26,$B$1:$B$100,0),VALUE($AQ$1+3))="成","補",INDEX($A$1:$AG$40,MATCH($AM26,$B$1:$B$100,0),VALUE($AQ$1+3))),""),"")</f>
        <v/>
      </c>
    </row>
    <row r="27" spans="1:43">
      <c r="A27" s="271" t="str">
        <f>IF(  (ROW(A27)-1)&lt;=日期輸入!$B$5,勤務分配!A27,"")</f>
        <v/>
      </c>
      <c r="B27" s="271" t="str">
        <f>_xlfn.IFNA(  INDEX(警職大表!$A$1:$AZ$100,MATCH(A27,警職大表!$A$1:$A$100,0),3),"")</f>
        <v/>
      </c>
      <c r="C27" s="271" t="str">
        <f>_xlfn.IFNA(  IF(  INDEX(警職大表!$A$1:$AZ$100,MATCH($A27,警職大表!$A$1:$A$100,0),   MATCH(C$1,警職大表!$A$3:$AZ$3,0)  )=0,"",INDEX(警職大表!$A$1:$AZ$100,MATCH($A27,警職大表!$A$1:$A$100,0),   MATCH(C$1,警職大表!$A$3:$AZ$3,0)  )                ),"")</f>
        <v/>
      </c>
      <c r="D27" s="271" t="str">
        <f>_xlfn.IFNA(   IF(   IF(  INDEX(警職大表!$A$1:$AZ$100,MATCH($A27,警職大表!$A$1:$A$100,0),   MATCH(D$1,警職大表!$A$3:$AZ$3,0)  )=0,"",INDEX(警職大表!$A$1:$AZ$100,MATCH($A27,警職大表!$A$1:$A$100,0),   MATCH(D$1,警職大表!$A$3:$AZ$3,0)  )        )="",C27,  IF(  INDEX(警職大表!$A$1:$AZ$100,MATCH($A27,警職大表!$A$1:$A$100,0),   MATCH(D$1,警職大表!$A$3:$AZ$3,0)  )=0,"",INDEX(警職大表!$A$1:$AZ$100,MATCH($A27,警職大表!$A$1:$A$100,0),   MATCH(D$1,警職大表!$A$3:$AZ$3,0)  ) )    ),"")</f>
        <v/>
      </c>
      <c r="E27" s="271" t="str">
        <f>_xlfn.IFNA(   IF(   IF(  INDEX(警職大表!$A$1:$AZ$100,MATCH($A27,警職大表!$A$1:$A$100,0),   MATCH(E$1,警職大表!$A$3:$AZ$3,0)  )=0,"",INDEX(警職大表!$A$1:$AZ$100,MATCH($A27,警職大表!$A$1:$A$100,0),   MATCH(E$1,警職大表!$A$3:$AZ$3,0)  )        )="",D27,  IF(  INDEX(警職大表!$A$1:$AZ$100,MATCH($A27,警職大表!$A$1:$A$100,0),   MATCH(E$1,警職大表!$A$3:$AZ$3,0)  )=0,"",INDEX(警職大表!$A$1:$AZ$100,MATCH($A27,警職大表!$A$1:$A$100,0),   MATCH(E$1,警職大表!$A$3:$AZ$3,0)  ) )    ),"")</f>
        <v/>
      </c>
      <c r="F27" s="271" t="str">
        <f>_xlfn.IFNA(   IF(   IF(  INDEX(警職大表!$A$1:$AZ$100,MATCH($A27,警職大表!$A$1:$A$100,0),   MATCH(F$1,警職大表!$A$3:$AZ$3,0)  )=0,"",INDEX(警職大表!$A$1:$AZ$100,MATCH($A27,警職大表!$A$1:$A$100,0),   MATCH(F$1,警職大表!$A$3:$AZ$3,0)  )        )="",E27,  IF(  INDEX(警職大表!$A$1:$AZ$100,MATCH($A27,警職大表!$A$1:$A$100,0),   MATCH(F$1,警職大表!$A$3:$AZ$3,0)  )=0,"",INDEX(警職大表!$A$1:$AZ$100,MATCH($A27,警職大表!$A$1:$A$100,0),   MATCH(F$1,警職大表!$A$3:$AZ$3,0)  ) )    ),"")</f>
        <v/>
      </c>
      <c r="G27" s="271" t="str">
        <f>_xlfn.IFNA(   IF(   IF(  INDEX(警職大表!$A$1:$AZ$100,MATCH($A27,警職大表!$A$1:$A$100,0),   MATCH(G$1,警職大表!$A$3:$AZ$3,0)  )=0,"",INDEX(警職大表!$A$1:$AZ$100,MATCH($A27,警職大表!$A$1:$A$100,0),   MATCH(G$1,警職大表!$A$3:$AZ$3,0)  )        )="",F27,  IF(  INDEX(警職大表!$A$1:$AZ$100,MATCH($A27,警職大表!$A$1:$A$100,0),   MATCH(G$1,警職大表!$A$3:$AZ$3,0)  )=0,"",INDEX(警職大表!$A$1:$AZ$100,MATCH($A27,警職大表!$A$1:$A$100,0),   MATCH(G$1,警職大表!$A$3:$AZ$3,0)  ) )    ),"")</f>
        <v/>
      </c>
      <c r="H27" s="271" t="str">
        <f>_xlfn.IFNA(   IF(   IF(  INDEX(警職大表!$A$1:$AZ$100,MATCH($A27,警職大表!$A$1:$A$100,0),   MATCH(H$1,警職大表!$A$3:$AZ$3,0)  )=0,"",INDEX(警職大表!$A$1:$AZ$100,MATCH($A27,警職大表!$A$1:$A$100,0),   MATCH(H$1,警職大表!$A$3:$AZ$3,0)  )        )="",G27,  IF(  INDEX(警職大表!$A$1:$AZ$100,MATCH($A27,警職大表!$A$1:$A$100,0),   MATCH(H$1,警職大表!$A$3:$AZ$3,0)  )=0,"",INDEX(警職大表!$A$1:$AZ$100,MATCH($A27,警職大表!$A$1:$A$100,0),   MATCH(H$1,警職大表!$A$3:$AZ$3,0)  ) )    ),"")</f>
        <v/>
      </c>
      <c r="I27" s="271" t="str">
        <f>_xlfn.IFNA(   IF(   IF(  INDEX(警職大表!$A$1:$AZ$100,MATCH($A27,警職大表!$A$1:$A$100,0),   MATCH(I$1,警職大表!$A$3:$AZ$3,0)  )=0,"",INDEX(警職大表!$A$1:$AZ$100,MATCH($A27,警職大表!$A$1:$A$100,0),   MATCH(I$1,警職大表!$A$3:$AZ$3,0)  )        )="",H27,  IF(  INDEX(警職大表!$A$1:$AZ$100,MATCH($A27,警職大表!$A$1:$A$100,0),   MATCH(I$1,警職大表!$A$3:$AZ$3,0)  )=0,"",INDEX(警職大表!$A$1:$AZ$100,MATCH($A27,警職大表!$A$1:$A$100,0),   MATCH(I$1,警職大表!$A$3:$AZ$3,0)  ) )    ),"")</f>
        <v/>
      </c>
      <c r="J27" s="271" t="str">
        <f>_xlfn.IFNA(   IF(   IF(  INDEX(警職大表!$A$1:$AZ$100,MATCH($A27,警職大表!$A$1:$A$100,0),   MATCH(J$1,警職大表!$A$3:$AZ$3,0)  )=0,"",INDEX(警職大表!$A$1:$AZ$100,MATCH($A27,警職大表!$A$1:$A$100,0),   MATCH(J$1,警職大表!$A$3:$AZ$3,0)  )        )="",I27,  IF(  INDEX(警職大表!$A$1:$AZ$100,MATCH($A27,警職大表!$A$1:$A$100,0),   MATCH(J$1,警職大表!$A$3:$AZ$3,0)  )=0,"",INDEX(警職大表!$A$1:$AZ$100,MATCH($A27,警職大表!$A$1:$A$100,0),   MATCH(J$1,警職大表!$A$3:$AZ$3,0)  ) )    ),"")</f>
        <v/>
      </c>
      <c r="K27" s="271" t="str">
        <f>_xlfn.IFNA(   IF(   IF(  INDEX(警職大表!$A$1:$AZ$100,MATCH($A27,警職大表!$A$1:$A$100,0),   MATCH(K$1,警職大表!$A$3:$AZ$3,0)  )=0,"",INDEX(警職大表!$A$1:$AZ$100,MATCH($A27,警職大表!$A$1:$A$100,0),   MATCH(K$1,警職大表!$A$3:$AZ$3,0)  )        )="",J27,  IF(  INDEX(警職大表!$A$1:$AZ$100,MATCH($A27,警職大表!$A$1:$A$100,0),   MATCH(K$1,警職大表!$A$3:$AZ$3,0)  )=0,"",INDEX(警職大表!$A$1:$AZ$100,MATCH($A27,警職大表!$A$1:$A$100,0),   MATCH(K$1,警職大表!$A$3:$AZ$3,0)  ) )    ),"")</f>
        <v/>
      </c>
      <c r="L27" s="271" t="str">
        <f>_xlfn.IFNA(   IF(   IF(  INDEX(警職大表!$A$1:$AZ$100,MATCH($A27,警職大表!$A$1:$A$100,0),   MATCH(L$1,警職大表!$A$3:$AZ$3,0)  )=0,"",INDEX(警職大表!$A$1:$AZ$100,MATCH($A27,警職大表!$A$1:$A$100,0),   MATCH(L$1,警職大表!$A$3:$AZ$3,0)  )        )="",K27,  IF(  INDEX(警職大表!$A$1:$AZ$100,MATCH($A27,警職大表!$A$1:$A$100,0),   MATCH(L$1,警職大表!$A$3:$AZ$3,0)  )=0,"",INDEX(警職大表!$A$1:$AZ$100,MATCH($A27,警職大表!$A$1:$A$100,0),   MATCH(L$1,警職大表!$A$3:$AZ$3,0)  ) )    ),"")</f>
        <v/>
      </c>
      <c r="M27" s="271" t="str">
        <f>_xlfn.IFNA(   IF(   IF(  INDEX(警職大表!$A$1:$AZ$100,MATCH($A27,警職大表!$A$1:$A$100,0),   MATCH(M$1,警職大表!$A$3:$AZ$3,0)  )=0,"",INDEX(警職大表!$A$1:$AZ$100,MATCH($A27,警職大表!$A$1:$A$100,0),   MATCH(M$1,警職大表!$A$3:$AZ$3,0)  )        )="",L27,  IF(  INDEX(警職大表!$A$1:$AZ$100,MATCH($A27,警職大表!$A$1:$A$100,0),   MATCH(M$1,警職大表!$A$3:$AZ$3,0)  )=0,"",INDEX(警職大表!$A$1:$AZ$100,MATCH($A27,警職大表!$A$1:$A$100,0),   MATCH(M$1,警職大表!$A$3:$AZ$3,0)  ) )    ),"")</f>
        <v/>
      </c>
      <c r="N27" s="271" t="str">
        <f>_xlfn.IFNA(   IF(   IF(  INDEX(警職大表!$A$1:$AZ$100,MATCH($A27,警職大表!$A$1:$A$100,0),   MATCH(N$1,警職大表!$A$3:$AZ$3,0)  )=0,"",INDEX(警職大表!$A$1:$AZ$100,MATCH($A27,警職大表!$A$1:$A$100,0),   MATCH(N$1,警職大表!$A$3:$AZ$3,0)  )        )="",M27,  IF(  INDEX(警職大表!$A$1:$AZ$100,MATCH($A27,警職大表!$A$1:$A$100,0),   MATCH(N$1,警職大表!$A$3:$AZ$3,0)  )=0,"",INDEX(警職大表!$A$1:$AZ$100,MATCH($A27,警職大表!$A$1:$A$100,0),   MATCH(N$1,警職大表!$A$3:$AZ$3,0)  ) )    ),"")</f>
        <v/>
      </c>
      <c r="O27" s="271" t="str">
        <f>_xlfn.IFNA(   IF(   IF(  INDEX(警職大表!$A$1:$AZ$100,MATCH($A27,警職大表!$A$1:$A$100,0),   MATCH(O$1,警職大表!$A$3:$AZ$3,0)  )=0,"",INDEX(警職大表!$A$1:$AZ$100,MATCH($A27,警職大表!$A$1:$A$100,0),   MATCH(O$1,警職大表!$A$3:$AZ$3,0)  )        )="",N27,  IF(  INDEX(警職大表!$A$1:$AZ$100,MATCH($A27,警職大表!$A$1:$A$100,0),   MATCH(O$1,警職大表!$A$3:$AZ$3,0)  )=0,"",INDEX(警職大表!$A$1:$AZ$100,MATCH($A27,警職大表!$A$1:$A$100,0),   MATCH(O$1,警職大表!$A$3:$AZ$3,0)  ) )    ),"")</f>
        <v/>
      </c>
      <c r="P27" s="271" t="str">
        <f>_xlfn.IFNA(   IF(   IF(  INDEX(警職大表!$A$1:$AZ$100,MATCH($A27,警職大表!$A$1:$A$100,0),   MATCH(P$1,警職大表!$A$3:$AZ$3,0)  )=0,"",INDEX(警職大表!$A$1:$AZ$100,MATCH($A27,警職大表!$A$1:$A$100,0),   MATCH(P$1,警職大表!$A$3:$AZ$3,0)  )        )="",O27,  IF(  INDEX(警職大表!$A$1:$AZ$100,MATCH($A27,警職大表!$A$1:$A$100,0),   MATCH(P$1,警職大表!$A$3:$AZ$3,0)  )=0,"",INDEX(警職大表!$A$1:$AZ$100,MATCH($A27,警職大表!$A$1:$A$100,0),   MATCH(P$1,警職大表!$A$3:$AZ$3,0)  ) )    ),"")</f>
        <v/>
      </c>
      <c r="Q27" s="271" t="str">
        <f>_xlfn.IFNA(   IF(   IF(  INDEX(警職大表!$A$1:$AZ$100,MATCH($A27,警職大表!$A$1:$A$100,0),   MATCH(Q$1,警職大表!$A$3:$AZ$3,0)  )=0,"",INDEX(警職大表!$A$1:$AZ$100,MATCH($A27,警職大表!$A$1:$A$100,0),   MATCH(Q$1,警職大表!$A$3:$AZ$3,0)  )        )="",P27,  IF(  INDEX(警職大表!$A$1:$AZ$100,MATCH($A27,警職大表!$A$1:$A$100,0),   MATCH(Q$1,警職大表!$A$3:$AZ$3,0)  )=0,"",INDEX(警職大表!$A$1:$AZ$100,MATCH($A27,警職大表!$A$1:$A$100,0),   MATCH(Q$1,警職大表!$A$3:$AZ$3,0)  ) )    ),"")</f>
        <v/>
      </c>
      <c r="R27" s="271" t="str">
        <f>_xlfn.IFNA(   IF(   IF(  INDEX(警職大表!$A$1:$AZ$100,MATCH($A27,警職大表!$A$1:$A$100,0),   MATCH(R$1,警職大表!$A$3:$AZ$3,0)  )=0,"",INDEX(警職大表!$A$1:$AZ$100,MATCH($A27,警職大表!$A$1:$A$100,0),   MATCH(R$1,警職大表!$A$3:$AZ$3,0)  )        )="",Q27,  IF(  INDEX(警職大表!$A$1:$AZ$100,MATCH($A27,警職大表!$A$1:$A$100,0),   MATCH(R$1,警職大表!$A$3:$AZ$3,0)  )=0,"",INDEX(警職大表!$A$1:$AZ$100,MATCH($A27,警職大表!$A$1:$A$100,0),   MATCH(R$1,警職大表!$A$3:$AZ$3,0)  ) )    ),"")</f>
        <v/>
      </c>
      <c r="S27" s="271" t="str">
        <f>_xlfn.IFNA(   IF(   IF(  INDEX(警職大表!$A$1:$AZ$100,MATCH($A27,警職大表!$A$1:$A$100,0),   MATCH(S$1,警職大表!$A$3:$AZ$3,0)  )=0,"",INDEX(警職大表!$A$1:$AZ$100,MATCH($A27,警職大表!$A$1:$A$100,0),   MATCH(S$1,警職大表!$A$3:$AZ$3,0)  )        )="",R27,  IF(  INDEX(警職大表!$A$1:$AZ$100,MATCH($A27,警職大表!$A$1:$A$100,0),   MATCH(S$1,警職大表!$A$3:$AZ$3,0)  )=0,"",INDEX(警職大表!$A$1:$AZ$100,MATCH($A27,警職大表!$A$1:$A$100,0),   MATCH(S$1,警職大表!$A$3:$AZ$3,0)  ) )    ),"")</f>
        <v/>
      </c>
      <c r="T27" s="271" t="str">
        <f>_xlfn.IFNA(   IF(   IF(  INDEX(警職大表!$A$1:$AZ$100,MATCH($A27,警職大表!$A$1:$A$100,0),   MATCH(T$1,警職大表!$A$3:$AZ$3,0)  )=0,"",INDEX(警職大表!$A$1:$AZ$100,MATCH($A27,警職大表!$A$1:$A$100,0),   MATCH(T$1,警職大表!$A$3:$AZ$3,0)  )        )="",S27,  IF(  INDEX(警職大表!$A$1:$AZ$100,MATCH($A27,警職大表!$A$1:$A$100,0),   MATCH(T$1,警職大表!$A$3:$AZ$3,0)  )=0,"",INDEX(警職大表!$A$1:$AZ$100,MATCH($A27,警職大表!$A$1:$A$100,0),   MATCH(T$1,警職大表!$A$3:$AZ$3,0)  ) )    ),"")</f>
        <v/>
      </c>
      <c r="U27" s="271" t="str">
        <f>_xlfn.IFNA(   IF(   IF(  INDEX(警職大表!$A$1:$AZ$100,MATCH($A27,警職大表!$A$1:$A$100,0),   MATCH(U$1,警職大表!$A$3:$AZ$3,0)  )=0,"",INDEX(警職大表!$A$1:$AZ$100,MATCH($A27,警職大表!$A$1:$A$100,0),   MATCH(U$1,警職大表!$A$3:$AZ$3,0)  )        )="",T27,  IF(  INDEX(警職大表!$A$1:$AZ$100,MATCH($A27,警職大表!$A$1:$A$100,0),   MATCH(U$1,警職大表!$A$3:$AZ$3,0)  )=0,"",INDEX(警職大表!$A$1:$AZ$100,MATCH($A27,警職大表!$A$1:$A$100,0),   MATCH(U$1,警職大表!$A$3:$AZ$3,0)  ) )    ),"")</f>
        <v/>
      </c>
      <c r="V27" s="271" t="str">
        <f>_xlfn.IFNA(   IF(   IF(  INDEX(警職大表!$A$1:$AZ$100,MATCH($A27,警職大表!$A$1:$A$100,0),   MATCH(V$1,警職大表!$A$3:$AZ$3,0)  )=0,"",INDEX(警職大表!$A$1:$AZ$100,MATCH($A27,警職大表!$A$1:$A$100,0),   MATCH(V$1,警職大表!$A$3:$AZ$3,0)  )        )="",U27,  IF(  INDEX(警職大表!$A$1:$AZ$100,MATCH($A27,警職大表!$A$1:$A$100,0),   MATCH(V$1,警職大表!$A$3:$AZ$3,0)  )=0,"",INDEX(警職大表!$A$1:$AZ$100,MATCH($A27,警職大表!$A$1:$A$100,0),   MATCH(V$1,警職大表!$A$3:$AZ$3,0)  ) )    ),"")</f>
        <v/>
      </c>
      <c r="W27" s="271" t="str">
        <f>_xlfn.IFNA(   IF(   IF(  INDEX(警職大表!$A$1:$AZ$100,MATCH($A27,警職大表!$A$1:$A$100,0),   MATCH(W$1,警職大表!$A$3:$AZ$3,0)  )=0,"",INDEX(警職大表!$A$1:$AZ$100,MATCH($A27,警職大表!$A$1:$A$100,0),   MATCH(W$1,警職大表!$A$3:$AZ$3,0)  )        )="",V27,  IF(  INDEX(警職大表!$A$1:$AZ$100,MATCH($A27,警職大表!$A$1:$A$100,0),   MATCH(W$1,警職大表!$A$3:$AZ$3,0)  )=0,"",INDEX(警職大表!$A$1:$AZ$100,MATCH($A27,警職大表!$A$1:$A$100,0),   MATCH(W$1,警職大表!$A$3:$AZ$3,0)  ) )    ),"")</f>
        <v/>
      </c>
      <c r="X27" s="271" t="str">
        <f>_xlfn.IFNA(   IF(   IF(  INDEX(警職大表!$A$1:$AZ$100,MATCH($A27,警職大表!$A$1:$A$100,0),   MATCH(X$1,警職大表!$A$3:$AZ$3,0)  )=0,"",INDEX(警職大表!$A$1:$AZ$100,MATCH($A27,警職大表!$A$1:$A$100,0),   MATCH(X$1,警職大表!$A$3:$AZ$3,0)  )        )="",W27,  IF(  INDEX(警職大表!$A$1:$AZ$100,MATCH($A27,警職大表!$A$1:$A$100,0),   MATCH(X$1,警職大表!$A$3:$AZ$3,0)  )=0,"",INDEX(警職大表!$A$1:$AZ$100,MATCH($A27,警職大表!$A$1:$A$100,0),   MATCH(X$1,警職大表!$A$3:$AZ$3,0)  ) )    ),"")</f>
        <v/>
      </c>
      <c r="Y27" s="271" t="str">
        <f>_xlfn.IFNA(   IF(   IF(  INDEX(警職大表!$A$1:$AZ$100,MATCH($A27,警職大表!$A$1:$A$100,0),   MATCH(Y$1,警職大表!$A$3:$AZ$3,0)  )=0,"",INDEX(警職大表!$A$1:$AZ$100,MATCH($A27,警職大表!$A$1:$A$100,0),   MATCH(Y$1,警職大表!$A$3:$AZ$3,0)  )        )="",X27,  IF(  INDEX(警職大表!$A$1:$AZ$100,MATCH($A27,警職大表!$A$1:$A$100,0),   MATCH(Y$1,警職大表!$A$3:$AZ$3,0)  )=0,"",INDEX(警職大表!$A$1:$AZ$100,MATCH($A27,警職大表!$A$1:$A$100,0),   MATCH(Y$1,警職大表!$A$3:$AZ$3,0)  ) )    ),"")</f>
        <v/>
      </c>
      <c r="Z27" s="271" t="str">
        <f>_xlfn.IFNA(   IF(   IF(  INDEX(警職大表!$A$1:$AZ$100,MATCH($A27,警職大表!$A$1:$A$100,0),   MATCH(Z$1,警職大表!$A$3:$AZ$3,0)  )=0,"",INDEX(警職大表!$A$1:$AZ$100,MATCH($A27,警職大表!$A$1:$A$100,0),   MATCH(Z$1,警職大表!$A$3:$AZ$3,0)  )        )="",Y27,  IF(  INDEX(警職大表!$A$1:$AZ$100,MATCH($A27,警職大表!$A$1:$A$100,0),   MATCH(Z$1,警職大表!$A$3:$AZ$3,0)  )=0,"",INDEX(警職大表!$A$1:$AZ$100,MATCH($A27,警職大表!$A$1:$A$100,0),   MATCH(Z$1,警職大表!$A$3:$AZ$3,0)  ) )    ),"")</f>
        <v/>
      </c>
      <c r="AA27" s="271" t="str">
        <f>_xlfn.IFNA(   IF(   IF(  INDEX(警職大表!$A$1:$AZ$100,MATCH($A27,警職大表!$A$1:$A$100,0),   MATCH(AA$1,警職大表!$A$3:$AZ$3,0)  )=0,"",INDEX(警職大表!$A$1:$AZ$100,MATCH($A27,警職大表!$A$1:$A$100,0),   MATCH(AA$1,警職大表!$A$3:$AZ$3,0)  )        )="",Z27,  IF(  INDEX(警職大表!$A$1:$AZ$100,MATCH($A27,警職大表!$A$1:$A$100,0),   MATCH(AA$1,警職大表!$A$3:$AZ$3,0)  )=0,"",INDEX(警職大表!$A$1:$AZ$100,MATCH($A27,警職大表!$A$1:$A$100,0),   MATCH(AA$1,警職大表!$A$3:$AZ$3,0)  ) )    ),"")</f>
        <v/>
      </c>
      <c r="AB27" s="271" t="str">
        <f>_xlfn.IFNA(   IF(   IF(  INDEX(警職大表!$A$1:$AZ$100,MATCH($A27,警職大表!$A$1:$A$100,0),   MATCH(AB$1,警職大表!$A$3:$AZ$3,0)  )=0,"",INDEX(警職大表!$A$1:$AZ$100,MATCH($A27,警職大表!$A$1:$A$100,0),   MATCH(AB$1,警職大表!$A$3:$AZ$3,0)  )        )="",AA27,  IF(  INDEX(警職大表!$A$1:$AZ$100,MATCH($A27,警職大表!$A$1:$A$100,0),   MATCH(AB$1,警職大表!$A$3:$AZ$3,0)  )=0,"",INDEX(警職大表!$A$1:$AZ$100,MATCH($A27,警職大表!$A$1:$A$100,0),   MATCH(AB$1,警職大表!$A$3:$AZ$3,0)  ) )    ),"")</f>
        <v/>
      </c>
      <c r="AC27" s="271" t="str">
        <f>_xlfn.IFNA(   IF(   IF(  INDEX(警職大表!$A$1:$AZ$100,MATCH($A27,警職大表!$A$1:$A$100,0),   MATCH(AC$1,警職大表!$A$3:$AZ$3,0)  )=0,"",INDEX(警職大表!$A$1:$AZ$100,MATCH($A27,警職大表!$A$1:$A$100,0),   MATCH(AC$1,警職大表!$A$3:$AZ$3,0)  )        )="",AB27,  IF(  INDEX(警職大表!$A$1:$AZ$100,MATCH($A27,警職大表!$A$1:$A$100,0),   MATCH(AC$1,警職大表!$A$3:$AZ$3,0)  )=0,"",INDEX(警職大表!$A$1:$AZ$100,MATCH($A27,警職大表!$A$1:$A$100,0),   MATCH(AC$1,警職大表!$A$3:$AZ$3,0)  ) )    ),"")</f>
        <v/>
      </c>
      <c r="AD27" s="271" t="str">
        <f>_xlfn.IFNA(   IF(   IF(  INDEX(警職大表!$A$1:$AZ$100,MATCH($A27,警職大表!$A$1:$A$100,0),   MATCH(AD$1,警職大表!$A$3:$AZ$3,0)  )=0,"",INDEX(警職大表!$A$1:$AZ$100,MATCH($A27,警職大表!$A$1:$A$100,0),   MATCH(AD$1,警職大表!$A$3:$AZ$3,0)  )        )="",AC27,  IF(  INDEX(警職大表!$A$1:$AZ$100,MATCH($A27,警職大表!$A$1:$A$100,0),   MATCH(AD$1,警職大表!$A$3:$AZ$3,0)  )=0,"",INDEX(警職大表!$A$1:$AZ$100,MATCH($A27,警職大表!$A$1:$A$100,0),   MATCH(AD$1,警職大表!$A$3:$AZ$3,0)  ) )    ),"")</f>
        <v/>
      </c>
      <c r="AE27" s="271" t="str">
        <f>_xlfn.IFNA(   IF(   IF(  INDEX(警職大表!$A$1:$AZ$100,MATCH($A27,警職大表!$A$1:$A$100,0),   MATCH(AE$1,警職大表!$A$3:$AZ$3,0)  )=0,"",INDEX(警職大表!$A$1:$AZ$100,MATCH($A27,警職大表!$A$1:$A$100,0),   MATCH(AE$1,警職大表!$A$3:$AZ$3,0)  )        )="",AD27,  IF(  INDEX(警職大表!$A$1:$AZ$100,MATCH($A27,警職大表!$A$1:$A$100,0),   MATCH(AE$1,警職大表!$A$3:$AZ$3,0)  )=0,"",INDEX(警職大表!$A$1:$AZ$100,MATCH($A27,警職大表!$A$1:$A$100,0),   MATCH(AE$1,警職大表!$A$3:$AZ$3,0)  ) )    ),"")</f>
        <v/>
      </c>
      <c r="AF27" s="271" t="str">
        <f>_xlfn.IFNA(   IF(   IF(  INDEX(警職大表!$A$1:$AZ$100,MATCH($A27,警職大表!$A$1:$A$100,0),   MATCH(AF$1,警職大表!$A$3:$AZ$3,0)  )=0,"",INDEX(警職大表!$A$1:$AZ$100,MATCH($A27,警職大表!$A$1:$A$100,0),   MATCH(AF$1,警職大表!$A$3:$AZ$3,0)  )        )="",AE27,  IF(  INDEX(警職大表!$A$1:$AZ$100,MATCH($A27,警職大表!$A$1:$A$100,0),   MATCH(AF$1,警職大表!$A$3:$AZ$3,0)  )=0,"",INDEX(警職大表!$A$1:$AZ$100,MATCH($A27,警職大表!$A$1:$A$100,0),   MATCH(AF$1,警職大表!$A$3:$AZ$3,0)  ) )    ),"")</f>
        <v/>
      </c>
      <c r="AG27" s="271" t="str">
        <f>_xlfn.IFNA(   IF(   IF(  INDEX(警職大表!$A$1:$AZ$100,MATCH($A27,警職大表!$A$1:$A$100,0),   MATCH(AG$1,警職大表!$A$3:$AZ$3,0)  )=0,"",INDEX(警職大表!$A$1:$AZ$100,MATCH($A27,警職大表!$A$1:$A$100,0),   MATCH(AG$1,警職大表!$A$3:$AZ$3,0)  )        )="",AF27,  IF(  INDEX(警職大表!$A$1:$AZ$100,MATCH($A27,警職大表!$A$1:$A$100,0),   MATCH(AG$1,警職大表!$A$3:$AZ$3,0)  )=0,"",INDEX(警職大表!$A$1:$AZ$100,MATCH($A27,警職大表!$A$1:$A$100,0),   MATCH(AG$1,警職大表!$A$3:$AZ$3,0)  ) )    ),"")</f>
        <v/>
      </c>
      <c r="AL27" s="271" t="str">
        <f t="shared" si="0"/>
        <v/>
      </c>
      <c r="AM27" s="271" t="str">
        <f t="shared" si="1"/>
        <v/>
      </c>
      <c r="AN27" s="271" t="str">
        <f>INDEX(   $A$41:$AG$78, MATCH(AL27,$A$41:$A$78,0),MATCH(  DAY(勤務分配表!$AN$1),$A$41:$AL$41,0  )  )</f>
        <v/>
      </c>
      <c r="AO27" s="271" t="str">
        <f>IF((ROW(AO27)-1)&lt;=日期輸入!$B$5,_xlfn.IFNA(IF(INDEX($A$1:$AG$40,MATCH($AM27,$B$1:$B$100,0),VALUE($AO$1+3))="成","補",INDEX($A$1:$AG$40,MATCH($AM27,$B$1:$B$100,0),VALUE($AO$1+3))),""),"")</f>
        <v/>
      </c>
      <c r="AP27" s="271" t="str">
        <f>IF((ROW(AP27)-1)&lt;=日期輸入!$B$5,_xlfn.IFNA(IF(INDEX($A$1:$AG$40,MATCH($AM27,$B$1:$B$100,0),VALUE($AP$1+3))="成","補",INDEX($A$1:$AG$40,MATCH($AM27,$B$1:$B$100,0),VALUE($AP$1+3))),""),"")</f>
        <v/>
      </c>
      <c r="AQ27" s="271" t="str">
        <f>IF((ROW(AQ27)-1)&lt;=日期輸入!$B$5,_xlfn.IFNA(IF(INDEX($A$1:$AG$40,MATCH($AM27,$B$1:$B$100,0),VALUE($AQ$1+3))="成","補",INDEX($A$1:$AG$40,MATCH($AM27,$B$1:$B$100,0),VALUE($AQ$1+3))),""),"")</f>
        <v/>
      </c>
    </row>
    <row r="28" spans="1:43">
      <c r="A28" s="271" t="str">
        <f>IF(  (ROW(A28)-1)&lt;=日期輸入!$B$5,勤務分配!A28,"")</f>
        <v/>
      </c>
      <c r="B28" s="271" t="str">
        <f>_xlfn.IFNA(  INDEX(警職大表!$A$1:$AZ$100,MATCH(A28,警職大表!$A$1:$A$100,0),3),"")</f>
        <v/>
      </c>
      <c r="C28" s="271" t="str">
        <f>_xlfn.IFNA(  IF(  INDEX(警職大表!$A$1:$AZ$100,MATCH($A28,警職大表!$A$1:$A$100,0),   MATCH(C$1,警職大表!$A$3:$AZ$3,0)  )=0,"",INDEX(警職大表!$A$1:$AZ$100,MATCH($A28,警職大表!$A$1:$A$100,0),   MATCH(C$1,警職大表!$A$3:$AZ$3,0)  )                ),"")</f>
        <v/>
      </c>
      <c r="D28" s="271" t="str">
        <f>_xlfn.IFNA(   IF(   IF(  INDEX(警職大表!$A$1:$AZ$100,MATCH($A28,警職大表!$A$1:$A$100,0),   MATCH(D$1,警職大表!$A$3:$AZ$3,0)  )=0,"",INDEX(警職大表!$A$1:$AZ$100,MATCH($A28,警職大表!$A$1:$A$100,0),   MATCH(D$1,警職大表!$A$3:$AZ$3,0)  )        )="",C28,  IF(  INDEX(警職大表!$A$1:$AZ$100,MATCH($A28,警職大表!$A$1:$A$100,0),   MATCH(D$1,警職大表!$A$3:$AZ$3,0)  )=0,"",INDEX(警職大表!$A$1:$AZ$100,MATCH($A28,警職大表!$A$1:$A$100,0),   MATCH(D$1,警職大表!$A$3:$AZ$3,0)  ) )    ),"")</f>
        <v/>
      </c>
      <c r="E28" s="271" t="str">
        <f>_xlfn.IFNA(   IF(   IF(  INDEX(警職大表!$A$1:$AZ$100,MATCH($A28,警職大表!$A$1:$A$100,0),   MATCH(E$1,警職大表!$A$3:$AZ$3,0)  )=0,"",INDEX(警職大表!$A$1:$AZ$100,MATCH($A28,警職大表!$A$1:$A$100,0),   MATCH(E$1,警職大表!$A$3:$AZ$3,0)  )        )="",D28,  IF(  INDEX(警職大表!$A$1:$AZ$100,MATCH($A28,警職大表!$A$1:$A$100,0),   MATCH(E$1,警職大表!$A$3:$AZ$3,0)  )=0,"",INDEX(警職大表!$A$1:$AZ$100,MATCH($A28,警職大表!$A$1:$A$100,0),   MATCH(E$1,警職大表!$A$3:$AZ$3,0)  ) )    ),"")</f>
        <v/>
      </c>
      <c r="F28" s="271" t="str">
        <f>_xlfn.IFNA(   IF(   IF(  INDEX(警職大表!$A$1:$AZ$100,MATCH($A28,警職大表!$A$1:$A$100,0),   MATCH(F$1,警職大表!$A$3:$AZ$3,0)  )=0,"",INDEX(警職大表!$A$1:$AZ$100,MATCH($A28,警職大表!$A$1:$A$100,0),   MATCH(F$1,警職大表!$A$3:$AZ$3,0)  )        )="",E28,  IF(  INDEX(警職大表!$A$1:$AZ$100,MATCH($A28,警職大表!$A$1:$A$100,0),   MATCH(F$1,警職大表!$A$3:$AZ$3,0)  )=0,"",INDEX(警職大表!$A$1:$AZ$100,MATCH($A28,警職大表!$A$1:$A$100,0),   MATCH(F$1,警職大表!$A$3:$AZ$3,0)  ) )    ),"")</f>
        <v/>
      </c>
      <c r="G28" s="271" t="str">
        <f>_xlfn.IFNA(   IF(   IF(  INDEX(警職大表!$A$1:$AZ$100,MATCH($A28,警職大表!$A$1:$A$100,0),   MATCH(G$1,警職大表!$A$3:$AZ$3,0)  )=0,"",INDEX(警職大表!$A$1:$AZ$100,MATCH($A28,警職大表!$A$1:$A$100,0),   MATCH(G$1,警職大表!$A$3:$AZ$3,0)  )        )="",F28,  IF(  INDEX(警職大表!$A$1:$AZ$100,MATCH($A28,警職大表!$A$1:$A$100,0),   MATCH(G$1,警職大表!$A$3:$AZ$3,0)  )=0,"",INDEX(警職大表!$A$1:$AZ$100,MATCH($A28,警職大表!$A$1:$A$100,0),   MATCH(G$1,警職大表!$A$3:$AZ$3,0)  ) )    ),"")</f>
        <v/>
      </c>
      <c r="H28" s="271" t="str">
        <f>_xlfn.IFNA(   IF(   IF(  INDEX(警職大表!$A$1:$AZ$100,MATCH($A28,警職大表!$A$1:$A$100,0),   MATCH(H$1,警職大表!$A$3:$AZ$3,0)  )=0,"",INDEX(警職大表!$A$1:$AZ$100,MATCH($A28,警職大表!$A$1:$A$100,0),   MATCH(H$1,警職大表!$A$3:$AZ$3,0)  )        )="",G28,  IF(  INDEX(警職大表!$A$1:$AZ$100,MATCH($A28,警職大表!$A$1:$A$100,0),   MATCH(H$1,警職大表!$A$3:$AZ$3,0)  )=0,"",INDEX(警職大表!$A$1:$AZ$100,MATCH($A28,警職大表!$A$1:$A$100,0),   MATCH(H$1,警職大表!$A$3:$AZ$3,0)  ) )    ),"")</f>
        <v/>
      </c>
      <c r="I28" s="271" t="str">
        <f>_xlfn.IFNA(   IF(   IF(  INDEX(警職大表!$A$1:$AZ$100,MATCH($A28,警職大表!$A$1:$A$100,0),   MATCH(I$1,警職大表!$A$3:$AZ$3,0)  )=0,"",INDEX(警職大表!$A$1:$AZ$100,MATCH($A28,警職大表!$A$1:$A$100,0),   MATCH(I$1,警職大表!$A$3:$AZ$3,0)  )        )="",H28,  IF(  INDEX(警職大表!$A$1:$AZ$100,MATCH($A28,警職大表!$A$1:$A$100,0),   MATCH(I$1,警職大表!$A$3:$AZ$3,0)  )=0,"",INDEX(警職大表!$A$1:$AZ$100,MATCH($A28,警職大表!$A$1:$A$100,0),   MATCH(I$1,警職大表!$A$3:$AZ$3,0)  ) )    ),"")</f>
        <v/>
      </c>
      <c r="J28" s="271" t="str">
        <f>_xlfn.IFNA(   IF(   IF(  INDEX(警職大表!$A$1:$AZ$100,MATCH($A28,警職大表!$A$1:$A$100,0),   MATCH(J$1,警職大表!$A$3:$AZ$3,0)  )=0,"",INDEX(警職大表!$A$1:$AZ$100,MATCH($A28,警職大表!$A$1:$A$100,0),   MATCH(J$1,警職大表!$A$3:$AZ$3,0)  )        )="",I28,  IF(  INDEX(警職大表!$A$1:$AZ$100,MATCH($A28,警職大表!$A$1:$A$100,0),   MATCH(J$1,警職大表!$A$3:$AZ$3,0)  )=0,"",INDEX(警職大表!$A$1:$AZ$100,MATCH($A28,警職大表!$A$1:$A$100,0),   MATCH(J$1,警職大表!$A$3:$AZ$3,0)  ) )    ),"")</f>
        <v/>
      </c>
      <c r="K28" s="271" t="str">
        <f>_xlfn.IFNA(   IF(   IF(  INDEX(警職大表!$A$1:$AZ$100,MATCH($A28,警職大表!$A$1:$A$100,0),   MATCH(K$1,警職大表!$A$3:$AZ$3,0)  )=0,"",INDEX(警職大表!$A$1:$AZ$100,MATCH($A28,警職大表!$A$1:$A$100,0),   MATCH(K$1,警職大表!$A$3:$AZ$3,0)  )        )="",J28,  IF(  INDEX(警職大表!$A$1:$AZ$100,MATCH($A28,警職大表!$A$1:$A$100,0),   MATCH(K$1,警職大表!$A$3:$AZ$3,0)  )=0,"",INDEX(警職大表!$A$1:$AZ$100,MATCH($A28,警職大表!$A$1:$A$100,0),   MATCH(K$1,警職大表!$A$3:$AZ$3,0)  ) )    ),"")</f>
        <v/>
      </c>
      <c r="L28" s="271" t="str">
        <f>_xlfn.IFNA(   IF(   IF(  INDEX(警職大表!$A$1:$AZ$100,MATCH($A28,警職大表!$A$1:$A$100,0),   MATCH(L$1,警職大表!$A$3:$AZ$3,0)  )=0,"",INDEX(警職大表!$A$1:$AZ$100,MATCH($A28,警職大表!$A$1:$A$100,0),   MATCH(L$1,警職大表!$A$3:$AZ$3,0)  )        )="",K28,  IF(  INDEX(警職大表!$A$1:$AZ$100,MATCH($A28,警職大表!$A$1:$A$100,0),   MATCH(L$1,警職大表!$A$3:$AZ$3,0)  )=0,"",INDEX(警職大表!$A$1:$AZ$100,MATCH($A28,警職大表!$A$1:$A$100,0),   MATCH(L$1,警職大表!$A$3:$AZ$3,0)  ) )    ),"")</f>
        <v/>
      </c>
      <c r="M28" s="271" t="str">
        <f>_xlfn.IFNA(   IF(   IF(  INDEX(警職大表!$A$1:$AZ$100,MATCH($A28,警職大表!$A$1:$A$100,0),   MATCH(M$1,警職大表!$A$3:$AZ$3,0)  )=0,"",INDEX(警職大表!$A$1:$AZ$100,MATCH($A28,警職大表!$A$1:$A$100,0),   MATCH(M$1,警職大表!$A$3:$AZ$3,0)  )        )="",L28,  IF(  INDEX(警職大表!$A$1:$AZ$100,MATCH($A28,警職大表!$A$1:$A$100,0),   MATCH(M$1,警職大表!$A$3:$AZ$3,0)  )=0,"",INDEX(警職大表!$A$1:$AZ$100,MATCH($A28,警職大表!$A$1:$A$100,0),   MATCH(M$1,警職大表!$A$3:$AZ$3,0)  ) )    ),"")</f>
        <v/>
      </c>
      <c r="N28" s="271" t="str">
        <f>_xlfn.IFNA(   IF(   IF(  INDEX(警職大表!$A$1:$AZ$100,MATCH($A28,警職大表!$A$1:$A$100,0),   MATCH(N$1,警職大表!$A$3:$AZ$3,0)  )=0,"",INDEX(警職大表!$A$1:$AZ$100,MATCH($A28,警職大表!$A$1:$A$100,0),   MATCH(N$1,警職大表!$A$3:$AZ$3,0)  )        )="",M28,  IF(  INDEX(警職大表!$A$1:$AZ$100,MATCH($A28,警職大表!$A$1:$A$100,0),   MATCH(N$1,警職大表!$A$3:$AZ$3,0)  )=0,"",INDEX(警職大表!$A$1:$AZ$100,MATCH($A28,警職大表!$A$1:$A$100,0),   MATCH(N$1,警職大表!$A$3:$AZ$3,0)  ) )    ),"")</f>
        <v/>
      </c>
      <c r="O28" s="271" t="str">
        <f>_xlfn.IFNA(   IF(   IF(  INDEX(警職大表!$A$1:$AZ$100,MATCH($A28,警職大表!$A$1:$A$100,0),   MATCH(O$1,警職大表!$A$3:$AZ$3,0)  )=0,"",INDEX(警職大表!$A$1:$AZ$100,MATCH($A28,警職大表!$A$1:$A$100,0),   MATCH(O$1,警職大表!$A$3:$AZ$3,0)  )        )="",N28,  IF(  INDEX(警職大表!$A$1:$AZ$100,MATCH($A28,警職大表!$A$1:$A$100,0),   MATCH(O$1,警職大表!$A$3:$AZ$3,0)  )=0,"",INDEX(警職大表!$A$1:$AZ$100,MATCH($A28,警職大表!$A$1:$A$100,0),   MATCH(O$1,警職大表!$A$3:$AZ$3,0)  ) )    ),"")</f>
        <v/>
      </c>
      <c r="P28" s="271" t="str">
        <f>_xlfn.IFNA(   IF(   IF(  INDEX(警職大表!$A$1:$AZ$100,MATCH($A28,警職大表!$A$1:$A$100,0),   MATCH(P$1,警職大表!$A$3:$AZ$3,0)  )=0,"",INDEX(警職大表!$A$1:$AZ$100,MATCH($A28,警職大表!$A$1:$A$100,0),   MATCH(P$1,警職大表!$A$3:$AZ$3,0)  )        )="",O28,  IF(  INDEX(警職大表!$A$1:$AZ$100,MATCH($A28,警職大表!$A$1:$A$100,0),   MATCH(P$1,警職大表!$A$3:$AZ$3,0)  )=0,"",INDEX(警職大表!$A$1:$AZ$100,MATCH($A28,警職大表!$A$1:$A$100,0),   MATCH(P$1,警職大表!$A$3:$AZ$3,0)  ) )    ),"")</f>
        <v/>
      </c>
      <c r="Q28" s="271" t="str">
        <f>_xlfn.IFNA(   IF(   IF(  INDEX(警職大表!$A$1:$AZ$100,MATCH($A28,警職大表!$A$1:$A$100,0),   MATCH(Q$1,警職大表!$A$3:$AZ$3,0)  )=0,"",INDEX(警職大表!$A$1:$AZ$100,MATCH($A28,警職大表!$A$1:$A$100,0),   MATCH(Q$1,警職大表!$A$3:$AZ$3,0)  )        )="",P28,  IF(  INDEX(警職大表!$A$1:$AZ$100,MATCH($A28,警職大表!$A$1:$A$100,0),   MATCH(Q$1,警職大表!$A$3:$AZ$3,0)  )=0,"",INDEX(警職大表!$A$1:$AZ$100,MATCH($A28,警職大表!$A$1:$A$100,0),   MATCH(Q$1,警職大表!$A$3:$AZ$3,0)  ) )    ),"")</f>
        <v/>
      </c>
      <c r="R28" s="271" t="str">
        <f>_xlfn.IFNA(   IF(   IF(  INDEX(警職大表!$A$1:$AZ$100,MATCH($A28,警職大表!$A$1:$A$100,0),   MATCH(R$1,警職大表!$A$3:$AZ$3,0)  )=0,"",INDEX(警職大表!$A$1:$AZ$100,MATCH($A28,警職大表!$A$1:$A$100,0),   MATCH(R$1,警職大表!$A$3:$AZ$3,0)  )        )="",Q28,  IF(  INDEX(警職大表!$A$1:$AZ$100,MATCH($A28,警職大表!$A$1:$A$100,0),   MATCH(R$1,警職大表!$A$3:$AZ$3,0)  )=0,"",INDEX(警職大表!$A$1:$AZ$100,MATCH($A28,警職大表!$A$1:$A$100,0),   MATCH(R$1,警職大表!$A$3:$AZ$3,0)  ) )    ),"")</f>
        <v/>
      </c>
      <c r="S28" s="271" t="str">
        <f>_xlfn.IFNA(   IF(   IF(  INDEX(警職大表!$A$1:$AZ$100,MATCH($A28,警職大表!$A$1:$A$100,0),   MATCH(S$1,警職大表!$A$3:$AZ$3,0)  )=0,"",INDEX(警職大表!$A$1:$AZ$100,MATCH($A28,警職大表!$A$1:$A$100,0),   MATCH(S$1,警職大表!$A$3:$AZ$3,0)  )        )="",R28,  IF(  INDEX(警職大表!$A$1:$AZ$100,MATCH($A28,警職大表!$A$1:$A$100,0),   MATCH(S$1,警職大表!$A$3:$AZ$3,0)  )=0,"",INDEX(警職大表!$A$1:$AZ$100,MATCH($A28,警職大表!$A$1:$A$100,0),   MATCH(S$1,警職大表!$A$3:$AZ$3,0)  ) )    ),"")</f>
        <v/>
      </c>
      <c r="T28" s="271" t="str">
        <f>_xlfn.IFNA(   IF(   IF(  INDEX(警職大表!$A$1:$AZ$100,MATCH($A28,警職大表!$A$1:$A$100,0),   MATCH(T$1,警職大表!$A$3:$AZ$3,0)  )=0,"",INDEX(警職大表!$A$1:$AZ$100,MATCH($A28,警職大表!$A$1:$A$100,0),   MATCH(T$1,警職大表!$A$3:$AZ$3,0)  )        )="",S28,  IF(  INDEX(警職大表!$A$1:$AZ$100,MATCH($A28,警職大表!$A$1:$A$100,0),   MATCH(T$1,警職大表!$A$3:$AZ$3,0)  )=0,"",INDEX(警職大表!$A$1:$AZ$100,MATCH($A28,警職大表!$A$1:$A$100,0),   MATCH(T$1,警職大表!$A$3:$AZ$3,0)  ) )    ),"")</f>
        <v/>
      </c>
      <c r="U28" s="271" t="str">
        <f>_xlfn.IFNA(   IF(   IF(  INDEX(警職大表!$A$1:$AZ$100,MATCH($A28,警職大表!$A$1:$A$100,0),   MATCH(U$1,警職大表!$A$3:$AZ$3,0)  )=0,"",INDEX(警職大表!$A$1:$AZ$100,MATCH($A28,警職大表!$A$1:$A$100,0),   MATCH(U$1,警職大表!$A$3:$AZ$3,0)  )        )="",T28,  IF(  INDEX(警職大表!$A$1:$AZ$100,MATCH($A28,警職大表!$A$1:$A$100,0),   MATCH(U$1,警職大表!$A$3:$AZ$3,0)  )=0,"",INDEX(警職大表!$A$1:$AZ$100,MATCH($A28,警職大表!$A$1:$A$100,0),   MATCH(U$1,警職大表!$A$3:$AZ$3,0)  ) )    ),"")</f>
        <v/>
      </c>
      <c r="V28" s="271" t="str">
        <f>_xlfn.IFNA(   IF(   IF(  INDEX(警職大表!$A$1:$AZ$100,MATCH($A28,警職大表!$A$1:$A$100,0),   MATCH(V$1,警職大表!$A$3:$AZ$3,0)  )=0,"",INDEX(警職大表!$A$1:$AZ$100,MATCH($A28,警職大表!$A$1:$A$100,0),   MATCH(V$1,警職大表!$A$3:$AZ$3,0)  )        )="",U28,  IF(  INDEX(警職大表!$A$1:$AZ$100,MATCH($A28,警職大表!$A$1:$A$100,0),   MATCH(V$1,警職大表!$A$3:$AZ$3,0)  )=0,"",INDEX(警職大表!$A$1:$AZ$100,MATCH($A28,警職大表!$A$1:$A$100,0),   MATCH(V$1,警職大表!$A$3:$AZ$3,0)  ) )    ),"")</f>
        <v/>
      </c>
      <c r="W28" s="271" t="str">
        <f>_xlfn.IFNA(   IF(   IF(  INDEX(警職大表!$A$1:$AZ$100,MATCH($A28,警職大表!$A$1:$A$100,0),   MATCH(W$1,警職大表!$A$3:$AZ$3,0)  )=0,"",INDEX(警職大表!$A$1:$AZ$100,MATCH($A28,警職大表!$A$1:$A$100,0),   MATCH(W$1,警職大表!$A$3:$AZ$3,0)  )        )="",V28,  IF(  INDEX(警職大表!$A$1:$AZ$100,MATCH($A28,警職大表!$A$1:$A$100,0),   MATCH(W$1,警職大表!$A$3:$AZ$3,0)  )=0,"",INDEX(警職大表!$A$1:$AZ$100,MATCH($A28,警職大表!$A$1:$A$100,0),   MATCH(W$1,警職大表!$A$3:$AZ$3,0)  ) )    ),"")</f>
        <v/>
      </c>
      <c r="X28" s="271" t="str">
        <f>_xlfn.IFNA(   IF(   IF(  INDEX(警職大表!$A$1:$AZ$100,MATCH($A28,警職大表!$A$1:$A$100,0),   MATCH(X$1,警職大表!$A$3:$AZ$3,0)  )=0,"",INDEX(警職大表!$A$1:$AZ$100,MATCH($A28,警職大表!$A$1:$A$100,0),   MATCH(X$1,警職大表!$A$3:$AZ$3,0)  )        )="",W28,  IF(  INDEX(警職大表!$A$1:$AZ$100,MATCH($A28,警職大表!$A$1:$A$100,0),   MATCH(X$1,警職大表!$A$3:$AZ$3,0)  )=0,"",INDEX(警職大表!$A$1:$AZ$100,MATCH($A28,警職大表!$A$1:$A$100,0),   MATCH(X$1,警職大表!$A$3:$AZ$3,0)  ) )    ),"")</f>
        <v/>
      </c>
      <c r="Y28" s="271" t="str">
        <f>_xlfn.IFNA(   IF(   IF(  INDEX(警職大表!$A$1:$AZ$100,MATCH($A28,警職大表!$A$1:$A$100,0),   MATCH(Y$1,警職大表!$A$3:$AZ$3,0)  )=0,"",INDEX(警職大表!$A$1:$AZ$100,MATCH($A28,警職大表!$A$1:$A$100,0),   MATCH(Y$1,警職大表!$A$3:$AZ$3,0)  )        )="",X28,  IF(  INDEX(警職大表!$A$1:$AZ$100,MATCH($A28,警職大表!$A$1:$A$100,0),   MATCH(Y$1,警職大表!$A$3:$AZ$3,0)  )=0,"",INDEX(警職大表!$A$1:$AZ$100,MATCH($A28,警職大表!$A$1:$A$100,0),   MATCH(Y$1,警職大表!$A$3:$AZ$3,0)  ) )    ),"")</f>
        <v/>
      </c>
      <c r="Z28" s="271" t="str">
        <f>_xlfn.IFNA(   IF(   IF(  INDEX(警職大表!$A$1:$AZ$100,MATCH($A28,警職大表!$A$1:$A$100,0),   MATCH(Z$1,警職大表!$A$3:$AZ$3,0)  )=0,"",INDEX(警職大表!$A$1:$AZ$100,MATCH($A28,警職大表!$A$1:$A$100,0),   MATCH(Z$1,警職大表!$A$3:$AZ$3,0)  )        )="",Y28,  IF(  INDEX(警職大表!$A$1:$AZ$100,MATCH($A28,警職大表!$A$1:$A$100,0),   MATCH(Z$1,警職大表!$A$3:$AZ$3,0)  )=0,"",INDEX(警職大表!$A$1:$AZ$100,MATCH($A28,警職大表!$A$1:$A$100,0),   MATCH(Z$1,警職大表!$A$3:$AZ$3,0)  ) )    ),"")</f>
        <v/>
      </c>
      <c r="AA28" s="271" t="str">
        <f>_xlfn.IFNA(   IF(   IF(  INDEX(警職大表!$A$1:$AZ$100,MATCH($A28,警職大表!$A$1:$A$100,0),   MATCH(AA$1,警職大表!$A$3:$AZ$3,0)  )=0,"",INDEX(警職大表!$A$1:$AZ$100,MATCH($A28,警職大表!$A$1:$A$100,0),   MATCH(AA$1,警職大表!$A$3:$AZ$3,0)  )        )="",Z28,  IF(  INDEX(警職大表!$A$1:$AZ$100,MATCH($A28,警職大表!$A$1:$A$100,0),   MATCH(AA$1,警職大表!$A$3:$AZ$3,0)  )=0,"",INDEX(警職大表!$A$1:$AZ$100,MATCH($A28,警職大表!$A$1:$A$100,0),   MATCH(AA$1,警職大表!$A$3:$AZ$3,0)  ) )    ),"")</f>
        <v/>
      </c>
      <c r="AB28" s="271" t="str">
        <f>_xlfn.IFNA(   IF(   IF(  INDEX(警職大表!$A$1:$AZ$100,MATCH($A28,警職大表!$A$1:$A$100,0),   MATCH(AB$1,警職大表!$A$3:$AZ$3,0)  )=0,"",INDEX(警職大表!$A$1:$AZ$100,MATCH($A28,警職大表!$A$1:$A$100,0),   MATCH(AB$1,警職大表!$A$3:$AZ$3,0)  )        )="",AA28,  IF(  INDEX(警職大表!$A$1:$AZ$100,MATCH($A28,警職大表!$A$1:$A$100,0),   MATCH(AB$1,警職大表!$A$3:$AZ$3,0)  )=0,"",INDEX(警職大表!$A$1:$AZ$100,MATCH($A28,警職大表!$A$1:$A$100,0),   MATCH(AB$1,警職大表!$A$3:$AZ$3,0)  ) )    ),"")</f>
        <v/>
      </c>
      <c r="AC28" s="271" t="str">
        <f>_xlfn.IFNA(   IF(   IF(  INDEX(警職大表!$A$1:$AZ$100,MATCH($A28,警職大表!$A$1:$A$100,0),   MATCH(AC$1,警職大表!$A$3:$AZ$3,0)  )=0,"",INDEX(警職大表!$A$1:$AZ$100,MATCH($A28,警職大表!$A$1:$A$100,0),   MATCH(AC$1,警職大表!$A$3:$AZ$3,0)  )        )="",AB28,  IF(  INDEX(警職大表!$A$1:$AZ$100,MATCH($A28,警職大表!$A$1:$A$100,0),   MATCH(AC$1,警職大表!$A$3:$AZ$3,0)  )=0,"",INDEX(警職大表!$A$1:$AZ$100,MATCH($A28,警職大表!$A$1:$A$100,0),   MATCH(AC$1,警職大表!$A$3:$AZ$3,0)  ) )    ),"")</f>
        <v/>
      </c>
      <c r="AD28" s="271" t="str">
        <f>_xlfn.IFNA(   IF(   IF(  INDEX(警職大表!$A$1:$AZ$100,MATCH($A28,警職大表!$A$1:$A$100,0),   MATCH(AD$1,警職大表!$A$3:$AZ$3,0)  )=0,"",INDEX(警職大表!$A$1:$AZ$100,MATCH($A28,警職大表!$A$1:$A$100,0),   MATCH(AD$1,警職大表!$A$3:$AZ$3,0)  )        )="",AC28,  IF(  INDEX(警職大表!$A$1:$AZ$100,MATCH($A28,警職大表!$A$1:$A$100,0),   MATCH(AD$1,警職大表!$A$3:$AZ$3,0)  )=0,"",INDEX(警職大表!$A$1:$AZ$100,MATCH($A28,警職大表!$A$1:$A$100,0),   MATCH(AD$1,警職大表!$A$3:$AZ$3,0)  ) )    ),"")</f>
        <v/>
      </c>
      <c r="AE28" s="271" t="str">
        <f>_xlfn.IFNA(   IF(   IF(  INDEX(警職大表!$A$1:$AZ$100,MATCH($A28,警職大表!$A$1:$A$100,0),   MATCH(AE$1,警職大表!$A$3:$AZ$3,0)  )=0,"",INDEX(警職大表!$A$1:$AZ$100,MATCH($A28,警職大表!$A$1:$A$100,0),   MATCH(AE$1,警職大表!$A$3:$AZ$3,0)  )        )="",AD28,  IF(  INDEX(警職大表!$A$1:$AZ$100,MATCH($A28,警職大表!$A$1:$A$100,0),   MATCH(AE$1,警職大表!$A$3:$AZ$3,0)  )=0,"",INDEX(警職大表!$A$1:$AZ$100,MATCH($A28,警職大表!$A$1:$A$100,0),   MATCH(AE$1,警職大表!$A$3:$AZ$3,0)  ) )    ),"")</f>
        <v/>
      </c>
      <c r="AF28" s="271" t="str">
        <f>_xlfn.IFNA(   IF(   IF(  INDEX(警職大表!$A$1:$AZ$100,MATCH($A28,警職大表!$A$1:$A$100,0),   MATCH(AF$1,警職大表!$A$3:$AZ$3,0)  )=0,"",INDEX(警職大表!$A$1:$AZ$100,MATCH($A28,警職大表!$A$1:$A$100,0),   MATCH(AF$1,警職大表!$A$3:$AZ$3,0)  )        )="",AE28,  IF(  INDEX(警職大表!$A$1:$AZ$100,MATCH($A28,警職大表!$A$1:$A$100,0),   MATCH(AF$1,警職大表!$A$3:$AZ$3,0)  )=0,"",INDEX(警職大表!$A$1:$AZ$100,MATCH($A28,警職大表!$A$1:$A$100,0),   MATCH(AF$1,警職大表!$A$3:$AZ$3,0)  ) )    ),"")</f>
        <v/>
      </c>
      <c r="AG28" s="271" t="str">
        <f>_xlfn.IFNA(   IF(   IF(  INDEX(警職大表!$A$1:$AZ$100,MATCH($A28,警職大表!$A$1:$A$100,0),   MATCH(AG$1,警職大表!$A$3:$AZ$3,0)  )=0,"",INDEX(警職大表!$A$1:$AZ$100,MATCH($A28,警職大表!$A$1:$A$100,0),   MATCH(AG$1,警職大表!$A$3:$AZ$3,0)  )        )="",AF28,  IF(  INDEX(警職大表!$A$1:$AZ$100,MATCH($A28,警職大表!$A$1:$A$100,0),   MATCH(AG$1,警職大表!$A$3:$AZ$3,0)  )=0,"",INDEX(警職大表!$A$1:$AZ$100,MATCH($A28,警職大表!$A$1:$A$100,0),   MATCH(AG$1,警職大表!$A$3:$AZ$3,0)  ) )    ),"")</f>
        <v/>
      </c>
      <c r="AL28" s="271" t="str">
        <f t="shared" si="0"/>
        <v/>
      </c>
      <c r="AM28" s="271" t="str">
        <f t="shared" si="1"/>
        <v/>
      </c>
      <c r="AN28" s="271" t="str">
        <f>INDEX(   $A$41:$AG$78, MATCH(AL28,$A$41:$A$78,0),MATCH(  DAY(勤務分配表!$AN$1),$A$41:$AL$41,0  )  )</f>
        <v/>
      </c>
      <c r="AO28" s="271" t="str">
        <f>IF((ROW(AO28)-1)&lt;=日期輸入!$B$5,_xlfn.IFNA(IF(INDEX($A$1:$AG$40,MATCH($AM28,$B$1:$B$100,0),VALUE($AO$1+3))="成","補",INDEX($A$1:$AG$40,MATCH($AM28,$B$1:$B$100,0),VALUE($AO$1+3))),""),"")</f>
        <v/>
      </c>
      <c r="AP28" s="271" t="str">
        <f>IF((ROW(AP28)-1)&lt;=日期輸入!$B$5,_xlfn.IFNA(IF(INDEX($A$1:$AG$40,MATCH($AM28,$B$1:$B$100,0),VALUE($AP$1+3))="成","補",INDEX($A$1:$AG$40,MATCH($AM28,$B$1:$B$100,0),VALUE($AP$1+3))),""),"")</f>
        <v/>
      </c>
      <c r="AQ28" s="271" t="str">
        <f>IF((ROW(AQ28)-1)&lt;=日期輸入!$B$5,_xlfn.IFNA(IF(INDEX($A$1:$AG$40,MATCH($AM28,$B$1:$B$100,0),VALUE($AQ$1+3))="成","補",INDEX($A$1:$AG$40,MATCH($AM28,$B$1:$B$100,0),VALUE($AQ$1+3))),""),"")</f>
        <v/>
      </c>
    </row>
    <row r="29" spans="1:43">
      <c r="A29" s="271" t="str">
        <f>IF(  (ROW(A29)-1)&lt;=日期輸入!$B$5,勤務分配!A29,"")</f>
        <v/>
      </c>
      <c r="B29" s="271" t="str">
        <f>_xlfn.IFNA(  INDEX(警職大表!$A$1:$AZ$100,MATCH(A29,警職大表!$A$1:$A$100,0),3),"")</f>
        <v/>
      </c>
      <c r="C29" s="271" t="str">
        <f>_xlfn.IFNA(  IF(  INDEX(警職大表!$A$1:$AZ$100,MATCH($A29,警職大表!$A$1:$A$100,0),   MATCH(C$1,警職大表!$A$3:$AZ$3,0)  )=0,"",INDEX(警職大表!$A$1:$AZ$100,MATCH($A29,警職大表!$A$1:$A$100,0),   MATCH(C$1,警職大表!$A$3:$AZ$3,0)  )                ),"")</f>
        <v/>
      </c>
      <c r="D29" s="271" t="str">
        <f>_xlfn.IFNA(   IF(   IF(  INDEX(警職大表!$A$1:$AZ$100,MATCH($A29,警職大表!$A$1:$A$100,0),   MATCH(D$1,警職大表!$A$3:$AZ$3,0)  )=0,"",INDEX(警職大表!$A$1:$AZ$100,MATCH($A29,警職大表!$A$1:$A$100,0),   MATCH(D$1,警職大表!$A$3:$AZ$3,0)  )        )="",C29,  IF(  INDEX(警職大表!$A$1:$AZ$100,MATCH($A29,警職大表!$A$1:$A$100,0),   MATCH(D$1,警職大表!$A$3:$AZ$3,0)  )=0,"",INDEX(警職大表!$A$1:$AZ$100,MATCH($A29,警職大表!$A$1:$A$100,0),   MATCH(D$1,警職大表!$A$3:$AZ$3,0)  ) )    ),"")</f>
        <v/>
      </c>
      <c r="E29" s="271" t="str">
        <f>_xlfn.IFNA(   IF(   IF(  INDEX(警職大表!$A$1:$AZ$100,MATCH($A29,警職大表!$A$1:$A$100,0),   MATCH(E$1,警職大表!$A$3:$AZ$3,0)  )=0,"",INDEX(警職大表!$A$1:$AZ$100,MATCH($A29,警職大表!$A$1:$A$100,0),   MATCH(E$1,警職大表!$A$3:$AZ$3,0)  )        )="",D29,  IF(  INDEX(警職大表!$A$1:$AZ$100,MATCH($A29,警職大表!$A$1:$A$100,0),   MATCH(E$1,警職大表!$A$3:$AZ$3,0)  )=0,"",INDEX(警職大表!$A$1:$AZ$100,MATCH($A29,警職大表!$A$1:$A$100,0),   MATCH(E$1,警職大表!$A$3:$AZ$3,0)  ) )    ),"")</f>
        <v/>
      </c>
      <c r="F29" s="271" t="str">
        <f>_xlfn.IFNA(   IF(   IF(  INDEX(警職大表!$A$1:$AZ$100,MATCH($A29,警職大表!$A$1:$A$100,0),   MATCH(F$1,警職大表!$A$3:$AZ$3,0)  )=0,"",INDEX(警職大表!$A$1:$AZ$100,MATCH($A29,警職大表!$A$1:$A$100,0),   MATCH(F$1,警職大表!$A$3:$AZ$3,0)  )        )="",E29,  IF(  INDEX(警職大表!$A$1:$AZ$100,MATCH($A29,警職大表!$A$1:$A$100,0),   MATCH(F$1,警職大表!$A$3:$AZ$3,0)  )=0,"",INDEX(警職大表!$A$1:$AZ$100,MATCH($A29,警職大表!$A$1:$A$100,0),   MATCH(F$1,警職大表!$A$3:$AZ$3,0)  ) )    ),"")</f>
        <v/>
      </c>
      <c r="G29" s="271" t="str">
        <f>_xlfn.IFNA(   IF(   IF(  INDEX(警職大表!$A$1:$AZ$100,MATCH($A29,警職大表!$A$1:$A$100,0),   MATCH(G$1,警職大表!$A$3:$AZ$3,0)  )=0,"",INDEX(警職大表!$A$1:$AZ$100,MATCH($A29,警職大表!$A$1:$A$100,0),   MATCH(G$1,警職大表!$A$3:$AZ$3,0)  )        )="",F29,  IF(  INDEX(警職大表!$A$1:$AZ$100,MATCH($A29,警職大表!$A$1:$A$100,0),   MATCH(G$1,警職大表!$A$3:$AZ$3,0)  )=0,"",INDEX(警職大表!$A$1:$AZ$100,MATCH($A29,警職大表!$A$1:$A$100,0),   MATCH(G$1,警職大表!$A$3:$AZ$3,0)  ) )    ),"")</f>
        <v/>
      </c>
      <c r="H29" s="271" t="str">
        <f>_xlfn.IFNA(   IF(   IF(  INDEX(警職大表!$A$1:$AZ$100,MATCH($A29,警職大表!$A$1:$A$100,0),   MATCH(H$1,警職大表!$A$3:$AZ$3,0)  )=0,"",INDEX(警職大表!$A$1:$AZ$100,MATCH($A29,警職大表!$A$1:$A$100,0),   MATCH(H$1,警職大表!$A$3:$AZ$3,0)  )        )="",G29,  IF(  INDEX(警職大表!$A$1:$AZ$100,MATCH($A29,警職大表!$A$1:$A$100,0),   MATCH(H$1,警職大表!$A$3:$AZ$3,0)  )=0,"",INDEX(警職大表!$A$1:$AZ$100,MATCH($A29,警職大表!$A$1:$A$100,0),   MATCH(H$1,警職大表!$A$3:$AZ$3,0)  ) )    ),"")</f>
        <v/>
      </c>
      <c r="I29" s="271" t="str">
        <f>_xlfn.IFNA(   IF(   IF(  INDEX(警職大表!$A$1:$AZ$100,MATCH($A29,警職大表!$A$1:$A$100,0),   MATCH(I$1,警職大表!$A$3:$AZ$3,0)  )=0,"",INDEX(警職大表!$A$1:$AZ$100,MATCH($A29,警職大表!$A$1:$A$100,0),   MATCH(I$1,警職大表!$A$3:$AZ$3,0)  )        )="",H29,  IF(  INDEX(警職大表!$A$1:$AZ$100,MATCH($A29,警職大表!$A$1:$A$100,0),   MATCH(I$1,警職大表!$A$3:$AZ$3,0)  )=0,"",INDEX(警職大表!$A$1:$AZ$100,MATCH($A29,警職大表!$A$1:$A$100,0),   MATCH(I$1,警職大表!$A$3:$AZ$3,0)  ) )    ),"")</f>
        <v/>
      </c>
      <c r="J29" s="271" t="str">
        <f>_xlfn.IFNA(   IF(   IF(  INDEX(警職大表!$A$1:$AZ$100,MATCH($A29,警職大表!$A$1:$A$100,0),   MATCH(J$1,警職大表!$A$3:$AZ$3,0)  )=0,"",INDEX(警職大表!$A$1:$AZ$100,MATCH($A29,警職大表!$A$1:$A$100,0),   MATCH(J$1,警職大表!$A$3:$AZ$3,0)  )        )="",I29,  IF(  INDEX(警職大表!$A$1:$AZ$100,MATCH($A29,警職大表!$A$1:$A$100,0),   MATCH(J$1,警職大表!$A$3:$AZ$3,0)  )=0,"",INDEX(警職大表!$A$1:$AZ$100,MATCH($A29,警職大表!$A$1:$A$100,0),   MATCH(J$1,警職大表!$A$3:$AZ$3,0)  ) )    ),"")</f>
        <v/>
      </c>
      <c r="K29" s="271" t="str">
        <f>_xlfn.IFNA(   IF(   IF(  INDEX(警職大表!$A$1:$AZ$100,MATCH($A29,警職大表!$A$1:$A$100,0),   MATCH(K$1,警職大表!$A$3:$AZ$3,0)  )=0,"",INDEX(警職大表!$A$1:$AZ$100,MATCH($A29,警職大表!$A$1:$A$100,0),   MATCH(K$1,警職大表!$A$3:$AZ$3,0)  )        )="",J29,  IF(  INDEX(警職大表!$A$1:$AZ$100,MATCH($A29,警職大表!$A$1:$A$100,0),   MATCH(K$1,警職大表!$A$3:$AZ$3,0)  )=0,"",INDEX(警職大表!$A$1:$AZ$100,MATCH($A29,警職大表!$A$1:$A$100,0),   MATCH(K$1,警職大表!$A$3:$AZ$3,0)  ) )    ),"")</f>
        <v/>
      </c>
      <c r="L29" s="271" t="str">
        <f>_xlfn.IFNA(   IF(   IF(  INDEX(警職大表!$A$1:$AZ$100,MATCH($A29,警職大表!$A$1:$A$100,0),   MATCH(L$1,警職大表!$A$3:$AZ$3,0)  )=0,"",INDEX(警職大表!$A$1:$AZ$100,MATCH($A29,警職大表!$A$1:$A$100,0),   MATCH(L$1,警職大表!$A$3:$AZ$3,0)  )        )="",K29,  IF(  INDEX(警職大表!$A$1:$AZ$100,MATCH($A29,警職大表!$A$1:$A$100,0),   MATCH(L$1,警職大表!$A$3:$AZ$3,0)  )=0,"",INDEX(警職大表!$A$1:$AZ$100,MATCH($A29,警職大表!$A$1:$A$100,0),   MATCH(L$1,警職大表!$A$3:$AZ$3,0)  ) )    ),"")</f>
        <v/>
      </c>
      <c r="M29" s="271" t="str">
        <f>_xlfn.IFNA(   IF(   IF(  INDEX(警職大表!$A$1:$AZ$100,MATCH($A29,警職大表!$A$1:$A$100,0),   MATCH(M$1,警職大表!$A$3:$AZ$3,0)  )=0,"",INDEX(警職大表!$A$1:$AZ$100,MATCH($A29,警職大表!$A$1:$A$100,0),   MATCH(M$1,警職大表!$A$3:$AZ$3,0)  )        )="",L29,  IF(  INDEX(警職大表!$A$1:$AZ$100,MATCH($A29,警職大表!$A$1:$A$100,0),   MATCH(M$1,警職大表!$A$3:$AZ$3,0)  )=0,"",INDEX(警職大表!$A$1:$AZ$100,MATCH($A29,警職大表!$A$1:$A$100,0),   MATCH(M$1,警職大表!$A$3:$AZ$3,0)  ) )    ),"")</f>
        <v/>
      </c>
      <c r="N29" s="271" t="str">
        <f>_xlfn.IFNA(   IF(   IF(  INDEX(警職大表!$A$1:$AZ$100,MATCH($A29,警職大表!$A$1:$A$100,0),   MATCH(N$1,警職大表!$A$3:$AZ$3,0)  )=0,"",INDEX(警職大表!$A$1:$AZ$100,MATCH($A29,警職大表!$A$1:$A$100,0),   MATCH(N$1,警職大表!$A$3:$AZ$3,0)  )        )="",M29,  IF(  INDEX(警職大表!$A$1:$AZ$100,MATCH($A29,警職大表!$A$1:$A$100,0),   MATCH(N$1,警職大表!$A$3:$AZ$3,0)  )=0,"",INDEX(警職大表!$A$1:$AZ$100,MATCH($A29,警職大表!$A$1:$A$100,0),   MATCH(N$1,警職大表!$A$3:$AZ$3,0)  ) )    ),"")</f>
        <v/>
      </c>
      <c r="O29" s="271" t="str">
        <f>_xlfn.IFNA(   IF(   IF(  INDEX(警職大表!$A$1:$AZ$100,MATCH($A29,警職大表!$A$1:$A$100,0),   MATCH(O$1,警職大表!$A$3:$AZ$3,0)  )=0,"",INDEX(警職大表!$A$1:$AZ$100,MATCH($A29,警職大表!$A$1:$A$100,0),   MATCH(O$1,警職大表!$A$3:$AZ$3,0)  )        )="",N29,  IF(  INDEX(警職大表!$A$1:$AZ$100,MATCH($A29,警職大表!$A$1:$A$100,0),   MATCH(O$1,警職大表!$A$3:$AZ$3,0)  )=0,"",INDEX(警職大表!$A$1:$AZ$100,MATCH($A29,警職大表!$A$1:$A$100,0),   MATCH(O$1,警職大表!$A$3:$AZ$3,0)  ) )    ),"")</f>
        <v/>
      </c>
      <c r="P29" s="271" t="str">
        <f>_xlfn.IFNA(   IF(   IF(  INDEX(警職大表!$A$1:$AZ$100,MATCH($A29,警職大表!$A$1:$A$100,0),   MATCH(P$1,警職大表!$A$3:$AZ$3,0)  )=0,"",INDEX(警職大表!$A$1:$AZ$100,MATCH($A29,警職大表!$A$1:$A$100,0),   MATCH(P$1,警職大表!$A$3:$AZ$3,0)  )        )="",O29,  IF(  INDEX(警職大表!$A$1:$AZ$100,MATCH($A29,警職大表!$A$1:$A$100,0),   MATCH(P$1,警職大表!$A$3:$AZ$3,0)  )=0,"",INDEX(警職大表!$A$1:$AZ$100,MATCH($A29,警職大表!$A$1:$A$100,0),   MATCH(P$1,警職大表!$A$3:$AZ$3,0)  ) )    ),"")</f>
        <v/>
      </c>
      <c r="Q29" s="271" t="str">
        <f>_xlfn.IFNA(   IF(   IF(  INDEX(警職大表!$A$1:$AZ$100,MATCH($A29,警職大表!$A$1:$A$100,0),   MATCH(Q$1,警職大表!$A$3:$AZ$3,0)  )=0,"",INDEX(警職大表!$A$1:$AZ$100,MATCH($A29,警職大表!$A$1:$A$100,0),   MATCH(Q$1,警職大表!$A$3:$AZ$3,0)  )        )="",P29,  IF(  INDEX(警職大表!$A$1:$AZ$100,MATCH($A29,警職大表!$A$1:$A$100,0),   MATCH(Q$1,警職大表!$A$3:$AZ$3,0)  )=0,"",INDEX(警職大表!$A$1:$AZ$100,MATCH($A29,警職大表!$A$1:$A$100,0),   MATCH(Q$1,警職大表!$A$3:$AZ$3,0)  ) )    ),"")</f>
        <v/>
      </c>
      <c r="R29" s="271" t="str">
        <f>_xlfn.IFNA(   IF(   IF(  INDEX(警職大表!$A$1:$AZ$100,MATCH($A29,警職大表!$A$1:$A$100,0),   MATCH(R$1,警職大表!$A$3:$AZ$3,0)  )=0,"",INDEX(警職大表!$A$1:$AZ$100,MATCH($A29,警職大表!$A$1:$A$100,0),   MATCH(R$1,警職大表!$A$3:$AZ$3,0)  )        )="",Q29,  IF(  INDEX(警職大表!$A$1:$AZ$100,MATCH($A29,警職大表!$A$1:$A$100,0),   MATCH(R$1,警職大表!$A$3:$AZ$3,0)  )=0,"",INDEX(警職大表!$A$1:$AZ$100,MATCH($A29,警職大表!$A$1:$A$100,0),   MATCH(R$1,警職大表!$A$3:$AZ$3,0)  ) )    ),"")</f>
        <v/>
      </c>
      <c r="S29" s="271" t="str">
        <f>_xlfn.IFNA(   IF(   IF(  INDEX(警職大表!$A$1:$AZ$100,MATCH($A29,警職大表!$A$1:$A$100,0),   MATCH(S$1,警職大表!$A$3:$AZ$3,0)  )=0,"",INDEX(警職大表!$A$1:$AZ$100,MATCH($A29,警職大表!$A$1:$A$100,0),   MATCH(S$1,警職大表!$A$3:$AZ$3,0)  )        )="",R29,  IF(  INDEX(警職大表!$A$1:$AZ$100,MATCH($A29,警職大表!$A$1:$A$100,0),   MATCH(S$1,警職大表!$A$3:$AZ$3,0)  )=0,"",INDEX(警職大表!$A$1:$AZ$100,MATCH($A29,警職大表!$A$1:$A$100,0),   MATCH(S$1,警職大表!$A$3:$AZ$3,0)  ) )    ),"")</f>
        <v/>
      </c>
      <c r="T29" s="271" t="str">
        <f>_xlfn.IFNA(   IF(   IF(  INDEX(警職大表!$A$1:$AZ$100,MATCH($A29,警職大表!$A$1:$A$100,0),   MATCH(T$1,警職大表!$A$3:$AZ$3,0)  )=0,"",INDEX(警職大表!$A$1:$AZ$100,MATCH($A29,警職大表!$A$1:$A$100,0),   MATCH(T$1,警職大表!$A$3:$AZ$3,0)  )        )="",S29,  IF(  INDEX(警職大表!$A$1:$AZ$100,MATCH($A29,警職大表!$A$1:$A$100,0),   MATCH(T$1,警職大表!$A$3:$AZ$3,0)  )=0,"",INDEX(警職大表!$A$1:$AZ$100,MATCH($A29,警職大表!$A$1:$A$100,0),   MATCH(T$1,警職大表!$A$3:$AZ$3,0)  ) )    ),"")</f>
        <v/>
      </c>
      <c r="U29" s="271" t="str">
        <f>_xlfn.IFNA(   IF(   IF(  INDEX(警職大表!$A$1:$AZ$100,MATCH($A29,警職大表!$A$1:$A$100,0),   MATCH(U$1,警職大表!$A$3:$AZ$3,0)  )=0,"",INDEX(警職大表!$A$1:$AZ$100,MATCH($A29,警職大表!$A$1:$A$100,0),   MATCH(U$1,警職大表!$A$3:$AZ$3,0)  )        )="",T29,  IF(  INDEX(警職大表!$A$1:$AZ$100,MATCH($A29,警職大表!$A$1:$A$100,0),   MATCH(U$1,警職大表!$A$3:$AZ$3,0)  )=0,"",INDEX(警職大表!$A$1:$AZ$100,MATCH($A29,警職大表!$A$1:$A$100,0),   MATCH(U$1,警職大表!$A$3:$AZ$3,0)  ) )    ),"")</f>
        <v/>
      </c>
      <c r="V29" s="271" t="str">
        <f>_xlfn.IFNA(   IF(   IF(  INDEX(警職大表!$A$1:$AZ$100,MATCH($A29,警職大表!$A$1:$A$100,0),   MATCH(V$1,警職大表!$A$3:$AZ$3,0)  )=0,"",INDEX(警職大表!$A$1:$AZ$100,MATCH($A29,警職大表!$A$1:$A$100,0),   MATCH(V$1,警職大表!$A$3:$AZ$3,0)  )        )="",U29,  IF(  INDEX(警職大表!$A$1:$AZ$100,MATCH($A29,警職大表!$A$1:$A$100,0),   MATCH(V$1,警職大表!$A$3:$AZ$3,0)  )=0,"",INDEX(警職大表!$A$1:$AZ$100,MATCH($A29,警職大表!$A$1:$A$100,0),   MATCH(V$1,警職大表!$A$3:$AZ$3,0)  ) )    ),"")</f>
        <v/>
      </c>
      <c r="W29" s="271" t="str">
        <f>_xlfn.IFNA(   IF(   IF(  INDEX(警職大表!$A$1:$AZ$100,MATCH($A29,警職大表!$A$1:$A$100,0),   MATCH(W$1,警職大表!$A$3:$AZ$3,0)  )=0,"",INDEX(警職大表!$A$1:$AZ$100,MATCH($A29,警職大表!$A$1:$A$100,0),   MATCH(W$1,警職大表!$A$3:$AZ$3,0)  )        )="",V29,  IF(  INDEX(警職大表!$A$1:$AZ$100,MATCH($A29,警職大表!$A$1:$A$100,0),   MATCH(W$1,警職大表!$A$3:$AZ$3,0)  )=0,"",INDEX(警職大表!$A$1:$AZ$100,MATCH($A29,警職大表!$A$1:$A$100,0),   MATCH(W$1,警職大表!$A$3:$AZ$3,0)  ) )    ),"")</f>
        <v/>
      </c>
      <c r="X29" s="271" t="str">
        <f>_xlfn.IFNA(   IF(   IF(  INDEX(警職大表!$A$1:$AZ$100,MATCH($A29,警職大表!$A$1:$A$100,0),   MATCH(X$1,警職大表!$A$3:$AZ$3,0)  )=0,"",INDEX(警職大表!$A$1:$AZ$100,MATCH($A29,警職大表!$A$1:$A$100,0),   MATCH(X$1,警職大表!$A$3:$AZ$3,0)  )        )="",W29,  IF(  INDEX(警職大表!$A$1:$AZ$100,MATCH($A29,警職大表!$A$1:$A$100,0),   MATCH(X$1,警職大表!$A$3:$AZ$3,0)  )=0,"",INDEX(警職大表!$A$1:$AZ$100,MATCH($A29,警職大表!$A$1:$A$100,0),   MATCH(X$1,警職大表!$A$3:$AZ$3,0)  ) )    ),"")</f>
        <v/>
      </c>
      <c r="Y29" s="271" t="str">
        <f>_xlfn.IFNA(   IF(   IF(  INDEX(警職大表!$A$1:$AZ$100,MATCH($A29,警職大表!$A$1:$A$100,0),   MATCH(Y$1,警職大表!$A$3:$AZ$3,0)  )=0,"",INDEX(警職大表!$A$1:$AZ$100,MATCH($A29,警職大表!$A$1:$A$100,0),   MATCH(Y$1,警職大表!$A$3:$AZ$3,0)  )        )="",X29,  IF(  INDEX(警職大表!$A$1:$AZ$100,MATCH($A29,警職大表!$A$1:$A$100,0),   MATCH(Y$1,警職大表!$A$3:$AZ$3,0)  )=0,"",INDEX(警職大表!$A$1:$AZ$100,MATCH($A29,警職大表!$A$1:$A$100,0),   MATCH(Y$1,警職大表!$A$3:$AZ$3,0)  ) )    ),"")</f>
        <v/>
      </c>
      <c r="Z29" s="271" t="str">
        <f>_xlfn.IFNA(   IF(   IF(  INDEX(警職大表!$A$1:$AZ$100,MATCH($A29,警職大表!$A$1:$A$100,0),   MATCH(Z$1,警職大表!$A$3:$AZ$3,0)  )=0,"",INDEX(警職大表!$A$1:$AZ$100,MATCH($A29,警職大表!$A$1:$A$100,0),   MATCH(Z$1,警職大表!$A$3:$AZ$3,0)  )        )="",Y29,  IF(  INDEX(警職大表!$A$1:$AZ$100,MATCH($A29,警職大表!$A$1:$A$100,0),   MATCH(Z$1,警職大表!$A$3:$AZ$3,0)  )=0,"",INDEX(警職大表!$A$1:$AZ$100,MATCH($A29,警職大表!$A$1:$A$100,0),   MATCH(Z$1,警職大表!$A$3:$AZ$3,0)  ) )    ),"")</f>
        <v/>
      </c>
      <c r="AA29" s="271" t="str">
        <f>_xlfn.IFNA(   IF(   IF(  INDEX(警職大表!$A$1:$AZ$100,MATCH($A29,警職大表!$A$1:$A$100,0),   MATCH(AA$1,警職大表!$A$3:$AZ$3,0)  )=0,"",INDEX(警職大表!$A$1:$AZ$100,MATCH($A29,警職大表!$A$1:$A$100,0),   MATCH(AA$1,警職大表!$A$3:$AZ$3,0)  )        )="",Z29,  IF(  INDEX(警職大表!$A$1:$AZ$100,MATCH($A29,警職大表!$A$1:$A$100,0),   MATCH(AA$1,警職大表!$A$3:$AZ$3,0)  )=0,"",INDEX(警職大表!$A$1:$AZ$100,MATCH($A29,警職大表!$A$1:$A$100,0),   MATCH(AA$1,警職大表!$A$3:$AZ$3,0)  ) )    ),"")</f>
        <v/>
      </c>
      <c r="AB29" s="271" t="str">
        <f>_xlfn.IFNA(   IF(   IF(  INDEX(警職大表!$A$1:$AZ$100,MATCH($A29,警職大表!$A$1:$A$100,0),   MATCH(AB$1,警職大表!$A$3:$AZ$3,0)  )=0,"",INDEX(警職大表!$A$1:$AZ$100,MATCH($A29,警職大表!$A$1:$A$100,0),   MATCH(AB$1,警職大表!$A$3:$AZ$3,0)  )        )="",AA29,  IF(  INDEX(警職大表!$A$1:$AZ$100,MATCH($A29,警職大表!$A$1:$A$100,0),   MATCH(AB$1,警職大表!$A$3:$AZ$3,0)  )=0,"",INDEX(警職大表!$A$1:$AZ$100,MATCH($A29,警職大表!$A$1:$A$100,0),   MATCH(AB$1,警職大表!$A$3:$AZ$3,0)  ) )    ),"")</f>
        <v/>
      </c>
      <c r="AC29" s="271" t="str">
        <f>_xlfn.IFNA(   IF(   IF(  INDEX(警職大表!$A$1:$AZ$100,MATCH($A29,警職大表!$A$1:$A$100,0),   MATCH(AC$1,警職大表!$A$3:$AZ$3,0)  )=0,"",INDEX(警職大表!$A$1:$AZ$100,MATCH($A29,警職大表!$A$1:$A$100,0),   MATCH(AC$1,警職大表!$A$3:$AZ$3,0)  )        )="",AB29,  IF(  INDEX(警職大表!$A$1:$AZ$100,MATCH($A29,警職大表!$A$1:$A$100,0),   MATCH(AC$1,警職大表!$A$3:$AZ$3,0)  )=0,"",INDEX(警職大表!$A$1:$AZ$100,MATCH($A29,警職大表!$A$1:$A$100,0),   MATCH(AC$1,警職大表!$A$3:$AZ$3,0)  ) )    ),"")</f>
        <v/>
      </c>
      <c r="AD29" s="271" t="str">
        <f>_xlfn.IFNA(   IF(   IF(  INDEX(警職大表!$A$1:$AZ$100,MATCH($A29,警職大表!$A$1:$A$100,0),   MATCH(AD$1,警職大表!$A$3:$AZ$3,0)  )=0,"",INDEX(警職大表!$A$1:$AZ$100,MATCH($A29,警職大表!$A$1:$A$100,0),   MATCH(AD$1,警職大表!$A$3:$AZ$3,0)  )        )="",AC29,  IF(  INDEX(警職大表!$A$1:$AZ$100,MATCH($A29,警職大表!$A$1:$A$100,0),   MATCH(AD$1,警職大表!$A$3:$AZ$3,0)  )=0,"",INDEX(警職大表!$A$1:$AZ$100,MATCH($A29,警職大表!$A$1:$A$100,0),   MATCH(AD$1,警職大表!$A$3:$AZ$3,0)  ) )    ),"")</f>
        <v/>
      </c>
      <c r="AE29" s="271" t="str">
        <f>_xlfn.IFNA(   IF(   IF(  INDEX(警職大表!$A$1:$AZ$100,MATCH($A29,警職大表!$A$1:$A$100,0),   MATCH(AE$1,警職大表!$A$3:$AZ$3,0)  )=0,"",INDEX(警職大表!$A$1:$AZ$100,MATCH($A29,警職大表!$A$1:$A$100,0),   MATCH(AE$1,警職大表!$A$3:$AZ$3,0)  )        )="",AD29,  IF(  INDEX(警職大表!$A$1:$AZ$100,MATCH($A29,警職大表!$A$1:$A$100,0),   MATCH(AE$1,警職大表!$A$3:$AZ$3,0)  )=0,"",INDEX(警職大表!$A$1:$AZ$100,MATCH($A29,警職大表!$A$1:$A$100,0),   MATCH(AE$1,警職大表!$A$3:$AZ$3,0)  ) )    ),"")</f>
        <v/>
      </c>
      <c r="AF29" s="271" t="str">
        <f>_xlfn.IFNA(   IF(   IF(  INDEX(警職大表!$A$1:$AZ$100,MATCH($A29,警職大表!$A$1:$A$100,0),   MATCH(AF$1,警職大表!$A$3:$AZ$3,0)  )=0,"",INDEX(警職大表!$A$1:$AZ$100,MATCH($A29,警職大表!$A$1:$A$100,0),   MATCH(AF$1,警職大表!$A$3:$AZ$3,0)  )        )="",AE29,  IF(  INDEX(警職大表!$A$1:$AZ$100,MATCH($A29,警職大表!$A$1:$A$100,0),   MATCH(AF$1,警職大表!$A$3:$AZ$3,0)  )=0,"",INDEX(警職大表!$A$1:$AZ$100,MATCH($A29,警職大表!$A$1:$A$100,0),   MATCH(AF$1,警職大表!$A$3:$AZ$3,0)  ) )    ),"")</f>
        <v/>
      </c>
      <c r="AG29" s="271" t="str">
        <f>_xlfn.IFNA(   IF(   IF(  INDEX(警職大表!$A$1:$AZ$100,MATCH($A29,警職大表!$A$1:$A$100,0),   MATCH(AG$1,警職大表!$A$3:$AZ$3,0)  )=0,"",INDEX(警職大表!$A$1:$AZ$100,MATCH($A29,警職大表!$A$1:$A$100,0),   MATCH(AG$1,警職大表!$A$3:$AZ$3,0)  )        )="",AF29,  IF(  INDEX(警職大表!$A$1:$AZ$100,MATCH($A29,警職大表!$A$1:$A$100,0),   MATCH(AG$1,警職大表!$A$3:$AZ$3,0)  )=0,"",INDEX(警職大表!$A$1:$AZ$100,MATCH($A29,警職大表!$A$1:$A$100,0),   MATCH(AG$1,警職大表!$A$3:$AZ$3,0)  ) )    ),"")</f>
        <v/>
      </c>
      <c r="AL29" s="271" t="str">
        <f t="shared" si="0"/>
        <v/>
      </c>
      <c r="AM29" s="271" t="str">
        <f t="shared" si="1"/>
        <v/>
      </c>
      <c r="AN29" s="271" t="str">
        <f>INDEX(   $A$41:$AG$78, MATCH(AL29,$A$41:$A$78,0),MATCH(  DAY(勤務分配表!$AN$1),$A$41:$AL$41,0  )  )</f>
        <v/>
      </c>
      <c r="AO29" s="271" t="str">
        <f>IF((ROW(AO29)-1)&lt;=日期輸入!$B$5,_xlfn.IFNA(IF(INDEX($A$1:$AG$40,MATCH($AM29,$B$1:$B$100,0),VALUE($AO$1+3))="成","補",INDEX($A$1:$AG$40,MATCH($AM29,$B$1:$B$100,0),VALUE($AO$1+3))),""),"")</f>
        <v/>
      </c>
      <c r="AP29" s="271" t="str">
        <f>IF((ROW(AP29)-1)&lt;=日期輸入!$B$5,_xlfn.IFNA(IF(INDEX($A$1:$AG$40,MATCH($AM29,$B$1:$B$100,0),VALUE($AP$1+3))="成","補",INDEX($A$1:$AG$40,MATCH($AM29,$B$1:$B$100,0),VALUE($AP$1+3))),""),"")</f>
        <v/>
      </c>
      <c r="AQ29" s="271" t="str">
        <f>IF((ROW(AQ29)-1)&lt;=日期輸入!$B$5,_xlfn.IFNA(IF(INDEX($A$1:$AG$40,MATCH($AM29,$B$1:$B$100,0),VALUE($AQ$1+3))="成","補",INDEX($A$1:$AG$40,MATCH($AM29,$B$1:$B$100,0),VALUE($AQ$1+3))),""),"")</f>
        <v/>
      </c>
    </row>
    <row r="30" spans="1:43">
      <c r="A30" s="271" t="str">
        <f>IF(  (ROW(A30)-1)&lt;=日期輸入!$B$5,勤務分配!A30,"")</f>
        <v/>
      </c>
      <c r="B30" s="271" t="str">
        <f>_xlfn.IFNA(  INDEX(警職大表!$A$1:$AZ$100,MATCH(A30,警職大表!$A$1:$A$100,0),3),"")</f>
        <v/>
      </c>
      <c r="C30" s="271" t="str">
        <f>_xlfn.IFNA(  IF(  INDEX(警職大表!$A$1:$AZ$100,MATCH($A30,警職大表!$A$1:$A$100,0),   MATCH(C$1,警職大表!$A$3:$AZ$3,0)  )=0,"",INDEX(警職大表!$A$1:$AZ$100,MATCH($A30,警職大表!$A$1:$A$100,0),   MATCH(C$1,警職大表!$A$3:$AZ$3,0)  )                ),"")</f>
        <v/>
      </c>
      <c r="D30" s="271" t="str">
        <f>_xlfn.IFNA(   IF(   IF(  INDEX(警職大表!$A$1:$AZ$100,MATCH($A30,警職大表!$A$1:$A$100,0),   MATCH(D$1,警職大表!$A$3:$AZ$3,0)  )=0,"",INDEX(警職大表!$A$1:$AZ$100,MATCH($A30,警職大表!$A$1:$A$100,0),   MATCH(D$1,警職大表!$A$3:$AZ$3,0)  )        )="",C30,  IF(  INDEX(警職大表!$A$1:$AZ$100,MATCH($A30,警職大表!$A$1:$A$100,0),   MATCH(D$1,警職大表!$A$3:$AZ$3,0)  )=0,"",INDEX(警職大表!$A$1:$AZ$100,MATCH($A30,警職大表!$A$1:$A$100,0),   MATCH(D$1,警職大表!$A$3:$AZ$3,0)  ) )    ),"")</f>
        <v/>
      </c>
      <c r="E30" s="271" t="str">
        <f>_xlfn.IFNA(   IF(   IF(  INDEX(警職大表!$A$1:$AZ$100,MATCH($A30,警職大表!$A$1:$A$100,0),   MATCH(E$1,警職大表!$A$3:$AZ$3,0)  )=0,"",INDEX(警職大表!$A$1:$AZ$100,MATCH($A30,警職大表!$A$1:$A$100,0),   MATCH(E$1,警職大表!$A$3:$AZ$3,0)  )        )="",D30,  IF(  INDEX(警職大表!$A$1:$AZ$100,MATCH($A30,警職大表!$A$1:$A$100,0),   MATCH(E$1,警職大表!$A$3:$AZ$3,0)  )=0,"",INDEX(警職大表!$A$1:$AZ$100,MATCH($A30,警職大表!$A$1:$A$100,0),   MATCH(E$1,警職大表!$A$3:$AZ$3,0)  ) )    ),"")</f>
        <v/>
      </c>
      <c r="F30" s="271" t="str">
        <f>_xlfn.IFNA(   IF(   IF(  INDEX(警職大表!$A$1:$AZ$100,MATCH($A30,警職大表!$A$1:$A$100,0),   MATCH(F$1,警職大表!$A$3:$AZ$3,0)  )=0,"",INDEX(警職大表!$A$1:$AZ$100,MATCH($A30,警職大表!$A$1:$A$100,0),   MATCH(F$1,警職大表!$A$3:$AZ$3,0)  )        )="",E30,  IF(  INDEX(警職大表!$A$1:$AZ$100,MATCH($A30,警職大表!$A$1:$A$100,0),   MATCH(F$1,警職大表!$A$3:$AZ$3,0)  )=0,"",INDEX(警職大表!$A$1:$AZ$100,MATCH($A30,警職大表!$A$1:$A$100,0),   MATCH(F$1,警職大表!$A$3:$AZ$3,0)  ) )    ),"")</f>
        <v/>
      </c>
      <c r="G30" s="271" t="str">
        <f>_xlfn.IFNA(   IF(   IF(  INDEX(警職大表!$A$1:$AZ$100,MATCH($A30,警職大表!$A$1:$A$100,0),   MATCH(G$1,警職大表!$A$3:$AZ$3,0)  )=0,"",INDEX(警職大表!$A$1:$AZ$100,MATCH($A30,警職大表!$A$1:$A$100,0),   MATCH(G$1,警職大表!$A$3:$AZ$3,0)  )        )="",F30,  IF(  INDEX(警職大表!$A$1:$AZ$100,MATCH($A30,警職大表!$A$1:$A$100,0),   MATCH(G$1,警職大表!$A$3:$AZ$3,0)  )=0,"",INDEX(警職大表!$A$1:$AZ$100,MATCH($A30,警職大表!$A$1:$A$100,0),   MATCH(G$1,警職大表!$A$3:$AZ$3,0)  ) )    ),"")</f>
        <v/>
      </c>
      <c r="H30" s="271" t="str">
        <f>_xlfn.IFNA(   IF(   IF(  INDEX(警職大表!$A$1:$AZ$100,MATCH($A30,警職大表!$A$1:$A$100,0),   MATCH(H$1,警職大表!$A$3:$AZ$3,0)  )=0,"",INDEX(警職大表!$A$1:$AZ$100,MATCH($A30,警職大表!$A$1:$A$100,0),   MATCH(H$1,警職大表!$A$3:$AZ$3,0)  )        )="",G30,  IF(  INDEX(警職大表!$A$1:$AZ$100,MATCH($A30,警職大表!$A$1:$A$100,0),   MATCH(H$1,警職大表!$A$3:$AZ$3,0)  )=0,"",INDEX(警職大表!$A$1:$AZ$100,MATCH($A30,警職大表!$A$1:$A$100,0),   MATCH(H$1,警職大表!$A$3:$AZ$3,0)  ) )    ),"")</f>
        <v/>
      </c>
      <c r="I30" s="271" t="str">
        <f>_xlfn.IFNA(   IF(   IF(  INDEX(警職大表!$A$1:$AZ$100,MATCH($A30,警職大表!$A$1:$A$100,0),   MATCH(I$1,警職大表!$A$3:$AZ$3,0)  )=0,"",INDEX(警職大表!$A$1:$AZ$100,MATCH($A30,警職大表!$A$1:$A$100,0),   MATCH(I$1,警職大表!$A$3:$AZ$3,0)  )        )="",H30,  IF(  INDEX(警職大表!$A$1:$AZ$100,MATCH($A30,警職大表!$A$1:$A$100,0),   MATCH(I$1,警職大表!$A$3:$AZ$3,0)  )=0,"",INDEX(警職大表!$A$1:$AZ$100,MATCH($A30,警職大表!$A$1:$A$100,0),   MATCH(I$1,警職大表!$A$3:$AZ$3,0)  ) )    ),"")</f>
        <v/>
      </c>
      <c r="J30" s="271" t="str">
        <f>_xlfn.IFNA(   IF(   IF(  INDEX(警職大表!$A$1:$AZ$100,MATCH($A30,警職大表!$A$1:$A$100,0),   MATCH(J$1,警職大表!$A$3:$AZ$3,0)  )=0,"",INDEX(警職大表!$A$1:$AZ$100,MATCH($A30,警職大表!$A$1:$A$100,0),   MATCH(J$1,警職大表!$A$3:$AZ$3,0)  )        )="",I30,  IF(  INDEX(警職大表!$A$1:$AZ$100,MATCH($A30,警職大表!$A$1:$A$100,0),   MATCH(J$1,警職大表!$A$3:$AZ$3,0)  )=0,"",INDEX(警職大表!$A$1:$AZ$100,MATCH($A30,警職大表!$A$1:$A$100,0),   MATCH(J$1,警職大表!$A$3:$AZ$3,0)  ) )    ),"")</f>
        <v/>
      </c>
      <c r="K30" s="271" t="str">
        <f>_xlfn.IFNA(   IF(   IF(  INDEX(警職大表!$A$1:$AZ$100,MATCH($A30,警職大表!$A$1:$A$100,0),   MATCH(K$1,警職大表!$A$3:$AZ$3,0)  )=0,"",INDEX(警職大表!$A$1:$AZ$100,MATCH($A30,警職大表!$A$1:$A$100,0),   MATCH(K$1,警職大表!$A$3:$AZ$3,0)  )        )="",J30,  IF(  INDEX(警職大表!$A$1:$AZ$100,MATCH($A30,警職大表!$A$1:$A$100,0),   MATCH(K$1,警職大表!$A$3:$AZ$3,0)  )=0,"",INDEX(警職大表!$A$1:$AZ$100,MATCH($A30,警職大表!$A$1:$A$100,0),   MATCH(K$1,警職大表!$A$3:$AZ$3,0)  ) )    ),"")</f>
        <v/>
      </c>
      <c r="L30" s="271" t="str">
        <f>_xlfn.IFNA(   IF(   IF(  INDEX(警職大表!$A$1:$AZ$100,MATCH($A30,警職大表!$A$1:$A$100,0),   MATCH(L$1,警職大表!$A$3:$AZ$3,0)  )=0,"",INDEX(警職大表!$A$1:$AZ$100,MATCH($A30,警職大表!$A$1:$A$100,0),   MATCH(L$1,警職大表!$A$3:$AZ$3,0)  )        )="",K30,  IF(  INDEX(警職大表!$A$1:$AZ$100,MATCH($A30,警職大表!$A$1:$A$100,0),   MATCH(L$1,警職大表!$A$3:$AZ$3,0)  )=0,"",INDEX(警職大表!$A$1:$AZ$100,MATCH($A30,警職大表!$A$1:$A$100,0),   MATCH(L$1,警職大表!$A$3:$AZ$3,0)  ) )    ),"")</f>
        <v/>
      </c>
      <c r="M30" s="271" t="str">
        <f>_xlfn.IFNA(   IF(   IF(  INDEX(警職大表!$A$1:$AZ$100,MATCH($A30,警職大表!$A$1:$A$100,0),   MATCH(M$1,警職大表!$A$3:$AZ$3,0)  )=0,"",INDEX(警職大表!$A$1:$AZ$100,MATCH($A30,警職大表!$A$1:$A$100,0),   MATCH(M$1,警職大表!$A$3:$AZ$3,0)  )        )="",L30,  IF(  INDEX(警職大表!$A$1:$AZ$100,MATCH($A30,警職大表!$A$1:$A$100,0),   MATCH(M$1,警職大表!$A$3:$AZ$3,0)  )=0,"",INDEX(警職大表!$A$1:$AZ$100,MATCH($A30,警職大表!$A$1:$A$100,0),   MATCH(M$1,警職大表!$A$3:$AZ$3,0)  ) )    ),"")</f>
        <v/>
      </c>
      <c r="N30" s="271" t="str">
        <f>_xlfn.IFNA(   IF(   IF(  INDEX(警職大表!$A$1:$AZ$100,MATCH($A30,警職大表!$A$1:$A$100,0),   MATCH(N$1,警職大表!$A$3:$AZ$3,0)  )=0,"",INDEX(警職大表!$A$1:$AZ$100,MATCH($A30,警職大表!$A$1:$A$100,0),   MATCH(N$1,警職大表!$A$3:$AZ$3,0)  )        )="",M30,  IF(  INDEX(警職大表!$A$1:$AZ$100,MATCH($A30,警職大表!$A$1:$A$100,0),   MATCH(N$1,警職大表!$A$3:$AZ$3,0)  )=0,"",INDEX(警職大表!$A$1:$AZ$100,MATCH($A30,警職大表!$A$1:$A$100,0),   MATCH(N$1,警職大表!$A$3:$AZ$3,0)  ) )    ),"")</f>
        <v/>
      </c>
      <c r="O30" s="271" t="str">
        <f>_xlfn.IFNA(   IF(   IF(  INDEX(警職大表!$A$1:$AZ$100,MATCH($A30,警職大表!$A$1:$A$100,0),   MATCH(O$1,警職大表!$A$3:$AZ$3,0)  )=0,"",INDEX(警職大表!$A$1:$AZ$100,MATCH($A30,警職大表!$A$1:$A$100,0),   MATCH(O$1,警職大表!$A$3:$AZ$3,0)  )        )="",N30,  IF(  INDEX(警職大表!$A$1:$AZ$100,MATCH($A30,警職大表!$A$1:$A$100,0),   MATCH(O$1,警職大表!$A$3:$AZ$3,0)  )=0,"",INDEX(警職大表!$A$1:$AZ$100,MATCH($A30,警職大表!$A$1:$A$100,0),   MATCH(O$1,警職大表!$A$3:$AZ$3,0)  ) )    ),"")</f>
        <v/>
      </c>
      <c r="P30" s="271" t="str">
        <f>_xlfn.IFNA(   IF(   IF(  INDEX(警職大表!$A$1:$AZ$100,MATCH($A30,警職大表!$A$1:$A$100,0),   MATCH(P$1,警職大表!$A$3:$AZ$3,0)  )=0,"",INDEX(警職大表!$A$1:$AZ$100,MATCH($A30,警職大表!$A$1:$A$100,0),   MATCH(P$1,警職大表!$A$3:$AZ$3,0)  )        )="",O30,  IF(  INDEX(警職大表!$A$1:$AZ$100,MATCH($A30,警職大表!$A$1:$A$100,0),   MATCH(P$1,警職大表!$A$3:$AZ$3,0)  )=0,"",INDEX(警職大表!$A$1:$AZ$100,MATCH($A30,警職大表!$A$1:$A$100,0),   MATCH(P$1,警職大表!$A$3:$AZ$3,0)  ) )    ),"")</f>
        <v/>
      </c>
      <c r="Q30" s="271" t="str">
        <f>_xlfn.IFNA(   IF(   IF(  INDEX(警職大表!$A$1:$AZ$100,MATCH($A30,警職大表!$A$1:$A$100,0),   MATCH(Q$1,警職大表!$A$3:$AZ$3,0)  )=0,"",INDEX(警職大表!$A$1:$AZ$100,MATCH($A30,警職大表!$A$1:$A$100,0),   MATCH(Q$1,警職大表!$A$3:$AZ$3,0)  )        )="",P30,  IF(  INDEX(警職大表!$A$1:$AZ$100,MATCH($A30,警職大表!$A$1:$A$100,0),   MATCH(Q$1,警職大表!$A$3:$AZ$3,0)  )=0,"",INDEX(警職大表!$A$1:$AZ$100,MATCH($A30,警職大表!$A$1:$A$100,0),   MATCH(Q$1,警職大表!$A$3:$AZ$3,0)  ) )    ),"")</f>
        <v/>
      </c>
      <c r="R30" s="271" t="str">
        <f>_xlfn.IFNA(   IF(   IF(  INDEX(警職大表!$A$1:$AZ$100,MATCH($A30,警職大表!$A$1:$A$100,0),   MATCH(R$1,警職大表!$A$3:$AZ$3,0)  )=0,"",INDEX(警職大表!$A$1:$AZ$100,MATCH($A30,警職大表!$A$1:$A$100,0),   MATCH(R$1,警職大表!$A$3:$AZ$3,0)  )        )="",Q30,  IF(  INDEX(警職大表!$A$1:$AZ$100,MATCH($A30,警職大表!$A$1:$A$100,0),   MATCH(R$1,警職大表!$A$3:$AZ$3,0)  )=0,"",INDEX(警職大表!$A$1:$AZ$100,MATCH($A30,警職大表!$A$1:$A$100,0),   MATCH(R$1,警職大表!$A$3:$AZ$3,0)  ) )    ),"")</f>
        <v/>
      </c>
      <c r="S30" s="271" t="str">
        <f>_xlfn.IFNA(   IF(   IF(  INDEX(警職大表!$A$1:$AZ$100,MATCH($A30,警職大表!$A$1:$A$100,0),   MATCH(S$1,警職大表!$A$3:$AZ$3,0)  )=0,"",INDEX(警職大表!$A$1:$AZ$100,MATCH($A30,警職大表!$A$1:$A$100,0),   MATCH(S$1,警職大表!$A$3:$AZ$3,0)  )        )="",R30,  IF(  INDEX(警職大表!$A$1:$AZ$100,MATCH($A30,警職大表!$A$1:$A$100,0),   MATCH(S$1,警職大表!$A$3:$AZ$3,0)  )=0,"",INDEX(警職大表!$A$1:$AZ$100,MATCH($A30,警職大表!$A$1:$A$100,0),   MATCH(S$1,警職大表!$A$3:$AZ$3,0)  ) )    ),"")</f>
        <v/>
      </c>
      <c r="T30" s="271" t="str">
        <f>_xlfn.IFNA(   IF(   IF(  INDEX(警職大表!$A$1:$AZ$100,MATCH($A30,警職大表!$A$1:$A$100,0),   MATCH(T$1,警職大表!$A$3:$AZ$3,0)  )=0,"",INDEX(警職大表!$A$1:$AZ$100,MATCH($A30,警職大表!$A$1:$A$100,0),   MATCH(T$1,警職大表!$A$3:$AZ$3,0)  )        )="",S30,  IF(  INDEX(警職大表!$A$1:$AZ$100,MATCH($A30,警職大表!$A$1:$A$100,0),   MATCH(T$1,警職大表!$A$3:$AZ$3,0)  )=0,"",INDEX(警職大表!$A$1:$AZ$100,MATCH($A30,警職大表!$A$1:$A$100,0),   MATCH(T$1,警職大表!$A$3:$AZ$3,0)  ) )    ),"")</f>
        <v/>
      </c>
      <c r="U30" s="271" t="str">
        <f>_xlfn.IFNA(   IF(   IF(  INDEX(警職大表!$A$1:$AZ$100,MATCH($A30,警職大表!$A$1:$A$100,0),   MATCH(U$1,警職大表!$A$3:$AZ$3,0)  )=0,"",INDEX(警職大表!$A$1:$AZ$100,MATCH($A30,警職大表!$A$1:$A$100,0),   MATCH(U$1,警職大表!$A$3:$AZ$3,0)  )        )="",T30,  IF(  INDEX(警職大表!$A$1:$AZ$100,MATCH($A30,警職大表!$A$1:$A$100,0),   MATCH(U$1,警職大表!$A$3:$AZ$3,0)  )=0,"",INDEX(警職大表!$A$1:$AZ$100,MATCH($A30,警職大表!$A$1:$A$100,0),   MATCH(U$1,警職大表!$A$3:$AZ$3,0)  ) )    ),"")</f>
        <v/>
      </c>
      <c r="V30" s="271" t="str">
        <f>_xlfn.IFNA(   IF(   IF(  INDEX(警職大表!$A$1:$AZ$100,MATCH($A30,警職大表!$A$1:$A$100,0),   MATCH(V$1,警職大表!$A$3:$AZ$3,0)  )=0,"",INDEX(警職大表!$A$1:$AZ$100,MATCH($A30,警職大表!$A$1:$A$100,0),   MATCH(V$1,警職大表!$A$3:$AZ$3,0)  )        )="",U30,  IF(  INDEX(警職大表!$A$1:$AZ$100,MATCH($A30,警職大表!$A$1:$A$100,0),   MATCH(V$1,警職大表!$A$3:$AZ$3,0)  )=0,"",INDEX(警職大表!$A$1:$AZ$100,MATCH($A30,警職大表!$A$1:$A$100,0),   MATCH(V$1,警職大表!$A$3:$AZ$3,0)  ) )    ),"")</f>
        <v/>
      </c>
      <c r="W30" s="271" t="str">
        <f>_xlfn.IFNA(   IF(   IF(  INDEX(警職大表!$A$1:$AZ$100,MATCH($A30,警職大表!$A$1:$A$100,0),   MATCH(W$1,警職大表!$A$3:$AZ$3,0)  )=0,"",INDEX(警職大表!$A$1:$AZ$100,MATCH($A30,警職大表!$A$1:$A$100,0),   MATCH(W$1,警職大表!$A$3:$AZ$3,0)  )        )="",V30,  IF(  INDEX(警職大表!$A$1:$AZ$100,MATCH($A30,警職大表!$A$1:$A$100,0),   MATCH(W$1,警職大表!$A$3:$AZ$3,0)  )=0,"",INDEX(警職大表!$A$1:$AZ$100,MATCH($A30,警職大表!$A$1:$A$100,0),   MATCH(W$1,警職大表!$A$3:$AZ$3,0)  ) )    ),"")</f>
        <v/>
      </c>
      <c r="X30" s="271" t="str">
        <f>_xlfn.IFNA(   IF(   IF(  INDEX(警職大表!$A$1:$AZ$100,MATCH($A30,警職大表!$A$1:$A$100,0),   MATCH(X$1,警職大表!$A$3:$AZ$3,0)  )=0,"",INDEX(警職大表!$A$1:$AZ$100,MATCH($A30,警職大表!$A$1:$A$100,0),   MATCH(X$1,警職大表!$A$3:$AZ$3,0)  )        )="",W30,  IF(  INDEX(警職大表!$A$1:$AZ$100,MATCH($A30,警職大表!$A$1:$A$100,0),   MATCH(X$1,警職大表!$A$3:$AZ$3,0)  )=0,"",INDEX(警職大表!$A$1:$AZ$100,MATCH($A30,警職大表!$A$1:$A$100,0),   MATCH(X$1,警職大表!$A$3:$AZ$3,0)  ) )    ),"")</f>
        <v/>
      </c>
      <c r="Y30" s="271" t="str">
        <f>_xlfn.IFNA(   IF(   IF(  INDEX(警職大表!$A$1:$AZ$100,MATCH($A30,警職大表!$A$1:$A$100,0),   MATCH(Y$1,警職大表!$A$3:$AZ$3,0)  )=0,"",INDEX(警職大表!$A$1:$AZ$100,MATCH($A30,警職大表!$A$1:$A$100,0),   MATCH(Y$1,警職大表!$A$3:$AZ$3,0)  )        )="",X30,  IF(  INDEX(警職大表!$A$1:$AZ$100,MATCH($A30,警職大表!$A$1:$A$100,0),   MATCH(Y$1,警職大表!$A$3:$AZ$3,0)  )=0,"",INDEX(警職大表!$A$1:$AZ$100,MATCH($A30,警職大表!$A$1:$A$100,0),   MATCH(Y$1,警職大表!$A$3:$AZ$3,0)  ) )    ),"")</f>
        <v/>
      </c>
      <c r="Z30" s="271" t="str">
        <f>_xlfn.IFNA(   IF(   IF(  INDEX(警職大表!$A$1:$AZ$100,MATCH($A30,警職大表!$A$1:$A$100,0),   MATCH(Z$1,警職大表!$A$3:$AZ$3,0)  )=0,"",INDEX(警職大表!$A$1:$AZ$100,MATCH($A30,警職大表!$A$1:$A$100,0),   MATCH(Z$1,警職大表!$A$3:$AZ$3,0)  )        )="",Y30,  IF(  INDEX(警職大表!$A$1:$AZ$100,MATCH($A30,警職大表!$A$1:$A$100,0),   MATCH(Z$1,警職大表!$A$3:$AZ$3,0)  )=0,"",INDEX(警職大表!$A$1:$AZ$100,MATCH($A30,警職大表!$A$1:$A$100,0),   MATCH(Z$1,警職大表!$A$3:$AZ$3,0)  ) )    ),"")</f>
        <v/>
      </c>
      <c r="AA30" s="271" t="str">
        <f>_xlfn.IFNA(   IF(   IF(  INDEX(警職大表!$A$1:$AZ$100,MATCH($A30,警職大表!$A$1:$A$100,0),   MATCH(AA$1,警職大表!$A$3:$AZ$3,0)  )=0,"",INDEX(警職大表!$A$1:$AZ$100,MATCH($A30,警職大表!$A$1:$A$100,0),   MATCH(AA$1,警職大表!$A$3:$AZ$3,0)  )        )="",Z30,  IF(  INDEX(警職大表!$A$1:$AZ$100,MATCH($A30,警職大表!$A$1:$A$100,0),   MATCH(AA$1,警職大表!$A$3:$AZ$3,0)  )=0,"",INDEX(警職大表!$A$1:$AZ$100,MATCH($A30,警職大表!$A$1:$A$100,0),   MATCH(AA$1,警職大表!$A$3:$AZ$3,0)  ) )    ),"")</f>
        <v/>
      </c>
      <c r="AB30" s="271" t="str">
        <f>_xlfn.IFNA(   IF(   IF(  INDEX(警職大表!$A$1:$AZ$100,MATCH($A30,警職大表!$A$1:$A$100,0),   MATCH(AB$1,警職大表!$A$3:$AZ$3,0)  )=0,"",INDEX(警職大表!$A$1:$AZ$100,MATCH($A30,警職大表!$A$1:$A$100,0),   MATCH(AB$1,警職大表!$A$3:$AZ$3,0)  )        )="",AA30,  IF(  INDEX(警職大表!$A$1:$AZ$100,MATCH($A30,警職大表!$A$1:$A$100,0),   MATCH(AB$1,警職大表!$A$3:$AZ$3,0)  )=0,"",INDEX(警職大表!$A$1:$AZ$100,MATCH($A30,警職大表!$A$1:$A$100,0),   MATCH(AB$1,警職大表!$A$3:$AZ$3,0)  ) )    ),"")</f>
        <v/>
      </c>
      <c r="AC30" s="271" t="str">
        <f>_xlfn.IFNA(   IF(   IF(  INDEX(警職大表!$A$1:$AZ$100,MATCH($A30,警職大表!$A$1:$A$100,0),   MATCH(AC$1,警職大表!$A$3:$AZ$3,0)  )=0,"",INDEX(警職大表!$A$1:$AZ$100,MATCH($A30,警職大表!$A$1:$A$100,0),   MATCH(AC$1,警職大表!$A$3:$AZ$3,0)  )        )="",AB30,  IF(  INDEX(警職大表!$A$1:$AZ$100,MATCH($A30,警職大表!$A$1:$A$100,0),   MATCH(AC$1,警職大表!$A$3:$AZ$3,0)  )=0,"",INDEX(警職大表!$A$1:$AZ$100,MATCH($A30,警職大表!$A$1:$A$100,0),   MATCH(AC$1,警職大表!$A$3:$AZ$3,0)  ) )    ),"")</f>
        <v/>
      </c>
      <c r="AD30" s="271" t="str">
        <f>_xlfn.IFNA(   IF(   IF(  INDEX(警職大表!$A$1:$AZ$100,MATCH($A30,警職大表!$A$1:$A$100,0),   MATCH(AD$1,警職大表!$A$3:$AZ$3,0)  )=0,"",INDEX(警職大表!$A$1:$AZ$100,MATCH($A30,警職大表!$A$1:$A$100,0),   MATCH(AD$1,警職大表!$A$3:$AZ$3,0)  )        )="",AC30,  IF(  INDEX(警職大表!$A$1:$AZ$100,MATCH($A30,警職大表!$A$1:$A$100,0),   MATCH(AD$1,警職大表!$A$3:$AZ$3,0)  )=0,"",INDEX(警職大表!$A$1:$AZ$100,MATCH($A30,警職大表!$A$1:$A$100,0),   MATCH(AD$1,警職大表!$A$3:$AZ$3,0)  ) )    ),"")</f>
        <v/>
      </c>
      <c r="AE30" s="271" t="str">
        <f>_xlfn.IFNA(   IF(   IF(  INDEX(警職大表!$A$1:$AZ$100,MATCH($A30,警職大表!$A$1:$A$100,0),   MATCH(AE$1,警職大表!$A$3:$AZ$3,0)  )=0,"",INDEX(警職大表!$A$1:$AZ$100,MATCH($A30,警職大表!$A$1:$A$100,0),   MATCH(AE$1,警職大表!$A$3:$AZ$3,0)  )        )="",AD30,  IF(  INDEX(警職大表!$A$1:$AZ$100,MATCH($A30,警職大表!$A$1:$A$100,0),   MATCH(AE$1,警職大表!$A$3:$AZ$3,0)  )=0,"",INDEX(警職大表!$A$1:$AZ$100,MATCH($A30,警職大表!$A$1:$A$100,0),   MATCH(AE$1,警職大表!$A$3:$AZ$3,0)  ) )    ),"")</f>
        <v/>
      </c>
      <c r="AF30" s="271" t="str">
        <f>_xlfn.IFNA(   IF(   IF(  INDEX(警職大表!$A$1:$AZ$100,MATCH($A30,警職大表!$A$1:$A$100,0),   MATCH(AF$1,警職大表!$A$3:$AZ$3,0)  )=0,"",INDEX(警職大表!$A$1:$AZ$100,MATCH($A30,警職大表!$A$1:$A$100,0),   MATCH(AF$1,警職大表!$A$3:$AZ$3,0)  )        )="",AE30,  IF(  INDEX(警職大表!$A$1:$AZ$100,MATCH($A30,警職大表!$A$1:$A$100,0),   MATCH(AF$1,警職大表!$A$3:$AZ$3,0)  )=0,"",INDEX(警職大表!$A$1:$AZ$100,MATCH($A30,警職大表!$A$1:$A$100,0),   MATCH(AF$1,警職大表!$A$3:$AZ$3,0)  ) )    ),"")</f>
        <v/>
      </c>
      <c r="AG30" s="271" t="str">
        <f>_xlfn.IFNA(   IF(   IF(  INDEX(警職大表!$A$1:$AZ$100,MATCH($A30,警職大表!$A$1:$A$100,0),   MATCH(AG$1,警職大表!$A$3:$AZ$3,0)  )=0,"",INDEX(警職大表!$A$1:$AZ$100,MATCH($A30,警職大表!$A$1:$A$100,0),   MATCH(AG$1,警職大表!$A$3:$AZ$3,0)  )        )="",AF30,  IF(  INDEX(警職大表!$A$1:$AZ$100,MATCH($A30,警職大表!$A$1:$A$100,0),   MATCH(AG$1,警職大表!$A$3:$AZ$3,0)  )=0,"",INDEX(警職大表!$A$1:$AZ$100,MATCH($A30,警職大表!$A$1:$A$100,0),   MATCH(AG$1,警職大表!$A$3:$AZ$3,0)  ) )    ),"")</f>
        <v/>
      </c>
      <c r="AL30" s="271" t="str">
        <f t="shared" si="0"/>
        <v/>
      </c>
      <c r="AM30" s="271" t="str">
        <f t="shared" si="1"/>
        <v/>
      </c>
      <c r="AN30" s="271" t="str">
        <f>INDEX(   $A$41:$AG$78, MATCH(AL30,$A$41:$A$78,0),MATCH(  DAY(勤務分配表!$AN$1),$A$41:$AL$41,0  )  )</f>
        <v/>
      </c>
      <c r="AO30" s="271" t="str">
        <f>IF((ROW(AO30)-1)&lt;=日期輸入!$B$5,_xlfn.IFNA(IF(INDEX($A$1:$AG$40,MATCH($AM30,$B$1:$B$100,0),VALUE($AO$1+3))="成","補",INDEX($A$1:$AG$40,MATCH($AM30,$B$1:$B$100,0),VALUE($AO$1+3))),""),"")</f>
        <v/>
      </c>
      <c r="AP30" s="271" t="str">
        <f>IF((ROW(AP30)-1)&lt;=日期輸入!$B$5,_xlfn.IFNA(IF(INDEX($A$1:$AG$40,MATCH($AM30,$B$1:$B$100,0),VALUE($AP$1+3))="成","補",INDEX($A$1:$AG$40,MATCH($AM30,$B$1:$B$100,0),VALUE($AP$1+3))),""),"")</f>
        <v/>
      </c>
      <c r="AQ30" s="271" t="str">
        <f>IF((ROW(AQ30)-1)&lt;=日期輸入!$B$5,_xlfn.IFNA(IF(INDEX($A$1:$AG$40,MATCH($AM30,$B$1:$B$100,0),VALUE($AQ$1+3))="成","補",INDEX($A$1:$AG$40,MATCH($AM30,$B$1:$B$100,0),VALUE($AQ$1+3))),""),"")</f>
        <v/>
      </c>
    </row>
    <row r="31" spans="1:43">
      <c r="A31" s="271" t="str">
        <f>IF(  (ROW(A31)-1)&lt;=日期輸入!$B$5,勤務分配!A31,"")</f>
        <v/>
      </c>
      <c r="B31" s="271" t="str">
        <f>_xlfn.IFNA(  INDEX(警職大表!$A$1:$AZ$100,MATCH(A31,警職大表!$A$1:$A$100,0),3),"")</f>
        <v/>
      </c>
      <c r="C31" s="271" t="str">
        <f>_xlfn.IFNA(  IF(  INDEX(警職大表!$A$1:$AZ$100,MATCH($A31,警職大表!$A$1:$A$100,0),   MATCH(C$1,警職大表!$A$3:$AZ$3,0)  )=0,"",INDEX(警職大表!$A$1:$AZ$100,MATCH($A31,警職大表!$A$1:$A$100,0),   MATCH(C$1,警職大表!$A$3:$AZ$3,0)  )                ),"")</f>
        <v/>
      </c>
      <c r="D31" s="271" t="str">
        <f>_xlfn.IFNA(   IF(   IF(  INDEX(警職大表!$A$1:$AZ$100,MATCH($A31,警職大表!$A$1:$A$100,0),   MATCH(D$1,警職大表!$A$3:$AZ$3,0)  )=0,"",INDEX(警職大表!$A$1:$AZ$100,MATCH($A31,警職大表!$A$1:$A$100,0),   MATCH(D$1,警職大表!$A$3:$AZ$3,0)  )        )="",C31,  IF(  INDEX(警職大表!$A$1:$AZ$100,MATCH($A31,警職大表!$A$1:$A$100,0),   MATCH(D$1,警職大表!$A$3:$AZ$3,0)  )=0,"",INDEX(警職大表!$A$1:$AZ$100,MATCH($A31,警職大表!$A$1:$A$100,0),   MATCH(D$1,警職大表!$A$3:$AZ$3,0)  ) )    ),"")</f>
        <v/>
      </c>
      <c r="E31" s="271" t="str">
        <f>_xlfn.IFNA(   IF(   IF(  INDEX(警職大表!$A$1:$AZ$100,MATCH($A31,警職大表!$A$1:$A$100,0),   MATCH(E$1,警職大表!$A$3:$AZ$3,0)  )=0,"",INDEX(警職大表!$A$1:$AZ$100,MATCH($A31,警職大表!$A$1:$A$100,0),   MATCH(E$1,警職大表!$A$3:$AZ$3,0)  )        )="",D31,  IF(  INDEX(警職大表!$A$1:$AZ$100,MATCH($A31,警職大表!$A$1:$A$100,0),   MATCH(E$1,警職大表!$A$3:$AZ$3,0)  )=0,"",INDEX(警職大表!$A$1:$AZ$100,MATCH($A31,警職大表!$A$1:$A$100,0),   MATCH(E$1,警職大表!$A$3:$AZ$3,0)  ) )    ),"")</f>
        <v/>
      </c>
      <c r="F31" s="271" t="str">
        <f>_xlfn.IFNA(   IF(   IF(  INDEX(警職大表!$A$1:$AZ$100,MATCH($A31,警職大表!$A$1:$A$100,0),   MATCH(F$1,警職大表!$A$3:$AZ$3,0)  )=0,"",INDEX(警職大表!$A$1:$AZ$100,MATCH($A31,警職大表!$A$1:$A$100,0),   MATCH(F$1,警職大表!$A$3:$AZ$3,0)  )        )="",E31,  IF(  INDEX(警職大表!$A$1:$AZ$100,MATCH($A31,警職大表!$A$1:$A$100,0),   MATCH(F$1,警職大表!$A$3:$AZ$3,0)  )=0,"",INDEX(警職大表!$A$1:$AZ$100,MATCH($A31,警職大表!$A$1:$A$100,0),   MATCH(F$1,警職大表!$A$3:$AZ$3,0)  ) )    ),"")</f>
        <v/>
      </c>
      <c r="G31" s="271" t="str">
        <f>_xlfn.IFNA(   IF(   IF(  INDEX(警職大表!$A$1:$AZ$100,MATCH($A31,警職大表!$A$1:$A$100,0),   MATCH(G$1,警職大表!$A$3:$AZ$3,0)  )=0,"",INDEX(警職大表!$A$1:$AZ$100,MATCH($A31,警職大表!$A$1:$A$100,0),   MATCH(G$1,警職大表!$A$3:$AZ$3,0)  )        )="",F31,  IF(  INDEX(警職大表!$A$1:$AZ$100,MATCH($A31,警職大表!$A$1:$A$100,0),   MATCH(G$1,警職大表!$A$3:$AZ$3,0)  )=0,"",INDEX(警職大表!$A$1:$AZ$100,MATCH($A31,警職大表!$A$1:$A$100,0),   MATCH(G$1,警職大表!$A$3:$AZ$3,0)  ) )    ),"")</f>
        <v/>
      </c>
      <c r="H31" s="271" t="str">
        <f>_xlfn.IFNA(   IF(   IF(  INDEX(警職大表!$A$1:$AZ$100,MATCH($A31,警職大表!$A$1:$A$100,0),   MATCH(H$1,警職大表!$A$3:$AZ$3,0)  )=0,"",INDEX(警職大表!$A$1:$AZ$100,MATCH($A31,警職大表!$A$1:$A$100,0),   MATCH(H$1,警職大表!$A$3:$AZ$3,0)  )        )="",G31,  IF(  INDEX(警職大表!$A$1:$AZ$100,MATCH($A31,警職大表!$A$1:$A$100,0),   MATCH(H$1,警職大表!$A$3:$AZ$3,0)  )=0,"",INDEX(警職大表!$A$1:$AZ$100,MATCH($A31,警職大表!$A$1:$A$100,0),   MATCH(H$1,警職大表!$A$3:$AZ$3,0)  ) )    ),"")</f>
        <v/>
      </c>
      <c r="I31" s="271" t="str">
        <f>_xlfn.IFNA(   IF(   IF(  INDEX(警職大表!$A$1:$AZ$100,MATCH($A31,警職大表!$A$1:$A$100,0),   MATCH(I$1,警職大表!$A$3:$AZ$3,0)  )=0,"",INDEX(警職大表!$A$1:$AZ$100,MATCH($A31,警職大表!$A$1:$A$100,0),   MATCH(I$1,警職大表!$A$3:$AZ$3,0)  )        )="",H31,  IF(  INDEX(警職大表!$A$1:$AZ$100,MATCH($A31,警職大表!$A$1:$A$100,0),   MATCH(I$1,警職大表!$A$3:$AZ$3,0)  )=0,"",INDEX(警職大表!$A$1:$AZ$100,MATCH($A31,警職大表!$A$1:$A$100,0),   MATCH(I$1,警職大表!$A$3:$AZ$3,0)  ) )    ),"")</f>
        <v/>
      </c>
      <c r="J31" s="271" t="str">
        <f>_xlfn.IFNA(   IF(   IF(  INDEX(警職大表!$A$1:$AZ$100,MATCH($A31,警職大表!$A$1:$A$100,0),   MATCH(J$1,警職大表!$A$3:$AZ$3,0)  )=0,"",INDEX(警職大表!$A$1:$AZ$100,MATCH($A31,警職大表!$A$1:$A$100,0),   MATCH(J$1,警職大表!$A$3:$AZ$3,0)  )        )="",I31,  IF(  INDEX(警職大表!$A$1:$AZ$100,MATCH($A31,警職大表!$A$1:$A$100,0),   MATCH(J$1,警職大表!$A$3:$AZ$3,0)  )=0,"",INDEX(警職大表!$A$1:$AZ$100,MATCH($A31,警職大表!$A$1:$A$100,0),   MATCH(J$1,警職大表!$A$3:$AZ$3,0)  ) )    ),"")</f>
        <v/>
      </c>
      <c r="K31" s="271" t="str">
        <f>_xlfn.IFNA(   IF(   IF(  INDEX(警職大表!$A$1:$AZ$100,MATCH($A31,警職大表!$A$1:$A$100,0),   MATCH(K$1,警職大表!$A$3:$AZ$3,0)  )=0,"",INDEX(警職大表!$A$1:$AZ$100,MATCH($A31,警職大表!$A$1:$A$100,0),   MATCH(K$1,警職大表!$A$3:$AZ$3,0)  )        )="",J31,  IF(  INDEX(警職大表!$A$1:$AZ$100,MATCH($A31,警職大表!$A$1:$A$100,0),   MATCH(K$1,警職大表!$A$3:$AZ$3,0)  )=0,"",INDEX(警職大表!$A$1:$AZ$100,MATCH($A31,警職大表!$A$1:$A$100,0),   MATCH(K$1,警職大表!$A$3:$AZ$3,0)  ) )    ),"")</f>
        <v/>
      </c>
      <c r="L31" s="271" t="str">
        <f>_xlfn.IFNA(   IF(   IF(  INDEX(警職大表!$A$1:$AZ$100,MATCH($A31,警職大表!$A$1:$A$100,0),   MATCH(L$1,警職大表!$A$3:$AZ$3,0)  )=0,"",INDEX(警職大表!$A$1:$AZ$100,MATCH($A31,警職大表!$A$1:$A$100,0),   MATCH(L$1,警職大表!$A$3:$AZ$3,0)  )        )="",K31,  IF(  INDEX(警職大表!$A$1:$AZ$100,MATCH($A31,警職大表!$A$1:$A$100,0),   MATCH(L$1,警職大表!$A$3:$AZ$3,0)  )=0,"",INDEX(警職大表!$A$1:$AZ$100,MATCH($A31,警職大表!$A$1:$A$100,0),   MATCH(L$1,警職大表!$A$3:$AZ$3,0)  ) )    ),"")</f>
        <v/>
      </c>
      <c r="M31" s="271" t="str">
        <f>_xlfn.IFNA(   IF(   IF(  INDEX(警職大表!$A$1:$AZ$100,MATCH($A31,警職大表!$A$1:$A$100,0),   MATCH(M$1,警職大表!$A$3:$AZ$3,0)  )=0,"",INDEX(警職大表!$A$1:$AZ$100,MATCH($A31,警職大表!$A$1:$A$100,0),   MATCH(M$1,警職大表!$A$3:$AZ$3,0)  )        )="",L31,  IF(  INDEX(警職大表!$A$1:$AZ$100,MATCH($A31,警職大表!$A$1:$A$100,0),   MATCH(M$1,警職大表!$A$3:$AZ$3,0)  )=0,"",INDEX(警職大表!$A$1:$AZ$100,MATCH($A31,警職大表!$A$1:$A$100,0),   MATCH(M$1,警職大表!$A$3:$AZ$3,0)  ) )    ),"")</f>
        <v/>
      </c>
      <c r="N31" s="271" t="str">
        <f>_xlfn.IFNA(   IF(   IF(  INDEX(警職大表!$A$1:$AZ$100,MATCH($A31,警職大表!$A$1:$A$100,0),   MATCH(N$1,警職大表!$A$3:$AZ$3,0)  )=0,"",INDEX(警職大表!$A$1:$AZ$100,MATCH($A31,警職大表!$A$1:$A$100,0),   MATCH(N$1,警職大表!$A$3:$AZ$3,0)  )        )="",M31,  IF(  INDEX(警職大表!$A$1:$AZ$100,MATCH($A31,警職大表!$A$1:$A$100,0),   MATCH(N$1,警職大表!$A$3:$AZ$3,0)  )=0,"",INDEX(警職大表!$A$1:$AZ$100,MATCH($A31,警職大表!$A$1:$A$100,0),   MATCH(N$1,警職大表!$A$3:$AZ$3,0)  ) )    ),"")</f>
        <v/>
      </c>
      <c r="O31" s="271" t="str">
        <f>_xlfn.IFNA(   IF(   IF(  INDEX(警職大表!$A$1:$AZ$100,MATCH($A31,警職大表!$A$1:$A$100,0),   MATCH(O$1,警職大表!$A$3:$AZ$3,0)  )=0,"",INDEX(警職大表!$A$1:$AZ$100,MATCH($A31,警職大表!$A$1:$A$100,0),   MATCH(O$1,警職大表!$A$3:$AZ$3,0)  )        )="",N31,  IF(  INDEX(警職大表!$A$1:$AZ$100,MATCH($A31,警職大表!$A$1:$A$100,0),   MATCH(O$1,警職大表!$A$3:$AZ$3,0)  )=0,"",INDEX(警職大表!$A$1:$AZ$100,MATCH($A31,警職大表!$A$1:$A$100,0),   MATCH(O$1,警職大表!$A$3:$AZ$3,0)  ) )    ),"")</f>
        <v/>
      </c>
      <c r="P31" s="271" t="str">
        <f>_xlfn.IFNA(   IF(   IF(  INDEX(警職大表!$A$1:$AZ$100,MATCH($A31,警職大表!$A$1:$A$100,0),   MATCH(P$1,警職大表!$A$3:$AZ$3,0)  )=0,"",INDEX(警職大表!$A$1:$AZ$100,MATCH($A31,警職大表!$A$1:$A$100,0),   MATCH(P$1,警職大表!$A$3:$AZ$3,0)  )        )="",O31,  IF(  INDEX(警職大表!$A$1:$AZ$100,MATCH($A31,警職大表!$A$1:$A$100,0),   MATCH(P$1,警職大表!$A$3:$AZ$3,0)  )=0,"",INDEX(警職大表!$A$1:$AZ$100,MATCH($A31,警職大表!$A$1:$A$100,0),   MATCH(P$1,警職大表!$A$3:$AZ$3,0)  ) )    ),"")</f>
        <v/>
      </c>
      <c r="Q31" s="271" t="str">
        <f>_xlfn.IFNA(   IF(   IF(  INDEX(警職大表!$A$1:$AZ$100,MATCH($A31,警職大表!$A$1:$A$100,0),   MATCH(Q$1,警職大表!$A$3:$AZ$3,0)  )=0,"",INDEX(警職大表!$A$1:$AZ$100,MATCH($A31,警職大表!$A$1:$A$100,0),   MATCH(Q$1,警職大表!$A$3:$AZ$3,0)  )        )="",P31,  IF(  INDEX(警職大表!$A$1:$AZ$100,MATCH($A31,警職大表!$A$1:$A$100,0),   MATCH(Q$1,警職大表!$A$3:$AZ$3,0)  )=0,"",INDEX(警職大表!$A$1:$AZ$100,MATCH($A31,警職大表!$A$1:$A$100,0),   MATCH(Q$1,警職大表!$A$3:$AZ$3,0)  ) )    ),"")</f>
        <v/>
      </c>
      <c r="R31" s="271" t="str">
        <f>_xlfn.IFNA(   IF(   IF(  INDEX(警職大表!$A$1:$AZ$100,MATCH($A31,警職大表!$A$1:$A$100,0),   MATCH(R$1,警職大表!$A$3:$AZ$3,0)  )=0,"",INDEX(警職大表!$A$1:$AZ$100,MATCH($A31,警職大表!$A$1:$A$100,0),   MATCH(R$1,警職大表!$A$3:$AZ$3,0)  )        )="",Q31,  IF(  INDEX(警職大表!$A$1:$AZ$100,MATCH($A31,警職大表!$A$1:$A$100,0),   MATCH(R$1,警職大表!$A$3:$AZ$3,0)  )=0,"",INDEX(警職大表!$A$1:$AZ$100,MATCH($A31,警職大表!$A$1:$A$100,0),   MATCH(R$1,警職大表!$A$3:$AZ$3,0)  ) )    ),"")</f>
        <v/>
      </c>
      <c r="S31" s="271" t="str">
        <f>_xlfn.IFNA(   IF(   IF(  INDEX(警職大表!$A$1:$AZ$100,MATCH($A31,警職大表!$A$1:$A$100,0),   MATCH(S$1,警職大表!$A$3:$AZ$3,0)  )=0,"",INDEX(警職大表!$A$1:$AZ$100,MATCH($A31,警職大表!$A$1:$A$100,0),   MATCH(S$1,警職大表!$A$3:$AZ$3,0)  )        )="",R31,  IF(  INDEX(警職大表!$A$1:$AZ$100,MATCH($A31,警職大表!$A$1:$A$100,0),   MATCH(S$1,警職大表!$A$3:$AZ$3,0)  )=0,"",INDEX(警職大表!$A$1:$AZ$100,MATCH($A31,警職大表!$A$1:$A$100,0),   MATCH(S$1,警職大表!$A$3:$AZ$3,0)  ) )    ),"")</f>
        <v/>
      </c>
      <c r="T31" s="271" t="str">
        <f>_xlfn.IFNA(   IF(   IF(  INDEX(警職大表!$A$1:$AZ$100,MATCH($A31,警職大表!$A$1:$A$100,0),   MATCH(T$1,警職大表!$A$3:$AZ$3,0)  )=0,"",INDEX(警職大表!$A$1:$AZ$100,MATCH($A31,警職大表!$A$1:$A$100,0),   MATCH(T$1,警職大表!$A$3:$AZ$3,0)  )        )="",S31,  IF(  INDEX(警職大表!$A$1:$AZ$100,MATCH($A31,警職大表!$A$1:$A$100,0),   MATCH(T$1,警職大表!$A$3:$AZ$3,0)  )=0,"",INDEX(警職大表!$A$1:$AZ$100,MATCH($A31,警職大表!$A$1:$A$100,0),   MATCH(T$1,警職大表!$A$3:$AZ$3,0)  ) )    ),"")</f>
        <v/>
      </c>
      <c r="U31" s="271" t="str">
        <f>_xlfn.IFNA(   IF(   IF(  INDEX(警職大表!$A$1:$AZ$100,MATCH($A31,警職大表!$A$1:$A$100,0),   MATCH(U$1,警職大表!$A$3:$AZ$3,0)  )=0,"",INDEX(警職大表!$A$1:$AZ$100,MATCH($A31,警職大表!$A$1:$A$100,0),   MATCH(U$1,警職大表!$A$3:$AZ$3,0)  )        )="",T31,  IF(  INDEX(警職大表!$A$1:$AZ$100,MATCH($A31,警職大表!$A$1:$A$100,0),   MATCH(U$1,警職大表!$A$3:$AZ$3,0)  )=0,"",INDEX(警職大表!$A$1:$AZ$100,MATCH($A31,警職大表!$A$1:$A$100,0),   MATCH(U$1,警職大表!$A$3:$AZ$3,0)  ) )    ),"")</f>
        <v/>
      </c>
      <c r="V31" s="271" t="str">
        <f>_xlfn.IFNA(   IF(   IF(  INDEX(警職大表!$A$1:$AZ$100,MATCH($A31,警職大表!$A$1:$A$100,0),   MATCH(V$1,警職大表!$A$3:$AZ$3,0)  )=0,"",INDEX(警職大表!$A$1:$AZ$100,MATCH($A31,警職大表!$A$1:$A$100,0),   MATCH(V$1,警職大表!$A$3:$AZ$3,0)  )        )="",U31,  IF(  INDEX(警職大表!$A$1:$AZ$100,MATCH($A31,警職大表!$A$1:$A$100,0),   MATCH(V$1,警職大表!$A$3:$AZ$3,0)  )=0,"",INDEX(警職大表!$A$1:$AZ$100,MATCH($A31,警職大表!$A$1:$A$100,0),   MATCH(V$1,警職大表!$A$3:$AZ$3,0)  ) )    ),"")</f>
        <v/>
      </c>
      <c r="W31" s="271" t="str">
        <f>_xlfn.IFNA(   IF(   IF(  INDEX(警職大表!$A$1:$AZ$100,MATCH($A31,警職大表!$A$1:$A$100,0),   MATCH(W$1,警職大表!$A$3:$AZ$3,0)  )=0,"",INDEX(警職大表!$A$1:$AZ$100,MATCH($A31,警職大表!$A$1:$A$100,0),   MATCH(W$1,警職大表!$A$3:$AZ$3,0)  )        )="",V31,  IF(  INDEX(警職大表!$A$1:$AZ$100,MATCH($A31,警職大表!$A$1:$A$100,0),   MATCH(W$1,警職大表!$A$3:$AZ$3,0)  )=0,"",INDEX(警職大表!$A$1:$AZ$100,MATCH($A31,警職大表!$A$1:$A$100,0),   MATCH(W$1,警職大表!$A$3:$AZ$3,0)  ) )    ),"")</f>
        <v/>
      </c>
      <c r="X31" s="271" t="str">
        <f>_xlfn.IFNA(   IF(   IF(  INDEX(警職大表!$A$1:$AZ$100,MATCH($A31,警職大表!$A$1:$A$100,0),   MATCH(X$1,警職大表!$A$3:$AZ$3,0)  )=0,"",INDEX(警職大表!$A$1:$AZ$100,MATCH($A31,警職大表!$A$1:$A$100,0),   MATCH(X$1,警職大表!$A$3:$AZ$3,0)  )        )="",W31,  IF(  INDEX(警職大表!$A$1:$AZ$100,MATCH($A31,警職大表!$A$1:$A$100,0),   MATCH(X$1,警職大表!$A$3:$AZ$3,0)  )=0,"",INDEX(警職大表!$A$1:$AZ$100,MATCH($A31,警職大表!$A$1:$A$100,0),   MATCH(X$1,警職大表!$A$3:$AZ$3,0)  ) )    ),"")</f>
        <v/>
      </c>
      <c r="Y31" s="271" t="str">
        <f>_xlfn.IFNA(   IF(   IF(  INDEX(警職大表!$A$1:$AZ$100,MATCH($A31,警職大表!$A$1:$A$100,0),   MATCH(Y$1,警職大表!$A$3:$AZ$3,0)  )=0,"",INDEX(警職大表!$A$1:$AZ$100,MATCH($A31,警職大表!$A$1:$A$100,0),   MATCH(Y$1,警職大表!$A$3:$AZ$3,0)  )        )="",X31,  IF(  INDEX(警職大表!$A$1:$AZ$100,MATCH($A31,警職大表!$A$1:$A$100,0),   MATCH(Y$1,警職大表!$A$3:$AZ$3,0)  )=0,"",INDEX(警職大表!$A$1:$AZ$100,MATCH($A31,警職大表!$A$1:$A$100,0),   MATCH(Y$1,警職大表!$A$3:$AZ$3,0)  ) )    ),"")</f>
        <v/>
      </c>
      <c r="Z31" s="271" t="str">
        <f>_xlfn.IFNA(   IF(   IF(  INDEX(警職大表!$A$1:$AZ$100,MATCH($A31,警職大表!$A$1:$A$100,0),   MATCH(Z$1,警職大表!$A$3:$AZ$3,0)  )=0,"",INDEX(警職大表!$A$1:$AZ$100,MATCH($A31,警職大表!$A$1:$A$100,0),   MATCH(Z$1,警職大表!$A$3:$AZ$3,0)  )        )="",Y31,  IF(  INDEX(警職大表!$A$1:$AZ$100,MATCH($A31,警職大表!$A$1:$A$100,0),   MATCH(Z$1,警職大表!$A$3:$AZ$3,0)  )=0,"",INDEX(警職大表!$A$1:$AZ$100,MATCH($A31,警職大表!$A$1:$A$100,0),   MATCH(Z$1,警職大表!$A$3:$AZ$3,0)  ) )    ),"")</f>
        <v/>
      </c>
      <c r="AA31" s="271" t="str">
        <f>_xlfn.IFNA(   IF(   IF(  INDEX(警職大表!$A$1:$AZ$100,MATCH($A31,警職大表!$A$1:$A$100,0),   MATCH(AA$1,警職大表!$A$3:$AZ$3,0)  )=0,"",INDEX(警職大表!$A$1:$AZ$100,MATCH($A31,警職大表!$A$1:$A$100,0),   MATCH(AA$1,警職大表!$A$3:$AZ$3,0)  )        )="",Z31,  IF(  INDEX(警職大表!$A$1:$AZ$100,MATCH($A31,警職大表!$A$1:$A$100,0),   MATCH(AA$1,警職大表!$A$3:$AZ$3,0)  )=0,"",INDEX(警職大表!$A$1:$AZ$100,MATCH($A31,警職大表!$A$1:$A$100,0),   MATCH(AA$1,警職大表!$A$3:$AZ$3,0)  ) )    ),"")</f>
        <v/>
      </c>
      <c r="AB31" s="271" t="str">
        <f>_xlfn.IFNA(   IF(   IF(  INDEX(警職大表!$A$1:$AZ$100,MATCH($A31,警職大表!$A$1:$A$100,0),   MATCH(AB$1,警職大表!$A$3:$AZ$3,0)  )=0,"",INDEX(警職大表!$A$1:$AZ$100,MATCH($A31,警職大表!$A$1:$A$100,0),   MATCH(AB$1,警職大表!$A$3:$AZ$3,0)  )        )="",AA31,  IF(  INDEX(警職大表!$A$1:$AZ$100,MATCH($A31,警職大表!$A$1:$A$100,0),   MATCH(AB$1,警職大表!$A$3:$AZ$3,0)  )=0,"",INDEX(警職大表!$A$1:$AZ$100,MATCH($A31,警職大表!$A$1:$A$100,0),   MATCH(AB$1,警職大表!$A$3:$AZ$3,0)  ) )    ),"")</f>
        <v/>
      </c>
      <c r="AC31" s="271" t="str">
        <f>_xlfn.IFNA(   IF(   IF(  INDEX(警職大表!$A$1:$AZ$100,MATCH($A31,警職大表!$A$1:$A$100,0),   MATCH(AC$1,警職大表!$A$3:$AZ$3,0)  )=0,"",INDEX(警職大表!$A$1:$AZ$100,MATCH($A31,警職大表!$A$1:$A$100,0),   MATCH(AC$1,警職大表!$A$3:$AZ$3,0)  )        )="",AB31,  IF(  INDEX(警職大表!$A$1:$AZ$100,MATCH($A31,警職大表!$A$1:$A$100,0),   MATCH(AC$1,警職大表!$A$3:$AZ$3,0)  )=0,"",INDEX(警職大表!$A$1:$AZ$100,MATCH($A31,警職大表!$A$1:$A$100,0),   MATCH(AC$1,警職大表!$A$3:$AZ$3,0)  ) )    ),"")</f>
        <v/>
      </c>
      <c r="AD31" s="271" t="str">
        <f>_xlfn.IFNA(   IF(   IF(  INDEX(警職大表!$A$1:$AZ$100,MATCH($A31,警職大表!$A$1:$A$100,0),   MATCH(AD$1,警職大表!$A$3:$AZ$3,0)  )=0,"",INDEX(警職大表!$A$1:$AZ$100,MATCH($A31,警職大表!$A$1:$A$100,0),   MATCH(AD$1,警職大表!$A$3:$AZ$3,0)  )        )="",AC31,  IF(  INDEX(警職大表!$A$1:$AZ$100,MATCH($A31,警職大表!$A$1:$A$100,0),   MATCH(AD$1,警職大表!$A$3:$AZ$3,0)  )=0,"",INDEX(警職大表!$A$1:$AZ$100,MATCH($A31,警職大表!$A$1:$A$100,0),   MATCH(AD$1,警職大表!$A$3:$AZ$3,0)  ) )    ),"")</f>
        <v/>
      </c>
      <c r="AE31" s="271" t="str">
        <f>_xlfn.IFNA(   IF(   IF(  INDEX(警職大表!$A$1:$AZ$100,MATCH($A31,警職大表!$A$1:$A$100,0),   MATCH(AE$1,警職大表!$A$3:$AZ$3,0)  )=0,"",INDEX(警職大表!$A$1:$AZ$100,MATCH($A31,警職大表!$A$1:$A$100,0),   MATCH(AE$1,警職大表!$A$3:$AZ$3,0)  )        )="",AD31,  IF(  INDEX(警職大表!$A$1:$AZ$100,MATCH($A31,警職大表!$A$1:$A$100,0),   MATCH(AE$1,警職大表!$A$3:$AZ$3,0)  )=0,"",INDEX(警職大表!$A$1:$AZ$100,MATCH($A31,警職大表!$A$1:$A$100,0),   MATCH(AE$1,警職大表!$A$3:$AZ$3,0)  ) )    ),"")</f>
        <v/>
      </c>
      <c r="AF31" s="271" t="str">
        <f>_xlfn.IFNA(   IF(   IF(  INDEX(警職大表!$A$1:$AZ$100,MATCH($A31,警職大表!$A$1:$A$100,0),   MATCH(AF$1,警職大表!$A$3:$AZ$3,0)  )=0,"",INDEX(警職大表!$A$1:$AZ$100,MATCH($A31,警職大表!$A$1:$A$100,0),   MATCH(AF$1,警職大表!$A$3:$AZ$3,0)  )        )="",AE31,  IF(  INDEX(警職大表!$A$1:$AZ$100,MATCH($A31,警職大表!$A$1:$A$100,0),   MATCH(AF$1,警職大表!$A$3:$AZ$3,0)  )=0,"",INDEX(警職大表!$A$1:$AZ$100,MATCH($A31,警職大表!$A$1:$A$100,0),   MATCH(AF$1,警職大表!$A$3:$AZ$3,0)  ) )    ),"")</f>
        <v/>
      </c>
      <c r="AG31" s="271" t="str">
        <f>_xlfn.IFNA(   IF(   IF(  INDEX(警職大表!$A$1:$AZ$100,MATCH($A31,警職大表!$A$1:$A$100,0),   MATCH(AG$1,警職大表!$A$3:$AZ$3,0)  )=0,"",INDEX(警職大表!$A$1:$AZ$100,MATCH($A31,警職大表!$A$1:$A$100,0),   MATCH(AG$1,警職大表!$A$3:$AZ$3,0)  )        )="",AF31,  IF(  INDEX(警職大表!$A$1:$AZ$100,MATCH($A31,警職大表!$A$1:$A$100,0),   MATCH(AG$1,警職大表!$A$3:$AZ$3,0)  )=0,"",INDEX(警職大表!$A$1:$AZ$100,MATCH($A31,警職大表!$A$1:$A$100,0),   MATCH(AG$1,警職大表!$A$3:$AZ$3,0)  ) )    ),"")</f>
        <v/>
      </c>
      <c r="AL31" s="271" t="str">
        <f t="shared" si="0"/>
        <v/>
      </c>
      <c r="AM31" s="271" t="str">
        <f t="shared" si="1"/>
        <v/>
      </c>
      <c r="AN31" s="271" t="str">
        <f>INDEX(   $A$41:$AG$78, MATCH(AL31,$A$41:$A$78,0),MATCH(  DAY(勤務分配表!$AN$1),$A$41:$AL$41,0  )  )</f>
        <v/>
      </c>
      <c r="AO31" s="271" t="str">
        <f>IF((ROW(AO31)-1)&lt;=日期輸入!$B$5,_xlfn.IFNA(IF(INDEX($A$1:$AG$40,MATCH($AM31,$B$1:$B$100,0),VALUE($AO$1+3))="成","補",INDEX($A$1:$AG$40,MATCH($AM31,$B$1:$B$100,0),VALUE($AO$1+3))),""),"")</f>
        <v/>
      </c>
      <c r="AP31" s="271" t="str">
        <f>IF((ROW(AP31)-1)&lt;=日期輸入!$B$5,_xlfn.IFNA(IF(INDEX($A$1:$AG$40,MATCH($AM31,$B$1:$B$100,0),VALUE($AP$1+3))="成","補",INDEX($A$1:$AG$40,MATCH($AM31,$B$1:$B$100,0),VALUE($AP$1+3))),""),"")</f>
        <v/>
      </c>
      <c r="AQ31" s="271" t="str">
        <f>IF((ROW(AQ31)-1)&lt;=日期輸入!$B$5,_xlfn.IFNA(IF(INDEX($A$1:$AG$40,MATCH($AM31,$B$1:$B$100,0),VALUE($AQ$1+3))="成","補",INDEX($A$1:$AG$40,MATCH($AM31,$B$1:$B$100,0),VALUE($AQ$1+3))),""),"")</f>
        <v/>
      </c>
    </row>
    <row r="32" spans="1:43">
      <c r="A32" s="271" t="str">
        <f>IF(  (ROW(A32)-1)&lt;=日期輸入!$B$5,勤務分配!A32,"")</f>
        <v/>
      </c>
      <c r="B32" s="271" t="str">
        <f>_xlfn.IFNA(  INDEX(警職大表!$A$1:$AZ$100,MATCH(A32,警職大表!$A$1:$A$100,0),3),"")</f>
        <v/>
      </c>
      <c r="C32" s="271" t="str">
        <f>_xlfn.IFNA(  IF(  INDEX(警職大表!$A$1:$AZ$100,MATCH($A32,警職大表!$A$1:$A$100,0),   MATCH(C$1,警職大表!$A$3:$AZ$3,0)  )=0,"",INDEX(警職大表!$A$1:$AZ$100,MATCH($A32,警職大表!$A$1:$A$100,0),   MATCH(C$1,警職大表!$A$3:$AZ$3,0)  )                ),"")</f>
        <v/>
      </c>
      <c r="D32" s="271" t="str">
        <f>_xlfn.IFNA(   IF(   IF(  INDEX(警職大表!$A$1:$AZ$100,MATCH($A32,警職大表!$A$1:$A$100,0),   MATCH(D$1,警職大表!$A$3:$AZ$3,0)  )=0,"",INDEX(警職大表!$A$1:$AZ$100,MATCH($A32,警職大表!$A$1:$A$100,0),   MATCH(D$1,警職大表!$A$3:$AZ$3,0)  )        )="",C32,  IF(  INDEX(警職大表!$A$1:$AZ$100,MATCH($A32,警職大表!$A$1:$A$100,0),   MATCH(D$1,警職大表!$A$3:$AZ$3,0)  )=0,"",INDEX(警職大表!$A$1:$AZ$100,MATCH($A32,警職大表!$A$1:$A$100,0),   MATCH(D$1,警職大表!$A$3:$AZ$3,0)  ) )    ),"")</f>
        <v/>
      </c>
      <c r="E32" s="271" t="str">
        <f>_xlfn.IFNA(   IF(   IF(  INDEX(警職大表!$A$1:$AZ$100,MATCH($A32,警職大表!$A$1:$A$100,0),   MATCH(E$1,警職大表!$A$3:$AZ$3,0)  )=0,"",INDEX(警職大表!$A$1:$AZ$100,MATCH($A32,警職大表!$A$1:$A$100,0),   MATCH(E$1,警職大表!$A$3:$AZ$3,0)  )        )="",D32,  IF(  INDEX(警職大表!$A$1:$AZ$100,MATCH($A32,警職大表!$A$1:$A$100,0),   MATCH(E$1,警職大表!$A$3:$AZ$3,0)  )=0,"",INDEX(警職大表!$A$1:$AZ$100,MATCH($A32,警職大表!$A$1:$A$100,0),   MATCH(E$1,警職大表!$A$3:$AZ$3,0)  ) )    ),"")</f>
        <v/>
      </c>
      <c r="F32" s="271" t="str">
        <f>_xlfn.IFNA(   IF(   IF(  INDEX(警職大表!$A$1:$AZ$100,MATCH($A32,警職大表!$A$1:$A$100,0),   MATCH(F$1,警職大表!$A$3:$AZ$3,0)  )=0,"",INDEX(警職大表!$A$1:$AZ$100,MATCH($A32,警職大表!$A$1:$A$100,0),   MATCH(F$1,警職大表!$A$3:$AZ$3,0)  )        )="",E32,  IF(  INDEX(警職大表!$A$1:$AZ$100,MATCH($A32,警職大表!$A$1:$A$100,0),   MATCH(F$1,警職大表!$A$3:$AZ$3,0)  )=0,"",INDEX(警職大表!$A$1:$AZ$100,MATCH($A32,警職大表!$A$1:$A$100,0),   MATCH(F$1,警職大表!$A$3:$AZ$3,0)  ) )    ),"")</f>
        <v/>
      </c>
      <c r="G32" s="271" t="str">
        <f>_xlfn.IFNA(   IF(   IF(  INDEX(警職大表!$A$1:$AZ$100,MATCH($A32,警職大表!$A$1:$A$100,0),   MATCH(G$1,警職大表!$A$3:$AZ$3,0)  )=0,"",INDEX(警職大表!$A$1:$AZ$100,MATCH($A32,警職大表!$A$1:$A$100,0),   MATCH(G$1,警職大表!$A$3:$AZ$3,0)  )        )="",F32,  IF(  INDEX(警職大表!$A$1:$AZ$100,MATCH($A32,警職大表!$A$1:$A$100,0),   MATCH(G$1,警職大表!$A$3:$AZ$3,0)  )=0,"",INDEX(警職大表!$A$1:$AZ$100,MATCH($A32,警職大表!$A$1:$A$100,0),   MATCH(G$1,警職大表!$A$3:$AZ$3,0)  ) )    ),"")</f>
        <v/>
      </c>
      <c r="H32" s="271" t="str">
        <f>_xlfn.IFNA(   IF(   IF(  INDEX(警職大表!$A$1:$AZ$100,MATCH($A32,警職大表!$A$1:$A$100,0),   MATCH(H$1,警職大表!$A$3:$AZ$3,0)  )=0,"",INDEX(警職大表!$A$1:$AZ$100,MATCH($A32,警職大表!$A$1:$A$100,0),   MATCH(H$1,警職大表!$A$3:$AZ$3,0)  )        )="",G32,  IF(  INDEX(警職大表!$A$1:$AZ$100,MATCH($A32,警職大表!$A$1:$A$100,0),   MATCH(H$1,警職大表!$A$3:$AZ$3,0)  )=0,"",INDEX(警職大表!$A$1:$AZ$100,MATCH($A32,警職大表!$A$1:$A$100,0),   MATCH(H$1,警職大表!$A$3:$AZ$3,0)  ) )    ),"")</f>
        <v/>
      </c>
      <c r="I32" s="271" t="str">
        <f>_xlfn.IFNA(   IF(   IF(  INDEX(警職大表!$A$1:$AZ$100,MATCH($A32,警職大表!$A$1:$A$100,0),   MATCH(I$1,警職大表!$A$3:$AZ$3,0)  )=0,"",INDEX(警職大表!$A$1:$AZ$100,MATCH($A32,警職大表!$A$1:$A$100,0),   MATCH(I$1,警職大表!$A$3:$AZ$3,0)  )        )="",H32,  IF(  INDEX(警職大表!$A$1:$AZ$100,MATCH($A32,警職大表!$A$1:$A$100,0),   MATCH(I$1,警職大表!$A$3:$AZ$3,0)  )=0,"",INDEX(警職大表!$A$1:$AZ$100,MATCH($A32,警職大表!$A$1:$A$100,0),   MATCH(I$1,警職大表!$A$3:$AZ$3,0)  ) )    ),"")</f>
        <v/>
      </c>
      <c r="J32" s="271" t="str">
        <f>_xlfn.IFNA(   IF(   IF(  INDEX(警職大表!$A$1:$AZ$100,MATCH($A32,警職大表!$A$1:$A$100,0),   MATCH(J$1,警職大表!$A$3:$AZ$3,0)  )=0,"",INDEX(警職大表!$A$1:$AZ$100,MATCH($A32,警職大表!$A$1:$A$100,0),   MATCH(J$1,警職大表!$A$3:$AZ$3,0)  )        )="",I32,  IF(  INDEX(警職大表!$A$1:$AZ$100,MATCH($A32,警職大表!$A$1:$A$100,0),   MATCH(J$1,警職大表!$A$3:$AZ$3,0)  )=0,"",INDEX(警職大表!$A$1:$AZ$100,MATCH($A32,警職大表!$A$1:$A$100,0),   MATCH(J$1,警職大表!$A$3:$AZ$3,0)  ) )    ),"")</f>
        <v/>
      </c>
      <c r="K32" s="271" t="str">
        <f>_xlfn.IFNA(   IF(   IF(  INDEX(警職大表!$A$1:$AZ$100,MATCH($A32,警職大表!$A$1:$A$100,0),   MATCH(K$1,警職大表!$A$3:$AZ$3,0)  )=0,"",INDEX(警職大表!$A$1:$AZ$100,MATCH($A32,警職大表!$A$1:$A$100,0),   MATCH(K$1,警職大表!$A$3:$AZ$3,0)  )        )="",J32,  IF(  INDEX(警職大表!$A$1:$AZ$100,MATCH($A32,警職大表!$A$1:$A$100,0),   MATCH(K$1,警職大表!$A$3:$AZ$3,0)  )=0,"",INDEX(警職大表!$A$1:$AZ$100,MATCH($A32,警職大表!$A$1:$A$100,0),   MATCH(K$1,警職大表!$A$3:$AZ$3,0)  ) )    ),"")</f>
        <v/>
      </c>
      <c r="L32" s="271" t="str">
        <f>_xlfn.IFNA(   IF(   IF(  INDEX(警職大表!$A$1:$AZ$100,MATCH($A32,警職大表!$A$1:$A$100,0),   MATCH(L$1,警職大表!$A$3:$AZ$3,0)  )=0,"",INDEX(警職大表!$A$1:$AZ$100,MATCH($A32,警職大表!$A$1:$A$100,0),   MATCH(L$1,警職大表!$A$3:$AZ$3,0)  )        )="",K32,  IF(  INDEX(警職大表!$A$1:$AZ$100,MATCH($A32,警職大表!$A$1:$A$100,0),   MATCH(L$1,警職大表!$A$3:$AZ$3,0)  )=0,"",INDEX(警職大表!$A$1:$AZ$100,MATCH($A32,警職大表!$A$1:$A$100,0),   MATCH(L$1,警職大表!$A$3:$AZ$3,0)  ) )    ),"")</f>
        <v/>
      </c>
      <c r="M32" s="271" t="str">
        <f>_xlfn.IFNA(   IF(   IF(  INDEX(警職大表!$A$1:$AZ$100,MATCH($A32,警職大表!$A$1:$A$100,0),   MATCH(M$1,警職大表!$A$3:$AZ$3,0)  )=0,"",INDEX(警職大表!$A$1:$AZ$100,MATCH($A32,警職大表!$A$1:$A$100,0),   MATCH(M$1,警職大表!$A$3:$AZ$3,0)  )        )="",L32,  IF(  INDEX(警職大表!$A$1:$AZ$100,MATCH($A32,警職大表!$A$1:$A$100,0),   MATCH(M$1,警職大表!$A$3:$AZ$3,0)  )=0,"",INDEX(警職大表!$A$1:$AZ$100,MATCH($A32,警職大表!$A$1:$A$100,0),   MATCH(M$1,警職大表!$A$3:$AZ$3,0)  ) )    ),"")</f>
        <v/>
      </c>
      <c r="N32" s="271" t="str">
        <f>_xlfn.IFNA(   IF(   IF(  INDEX(警職大表!$A$1:$AZ$100,MATCH($A32,警職大表!$A$1:$A$100,0),   MATCH(N$1,警職大表!$A$3:$AZ$3,0)  )=0,"",INDEX(警職大表!$A$1:$AZ$100,MATCH($A32,警職大表!$A$1:$A$100,0),   MATCH(N$1,警職大表!$A$3:$AZ$3,0)  )        )="",M32,  IF(  INDEX(警職大表!$A$1:$AZ$100,MATCH($A32,警職大表!$A$1:$A$100,0),   MATCH(N$1,警職大表!$A$3:$AZ$3,0)  )=0,"",INDEX(警職大表!$A$1:$AZ$100,MATCH($A32,警職大表!$A$1:$A$100,0),   MATCH(N$1,警職大表!$A$3:$AZ$3,0)  ) )    ),"")</f>
        <v/>
      </c>
      <c r="O32" s="271" t="str">
        <f>_xlfn.IFNA(   IF(   IF(  INDEX(警職大表!$A$1:$AZ$100,MATCH($A32,警職大表!$A$1:$A$100,0),   MATCH(O$1,警職大表!$A$3:$AZ$3,0)  )=0,"",INDEX(警職大表!$A$1:$AZ$100,MATCH($A32,警職大表!$A$1:$A$100,0),   MATCH(O$1,警職大表!$A$3:$AZ$3,0)  )        )="",N32,  IF(  INDEX(警職大表!$A$1:$AZ$100,MATCH($A32,警職大表!$A$1:$A$100,0),   MATCH(O$1,警職大表!$A$3:$AZ$3,0)  )=0,"",INDEX(警職大表!$A$1:$AZ$100,MATCH($A32,警職大表!$A$1:$A$100,0),   MATCH(O$1,警職大表!$A$3:$AZ$3,0)  ) )    ),"")</f>
        <v/>
      </c>
      <c r="P32" s="271" t="str">
        <f>_xlfn.IFNA(   IF(   IF(  INDEX(警職大表!$A$1:$AZ$100,MATCH($A32,警職大表!$A$1:$A$100,0),   MATCH(P$1,警職大表!$A$3:$AZ$3,0)  )=0,"",INDEX(警職大表!$A$1:$AZ$100,MATCH($A32,警職大表!$A$1:$A$100,0),   MATCH(P$1,警職大表!$A$3:$AZ$3,0)  )        )="",O32,  IF(  INDEX(警職大表!$A$1:$AZ$100,MATCH($A32,警職大表!$A$1:$A$100,0),   MATCH(P$1,警職大表!$A$3:$AZ$3,0)  )=0,"",INDEX(警職大表!$A$1:$AZ$100,MATCH($A32,警職大表!$A$1:$A$100,0),   MATCH(P$1,警職大表!$A$3:$AZ$3,0)  ) )    ),"")</f>
        <v/>
      </c>
      <c r="Q32" s="271" t="str">
        <f>_xlfn.IFNA(   IF(   IF(  INDEX(警職大表!$A$1:$AZ$100,MATCH($A32,警職大表!$A$1:$A$100,0),   MATCH(Q$1,警職大表!$A$3:$AZ$3,0)  )=0,"",INDEX(警職大表!$A$1:$AZ$100,MATCH($A32,警職大表!$A$1:$A$100,0),   MATCH(Q$1,警職大表!$A$3:$AZ$3,0)  )        )="",P32,  IF(  INDEX(警職大表!$A$1:$AZ$100,MATCH($A32,警職大表!$A$1:$A$100,0),   MATCH(Q$1,警職大表!$A$3:$AZ$3,0)  )=0,"",INDEX(警職大表!$A$1:$AZ$100,MATCH($A32,警職大表!$A$1:$A$100,0),   MATCH(Q$1,警職大表!$A$3:$AZ$3,0)  ) )    ),"")</f>
        <v/>
      </c>
      <c r="R32" s="271" t="str">
        <f>_xlfn.IFNA(   IF(   IF(  INDEX(警職大表!$A$1:$AZ$100,MATCH($A32,警職大表!$A$1:$A$100,0),   MATCH(R$1,警職大表!$A$3:$AZ$3,0)  )=0,"",INDEX(警職大表!$A$1:$AZ$100,MATCH($A32,警職大表!$A$1:$A$100,0),   MATCH(R$1,警職大表!$A$3:$AZ$3,0)  )        )="",Q32,  IF(  INDEX(警職大表!$A$1:$AZ$100,MATCH($A32,警職大表!$A$1:$A$100,0),   MATCH(R$1,警職大表!$A$3:$AZ$3,0)  )=0,"",INDEX(警職大表!$A$1:$AZ$100,MATCH($A32,警職大表!$A$1:$A$100,0),   MATCH(R$1,警職大表!$A$3:$AZ$3,0)  ) )    ),"")</f>
        <v/>
      </c>
      <c r="S32" s="271" t="str">
        <f>_xlfn.IFNA(   IF(   IF(  INDEX(警職大表!$A$1:$AZ$100,MATCH($A32,警職大表!$A$1:$A$100,0),   MATCH(S$1,警職大表!$A$3:$AZ$3,0)  )=0,"",INDEX(警職大表!$A$1:$AZ$100,MATCH($A32,警職大表!$A$1:$A$100,0),   MATCH(S$1,警職大表!$A$3:$AZ$3,0)  )        )="",R32,  IF(  INDEX(警職大表!$A$1:$AZ$100,MATCH($A32,警職大表!$A$1:$A$100,0),   MATCH(S$1,警職大表!$A$3:$AZ$3,0)  )=0,"",INDEX(警職大表!$A$1:$AZ$100,MATCH($A32,警職大表!$A$1:$A$100,0),   MATCH(S$1,警職大表!$A$3:$AZ$3,0)  ) )    ),"")</f>
        <v/>
      </c>
      <c r="T32" s="271" t="str">
        <f>_xlfn.IFNA(   IF(   IF(  INDEX(警職大表!$A$1:$AZ$100,MATCH($A32,警職大表!$A$1:$A$100,0),   MATCH(T$1,警職大表!$A$3:$AZ$3,0)  )=0,"",INDEX(警職大表!$A$1:$AZ$100,MATCH($A32,警職大表!$A$1:$A$100,0),   MATCH(T$1,警職大表!$A$3:$AZ$3,0)  )        )="",S32,  IF(  INDEX(警職大表!$A$1:$AZ$100,MATCH($A32,警職大表!$A$1:$A$100,0),   MATCH(T$1,警職大表!$A$3:$AZ$3,0)  )=0,"",INDEX(警職大表!$A$1:$AZ$100,MATCH($A32,警職大表!$A$1:$A$100,0),   MATCH(T$1,警職大表!$A$3:$AZ$3,0)  ) )    ),"")</f>
        <v/>
      </c>
      <c r="U32" s="271" t="str">
        <f>_xlfn.IFNA(   IF(   IF(  INDEX(警職大表!$A$1:$AZ$100,MATCH($A32,警職大表!$A$1:$A$100,0),   MATCH(U$1,警職大表!$A$3:$AZ$3,0)  )=0,"",INDEX(警職大表!$A$1:$AZ$100,MATCH($A32,警職大表!$A$1:$A$100,0),   MATCH(U$1,警職大表!$A$3:$AZ$3,0)  )        )="",T32,  IF(  INDEX(警職大表!$A$1:$AZ$100,MATCH($A32,警職大表!$A$1:$A$100,0),   MATCH(U$1,警職大表!$A$3:$AZ$3,0)  )=0,"",INDEX(警職大表!$A$1:$AZ$100,MATCH($A32,警職大表!$A$1:$A$100,0),   MATCH(U$1,警職大表!$A$3:$AZ$3,0)  ) )    ),"")</f>
        <v/>
      </c>
      <c r="V32" s="271" t="str">
        <f>_xlfn.IFNA(   IF(   IF(  INDEX(警職大表!$A$1:$AZ$100,MATCH($A32,警職大表!$A$1:$A$100,0),   MATCH(V$1,警職大表!$A$3:$AZ$3,0)  )=0,"",INDEX(警職大表!$A$1:$AZ$100,MATCH($A32,警職大表!$A$1:$A$100,0),   MATCH(V$1,警職大表!$A$3:$AZ$3,0)  )        )="",U32,  IF(  INDEX(警職大表!$A$1:$AZ$100,MATCH($A32,警職大表!$A$1:$A$100,0),   MATCH(V$1,警職大表!$A$3:$AZ$3,0)  )=0,"",INDEX(警職大表!$A$1:$AZ$100,MATCH($A32,警職大表!$A$1:$A$100,0),   MATCH(V$1,警職大表!$A$3:$AZ$3,0)  ) )    ),"")</f>
        <v/>
      </c>
      <c r="W32" s="271" t="str">
        <f>_xlfn.IFNA(   IF(   IF(  INDEX(警職大表!$A$1:$AZ$100,MATCH($A32,警職大表!$A$1:$A$100,0),   MATCH(W$1,警職大表!$A$3:$AZ$3,0)  )=0,"",INDEX(警職大表!$A$1:$AZ$100,MATCH($A32,警職大表!$A$1:$A$100,0),   MATCH(W$1,警職大表!$A$3:$AZ$3,0)  )        )="",V32,  IF(  INDEX(警職大表!$A$1:$AZ$100,MATCH($A32,警職大表!$A$1:$A$100,0),   MATCH(W$1,警職大表!$A$3:$AZ$3,0)  )=0,"",INDEX(警職大表!$A$1:$AZ$100,MATCH($A32,警職大表!$A$1:$A$100,0),   MATCH(W$1,警職大表!$A$3:$AZ$3,0)  ) )    ),"")</f>
        <v/>
      </c>
      <c r="X32" s="271" t="str">
        <f>_xlfn.IFNA(   IF(   IF(  INDEX(警職大表!$A$1:$AZ$100,MATCH($A32,警職大表!$A$1:$A$100,0),   MATCH(X$1,警職大表!$A$3:$AZ$3,0)  )=0,"",INDEX(警職大表!$A$1:$AZ$100,MATCH($A32,警職大表!$A$1:$A$100,0),   MATCH(X$1,警職大表!$A$3:$AZ$3,0)  )        )="",W32,  IF(  INDEX(警職大表!$A$1:$AZ$100,MATCH($A32,警職大表!$A$1:$A$100,0),   MATCH(X$1,警職大表!$A$3:$AZ$3,0)  )=0,"",INDEX(警職大表!$A$1:$AZ$100,MATCH($A32,警職大表!$A$1:$A$100,0),   MATCH(X$1,警職大表!$A$3:$AZ$3,0)  ) )    ),"")</f>
        <v/>
      </c>
      <c r="Y32" s="271" t="str">
        <f>_xlfn.IFNA(   IF(   IF(  INDEX(警職大表!$A$1:$AZ$100,MATCH($A32,警職大表!$A$1:$A$100,0),   MATCH(Y$1,警職大表!$A$3:$AZ$3,0)  )=0,"",INDEX(警職大表!$A$1:$AZ$100,MATCH($A32,警職大表!$A$1:$A$100,0),   MATCH(Y$1,警職大表!$A$3:$AZ$3,0)  )        )="",X32,  IF(  INDEX(警職大表!$A$1:$AZ$100,MATCH($A32,警職大表!$A$1:$A$100,0),   MATCH(Y$1,警職大表!$A$3:$AZ$3,0)  )=0,"",INDEX(警職大表!$A$1:$AZ$100,MATCH($A32,警職大表!$A$1:$A$100,0),   MATCH(Y$1,警職大表!$A$3:$AZ$3,0)  ) )    ),"")</f>
        <v/>
      </c>
      <c r="Z32" s="271" t="str">
        <f>_xlfn.IFNA(   IF(   IF(  INDEX(警職大表!$A$1:$AZ$100,MATCH($A32,警職大表!$A$1:$A$100,0),   MATCH(Z$1,警職大表!$A$3:$AZ$3,0)  )=0,"",INDEX(警職大表!$A$1:$AZ$100,MATCH($A32,警職大表!$A$1:$A$100,0),   MATCH(Z$1,警職大表!$A$3:$AZ$3,0)  )        )="",Y32,  IF(  INDEX(警職大表!$A$1:$AZ$100,MATCH($A32,警職大表!$A$1:$A$100,0),   MATCH(Z$1,警職大表!$A$3:$AZ$3,0)  )=0,"",INDEX(警職大表!$A$1:$AZ$100,MATCH($A32,警職大表!$A$1:$A$100,0),   MATCH(Z$1,警職大表!$A$3:$AZ$3,0)  ) )    ),"")</f>
        <v/>
      </c>
      <c r="AA32" s="271" t="str">
        <f>_xlfn.IFNA(   IF(   IF(  INDEX(警職大表!$A$1:$AZ$100,MATCH($A32,警職大表!$A$1:$A$100,0),   MATCH(AA$1,警職大表!$A$3:$AZ$3,0)  )=0,"",INDEX(警職大表!$A$1:$AZ$100,MATCH($A32,警職大表!$A$1:$A$100,0),   MATCH(AA$1,警職大表!$A$3:$AZ$3,0)  )        )="",Z32,  IF(  INDEX(警職大表!$A$1:$AZ$100,MATCH($A32,警職大表!$A$1:$A$100,0),   MATCH(AA$1,警職大表!$A$3:$AZ$3,0)  )=0,"",INDEX(警職大表!$A$1:$AZ$100,MATCH($A32,警職大表!$A$1:$A$100,0),   MATCH(AA$1,警職大表!$A$3:$AZ$3,0)  ) )    ),"")</f>
        <v/>
      </c>
      <c r="AB32" s="271" t="str">
        <f>_xlfn.IFNA(   IF(   IF(  INDEX(警職大表!$A$1:$AZ$100,MATCH($A32,警職大表!$A$1:$A$100,0),   MATCH(AB$1,警職大表!$A$3:$AZ$3,0)  )=0,"",INDEX(警職大表!$A$1:$AZ$100,MATCH($A32,警職大表!$A$1:$A$100,0),   MATCH(AB$1,警職大表!$A$3:$AZ$3,0)  )        )="",AA32,  IF(  INDEX(警職大表!$A$1:$AZ$100,MATCH($A32,警職大表!$A$1:$A$100,0),   MATCH(AB$1,警職大表!$A$3:$AZ$3,0)  )=0,"",INDEX(警職大表!$A$1:$AZ$100,MATCH($A32,警職大表!$A$1:$A$100,0),   MATCH(AB$1,警職大表!$A$3:$AZ$3,0)  ) )    ),"")</f>
        <v/>
      </c>
      <c r="AC32" s="271" t="str">
        <f>_xlfn.IFNA(   IF(   IF(  INDEX(警職大表!$A$1:$AZ$100,MATCH($A32,警職大表!$A$1:$A$100,0),   MATCH(AC$1,警職大表!$A$3:$AZ$3,0)  )=0,"",INDEX(警職大表!$A$1:$AZ$100,MATCH($A32,警職大表!$A$1:$A$100,0),   MATCH(AC$1,警職大表!$A$3:$AZ$3,0)  )        )="",AB32,  IF(  INDEX(警職大表!$A$1:$AZ$100,MATCH($A32,警職大表!$A$1:$A$100,0),   MATCH(AC$1,警職大表!$A$3:$AZ$3,0)  )=0,"",INDEX(警職大表!$A$1:$AZ$100,MATCH($A32,警職大表!$A$1:$A$100,0),   MATCH(AC$1,警職大表!$A$3:$AZ$3,0)  ) )    ),"")</f>
        <v/>
      </c>
      <c r="AD32" s="271" t="str">
        <f>_xlfn.IFNA(   IF(   IF(  INDEX(警職大表!$A$1:$AZ$100,MATCH($A32,警職大表!$A$1:$A$100,0),   MATCH(AD$1,警職大表!$A$3:$AZ$3,0)  )=0,"",INDEX(警職大表!$A$1:$AZ$100,MATCH($A32,警職大表!$A$1:$A$100,0),   MATCH(AD$1,警職大表!$A$3:$AZ$3,0)  )        )="",AC32,  IF(  INDEX(警職大表!$A$1:$AZ$100,MATCH($A32,警職大表!$A$1:$A$100,0),   MATCH(AD$1,警職大表!$A$3:$AZ$3,0)  )=0,"",INDEX(警職大表!$A$1:$AZ$100,MATCH($A32,警職大表!$A$1:$A$100,0),   MATCH(AD$1,警職大表!$A$3:$AZ$3,0)  ) )    ),"")</f>
        <v/>
      </c>
      <c r="AE32" s="271" t="str">
        <f>_xlfn.IFNA(   IF(   IF(  INDEX(警職大表!$A$1:$AZ$100,MATCH($A32,警職大表!$A$1:$A$100,0),   MATCH(AE$1,警職大表!$A$3:$AZ$3,0)  )=0,"",INDEX(警職大表!$A$1:$AZ$100,MATCH($A32,警職大表!$A$1:$A$100,0),   MATCH(AE$1,警職大表!$A$3:$AZ$3,0)  )        )="",AD32,  IF(  INDEX(警職大表!$A$1:$AZ$100,MATCH($A32,警職大表!$A$1:$A$100,0),   MATCH(AE$1,警職大表!$A$3:$AZ$3,0)  )=0,"",INDEX(警職大表!$A$1:$AZ$100,MATCH($A32,警職大表!$A$1:$A$100,0),   MATCH(AE$1,警職大表!$A$3:$AZ$3,0)  ) )    ),"")</f>
        <v/>
      </c>
      <c r="AF32" s="271" t="str">
        <f>_xlfn.IFNA(   IF(   IF(  INDEX(警職大表!$A$1:$AZ$100,MATCH($A32,警職大表!$A$1:$A$100,0),   MATCH(AF$1,警職大表!$A$3:$AZ$3,0)  )=0,"",INDEX(警職大表!$A$1:$AZ$100,MATCH($A32,警職大表!$A$1:$A$100,0),   MATCH(AF$1,警職大表!$A$3:$AZ$3,0)  )        )="",AE32,  IF(  INDEX(警職大表!$A$1:$AZ$100,MATCH($A32,警職大表!$A$1:$A$100,0),   MATCH(AF$1,警職大表!$A$3:$AZ$3,0)  )=0,"",INDEX(警職大表!$A$1:$AZ$100,MATCH($A32,警職大表!$A$1:$A$100,0),   MATCH(AF$1,警職大表!$A$3:$AZ$3,0)  ) )    ),"")</f>
        <v/>
      </c>
      <c r="AG32" s="271" t="str">
        <f>_xlfn.IFNA(   IF(   IF(  INDEX(警職大表!$A$1:$AZ$100,MATCH($A32,警職大表!$A$1:$A$100,0),   MATCH(AG$1,警職大表!$A$3:$AZ$3,0)  )=0,"",INDEX(警職大表!$A$1:$AZ$100,MATCH($A32,警職大表!$A$1:$A$100,0),   MATCH(AG$1,警職大表!$A$3:$AZ$3,0)  )        )="",AF32,  IF(  INDEX(警職大表!$A$1:$AZ$100,MATCH($A32,警職大表!$A$1:$A$100,0),   MATCH(AG$1,警職大表!$A$3:$AZ$3,0)  )=0,"",INDEX(警職大表!$A$1:$AZ$100,MATCH($A32,警職大表!$A$1:$A$100,0),   MATCH(AG$1,警職大表!$A$3:$AZ$3,0)  ) )    ),"")</f>
        <v/>
      </c>
      <c r="AL32" s="271" t="str">
        <f t="shared" si="0"/>
        <v/>
      </c>
      <c r="AM32" s="271" t="str">
        <f t="shared" si="1"/>
        <v/>
      </c>
      <c r="AN32" s="271" t="str">
        <f>INDEX(   $A$41:$AG$78, MATCH(AL32,$A$41:$A$78,0),MATCH(  DAY(勤務分配表!$AN$1),$A$41:$AL$41,0  )  )</f>
        <v/>
      </c>
      <c r="AO32" s="271" t="str">
        <f>IF((ROW(AO32)-1)&lt;=日期輸入!$B$5,_xlfn.IFNA(IF(INDEX($A$1:$AG$40,MATCH($AM32,$B$1:$B$100,0),VALUE($AO$1+3))="成","補",INDEX($A$1:$AG$40,MATCH($AM32,$B$1:$B$100,0),VALUE($AO$1+3))),""),"")</f>
        <v/>
      </c>
      <c r="AP32" s="271" t="str">
        <f>IF((ROW(AP32)-1)&lt;=日期輸入!$B$5,_xlfn.IFNA(IF(INDEX($A$1:$AG$40,MATCH($AM32,$B$1:$B$100,0),VALUE($AP$1+3))="成","補",INDEX($A$1:$AG$40,MATCH($AM32,$B$1:$B$100,0),VALUE($AP$1+3))),""),"")</f>
        <v/>
      </c>
      <c r="AQ32" s="271" t="str">
        <f>IF((ROW(AQ32)-1)&lt;=日期輸入!$B$5,_xlfn.IFNA(IF(INDEX($A$1:$AG$40,MATCH($AM32,$B$1:$B$100,0),VALUE($AQ$1+3))="成","補",INDEX($A$1:$AG$40,MATCH($AM32,$B$1:$B$100,0),VALUE($AQ$1+3))),""),"")</f>
        <v/>
      </c>
    </row>
    <row r="33" spans="1:43">
      <c r="A33" s="271" t="str">
        <f>IF(  (ROW(A33)-1)&lt;=日期輸入!$B$5,勤務分配!A33,"")</f>
        <v/>
      </c>
      <c r="B33" s="271" t="str">
        <f>_xlfn.IFNA(  INDEX(警職大表!$A$1:$AZ$100,MATCH(A33,警職大表!$A$1:$A$100,0),3),"")</f>
        <v/>
      </c>
      <c r="C33" s="271" t="str">
        <f>_xlfn.IFNA(  IF(  INDEX(警職大表!$A$1:$AZ$100,MATCH($A33,警職大表!$A$1:$A$100,0),   MATCH(C$1,警職大表!$A$3:$AZ$3,0)  )=0,"",INDEX(警職大表!$A$1:$AZ$100,MATCH($A33,警職大表!$A$1:$A$100,0),   MATCH(C$1,警職大表!$A$3:$AZ$3,0)  )                ),"")</f>
        <v/>
      </c>
      <c r="D33" s="271" t="str">
        <f>_xlfn.IFNA(   IF(   IF(  INDEX(警職大表!$A$1:$AZ$100,MATCH($A33,警職大表!$A$1:$A$100,0),   MATCH(D$1,警職大表!$A$3:$AZ$3,0)  )=0,"",INDEX(警職大表!$A$1:$AZ$100,MATCH($A33,警職大表!$A$1:$A$100,0),   MATCH(D$1,警職大表!$A$3:$AZ$3,0)  )        )="",C33,  IF(  INDEX(警職大表!$A$1:$AZ$100,MATCH($A33,警職大表!$A$1:$A$100,0),   MATCH(D$1,警職大表!$A$3:$AZ$3,0)  )=0,"",INDEX(警職大表!$A$1:$AZ$100,MATCH($A33,警職大表!$A$1:$A$100,0),   MATCH(D$1,警職大表!$A$3:$AZ$3,0)  ) )    ),"")</f>
        <v/>
      </c>
      <c r="E33" s="271" t="str">
        <f>_xlfn.IFNA(   IF(   IF(  INDEX(警職大表!$A$1:$AZ$100,MATCH($A33,警職大表!$A$1:$A$100,0),   MATCH(E$1,警職大表!$A$3:$AZ$3,0)  )=0,"",INDEX(警職大表!$A$1:$AZ$100,MATCH($A33,警職大表!$A$1:$A$100,0),   MATCH(E$1,警職大表!$A$3:$AZ$3,0)  )        )="",D33,  IF(  INDEX(警職大表!$A$1:$AZ$100,MATCH($A33,警職大表!$A$1:$A$100,0),   MATCH(E$1,警職大表!$A$3:$AZ$3,0)  )=0,"",INDEX(警職大表!$A$1:$AZ$100,MATCH($A33,警職大表!$A$1:$A$100,0),   MATCH(E$1,警職大表!$A$3:$AZ$3,0)  ) )    ),"")</f>
        <v/>
      </c>
      <c r="F33" s="271" t="str">
        <f>_xlfn.IFNA(   IF(   IF(  INDEX(警職大表!$A$1:$AZ$100,MATCH($A33,警職大表!$A$1:$A$100,0),   MATCH(F$1,警職大表!$A$3:$AZ$3,0)  )=0,"",INDEX(警職大表!$A$1:$AZ$100,MATCH($A33,警職大表!$A$1:$A$100,0),   MATCH(F$1,警職大表!$A$3:$AZ$3,0)  )        )="",E33,  IF(  INDEX(警職大表!$A$1:$AZ$100,MATCH($A33,警職大表!$A$1:$A$100,0),   MATCH(F$1,警職大表!$A$3:$AZ$3,0)  )=0,"",INDEX(警職大表!$A$1:$AZ$100,MATCH($A33,警職大表!$A$1:$A$100,0),   MATCH(F$1,警職大表!$A$3:$AZ$3,0)  ) )    ),"")</f>
        <v/>
      </c>
      <c r="G33" s="271" t="str">
        <f>_xlfn.IFNA(   IF(   IF(  INDEX(警職大表!$A$1:$AZ$100,MATCH($A33,警職大表!$A$1:$A$100,0),   MATCH(G$1,警職大表!$A$3:$AZ$3,0)  )=0,"",INDEX(警職大表!$A$1:$AZ$100,MATCH($A33,警職大表!$A$1:$A$100,0),   MATCH(G$1,警職大表!$A$3:$AZ$3,0)  )        )="",F33,  IF(  INDEX(警職大表!$A$1:$AZ$100,MATCH($A33,警職大表!$A$1:$A$100,0),   MATCH(G$1,警職大表!$A$3:$AZ$3,0)  )=0,"",INDEX(警職大表!$A$1:$AZ$100,MATCH($A33,警職大表!$A$1:$A$100,0),   MATCH(G$1,警職大表!$A$3:$AZ$3,0)  ) )    ),"")</f>
        <v/>
      </c>
      <c r="H33" s="271" t="str">
        <f>_xlfn.IFNA(   IF(   IF(  INDEX(警職大表!$A$1:$AZ$100,MATCH($A33,警職大表!$A$1:$A$100,0),   MATCH(H$1,警職大表!$A$3:$AZ$3,0)  )=0,"",INDEX(警職大表!$A$1:$AZ$100,MATCH($A33,警職大表!$A$1:$A$100,0),   MATCH(H$1,警職大表!$A$3:$AZ$3,0)  )        )="",G33,  IF(  INDEX(警職大表!$A$1:$AZ$100,MATCH($A33,警職大表!$A$1:$A$100,0),   MATCH(H$1,警職大表!$A$3:$AZ$3,0)  )=0,"",INDEX(警職大表!$A$1:$AZ$100,MATCH($A33,警職大表!$A$1:$A$100,0),   MATCH(H$1,警職大表!$A$3:$AZ$3,0)  ) )    ),"")</f>
        <v/>
      </c>
      <c r="I33" s="271" t="str">
        <f>_xlfn.IFNA(   IF(   IF(  INDEX(警職大表!$A$1:$AZ$100,MATCH($A33,警職大表!$A$1:$A$100,0),   MATCH(I$1,警職大表!$A$3:$AZ$3,0)  )=0,"",INDEX(警職大表!$A$1:$AZ$100,MATCH($A33,警職大表!$A$1:$A$100,0),   MATCH(I$1,警職大表!$A$3:$AZ$3,0)  )        )="",H33,  IF(  INDEX(警職大表!$A$1:$AZ$100,MATCH($A33,警職大表!$A$1:$A$100,0),   MATCH(I$1,警職大表!$A$3:$AZ$3,0)  )=0,"",INDEX(警職大表!$A$1:$AZ$100,MATCH($A33,警職大表!$A$1:$A$100,0),   MATCH(I$1,警職大表!$A$3:$AZ$3,0)  ) )    ),"")</f>
        <v/>
      </c>
      <c r="J33" s="271" t="str">
        <f>_xlfn.IFNA(   IF(   IF(  INDEX(警職大表!$A$1:$AZ$100,MATCH($A33,警職大表!$A$1:$A$100,0),   MATCH(J$1,警職大表!$A$3:$AZ$3,0)  )=0,"",INDEX(警職大表!$A$1:$AZ$100,MATCH($A33,警職大表!$A$1:$A$100,0),   MATCH(J$1,警職大表!$A$3:$AZ$3,0)  )        )="",I33,  IF(  INDEX(警職大表!$A$1:$AZ$100,MATCH($A33,警職大表!$A$1:$A$100,0),   MATCH(J$1,警職大表!$A$3:$AZ$3,0)  )=0,"",INDEX(警職大表!$A$1:$AZ$100,MATCH($A33,警職大表!$A$1:$A$100,0),   MATCH(J$1,警職大表!$A$3:$AZ$3,0)  ) )    ),"")</f>
        <v/>
      </c>
      <c r="K33" s="271" t="str">
        <f>_xlfn.IFNA(   IF(   IF(  INDEX(警職大表!$A$1:$AZ$100,MATCH($A33,警職大表!$A$1:$A$100,0),   MATCH(K$1,警職大表!$A$3:$AZ$3,0)  )=0,"",INDEX(警職大表!$A$1:$AZ$100,MATCH($A33,警職大表!$A$1:$A$100,0),   MATCH(K$1,警職大表!$A$3:$AZ$3,0)  )        )="",J33,  IF(  INDEX(警職大表!$A$1:$AZ$100,MATCH($A33,警職大表!$A$1:$A$100,0),   MATCH(K$1,警職大表!$A$3:$AZ$3,0)  )=0,"",INDEX(警職大表!$A$1:$AZ$100,MATCH($A33,警職大表!$A$1:$A$100,0),   MATCH(K$1,警職大表!$A$3:$AZ$3,0)  ) )    ),"")</f>
        <v/>
      </c>
      <c r="L33" s="271" t="str">
        <f>_xlfn.IFNA(   IF(   IF(  INDEX(警職大表!$A$1:$AZ$100,MATCH($A33,警職大表!$A$1:$A$100,0),   MATCH(L$1,警職大表!$A$3:$AZ$3,0)  )=0,"",INDEX(警職大表!$A$1:$AZ$100,MATCH($A33,警職大表!$A$1:$A$100,0),   MATCH(L$1,警職大表!$A$3:$AZ$3,0)  )        )="",K33,  IF(  INDEX(警職大表!$A$1:$AZ$100,MATCH($A33,警職大表!$A$1:$A$100,0),   MATCH(L$1,警職大表!$A$3:$AZ$3,0)  )=0,"",INDEX(警職大表!$A$1:$AZ$100,MATCH($A33,警職大表!$A$1:$A$100,0),   MATCH(L$1,警職大表!$A$3:$AZ$3,0)  ) )    ),"")</f>
        <v/>
      </c>
      <c r="M33" s="271" t="str">
        <f>_xlfn.IFNA(   IF(   IF(  INDEX(警職大表!$A$1:$AZ$100,MATCH($A33,警職大表!$A$1:$A$100,0),   MATCH(M$1,警職大表!$A$3:$AZ$3,0)  )=0,"",INDEX(警職大表!$A$1:$AZ$100,MATCH($A33,警職大表!$A$1:$A$100,0),   MATCH(M$1,警職大表!$A$3:$AZ$3,0)  )        )="",L33,  IF(  INDEX(警職大表!$A$1:$AZ$100,MATCH($A33,警職大表!$A$1:$A$100,0),   MATCH(M$1,警職大表!$A$3:$AZ$3,0)  )=0,"",INDEX(警職大表!$A$1:$AZ$100,MATCH($A33,警職大表!$A$1:$A$100,0),   MATCH(M$1,警職大表!$A$3:$AZ$3,0)  ) )    ),"")</f>
        <v/>
      </c>
      <c r="N33" s="271" t="str">
        <f>_xlfn.IFNA(   IF(   IF(  INDEX(警職大表!$A$1:$AZ$100,MATCH($A33,警職大表!$A$1:$A$100,0),   MATCH(N$1,警職大表!$A$3:$AZ$3,0)  )=0,"",INDEX(警職大表!$A$1:$AZ$100,MATCH($A33,警職大表!$A$1:$A$100,0),   MATCH(N$1,警職大表!$A$3:$AZ$3,0)  )        )="",M33,  IF(  INDEX(警職大表!$A$1:$AZ$100,MATCH($A33,警職大表!$A$1:$A$100,0),   MATCH(N$1,警職大表!$A$3:$AZ$3,0)  )=0,"",INDEX(警職大表!$A$1:$AZ$100,MATCH($A33,警職大表!$A$1:$A$100,0),   MATCH(N$1,警職大表!$A$3:$AZ$3,0)  ) )    ),"")</f>
        <v/>
      </c>
      <c r="O33" s="271" t="str">
        <f>_xlfn.IFNA(   IF(   IF(  INDEX(警職大表!$A$1:$AZ$100,MATCH($A33,警職大表!$A$1:$A$100,0),   MATCH(O$1,警職大表!$A$3:$AZ$3,0)  )=0,"",INDEX(警職大表!$A$1:$AZ$100,MATCH($A33,警職大表!$A$1:$A$100,0),   MATCH(O$1,警職大表!$A$3:$AZ$3,0)  )        )="",N33,  IF(  INDEX(警職大表!$A$1:$AZ$100,MATCH($A33,警職大表!$A$1:$A$100,0),   MATCH(O$1,警職大表!$A$3:$AZ$3,0)  )=0,"",INDEX(警職大表!$A$1:$AZ$100,MATCH($A33,警職大表!$A$1:$A$100,0),   MATCH(O$1,警職大表!$A$3:$AZ$3,0)  ) )    ),"")</f>
        <v/>
      </c>
      <c r="P33" s="271" t="str">
        <f>_xlfn.IFNA(   IF(   IF(  INDEX(警職大表!$A$1:$AZ$100,MATCH($A33,警職大表!$A$1:$A$100,0),   MATCH(P$1,警職大表!$A$3:$AZ$3,0)  )=0,"",INDEX(警職大表!$A$1:$AZ$100,MATCH($A33,警職大表!$A$1:$A$100,0),   MATCH(P$1,警職大表!$A$3:$AZ$3,0)  )        )="",O33,  IF(  INDEX(警職大表!$A$1:$AZ$100,MATCH($A33,警職大表!$A$1:$A$100,0),   MATCH(P$1,警職大表!$A$3:$AZ$3,0)  )=0,"",INDEX(警職大表!$A$1:$AZ$100,MATCH($A33,警職大表!$A$1:$A$100,0),   MATCH(P$1,警職大表!$A$3:$AZ$3,0)  ) )    ),"")</f>
        <v/>
      </c>
      <c r="Q33" s="271" t="str">
        <f>_xlfn.IFNA(   IF(   IF(  INDEX(警職大表!$A$1:$AZ$100,MATCH($A33,警職大表!$A$1:$A$100,0),   MATCH(Q$1,警職大表!$A$3:$AZ$3,0)  )=0,"",INDEX(警職大表!$A$1:$AZ$100,MATCH($A33,警職大表!$A$1:$A$100,0),   MATCH(Q$1,警職大表!$A$3:$AZ$3,0)  )        )="",P33,  IF(  INDEX(警職大表!$A$1:$AZ$100,MATCH($A33,警職大表!$A$1:$A$100,0),   MATCH(Q$1,警職大表!$A$3:$AZ$3,0)  )=0,"",INDEX(警職大表!$A$1:$AZ$100,MATCH($A33,警職大表!$A$1:$A$100,0),   MATCH(Q$1,警職大表!$A$3:$AZ$3,0)  ) )    ),"")</f>
        <v/>
      </c>
      <c r="R33" s="271" t="str">
        <f>_xlfn.IFNA(   IF(   IF(  INDEX(警職大表!$A$1:$AZ$100,MATCH($A33,警職大表!$A$1:$A$100,0),   MATCH(R$1,警職大表!$A$3:$AZ$3,0)  )=0,"",INDEX(警職大表!$A$1:$AZ$100,MATCH($A33,警職大表!$A$1:$A$100,0),   MATCH(R$1,警職大表!$A$3:$AZ$3,0)  )        )="",Q33,  IF(  INDEX(警職大表!$A$1:$AZ$100,MATCH($A33,警職大表!$A$1:$A$100,0),   MATCH(R$1,警職大表!$A$3:$AZ$3,0)  )=0,"",INDEX(警職大表!$A$1:$AZ$100,MATCH($A33,警職大表!$A$1:$A$100,0),   MATCH(R$1,警職大表!$A$3:$AZ$3,0)  ) )    ),"")</f>
        <v/>
      </c>
      <c r="S33" s="271" t="str">
        <f>_xlfn.IFNA(   IF(   IF(  INDEX(警職大表!$A$1:$AZ$100,MATCH($A33,警職大表!$A$1:$A$100,0),   MATCH(S$1,警職大表!$A$3:$AZ$3,0)  )=0,"",INDEX(警職大表!$A$1:$AZ$100,MATCH($A33,警職大表!$A$1:$A$100,0),   MATCH(S$1,警職大表!$A$3:$AZ$3,0)  )        )="",R33,  IF(  INDEX(警職大表!$A$1:$AZ$100,MATCH($A33,警職大表!$A$1:$A$100,0),   MATCH(S$1,警職大表!$A$3:$AZ$3,0)  )=0,"",INDEX(警職大表!$A$1:$AZ$100,MATCH($A33,警職大表!$A$1:$A$100,0),   MATCH(S$1,警職大表!$A$3:$AZ$3,0)  ) )    ),"")</f>
        <v/>
      </c>
      <c r="T33" s="271" t="str">
        <f>_xlfn.IFNA(   IF(   IF(  INDEX(警職大表!$A$1:$AZ$100,MATCH($A33,警職大表!$A$1:$A$100,0),   MATCH(T$1,警職大表!$A$3:$AZ$3,0)  )=0,"",INDEX(警職大表!$A$1:$AZ$100,MATCH($A33,警職大表!$A$1:$A$100,0),   MATCH(T$1,警職大表!$A$3:$AZ$3,0)  )        )="",S33,  IF(  INDEX(警職大表!$A$1:$AZ$100,MATCH($A33,警職大表!$A$1:$A$100,0),   MATCH(T$1,警職大表!$A$3:$AZ$3,0)  )=0,"",INDEX(警職大表!$A$1:$AZ$100,MATCH($A33,警職大表!$A$1:$A$100,0),   MATCH(T$1,警職大表!$A$3:$AZ$3,0)  ) )    ),"")</f>
        <v/>
      </c>
      <c r="U33" s="271" t="str">
        <f>_xlfn.IFNA(   IF(   IF(  INDEX(警職大表!$A$1:$AZ$100,MATCH($A33,警職大表!$A$1:$A$100,0),   MATCH(U$1,警職大表!$A$3:$AZ$3,0)  )=0,"",INDEX(警職大表!$A$1:$AZ$100,MATCH($A33,警職大表!$A$1:$A$100,0),   MATCH(U$1,警職大表!$A$3:$AZ$3,0)  )        )="",T33,  IF(  INDEX(警職大表!$A$1:$AZ$100,MATCH($A33,警職大表!$A$1:$A$100,0),   MATCH(U$1,警職大表!$A$3:$AZ$3,0)  )=0,"",INDEX(警職大表!$A$1:$AZ$100,MATCH($A33,警職大表!$A$1:$A$100,0),   MATCH(U$1,警職大表!$A$3:$AZ$3,0)  ) )    ),"")</f>
        <v/>
      </c>
      <c r="V33" s="271" t="str">
        <f>_xlfn.IFNA(   IF(   IF(  INDEX(警職大表!$A$1:$AZ$100,MATCH($A33,警職大表!$A$1:$A$100,0),   MATCH(V$1,警職大表!$A$3:$AZ$3,0)  )=0,"",INDEX(警職大表!$A$1:$AZ$100,MATCH($A33,警職大表!$A$1:$A$100,0),   MATCH(V$1,警職大表!$A$3:$AZ$3,0)  )        )="",U33,  IF(  INDEX(警職大表!$A$1:$AZ$100,MATCH($A33,警職大表!$A$1:$A$100,0),   MATCH(V$1,警職大表!$A$3:$AZ$3,0)  )=0,"",INDEX(警職大表!$A$1:$AZ$100,MATCH($A33,警職大表!$A$1:$A$100,0),   MATCH(V$1,警職大表!$A$3:$AZ$3,0)  ) )    ),"")</f>
        <v/>
      </c>
      <c r="W33" s="271" t="str">
        <f>_xlfn.IFNA(   IF(   IF(  INDEX(警職大表!$A$1:$AZ$100,MATCH($A33,警職大表!$A$1:$A$100,0),   MATCH(W$1,警職大表!$A$3:$AZ$3,0)  )=0,"",INDEX(警職大表!$A$1:$AZ$100,MATCH($A33,警職大表!$A$1:$A$100,0),   MATCH(W$1,警職大表!$A$3:$AZ$3,0)  )        )="",V33,  IF(  INDEX(警職大表!$A$1:$AZ$100,MATCH($A33,警職大表!$A$1:$A$100,0),   MATCH(W$1,警職大表!$A$3:$AZ$3,0)  )=0,"",INDEX(警職大表!$A$1:$AZ$100,MATCH($A33,警職大表!$A$1:$A$100,0),   MATCH(W$1,警職大表!$A$3:$AZ$3,0)  ) )    ),"")</f>
        <v/>
      </c>
      <c r="X33" s="271" t="str">
        <f>_xlfn.IFNA(   IF(   IF(  INDEX(警職大表!$A$1:$AZ$100,MATCH($A33,警職大表!$A$1:$A$100,0),   MATCH(X$1,警職大表!$A$3:$AZ$3,0)  )=0,"",INDEX(警職大表!$A$1:$AZ$100,MATCH($A33,警職大表!$A$1:$A$100,0),   MATCH(X$1,警職大表!$A$3:$AZ$3,0)  )        )="",W33,  IF(  INDEX(警職大表!$A$1:$AZ$100,MATCH($A33,警職大表!$A$1:$A$100,0),   MATCH(X$1,警職大表!$A$3:$AZ$3,0)  )=0,"",INDEX(警職大表!$A$1:$AZ$100,MATCH($A33,警職大表!$A$1:$A$100,0),   MATCH(X$1,警職大表!$A$3:$AZ$3,0)  ) )    ),"")</f>
        <v/>
      </c>
      <c r="Y33" s="271" t="str">
        <f>_xlfn.IFNA(   IF(   IF(  INDEX(警職大表!$A$1:$AZ$100,MATCH($A33,警職大表!$A$1:$A$100,0),   MATCH(Y$1,警職大表!$A$3:$AZ$3,0)  )=0,"",INDEX(警職大表!$A$1:$AZ$100,MATCH($A33,警職大表!$A$1:$A$100,0),   MATCH(Y$1,警職大表!$A$3:$AZ$3,0)  )        )="",X33,  IF(  INDEX(警職大表!$A$1:$AZ$100,MATCH($A33,警職大表!$A$1:$A$100,0),   MATCH(Y$1,警職大表!$A$3:$AZ$3,0)  )=0,"",INDEX(警職大表!$A$1:$AZ$100,MATCH($A33,警職大表!$A$1:$A$100,0),   MATCH(Y$1,警職大表!$A$3:$AZ$3,0)  ) )    ),"")</f>
        <v/>
      </c>
      <c r="Z33" s="271" t="str">
        <f>_xlfn.IFNA(   IF(   IF(  INDEX(警職大表!$A$1:$AZ$100,MATCH($A33,警職大表!$A$1:$A$100,0),   MATCH(Z$1,警職大表!$A$3:$AZ$3,0)  )=0,"",INDEX(警職大表!$A$1:$AZ$100,MATCH($A33,警職大表!$A$1:$A$100,0),   MATCH(Z$1,警職大表!$A$3:$AZ$3,0)  )        )="",Y33,  IF(  INDEX(警職大表!$A$1:$AZ$100,MATCH($A33,警職大表!$A$1:$A$100,0),   MATCH(Z$1,警職大表!$A$3:$AZ$3,0)  )=0,"",INDEX(警職大表!$A$1:$AZ$100,MATCH($A33,警職大表!$A$1:$A$100,0),   MATCH(Z$1,警職大表!$A$3:$AZ$3,0)  ) )    ),"")</f>
        <v/>
      </c>
      <c r="AA33" s="271" t="str">
        <f>_xlfn.IFNA(   IF(   IF(  INDEX(警職大表!$A$1:$AZ$100,MATCH($A33,警職大表!$A$1:$A$100,0),   MATCH(AA$1,警職大表!$A$3:$AZ$3,0)  )=0,"",INDEX(警職大表!$A$1:$AZ$100,MATCH($A33,警職大表!$A$1:$A$100,0),   MATCH(AA$1,警職大表!$A$3:$AZ$3,0)  )        )="",Z33,  IF(  INDEX(警職大表!$A$1:$AZ$100,MATCH($A33,警職大表!$A$1:$A$100,0),   MATCH(AA$1,警職大表!$A$3:$AZ$3,0)  )=0,"",INDEX(警職大表!$A$1:$AZ$100,MATCH($A33,警職大表!$A$1:$A$100,0),   MATCH(AA$1,警職大表!$A$3:$AZ$3,0)  ) )    ),"")</f>
        <v/>
      </c>
      <c r="AB33" s="271" t="str">
        <f>_xlfn.IFNA(   IF(   IF(  INDEX(警職大表!$A$1:$AZ$100,MATCH($A33,警職大表!$A$1:$A$100,0),   MATCH(AB$1,警職大表!$A$3:$AZ$3,0)  )=0,"",INDEX(警職大表!$A$1:$AZ$100,MATCH($A33,警職大表!$A$1:$A$100,0),   MATCH(AB$1,警職大表!$A$3:$AZ$3,0)  )        )="",AA33,  IF(  INDEX(警職大表!$A$1:$AZ$100,MATCH($A33,警職大表!$A$1:$A$100,0),   MATCH(AB$1,警職大表!$A$3:$AZ$3,0)  )=0,"",INDEX(警職大表!$A$1:$AZ$100,MATCH($A33,警職大表!$A$1:$A$100,0),   MATCH(AB$1,警職大表!$A$3:$AZ$3,0)  ) )    ),"")</f>
        <v/>
      </c>
      <c r="AC33" s="271" t="str">
        <f>_xlfn.IFNA(   IF(   IF(  INDEX(警職大表!$A$1:$AZ$100,MATCH($A33,警職大表!$A$1:$A$100,0),   MATCH(AC$1,警職大表!$A$3:$AZ$3,0)  )=0,"",INDEX(警職大表!$A$1:$AZ$100,MATCH($A33,警職大表!$A$1:$A$100,0),   MATCH(AC$1,警職大表!$A$3:$AZ$3,0)  )        )="",AB33,  IF(  INDEX(警職大表!$A$1:$AZ$100,MATCH($A33,警職大表!$A$1:$A$100,0),   MATCH(AC$1,警職大表!$A$3:$AZ$3,0)  )=0,"",INDEX(警職大表!$A$1:$AZ$100,MATCH($A33,警職大表!$A$1:$A$100,0),   MATCH(AC$1,警職大表!$A$3:$AZ$3,0)  ) )    ),"")</f>
        <v/>
      </c>
      <c r="AD33" s="271" t="str">
        <f>_xlfn.IFNA(   IF(   IF(  INDEX(警職大表!$A$1:$AZ$100,MATCH($A33,警職大表!$A$1:$A$100,0),   MATCH(AD$1,警職大表!$A$3:$AZ$3,0)  )=0,"",INDEX(警職大表!$A$1:$AZ$100,MATCH($A33,警職大表!$A$1:$A$100,0),   MATCH(AD$1,警職大表!$A$3:$AZ$3,0)  )        )="",AC33,  IF(  INDEX(警職大表!$A$1:$AZ$100,MATCH($A33,警職大表!$A$1:$A$100,0),   MATCH(AD$1,警職大表!$A$3:$AZ$3,0)  )=0,"",INDEX(警職大表!$A$1:$AZ$100,MATCH($A33,警職大表!$A$1:$A$100,0),   MATCH(AD$1,警職大表!$A$3:$AZ$3,0)  ) )    ),"")</f>
        <v/>
      </c>
      <c r="AE33" s="271" t="str">
        <f>_xlfn.IFNA(   IF(   IF(  INDEX(警職大表!$A$1:$AZ$100,MATCH($A33,警職大表!$A$1:$A$100,0),   MATCH(AE$1,警職大表!$A$3:$AZ$3,0)  )=0,"",INDEX(警職大表!$A$1:$AZ$100,MATCH($A33,警職大表!$A$1:$A$100,0),   MATCH(AE$1,警職大表!$A$3:$AZ$3,0)  )        )="",AD33,  IF(  INDEX(警職大表!$A$1:$AZ$100,MATCH($A33,警職大表!$A$1:$A$100,0),   MATCH(AE$1,警職大表!$A$3:$AZ$3,0)  )=0,"",INDEX(警職大表!$A$1:$AZ$100,MATCH($A33,警職大表!$A$1:$A$100,0),   MATCH(AE$1,警職大表!$A$3:$AZ$3,0)  ) )    ),"")</f>
        <v/>
      </c>
      <c r="AF33" s="271" t="str">
        <f>_xlfn.IFNA(   IF(   IF(  INDEX(警職大表!$A$1:$AZ$100,MATCH($A33,警職大表!$A$1:$A$100,0),   MATCH(AF$1,警職大表!$A$3:$AZ$3,0)  )=0,"",INDEX(警職大表!$A$1:$AZ$100,MATCH($A33,警職大表!$A$1:$A$100,0),   MATCH(AF$1,警職大表!$A$3:$AZ$3,0)  )        )="",AE33,  IF(  INDEX(警職大表!$A$1:$AZ$100,MATCH($A33,警職大表!$A$1:$A$100,0),   MATCH(AF$1,警職大表!$A$3:$AZ$3,0)  )=0,"",INDEX(警職大表!$A$1:$AZ$100,MATCH($A33,警職大表!$A$1:$A$100,0),   MATCH(AF$1,警職大表!$A$3:$AZ$3,0)  ) )    ),"")</f>
        <v/>
      </c>
      <c r="AG33" s="271" t="str">
        <f>_xlfn.IFNA(   IF(   IF(  INDEX(警職大表!$A$1:$AZ$100,MATCH($A33,警職大表!$A$1:$A$100,0),   MATCH(AG$1,警職大表!$A$3:$AZ$3,0)  )=0,"",INDEX(警職大表!$A$1:$AZ$100,MATCH($A33,警職大表!$A$1:$A$100,0),   MATCH(AG$1,警職大表!$A$3:$AZ$3,0)  )        )="",AF33,  IF(  INDEX(警職大表!$A$1:$AZ$100,MATCH($A33,警職大表!$A$1:$A$100,0),   MATCH(AG$1,警職大表!$A$3:$AZ$3,0)  )=0,"",INDEX(警職大表!$A$1:$AZ$100,MATCH($A33,警職大表!$A$1:$A$100,0),   MATCH(AG$1,警職大表!$A$3:$AZ$3,0)  ) )    ),"")</f>
        <v/>
      </c>
      <c r="AL33" s="271" t="str">
        <f t="shared" si="0"/>
        <v/>
      </c>
      <c r="AM33" s="271" t="str">
        <f t="shared" si="1"/>
        <v/>
      </c>
      <c r="AN33" s="271" t="str">
        <f>INDEX(   $A$41:$AG$78, MATCH(AL33,$A$41:$A$78,0),MATCH(  DAY(勤務分配表!$AN$1),$A$41:$AL$41,0  )  )</f>
        <v/>
      </c>
      <c r="AO33" s="271" t="str">
        <f>IF((ROW(AO33)-1)&lt;=日期輸入!$B$5,_xlfn.IFNA(IF(INDEX($A$1:$AG$40,MATCH($AM33,$B$1:$B$100,0),VALUE($AO$1+3))="成","補",INDEX($A$1:$AG$40,MATCH($AM33,$B$1:$B$100,0),VALUE($AO$1+3))),""),"")</f>
        <v/>
      </c>
      <c r="AP33" s="271" t="str">
        <f>IF((ROW(AP33)-1)&lt;=日期輸入!$B$5,_xlfn.IFNA(IF(INDEX($A$1:$AG$40,MATCH($AM33,$B$1:$B$100,0),VALUE($AP$1+3))="成","補",INDEX($A$1:$AG$40,MATCH($AM33,$B$1:$B$100,0),VALUE($AP$1+3))),""),"")</f>
        <v/>
      </c>
      <c r="AQ33" s="271" t="str">
        <f>IF((ROW(AQ33)-1)&lt;=日期輸入!$B$5,_xlfn.IFNA(IF(INDEX($A$1:$AG$40,MATCH($AM33,$B$1:$B$100,0),VALUE($AQ$1+3))="成","補",INDEX($A$1:$AG$40,MATCH($AM33,$B$1:$B$100,0),VALUE($AQ$1+3))),""),"")</f>
        <v/>
      </c>
    </row>
    <row r="34" spans="1:43">
      <c r="A34" s="271" t="str">
        <f>IF(  (ROW(A34)-1)&lt;=日期輸入!$B$5,勤務分配!A34,"")</f>
        <v/>
      </c>
      <c r="B34" s="271" t="str">
        <f>_xlfn.IFNA(  INDEX(警職大表!$A$1:$AZ$100,MATCH(A34,警職大表!$A$1:$A$100,0),3),"")</f>
        <v/>
      </c>
      <c r="C34" s="271" t="str">
        <f>_xlfn.IFNA(  IF(  INDEX(警職大表!$A$1:$AZ$100,MATCH($A34,警職大表!$A$1:$A$100,0),   MATCH(C$1,警職大表!$A$3:$AZ$3,0)  )=0,"",INDEX(警職大表!$A$1:$AZ$100,MATCH($A34,警職大表!$A$1:$A$100,0),   MATCH(C$1,警職大表!$A$3:$AZ$3,0)  )                ),"")</f>
        <v/>
      </c>
      <c r="D34" s="271" t="str">
        <f>_xlfn.IFNA(   IF(   IF(  INDEX(警職大表!$A$1:$AZ$100,MATCH($A34,警職大表!$A$1:$A$100,0),   MATCH(D$1,警職大表!$A$3:$AZ$3,0)  )=0,"",INDEX(警職大表!$A$1:$AZ$100,MATCH($A34,警職大表!$A$1:$A$100,0),   MATCH(D$1,警職大表!$A$3:$AZ$3,0)  )        )="",C34,  IF(  INDEX(警職大表!$A$1:$AZ$100,MATCH($A34,警職大表!$A$1:$A$100,0),   MATCH(D$1,警職大表!$A$3:$AZ$3,0)  )=0,"",INDEX(警職大表!$A$1:$AZ$100,MATCH($A34,警職大表!$A$1:$A$100,0),   MATCH(D$1,警職大表!$A$3:$AZ$3,0)  ) )    ),"")</f>
        <v/>
      </c>
      <c r="E34" s="271" t="str">
        <f>_xlfn.IFNA(   IF(   IF(  INDEX(警職大表!$A$1:$AZ$100,MATCH($A34,警職大表!$A$1:$A$100,0),   MATCH(E$1,警職大表!$A$3:$AZ$3,0)  )=0,"",INDEX(警職大表!$A$1:$AZ$100,MATCH($A34,警職大表!$A$1:$A$100,0),   MATCH(E$1,警職大表!$A$3:$AZ$3,0)  )        )="",D34,  IF(  INDEX(警職大表!$A$1:$AZ$100,MATCH($A34,警職大表!$A$1:$A$100,0),   MATCH(E$1,警職大表!$A$3:$AZ$3,0)  )=0,"",INDEX(警職大表!$A$1:$AZ$100,MATCH($A34,警職大表!$A$1:$A$100,0),   MATCH(E$1,警職大表!$A$3:$AZ$3,0)  ) )    ),"")</f>
        <v/>
      </c>
      <c r="F34" s="271" t="str">
        <f>_xlfn.IFNA(   IF(   IF(  INDEX(警職大表!$A$1:$AZ$100,MATCH($A34,警職大表!$A$1:$A$100,0),   MATCH(F$1,警職大表!$A$3:$AZ$3,0)  )=0,"",INDEX(警職大表!$A$1:$AZ$100,MATCH($A34,警職大表!$A$1:$A$100,0),   MATCH(F$1,警職大表!$A$3:$AZ$3,0)  )        )="",E34,  IF(  INDEX(警職大表!$A$1:$AZ$100,MATCH($A34,警職大表!$A$1:$A$100,0),   MATCH(F$1,警職大表!$A$3:$AZ$3,0)  )=0,"",INDEX(警職大表!$A$1:$AZ$100,MATCH($A34,警職大表!$A$1:$A$100,0),   MATCH(F$1,警職大表!$A$3:$AZ$3,0)  ) )    ),"")</f>
        <v/>
      </c>
      <c r="G34" s="271" t="str">
        <f>_xlfn.IFNA(   IF(   IF(  INDEX(警職大表!$A$1:$AZ$100,MATCH($A34,警職大表!$A$1:$A$100,0),   MATCH(G$1,警職大表!$A$3:$AZ$3,0)  )=0,"",INDEX(警職大表!$A$1:$AZ$100,MATCH($A34,警職大表!$A$1:$A$100,0),   MATCH(G$1,警職大表!$A$3:$AZ$3,0)  )        )="",F34,  IF(  INDEX(警職大表!$A$1:$AZ$100,MATCH($A34,警職大表!$A$1:$A$100,0),   MATCH(G$1,警職大表!$A$3:$AZ$3,0)  )=0,"",INDEX(警職大表!$A$1:$AZ$100,MATCH($A34,警職大表!$A$1:$A$100,0),   MATCH(G$1,警職大表!$A$3:$AZ$3,0)  ) )    ),"")</f>
        <v/>
      </c>
      <c r="H34" s="271" t="str">
        <f>_xlfn.IFNA(   IF(   IF(  INDEX(警職大表!$A$1:$AZ$100,MATCH($A34,警職大表!$A$1:$A$100,0),   MATCH(H$1,警職大表!$A$3:$AZ$3,0)  )=0,"",INDEX(警職大表!$A$1:$AZ$100,MATCH($A34,警職大表!$A$1:$A$100,0),   MATCH(H$1,警職大表!$A$3:$AZ$3,0)  )        )="",G34,  IF(  INDEX(警職大表!$A$1:$AZ$100,MATCH($A34,警職大表!$A$1:$A$100,0),   MATCH(H$1,警職大表!$A$3:$AZ$3,0)  )=0,"",INDEX(警職大表!$A$1:$AZ$100,MATCH($A34,警職大表!$A$1:$A$100,0),   MATCH(H$1,警職大表!$A$3:$AZ$3,0)  ) )    ),"")</f>
        <v/>
      </c>
      <c r="I34" s="271" t="str">
        <f>_xlfn.IFNA(   IF(   IF(  INDEX(警職大表!$A$1:$AZ$100,MATCH($A34,警職大表!$A$1:$A$100,0),   MATCH(I$1,警職大表!$A$3:$AZ$3,0)  )=0,"",INDEX(警職大表!$A$1:$AZ$100,MATCH($A34,警職大表!$A$1:$A$100,0),   MATCH(I$1,警職大表!$A$3:$AZ$3,0)  )        )="",H34,  IF(  INDEX(警職大表!$A$1:$AZ$100,MATCH($A34,警職大表!$A$1:$A$100,0),   MATCH(I$1,警職大表!$A$3:$AZ$3,0)  )=0,"",INDEX(警職大表!$A$1:$AZ$100,MATCH($A34,警職大表!$A$1:$A$100,0),   MATCH(I$1,警職大表!$A$3:$AZ$3,0)  ) )    ),"")</f>
        <v/>
      </c>
      <c r="J34" s="271" t="str">
        <f>_xlfn.IFNA(   IF(   IF(  INDEX(警職大表!$A$1:$AZ$100,MATCH($A34,警職大表!$A$1:$A$100,0),   MATCH(J$1,警職大表!$A$3:$AZ$3,0)  )=0,"",INDEX(警職大表!$A$1:$AZ$100,MATCH($A34,警職大表!$A$1:$A$100,0),   MATCH(J$1,警職大表!$A$3:$AZ$3,0)  )        )="",I34,  IF(  INDEX(警職大表!$A$1:$AZ$100,MATCH($A34,警職大表!$A$1:$A$100,0),   MATCH(J$1,警職大表!$A$3:$AZ$3,0)  )=0,"",INDEX(警職大表!$A$1:$AZ$100,MATCH($A34,警職大表!$A$1:$A$100,0),   MATCH(J$1,警職大表!$A$3:$AZ$3,0)  ) )    ),"")</f>
        <v/>
      </c>
      <c r="K34" s="271" t="str">
        <f>_xlfn.IFNA(   IF(   IF(  INDEX(警職大表!$A$1:$AZ$100,MATCH($A34,警職大表!$A$1:$A$100,0),   MATCH(K$1,警職大表!$A$3:$AZ$3,0)  )=0,"",INDEX(警職大表!$A$1:$AZ$100,MATCH($A34,警職大表!$A$1:$A$100,0),   MATCH(K$1,警職大表!$A$3:$AZ$3,0)  )        )="",J34,  IF(  INDEX(警職大表!$A$1:$AZ$100,MATCH($A34,警職大表!$A$1:$A$100,0),   MATCH(K$1,警職大表!$A$3:$AZ$3,0)  )=0,"",INDEX(警職大表!$A$1:$AZ$100,MATCH($A34,警職大表!$A$1:$A$100,0),   MATCH(K$1,警職大表!$A$3:$AZ$3,0)  ) )    ),"")</f>
        <v/>
      </c>
      <c r="L34" s="271" t="str">
        <f>_xlfn.IFNA(   IF(   IF(  INDEX(警職大表!$A$1:$AZ$100,MATCH($A34,警職大表!$A$1:$A$100,0),   MATCH(L$1,警職大表!$A$3:$AZ$3,0)  )=0,"",INDEX(警職大表!$A$1:$AZ$100,MATCH($A34,警職大表!$A$1:$A$100,0),   MATCH(L$1,警職大表!$A$3:$AZ$3,0)  )        )="",K34,  IF(  INDEX(警職大表!$A$1:$AZ$100,MATCH($A34,警職大表!$A$1:$A$100,0),   MATCH(L$1,警職大表!$A$3:$AZ$3,0)  )=0,"",INDEX(警職大表!$A$1:$AZ$100,MATCH($A34,警職大表!$A$1:$A$100,0),   MATCH(L$1,警職大表!$A$3:$AZ$3,0)  ) )    ),"")</f>
        <v/>
      </c>
      <c r="M34" s="271" t="str">
        <f>_xlfn.IFNA(   IF(   IF(  INDEX(警職大表!$A$1:$AZ$100,MATCH($A34,警職大表!$A$1:$A$100,0),   MATCH(M$1,警職大表!$A$3:$AZ$3,0)  )=0,"",INDEX(警職大表!$A$1:$AZ$100,MATCH($A34,警職大表!$A$1:$A$100,0),   MATCH(M$1,警職大表!$A$3:$AZ$3,0)  )        )="",L34,  IF(  INDEX(警職大表!$A$1:$AZ$100,MATCH($A34,警職大表!$A$1:$A$100,0),   MATCH(M$1,警職大表!$A$3:$AZ$3,0)  )=0,"",INDEX(警職大表!$A$1:$AZ$100,MATCH($A34,警職大表!$A$1:$A$100,0),   MATCH(M$1,警職大表!$A$3:$AZ$3,0)  ) )    ),"")</f>
        <v/>
      </c>
      <c r="N34" s="271" t="str">
        <f>_xlfn.IFNA(   IF(   IF(  INDEX(警職大表!$A$1:$AZ$100,MATCH($A34,警職大表!$A$1:$A$100,0),   MATCH(N$1,警職大表!$A$3:$AZ$3,0)  )=0,"",INDEX(警職大表!$A$1:$AZ$100,MATCH($A34,警職大表!$A$1:$A$100,0),   MATCH(N$1,警職大表!$A$3:$AZ$3,0)  )        )="",M34,  IF(  INDEX(警職大表!$A$1:$AZ$100,MATCH($A34,警職大表!$A$1:$A$100,0),   MATCH(N$1,警職大表!$A$3:$AZ$3,0)  )=0,"",INDEX(警職大表!$A$1:$AZ$100,MATCH($A34,警職大表!$A$1:$A$100,0),   MATCH(N$1,警職大表!$A$3:$AZ$3,0)  ) )    ),"")</f>
        <v/>
      </c>
      <c r="O34" s="271" t="str">
        <f>_xlfn.IFNA(   IF(   IF(  INDEX(警職大表!$A$1:$AZ$100,MATCH($A34,警職大表!$A$1:$A$100,0),   MATCH(O$1,警職大表!$A$3:$AZ$3,0)  )=0,"",INDEX(警職大表!$A$1:$AZ$100,MATCH($A34,警職大表!$A$1:$A$100,0),   MATCH(O$1,警職大表!$A$3:$AZ$3,0)  )        )="",N34,  IF(  INDEX(警職大表!$A$1:$AZ$100,MATCH($A34,警職大表!$A$1:$A$100,0),   MATCH(O$1,警職大表!$A$3:$AZ$3,0)  )=0,"",INDEX(警職大表!$A$1:$AZ$100,MATCH($A34,警職大表!$A$1:$A$100,0),   MATCH(O$1,警職大表!$A$3:$AZ$3,0)  ) )    ),"")</f>
        <v/>
      </c>
      <c r="P34" s="271" t="str">
        <f>_xlfn.IFNA(   IF(   IF(  INDEX(警職大表!$A$1:$AZ$100,MATCH($A34,警職大表!$A$1:$A$100,0),   MATCH(P$1,警職大表!$A$3:$AZ$3,0)  )=0,"",INDEX(警職大表!$A$1:$AZ$100,MATCH($A34,警職大表!$A$1:$A$100,0),   MATCH(P$1,警職大表!$A$3:$AZ$3,0)  )        )="",O34,  IF(  INDEX(警職大表!$A$1:$AZ$100,MATCH($A34,警職大表!$A$1:$A$100,0),   MATCH(P$1,警職大表!$A$3:$AZ$3,0)  )=0,"",INDEX(警職大表!$A$1:$AZ$100,MATCH($A34,警職大表!$A$1:$A$100,0),   MATCH(P$1,警職大表!$A$3:$AZ$3,0)  ) )    ),"")</f>
        <v/>
      </c>
      <c r="Q34" s="271" t="str">
        <f>_xlfn.IFNA(   IF(   IF(  INDEX(警職大表!$A$1:$AZ$100,MATCH($A34,警職大表!$A$1:$A$100,0),   MATCH(Q$1,警職大表!$A$3:$AZ$3,0)  )=0,"",INDEX(警職大表!$A$1:$AZ$100,MATCH($A34,警職大表!$A$1:$A$100,0),   MATCH(Q$1,警職大表!$A$3:$AZ$3,0)  )        )="",P34,  IF(  INDEX(警職大表!$A$1:$AZ$100,MATCH($A34,警職大表!$A$1:$A$100,0),   MATCH(Q$1,警職大表!$A$3:$AZ$3,0)  )=0,"",INDEX(警職大表!$A$1:$AZ$100,MATCH($A34,警職大表!$A$1:$A$100,0),   MATCH(Q$1,警職大表!$A$3:$AZ$3,0)  ) )    ),"")</f>
        <v/>
      </c>
      <c r="R34" s="271" t="str">
        <f>_xlfn.IFNA(   IF(   IF(  INDEX(警職大表!$A$1:$AZ$100,MATCH($A34,警職大表!$A$1:$A$100,0),   MATCH(R$1,警職大表!$A$3:$AZ$3,0)  )=0,"",INDEX(警職大表!$A$1:$AZ$100,MATCH($A34,警職大表!$A$1:$A$100,0),   MATCH(R$1,警職大表!$A$3:$AZ$3,0)  )        )="",Q34,  IF(  INDEX(警職大表!$A$1:$AZ$100,MATCH($A34,警職大表!$A$1:$A$100,0),   MATCH(R$1,警職大表!$A$3:$AZ$3,0)  )=0,"",INDEX(警職大表!$A$1:$AZ$100,MATCH($A34,警職大表!$A$1:$A$100,0),   MATCH(R$1,警職大表!$A$3:$AZ$3,0)  ) )    ),"")</f>
        <v/>
      </c>
      <c r="S34" s="271" t="str">
        <f>_xlfn.IFNA(   IF(   IF(  INDEX(警職大表!$A$1:$AZ$100,MATCH($A34,警職大表!$A$1:$A$100,0),   MATCH(S$1,警職大表!$A$3:$AZ$3,0)  )=0,"",INDEX(警職大表!$A$1:$AZ$100,MATCH($A34,警職大表!$A$1:$A$100,0),   MATCH(S$1,警職大表!$A$3:$AZ$3,0)  )        )="",R34,  IF(  INDEX(警職大表!$A$1:$AZ$100,MATCH($A34,警職大表!$A$1:$A$100,0),   MATCH(S$1,警職大表!$A$3:$AZ$3,0)  )=0,"",INDEX(警職大表!$A$1:$AZ$100,MATCH($A34,警職大表!$A$1:$A$100,0),   MATCH(S$1,警職大表!$A$3:$AZ$3,0)  ) )    ),"")</f>
        <v/>
      </c>
      <c r="T34" s="271" t="str">
        <f>_xlfn.IFNA(   IF(   IF(  INDEX(警職大表!$A$1:$AZ$100,MATCH($A34,警職大表!$A$1:$A$100,0),   MATCH(T$1,警職大表!$A$3:$AZ$3,0)  )=0,"",INDEX(警職大表!$A$1:$AZ$100,MATCH($A34,警職大表!$A$1:$A$100,0),   MATCH(T$1,警職大表!$A$3:$AZ$3,0)  )        )="",S34,  IF(  INDEX(警職大表!$A$1:$AZ$100,MATCH($A34,警職大表!$A$1:$A$100,0),   MATCH(T$1,警職大表!$A$3:$AZ$3,0)  )=0,"",INDEX(警職大表!$A$1:$AZ$100,MATCH($A34,警職大表!$A$1:$A$100,0),   MATCH(T$1,警職大表!$A$3:$AZ$3,0)  ) )    ),"")</f>
        <v/>
      </c>
      <c r="U34" s="271" t="str">
        <f>_xlfn.IFNA(   IF(   IF(  INDEX(警職大表!$A$1:$AZ$100,MATCH($A34,警職大表!$A$1:$A$100,0),   MATCH(U$1,警職大表!$A$3:$AZ$3,0)  )=0,"",INDEX(警職大表!$A$1:$AZ$100,MATCH($A34,警職大表!$A$1:$A$100,0),   MATCH(U$1,警職大表!$A$3:$AZ$3,0)  )        )="",T34,  IF(  INDEX(警職大表!$A$1:$AZ$100,MATCH($A34,警職大表!$A$1:$A$100,0),   MATCH(U$1,警職大表!$A$3:$AZ$3,0)  )=0,"",INDEX(警職大表!$A$1:$AZ$100,MATCH($A34,警職大表!$A$1:$A$100,0),   MATCH(U$1,警職大表!$A$3:$AZ$3,0)  ) )    ),"")</f>
        <v/>
      </c>
      <c r="V34" s="271" t="str">
        <f>_xlfn.IFNA(   IF(   IF(  INDEX(警職大表!$A$1:$AZ$100,MATCH($A34,警職大表!$A$1:$A$100,0),   MATCH(V$1,警職大表!$A$3:$AZ$3,0)  )=0,"",INDEX(警職大表!$A$1:$AZ$100,MATCH($A34,警職大表!$A$1:$A$100,0),   MATCH(V$1,警職大表!$A$3:$AZ$3,0)  )        )="",U34,  IF(  INDEX(警職大表!$A$1:$AZ$100,MATCH($A34,警職大表!$A$1:$A$100,0),   MATCH(V$1,警職大表!$A$3:$AZ$3,0)  )=0,"",INDEX(警職大表!$A$1:$AZ$100,MATCH($A34,警職大表!$A$1:$A$100,0),   MATCH(V$1,警職大表!$A$3:$AZ$3,0)  ) )    ),"")</f>
        <v/>
      </c>
      <c r="W34" s="271" t="str">
        <f>_xlfn.IFNA(   IF(   IF(  INDEX(警職大表!$A$1:$AZ$100,MATCH($A34,警職大表!$A$1:$A$100,0),   MATCH(W$1,警職大表!$A$3:$AZ$3,0)  )=0,"",INDEX(警職大表!$A$1:$AZ$100,MATCH($A34,警職大表!$A$1:$A$100,0),   MATCH(W$1,警職大表!$A$3:$AZ$3,0)  )        )="",V34,  IF(  INDEX(警職大表!$A$1:$AZ$100,MATCH($A34,警職大表!$A$1:$A$100,0),   MATCH(W$1,警職大表!$A$3:$AZ$3,0)  )=0,"",INDEX(警職大表!$A$1:$AZ$100,MATCH($A34,警職大表!$A$1:$A$100,0),   MATCH(W$1,警職大表!$A$3:$AZ$3,0)  ) )    ),"")</f>
        <v/>
      </c>
      <c r="X34" s="271" t="str">
        <f>_xlfn.IFNA(   IF(   IF(  INDEX(警職大表!$A$1:$AZ$100,MATCH($A34,警職大表!$A$1:$A$100,0),   MATCH(X$1,警職大表!$A$3:$AZ$3,0)  )=0,"",INDEX(警職大表!$A$1:$AZ$100,MATCH($A34,警職大表!$A$1:$A$100,0),   MATCH(X$1,警職大表!$A$3:$AZ$3,0)  )        )="",W34,  IF(  INDEX(警職大表!$A$1:$AZ$100,MATCH($A34,警職大表!$A$1:$A$100,0),   MATCH(X$1,警職大表!$A$3:$AZ$3,0)  )=0,"",INDEX(警職大表!$A$1:$AZ$100,MATCH($A34,警職大表!$A$1:$A$100,0),   MATCH(X$1,警職大表!$A$3:$AZ$3,0)  ) )    ),"")</f>
        <v/>
      </c>
      <c r="Y34" s="271" t="str">
        <f>_xlfn.IFNA(   IF(   IF(  INDEX(警職大表!$A$1:$AZ$100,MATCH($A34,警職大表!$A$1:$A$100,0),   MATCH(Y$1,警職大表!$A$3:$AZ$3,0)  )=0,"",INDEX(警職大表!$A$1:$AZ$100,MATCH($A34,警職大表!$A$1:$A$100,0),   MATCH(Y$1,警職大表!$A$3:$AZ$3,0)  )        )="",X34,  IF(  INDEX(警職大表!$A$1:$AZ$100,MATCH($A34,警職大表!$A$1:$A$100,0),   MATCH(Y$1,警職大表!$A$3:$AZ$3,0)  )=0,"",INDEX(警職大表!$A$1:$AZ$100,MATCH($A34,警職大表!$A$1:$A$100,0),   MATCH(Y$1,警職大表!$A$3:$AZ$3,0)  ) )    ),"")</f>
        <v/>
      </c>
      <c r="Z34" s="271" t="str">
        <f>_xlfn.IFNA(   IF(   IF(  INDEX(警職大表!$A$1:$AZ$100,MATCH($A34,警職大表!$A$1:$A$100,0),   MATCH(Z$1,警職大表!$A$3:$AZ$3,0)  )=0,"",INDEX(警職大表!$A$1:$AZ$100,MATCH($A34,警職大表!$A$1:$A$100,0),   MATCH(Z$1,警職大表!$A$3:$AZ$3,0)  )        )="",Y34,  IF(  INDEX(警職大表!$A$1:$AZ$100,MATCH($A34,警職大表!$A$1:$A$100,0),   MATCH(Z$1,警職大表!$A$3:$AZ$3,0)  )=0,"",INDEX(警職大表!$A$1:$AZ$100,MATCH($A34,警職大表!$A$1:$A$100,0),   MATCH(Z$1,警職大表!$A$3:$AZ$3,0)  ) )    ),"")</f>
        <v/>
      </c>
      <c r="AA34" s="271" t="str">
        <f>_xlfn.IFNA(   IF(   IF(  INDEX(警職大表!$A$1:$AZ$100,MATCH($A34,警職大表!$A$1:$A$100,0),   MATCH(AA$1,警職大表!$A$3:$AZ$3,0)  )=0,"",INDEX(警職大表!$A$1:$AZ$100,MATCH($A34,警職大表!$A$1:$A$100,0),   MATCH(AA$1,警職大表!$A$3:$AZ$3,0)  )        )="",Z34,  IF(  INDEX(警職大表!$A$1:$AZ$100,MATCH($A34,警職大表!$A$1:$A$100,0),   MATCH(AA$1,警職大表!$A$3:$AZ$3,0)  )=0,"",INDEX(警職大表!$A$1:$AZ$100,MATCH($A34,警職大表!$A$1:$A$100,0),   MATCH(AA$1,警職大表!$A$3:$AZ$3,0)  ) )    ),"")</f>
        <v/>
      </c>
      <c r="AB34" s="271" t="str">
        <f>_xlfn.IFNA(   IF(   IF(  INDEX(警職大表!$A$1:$AZ$100,MATCH($A34,警職大表!$A$1:$A$100,0),   MATCH(AB$1,警職大表!$A$3:$AZ$3,0)  )=0,"",INDEX(警職大表!$A$1:$AZ$100,MATCH($A34,警職大表!$A$1:$A$100,0),   MATCH(AB$1,警職大表!$A$3:$AZ$3,0)  )        )="",AA34,  IF(  INDEX(警職大表!$A$1:$AZ$100,MATCH($A34,警職大表!$A$1:$A$100,0),   MATCH(AB$1,警職大表!$A$3:$AZ$3,0)  )=0,"",INDEX(警職大表!$A$1:$AZ$100,MATCH($A34,警職大表!$A$1:$A$100,0),   MATCH(AB$1,警職大表!$A$3:$AZ$3,0)  ) )    ),"")</f>
        <v/>
      </c>
      <c r="AC34" s="271" t="str">
        <f>_xlfn.IFNA(   IF(   IF(  INDEX(警職大表!$A$1:$AZ$100,MATCH($A34,警職大表!$A$1:$A$100,0),   MATCH(AC$1,警職大表!$A$3:$AZ$3,0)  )=0,"",INDEX(警職大表!$A$1:$AZ$100,MATCH($A34,警職大表!$A$1:$A$100,0),   MATCH(AC$1,警職大表!$A$3:$AZ$3,0)  )        )="",AB34,  IF(  INDEX(警職大表!$A$1:$AZ$100,MATCH($A34,警職大表!$A$1:$A$100,0),   MATCH(AC$1,警職大表!$A$3:$AZ$3,0)  )=0,"",INDEX(警職大表!$A$1:$AZ$100,MATCH($A34,警職大表!$A$1:$A$100,0),   MATCH(AC$1,警職大表!$A$3:$AZ$3,0)  ) )    ),"")</f>
        <v/>
      </c>
      <c r="AD34" s="271" t="str">
        <f>_xlfn.IFNA(   IF(   IF(  INDEX(警職大表!$A$1:$AZ$100,MATCH($A34,警職大表!$A$1:$A$100,0),   MATCH(AD$1,警職大表!$A$3:$AZ$3,0)  )=0,"",INDEX(警職大表!$A$1:$AZ$100,MATCH($A34,警職大表!$A$1:$A$100,0),   MATCH(AD$1,警職大表!$A$3:$AZ$3,0)  )        )="",AC34,  IF(  INDEX(警職大表!$A$1:$AZ$100,MATCH($A34,警職大表!$A$1:$A$100,0),   MATCH(AD$1,警職大表!$A$3:$AZ$3,0)  )=0,"",INDEX(警職大表!$A$1:$AZ$100,MATCH($A34,警職大表!$A$1:$A$100,0),   MATCH(AD$1,警職大表!$A$3:$AZ$3,0)  ) )    ),"")</f>
        <v/>
      </c>
      <c r="AE34" s="271" t="str">
        <f>_xlfn.IFNA(   IF(   IF(  INDEX(警職大表!$A$1:$AZ$100,MATCH($A34,警職大表!$A$1:$A$100,0),   MATCH(AE$1,警職大表!$A$3:$AZ$3,0)  )=0,"",INDEX(警職大表!$A$1:$AZ$100,MATCH($A34,警職大表!$A$1:$A$100,0),   MATCH(AE$1,警職大表!$A$3:$AZ$3,0)  )        )="",AD34,  IF(  INDEX(警職大表!$A$1:$AZ$100,MATCH($A34,警職大表!$A$1:$A$100,0),   MATCH(AE$1,警職大表!$A$3:$AZ$3,0)  )=0,"",INDEX(警職大表!$A$1:$AZ$100,MATCH($A34,警職大表!$A$1:$A$100,0),   MATCH(AE$1,警職大表!$A$3:$AZ$3,0)  ) )    ),"")</f>
        <v/>
      </c>
      <c r="AF34" s="271" t="str">
        <f>_xlfn.IFNA(   IF(   IF(  INDEX(警職大表!$A$1:$AZ$100,MATCH($A34,警職大表!$A$1:$A$100,0),   MATCH(AF$1,警職大表!$A$3:$AZ$3,0)  )=0,"",INDEX(警職大表!$A$1:$AZ$100,MATCH($A34,警職大表!$A$1:$A$100,0),   MATCH(AF$1,警職大表!$A$3:$AZ$3,0)  )        )="",AE34,  IF(  INDEX(警職大表!$A$1:$AZ$100,MATCH($A34,警職大表!$A$1:$A$100,0),   MATCH(AF$1,警職大表!$A$3:$AZ$3,0)  )=0,"",INDEX(警職大表!$A$1:$AZ$100,MATCH($A34,警職大表!$A$1:$A$100,0),   MATCH(AF$1,警職大表!$A$3:$AZ$3,0)  ) )    ),"")</f>
        <v/>
      </c>
      <c r="AG34" s="271" t="str">
        <f>_xlfn.IFNA(   IF(   IF(  INDEX(警職大表!$A$1:$AZ$100,MATCH($A34,警職大表!$A$1:$A$100,0),   MATCH(AG$1,警職大表!$A$3:$AZ$3,0)  )=0,"",INDEX(警職大表!$A$1:$AZ$100,MATCH($A34,警職大表!$A$1:$A$100,0),   MATCH(AG$1,警職大表!$A$3:$AZ$3,0)  )        )="",AF34,  IF(  INDEX(警職大表!$A$1:$AZ$100,MATCH($A34,警職大表!$A$1:$A$100,0),   MATCH(AG$1,警職大表!$A$3:$AZ$3,0)  )=0,"",INDEX(警職大表!$A$1:$AZ$100,MATCH($A34,警職大表!$A$1:$A$100,0),   MATCH(AG$1,警職大表!$A$3:$AZ$3,0)  ) )    ),"")</f>
        <v/>
      </c>
      <c r="AL34" s="271" t="str">
        <f t="shared" si="0"/>
        <v/>
      </c>
      <c r="AM34" s="271" t="str">
        <f t="shared" si="1"/>
        <v/>
      </c>
      <c r="AN34" s="271" t="str">
        <f>INDEX(   $A$41:$AG$78, MATCH(AL34,$A$41:$A$78,0),MATCH(  DAY(勤務分配表!$AN$1),$A$41:$AL$41,0  )  )</f>
        <v/>
      </c>
      <c r="AO34" s="271" t="str">
        <f>IF((ROW(AO34)-1)&lt;=日期輸入!$B$5,_xlfn.IFNA(IF(INDEX($A$1:$AG$40,MATCH($AM34,$B$1:$B$100,0),VALUE($AO$1+3))="成","補",INDEX($A$1:$AG$40,MATCH($AM34,$B$1:$B$100,0),VALUE($AO$1+3))),""),"")</f>
        <v/>
      </c>
      <c r="AP34" s="271" t="str">
        <f>IF((ROW(AP34)-1)&lt;=日期輸入!$B$5,_xlfn.IFNA(IF(INDEX($A$1:$AG$40,MATCH($AM34,$B$1:$B$100,0),VALUE($AP$1+3))="成","補",INDEX($A$1:$AG$40,MATCH($AM34,$B$1:$B$100,0),VALUE($AP$1+3))),""),"")</f>
        <v/>
      </c>
      <c r="AQ34" s="271" t="str">
        <f>IF((ROW(AQ34)-1)&lt;=日期輸入!$B$5,_xlfn.IFNA(IF(INDEX($A$1:$AG$40,MATCH($AM34,$B$1:$B$100,0),VALUE($AQ$1+3))="成","補",INDEX($A$1:$AG$40,MATCH($AM34,$B$1:$B$100,0),VALUE($AQ$1+3))),""),"")</f>
        <v/>
      </c>
    </row>
    <row r="35" spans="1:43">
      <c r="A35" s="271" t="str">
        <f>IF(  (ROW(A35)-1)&lt;=日期輸入!$B$5,勤務分配!A35,"")</f>
        <v/>
      </c>
      <c r="B35" s="271" t="str">
        <f>_xlfn.IFNA(  INDEX(警職大表!$A$1:$AZ$100,MATCH(A35,警職大表!$A$1:$A$100,0),3),"")</f>
        <v/>
      </c>
      <c r="C35" s="271" t="str">
        <f>_xlfn.IFNA(  IF(  INDEX(警職大表!$A$1:$AZ$100,MATCH($A35,警職大表!$A$1:$A$100,0),   MATCH(C$1,警職大表!$A$3:$AZ$3,0)  )=0,"",INDEX(警職大表!$A$1:$AZ$100,MATCH($A35,警職大表!$A$1:$A$100,0),   MATCH(C$1,警職大表!$A$3:$AZ$3,0)  )                ),"")</f>
        <v/>
      </c>
      <c r="D35" s="271" t="str">
        <f>_xlfn.IFNA(   IF(   IF(  INDEX(警職大表!$A$1:$AZ$100,MATCH($A35,警職大表!$A$1:$A$100,0),   MATCH(D$1,警職大表!$A$3:$AZ$3,0)  )=0,"",INDEX(警職大表!$A$1:$AZ$100,MATCH($A35,警職大表!$A$1:$A$100,0),   MATCH(D$1,警職大表!$A$3:$AZ$3,0)  )        )="",C35,  IF(  INDEX(警職大表!$A$1:$AZ$100,MATCH($A35,警職大表!$A$1:$A$100,0),   MATCH(D$1,警職大表!$A$3:$AZ$3,0)  )=0,"",INDEX(警職大表!$A$1:$AZ$100,MATCH($A35,警職大表!$A$1:$A$100,0),   MATCH(D$1,警職大表!$A$3:$AZ$3,0)  ) )    ),"")</f>
        <v/>
      </c>
      <c r="E35" s="271" t="str">
        <f>_xlfn.IFNA(   IF(   IF(  INDEX(警職大表!$A$1:$AZ$100,MATCH($A35,警職大表!$A$1:$A$100,0),   MATCH(E$1,警職大表!$A$3:$AZ$3,0)  )=0,"",INDEX(警職大表!$A$1:$AZ$100,MATCH($A35,警職大表!$A$1:$A$100,0),   MATCH(E$1,警職大表!$A$3:$AZ$3,0)  )        )="",D35,  IF(  INDEX(警職大表!$A$1:$AZ$100,MATCH($A35,警職大表!$A$1:$A$100,0),   MATCH(E$1,警職大表!$A$3:$AZ$3,0)  )=0,"",INDEX(警職大表!$A$1:$AZ$100,MATCH($A35,警職大表!$A$1:$A$100,0),   MATCH(E$1,警職大表!$A$3:$AZ$3,0)  ) )    ),"")</f>
        <v/>
      </c>
      <c r="F35" s="271" t="str">
        <f>_xlfn.IFNA(   IF(   IF(  INDEX(警職大表!$A$1:$AZ$100,MATCH($A35,警職大表!$A$1:$A$100,0),   MATCH(F$1,警職大表!$A$3:$AZ$3,0)  )=0,"",INDEX(警職大表!$A$1:$AZ$100,MATCH($A35,警職大表!$A$1:$A$100,0),   MATCH(F$1,警職大表!$A$3:$AZ$3,0)  )        )="",E35,  IF(  INDEX(警職大表!$A$1:$AZ$100,MATCH($A35,警職大表!$A$1:$A$100,0),   MATCH(F$1,警職大表!$A$3:$AZ$3,0)  )=0,"",INDEX(警職大表!$A$1:$AZ$100,MATCH($A35,警職大表!$A$1:$A$100,0),   MATCH(F$1,警職大表!$A$3:$AZ$3,0)  ) )    ),"")</f>
        <v/>
      </c>
      <c r="G35" s="271" t="str">
        <f>_xlfn.IFNA(   IF(   IF(  INDEX(警職大表!$A$1:$AZ$100,MATCH($A35,警職大表!$A$1:$A$100,0),   MATCH(G$1,警職大表!$A$3:$AZ$3,0)  )=0,"",INDEX(警職大表!$A$1:$AZ$100,MATCH($A35,警職大表!$A$1:$A$100,0),   MATCH(G$1,警職大表!$A$3:$AZ$3,0)  )        )="",F35,  IF(  INDEX(警職大表!$A$1:$AZ$100,MATCH($A35,警職大表!$A$1:$A$100,0),   MATCH(G$1,警職大表!$A$3:$AZ$3,0)  )=0,"",INDEX(警職大表!$A$1:$AZ$100,MATCH($A35,警職大表!$A$1:$A$100,0),   MATCH(G$1,警職大表!$A$3:$AZ$3,0)  ) )    ),"")</f>
        <v/>
      </c>
      <c r="H35" s="271" t="str">
        <f>_xlfn.IFNA(   IF(   IF(  INDEX(警職大表!$A$1:$AZ$100,MATCH($A35,警職大表!$A$1:$A$100,0),   MATCH(H$1,警職大表!$A$3:$AZ$3,0)  )=0,"",INDEX(警職大表!$A$1:$AZ$100,MATCH($A35,警職大表!$A$1:$A$100,0),   MATCH(H$1,警職大表!$A$3:$AZ$3,0)  )        )="",G35,  IF(  INDEX(警職大表!$A$1:$AZ$100,MATCH($A35,警職大表!$A$1:$A$100,0),   MATCH(H$1,警職大表!$A$3:$AZ$3,0)  )=0,"",INDEX(警職大表!$A$1:$AZ$100,MATCH($A35,警職大表!$A$1:$A$100,0),   MATCH(H$1,警職大表!$A$3:$AZ$3,0)  ) )    ),"")</f>
        <v/>
      </c>
      <c r="I35" s="271" t="str">
        <f>_xlfn.IFNA(   IF(   IF(  INDEX(警職大表!$A$1:$AZ$100,MATCH($A35,警職大表!$A$1:$A$100,0),   MATCH(I$1,警職大表!$A$3:$AZ$3,0)  )=0,"",INDEX(警職大表!$A$1:$AZ$100,MATCH($A35,警職大表!$A$1:$A$100,0),   MATCH(I$1,警職大表!$A$3:$AZ$3,0)  )        )="",H35,  IF(  INDEX(警職大表!$A$1:$AZ$100,MATCH($A35,警職大表!$A$1:$A$100,0),   MATCH(I$1,警職大表!$A$3:$AZ$3,0)  )=0,"",INDEX(警職大表!$A$1:$AZ$100,MATCH($A35,警職大表!$A$1:$A$100,0),   MATCH(I$1,警職大表!$A$3:$AZ$3,0)  ) )    ),"")</f>
        <v/>
      </c>
      <c r="J35" s="271" t="str">
        <f>_xlfn.IFNA(   IF(   IF(  INDEX(警職大表!$A$1:$AZ$100,MATCH($A35,警職大表!$A$1:$A$100,0),   MATCH(J$1,警職大表!$A$3:$AZ$3,0)  )=0,"",INDEX(警職大表!$A$1:$AZ$100,MATCH($A35,警職大表!$A$1:$A$100,0),   MATCH(J$1,警職大表!$A$3:$AZ$3,0)  )        )="",I35,  IF(  INDEX(警職大表!$A$1:$AZ$100,MATCH($A35,警職大表!$A$1:$A$100,0),   MATCH(J$1,警職大表!$A$3:$AZ$3,0)  )=0,"",INDEX(警職大表!$A$1:$AZ$100,MATCH($A35,警職大表!$A$1:$A$100,0),   MATCH(J$1,警職大表!$A$3:$AZ$3,0)  ) )    ),"")</f>
        <v/>
      </c>
      <c r="K35" s="271" t="str">
        <f>_xlfn.IFNA(   IF(   IF(  INDEX(警職大表!$A$1:$AZ$100,MATCH($A35,警職大表!$A$1:$A$100,0),   MATCH(K$1,警職大表!$A$3:$AZ$3,0)  )=0,"",INDEX(警職大表!$A$1:$AZ$100,MATCH($A35,警職大表!$A$1:$A$100,0),   MATCH(K$1,警職大表!$A$3:$AZ$3,0)  )        )="",J35,  IF(  INDEX(警職大表!$A$1:$AZ$100,MATCH($A35,警職大表!$A$1:$A$100,0),   MATCH(K$1,警職大表!$A$3:$AZ$3,0)  )=0,"",INDEX(警職大表!$A$1:$AZ$100,MATCH($A35,警職大表!$A$1:$A$100,0),   MATCH(K$1,警職大表!$A$3:$AZ$3,0)  ) )    ),"")</f>
        <v/>
      </c>
      <c r="L35" s="271" t="str">
        <f>_xlfn.IFNA(   IF(   IF(  INDEX(警職大表!$A$1:$AZ$100,MATCH($A35,警職大表!$A$1:$A$100,0),   MATCH(L$1,警職大表!$A$3:$AZ$3,0)  )=0,"",INDEX(警職大表!$A$1:$AZ$100,MATCH($A35,警職大表!$A$1:$A$100,0),   MATCH(L$1,警職大表!$A$3:$AZ$3,0)  )        )="",K35,  IF(  INDEX(警職大表!$A$1:$AZ$100,MATCH($A35,警職大表!$A$1:$A$100,0),   MATCH(L$1,警職大表!$A$3:$AZ$3,0)  )=0,"",INDEX(警職大表!$A$1:$AZ$100,MATCH($A35,警職大表!$A$1:$A$100,0),   MATCH(L$1,警職大表!$A$3:$AZ$3,0)  ) )    ),"")</f>
        <v/>
      </c>
      <c r="M35" s="271" t="str">
        <f>_xlfn.IFNA(   IF(   IF(  INDEX(警職大表!$A$1:$AZ$100,MATCH($A35,警職大表!$A$1:$A$100,0),   MATCH(M$1,警職大表!$A$3:$AZ$3,0)  )=0,"",INDEX(警職大表!$A$1:$AZ$100,MATCH($A35,警職大表!$A$1:$A$100,0),   MATCH(M$1,警職大表!$A$3:$AZ$3,0)  )        )="",L35,  IF(  INDEX(警職大表!$A$1:$AZ$100,MATCH($A35,警職大表!$A$1:$A$100,0),   MATCH(M$1,警職大表!$A$3:$AZ$3,0)  )=0,"",INDEX(警職大表!$A$1:$AZ$100,MATCH($A35,警職大表!$A$1:$A$100,0),   MATCH(M$1,警職大表!$A$3:$AZ$3,0)  ) )    ),"")</f>
        <v/>
      </c>
      <c r="N35" s="271" t="str">
        <f>_xlfn.IFNA(   IF(   IF(  INDEX(警職大表!$A$1:$AZ$100,MATCH($A35,警職大表!$A$1:$A$100,0),   MATCH(N$1,警職大表!$A$3:$AZ$3,0)  )=0,"",INDEX(警職大表!$A$1:$AZ$100,MATCH($A35,警職大表!$A$1:$A$100,0),   MATCH(N$1,警職大表!$A$3:$AZ$3,0)  )        )="",M35,  IF(  INDEX(警職大表!$A$1:$AZ$100,MATCH($A35,警職大表!$A$1:$A$100,0),   MATCH(N$1,警職大表!$A$3:$AZ$3,0)  )=0,"",INDEX(警職大表!$A$1:$AZ$100,MATCH($A35,警職大表!$A$1:$A$100,0),   MATCH(N$1,警職大表!$A$3:$AZ$3,0)  ) )    ),"")</f>
        <v/>
      </c>
      <c r="O35" s="271" t="str">
        <f>_xlfn.IFNA(   IF(   IF(  INDEX(警職大表!$A$1:$AZ$100,MATCH($A35,警職大表!$A$1:$A$100,0),   MATCH(O$1,警職大表!$A$3:$AZ$3,0)  )=0,"",INDEX(警職大表!$A$1:$AZ$100,MATCH($A35,警職大表!$A$1:$A$100,0),   MATCH(O$1,警職大表!$A$3:$AZ$3,0)  )        )="",N35,  IF(  INDEX(警職大表!$A$1:$AZ$100,MATCH($A35,警職大表!$A$1:$A$100,0),   MATCH(O$1,警職大表!$A$3:$AZ$3,0)  )=0,"",INDEX(警職大表!$A$1:$AZ$100,MATCH($A35,警職大表!$A$1:$A$100,0),   MATCH(O$1,警職大表!$A$3:$AZ$3,0)  ) )    ),"")</f>
        <v/>
      </c>
      <c r="P35" s="271" t="str">
        <f>_xlfn.IFNA(   IF(   IF(  INDEX(警職大表!$A$1:$AZ$100,MATCH($A35,警職大表!$A$1:$A$100,0),   MATCH(P$1,警職大表!$A$3:$AZ$3,0)  )=0,"",INDEX(警職大表!$A$1:$AZ$100,MATCH($A35,警職大表!$A$1:$A$100,0),   MATCH(P$1,警職大表!$A$3:$AZ$3,0)  )        )="",O35,  IF(  INDEX(警職大表!$A$1:$AZ$100,MATCH($A35,警職大表!$A$1:$A$100,0),   MATCH(P$1,警職大表!$A$3:$AZ$3,0)  )=0,"",INDEX(警職大表!$A$1:$AZ$100,MATCH($A35,警職大表!$A$1:$A$100,0),   MATCH(P$1,警職大表!$A$3:$AZ$3,0)  ) )    ),"")</f>
        <v/>
      </c>
      <c r="Q35" s="271" t="str">
        <f>_xlfn.IFNA(   IF(   IF(  INDEX(警職大表!$A$1:$AZ$100,MATCH($A35,警職大表!$A$1:$A$100,0),   MATCH(Q$1,警職大表!$A$3:$AZ$3,0)  )=0,"",INDEX(警職大表!$A$1:$AZ$100,MATCH($A35,警職大表!$A$1:$A$100,0),   MATCH(Q$1,警職大表!$A$3:$AZ$3,0)  )        )="",P35,  IF(  INDEX(警職大表!$A$1:$AZ$100,MATCH($A35,警職大表!$A$1:$A$100,0),   MATCH(Q$1,警職大表!$A$3:$AZ$3,0)  )=0,"",INDEX(警職大表!$A$1:$AZ$100,MATCH($A35,警職大表!$A$1:$A$100,0),   MATCH(Q$1,警職大表!$A$3:$AZ$3,0)  ) )    ),"")</f>
        <v/>
      </c>
      <c r="R35" s="271" t="str">
        <f>_xlfn.IFNA(   IF(   IF(  INDEX(警職大表!$A$1:$AZ$100,MATCH($A35,警職大表!$A$1:$A$100,0),   MATCH(R$1,警職大表!$A$3:$AZ$3,0)  )=0,"",INDEX(警職大表!$A$1:$AZ$100,MATCH($A35,警職大表!$A$1:$A$100,0),   MATCH(R$1,警職大表!$A$3:$AZ$3,0)  )        )="",Q35,  IF(  INDEX(警職大表!$A$1:$AZ$100,MATCH($A35,警職大表!$A$1:$A$100,0),   MATCH(R$1,警職大表!$A$3:$AZ$3,0)  )=0,"",INDEX(警職大表!$A$1:$AZ$100,MATCH($A35,警職大表!$A$1:$A$100,0),   MATCH(R$1,警職大表!$A$3:$AZ$3,0)  ) )    ),"")</f>
        <v/>
      </c>
      <c r="S35" s="271" t="str">
        <f>_xlfn.IFNA(   IF(   IF(  INDEX(警職大表!$A$1:$AZ$100,MATCH($A35,警職大表!$A$1:$A$100,0),   MATCH(S$1,警職大表!$A$3:$AZ$3,0)  )=0,"",INDEX(警職大表!$A$1:$AZ$100,MATCH($A35,警職大表!$A$1:$A$100,0),   MATCH(S$1,警職大表!$A$3:$AZ$3,0)  )        )="",R35,  IF(  INDEX(警職大表!$A$1:$AZ$100,MATCH($A35,警職大表!$A$1:$A$100,0),   MATCH(S$1,警職大表!$A$3:$AZ$3,0)  )=0,"",INDEX(警職大表!$A$1:$AZ$100,MATCH($A35,警職大表!$A$1:$A$100,0),   MATCH(S$1,警職大表!$A$3:$AZ$3,0)  ) )    ),"")</f>
        <v/>
      </c>
      <c r="T35" s="271" t="str">
        <f>_xlfn.IFNA(   IF(   IF(  INDEX(警職大表!$A$1:$AZ$100,MATCH($A35,警職大表!$A$1:$A$100,0),   MATCH(T$1,警職大表!$A$3:$AZ$3,0)  )=0,"",INDEX(警職大表!$A$1:$AZ$100,MATCH($A35,警職大表!$A$1:$A$100,0),   MATCH(T$1,警職大表!$A$3:$AZ$3,0)  )        )="",S35,  IF(  INDEX(警職大表!$A$1:$AZ$100,MATCH($A35,警職大表!$A$1:$A$100,0),   MATCH(T$1,警職大表!$A$3:$AZ$3,0)  )=0,"",INDEX(警職大表!$A$1:$AZ$100,MATCH($A35,警職大表!$A$1:$A$100,0),   MATCH(T$1,警職大表!$A$3:$AZ$3,0)  ) )    ),"")</f>
        <v/>
      </c>
      <c r="U35" s="271" t="str">
        <f>_xlfn.IFNA(   IF(   IF(  INDEX(警職大表!$A$1:$AZ$100,MATCH($A35,警職大表!$A$1:$A$100,0),   MATCH(U$1,警職大表!$A$3:$AZ$3,0)  )=0,"",INDEX(警職大表!$A$1:$AZ$100,MATCH($A35,警職大表!$A$1:$A$100,0),   MATCH(U$1,警職大表!$A$3:$AZ$3,0)  )        )="",T35,  IF(  INDEX(警職大表!$A$1:$AZ$100,MATCH($A35,警職大表!$A$1:$A$100,0),   MATCH(U$1,警職大表!$A$3:$AZ$3,0)  )=0,"",INDEX(警職大表!$A$1:$AZ$100,MATCH($A35,警職大表!$A$1:$A$100,0),   MATCH(U$1,警職大表!$A$3:$AZ$3,0)  ) )    ),"")</f>
        <v/>
      </c>
      <c r="V35" s="271" t="str">
        <f>_xlfn.IFNA(   IF(   IF(  INDEX(警職大表!$A$1:$AZ$100,MATCH($A35,警職大表!$A$1:$A$100,0),   MATCH(V$1,警職大表!$A$3:$AZ$3,0)  )=0,"",INDEX(警職大表!$A$1:$AZ$100,MATCH($A35,警職大表!$A$1:$A$100,0),   MATCH(V$1,警職大表!$A$3:$AZ$3,0)  )        )="",U35,  IF(  INDEX(警職大表!$A$1:$AZ$100,MATCH($A35,警職大表!$A$1:$A$100,0),   MATCH(V$1,警職大表!$A$3:$AZ$3,0)  )=0,"",INDEX(警職大表!$A$1:$AZ$100,MATCH($A35,警職大表!$A$1:$A$100,0),   MATCH(V$1,警職大表!$A$3:$AZ$3,0)  ) )    ),"")</f>
        <v/>
      </c>
      <c r="W35" s="271" t="str">
        <f>_xlfn.IFNA(   IF(   IF(  INDEX(警職大表!$A$1:$AZ$100,MATCH($A35,警職大表!$A$1:$A$100,0),   MATCH(W$1,警職大表!$A$3:$AZ$3,0)  )=0,"",INDEX(警職大表!$A$1:$AZ$100,MATCH($A35,警職大表!$A$1:$A$100,0),   MATCH(W$1,警職大表!$A$3:$AZ$3,0)  )        )="",V35,  IF(  INDEX(警職大表!$A$1:$AZ$100,MATCH($A35,警職大表!$A$1:$A$100,0),   MATCH(W$1,警職大表!$A$3:$AZ$3,0)  )=0,"",INDEX(警職大表!$A$1:$AZ$100,MATCH($A35,警職大表!$A$1:$A$100,0),   MATCH(W$1,警職大表!$A$3:$AZ$3,0)  ) )    ),"")</f>
        <v/>
      </c>
      <c r="X35" s="271" t="str">
        <f>_xlfn.IFNA(   IF(   IF(  INDEX(警職大表!$A$1:$AZ$100,MATCH($A35,警職大表!$A$1:$A$100,0),   MATCH(X$1,警職大表!$A$3:$AZ$3,0)  )=0,"",INDEX(警職大表!$A$1:$AZ$100,MATCH($A35,警職大表!$A$1:$A$100,0),   MATCH(X$1,警職大表!$A$3:$AZ$3,0)  )        )="",W35,  IF(  INDEX(警職大表!$A$1:$AZ$100,MATCH($A35,警職大表!$A$1:$A$100,0),   MATCH(X$1,警職大表!$A$3:$AZ$3,0)  )=0,"",INDEX(警職大表!$A$1:$AZ$100,MATCH($A35,警職大表!$A$1:$A$100,0),   MATCH(X$1,警職大表!$A$3:$AZ$3,0)  ) )    ),"")</f>
        <v/>
      </c>
      <c r="Y35" s="271" t="str">
        <f>_xlfn.IFNA(   IF(   IF(  INDEX(警職大表!$A$1:$AZ$100,MATCH($A35,警職大表!$A$1:$A$100,0),   MATCH(Y$1,警職大表!$A$3:$AZ$3,0)  )=0,"",INDEX(警職大表!$A$1:$AZ$100,MATCH($A35,警職大表!$A$1:$A$100,0),   MATCH(Y$1,警職大表!$A$3:$AZ$3,0)  )        )="",X35,  IF(  INDEX(警職大表!$A$1:$AZ$100,MATCH($A35,警職大表!$A$1:$A$100,0),   MATCH(Y$1,警職大表!$A$3:$AZ$3,0)  )=0,"",INDEX(警職大表!$A$1:$AZ$100,MATCH($A35,警職大表!$A$1:$A$100,0),   MATCH(Y$1,警職大表!$A$3:$AZ$3,0)  ) )    ),"")</f>
        <v/>
      </c>
      <c r="Z35" s="271" t="str">
        <f>_xlfn.IFNA(   IF(   IF(  INDEX(警職大表!$A$1:$AZ$100,MATCH($A35,警職大表!$A$1:$A$100,0),   MATCH(Z$1,警職大表!$A$3:$AZ$3,0)  )=0,"",INDEX(警職大表!$A$1:$AZ$100,MATCH($A35,警職大表!$A$1:$A$100,0),   MATCH(Z$1,警職大表!$A$3:$AZ$3,0)  )        )="",Y35,  IF(  INDEX(警職大表!$A$1:$AZ$100,MATCH($A35,警職大表!$A$1:$A$100,0),   MATCH(Z$1,警職大表!$A$3:$AZ$3,0)  )=0,"",INDEX(警職大表!$A$1:$AZ$100,MATCH($A35,警職大表!$A$1:$A$100,0),   MATCH(Z$1,警職大表!$A$3:$AZ$3,0)  ) )    ),"")</f>
        <v/>
      </c>
      <c r="AA35" s="271" t="str">
        <f>_xlfn.IFNA(   IF(   IF(  INDEX(警職大表!$A$1:$AZ$100,MATCH($A35,警職大表!$A$1:$A$100,0),   MATCH(AA$1,警職大表!$A$3:$AZ$3,0)  )=0,"",INDEX(警職大表!$A$1:$AZ$100,MATCH($A35,警職大表!$A$1:$A$100,0),   MATCH(AA$1,警職大表!$A$3:$AZ$3,0)  )        )="",Z35,  IF(  INDEX(警職大表!$A$1:$AZ$100,MATCH($A35,警職大表!$A$1:$A$100,0),   MATCH(AA$1,警職大表!$A$3:$AZ$3,0)  )=0,"",INDEX(警職大表!$A$1:$AZ$100,MATCH($A35,警職大表!$A$1:$A$100,0),   MATCH(AA$1,警職大表!$A$3:$AZ$3,0)  ) )    ),"")</f>
        <v/>
      </c>
      <c r="AB35" s="271" t="str">
        <f>_xlfn.IFNA(   IF(   IF(  INDEX(警職大表!$A$1:$AZ$100,MATCH($A35,警職大表!$A$1:$A$100,0),   MATCH(AB$1,警職大表!$A$3:$AZ$3,0)  )=0,"",INDEX(警職大表!$A$1:$AZ$100,MATCH($A35,警職大表!$A$1:$A$100,0),   MATCH(AB$1,警職大表!$A$3:$AZ$3,0)  )        )="",AA35,  IF(  INDEX(警職大表!$A$1:$AZ$100,MATCH($A35,警職大表!$A$1:$A$100,0),   MATCH(AB$1,警職大表!$A$3:$AZ$3,0)  )=0,"",INDEX(警職大表!$A$1:$AZ$100,MATCH($A35,警職大表!$A$1:$A$100,0),   MATCH(AB$1,警職大表!$A$3:$AZ$3,0)  ) )    ),"")</f>
        <v/>
      </c>
      <c r="AC35" s="271" t="str">
        <f>_xlfn.IFNA(   IF(   IF(  INDEX(警職大表!$A$1:$AZ$100,MATCH($A35,警職大表!$A$1:$A$100,0),   MATCH(AC$1,警職大表!$A$3:$AZ$3,0)  )=0,"",INDEX(警職大表!$A$1:$AZ$100,MATCH($A35,警職大表!$A$1:$A$100,0),   MATCH(AC$1,警職大表!$A$3:$AZ$3,0)  )        )="",AB35,  IF(  INDEX(警職大表!$A$1:$AZ$100,MATCH($A35,警職大表!$A$1:$A$100,0),   MATCH(AC$1,警職大表!$A$3:$AZ$3,0)  )=0,"",INDEX(警職大表!$A$1:$AZ$100,MATCH($A35,警職大表!$A$1:$A$100,0),   MATCH(AC$1,警職大表!$A$3:$AZ$3,0)  ) )    ),"")</f>
        <v/>
      </c>
      <c r="AD35" s="271" t="str">
        <f>_xlfn.IFNA(   IF(   IF(  INDEX(警職大表!$A$1:$AZ$100,MATCH($A35,警職大表!$A$1:$A$100,0),   MATCH(AD$1,警職大表!$A$3:$AZ$3,0)  )=0,"",INDEX(警職大表!$A$1:$AZ$100,MATCH($A35,警職大表!$A$1:$A$100,0),   MATCH(AD$1,警職大表!$A$3:$AZ$3,0)  )        )="",AC35,  IF(  INDEX(警職大表!$A$1:$AZ$100,MATCH($A35,警職大表!$A$1:$A$100,0),   MATCH(AD$1,警職大表!$A$3:$AZ$3,0)  )=0,"",INDEX(警職大表!$A$1:$AZ$100,MATCH($A35,警職大表!$A$1:$A$100,0),   MATCH(AD$1,警職大表!$A$3:$AZ$3,0)  ) )    ),"")</f>
        <v/>
      </c>
      <c r="AE35" s="271" t="str">
        <f>_xlfn.IFNA(   IF(   IF(  INDEX(警職大表!$A$1:$AZ$100,MATCH($A35,警職大表!$A$1:$A$100,0),   MATCH(AE$1,警職大表!$A$3:$AZ$3,0)  )=0,"",INDEX(警職大表!$A$1:$AZ$100,MATCH($A35,警職大表!$A$1:$A$100,0),   MATCH(AE$1,警職大表!$A$3:$AZ$3,0)  )        )="",AD35,  IF(  INDEX(警職大表!$A$1:$AZ$100,MATCH($A35,警職大表!$A$1:$A$100,0),   MATCH(AE$1,警職大表!$A$3:$AZ$3,0)  )=0,"",INDEX(警職大表!$A$1:$AZ$100,MATCH($A35,警職大表!$A$1:$A$100,0),   MATCH(AE$1,警職大表!$A$3:$AZ$3,0)  ) )    ),"")</f>
        <v/>
      </c>
      <c r="AF35" s="271" t="str">
        <f>_xlfn.IFNA(   IF(   IF(  INDEX(警職大表!$A$1:$AZ$100,MATCH($A35,警職大表!$A$1:$A$100,0),   MATCH(AF$1,警職大表!$A$3:$AZ$3,0)  )=0,"",INDEX(警職大表!$A$1:$AZ$100,MATCH($A35,警職大表!$A$1:$A$100,0),   MATCH(AF$1,警職大表!$A$3:$AZ$3,0)  )        )="",AE35,  IF(  INDEX(警職大表!$A$1:$AZ$100,MATCH($A35,警職大表!$A$1:$A$100,0),   MATCH(AF$1,警職大表!$A$3:$AZ$3,0)  )=0,"",INDEX(警職大表!$A$1:$AZ$100,MATCH($A35,警職大表!$A$1:$A$100,0),   MATCH(AF$1,警職大表!$A$3:$AZ$3,0)  ) )    ),"")</f>
        <v/>
      </c>
      <c r="AG35" s="271" t="str">
        <f>_xlfn.IFNA(   IF(   IF(  INDEX(警職大表!$A$1:$AZ$100,MATCH($A35,警職大表!$A$1:$A$100,0),   MATCH(AG$1,警職大表!$A$3:$AZ$3,0)  )=0,"",INDEX(警職大表!$A$1:$AZ$100,MATCH($A35,警職大表!$A$1:$A$100,0),   MATCH(AG$1,警職大表!$A$3:$AZ$3,0)  )        )="",AF35,  IF(  INDEX(警職大表!$A$1:$AZ$100,MATCH($A35,警職大表!$A$1:$A$100,0),   MATCH(AG$1,警職大表!$A$3:$AZ$3,0)  )=0,"",INDEX(警職大表!$A$1:$AZ$100,MATCH($A35,警職大表!$A$1:$A$100,0),   MATCH(AG$1,警職大表!$A$3:$AZ$3,0)  ) )    ),"")</f>
        <v/>
      </c>
      <c r="AL35" s="271" t="str">
        <f t="shared" si="0"/>
        <v/>
      </c>
      <c r="AM35" s="271" t="str">
        <f t="shared" si="1"/>
        <v/>
      </c>
      <c r="AN35" s="271" t="str">
        <f>INDEX(   $A$41:$AG$78, MATCH(AL35,$A$41:$A$78,0),MATCH(  DAY(勤務分配表!$AN$1),$A$41:$AL$41,0  )  )</f>
        <v/>
      </c>
      <c r="AO35" s="271" t="str">
        <f>IF((ROW(AO35)-1)&lt;=日期輸入!$B$5,_xlfn.IFNA(IF(INDEX($A$1:$AG$40,MATCH($AM35,$B$1:$B$100,0),VALUE($AO$1+3))="成","補",INDEX($A$1:$AG$40,MATCH($AM35,$B$1:$B$100,0),VALUE($AO$1+3))),""),"")</f>
        <v/>
      </c>
      <c r="AP35" s="271" t="str">
        <f>IF((ROW(AP35)-1)&lt;=日期輸入!$B$5,_xlfn.IFNA(IF(INDEX($A$1:$AG$40,MATCH($AM35,$B$1:$B$100,0),VALUE($AP$1+3))="成","補",INDEX($A$1:$AG$40,MATCH($AM35,$B$1:$B$100,0),VALUE($AP$1+3))),""),"")</f>
        <v/>
      </c>
      <c r="AQ35" s="271" t="str">
        <f>IF((ROW(AQ35)-1)&lt;=日期輸入!$B$5,_xlfn.IFNA(IF(INDEX($A$1:$AG$40,MATCH($AM35,$B$1:$B$100,0),VALUE($AQ$1+3))="成","補",INDEX($A$1:$AG$40,MATCH($AM35,$B$1:$B$100,0),VALUE($AQ$1+3))),""),"")</f>
        <v/>
      </c>
    </row>
    <row r="36" spans="1:43">
      <c r="A36" s="271" t="str">
        <f>IF(  (ROW(A36)-1)&lt;=日期輸入!$B$5,勤務分配!A36,"")</f>
        <v/>
      </c>
      <c r="B36" s="271" t="str">
        <f>_xlfn.IFNA(  INDEX(警職大表!$A$1:$AZ$100,MATCH(A36,警職大表!$A$1:$A$100,0),3),"")</f>
        <v/>
      </c>
      <c r="C36" s="271" t="str">
        <f>_xlfn.IFNA(  IF(  INDEX(警職大表!$A$1:$AZ$100,MATCH($A36,警職大表!$A$1:$A$100,0),   MATCH(C$1,警職大表!$A$3:$AZ$3,0)  )=0,"",INDEX(警職大表!$A$1:$AZ$100,MATCH($A36,警職大表!$A$1:$A$100,0),   MATCH(C$1,警職大表!$A$3:$AZ$3,0)  )                ),"")</f>
        <v/>
      </c>
      <c r="D36" s="271" t="str">
        <f>_xlfn.IFNA(   IF(   IF(  INDEX(警職大表!$A$1:$AZ$100,MATCH($A36,警職大表!$A$1:$A$100,0),   MATCH(D$1,警職大表!$A$3:$AZ$3,0)  )=0,"",INDEX(警職大表!$A$1:$AZ$100,MATCH($A36,警職大表!$A$1:$A$100,0),   MATCH(D$1,警職大表!$A$3:$AZ$3,0)  )        )="",C36,  IF(  INDEX(警職大表!$A$1:$AZ$100,MATCH($A36,警職大表!$A$1:$A$100,0),   MATCH(D$1,警職大表!$A$3:$AZ$3,0)  )=0,"",INDEX(警職大表!$A$1:$AZ$100,MATCH($A36,警職大表!$A$1:$A$100,0),   MATCH(D$1,警職大表!$A$3:$AZ$3,0)  ) )    ),"")</f>
        <v/>
      </c>
      <c r="E36" s="271" t="str">
        <f>_xlfn.IFNA(   IF(   IF(  INDEX(警職大表!$A$1:$AZ$100,MATCH($A36,警職大表!$A$1:$A$100,0),   MATCH(E$1,警職大表!$A$3:$AZ$3,0)  )=0,"",INDEX(警職大表!$A$1:$AZ$100,MATCH($A36,警職大表!$A$1:$A$100,0),   MATCH(E$1,警職大表!$A$3:$AZ$3,0)  )        )="",D36,  IF(  INDEX(警職大表!$A$1:$AZ$100,MATCH($A36,警職大表!$A$1:$A$100,0),   MATCH(E$1,警職大表!$A$3:$AZ$3,0)  )=0,"",INDEX(警職大表!$A$1:$AZ$100,MATCH($A36,警職大表!$A$1:$A$100,0),   MATCH(E$1,警職大表!$A$3:$AZ$3,0)  ) )    ),"")</f>
        <v/>
      </c>
      <c r="F36" s="271" t="str">
        <f>_xlfn.IFNA(   IF(   IF(  INDEX(警職大表!$A$1:$AZ$100,MATCH($A36,警職大表!$A$1:$A$100,0),   MATCH(F$1,警職大表!$A$3:$AZ$3,0)  )=0,"",INDEX(警職大表!$A$1:$AZ$100,MATCH($A36,警職大表!$A$1:$A$100,0),   MATCH(F$1,警職大表!$A$3:$AZ$3,0)  )        )="",E36,  IF(  INDEX(警職大表!$A$1:$AZ$100,MATCH($A36,警職大表!$A$1:$A$100,0),   MATCH(F$1,警職大表!$A$3:$AZ$3,0)  )=0,"",INDEX(警職大表!$A$1:$AZ$100,MATCH($A36,警職大表!$A$1:$A$100,0),   MATCH(F$1,警職大表!$A$3:$AZ$3,0)  ) )    ),"")</f>
        <v/>
      </c>
      <c r="G36" s="271" t="str">
        <f>_xlfn.IFNA(   IF(   IF(  INDEX(警職大表!$A$1:$AZ$100,MATCH($A36,警職大表!$A$1:$A$100,0),   MATCH(G$1,警職大表!$A$3:$AZ$3,0)  )=0,"",INDEX(警職大表!$A$1:$AZ$100,MATCH($A36,警職大表!$A$1:$A$100,0),   MATCH(G$1,警職大表!$A$3:$AZ$3,0)  )        )="",F36,  IF(  INDEX(警職大表!$A$1:$AZ$100,MATCH($A36,警職大表!$A$1:$A$100,0),   MATCH(G$1,警職大表!$A$3:$AZ$3,0)  )=0,"",INDEX(警職大表!$A$1:$AZ$100,MATCH($A36,警職大表!$A$1:$A$100,0),   MATCH(G$1,警職大表!$A$3:$AZ$3,0)  ) )    ),"")</f>
        <v/>
      </c>
      <c r="H36" s="271" t="str">
        <f>_xlfn.IFNA(   IF(   IF(  INDEX(警職大表!$A$1:$AZ$100,MATCH($A36,警職大表!$A$1:$A$100,0),   MATCH(H$1,警職大表!$A$3:$AZ$3,0)  )=0,"",INDEX(警職大表!$A$1:$AZ$100,MATCH($A36,警職大表!$A$1:$A$100,0),   MATCH(H$1,警職大表!$A$3:$AZ$3,0)  )        )="",G36,  IF(  INDEX(警職大表!$A$1:$AZ$100,MATCH($A36,警職大表!$A$1:$A$100,0),   MATCH(H$1,警職大表!$A$3:$AZ$3,0)  )=0,"",INDEX(警職大表!$A$1:$AZ$100,MATCH($A36,警職大表!$A$1:$A$100,0),   MATCH(H$1,警職大表!$A$3:$AZ$3,0)  ) )    ),"")</f>
        <v/>
      </c>
      <c r="I36" s="271" t="str">
        <f>_xlfn.IFNA(   IF(   IF(  INDEX(警職大表!$A$1:$AZ$100,MATCH($A36,警職大表!$A$1:$A$100,0),   MATCH(I$1,警職大表!$A$3:$AZ$3,0)  )=0,"",INDEX(警職大表!$A$1:$AZ$100,MATCH($A36,警職大表!$A$1:$A$100,0),   MATCH(I$1,警職大表!$A$3:$AZ$3,0)  )        )="",H36,  IF(  INDEX(警職大表!$A$1:$AZ$100,MATCH($A36,警職大表!$A$1:$A$100,0),   MATCH(I$1,警職大表!$A$3:$AZ$3,0)  )=0,"",INDEX(警職大表!$A$1:$AZ$100,MATCH($A36,警職大表!$A$1:$A$100,0),   MATCH(I$1,警職大表!$A$3:$AZ$3,0)  ) )    ),"")</f>
        <v/>
      </c>
      <c r="J36" s="271" t="str">
        <f>_xlfn.IFNA(   IF(   IF(  INDEX(警職大表!$A$1:$AZ$100,MATCH($A36,警職大表!$A$1:$A$100,0),   MATCH(J$1,警職大表!$A$3:$AZ$3,0)  )=0,"",INDEX(警職大表!$A$1:$AZ$100,MATCH($A36,警職大表!$A$1:$A$100,0),   MATCH(J$1,警職大表!$A$3:$AZ$3,0)  )        )="",I36,  IF(  INDEX(警職大表!$A$1:$AZ$100,MATCH($A36,警職大表!$A$1:$A$100,0),   MATCH(J$1,警職大表!$A$3:$AZ$3,0)  )=0,"",INDEX(警職大表!$A$1:$AZ$100,MATCH($A36,警職大表!$A$1:$A$100,0),   MATCH(J$1,警職大表!$A$3:$AZ$3,0)  ) )    ),"")</f>
        <v/>
      </c>
      <c r="K36" s="271" t="str">
        <f>_xlfn.IFNA(   IF(   IF(  INDEX(警職大表!$A$1:$AZ$100,MATCH($A36,警職大表!$A$1:$A$100,0),   MATCH(K$1,警職大表!$A$3:$AZ$3,0)  )=0,"",INDEX(警職大表!$A$1:$AZ$100,MATCH($A36,警職大表!$A$1:$A$100,0),   MATCH(K$1,警職大表!$A$3:$AZ$3,0)  )        )="",J36,  IF(  INDEX(警職大表!$A$1:$AZ$100,MATCH($A36,警職大表!$A$1:$A$100,0),   MATCH(K$1,警職大表!$A$3:$AZ$3,0)  )=0,"",INDEX(警職大表!$A$1:$AZ$100,MATCH($A36,警職大表!$A$1:$A$100,0),   MATCH(K$1,警職大表!$A$3:$AZ$3,0)  ) )    ),"")</f>
        <v/>
      </c>
      <c r="L36" s="271" t="str">
        <f>_xlfn.IFNA(   IF(   IF(  INDEX(警職大表!$A$1:$AZ$100,MATCH($A36,警職大表!$A$1:$A$100,0),   MATCH(L$1,警職大表!$A$3:$AZ$3,0)  )=0,"",INDEX(警職大表!$A$1:$AZ$100,MATCH($A36,警職大表!$A$1:$A$100,0),   MATCH(L$1,警職大表!$A$3:$AZ$3,0)  )        )="",K36,  IF(  INDEX(警職大表!$A$1:$AZ$100,MATCH($A36,警職大表!$A$1:$A$100,0),   MATCH(L$1,警職大表!$A$3:$AZ$3,0)  )=0,"",INDEX(警職大表!$A$1:$AZ$100,MATCH($A36,警職大表!$A$1:$A$100,0),   MATCH(L$1,警職大表!$A$3:$AZ$3,0)  ) )    ),"")</f>
        <v/>
      </c>
      <c r="M36" s="271" t="str">
        <f>_xlfn.IFNA(   IF(   IF(  INDEX(警職大表!$A$1:$AZ$100,MATCH($A36,警職大表!$A$1:$A$100,0),   MATCH(M$1,警職大表!$A$3:$AZ$3,0)  )=0,"",INDEX(警職大表!$A$1:$AZ$100,MATCH($A36,警職大表!$A$1:$A$100,0),   MATCH(M$1,警職大表!$A$3:$AZ$3,0)  )        )="",L36,  IF(  INDEX(警職大表!$A$1:$AZ$100,MATCH($A36,警職大表!$A$1:$A$100,0),   MATCH(M$1,警職大表!$A$3:$AZ$3,0)  )=0,"",INDEX(警職大表!$A$1:$AZ$100,MATCH($A36,警職大表!$A$1:$A$100,0),   MATCH(M$1,警職大表!$A$3:$AZ$3,0)  ) )    ),"")</f>
        <v/>
      </c>
      <c r="N36" s="271" t="str">
        <f>_xlfn.IFNA(   IF(   IF(  INDEX(警職大表!$A$1:$AZ$100,MATCH($A36,警職大表!$A$1:$A$100,0),   MATCH(N$1,警職大表!$A$3:$AZ$3,0)  )=0,"",INDEX(警職大表!$A$1:$AZ$100,MATCH($A36,警職大表!$A$1:$A$100,0),   MATCH(N$1,警職大表!$A$3:$AZ$3,0)  )        )="",M36,  IF(  INDEX(警職大表!$A$1:$AZ$100,MATCH($A36,警職大表!$A$1:$A$100,0),   MATCH(N$1,警職大表!$A$3:$AZ$3,0)  )=0,"",INDEX(警職大表!$A$1:$AZ$100,MATCH($A36,警職大表!$A$1:$A$100,0),   MATCH(N$1,警職大表!$A$3:$AZ$3,0)  ) )    ),"")</f>
        <v/>
      </c>
      <c r="O36" s="271" t="str">
        <f>_xlfn.IFNA(   IF(   IF(  INDEX(警職大表!$A$1:$AZ$100,MATCH($A36,警職大表!$A$1:$A$100,0),   MATCH(O$1,警職大表!$A$3:$AZ$3,0)  )=0,"",INDEX(警職大表!$A$1:$AZ$100,MATCH($A36,警職大表!$A$1:$A$100,0),   MATCH(O$1,警職大表!$A$3:$AZ$3,0)  )        )="",N36,  IF(  INDEX(警職大表!$A$1:$AZ$100,MATCH($A36,警職大表!$A$1:$A$100,0),   MATCH(O$1,警職大表!$A$3:$AZ$3,0)  )=0,"",INDEX(警職大表!$A$1:$AZ$100,MATCH($A36,警職大表!$A$1:$A$100,0),   MATCH(O$1,警職大表!$A$3:$AZ$3,0)  ) )    ),"")</f>
        <v/>
      </c>
      <c r="P36" s="271" t="str">
        <f>_xlfn.IFNA(   IF(   IF(  INDEX(警職大表!$A$1:$AZ$100,MATCH($A36,警職大表!$A$1:$A$100,0),   MATCH(P$1,警職大表!$A$3:$AZ$3,0)  )=0,"",INDEX(警職大表!$A$1:$AZ$100,MATCH($A36,警職大表!$A$1:$A$100,0),   MATCH(P$1,警職大表!$A$3:$AZ$3,0)  )        )="",O36,  IF(  INDEX(警職大表!$A$1:$AZ$100,MATCH($A36,警職大表!$A$1:$A$100,0),   MATCH(P$1,警職大表!$A$3:$AZ$3,0)  )=0,"",INDEX(警職大表!$A$1:$AZ$100,MATCH($A36,警職大表!$A$1:$A$100,0),   MATCH(P$1,警職大表!$A$3:$AZ$3,0)  ) )    ),"")</f>
        <v/>
      </c>
      <c r="Q36" s="271" t="str">
        <f>_xlfn.IFNA(   IF(   IF(  INDEX(警職大表!$A$1:$AZ$100,MATCH($A36,警職大表!$A$1:$A$100,0),   MATCH(Q$1,警職大表!$A$3:$AZ$3,0)  )=0,"",INDEX(警職大表!$A$1:$AZ$100,MATCH($A36,警職大表!$A$1:$A$100,0),   MATCH(Q$1,警職大表!$A$3:$AZ$3,0)  )        )="",P36,  IF(  INDEX(警職大表!$A$1:$AZ$100,MATCH($A36,警職大表!$A$1:$A$100,0),   MATCH(Q$1,警職大表!$A$3:$AZ$3,0)  )=0,"",INDEX(警職大表!$A$1:$AZ$100,MATCH($A36,警職大表!$A$1:$A$100,0),   MATCH(Q$1,警職大表!$A$3:$AZ$3,0)  ) )    ),"")</f>
        <v/>
      </c>
      <c r="R36" s="271" t="str">
        <f>_xlfn.IFNA(   IF(   IF(  INDEX(警職大表!$A$1:$AZ$100,MATCH($A36,警職大表!$A$1:$A$100,0),   MATCH(R$1,警職大表!$A$3:$AZ$3,0)  )=0,"",INDEX(警職大表!$A$1:$AZ$100,MATCH($A36,警職大表!$A$1:$A$100,0),   MATCH(R$1,警職大表!$A$3:$AZ$3,0)  )        )="",Q36,  IF(  INDEX(警職大表!$A$1:$AZ$100,MATCH($A36,警職大表!$A$1:$A$100,0),   MATCH(R$1,警職大表!$A$3:$AZ$3,0)  )=0,"",INDEX(警職大表!$A$1:$AZ$100,MATCH($A36,警職大表!$A$1:$A$100,0),   MATCH(R$1,警職大表!$A$3:$AZ$3,0)  ) )    ),"")</f>
        <v/>
      </c>
      <c r="S36" s="271" t="str">
        <f>_xlfn.IFNA(   IF(   IF(  INDEX(警職大表!$A$1:$AZ$100,MATCH($A36,警職大表!$A$1:$A$100,0),   MATCH(S$1,警職大表!$A$3:$AZ$3,0)  )=0,"",INDEX(警職大表!$A$1:$AZ$100,MATCH($A36,警職大表!$A$1:$A$100,0),   MATCH(S$1,警職大表!$A$3:$AZ$3,0)  )        )="",R36,  IF(  INDEX(警職大表!$A$1:$AZ$100,MATCH($A36,警職大表!$A$1:$A$100,0),   MATCH(S$1,警職大表!$A$3:$AZ$3,0)  )=0,"",INDEX(警職大表!$A$1:$AZ$100,MATCH($A36,警職大表!$A$1:$A$100,0),   MATCH(S$1,警職大表!$A$3:$AZ$3,0)  ) )    ),"")</f>
        <v/>
      </c>
      <c r="T36" s="271" t="str">
        <f>_xlfn.IFNA(   IF(   IF(  INDEX(警職大表!$A$1:$AZ$100,MATCH($A36,警職大表!$A$1:$A$100,0),   MATCH(T$1,警職大表!$A$3:$AZ$3,0)  )=0,"",INDEX(警職大表!$A$1:$AZ$100,MATCH($A36,警職大表!$A$1:$A$100,0),   MATCH(T$1,警職大表!$A$3:$AZ$3,0)  )        )="",S36,  IF(  INDEX(警職大表!$A$1:$AZ$100,MATCH($A36,警職大表!$A$1:$A$100,0),   MATCH(T$1,警職大表!$A$3:$AZ$3,0)  )=0,"",INDEX(警職大表!$A$1:$AZ$100,MATCH($A36,警職大表!$A$1:$A$100,0),   MATCH(T$1,警職大表!$A$3:$AZ$3,0)  ) )    ),"")</f>
        <v/>
      </c>
      <c r="U36" s="271" t="str">
        <f>_xlfn.IFNA(   IF(   IF(  INDEX(警職大表!$A$1:$AZ$100,MATCH($A36,警職大表!$A$1:$A$100,0),   MATCH(U$1,警職大表!$A$3:$AZ$3,0)  )=0,"",INDEX(警職大表!$A$1:$AZ$100,MATCH($A36,警職大表!$A$1:$A$100,0),   MATCH(U$1,警職大表!$A$3:$AZ$3,0)  )        )="",T36,  IF(  INDEX(警職大表!$A$1:$AZ$100,MATCH($A36,警職大表!$A$1:$A$100,0),   MATCH(U$1,警職大表!$A$3:$AZ$3,0)  )=0,"",INDEX(警職大表!$A$1:$AZ$100,MATCH($A36,警職大表!$A$1:$A$100,0),   MATCH(U$1,警職大表!$A$3:$AZ$3,0)  ) )    ),"")</f>
        <v/>
      </c>
      <c r="V36" s="271" t="str">
        <f>_xlfn.IFNA(   IF(   IF(  INDEX(警職大表!$A$1:$AZ$100,MATCH($A36,警職大表!$A$1:$A$100,0),   MATCH(V$1,警職大表!$A$3:$AZ$3,0)  )=0,"",INDEX(警職大表!$A$1:$AZ$100,MATCH($A36,警職大表!$A$1:$A$100,0),   MATCH(V$1,警職大表!$A$3:$AZ$3,0)  )        )="",U36,  IF(  INDEX(警職大表!$A$1:$AZ$100,MATCH($A36,警職大表!$A$1:$A$100,0),   MATCH(V$1,警職大表!$A$3:$AZ$3,0)  )=0,"",INDEX(警職大表!$A$1:$AZ$100,MATCH($A36,警職大表!$A$1:$A$100,0),   MATCH(V$1,警職大表!$A$3:$AZ$3,0)  ) )    ),"")</f>
        <v/>
      </c>
      <c r="W36" s="271" t="str">
        <f>_xlfn.IFNA(   IF(   IF(  INDEX(警職大表!$A$1:$AZ$100,MATCH($A36,警職大表!$A$1:$A$100,0),   MATCH(W$1,警職大表!$A$3:$AZ$3,0)  )=0,"",INDEX(警職大表!$A$1:$AZ$100,MATCH($A36,警職大表!$A$1:$A$100,0),   MATCH(W$1,警職大表!$A$3:$AZ$3,0)  )        )="",V36,  IF(  INDEX(警職大表!$A$1:$AZ$100,MATCH($A36,警職大表!$A$1:$A$100,0),   MATCH(W$1,警職大表!$A$3:$AZ$3,0)  )=0,"",INDEX(警職大表!$A$1:$AZ$100,MATCH($A36,警職大表!$A$1:$A$100,0),   MATCH(W$1,警職大表!$A$3:$AZ$3,0)  ) )    ),"")</f>
        <v/>
      </c>
      <c r="X36" s="271" t="str">
        <f>_xlfn.IFNA(   IF(   IF(  INDEX(警職大表!$A$1:$AZ$100,MATCH($A36,警職大表!$A$1:$A$100,0),   MATCH(X$1,警職大表!$A$3:$AZ$3,0)  )=0,"",INDEX(警職大表!$A$1:$AZ$100,MATCH($A36,警職大表!$A$1:$A$100,0),   MATCH(X$1,警職大表!$A$3:$AZ$3,0)  )        )="",W36,  IF(  INDEX(警職大表!$A$1:$AZ$100,MATCH($A36,警職大表!$A$1:$A$100,0),   MATCH(X$1,警職大表!$A$3:$AZ$3,0)  )=0,"",INDEX(警職大表!$A$1:$AZ$100,MATCH($A36,警職大表!$A$1:$A$100,0),   MATCH(X$1,警職大表!$A$3:$AZ$3,0)  ) )    ),"")</f>
        <v/>
      </c>
      <c r="Y36" s="271" t="str">
        <f>_xlfn.IFNA(   IF(   IF(  INDEX(警職大表!$A$1:$AZ$100,MATCH($A36,警職大表!$A$1:$A$100,0),   MATCH(Y$1,警職大表!$A$3:$AZ$3,0)  )=0,"",INDEX(警職大表!$A$1:$AZ$100,MATCH($A36,警職大表!$A$1:$A$100,0),   MATCH(Y$1,警職大表!$A$3:$AZ$3,0)  )        )="",X36,  IF(  INDEX(警職大表!$A$1:$AZ$100,MATCH($A36,警職大表!$A$1:$A$100,0),   MATCH(Y$1,警職大表!$A$3:$AZ$3,0)  )=0,"",INDEX(警職大表!$A$1:$AZ$100,MATCH($A36,警職大表!$A$1:$A$100,0),   MATCH(Y$1,警職大表!$A$3:$AZ$3,0)  ) )    ),"")</f>
        <v/>
      </c>
      <c r="Z36" s="271" t="str">
        <f>_xlfn.IFNA(   IF(   IF(  INDEX(警職大表!$A$1:$AZ$100,MATCH($A36,警職大表!$A$1:$A$100,0),   MATCH(Z$1,警職大表!$A$3:$AZ$3,0)  )=0,"",INDEX(警職大表!$A$1:$AZ$100,MATCH($A36,警職大表!$A$1:$A$100,0),   MATCH(Z$1,警職大表!$A$3:$AZ$3,0)  )        )="",Y36,  IF(  INDEX(警職大表!$A$1:$AZ$100,MATCH($A36,警職大表!$A$1:$A$100,0),   MATCH(Z$1,警職大表!$A$3:$AZ$3,0)  )=0,"",INDEX(警職大表!$A$1:$AZ$100,MATCH($A36,警職大表!$A$1:$A$100,0),   MATCH(Z$1,警職大表!$A$3:$AZ$3,0)  ) )    ),"")</f>
        <v/>
      </c>
      <c r="AA36" s="271" t="str">
        <f>_xlfn.IFNA(   IF(   IF(  INDEX(警職大表!$A$1:$AZ$100,MATCH($A36,警職大表!$A$1:$A$100,0),   MATCH(AA$1,警職大表!$A$3:$AZ$3,0)  )=0,"",INDEX(警職大表!$A$1:$AZ$100,MATCH($A36,警職大表!$A$1:$A$100,0),   MATCH(AA$1,警職大表!$A$3:$AZ$3,0)  )        )="",Z36,  IF(  INDEX(警職大表!$A$1:$AZ$100,MATCH($A36,警職大表!$A$1:$A$100,0),   MATCH(AA$1,警職大表!$A$3:$AZ$3,0)  )=0,"",INDEX(警職大表!$A$1:$AZ$100,MATCH($A36,警職大表!$A$1:$A$100,0),   MATCH(AA$1,警職大表!$A$3:$AZ$3,0)  ) )    ),"")</f>
        <v/>
      </c>
      <c r="AB36" s="271" t="str">
        <f>_xlfn.IFNA(   IF(   IF(  INDEX(警職大表!$A$1:$AZ$100,MATCH($A36,警職大表!$A$1:$A$100,0),   MATCH(AB$1,警職大表!$A$3:$AZ$3,0)  )=0,"",INDEX(警職大表!$A$1:$AZ$100,MATCH($A36,警職大表!$A$1:$A$100,0),   MATCH(AB$1,警職大表!$A$3:$AZ$3,0)  )        )="",AA36,  IF(  INDEX(警職大表!$A$1:$AZ$100,MATCH($A36,警職大表!$A$1:$A$100,0),   MATCH(AB$1,警職大表!$A$3:$AZ$3,0)  )=0,"",INDEX(警職大表!$A$1:$AZ$100,MATCH($A36,警職大表!$A$1:$A$100,0),   MATCH(AB$1,警職大表!$A$3:$AZ$3,0)  ) )    ),"")</f>
        <v/>
      </c>
      <c r="AC36" s="271" t="str">
        <f>_xlfn.IFNA(   IF(   IF(  INDEX(警職大表!$A$1:$AZ$100,MATCH($A36,警職大表!$A$1:$A$100,0),   MATCH(AC$1,警職大表!$A$3:$AZ$3,0)  )=0,"",INDEX(警職大表!$A$1:$AZ$100,MATCH($A36,警職大表!$A$1:$A$100,0),   MATCH(AC$1,警職大表!$A$3:$AZ$3,0)  )        )="",AB36,  IF(  INDEX(警職大表!$A$1:$AZ$100,MATCH($A36,警職大表!$A$1:$A$100,0),   MATCH(AC$1,警職大表!$A$3:$AZ$3,0)  )=0,"",INDEX(警職大表!$A$1:$AZ$100,MATCH($A36,警職大表!$A$1:$A$100,0),   MATCH(AC$1,警職大表!$A$3:$AZ$3,0)  ) )    ),"")</f>
        <v/>
      </c>
      <c r="AD36" s="271" t="str">
        <f>_xlfn.IFNA(   IF(   IF(  INDEX(警職大表!$A$1:$AZ$100,MATCH($A36,警職大表!$A$1:$A$100,0),   MATCH(AD$1,警職大表!$A$3:$AZ$3,0)  )=0,"",INDEX(警職大表!$A$1:$AZ$100,MATCH($A36,警職大表!$A$1:$A$100,0),   MATCH(AD$1,警職大表!$A$3:$AZ$3,0)  )        )="",AC36,  IF(  INDEX(警職大表!$A$1:$AZ$100,MATCH($A36,警職大表!$A$1:$A$100,0),   MATCH(AD$1,警職大表!$A$3:$AZ$3,0)  )=0,"",INDEX(警職大表!$A$1:$AZ$100,MATCH($A36,警職大表!$A$1:$A$100,0),   MATCH(AD$1,警職大表!$A$3:$AZ$3,0)  ) )    ),"")</f>
        <v/>
      </c>
      <c r="AE36" s="271" t="str">
        <f>_xlfn.IFNA(   IF(   IF(  INDEX(警職大表!$A$1:$AZ$100,MATCH($A36,警職大表!$A$1:$A$100,0),   MATCH(AE$1,警職大表!$A$3:$AZ$3,0)  )=0,"",INDEX(警職大表!$A$1:$AZ$100,MATCH($A36,警職大表!$A$1:$A$100,0),   MATCH(AE$1,警職大表!$A$3:$AZ$3,0)  )        )="",AD36,  IF(  INDEX(警職大表!$A$1:$AZ$100,MATCH($A36,警職大表!$A$1:$A$100,0),   MATCH(AE$1,警職大表!$A$3:$AZ$3,0)  )=0,"",INDEX(警職大表!$A$1:$AZ$100,MATCH($A36,警職大表!$A$1:$A$100,0),   MATCH(AE$1,警職大表!$A$3:$AZ$3,0)  ) )    ),"")</f>
        <v/>
      </c>
      <c r="AF36" s="271" t="str">
        <f>_xlfn.IFNA(   IF(   IF(  INDEX(警職大表!$A$1:$AZ$100,MATCH($A36,警職大表!$A$1:$A$100,0),   MATCH(AF$1,警職大表!$A$3:$AZ$3,0)  )=0,"",INDEX(警職大表!$A$1:$AZ$100,MATCH($A36,警職大表!$A$1:$A$100,0),   MATCH(AF$1,警職大表!$A$3:$AZ$3,0)  )        )="",AE36,  IF(  INDEX(警職大表!$A$1:$AZ$100,MATCH($A36,警職大表!$A$1:$A$100,0),   MATCH(AF$1,警職大表!$A$3:$AZ$3,0)  )=0,"",INDEX(警職大表!$A$1:$AZ$100,MATCH($A36,警職大表!$A$1:$A$100,0),   MATCH(AF$1,警職大表!$A$3:$AZ$3,0)  ) )    ),"")</f>
        <v/>
      </c>
      <c r="AG36" s="271" t="str">
        <f>_xlfn.IFNA(   IF(   IF(  INDEX(警職大表!$A$1:$AZ$100,MATCH($A36,警職大表!$A$1:$A$100,0),   MATCH(AG$1,警職大表!$A$3:$AZ$3,0)  )=0,"",INDEX(警職大表!$A$1:$AZ$100,MATCH($A36,警職大表!$A$1:$A$100,0),   MATCH(AG$1,警職大表!$A$3:$AZ$3,0)  )        )="",AF36,  IF(  INDEX(警職大表!$A$1:$AZ$100,MATCH($A36,警職大表!$A$1:$A$100,0),   MATCH(AG$1,警職大表!$A$3:$AZ$3,0)  )=0,"",INDEX(警職大表!$A$1:$AZ$100,MATCH($A36,警職大表!$A$1:$A$100,0),   MATCH(AG$1,警職大表!$A$3:$AZ$3,0)  ) )    ),"")</f>
        <v/>
      </c>
      <c r="AL36" s="271" t="str">
        <f t="shared" si="0"/>
        <v/>
      </c>
      <c r="AM36" s="271" t="str">
        <f t="shared" si="1"/>
        <v/>
      </c>
      <c r="AN36" s="271" t="str">
        <f>INDEX(   $A$41:$AG$78, MATCH(AL36,$A$41:$A$78,0),MATCH(  DAY(勤務分配表!$AN$1),$A$41:$AL$41,0  )  )</f>
        <v/>
      </c>
      <c r="AO36" s="271" t="str">
        <f>IF((ROW(AO36)-1)&lt;=日期輸入!$B$5,_xlfn.IFNA(IF(INDEX($A$1:$AG$40,MATCH($AM36,$B$1:$B$100,0),VALUE($AO$1+3))="成","補",INDEX($A$1:$AG$40,MATCH($AM36,$B$1:$B$100,0),VALUE($AO$1+3))),""),"")</f>
        <v/>
      </c>
      <c r="AP36" s="271" t="str">
        <f>IF((ROW(AP36)-1)&lt;=日期輸入!$B$5,_xlfn.IFNA(IF(INDEX($A$1:$AG$40,MATCH($AM36,$B$1:$B$100,0),VALUE($AP$1+3))="成","補",INDEX($A$1:$AG$40,MATCH($AM36,$B$1:$B$100,0),VALUE($AP$1+3))),""),"")</f>
        <v/>
      </c>
      <c r="AQ36" s="271" t="str">
        <f>IF((ROW(AQ36)-1)&lt;=日期輸入!$B$5,_xlfn.IFNA(IF(INDEX($A$1:$AG$40,MATCH($AM36,$B$1:$B$100,0),VALUE($AQ$1+3))="成","補",INDEX($A$1:$AG$40,MATCH($AM36,$B$1:$B$100,0),VALUE($AQ$1+3))),""),"")</f>
        <v/>
      </c>
    </row>
    <row r="37" spans="1:43">
      <c r="A37" s="271" t="str">
        <f>IF(  (ROW(A37)-1)&lt;=日期輸入!$B$5,勤務分配!A37,"")</f>
        <v/>
      </c>
      <c r="B37" s="271" t="str">
        <f>_xlfn.IFNA(  INDEX(警職大表!$A$1:$AZ$100,MATCH(A37,警職大表!$A$1:$A$100,0),3),"")</f>
        <v/>
      </c>
      <c r="C37" s="271" t="str">
        <f>_xlfn.IFNA(  IF(  INDEX(警職大表!$A$1:$AZ$100,MATCH($A37,警職大表!$A$1:$A$100,0),   MATCH(C$1,警職大表!$A$3:$AZ$3,0)  )=0,"",INDEX(警職大表!$A$1:$AZ$100,MATCH($A37,警職大表!$A$1:$A$100,0),   MATCH(C$1,警職大表!$A$3:$AZ$3,0)  )                ),"")</f>
        <v/>
      </c>
      <c r="D37" s="271" t="str">
        <f>_xlfn.IFNA(   IF(   IF(  INDEX(警職大表!$A$1:$AZ$100,MATCH($A37,警職大表!$A$1:$A$100,0),   MATCH(D$1,警職大表!$A$3:$AZ$3,0)  )=0,"",INDEX(警職大表!$A$1:$AZ$100,MATCH($A37,警職大表!$A$1:$A$100,0),   MATCH(D$1,警職大表!$A$3:$AZ$3,0)  )        )="",C37,  IF(  INDEX(警職大表!$A$1:$AZ$100,MATCH($A37,警職大表!$A$1:$A$100,0),   MATCH(D$1,警職大表!$A$3:$AZ$3,0)  )=0,"",INDEX(警職大表!$A$1:$AZ$100,MATCH($A37,警職大表!$A$1:$A$100,0),   MATCH(D$1,警職大表!$A$3:$AZ$3,0)  ) )    ),"")</f>
        <v/>
      </c>
      <c r="E37" s="271" t="str">
        <f>_xlfn.IFNA(   IF(   IF(  INDEX(警職大表!$A$1:$AZ$100,MATCH($A37,警職大表!$A$1:$A$100,0),   MATCH(E$1,警職大表!$A$3:$AZ$3,0)  )=0,"",INDEX(警職大表!$A$1:$AZ$100,MATCH($A37,警職大表!$A$1:$A$100,0),   MATCH(E$1,警職大表!$A$3:$AZ$3,0)  )        )="",D37,  IF(  INDEX(警職大表!$A$1:$AZ$100,MATCH($A37,警職大表!$A$1:$A$100,0),   MATCH(E$1,警職大表!$A$3:$AZ$3,0)  )=0,"",INDEX(警職大表!$A$1:$AZ$100,MATCH($A37,警職大表!$A$1:$A$100,0),   MATCH(E$1,警職大表!$A$3:$AZ$3,0)  ) )    ),"")</f>
        <v/>
      </c>
      <c r="F37" s="271" t="str">
        <f>_xlfn.IFNA(   IF(   IF(  INDEX(警職大表!$A$1:$AZ$100,MATCH($A37,警職大表!$A$1:$A$100,0),   MATCH(F$1,警職大表!$A$3:$AZ$3,0)  )=0,"",INDEX(警職大表!$A$1:$AZ$100,MATCH($A37,警職大表!$A$1:$A$100,0),   MATCH(F$1,警職大表!$A$3:$AZ$3,0)  )        )="",E37,  IF(  INDEX(警職大表!$A$1:$AZ$100,MATCH($A37,警職大表!$A$1:$A$100,0),   MATCH(F$1,警職大表!$A$3:$AZ$3,0)  )=0,"",INDEX(警職大表!$A$1:$AZ$100,MATCH($A37,警職大表!$A$1:$A$100,0),   MATCH(F$1,警職大表!$A$3:$AZ$3,0)  ) )    ),"")</f>
        <v/>
      </c>
      <c r="G37" s="271" t="str">
        <f>_xlfn.IFNA(   IF(   IF(  INDEX(警職大表!$A$1:$AZ$100,MATCH($A37,警職大表!$A$1:$A$100,0),   MATCH(G$1,警職大表!$A$3:$AZ$3,0)  )=0,"",INDEX(警職大表!$A$1:$AZ$100,MATCH($A37,警職大表!$A$1:$A$100,0),   MATCH(G$1,警職大表!$A$3:$AZ$3,0)  )        )="",F37,  IF(  INDEX(警職大表!$A$1:$AZ$100,MATCH($A37,警職大表!$A$1:$A$100,0),   MATCH(G$1,警職大表!$A$3:$AZ$3,0)  )=0,"",INDEX(警職大表!$A$1:$AZ$100,MATCH($A37,警職大表!$A$1:$A$100,0),   MATCH(G$1,警職大表!$A$3:$AZ$3,0)  ) )    ),"")</f>
        <v/>
      </c>
      <c r="H37" s="271" t="str">
        <f>_xlfn.IFNA(   IF(   IF(  INDEX(警職大表!$A$1:$AZ$100,MATCH($A37,警職大表!$A$1:$A$100,0),   MATCH(H$1,警職大表!$A$3:$AZ$3,0)  )=0,"",INDEX(警職大表!$A$1:$AZ$100,MATCH($A37,警職大表!$A$1:$A$100,0),   MATCH(H$1,警職大表!$A$3:$AZ$3,0)  )        )="",G37,  IF(  INDEX(警職大表!$A$1:$AZ$100,MATCH($A37,警職大表!$A$1:$A$100,0),   MATCH(H$1,警職大表!$A$3:$AZ$3,0)  )=0,"",INDEX(警職大表!$A$1:$AZ$100,MATCH($A37,警職大表!$A$1:$A$100,0),   MATCH(H$1,警職大表!$A$3:$AZ$3,0)  ) )    ),"")</f>
        <v/>
      </c>
      <c r="I37" s="271" t="str">
        <f>_xlfn.IFNA(   IF(   IF(  INDEX(警職大表!$A$1:$AZ$100,MATCH($A37,警職大表!$A$1:$A$100,0),   MATCH(I$1,警職大表!$A$3:$AZ$3,0)  )=0,"",INDEX(警職大表!$A$1:$AZ$100,MATCH($A37,警職大表!$A$1:$A$100,0),   MATCH(I$1,警職大表!$A$3:$AZ$3,0)  )        )="",H37,  IF(  INDEX(警職大表!$A$1:$AZ$100,MATCH($A37,警職大表!$A$1:$A$100,0),   MATCH(I$1,警職大表!$A$3:$AZ$3,0)  )=0,"",INDEX(警職大表!$A$1:$AZ$100,MATCH($A37,警職大表!$A$1:$A$100,0),   MATCH(I$1,警職大表!$A$3:$AZ$3,0)  ) )    ),"")</f>
        <v/>
      </c>
      <c r="J37" s="271" t="str">
        <f>_xlfn.IFNA(   IF(   IF(  INDEX(警職大表!$A$1:$AZ$100,MATCH($A37,警職大表!$A$1:$A$100,0),   MATCH(J$1,警職大表!$A$3:$AZ$3,0)  )=0,"",INDEX(警職大表!$A$1:$AZ$100,MATCH($A37,警職大表!$A$1:$A$100,0),   MATCH(J$1,警職大表!$A$3:$AZ$3,0)  )        )="",I37,  IF(  INDEX(警職大表!$A$1:$AZ$100,MATCH($A37,警職大表!$A$1:$A$100,0),   MATCH(J$1,警職大表!$A$3:$AZ$3,0)  )=0,"",INDEX(警職大表!$A$1:$AZ$100,MATCH($A37,警職大表!$A$1:$A$100,0),   MATCH(J$1,警職大表!$A$3:$AZ$3,0)  ) )    ),"")</f>
        <v/>
      </c>
      <c r="K37" s="271" t="str">
        <f>_xlfn.IFNA(   IF(   IF(  INDEX(警職大表!$A$1:$AZ$100,MATCH($A37,警職大表!$A$1:$A$100,0),   MATCH(K$1,警職大表!$A$3:$AZ$3,0)  )=0,"",INDEX(警職大表!$A$1:$AZ$100,MATCH($A37,警職大表!$A$1:$A$100,0),   MATCH(K$1,警職大表!$A$3:$AZ$3,0)  )        )="",J37,  IF(  INDEX(警職大表!$A$1:$AZ$100,MATCH($A37,警職大表!$A$1:$A$100,0),   MATCH(K$1,警職大表!$A$3:$AZ$3,0)  )=0,"",INDEX(警職大表!$A$1:$AZ$100,MATCH($A37,警職大表!$A$1:$A$100,0),   MATCH(K$1,警職大表!$A$3:$AZ$3,0)  ) )    ),"")</f>
        <v/>
      </c>
      <c r="L37" s="271" t="str">
        <f>_xlfn.IFNA(   IF(   IF(  INDEX(警職大表!$A$1:$AZ$100,MATCH($A37,警職大表!$A$1:$A$100,0),   MATCH(L$1,警職大表!$A$3:$AZ$3,0)  )=0,"",INDEX(警職大表!$A$1:$AZ$100,MATCH($A37,警職大表!$A$1:$A$100,0),   MATCH(L$1,警職大表!$A$3:$AZ$3,0)  )        )="",K37,  IF(  INDEX(警職大表!$A$1:$AZ$100,MATCH($A37,警職大表!$A$1:$A$100,0),   MATCH(L$1,警職大表!$A$3:$AZ$3,0)  )=0,"",INDEX(警職大表!$A$1:$AZ$100,MATCH($A37,警職大表!$A$1:$A$100,0),   MATCH(L$1,警職大表!$A$3:$AZ$3,0)  ) )    ),"")</f>
        <v/>
      </c>
      <c r="M37" s="271" t="str">
        <f>_xlfn.IFNA(   IF(   IF(  INDEX(警職大表!$A$1:$AZ$100,MATCH($A37,警職大表!$A$1:$A$100,0),   MATCH(M$1,警職大表!$A$3:$AZ$3,0)  )=0,"",INDEX(警職大表!$A$1:$AZ$100,MATCH($A37,警職大表!$A$1:$A$100,0),   MATCH(M$1,警職大表!$A$3:$AZ$3,0)  )        )="",L37,  IF(  INDEX(警職大表!$A$1:$AZ$100,MATCH($A37,警職大表!$A$1:$A$100,0),   MATCH(M$1,警職大表!$A$3:$AZ$3,0)  )=0,"",INDEX(警職大表!$A$1:$AZ$100,MATCH($A37,警職大表!$A$1:$A$100,0),   MATCH(M$1,警職大表!$A$3:$AZ$3,0)  ) )    ),"")</f>
        <v/>
      </c>
      <c r="N37" s="271" t="str">
        <f>_xlfn.IFNA(   IF(   IF(  INDEX(警職大表!$A$1:$AZ$100,MATCH($A37,警職大表!$A$1:$A$100,0),   MATCH(N$1,警職大表!$A$3:$AZ$3,0)  )=0,"",INDEX(警職大表!$A$1:$AZ$100,MATCH($A37,警職大表!$A$1:$A$100,0),   MATCH(N$1,警職大表!$A$3:$AZ$3,0)  )        )="",M37,  IF(  INDEX(警職大表!$A$1:$AZ$100,MATCH($A37,警職大表!$A$1:$A$100,0),   MATCH(N$1,警職大表!$A$3:$AZ$3,0)  )=0,"",INDEX(警職大表!$A$1:$AZ$100,MATCH($A37,警職大表!$A$1:$A$100,0),   MATCH(N$1,警職大表!$A$3:$AZ$3,0)  ) )    ),"")</f>
        <v/>
      </c>
      <c r="O37" s="271" t="str">
        <f>_xlfn.IFNA(   IF(   IF(  INDEX(警職大表!$A$1:$AZ$100,MATCH($A37,警職大表!$A$1:$A$100,0),   MATCH(O$1,警職大表!$A$3:$AZ$3,0)  )=0,"",INDEX(警職大表!$A$1:$AZ$100,MATCH($A37,警職大表!$A$1:$A$100,0),   MATCH(O$1,警職大表!$A$3:$AZ$3,0)  )        )="",N37,  IF(  INDEX(警職大表!$A$1:$AZ$100,MATCH($A37,警職大表!$A$1:$A$100,0),   MATCH(O$1,警職大表!$A$3:$AZ$3,0)  )=0,"",INDEX(警職大表!$A$1:$AZ$100,MATCH($A37,警職大表!$A$1:$A$100,0),   MATCH(O$1,警職大表!$A$3:$AZ$3,0)  ) )    ),"")</f>
        <v/>
      </c>
      <c r="P37" s="271" t="str">
        <f>_xlfn.IFNA(   IF(   IF(  INDEX(警職大表!$A$1:$AZ$100,MATCH($A37,警職大表!$A$1:$A$100,0),   MATCH(P$1,警職大表!$A$3:$AZ$3,0)  )=0,"",INDEX(警職大表!$A$1:$AZ$100,MATCH($A37,警職大表!$A$1:$A$100,0),   MATCH(P$1,警職大表!$A$3:$AZ$3,0)  )        )="",O37,  IF(  INDEX(警職大表!$A$1:$AZ$100,MATCH($A37,警職大表!$A$1:$A$100,0),   MATCH(P$1,警職大表!$A$3:$AZ$3,0)  )=0,"",INDEX(警職大表!$A$1:$AZ$100,MATCH($A37,警職大表!$A$1:$A$100,0),   MATCH(P$1,警職大表!$A$3:$AZ$3,0)  ) )    ),"")</f>
        <v/>
      </c>
      <c r="Q37" s="271" t="str">
        <f>_xlfn.IFNA(   IF(   IF(  INDEX(警職大表!$A$1:$AZ$100,MATCH($A37,警職大表!$A$1:$A$100,0),   MATCH(Q$1,警職大表!$A$3:$AZ$3,0)  )=0,"",INDEX(警職大表!$A$1:$AZ$100,MATCH($A37,警職大表!$A$1:$A$100,0),   MATCH(Q$1,警職大表!$A$3:$AZ$3,0)  )        )="",P37,  IF(  INDEX(警職大表!$A$1:$AZ$100,MATCH($A37,警職大表!$A$1:$A$100,0),   MATCH(Q$1,警職大表!$A$3:$AZ$3,0)  )=0,"",INDEX(警職大表!$A$1:$AZ$100,MATCH($A37,警職大表!$A$1:$A$100,0),   MATCH(Q$1,警職大表!$A$3:$AZ$3,0)  ) )    ),"")</f>
        <v/>
      </c>
      <c r="R37" s="271" t="str">
        <f>_xlfn.IFNA(   IF(   IF(  INDEX(警職大表!$A$1:$AZ$100,MATCH($A37,警職大表!$A$1:$A$100,0),   MATCH(R$1,警職大表!$A$3:$AZ$3,0)  )=0,"",INDEX(警職大表!$A$1:$AZ$100,MATCH($A37,警職大表!$A$1:$A$100,0),   MATCH(R$1,警職大表!$A$3:$AZ$3,0)  )        )="",Q37,  IF(  INDEX(警職大表!$A$1:$AZ$100,MATCH($A37,警職大表!$A$1:$A$100,0),   MATCH(R$1,警職大表!$A$3:$AZ$3,0)  )=0,"",INDEX(警職大表!$A$1:$AZ$100,MATCH($A37,警職大表!$A$1:$A$100,0),   MATCH(R$1,警職大表!$A$3:$AZ$3,0)  ) )    ),"")</f>
        <v/>
      </c>
      <c r="S37" s="271" t="str">
        <f>_xlfn.IFNA(   IF(   IF(  INDEX(警職大表!$A$1:$AZ$100,MATCH($A37,警職大表!$A$1:$A$100,0),   MATCH(S$1,警職大表!$A$3:$AZ$3,0)  )=0,"",INDEX(警職大表!$A$1:$AZ$100,MATCH($A37,警職大表!$A$1:$A$100,0),   MATCH(S$1,警職大表!$A$3:$AZ$3,0)  )        )="",R37,  IF(  INDEX(警職大表!$A$1:$AZ$100,MATCH($A37,警職大表!$A$1:$A$100,0),   MATCH(S$1,警職大表!$A$3:$AZ$3,0)  )=0,"",INDEX(警職大表!$A$1:$AZ$100,MATCH($A37,警職大表!$A$1:$A$100,0),   MATCH(S$1,警職大表!$A$3:$AZ$3,0)  ) )    ),"")</f>
        <v/>
      </c>
      <c r="T37" s="271" t="str">
        <f>_xlfn.IFNA(   IF(   IF(  INDEX(警職大表!$A$1:$AZ$100,MATCH($A37,警職大表!$A$1:$A$100,0),   MATCH(T$1,警職大表!$A$3:$AZ$3,0)  )=0,"",INDEX(警職大表!$A$1:$AZ$100,MATCH($A37,警職大表!$A$1:$A$100,0),   MATCH(T$1,警職大表!$A$3:$AZ$3,0)  )        )="",S37,  IF(  INDEX(警職大表!$A$1:$AZ$100,MATCH($A37,警職大表!$A$1:$A$100,0),   MATCH(T$1,警職大表!$A$3:$AZ$3,0)  )=0,"",INDEX(警職大表!$A$1:$AZ$100,MATCH($A37,警職大表!$A$1:$A$100,0),   MATCH(T$1,警職大表!$A$3:$AZ$3,0)  ) )    ),"")</f>
        <v/>
      </c>
      <c r="U37" s="271" t="str">
        <f>_xlfn.IFNA(   IF(   IF(  INDEX(警職大表!$A$1:$AZ$100,MATCH($A37,警職大表!$A$1:$A$100,0),   MATCH(U$1,警職大表!$A$3:$AZ$3,0)  )=0,"",INDEX(警職大表!$A$1:$AZ$100,MATCH($A37,警職大表!$A$1:$A$100,0),   MATCH(U$1,警職大表!$A$3:$AZ$3,0)  )        )="",T37,  IF(  INDEX(警職大表!$A$1:$AZ$100,MATCH($A37,警職大表!$A$1:$A$100,0),   MATCH(U$1,警職大表!$A$3:$AZ$3,0)  )=0,"",INDEX(警職大表!$A$1:$AZ$100,MATCH($A37,警職大表!$A$1:$A$100,0),   MATCH(U$1,警職大表!$A$3:$AZ$3,0)  ) )    ),"")</f>
        <v/>
      </c>
      <c r="V37" s="271" t="str">
        <f>_xlfn.IFNA(   IF(   IF(  INDEX(警職大表!$A$1:$AZ$100,MATCH($A37,警職大表!$A$1:$A$100,0),   MATCH(V$1,警職大表!$A$3:$AZ$3,0)  )=0,"",INDEX(警職大表!$A$1:$AZ$100,MATCH($A37,警職大表!$A$1:$A$100,0),   MATCH(V$1,警職大表!$A$3:$AZ$3,0)  )        )="",U37,  IF(  INDEX(警職大表!$A$1:$AZ$100,MATCH($A37,警職大表!$A$1:$A$100,0),   MATCH(V$1,警職大表!$A$3:$AZ$3,0)  )=0,"",INDEX(警職大表!$A$1:$AZ$100,MATCH($A37,警職大表!$A$1:$A$100,0),   MATCH(V$1,警職大表!$A$3:$AZ$3,0)  ) )    ),"")</f>
        <v/>
      </c>
      <c r="W37" s="271" t="str">
        <f>_xlfn.IFNA(   IF(   IF(  INDEX(警職大表!$A$1:$AZ$100,MATCH($A37,警職大表!$A$1:$A$100,0),   MATCH(W$1,警職大表!$A$3:$AZ$3,0)  )=0,"",INDEX(警職大表!$A$1:$AZ$100,MATCH($A37,警職大表!$A$1:$A$100,0),   MATCH(W$1,警職大表!$A$3:$AZ$3,0)  )        )="",V37,  IF(  INDEX(警職大表!$A$1:$AZ$100,MATCH($A37,警職大表!$A$1:$A$100,0),   MATCH(W$1,警職大表!$A$3:$AZ$3,0)  )=0,"",INDEX(警職大表!$A$1:$AZ$100,MATCH($A37,警職大表!$A$1:$A$100,0),   MATCH(W$1,警職大表!$A$3:$AZ$3,0)  ) )    ),"")</f>
        <v/>
      </c>
      <c r="X37" s="271" t="str">
        <f>_xlfn.IFNA(   IF(   IF(  INDEX(警職大表!$A$1:$AZ$100,MATCH($A37,警職大表!$A$1:$A$100,0),   MATCH(X$1,警職大表!$A$3:$AZ$3,0)  )=0,"",INDEX(警職大表!$A$1:$AZ$100,MATCH($A37,警職大表!$A$1:$A$100,0),   MATCH(X$1,警職大表!$A$3:$AZ$3,0)  )        )="",W37,  IF(  INDEX(警職大表!$A$1:$AZ$100,MATCH($A37,警職大表!$A$1:$A$100,0),   MATCH(X$1,警職大表!$A$3:$AZ$3,0)  )=0,"",INDEX(警職大表!$A$1:$AZ$100,MATCH($A37,警職大表!$A$1:$A$100,0),   MATCH(X$1,警職大表!$A$3:$AZ$3,0)  ) )    ),"")</f>
        <v/>
      </c>
      <c r="Y37" s="271" t="str">
        <f>_xlfn.IFNA(   IF(   IF(  INDEX(警職大表!$A$1:$AZ$100,MATCH($A37,警職大表!$A$1:$A$100,0),   MATCH(Y$1,警職大表!$A$3:$AZ$3,0)  )=0,"",INDEX(警職大表!$A$1:$AZ$100,MATCH($A37,警職大表!$A$1:$A$100,0),   MATCH(Y$1,警職大表!$A$3:$AZ$3,0)  )        )="",X37,  IF(  INDEX(警職大表!$A$1:$AZ$100,MATCH($A37,警職大表!$A$1:$A$100,0),   MATCH(Y$1,警職大表!$A$3:$AZ$3,0)  )=0,"",INDEX(警職大表!$A$1:$AZ$100,MATCH($A37,警職大表!$A$1:$A$100,0),   MATCH(Y$1,警職大表!$A$3:$AZ$3,0)  ) )    ),"")</f>
        <v/>
      </c>
      <c r="Z37" s="271" t="str">
        <f>_xlfn.IFNA(   IF(   IF(  INDEX(警職大表!$A$1:$AZ$100,MATCH($A37,警職大表!$A$1:$A$100,0),   MATCH(Z$1,警職大表!$A$3:$AZ$3,0)  )=0,"",INDEX(警職大表!$A$1:$AZ$100,MATCH($A37,警職大表!$A$1:$A$100,0),   MATCH(Z$1,警職大表!$A$3:$AZ$3,0)  )        )="",Y37,  IF(  INDEX(警職大表!$A$1:$AZ$100,MATCH($A37,警職大表!$A$1:$A$100,0),   MATCH(Z$1,警職大表!$A$3:$AZ$3,0)  )=0,"",INDEX(警職大表!$A$1:$AZ$100,MATCH($A37,警職大表!$A$1:$A$100,0),   MATCH(Z$1,警職大表!$A$3:$AZ$3,0)  ) )    ),"")</f>
        <v/>
      </c>
      <c r="AA37" s="271" t="str">
        <f>_xlfn.IFNA(   IF(   IF(  INDEX(警職大表!$A$1:$AZ$100,MATCH($A37,警職大表!$A$1:$A$100,0),   MATCH(AA$1,警職大表!$A$3:$AZ$3,0)  )=0,"",INDEX(警職大表!$A$1:$AZ$100,MATCH($A37,警職大表!$A$1:$A$100,0),   MATCH(AA$1,警職大表!$A$3:$AZ$3,0)  )        )="",Z37,  IF(  INDEX(警職大表!$A$1:$AZ$100,MATCH($A37,警職大表!$A$1:$A$100,0),   MATCH(AA$1,警職大表!$A$3:$AZ$3,0)  )=0,"",INDEX(警職大表!$A$1:$AZ$100,MATCH($A37,警職大表!$A$1:$A$100,0),   MATCH(AA$1,警職大表!$A$3:$AZ$3,0)  ) )    ),"")</f>
        <v/>
      </c>
      <c r="AB37" s="271" t="str">
        <f>_xlfn.IFNA(   IF(   IF(  INDEX(警職大表!$A$1:$AZ$100,MATCH($A37,警職大表!$A$1:$A$100,0),   MATCH(AB$1,警職大表!$A$3:$AZ$3,0)  )=0,"",INDEX(警職大表!$A$1:$AZ$100,MATCH($A37,警職大表!$A$1:$A$100,0),   MATCH(AB$1,警職大表!$A$3:$AZ$3,0)  )        )="",AA37,  IF(  INDEX(警職大表!$A$1:$AZ$100,MATCH($A37,警職大表!$A$1:$A$100,0),   MATCH(AB$1,警職大表!$A$3:$AZ$3,0)  )=0,"",INDEX(警職大表!$A$1:$AZ$100,MATCH($A37,警職大表!$A$1:$A$100,0),   MATCH(AB$1,警職大表!$A$3:$AZ$3,0)  ) )    ),"")</f>
        <v/>
      </c>
      <c r="AC37" s="271" t="str">
        <f>_xlfn.IFNA(   IF(   IF(  INDEX(警職大表!$A$1:$AZ$100,MATCH($A37,警職大表!$A$1:$A$100,0),   MATCH(AC$1,警職大表!$A$3:$AZ$3,0)  )=0,"",INDEX(警職大表!$A$1:$AZ$100,MATCH($A37,警職大表!$A$1:$A$100,0),   MATCH(AC$1,警職大表!$A$3:$AZ$3,0)  )        )="",AB37,  IF(  INDEX(警職大表!$A$1:$AZ$100,MATCH($A37,警職大表!$A$1:$A$100,0),   MATCH(AC$1,警職大表!$A$3:$AZ$3,0)  )=0,"",INDEX(警職大表!$A$1:$AZ$100,MATCH($A37,警職大表!$A$1:$A$100,0),   MATCH(AC$1,警職大表!$A$3:$AZ$3,0)  ) )    ),"")</f>
        <v/>
      </c>
      <c r="AD37" s="271" t="str">
        <f>_xlfn.IFNA(   IF(   IF(  INDEX(警職大表!$A$1:$AZ$100,MATCH($A37,警職大表!$A$1:$A$100,0),   MATCH(AD$1,警職大表!$A$3:$AZ$3,0)  )=0,"",INDEX(警職大表!$A$1:$AZ$100,MATCH($A37,警職大表!$A$1:$A$100,0),   MATCH(AD$1,警職大表!$A$3:$AZ$3,0)  )        )="",AC37,  IF(  INDEX(警職大表!$A$1:$AZ$100,MATCH($A37,警職大表!$A$1:$A$100,0),   MATCH(AD$1,警職大表!$A$3:$AZ$3,0)  )=0,"",INDEX(警職大表!$A$1:$AZ$100,MATCH($A37,警職大表!$A$1:$A$100,0),   MATCH(AD$1,警職大表!$A$3:$AZ$3,0)  ) )    ),"")</f>
        <v/>
      </c>
      <c r="AE37" s="271" t="str">
        <f>_xlfn.IFNA(   IF(   IF(  INDEX(警職大表!$A$1:$AZ$100,MATCH($A37,警職大表!$A$1:$A$100,0),   MATCH(AE$1,警職大表!$A$3:$AZ$3,0)  )=0,"",INDEX(警職大表!$A$1:$AZ$100,MATCH($A37,警職大表!$A$1:$A$100,0),   MATCH(AE$1,警職大表!$A$3:$AZ$3,0)  )        )="",AD37,  IF(  INDEX(警職大表!$A$1:$AZ$100,MATCH($A37,警職大表!$A$1:$A$100,0),   MATCH(AE$1,警職大表!$A$3:$AZ$3,0)  )=0,"",INDEX(警職大表!$A$1:$AZ$100,MATCH($A37,警職大表!$A$1:$A$100,0),   MATCH(AE$1,警職大表!$A$3:$AZ$3,0)  ) )    ),"")</f>
        <v/>
      </c>
      <c r="AF37" s="271" t="str">
        <f>_xlfn.IFNA(   IF(   IF(  INDEX(警職大表!$A$1:$AZ$100,MATCH($A37,警職大表!$A$1:$A$100,0),   MATCH(AF$1,警職大表!$A$3:$AZ$3,0)  )=0,"",INDEX(警職大表!$A$1:$AZ$100,MATCH($A37,警職大表!$A$1:$A$100,0),   MATCH(AF$1,警職大表!$A$3:$AZ$3,0)  )        )="",AE37,  IF(  INDEX(警職大表!$A$1:$AZ$100,MATCH($A37,警職大表!$A$1:$A$100,0),   MATCH(AF$1,警職大表!$A$3:$AZ$3,0)  )=0,"",INDEX(警職大表!$A$1:$AZ$100,MATCH($A37,警職大表!$A$1:$A$100,0),   MATCH(AF$1,警職大表!$A$3:$AZ$3,0)  ) )    ),"")</f>
        <v/>
      </c>
      <c r="AG37" s="271" t="str">
        <f>_xlfn.IFNA(   IF(   IF(  INDEX(警職大表!$A$1:$AZ$100,MATCH($A37,警職大表!$A$1:$A$100,0),   MATCH(AG$1,警職大表!$A$3:$AZ$3,0)  )=0,"",INDEX(警職大表!$A$1:$AZ$100,MATCH($A37,警職大表!$A$1:$A$100,0),   MATCH(AG$1,警職大表!$A$3:$AZ$3,0)  )        )="",AF37,  IF(  INDEX(警職大表!$A$1:$AZ$100,MATCH($A37,警職大表!$A$1:$A$100,0),   MATCH(AG$1,警職大表!$A$3:$AZ$3,0)  )=0,"",INDEX(警職大表!$A$1:$AZ$100,MATCH($A37,警職大表!$A$1:$A$100,0),   MATCH(AG$1,警職大表!$A$3:$AZ$3,0)  ) )    ),"")</f>
        <v/>
      </c>
      <c r="AL37" s="271" t="str">
        <f t="shared" si="0"/>
        <v/>
      </c>
      <c r="AM37" s="271" t="str">
        <f t="shared" si="1"/>
        <v/>
      </c>
      <c r="AN37" s="271" t="str">
        <f>INDEX(   $A$41:$AG$78, MATCH(AL37,$A$41:$A$78,0),MATCH(  DAY(勤務分配表!$AN$1),$A$41:$AL$41,0  )  )</f>
        <v/>
      </c>
      <c r="AO37" s="271" t="str">
        <f>IF((ROW(AO37)-1)&lt;=日期輸入!$B$5,_xlfn.IFNA(IF(INDEX($A$1:$AG$40,MATCH($AM37,$B$1:$B$100,0),VALUE($AO$1+3))="成","補",INDEX($A$1:$AG$40,MATCH($AM37,$B$1:$B$100,0),VALUE($AO$1+3))),""),"")</f>
        <v/>
      </c>
      <c r="AP37" s="271" t="str">
        <f>IF((ROW(AP37)-1)&lt;=日期輸入!$B$5,_xlfn.IFNA(IF(INDEX($A$1:$AG$40,MATCH($AM37,$B$1:$B$100,0),VALUE($AP$1+3))="成","補",INDEX($A$1:$AG$40,MATCH($AM37,$B$1:$B$100,0),VALUE($AP$1+3))),""),"")</f>
        <v/>
      </c>
      <c r="AQ37" s="271" t="str">
        <f>IF((ROW(AQ37)-1)&lt;=日期輸入!$B$5,_xlfn.IFNA(IF(INDEX($A$1:$AG$40,MATCH($AM37,$B$1:$B$100,0),VALUE($AQ$1+3))="成","補",INDEX($A$1:$AG$40,MATCH($AM37,$B$1:$B$100,0),VALUE($AQ$1+3))),""),"")</f>
        <v/>
      </c>
    </row>
    <row r="41" spans="1:43">
      <c r="A41" s="271" t="s">
        <v>257</v>
      </c>
      <c r="B41" s="271" t="s">
        <v>433</v>
      </c>
      <c r="C41" s="271">
        <v>1</v>
      </c>
      <c r="D41" s="271">
        <v>2</v>
      </c>
      <c r="E41" s="271">
        <v>3</v>
      </c>
      <c r="F41" s="271">
        <v>4</v>
      </c>
      <c r="G41" s="271">
        <v>5</v>
      </c>
      <c r="H41" s="271">
        <v>6</v>
      </c>
      <c r="I41" s="271">
        <v>7</v>
      </c>
      <c r="J41" s="271">
        <v>8</v>
      </c>
      <c r="K41" s="271">
        <v>9</v>
      </c>
      <c r="L41" s="271">
        <v>10</v>
      </c>
      <c r="M41" s="271">
        <v>11</v>
      </c>
      <c r="N41" s="271">
        <v>12</v>
      </c>
      <c r="O41" s="271">
        <v>13</v>
      </c>
      <c r="P41" s="271">
        <v>14</v>
      </c>
      <c r="Q41" s="271">
        <v>15</v>
      </c>
      <c r="R41" s="271">
        <v>16</v>
      </c>
      <c r="S41" s="271">
        <v>17</v>
      </c>
      <c r="T41" s="271">
        <v>18</v>
      </c>
      <c r="U41" s="271">
        <v>19</v>
      </c>
      <c r="V41" s="271">
        <v>20</v>
      </c>
      <c r="W41" s="271">
        <v>21</v>
      </c>
      <c r="X41" s="271">
        <v>22</v>
      </c>
      <c r="Y41" s="271">
        <v>23</v>
      </c>
      <c r="Z41" s="271">
        <v>24</v>
      </c>
      <c r="AA41" s="271">
        <v>25</v>
      </c>
      <c r="AB41" s="271">
        <v>26</v>
      </c>
      <c r="AC41" s="271">
        <v>27</v>
      </c>
      <c r="AD41" s="271">
        <v>28</v>
      </c>
      <c r="AE41" s="271">
        <v>29</v>
      </c>
      <c r="AF41" s="271">
        <v>30</v>
      </c>
      <c r="AG41" s="271">
        <v>31</v>
      </c>
    </row>
    <row r="42" spans="1:43">
      <c r="A42" s="271" t="str">
        <f>A2</f>
        <v>A</v>
      </c>
      <c r="B42" s="271" t="str">
        <f>B2</f>
        <v>陳正賢</v>
      </c>
      <c r="C42" s="271" t="str">
        <f>IF(C2="早","08-18",IF(C2="中","12-22",IF(C2="晚","22-08",IF(C2="X","輪休",IF(C2="公","公假",IF(OR(C2="病",C2="事"),"病(事)假",IF(OR(C2="婚",C2="產"),"婚(產)假",IF(C2="補","補休",IF(C2="休","休假",IF(C2="喪","喪假",IF(AND(C2="/",OR($A2=日期輸入!$B$23,$A2=日期輸入!$C$23,$A2=日期輸入!$D$23,$A2=日期輸入!$E$23,$A2=日期輸入!$F$23)),"08-18水電科",IF(C2="大日","大隊值日(日)",IF(C2="大夜","大隊值日(夜)",IF(C2="值1","值1(早)",IF(C2="值1丙","值1(早) 丙案",IF(C2="值2","值2(中)",IF(C2="值2乙","值2(中) 乙案",IF(C2="夜值","夜值(晚)",IF(C2="甲夜","夜值(晚) 甲案",IF(C2="備","08-18",IF(OR(C2="支援秘書室",C2="支援出納室",C2="支援警務科",C2="支援事務股"),"支援總(大)隊",IF(C2="支援檢疫所","支援(其他)",IF(  C2="/","空班",  IF(  C2="丙",  "※ 丙案",  IF(  C2="丙常訓",  "※ 丙案 常訓",C2  )))))))))))))))))))))))))</f>
        <v>輪休</v>
      </c>
      <c r="D42" s="271" t="str">
        <f>IF(D2="早","08-18",IF(D2="中","12-22",IF(D2="晚","22-08",IF(D2="X","輪休",IF(D2="公","公假",IF(OR(D2="病",D2="事"),"病(事)假",IF(OR(D2="婚",D2="產"),"婚(產)假",IF(D2="補","補休",IF(D2="休","休假",IF(D2="喪","喪假",IF(AND(D2="/",OR($A2=日期輸入!$B$23,$A2=日期輸入!$C$23,$A2=日期輸入!$D$23,$A2=日期輸入!$E$23,$A2=日期輸入!$F$23)),"08-18水電科",IF(D2="大日","大隊值日(日)",IF(D2="大夜","大隊值日(夜)",IF(D2="值1","值1(早)",IF(D2="值1丙","值1(早) 丙案",IF(D2="值2","值2(中)",IF(D2="值2乙","值2(中) 乙案",IF(D2="夜值","夜值(晚)",IF(D2="甲夜","夜值(晚) 甲案",IF(D2="備","08-18",IF(OR(D2="支援秘書室",D2="支援出納室",D2="支援警務科",D2="支援事務股"),"支援總(大)隊",IF(D2="支援檢疫所","支援(其他)",IF(  D2="/","空班",  IF(  D2="丙",  "※ 丙案",  IF(  D2="丙常訓",  "※ 丙案 常訓",D2  )))))))))))))))))))))))))</f>
        <v>08-18備</v>
      </c>
      <c r="E42" s="271" t="str">
        <f>IF(E2="早","08-18",IF(E2="中","12-22",IF(E2="晚","22-08",IF(E2="X","輪休",IF(E2="公","公假",IF(OR(E2="病",E2="事"),"病(事)假",IF(OR(E2="婚",E2="產"),"婚(產)假",IF(E2="補","補休",IF(E2="休","休假",IF(E2="喪","喪假",IF(AND(E2="/",OR($A2=日期輸入!$B$23,$A2=日期輸入!$C$23,$A2=日期輸入!$D$23,$A2=日期輸入!$E$23,$A2=日期輸入!$F$23)),"08-18水電科",IF(E2="大日","大隊值日(日)",IF(E2="大夜","大隊值日(夜)",IF(E2="值1","值1(早)",IF(E2="值1丙","值1(早) 丙案",IF(E2="值2","值2(中)",IF(E2="值2乙","值2(中) 乙案",IF(E2="夜值","夜值(晚)",IF(E2="甲夜","夜值(晚) 甲案",IF(E2="備","08-18",IF(OR(E2="支援秘書室",E2="支援出納室",E2="支援警務科",E2="支援事務股"),"支援總(大)隊",IF(E2="支援檢疫所","支援(其他)",IF(  E2="/","空班",  IF(  E2="丙",  "※ 丙案",  IF(  E2="丙常訓",  "※ 丙案 常訓",E2  )))))))))))))))))))))))))</f>
        <v>補休</v>
      </c>
      <c r="F42" s="271" t="str">
        <f>IF(F2="早","08-18",IF(F2="中","12-22",IF(F2="晚","22-08",IF(F2="X","輪休",IF(F2="公","公假",IF(OR(F2="病",F2="事"),"病(事)假",IF(OR(F2="婚",F2="產"),"婚(產)假",IF(F2="補","補休",IF(F2="休","休假",IF(F2="喪","喪假",IF(AND(F2="/",OR($A2=日期輸入!$B$23,$A2=日期輸入!$C$23,$A2=日期輸入!$D$23,$A2=日期輸入!$E$23,$A2=日期輸入!$F$23)),"08-18水電科",IF(F2="大日","大隊值日(日)",IF(F2="大夜","大隊值日(夜)",IF(F2="值1","值1(早)",IF(F2="值1丙","值1(早) 丙案",IF(F2="值2","值2(中)",IF(F2="值2乙","值2(中) 乙案",IF(F2="夜值","夜值(晚)",IF(F2="甲夜","夜值(晚) 甲案",IF(F2="備","08-18",IF(OR(F2="支援秘書室",F2="支援出納室",F2="支援警務科",F2="支援事務股"),"支援總(大)隊",IF(F2="支援檢疫所","支援(其他)",IF(  F2="/","空班",  IF(  F2="丙",  "※ 丙案",  IF(  F2="丙常訓",  "※ 丙案 常訓",F2  )))))))))))))))))))))))))</f>
        <v>08-18備</v>
      </c>
      <c r="G42" s="271" t="str">
        <f>IF(G2="早","08-18",IF(G2="中","12-22",IF(G2="晚","22-08",IF(G2="X","輪休",IF(G2="公","公假",IF(OR(G2="病",G2="事"),"病(事)假",IF(OR(G2="婚",G2="產"),"婚(產)假",IF(G2="補","補休",IF(G2="休","休假",IF(G2="喪","喪假",IF(AND(G2="/",OR($A2=日期輸入!$B$23,$A2=日期輸入!$C$23,$A2=日期輸入!$D$23,$A2=日期輸入!$E$23,$A2=日期輸入!$F$23)),"08-18水電科",IF(G2="大日","大隊值日(日)",IF(G2="大夜","大隊值日(夜)",IF(G2="值1","值1(早)",IF(G2="值1丙","值1(早) 丙案",IF(G2="值2","值2(中)",IF(G2="值2乙","值2(中) 乙案",IF(G2="夜值","夜值(晚)",IF(G2="甲夜","夜值(晚) 甲案",IF(G2="備","08-18",IF(OR(G2="支援秘書室",G2="支援出納室",G2="支援警務科",G2="支援事務股"),"支援總(大)隊",IF(G2="支援檢疫所","支援(其他)",IF(  G2="/","空班",  IF(  G2="丙",  "※ 丙案",  IF(  G2="丙常訓",  "※ 丙案 常訓",G2  )))))))))))))))))))))))))</f>
        <v>08-18備</v>
      </c>
      <c r="H42" s="271" t="str">
        <f>IF(H2="早","08-18",IF(H2="中","12-22",IF(H2="晚","22-08",IF(H2="X","輪休",IF(H2="公","公假",IF(OR(H2="病",H2="事"),"病(事)假",IF(OR(H2="婚",H2="產"),"婚(產)假",IF(H2="補","補休",IF(H2="休","休假",IF(H2="喪","喪假",IF(AND(H2="/",OR($A2=日期輸入!$B$23,$A2=日期輸入!$C$23,$A2=日期輸入!$D$23,$A2=日期輸入!$E$23,$A2=日期輸入!$F$23)),"08-18水電科",IF(H2="大日","大隊值日(日)",IF(H2="大夜","大隊值日(夜)",IF(H2="值1","值1(早)",IF(H2="值1丙","值1(早) 丙案",IF(H2="值2","值2(中)",IF(H2="值2乙","值2(中) 乙案",IF(H2="夜值","夜值(晚)",IF(H2="甲夜","夜值(晚) 甲案",IF(H2="備","08-18",IF(OR(H2="支援秘書室",H2="支援出納室",H2="支援警務科",H2="支援事務股"),"支援總(大)隊",IF(H2="支援檢疫所","支援(其他)",IF(  H2="/","空班",  IF(  H2="丙",  "※ 丙案",  IF(  H2="丙常訓",  "※ 丙案 常訓",H2  )))))))))))))))))))))))))</f>
        <v>08-18備</v>
      </c>
      <c r="I42" s="271" t="str">
        <f>IF(I2="早","08-18",IF(I2="中","12-22",IF(I2="晚","22-08",IF(I2="X","輪休",IF(I2="公","公假",IF(OR(I2="病",I2="事"),"病(事)假",IF(OR(I2="婚",I2="產"),"婚(產)假",IF(I2="補","補休",IF(I2="休","休假",IF(I2="喪","喪假",IF(AND(I2="/",OR($A2=日期輸入!$B$23,$A2=日期輸入!$C$23,$A2=日期輸入!$D$23,$A2=日期輸入!$E$23,$A2=日期輸入!$F$23)),"08-18水電科",IF(I2="大日","大隊值日(日)",IF(I2="大夜","大隊值日(夜)",IF(I2="值1","值1(早)",IF(I2="值1丙","值1(早) 丙案",IF(I2="值2","值2(中)",IF(I2="值2乙","值2(中) 乙案",IF(I2="夜值","夜值(晚)",IF(I2="甲夜","夜值(晚) 甲案",IF(I2="備","08-18",IF(OR(I2="支援秘書室",I2="支援出納室",I2="支援警務科",I2="支援事務股"),"支援總(大)隊",IF(I2="支援檢疫所","支援(其他)",IF(  I2="/","空班",  IF(  I2="丙",  "※ 丙案",  IF(  I2="丙常訓",  "※ 丙案 常訓",I2  )))))))))))))))))))))))))</f>
        <v>08-18備</v>
      </c>
      <c r="J42" s="271" t="str">
        <f>IF(J2="早","08-18",IF(J2="中","12-22",IF(J2="晚","22-08",IF(J2="X","輪休",IF(J2="公","公假",IF(OR(J2="病",J2="事"),"病(事)假",IF(OR(J2="婚",J2="產"),"婚(產)假",IF(J2="補","補休",IF(J2="休","休假",IF(J2="喪","喪假",IF(AND(J2="/",OR($A2=日期輸入!$B$23,$A2=日期輸入!$C$23,$A2=日期輸入!$D$23,$A2=日期輸入!$E$23,$A2=日期輸入!$F$23)),"08-18水電科",IF(J2="大日","大隊值日(日)",IF(J2="大夜","大隊值日(夜)",IF(J2="值1","值1(早)",IF(J2="值1丙","值1(早) 丙案",IF(J2="值2","值2(中)",IF(J2="值2乙","值2(中) 乙案",IF(J2="夜值","夜值(晚)",IF(J2="甲夜","夜值(晚) 甲案",IF(J2="備","08-18",IF(OR(J2="支援秘書室",J2="支援出納室",J2="支援警務科",J2="支援事務股"),"支援總(大)隊",IF(J2="支援檢疫所","支援(其他)",IF(  J2="/","空班",  IF(  J2="丙",  "※ 丙案",  IF(  J2="丙常訓",  "※ 丙案 常訓",J2  )))))))))))))))))))))))))</f>
        <v>08-18備</v>
      </c>
      <c r="K42" s="271" t="str">
        <f>IF(K2="早","08-18",IF(K2="中","12-22",IF(K2="晚","22-08",IF(K2="X","輪休",IF(K2="公","公假",IF(OR(K2="病",K2="事"),"病(事)假",IF(OR(K2="婚",K2="產"),"婚(產)假",IF(K2="補","補休",IF(K2="休","休假",IF(K2="喪","喪假",IF(AND(K2="/",OR($A2=日期輸入!$B$23,$A2=日期輸入!$C$23,$A2=日期輸入!$D$23,$A2=日期輸入!$E$23,$A2=日期輸入!$F$23)),"08-18水電科",IF(K2="大日","大隊值日(日)",IF(K2="大夜","大隊值日(夜)",IF(K2="值1","值1(早)",IF(K2="值1丙","值1(早) 丙案",IF(K2="值2","值2(中)",IF(K2="值2乙","值2(中) 乙案",IF(K2="夜值","夜值(晚)",IF(K2="甲夜","夜值(晚) 甲案",IF(K2="備","08-18",IF(OR(K2="支援秘書室",K2="支援出納室",K2="支援警務科",K2="支援事務股"),"支援總(大)隊",IF(K2="支援檢疫所","支援(其他)",IF(  K2="/","空班",  IF(  K2="丙",  "※ 丙案",  IF(  K2="丙常訓",  "※ 丙案 常訓",K2  )))))))))))))))))))))))))</f>
        <v>08-18備</v>
      </c>
      <c r="L42" s="271" t="str">
        <f>IF(L2="早","08-18",IF(L2="中","12-22",IF(L2="晚","22-08",IF(L2="X","輪休",IF(L2="公","公假",IF(OR(L2="病",L2="事"),"病(事)假",IF(OR(L2="婚",L2="產"),"婚(產)假",IF(L2="補","補休",IF(L2="休","休假",IF(L2="喪","喪假",IF(AND(L2="/",OR($A2=日期輸入!$B$23,$A2=日期輸入!$C$23,$A2=日期輸入!$D$23,$A2=日期輸入!$E$23,$A2=日期輸入!$F$23)),"08-18水電科",IF(L2="大日","大隊值日(日)",IF(L2="大夜","大隊值日(夜)",IF(L2="值1","值1(早)",IF(L2="值1丙","值1(早) 丙案",IF(L2="值2","值2(中)",IF(L2="值2乙","值2(中) 乙案",IF(L2="夜值","夜值(晚)",IF(L2="甲夜","夜值(晚) 甲案",IF(L2="備","08-18",IF(OR(L2="支援秘書室",L2="支援出納室",L2="支援警務科",L2="支援事務股"),"支援總(大)隊",IF(L2="支援檢疫所","支援(其他)",IF(  L2="/","空班",  IF(  L2="丙",  "※ 丙案",  IF(  L2="丙常訓",  "※ 丙案 常訓",L2  )))))))))))))))))))))))))</f>
        <v>08-18備</v>
      </c>
      <c r="M42" s="271" t="str">
        <f>IF(M2="早","08-18",IF(M2="中","12-22",IF(M2="晚","22-08",IF(M2="X","輪休",IF(M2="公","公假",IF(OR(M2="病",M2="事"),"病(事)假",IF(OR(M2="婚",M2="產"),"婚(產)假",IF(M2="補","補休",IF(M2="休","休假",IF(M2="喪","喪假",IF(AND(M2="/",OR($A2=日期輸入!$B$23,$A2=日期輸入!$C$23,$A2=日期輸入!$D$23,$A2=日期輸入!$E$23,$A2=日期輸入!$F$23)),"08-18水電科",IF(M2="大日","大隊值日(日)",IF(M2="大夜","大隊值日(夜)",IF(M2="值1","值1(早)",IF(M2="值1丙","值1(早) 丙案",IF(M2="值2","值2(中)",IF(M2="值2乙","值2(中) 乙案",IF(M2="夜值","夜值(晚)",IF(M2="甲夜","夜值(晚) 甲案",IF(M2="備","08-18",IF(OR(M2="支援秘書室",M2="支援出納室",M2="支援警務科",M2="支援事務股"),"支援總(大)隊",IF(M2="支援檢疫所","支援(其他)",IF(  M2="/","空班",  IF(  M2="丙",  "※ 丙案",  IF(  M2="丙常訓",  "※ 丙案 常訓",M2  )))))))))))))))))))))))))</f>
        <v>08-18備</v>
      </c>
      <c r="N42" s="271" t="str">
        <f>IF(N2="早","08-18",IF(N2="中","12-22",IF(N2="晚","22-08",IF(N2="X","輪休",IF(N2="公","公假",IF(OR(N2="病",N2="事"),"病(事)假",IF(OR(N2="婚",N2="產"),"婚(產)假",IF(N2="補","補休",IF(N2="休","休假",IF(N2="喪","喪假",IF(AND(N2="/",OR($A2=日期輸入!$B$23,$A2=日期輸入!$C$23,$A2=日期輸入!$D$23,$A2=日期輸入!$E$23,$A2=日期輸入!$F$23)),"08-18水電科",IF(N2="大日","大隊值日(日)",IF(N2="大夜","大隊值日(夜)",IF(N2="值1","值1(早)",IF(N2="值1丙","值1(早) 丙案",IF(N2="值2","值2(中)",IF(N2="值2乙","值2(中) 乙案",IF(N2="夜值","夜值(晚)",IF(N2="甲夜","夜值(晚) 甲案",IF(N2="備","08-18",IF(OR(N2="支援秘書室",N2="支援出納室",N2="支援警務科",N2="支援事務股"),"支援總(大)隊",IF(N2="支援檢疫所","支援(其他)",IF(  N2="/","空班",  IF(  N2="丙",  "※ 丙案",  IF(  N2="丙常訓",  "※ 丙案 常訓",N2  )))))))))))))))))))))))))</f>
        <v>08-18備</v>
      </c>
      <c r="O42" s="271" t="str">
        <f>IF(O2="早","08-18",IF(O2="中","12-22",IF(O2="晚","22-08",IF(O2="X","輪休",IF(O2="公","公假",IF(OR(O2="病",O2="事"),"病(事)假",IF(OR(O2="婚",O2="產"),"婚(產)假",IF(O2="補","補休",IF(O2="休","休假",IF(O2="喪","喪假",IF(AND(O2="/",OR($A2=日期輸入!$B$23,$A2=日期輸入!$C$23,$A2=日期輸入!$D$23,$A2=日期輸入!$E$23,$A2=日期輸入!$F$23)),"08-18水電科",IF(O2="大日","大隊值日(日)",IF(O2="大夜","大隊值日(夜)",IF(O2="值1","值1(早)",IF(O2="值1丙","值1(早) 丙案",IF(O2="值2","值2(中)",IF(O2="值2乙","值2(中) 乙案",IF(O2="夜值","夜值(晚)",IF(O2="甲夜","夜值(晚) 甲案",IF(O2="備","08-18",IF(OR(O2="支援秘書室",O2="支援出納室",O2="支援警務科",O2="支援事務股"),"支援總(大)隊",IF(O2="支援檢疫所","支援(其他)",IF(  O2="/","空班",  IF(  O2="丙",  "※ 丙案",  IF(  O2="丙常訓",  "※ 丙案 常訓",O2  )))))))))))))))))))))))))</f>
        <v>08-18備</v>
      </c>
      <c r="P42" s="271" t="str">
        <f>IF(P2="早","08-18",IF(P2="中","12-22",IF(P2="晚","22-08",IF(P2="X","輪休",IF(P2="公","公假",IF(OR(P2="病",P2="事"),"病(事)假",IF(OR(P2="婚",P2="產"),"婚(產)假",IF(P2="補","補休",IF(P2="休","休假",IF(P2="喪","喪假",IF(AND(P2="/",OR($A2=日期輸入!$B$23,$A2=日期輸入!$C$23,$A2=日期輸入!$D$23,$A2=日期輸入!$E$23,$A2=日期輸入!$F$23)),"08-18水電科",IF(P2="大日","大隊值日(日)",IF(P2="大夜","大隊值日(夜)",IF(P2="值1","值1(早)",IF(P2="值1丙","值1(早) 丙案",IF(P2="值2","值2(中)",IF(P2="值2乙","值2(中) 乙案",IF(P2="夜值","夜值(晚)",IF(P2="甲夜","夜值(晚) 甲案",IF(P2="備","08-18",IF(OR(P2="支援秘書室",P2="支援出納室",P2="支援警務科",P2="支援事務股"),"支援總(大)隊",IF(P2="支援檢疫所","支援(其他)",IF(  P2="/","空班",  IF(  P2="丙",  "※ 丙案",  IF(  P2="丙常訓",  "※ 丙案 常訓",P2  )))))))))))))))))))))))))</f>
        <v>08-18備</v>
      </c>
      <c r="Q42" s="271" t="str">
        <f>IF(Q2="早","08-18",IF(Q2="中","12-22",IF(Q2="晚","22-08",IF(Q2="X","輪休",IF(Q2="公","公假",IF(OR(Q2="病",Q2="事"),"病(事)假",IF(OR(Q2="婚",Q2="產"),"婚(產)假",IF(Q2="補","補休",IF(Q2="休","休假",IF(Q2="喪","喪假",IF(AND(Q2="/",OR($A2=日期輸入!$B$23,$A2=日期輸入!$C$23,$A2=日期輸入!$D$23,$A2=日期輸入!$E$23,$A2=日期輸入!$F$23)),"08-18水電科",IF(Q2="大日","大隊值日(日)",IF(Q2="大夜","大隊值日(夜)",IF(Q2="值1","值1(早)",IF(Q2="值1丙","值1(早) 丙案",IF(Q2="值2","值2(中)",IF(Q2="值2乙","值2(中) 乙案",IF(Q2="夜值","夜值(晚)",IF(Q2="甲夜","夜值(晚) 甲案",IF(Q2="備","08-18",IF(OR(Q2="支援秘書室",Q2="支援出納室",Q2="支援警務科",Q2="支援事務股"),"支援總(大)隊",IF(Q2="支援檢疫所","支援(其他)",IF(  Q2="/","空班",  IF(  Q2="丙",  "※ 丙案",  IF(  Q2="丙常訓",  "※ 丙案 常訓",Q2  )))))))))))))))))))))))))</f>
        <v>08-18備</v>
      </c>
      <c r="R42" s="271" t="str">
        <f>IF(R2="早","08-18",IF(R2="中","12-22",IF(R2="晚","22-08",IF(R2="X","輪休",IF(R2="公","公假",IF(OR(R2="病",R2="事"),"病(事)假",IF(OR(R2="婚",R2="產"),"婚(產)假",IF(R2="補","補休",IF(R2="休","休假",IF(R2="喪","喪假",IF(AND(R2="/",OR($A2=日期輸入!$B$23,$A2=日期輸入!$C$23,$A2=日期輸入!$D$23,$A2=日期輸入!$E$23,$A2=日期輸入!$F$23)),"08-18水電科",IF(R2="大日","大隊值日(日)",IF(R2="大夜","大隊值日(夜)",IF(R2="值1","值1(早)",IF(R2="值1丙","值1(早) 丙案",IF(R2="值2","值2(中)",IF(R2="值2乙","值2(中) 乙案",IF(R2="夜值","夜值(晚)",IF(R2="甲夜","夜值(晚) 甲案",IF(R2="備","08-18",IF(OR(R2="支援秘書室",R2="支援出納室",R2="支援警務科",R2="支援事務股"),"支援總(大)隊",IF(R2="支援檢疫所","支援(其他)",IF(  R2="/","空班",  IF(  R2="丙",  "※ 丙案",  IF(  R2="丙常訓",  "※ 丙案 常訓",R2  )))))))))))))))))))))))))</f>
        <v>08-18備</v>
      </c>
      <c r="S42" s="271" t="str">
        <f>IF(S2="早","08-18",IF(S2="中","12-22",IF(S2="晚","22-08",IF(S2="X","輪休",IF(S2="公","公假",IF(OR(S2="病",S2="事"),"病(事)假",IF(OR(S2="婚",S2="產"),"婚(產)假",IF(S2="補","補休",IF(S2="休","休假",IF(S2="喪","喪假",IF(AND(S2="/",OR($A2=日期輸入!$B$23,$A2=日期輸入!$C$23,$A2=日期輸入!$D$23,$A2=日期輸入!$E$23,$A2=日期輸入!$F$23)),"08-18水電科",IF(S2="大日","大隊值日(日)",IF(S2="大夜","大隊值日(夜)",IF(S2="值1","值1(早)",IF(S2="值1丙","值1(早) 丙案",IF(S2="值2","值2(中)",IF(S2="值2乙","值2(中) 乙案",IF(S2="夜值","夜值(晚)",IF(S2="甲夜","夜值(晚) 甲案",IF(S2="備","08-18",IF(OR(S2="支援秘書室",S2="支援出納室",S2="支援警務科",S2="支援事務股"),"支援總(大)隊",IF(S2="支援檢疫所","支援(其他)",IF(  S2="/","空班",  IF(  S2="丙",  "※ 丙案",  IF(  S2="丙常訓",  "※ 丙案 常訓",S2  )))))))))))))))))))))))))</f>
        <v>08-18備</v>
      </c>
      <c r="T42" s="271" t="str">
        <f>IF(T2="早","08-18",IF(T2="中","12-22",IF(T2="晚","22-08",IF(T2="X","輪休",IF(T2="公","公假",IF(OR(T2="病",T2="事"),"病(事)假",IF(OR(T2="婚",T2="產"),"婚(產)假",IF(T2="補","補休",IF(T2="休","休假",IF(T2="喪","喪假",IF(AND(T2="/",OR($A2=日期輸入!$B$23,$A2=日期輸入!$C$23,$A2=日期輸入!$D$23,$A2=日期輸入!$E$23,$A2=日期輸入!$F$23)),"08-18水電科",IF(T2="大日","大隊值日(日)",IF(T2="大夜","大隊值日(夜)",IF(T2="值1","值1(早)",IF(T2="值1丙","值1(早) 丙案",IF(T2="值2","值2(中)",IF(T2="值2乙","值2(中) 乙案",IF(T2="夜值","夜值(晚)",IF(T2="甲夜","夜值(晚) 甲案",IF(T2="備","08-18",IF(OR(T2="支援秘書室",T2="支援出納室",T2="支援警務科",T2="支援事務股"),"支援總(大)隊",IF(T2="支援檢疫所","支援(其他)",IF(  T2="/","空班",  IF(  T2="丙",  "※ 丙案",  IF(  T2="丙常訓",  "※ 丙案 常訓",T2  )))))))))))))))))))))))))</f>
        <v>08-18備</v>
      </c>
      <c r="U42" s="271" t="str">
        <f>IF(U2="早","08-18",IF(U2="中","12-22",IF(U2="晚","22-08",IF(U2="X","輪休",IF(U2="公","公假",IF(OR(U2="病",U2="事"),"病(事)假",IF(OR(U2="婚",U2="產"),"婚(產)假",IF(U2="補","補休",IF(U2="休","休假",IF(U2="喪","喪假",IF(AND(U2="/",OR($A2=日期輸入!$B$23,$A2=日期輸入!$C$23,$A2=日期輸入!$D$23,$A2=日期輸入!$E$23,$A2=日期輸入!$F$23)),"08-18水電科",IF(U2="大日","大隊值日(日)",IF(U2="大夜","大隊值日(夜)",IF(U2="值1","值1(早)",IF(U2="值1丙","值1(早) 丙案",IF(U2="值2","值2(中)",IF(U2="值2乙","值2(中) 乙案",IF(U2="夜值","夜值(晚)",IF(U2="甲夜","夜值(晚) 甲案",IF(U2="備","08-18",IF(OR(U2="支援秘書室",U2="支援出納室",U2="支援警務科",U2="支援事務股"),"支援總(大)隊",IF(U2="支援檢疫所","支援(其他)",IF(  U2="/","空班",  IF(  U2="丙",  "※ 丙案",  IF(  U2="丙常訓",  "※ 丙案 常訓",U2  )))))))))))))))))))))))))</f>
        <v>08-18備</v>
      </c>
      <c r="V42" s="271" t="str">
        <f>IF(V2="早","08-18",IF(V2="中","12-22",IF(V2="晚","22-08",IF(V2="X","輪休",IF(V2="公","公假",IF(OR(V2="病",V2="事"),"病(事)假",IF(OR(V2="婚",V2="產"),"婚(產)假",IF(V2="補","補休",IF(V2="休","休假",IF(V2="喪","喪假",IF(AND(V2="/",OR($A2=日期輸入!$B$23,$A2=日期輸入!$C$23,$A2=日期輸入!$D$23,$A2=日期輸入!$E$23,$A2=日期輸入!$F$23)),"08-18水電科",IF(V2="大日","大隊值日(日)",IF(V2="大夜","大隊值日(夜)",IF(V2="值1","值1(早)",IF(V2="值1丙","值1(早) 丙案",IF(V2="值2","值2(中)",IF(V2="值2乙","值2(中) 乙案",IF(V2="夜值","夜值(晚)",IF(V2="甲夜","夜值(晚) 甲案",IF(V2="備","08-18",IF(OR(V2="支援秘書室",V2="支援出納室",V2="支援警務科",V2="支援事務股"),"支援總(大)隊",IF(V2="支援檢疫所","支援(其他)",IF(  V2="/","空班",  IF(  V2="丙",  "※ 丙案",  IF(  V2="丙常訓",  "※ 丙案 常訓",V2  )))))))))))))))))))))))))</f>
        <v>08-18備</v>
      </c>
      <c r="W42" s="271" t="str">
        <f>IF(W2="早","08-18",IF(W2="中","12-22",IF(W2="晚","22-08",IF(W2="X","輪休",IF(W2="公","公假",IF(OR(W2="病",W2="事"),"病(事)假",IF(OR(W2="婚",W2="產"),"婚(產)假",IF(W2="補","補休",IF(W2="休","休假",IF(W2="喪","喪假",IF(AND(W2="/",OR($A2=日期輸入!$B$23,$A2=日期輸入!$C$23,$A2=日期輸入!$D$23,$A2=日期輸入!$E$23,$A2=日期輸入!$F$23)),"08-18水電科",IF(W2="大日","大隊值日(日)",IF(W2="大夜","大隊值日(夜)",IF(W2="值1","值1(早)",IF(W2="值1丙","值1(早) 丙案",IF(W2="值2","值2(中)",IF(W2="值2乙","值2(中) 乙案",IF(W2="夜值","夜值(晚)",IF(W2="甲夜","夜值(晚) 甲案",IF(W2="備","08-18",IF(OR(W2="支援秘書室",W2="支援出納室",W2="支援警務科",W2="支援事務股"),"支援總(大)隊",IF(W2="支援檢疫所","支援(其他)",IF(  W2="/","空班",  IF(  W2="丙",  "※ 丙案",  IF(  W2="丙常訓",  "※ 丙案 常訓",W2  )))))))))))))))))))))))))</f>
        <v>08-18備</v>
      </c>
      <c r="X42" s="271" t="str">
        <f>IF(X2="早","08-18",IF(X2="中","12-22",IF(X2="晚","22-08",IF(X2="X","輪休",IF(X2="公","公假",IF(OR(X2="病",X2="事"),"病(事)假",IF(OR(X2="婚",X2="產"),"婚(產)假",IF(X2="補","補休",IF(X2="休","休假",IF(X2="喪","喪假",IF(AND(X2="/",OR($A2=日期輸入!$B$23,$A2=日期輸入!$C$23,$A2=日期輸入!$D$23,$A2=日期輸入!$E$23,$A2=日期輸入!$F$23)),"08-18水電科",IF(X2="大日","大隊值日(日)",IF(X2="大夜","大隊值日(夜)",IF(X2="值1","值1(早)",IF(X2="值1丙","值1(早) 丙案",IF(X2="值2","值2(中)",IF(X2="值2乙","值2(中) 乙案",IF(X2="夜值","夜值(晚)",IF(X2="甲夜","夜值(晚) 甲案",IF(X2="備","08-18",IF(OR(X2="支援秘書室",X2="支援出納室",X2="支援警務科",X2="支援事務股"),"支援總(大)隊",IF(X2="支援檢疫所","支援(其他)",IF(  X2="/","空班",  IF(  X2="丙",  "※ 丙案",  IF(  X2="丙常訓",  "※ 丙案 常訓",X2  )))))))))))))))))))))))))</f>
        <v>08-18備</v>
      </c>
      <c r="Y42" s="271" t="str">
        <f>IF(Y2="早","08-18",IF(Y2="中","12-22",IF(Y2="晚","22-08",IF(Y2="X","輪休",IF(Y2="公","公假",IF(OR(Y2="病",Y2="事"),"病(事)假",IF(OR(Y2="婚",Y2="產"),"婚(產)假",IF(Y2="補","補休",IF(Y2="休","休假",IF(Y2="喪","喪假",IF(AND(Y2="/",OR($A2=日期輸入!$B$23,$A2=日期輸入!$C$23,$A2=日期輸入!$D$23,$A2=日期輸入!$E$23,$A2=日期輸入!$F$23)),"08-18水電科",IF(Y2="大日","大隊值日(日)",IF(Y2="大夜","大隊值日(夜)",IF(Y2="值1","值1(早)",IF(Y2="值1丙","值1(早) 丙案",IF(Y2="值2","值2(中)",IF(Y2="值2乙","值2(中) 乙案",IF(Y2="夜值","夜值(晚)",IF(Y2="甲夜","夜值(晚) 甲案",IF(Y2="備","08-18",IF(OR(Y2="支援秘書室",Y2="支援出納室",Y2="支援警務科",Y2="支援事務股"),"支援總(大)隊",IF(Y2="支援檢疫所","支援(其他)",IF(  Y2="/","空班",  IF(  Y2="丙",  "※ 丙案",  IF(  Y2="丙常訓",  "※ 丙案 常訓",Y2  )))))))))))))))))))))))))</f>
        <v>08-18備</v>
      </c>
      <c r="Z42" s="271" t="str">
        <f>IF(Z2="早","08-18",IF(Z2="中","12-22",IF(Z2="晚","22-08",IF(Z2="X","輪休",IF(Z2="公","公假",IF(OR(Z2="病",Z2="事"),"病(事)假",IF(OR(Z2="婚",Z2="產"),"婚(產)假",IF(Z2="補","補休",IF(Z2="休","休假",IF(Z2="喪","喪假",IF(AND(Z2="/",OR($A2=日期輸入!$B$23,$A2=日期輸入!$C$23,$A2=日期輸入!$D$23,$A2=日期輸入!$E$23,$A2=日期輸入!$F$23)),"08-18水電科",IF(Z2="大日","大隊值日(日)",IF(Z2="大夜","大隊值日(夜)",IF(Z2="值1","值1(早)",IF(Z2="值1丙","值1(早) 丙案",IF(Z2="值2","值2(中)",IF(Z2="值2乙","值2(中) 乙案",IF(Z2="夜值","夜值(晚)",IF(Z2="甲夜","夜值(晚) 甲案",IF(Z2="備","08-18",IF(OR(Z2="支援秘書室",Z2="支援出納室",Z2="支援警務科",Z2="支援事務股"),"支援總(大)隊",IF(Z2="支援檢疫所","支援(其他)",IF(  Z2="/","空班",  IF(  Z2="丙",  "※ 丙案",  IF(  Z2="丙常訓",  "※ 丙案 常訓",Z2  )))))))))))))))))))))))))</f>
        <v>08-18備</v>
      </c>
      <c r="AA42" s="271" t="str">
        <f>IF(AA2="早","08-18",IF(AA2="中","12-22",IF(AA2="晚","22-08",IF(AA2="X","輪休",IF(AA2="公","公假",IF(OR(AA2="病",AA2="事"),"病(事)假",IF(OR(AA2="婚",AA2="產"),"婚(產)假",IF(AA2="補","補休",IF(AA2="休","休假",IF(AA2="喪","喪假",IF(AND(AA2="/",OR($A2=日期輸入!$B$23,$A2=日期輸入!$C$23,$A2=日期輸入!$D$23,$A2=日期輸入!$E$23,$A2=日期輸入!$F$23)),"08-18水電科",IF(AA2="大日","大隊值日(日)",IF(AA2="大夜","大隊值日(夜)",IF(AA2="值1","值1(早)",IF(AA2="值1丙","值1(早) 丙案",IF(AA2="值2","值2(中)",IF(AA2="值2乙","值2(中) 乙案",IF(AA2="夜值","夜值(晚)",IF(AA2="甲夜","夜值(晚) 甲案",IF(AA2="備","08-18",IF(OR(AA2="支援秘書室",AA2="支援出納室",AA2="支援警務科",AA2="支援事務股"),"支援總(大)隊",IF(AA2="支援檢疫所","支援(其他)",IF(  AA2="/","空班",  IF(  AA2="丙",  "※ 丙案",  IF(  AA2="丙常訓",  "※ 丙案 常訓",AA2  )))))))))))))))))))))))))</f>
        <v>08-18備</v>
      </c>
      <c r="AB42" s="271" t="str">
        <f>IF(AB2="早","08-18",IF(AB2="中","12-22",IF(AB2="晚","22-08",IF(AB2="X","輪休",IF(AB2="公","公假",IF(OR(AB2="病",AB2="事"),"病(事)假",IF(OR(AB2="婚",AB2="產"),"婚(產)假",IF(AB2="補","補休",IF(AB2="休","休假",IF(AB2="喪","喪假",IF(AND(AB2="/",OR($A2=日期輸入!$B$23,$A2=日期輸入!$C$23,$A2=日期輸入!$D$23,$A2=日期輸入!$E$23,$A2=日期輸入!$F$23)),"08-18水電科",IF(AB2="大日","大隊值日(日)",IF(AB2="大夜","大隊值日(夜)",IF(AB2="值1","值1(早)",IF(AB2="值1丙","值1(早) 丙案",IF(AB2="值2","值2(中)",IF(AB2="值2乙","值2(中) 乙案",IF(AB2="夜值","夜值(晚)",IF(AB2="甲夜","夜值(晚) 甲案",IF(AB2="備","08-18",IF(OR(AB2="支援秘書室",AB2="支援出納室",AB2="支援警務科",AB2="支援事務股"),"支援總(大)隊",IF(AB2="支援檢疫所","支援(其他)",IF(  AB2="/","空班",  IF(  AB2="丙",  "※ 丙案",  IF(  AB2="丙常訓",  "※ 丙案 常訓",AB2  )))))))))))))))))))))))))</f>
        <v>08-18備</v>
      </c>
      <c r="AC42" s="271" t="str">
        <f>IF(AC2="早","08-18",IF(AC2="中","12-22",IF(AC2="晚","22-08",IF(AC2="X","輪休",IF(AC2="公","公假",IF(OR(AC2="病",AC2="事"),"病(事)假",IF(OR(AC2="婚",AC2="產"),"婚(產)假",IF(AC2="補","補休",IF(AC2="休","休假",IF(AC2="喪","喪假",IF(AND(AC2="/",OR($A2=日期輸入!$B$23,$A2=日期輸入!$C$23,$A2=日期輸入!$D$23,$A2=日期輸入!$E$23,$A2=日期輸入!$F$23)),"08-18水電科",IF(AC2="大日","大隊值日(日)",IF(AC2="大夜","大隊值日(夜)",IF(AC2="值1","值1(早)",IF(AC2="值1丙","值1(早) 丙案",IF(AC2="值2","值2(中)",IF(AC2="值2乙","值2(中) 乙案",IF(AC2="夜值","夜值(晚)",IF(AC2="甲夜","夜值(晚) 甲案",IF(AC2="備","08-18",IF(OR(AC2="支援秘書室",AC2="支援出納室",AC2="支援警務科",AC2="支援事務股"),"支援總(大)隊",IF(AC2="支援檢疫所","支援(其他)",IF(  AC2="/","空班",  IF(  AC2="丙",  "※ 丙案",  IF(  AC2="丙常訓",  "※ 丙案 常訓",AC2  )))))))))))))))))))))))))</f>
        <v>08-18備</v>
      </c>
      <c r="AD42" s="271" t="str">
        <f>IF(AD2="早","08-18",IF(AD2="中","12-22",IF(AD2="晚","22-08",IF(AD2="X","輪休",IF(AD2="公","公假",IF(OR(AD2="病",AD2="事"),"病(事)假",IF(OR(AD2="婚",AD2="產"),"婚(產)假",IF(AD2="補","補休",IF(AD2="休","休假",IF(AD2="喪","喪假",IF(AND(AD2="/",OR($A2=日期輸入!$B$23,$A2=日期輸入!$C$23,$A2=日期輸入!$D$23,$A2=日期輸入!$E$23,$A2=日期輸入!$F$23)),"08-18水電科",IF(AD2="大日","大隊值日(日)",IF(AD2="大夜","大隊值日(夜)",IF(AD2="值1","值1(早)",IF(AD2="值1丙","值1(早) 丙案",IF(AD2="值2","值2(中)",IF(AD2="值2乙","值2(中) 乙案",IF(AD2="夜值","夜值(晚)",IF(AD2="甲夜","夜值(晚) 甲案",IF(AD2="備","08-18",IF(OR(AD2="支援秘書室",AD2="支援出納室",AD2="支援警務科",AD2="支援事務股"),"支援總(大)隊",IF(AD2="支援檢疫所","支援(其他)",IF(  AD2="/","空班",  IF(  AD2="丙",  "※ 丙案",  IF(  AD2="丙常訓",  "※ 丙案 常訓",AD2  )))))))))))))))))))))))))</f>
        <v>08-18備</v>
      </c>
      <c r="AE42" s="271" t="str">
        <f>IF(AE2="早","08-18",IF(AE2="中","12-22",IF(AE2="晚","22-08",IF(AE2="X","輪休",IF(AE2="公","公假",IF(OR(AE2="病",AE2="事"),"病(事)假",IF(OR(AE2="婚",AE2="產"),"婚(產)假",IF(AE2="補","補休",IF(AE2="休","休假",IF(AE2="喪","喪假",IF(AND(AE2="/",OR($A2=日期輸入!$B$23,$A2=日期輸入!$C$23,$A2=日期輸入!$D$23,$A2=日期輸入!$E$23,$A2=日期輸入!$F$23)),"08-18水電科",IF(AE2="大日","大隊值日(日)",IF(AE2="大夜","大隊值日(夜)",IF(AE2="值1","值1(早)",IF(AE2="值1丙","值1(早) 丙案",IF(AE2="值2","值2(中)",IF(AE2="值2乙","值2(中) 乙案",IF(AE2="夜值","夜值(晚)",IF(AE2="甲夜","夜值(晚) 甲案",IF(AE2="備","08-18",IF(OR(AE2="支援秘書室",AE2="支援出納室",AE2="支援警務科",AE2="支援事務股"),"支援總(大)隊",IF(AE2="支援檢疫所","支援(其他)",IF(  AE2="/","空班",  IF(  AE2="丙",  "※ 丙案",  IF(  AE2="丙常訓",  "※ 丙案 常訓",AE2  )))))))))))))))))))))))))</f>
        <v>08-18備</v>
      </c>
      <c r="AF42" s="271" t="str">
        <f>IF(AF2="早","08-18",IF(AF2="中","12-22",IF(AF2="晚","22-08",IF(AF2="X","輪休",IF(AF2="公","公假",IF(OR(AF2="病",AF2="事"),"病(事)假",IF(OR(AF2="婚",AF2="產"),"婚(產)假",IF(AF2="補","補休",IF(AF2="休","休假",IF(AF2="喪","喪假",IF(AND(AF2="/",OR($A2=日期輸入!$B$23,$A2=日期輸入!$C$23,$A2=日期輸入!$D$23,$A2=日期輸入!$E$23,$A2=日期輸入!$F$23)),"08-18水電科",IF(AF2="大日","大隊值日(日)",IF(AF2="大夜","大隊值日(夜)",IF(AF2="值1","值1(早)",IF(AF2="值1丙","值1(早) 丙案",IF(AF2="值2","值2(中)",IF(AF2="值2乙","值2(中) 乙案",IF(AF2="夜值","夜值(晚)",IF(AF2="甲夜","夜值(晚) 甲案",IF(AF2="備","08-18",IF(OR(AF2="支援秘書室",AF2="支援出納室",AF2="支援警務科",AF2="支援事務股"),"支援總(大)隊",IF(AF2="支援檢疫所","支援(其他)",IF(  AF2="/","空班",  IF(  AF2="丙",  "※ 丙案",  IF(  AF2="丙常訓",  "※ 丙案 常訓",AF2  )))))))))))))))))))))))))</f>
        <v>08-18備</v>
      </c>
      <c r="AG42" s="271" t="str">
        <f>IF(AG2="早","08-18",IF(AG2="中","12-22",IF(AG2="晚","22-08",IF(AG2="X","輪休",IF(AG2="公","公假",IF(OR(AG2="病",AG2="事"),"病(事)假",IF(OR(AG2="婚",AG2="產"),"婚(產)假",IF(AG2="補","補休",IF(AG2="休","休假",IF(AG2="喪","喪假",IF(AND(AG2="/",OR($A2=日期輸入!$B$23,$A2=日期輸入!$C$23,$A2=日期輸入!$D$23,$A2=日期輸入!$E$23,$A2=日期輸入!$F$23)),"08-18水電科",IF(AG2="大日","大隊值日(日)",IF(AG2="大夜","大隊值日(夜)",IF(AG2="值1","值1(早)",IF(AG2="值1丙","值1(早) 丙案",IF(AG2="值2","值2(中)",IF(AG2="值2乙","值2(中) 乙案",IF(AG2="夜值","夜值(晚)",IF(AG2="甲夜","夜值(晚) 甲案",IF(AG2="備","08-18",IF(OR(AG2="支援秘書室",AG2="支援出納室",AG2="支援警務科",AG2="支援事務股"),"支援總(大)隊",IF(AG2="支援檢疫所","支援(其他)",IF(  AG2="/","空班",  IF(  AG2="丙",  "※ 丙案",  IF(  AG2="丙常訓",  "※ 丙案 常訓",AG2  )))))))))))))))))))))))))</f>
        <v>08-18備</v>
      </c>
    </row>
    <row r="43" spans="1:43">
      <c r="A43" s="271" t="str">
        <f t="shared" ref="A43:B43" si="2">A3</f>
        <v>B</v>
      </c>
      <c r="B43" s="271" t="str">
        <f t="shared" si="2"/>
        <v>薛信東</v>
      </c>
      <c r="C43" s="271" t="str">
        <f>IF(C3="早","08-18",IF(C3="中","12-22",IF(C3="晚","22-08",IF(C3="X","輪休",IF(C3="公","公假",IF(OR(C3="病",C3="事"),"病(事)假",IF(OR(C3="婚",C3="產"),"婚(產)假",IF(C3="補","補休",IF(C3="休","休假",IF(C3="喪","喪假",IF(AND(C3="/",OR($A3=日期輸入!$B$23,$A3=日期輸入!$C$23,$A3=日期輸入!$D$23,$A3=日期輸入!$E$23,$A3=日期輸入!$F$23)),"08-18水電科",IF(C3="大日","大隊值日(日)",IF(C3="大夜","大隊值日(夜)",IF(C3="值1","值1(早)",IF(C3="值1丙","值1(早) 丙案",IF(C3="值2","值2(中)",IF(C3="值2乙","值2(中) 乙案",IF(C3="夜值","夜值(晚)",IF(C3="甲夜","夜值(晚) 甲案",IF(C3="備","08-18",IF(OR(C3="支援秘書室",C3="支援出納室",C3="支援警務科",C3="支援事務股"),"支援總(大)隊",IF(C3="支援檢疫所","支援(其他)",IF(  C3="/","空班",  IF(  C3="丙",  "※ 丙案",  IF(  C3="丙常訓",  "※ 丙案 常訓",C3  )))))))))))))))))))))))))</f>
        <v>支援(其他)</v>
      </c>
      <c r="D43" s="271" t="str">
        <f>IF(D3="早","08-18",IF(D3="中","12-22",IF(D3="晚","22-08",IF(D3="X","輪休",IF(D3="公","公假",IF(OR(D3="病",D3="事"),"病(事)假",IF(OR(D3="婚",D3="產"),"婚(產)假",IF(D3="補","補休",IF(D3="休","休假",IF(D3="喪","喪假",IF(AND(D3="/",OR($A3=日期輸入!$B$23,$A3=日期輸入!$C$23,$A3=日期輸入!$D$23,$A3=日期輸入!$E$23,$A3=日期輸入!$F$23)),"08-18水電科",IF(D3="大日","大隊值日(日)",IF(D3="大夜","大隊值日(夜)",IF(D3="值1","值1(早)",IF(D3="值1丙","值1(早) 丙案",IF(D3="值2","值2(中)",IF(D3="值2乙","值2(中) 乙案",IF(D3="夜值","夜值(晚)",IF(D3="甲夜","夜值(晚) 甲案",IF(D3="備","08-18",IF(OR(D3="支援秘書室",D3="支援出納室",D3="支援警務科",D3="支援事務股"),"支援總(大)隊",IF(D3="支援檢疫所","支援(其他)",IF(  D3="/","空班",  IF(  D3="丙",  "※ 丙案",  IF(  D3="丙常訓",  "※ 丙案 常訓",D3  )))))))))))))))))))))))))</f>
        <v>支援(其他)</v>
      </c>
      <c r="E43" s="271" t="str">
        <f>IF(E3="早","08-18",IF(E3="中","12-22",IF(E3="晚","22-08",IF(E3="X","輪休",IF(E3="公","公假",IF(OR(E3="病",E3="事"),"病(事)假",IF(OR(E3="婚",E3="產"),"婚(產)假",IF(E3="補","補休",IF(E3="休","休假",IF(E3="喪","喪假",IF(AND(E3="/",OR($A3=日期輸入!$B$23,$A3=日期輸入!$C$23,$A3=日期輸入!$D$23,$A3=日期輸入!$E$23,$A3=日期輸入!$F$23)),"08-18水電科",IF(E3="大日","大隊值日(日)",IF(E3="大夜","大隊值日(夜)",IF(E3="值1","值1(早)",IF(E3="值1丙","值1(早) 丙案",IF(E3="值2","值2(中)",IF(E3="值2乙","值2(中) 乙案",IF(E3="夜值","夜值(晚)",IF(E3="甲夜","夜值(晚) 甲案",IF(E3="備","08-18",IF(OR(E3="支援秘書室",E3="支援出納室",E3="支援警務科",E3="支援事務股"),"支援總(大)隊",IF(E3="支援檢疫所","支援(其他)",IF(  E3="/","空班",  IF(  E3="丙",  "※ 丙案",  IF(  E3="丙常訓",  "※ 丙案 常訓",E3  )))))))))))))))))))))))))</f>
        <v>支援(其他)</v>
      </c>
      <c r="F43" s="271" t="str">
        <f>IF(F3="早","08-18",IF(F3="中","12-22",IF(F3="晚","22-08",IF(F3="X","輪休",IF(F3="公","公假",IF(OR(F3="病",F3="事"),"病(事)假",IF(OR(F3="婚",F3="產"),"婚(產)假",IF(F3="補","補休",IF(F3="休","休假",IF(F3="喪","喪假",IF(AND(F3="/",OR($A3=日期輸入!$B$23,$A3=日期輸入!$C$23,$A3=日期輸入!$D$23,$A3=日期輸入!$E$23,$A3=日期輸入!$F$23)),"08-18水電科",IF(F3="大日","大隊值日(日)",IF(F3="大夜","大隊值日(夜)",IF(F3="值1","值1(早)",IF(F3="值1丙","值1(早) 丙案",IF(F3="值2","值2(中)",IF(F3="值2乙","值2(中) 乙案",IF(F3="夜值","夜值(晚)",IF(F3="甲夜","夜值(晚) 甲案",IF(F3="備","08-18",IF(OR(F3="支援秘書室",F3="支援出納室",F3="支援警務科",F3="支援事務股"),"支援總(大)隊",IF(F3="支援檢疫所","支援(其他)",IF(  F3="/","空班",  IF(  F3="丙",  "※ 丙案",  IF(  F3="丙常訓",  "※ 丙案 常訓",F3  )))))))))))))))))))))))))</f>
        <v>支援(其他)</v>
      </c>
      <c r="G43" s="271" t="str">
        <f>IF(G3="早","08-18",IF(G3="中","12-22",IF(G3="晚","22-08",IF(G3="X","輪休",IF(G3="公","公假",IF(OR(G3="病",G3="事"),"病(事)假",IF(OR(G3="婚",G3="產"),"婚(產)假",IF(G3="補","補休",IF(G3="休","休假",IF(G3="喪","喪假",IF(AND(G3="/",OR($A3=日期輸入!$B$23,$A3=日期輸入!$C$23,$A3=日期輸入!$D$23,$A3=日期輸入!$E$23,$A3=日期輸入!$F$23)),"08-18水電科",IF(G3="大日","大隊值日(日)",IF(G3="大夜","大隊值日(夜)",IF(G3="值1","值1(早)",IF(G3="值1丙","值1(早) 丙案",IF(G3="值2","值2(中)",IF(G3="值2乙","值2(中) 乙案",IF(G3="夜值","夜值(晚)",IF(G3="甲夜","夜值(晚) 甲案",IF(G3="備","08-18",IF(OR(G3="支援秘書室",G3="支援出納室",G3="支援警務科",G3="支援事務股"),"支援總(大)隊",IF(G3="支援檢疫所","支援(其他)",IF(  G3="/","空班",  IF(  G3="丙",  "※ 丙案",  IF(  G3="丙常訓",  "※ 丙案 常訓",G3  )))))))))))))))))))))))))</f>
        <v>支援(其他)</v>
      </c>
      <c r="H43" s="271" t="str">
        <f>IF(H3="早","08-18",IF(H3="中","12-22",IF(H3="晚","22-08",IF(H3="X","輪休",IF(H3="公","公假",IF(OR(H3="病",H3="事"),"病(事)假",IF(OR(H3="婚",H3="產"),"婚(產)假",IF(H3="補","補休",IF(H3="休","休假",IF(H3="喪","喪假",IF(AND(H3="/",OR($A3=日期輸入!$B$23,$A3=日期輸入!$C$23,$A3=日期輸入!$D$23,$A3=日期輸入!$E$23,$A3=日期輸入!$F$23)),"08-18水電科",IF(H3="大日","大隊值日(日)",IF(H3="大夜","大隊值日(夜)",IF(H3="值1","值1(早)",IF(H3="值1丙","值1(早) 丙案",IF(H3="值2","值2(中)",IF(H3="值2乙","值2(中) 乙案",IF(H3="夜值","夜值(晚)",IF(H3="甲夜","夜值(晚) 甲案",IF(H3="備","08-18",IF(OR(H3="支援秘書室",H3="支援出納室",H3="支援警務科",H3="支援事務股"),"支援總(大)隊",IF(H3="支援檢疫所","支援(其他)",IF(  H3="/","空班",  IF(  H3="丙",  "※ 丙案",  IF(  H3="丙常訓",  "※ 丙案 常訓",H3  )))))))))))))))))))))))))</f>
        <v>支援(其他)</v>
      </c>
      <c r="I43" s="271" t="str">
        <f>IF(I3="早","08-18",IF(I3="中","12-22",IF(I3="晚","22-08",IF(I3="X","輪休",IF(I3="公","公假",IF(OR(I3="病",I3="事"),"病(事)假",IF(OR(I3="婚",I3="產"),"婚(產)假",IF(I3="補","補休",IF(I3="休","休假",IF(I3="喪","喪假",IF(AND(I3="/",OR($A3=日期輸入!$B$23,$A3=日期輸入!$C$23,$A3=日期輸入!$D$23,$A3=日期輸入!$E$23,$A3=日期輸入!$F$23)),"08-18水電科",IF(I3="大日","大隊值日(日)",IF(I3="大夜","大隊值日(夜)",IF(I3="值1","值1(早)",IF(I3="值1丙","值1(早) 丙案",IF(I3="值2","值2(中)",IF(I3="值2乙","值2(中) 乙案",IF(I3="夜值","夜值(晚)",IF(I3="甲夜","夜值(晚) 甲案",IF(I3="備","08-18",IF(OR(I3="支援秘書室",I3="支援出納室",I3="支援警務科",I3="支援事務股"),"支援總(大)隊",IF(I3="支援檢疫所","支援(其他)",IF(  I3="/","空班",  IF(  I3="丙",  "※ 丙案",  IF(  I3="丙常訓",  "※ 丙案 常訓",I3  )))))))))))))))))))))))))</f>
        <v>支援(其他)</v>
      </c>
      <c r="J43" s="271" t="str">
        <f>IF(J3="早","08-18",IF(J3="中","12-22",IF(J3="晚","22-08",IF(J3="X","輪休",IF(J3="公","公假",IF(OR(J3="病",J3="事"),"病(事)假",IF(OR(J3="婚",J3="產"),"婚(產)假",IF(J3="補","補休",IF(J3="休","休假",IF(J3="喪","喪假",IF(AND(J3="/",OR($A3=日期輸入!$B$23,$A3=日期輸入!$C$23,$A3=日期輸入!$D$23,$A3=日期輸入!$E$23,$A3=日期輸入!$F$23)),"08-18水電科",IF(J3="大日","大隊值日(日)",IF(J3="大夜","大隊值日(夜)",IF(J3="值1","值1(早)",IF(J3="值1丙","值1(早) 丙案",IF(J3="值2","值2(中)",IF(J3="值2乙","值2(中) 乙案",IF(J3="夜值","夜值(晚)",IF(J3="甲夜","夜值(晚) 甲案",IF(J3="備","08-18",IF(OR(J3="支援秘書室",J3="支援出納室",J3="支援警務科",J3="支援事務股"),"支援總(大)隊",IF(J3="支援檢疫所","支援(其他)",IF(  J3="/","空班",  IF(  J3="丙",  "※ 丙案",  IF(  J3="丙常訓",  "※ 丙案 常訓",J3  )))))))))))))))))))))))))</f>
        <v>支援(其他)</v>
      </c>
      <c r="K43" s="271" t="str">
        <f>IF(K3="早","08-18",IF(K3="中","12-22",IF(K3="晚","22-08",IF(K3="X","輪休",IF(K3="公","公假",IF(OR(K3="病",K3="事"),"病(事)假",IF(OR(K3="婚",K3="產"),"婚(產)假",IF(K3="補","補休",IF(K3="休","休假",IF(K3="喪","喪假",IF(AND(K3="/",OR($A3=日期輸入!$B$23,$A3=日期輸入!$C$23,$A3=日期輸入!$D$23,$A3=日期輸入!$E$23,$A3=日期輸入!$F$23)),"08-18水電科",IF(K3="大日","大隊值日(日)",IF(K3="大夜","大隊值日(夜)",IF(K3="值1","值1(早)",IF(K3="值1丙","值1(早) 丙案",IF(K3="值2","值2(中)",IF(K3="值2乙","值2(中) 乙案",IF(K3="夜值","夜值(晚)",IF(K3="甲夜","夜值(晚) 甲案",IF(K3="備","08-18",IF(OR(K3="支援秘書室",K3="支援出納室",K3="支援警務科",K3="支援事務股"),"支援總(大)隊",IF(K3="支援檢疫所","支援(其他)",IF(  K3="/","空班",  IF(  K3="丙",  "※ 丙案",  IF(  K3="丙常訓",  "※ 丙案 常訓",K3  )))))))))))))))))))))))))</f>
        <v>支援(其他)</v>
      </c>
      <c r="L43" s="271" t="str">
        <f>IF(L3="早","08-18",IF(L3="中","12-22",IF(L3="晚","22-08",IF(L3="X","輪休",IF(L3="公","公假",IF(OR(L3="病",L3="事"),"病(事)假",IF(OR(L3="婚",L3="產"),"婚(產)假",IF(L3="補","補休",IF(L3="休","休假",IF(L3="喪","喪假",IF(AND(L3="/",OR($A3=日期輸入!$B$23,$A3=日期輸入!$C$23,$A3=日期輸入!$D$23,$A3=日期輸入!$E$23,$A3=日期輸入!$F$23)),"08-18水電科",IF(L3="大日","大隊值日(日)",IF(L3="大夜","大隊值日(夜)",IF(L3="值1","值1(早)",IF(L3="值1丙","值1(早) 丙案",IF(L3="值2","值2(中)",IF(L3="值2乙","值2(中) 乙案",IF(L3="夜值","夜值(晚)",IF(L3="甲夜","夜值(晚) 甲案",IF(L3="備","08-18",IF(OR(L3="支援秘書室",L3="支援出納室",L3="支援警務科",L3="支援事務股"),"支援總(大)隊",IF(L3="支援檢疫所","支援(其他)",IF(  L3="/","空班",  IF(  L3="丙",  "※ 丙案",  IF(  L3="丙常訓",  "※ 丙案 常訓",L3  )))))))))))))))))))))))))</f>
        <v>支援(其他)</v>
      </c>
      <c r="M43" s="271" t="str">
        <f>IF(M3="早","08-18",IF(M3="中","12-22",IF(M3="晚","22-08",IF(M3="X","輪休",IF(M3="公","公假",IF(OR(M3="病",M3="事"),"病(事)假",IF(OR(M3="婚",M3="產"),"婚(產)假",IF(M3="補","補休",IF(M3="休","休假",IF(M3="喪","喪假",IF(AND(M3="/",OR($A3=日期輸入!$B$23,$A3=日期輸入!$C$23,$A3=日期輸入!$D$23,$A3=日期輸入!$E$23,$A3=日期輸入!$F$23)),"08-18水電科",IF(M3="大日","大隊值日(日)",IF(M3="大夜","大隊值日(夜)",IF(M3="值1","值1(早)",IF(M3="值1丙","值1(早) 丙案",IF(M3="值2","值2(中)",IF(M3="值2乙","值2(中) 乙案",IF(M3="夜值","夜值(晚)",IF(M3="甲夜","夜值(晚) 甲案",IF(M3="備","08-18",IF(OR(M3="支援秘書室",M3="支援出納室",M3="支援警務科",M3="支援事務股"),"支援總(大)隊",IF(M3="支援檢疫所","支援(其他)",IF(  M3="/","空班",  IF(  M3="丙",  "※ 丙案",  IF(  M3="丙常訓",  "※ 丙案 常訓",M3  )))))))))))))))))))))))))</f>
        <v>支援(其他)</v>
      </c>
      <c r="N43" s="271" t="str">
        <f>IF(N3="早","08-18",IF(N3="中","12-22",IF(N3="晚","22-08",IF(N3="X","輪休",IF(N3="公","公假",IF(OR(N3="病",N3="事"),"病(事)假",IF(OR(N3="婚",N3="產"),"婚(產)假",IF(N3="補","補休",IF(N3="休","休假",IF(N3="喪","喪假",IF(AND(N3="/",OR($A3=日期輸入!$B$23,$A3=日期輸入!$C$23,$A3=日期輸入!$D$23,$A3=日期輸入!$E$23,$A3=日期輸入!$F$23)),"08-18水電科",IF(N3="大日","大隊值日(日)",IF(N3="大夜","大隊值日(夜)",IF(N3="值1","值1(早)",IF(N3="值1丙","值1(早) 丙案",IF(N3="值2","值2(中)",IF(N3="值2乙","值2(中) 乙案",IF(N3="夜值","夜值(晚)",IF(N3="甲夜","夜值(晚) 甲案",IF(N3="備","08-18",IF(OR(N3="支援秘書室",N3="支援出納室",N3="支援警務科",N3="支援事務股"),"支援總(大)隊",IF(N3="支援檢疫所","支援(其他)",IF(  N3="/","空班",  IF(  N3="丙",  "※ 丙案",  IF(  N3="丙常訓",  "※ 丙案 常訓",N3  )))))))))))))))))))))))))</f>
        <v>支援(其他)</v>
      </c>
      <c r="O43" s="271" t="str">
        <f>IF(O3="早","08-18",IF(O3="中","12-22",IF(O3="晚","22-08",IF(O3="X","輪休",IF(O3="公","公假",IF(OR(O3="病",O3="事"),"病(事)假",IF(OR(O3="婚",O3="產"),"婚(產)假",IF(O3="補","補休",IF(O3="休","休假",IF(O3="喪","喪假",IF(AND(O3="/",OR($A3=日期輸入!$B$23,$A3=日期輸入!$C$23,$A3=日期輸入!$D$23,$A3=日期輸入!$E$23,$A3=日期輸入!$F$23)),"08-18水電科",IF(O3="大日","大隊值日(日)",IF(O3="大夜","大隊值日(夜)",IF(O3="值1","值1(早)",IF(O3="值1丙","值1(早) 丙案",IF(O3="值2","值2(中)",IF(O3="值2乙","值2(中) 乙案",IF(O3="夜值","夜值(晚)",IF(O3="甲夜","夜值(晚) 甲案",IF(O3="備","08-18",IF(OR(O3="支援秘書室",O3="支援出納室",O3="支援警務科",O3="支援事務股"),"支援總(大)隊",IF(O3="支援檢疫所","支援(其他)",IF(  O3="/","空班",  IF(  O3="丙",  "※ 丙案",  IF(  O3="丙常訓",  "※ 丙案 常訓",O3  )))))))))))))))))))))))))</f>
        <v>支援(其他)</v>
      </c>
      <c r="P43" s="271" t="str">
        <f>IF(P3="早","08-18",IF(P3="中","12-22",IF(P3="晚","22-08",IF(P3="X","輪休",IF(P3="公","公假",IF(OR(P3="病",P3="事"),"病(事)假",IF(OR(P3="婚",P3="產"),"婚(產)假",IF(P3="補","補休",IF(P3="休","休假",IF(P3="喪","喪假",IF(AND(P3="/",OR($A3=日期輸入!$B$23,$A3=日期輸入!$C$23,$A3=日期輸入!$D$23,$A3=日期輸入!$E$23,$A3=日期輸入!$F$23)),"08-18水電科",IF(P3="大日","大隊值日(日)",IF(P3="大夜","大隊值日(夜)",IF(P3="值1","值1(早)",IF(P3="值1丙","值1(早) 丙案",IF(P3="值2","值2(中)",IF(P3="值2乙","值2(中) 乙案",IF(P3="夜值","夜值(晚)",IF(P3="甲夜","夜值(晚) 甲案",IF(P3="備","08-18",IF(OR(P3="支援秘書室",P3="支援出納室",P3="支援警務科",P3="支援事務股"),"支援總(大)隊",IF(P3="支援檢疫所","支援(其他)",IF(  P3="/","空班",  IF(  P3="丙",  "※ 丙案",  IF(  P3="丙常訓",  "※ 丙案 常訓",P3  )))))))))))))))))))))))))</f>
        <v>支援(其他)</v>
      </c>
      <c r="Q43" s="271" t="str">
        <f>IF(Q3="早","08-18",IF(Q3="中","12-22",IF(Q3="晚","22-08",IF(Q3="X","輪休",IF(Q3="公","公假",IF(OR(Q3="病",Q3="事"),"病(事)假",IF(OR(Q3="婚",Q3="產"),"婚(產)假",IF(Q3="補","補休",IF(Q3="休","休假",IF(Q3="喪","喪假",IF(AND(Q3="/",OR($A3=日期輸入!$B$23,$A3=日期輸入!$C$23,$A3=日期輸入!$D$23,$A3=日期輸入!$E$23,$A3=日期輸入!$F$23)),"08-18水電科",IF(Q3="大日","大隊值日(日)",IF(Q3="大夜","大隊值日(夜)",IF(Q3="值1","值1(早)",IF(Q3="值1丙","值1(早) 丙案",IF(Q3="值2","值2(中)",IF(Q3="值2乙","值2(中) 乙案",IF(Q3="夜值","夜值(晚)",IF(Q3="甲夜","夜值(晚) 甲案",IF(Q3="備","08-18",IF(OR(Q3="支援秘書室",Q3="支援出納室",Q3="支援警務科",Q3="支援事務股"),"支援總(大)隊",IF(Q3="支援檢疫所","支援(其他)",IF(  Q3="/","空班",  IF(  Q3="丙",  "※ 丙案",  IF(  Q3="丙常訓",  "※ 丙案 常訓",Q3  )))))))))))))))))))))))))</f>
        <v>支援(其他)</v>
      </c>
      <c r="R43" s="271" t="str">
        <f>IF(R3="早","08-18",IF(R3="中","12-22",IF(R3="晚","22-08",IF(R3="X","輪休",IF(R3="公","公假",IF(OR(R3="病",R3="事"),"病(事)假",IF(OR(R3="婚",R3="產"),"婚(產)假",IF(R3="補","補休",IF(R3="休","休假",IF(R3="喪","喪假",IF(AND(R3="/",OR($A3=日期輸入!$B$23,$A3=日期輸入!$C$23,$A3=日期輸入!$D$23,$A3=日期輸入!$E$23,$A3=日期輸入!$F$23)),"08-18水電科",IF(R3="大日","大隊值日(日)",IF(R3="大夜","大隊值日(夜)",IF(R3="值1","值1(早)",IF(R3="值1丙","值1(早) 丙案",IF(R3="值2","值2(中)",IF(R3="值2乙","值2(中) 乙案",IF(R3="夜值","夜值(晚)",IF(R3="甲夜","夜值(晚) 甲案",IF(R3="備","08-18",IF(OR(R3="支援秘書室",R3="支援出納室",R3="支援警務科",R3="支援事務股"),"支援總(大)隊",IF(R3="支援檢疫所","支援(其他)",IF(  R3="/","空班",  IF(  R3="丙",  "※ 丙案",  IF(  R3="丙常訓",  "※ 丙案 常訓",R3  )))))))))))))))))))))))))</f>
        <v>支援(其他)</v>
      </c>
      <c r="S43" s="271" t="str">
        <f>IF(S3="早","08-18",IF(S3="中","12-22",IF(S3="晚","22-08",IF(S3="X","輪休",IF(S3="公","公假",IF(OR(S3="病",S3="事"),"病(事)假",IF(OR(S3="婚",S3="產"),"婚(產)假",IF(S3="補","補休",IF(S3="休","休假",IF(S3="喪","喪假",IF(AND(S3="/",OR($A3=日期輸入!$B$23,$A3=日期輸入!$C$23,$A3=日期輸入!$D$23,$A3=日期輸入!$E$23,$A3=日期輸入!$F$23)),"08-18水電科",IF(S3="大日","大隊值日(日)",IF(S3="大夜","大隊值日(夜)",IF(S3="值1","值1(早)",IF(S3="值1丙","值1(早) 丙案",IF(S3="值2","值2(中)",IF(S3="值2乙","值2(中) 乙案",IF(S3="夜值","夜值(晚)",IF(S3="甲夜","夜值(晚) 甲案",IF(S3="備","08-18",IF(OR(S3="支援秘書室",S3="支援出納室",S3="支援警務科",S3="支援事務股"),"支援總(大)隊",IF(S3="支援檢疫所","支援(其他)",IF(  S3="/","空班",  IF(  S3="丙",  "※ 丙案",  IF(  S3="丙常訓",  "※ 丙案 常訓",S3  )))))))))))))))))))))))))</f>
        <v>支援(其他)</v>
      </c>
      <c r="T43" s="271" t="str">
        <f>IF(T3="早","08-18",IF(T3="中","12-22",IF(T3="晚","22-08",IF(T3="X","輪休",IF(T3="公","公假",IF(OR(T3="病",T3="事"),"病(事)假",IF(OR(T3="婚",T3="產"),"婚(產)假",IF(T3="補","補休",IF(T3="休","休假",IF(T3="喪","喪假",IF(AND(T3="/",OR($A3=日期輸入!$B$23,$A3=日期輸入!$C$23,$A3=日期輸入!$D$23,$A3=日期輸入!$E$23,$A3=日期輸入!$F$23)),"08-18水電科",IF(T3="大日","大隊值日(日)",IF(T3="大夜","大隊值日(夜)",IF(T3="值1","值1(早)",IF(T3="值1丙","值1(早) 丙案",IF(T3="值2","值2(中)",IF(T3="值2乙","值2(中) 乙案",IF(T3="夜值","夜值(晚)",IF(T3="甲夜","夜值(晚) 甲案",IF(T3="備","08-18",IF(OR(T3="支援秘書室",T3="支援出納室",T3="支援警務科",T3="支援事務股"),"支援總(大)隊",IF(T3="支援檢疫所","支援(其他)",IF(  T3="/","空班",  IF(  T3="丙",  "※ 丙案",  IF(  T3="丙常訓",  "※ 丙案 常訓",T3  )))))))))))))))))))))))))</f>
        <v>支援(其他)</v>
      </c>
      <c r="U43" s="271" t="str">
        <f>IF(U3="早","08-18",IF(U3="中","12-22",IF(U3="晚","22-08",IF(U3="X","輪休",IF(U3="公","公假",IF(OR(U3="病",U3="事"),"病(事)假",IF(OR(U3="婚",U3="產"),"婚(產)假",IF(U3="補","補休",IF(U3="休","休假",IF(U3="喪","喪假",IF(AND(U3="/",OR($A3=日期輸入!$B$23,$A3=日期輸入!$C$23,$A3=日期輸入!$D$23,$A3=日期輸入!$E$23,$A3=日期輸入!$F$23)),"08-18水電科",IF(U3="大日","大隊值日(日)",IF(U3="大夜","大隊值日(夜)",IF(U3="值1","值1(早)",IF(U3="值1丙","值1(早) 丙案",IF(U3="值2","值2(中)",IF(U3="值2乙","值2(中) 乙案",IF(U3="夜值","夜值(晚)",IF(U3="甲夜","夜值(晚) 甲案",IF(U3="備","08-18",IF(OR(U3="支援秘書室",U3="支援出納室",U3="支援警務科",U3="支援事務股"),"支援總(大)隊",IF(U3="支援檢疫所","支援(其他)",IF(  U3="/","空班",  IF(  U3="丙",  "※ 丙案",  IF(  U3="丙常訓",  "※ 丙案 常訓",U3  )))))))))))))))))))))))))</f>
        <v>支援(其他)</v>
      </c>
      <c r="V43" s="271" t="str">
        <f>IF(V3="早","08-18",IF(V3="中","12-22",IF(V3="晚","22-08",IF(V3="X","輪休",IF(V3="公","公假",IF(OR(V3="病",V3="事"),"病(事)假",IF(OR(V3="婚",V3="產"),"婚(產)假",IF(V3="補","補休",IF(V3="休","休假",IF(V3="喪","喪假",IF(AND(V3="/",OR($A3=日期輸入!$B$23,$A3=日期輸入!$C$23,$A3=日期輸入!$D$23,$A3=日期輸入!$E$23,$A3=日期輸入!$F$23)),"08-18水電科",IF(V3="大日","大隊值日(日)",IF(V3="大夜","大隊值日(夜)",IF(V3="值1","值1(早)",IF(V3="值1丙","值1(早) 丙案",IF(V3="值2","值2(中)",IF(V3="值2乙","值2(中) 乙案",IF(V3="夜值","夜值(晚)",IF(V3="甲夜","夜值(晚) 甲案",IF(V3="備","08-18",IF(OR(V3="支援秘書室",V3="支援出納室",V3="支援警務科",V3="支援事務股"),"支援總(大)隊",IF(V3="支援檢疫所","支援(其他)",IF(  V3="/","空班",  IF(  V3="丙",  "※ 丙案",  IF(  V3="丙常訓",  "※ 丙案 常訓",V3  )))))))))))))))))))))))))</f>
        <v>支援(其他)</v>
      </c>
      <c r="W43" s="271" t="str">
        <f>IF(W3="早","08-18",IF(W3="中","12-22",IF(W3="晚","22-08",IF(W3="X","輪休",IF(W3="公","公假",IF(OR(W3="病",W3="事"),"病(事)假",IF(OR(W3="婚",W3="產"),"婚(產)假",IF(W3="補","補休",IF(W3="休","休假",IF(W3="喪","喪假",IF(AND(W3="/",OR($A3=日期輸入!$B$23,$A3=日期輸入!$C$23,$A3=日期輸入!$D$23,$A3=日期輸入!$E$23,$A3=日期輸入!$F$23)),"08-18水電科",IF(W3="大日","大隊值日(日)",IF(W3="大夜","大隊值日(夜)",IF(W3="值1","值1(早)",IF(W3="值1丙","值1(早) 丙案",IF(W3="值2","值2(中)",IF(W3="值2乙","值2(中) 乙案",IF(W3="夜值","夜值(晚)",IF(W3="甲夜","夜值(晚) 甲案",IF(W3="備","08-18",IF(OR(W3="支援秘書室",W3="支援出納室",W3="支援警務科",W3="支援事務股"),"支援總(大)隊",IF(W3="支援檢疫所","支援(其他)",IF(  W3="/","空班",  IF(  W3="丙",  "※ 丙案",  IF(  W3="丙常訓",  "※ 丙案 常訓",W3  )))))))))))))))))))))))))</f>
        <v>支援(其他)</v>
      </c>
      <c r="X43" s="271" t="str">
        <f>IF(X3="早","08-18",IF(X3="中","12-22",IF(X3="晚","22-08",IF(X3="X","輪休",IF(X3="公","公假",IF(OR(X3="病",X3="事"),"病(事)假",IF(OR(X3="婚",X3="產"),"婚(產)假",IF(X3="補","補休",IF(X3="休","休假",IF(X3="喪","喪假",IF(AND(X3="/",OR($A3=日期輸入!$B$23,$A3=日期輸入!$C$23,$A3=日期輸入!$D$23,$A3=日期輸入!$E$23,$A3=日期輸入!$F$23)),"08-18水電科",IF(X3="大日","大隊值日(日)",IF(X3="大夜","大隊值日(夜)",IF(X3="值1","值1(早)",IF(X3="值1丙","值1(早) 丙案",IF(X3="值2","值2(中)",IF(X3="值2乙","值2(中) 乙案",IF(X3="夜值","夜值(晚)",IF(X3="甲夜","夜值(晚) 甲案",IF(X3="備","08-18",IF(OR(X3="支援秘書室",X3="支援出納室",X3="支援警務科",X3="支援事務股"),"支援總(大)隊",IF(X3="支援檢疫所","支援(其他)",IF(  X3="/","空班",  IF(  X3="丙",  "※ 丙案",  IF(  X3="丙常訓",  "※ 丙案 常訓",X3  )))))))))))))))))))))))))</f>
        <v>支援(其他)</v>
      </c>
      <c r="Y43" s="271" t="str">
        <f>IF(Y3="早","08-18",IF(Y3="中","12-22",IF(Y3="晚","22-08",IF(Y3="X","輪休",IF(Y3="公","公假",IF(OR(Y3="病",Y3="事"),"病(事)假",IF(OR(Y3="婚",Y3="產"),"婚(產)假",IF(Y3="補","補休",IF(Y3="休","休假",IF(Y3="喪","喪假",IF(AND(Y3="/",OR($A3=日期輸入!$B$23,$A3=日期輸入!$C$23,$A3=日期輸入!$D$23,$A3=日期輸入!$E$23,$A3=日期輸入!$F$23)),"08-18水電科",IF(Y3="大日","大隊值日(日)",IF(Y3="大夜","大隊值日(夜)",IF(Y3="值1","值1(早)",IF(Y3="值1丙","值1(早) 丙案",IF(Y3="值2","值2(中)",IF(Y3="值2乙","值2(中) 乙案",IF(Y3="夜值","夜值(晚)",IF(Y3="甲夜","夜值(晚) 甲案",IF(Y3="備","08-18",IF(OR(Y3="支援秘書室",Y3="支援出納室",Y3="支援警務科",Y3="支援事務股"),"支援總(大)隊",IF(Y3="支援檢疫所","支援(其他)",IF(  Y3="/","空班",  IF(  Y3="丙",  "※ 丙案",  IF(  Y3="丙常訓",  "※ 丙案 常訓",Y3  )))))))))))))))))))))))))</f>
        <v>支援(其他)</v>
      </c>
      <c r="Z43" s="271" t="str">
        <f>IF(Z3="早","08-18",IF(Z3="中","12-22",IF(Z3="晚","22-08",IF(Z3="X","輪休",IF(Z3="公","公假",IF(OR(Z3="病",Z3="事"),"病(事)假",IF(OR(Z3="婚",Z3="產"),"婚(產)假",IF(Z3="補","補休",IF(Z3="休","休假",IF(Z3="喪","喪假",IF(AND(Z3="/",OR($A3=日期輸入!$B$23,$A3=日期輸入!$C$23,$A3=日期輸入!$D$23,$A3=日期輸入!$E$23,$A3=日期輸入!$F$23)),"08-18水電科",IF(Z3="大日","大隊值日(日)",IF(Z3="大夜","大隊值日(夜)",IF(Z3="值1","值1(早)",IF(Z3="值1丙","值1(早) 丙案",IF(Z3="值2","值2(中)",IF(Z3="值2乙","值2(中) 乙案",IF(Z3="夜值","夜值(晚)",IF(Z3="甲夜","夜值(晚) 甲案",IF(Z3="備","08-18",IF(OR(Z3="支援秘書室",Z3="支援出納室",Z3="支援警務科",Z3="支援事務股"),"支援總(大)隊",IF(Z3="支援檢疫所","支援(其他)",IF(  Z3="/","空班",  IF(  Z3="丙",  "※ 丙案",  IF(  Z3="丙常訓",  "※ 丙案 常訓",Z3  )))))))))))))))))))))))))</f>
        <v>支援(其他)</v>
      </c>
      <c r="AA43" s="271" t="str">
        <f>IF(AA3="早","08-18",IF(AA3="中","12-22",IF(AA3="晚","22-08",IF(AA3="X","輪休",IF(AA3="公","公假",IF(OR(AA3="病",AA3="事"),"病(事)假",IF(OR(AA3="婚",AA3="產"),"婚(產)假",IF(AA3="補","補休",IF(AA3="休","休假",IF(AA3="喪","喪假",IF(AND(AA3="/",OR($A3=日期輸入!$B$23,$A3=日期輸入!$C$23,$A3=日期輸入!$D$23,$A3=日期輸入!$E$23,$A3=日期輸入!$F$23)),"08-18水電科",IF(AA3="大日","大隊值日(日)",IF(AA3="大夜","大隊值日(夜)",IF(AA3="值1","值1(早)",IF(AA3="值1丙","值1(早) 丙案",IF(AA3="值2","值2(中)",IF(AA3="值2乙","值2(中) 乙案",IF(AA3="夜值","夜值(晚)",IF(AA3="甲夜","夜值(晚) 甲案",IF(AA3="備","08-18",IF(OR(AA3="支援秘書室",AA3="支援出納室",AA3="支援警務科",AA3="支援事務股"),"支援總(大)隊",IF(AA3="支援檢疫所","支援(其他)",IF(  AA3="/","空班",  IF(  AA3="丙",  "※ 丙案",  IF(  AA3="丙常訓",  "※ 丙案 常訓",AA3  )))))))))))))))))))))))))</f>
        <v>支援(其他)</v>
      </c>
      <c r="AB43" s="271" t="str">
        <f>IF(AB3="早","08-18",IF(AB3="中","12-22",IF(AB3="晚","22-08",IF(AB3="X","輪休",IF(AB3="公","公假",IF(OR(AB3="病",AB3="事"),"病(事)假",IF(OR(AB3="婚",AB3="產"),"婚(產)假",IF(AB3="補","補休",IF(AB3="休","休假",IF(AB3="喪","喪假",IF(AND(AB3="/",OR($A3=日期輸入!$B$23,$A3=日期輸入!$C$23,$A3=日期輸入!$D$23,$A3=日期輸入!$E$23,$A3=日期輸入!$F$23)),"08-18水電科",IF(AB3="大日","大隊值日(日)",IF(AB3="大夜","大隊值日(夜)",IF(AB3="值1","值1(早)",IF(AB3="值1丙","值1(早) 丙案",IF(AB3="值2","值2(中)",IF(AB3="值2乙","值2(中) 乙案",IF(AB3="夜值","夜值(晚)",IF(AB3="甲夜","夜值(晚) 甲案",IF(AB3="備","08-18",IF(OR(AB3="支援秘書室",AB3="支援出納室",AB3="支援警務科",AB3="支援事務股"),"支援總(大)隊",IF(AB3="支援檢疫所","支援(其他)",IF(  AB3="/","空班",  IF(  AB3="丙",  "※ 丙案",  IF(  AB3="丙常訓",  "※ 丙案 常訓",AB3  )))))))))))))))))))))))))</f>
        <v>支援(其他)</v>
      </c>
      <c r="AC43" s="271" t="str">
        <f>IF(AC3="早","08-18",IF(AC3="中","12-22",IF(AC3="晚","22-08",IF(AC3="X","輪休",IF(AC3="公","公假",IF(OR(AC3="病",AC3="事"),"病(事)假",IF(OR(AC3="婚",AC3="產"),"婚(產)假",IF(AC3="補","補休",IF(AC3="休","休假",IF(AC3="喪","喪假",IF(AND(AC3="/",OR($A3=日期輸入!$B$23,$A3=日期輸入!$C$23,$A3=日期輸入!$D$23,$A3=日期輸入!$E$23,$A3=日期輸入!$F$23)),"08-18水電科",IF(AC3="大日","大隊值日(日)",IF(AC3="大夜","大隊值日(夜)",IF(AC3="值1","值1(早)",IF(AC3="值1丙","值1(早) 丙案",IF(AC3="值2","值2(中)",IF(AC3="值2乙","值2(中) 乙案",IF(AC3="夜值","夜值(晚)",IF(AC3="甲夜","夜值(晚) 甲案",IF(AC3="備","08-18",IF(OR(AC3="支援秘書室",AC3="支援出納室",AC3="支援警務科",AC3="支援事務股"),"支援總(大)隊",IF(AC3="支援檢疫所","支援(其他)",IF(  AC3="/","空班",  IF(  AC3="丙",  "※ 丙案",  IF(  AC3="丙常訓",  "※ 丙案 常訓",AC3  )))))))))))))))))))))))))</f>
        <v>支援(其他)</v>
      </c>
      <c r="AD43" s="271" t="str">
        <f>IF(AD3="早","08-18",IF(AD3="中","12-22",IF(AD3="晚","22-08",IF(AD3="X","輪休",IF(AD3="公","公假",IF(OR(AD3="病",AD3="事"),"病(事)假",IF(OR(AD3="婚",AD3="產"),"婚(產)假",IF(AD3="補","補休",IF(AD3="休","休假",IF(AD3="喪","喪假",IF(AND(AD3="/",OR($A3=日期輸入!$B$23,$A3=日期輸入!$C$23,$A3=日期輸入!$D$23,$A3=日期輸入!$E$23,$A3=日期輸入!$F$23)),"08-18水電科",IF(AD3="大日","大隊值日(日)",IF(AD3="大夜","大隊值日(夜)",IF(AD3="值1","值1(早)",IF(AD3="值1丙","值1(早) 丙案",IF(AD3="值2","值2(中)",IF(AD3="值2乙","值2(中) 乙案",IF(AD3="夜值","夜值(晚)",IF(AD3="甲夜","夜值(晚) 甲案",IF(AD3="備","08-18",IF(OR(AD3="支援秘書室",AD3="支援出納室",AD3="支援警務科",AD3="支援事務股"),"支援總(大)隊",IF(AD3="支援檢疫所","支援(其他)",IF(  AD3="/","空班",  IF(  AD3="丙",  "※ 丙案",  IF(  AD3="丙常訓",  "※ 丙案 常訓",AD3  )))))))))))))))))))))))))</f>
        <v>支援(其他)</v>
      </c>
      <c r="AE43" s="271" t="str">
        <f>IF(AE3="早","08-18",IF(AE3="中","12-22",IF(AE3="晚","22-08",IF(AE3="X","輪休",IF(AE3="公","公假",IF(OR(AE3="病",AE3="事"),"病(事)假",IF(OR(AE3="婚",AE3="產"),"婚(產)假",IF(AE3="補","補休",IF(AE3="休","休假",IF(AE3="喪","喪假",IF(AND(AE3="/",OR($A3=日期輸入!$B$23,$A3=日期輸入!$C$23,$A3=日期輸入!$D$23,$A3=日期輸入!$E$23,$A3=日期輸入!$F$23)),"08-18水電科",IF(AE3="大日","大隊值日(日)",IF(AE3="大夜","大隊值日(夜)",IF(AE3="值1","值1(早)",IF(AE3="值1丙","值1(早) 丙案",IF(AE3="值2","值2(中)",IF(AE3="值2乙","值2(中) 乙案",IF(AE3="夜值","夜值(晚)",IF(AE3="甲夜","夜值(晚) 甲案",IF(AE3="備","08-18",IF(OR(AE3="支援秘書室",AE3="支援出納室",AE3="支援警務科",AE3="支援事務股"),"支援總(大)隊",IF(AE3="支援檢疫所","支援(其他)",IF(  AE3="/","空班",  IF(  AE3="丙",  "※ 丙案",  IF(  AE3="丙常訓",  "※ 丙案 常訓",AE3  )))))))))))))))))))))))))</f>
        <v>支援(其他)</v>
      </c>
      <c r="AF43" s="271" t="str">
        <f>IF(AF3="早","08-18",IF(AF3="中","12-22",IF(AF3="晚","22-08",IF(AF3="X","輪休",IF(AF3="公","公假",IF(OR(AF3="病",AF3="事"),"病(事)假",IF(OR(AF3="婚",AF3="產"),"婚(產)假",IF(AF3="補","補休",IF(AF3="休","休假",IF(AF3="喪","喪假",IF(AND(AF3="/",OR($A3=日期輸入!$B$23,$A3=日期輸入!$C$23,$A3=日期輸入!$D$23,$A3=日期輸入!$E$23,$A3=日期輸入!$F$23)),"08-18水電科",IF(AF3="大日","大隊值日(日)",IF(AF3="大夜","大隊值日(夜)",IF(AF3="值1","值1(早)",IF(AF3="值1丙","值1(早) 丙案",IF(AF3="值2","值2(中)",IF(AF3="值2乙","值2(中) 乙案",IF(AF3="夜值","夜值(晚)",IF(AF3="甲夜","夜值(晚) 甲案",IF(AF3="備","08-18",IF(OR(AF3="支援秘書室",AF3="支援出納室",AF3="支援警務科",AF3="支援事務股"),"支援總(大)隊",IF(AF3="支援檢疫所","支援(其他)",IF(  AF3="/","空班",  IF(  AF3="丙",  "※ 丙案",  IF(  AF3="丙常訓",  "※ 丙案 常訓",AF3  )))))))))))))))))))))))))</f>
        <v>支援(其他)</v>
      </c>
      <c r="AG43" s="271" t="str">
        <f>IF(AG3="早","08-18",IF(AG3="中","12-22",IF(AG3="晚","22-08",IF(AG3="X","輪休",IF(AG3="公","公假",IF(OR(AG3="病",AG3="事"),"病(事)假",IF(OR(AG3="婚",AG3="產"),"婚(產)假",IF(AG3="補","補休",IF(AG3="休","休假",IF(AG3="喪","喪假",IF(AND(AG3="/",OR($A3=日期輸入!$B$23,$A3=日期輸入!$C$23,$A3=日期輸入!$D$23,$A3=日期輸入!$E$23,$A3=日期輸入!$F$23)),"08-18水電科",IF(AG3="大日","大隊值日(日)",IF(AG3="大夜","大隊值日(夜)",IF(AG3="值1","值1(早)",IF(AG3="值1丙","值1(早) 丙案",IF(AG3="值2","值2(中)",IF(AG3="值2乙","值2(中) 乙案",IF(AG3="夜值","夜值(晚)",IF(AG3="甲夜","夜值(晚) 甲案",IF(AG3="備","08-18",IF(OR(AG3="支援秘書室",AG3="支援出納室",AG3="支援警務科",AG3="支援事務股"),"支援總(大)隊",IF(AG3="支援檢疫所","支援(其他)",IF(  AG3="/","空班",  IF(  AG3="丙",  "※ 丙案",  IF(  AG3="丙常訓",  "※ 丙案 常訓",AG3  )))))))))))))))))))))))))</f>
        <v>支援(其他)</v>
      </c>
    </row>
    <row r="44" spans="1:43">
      <c r="A44" s="271" t="str">
        <f t="shared" ref="A44:B44" si="3">A4</f>
        <v>E</v>
      </c>
      <c r="B44" s="271" t="str">
        <f t="shared" si="3"/>
        <v>洪偉傑</v>
      </c>
      <c r="C44" s="271" t="str">
        <f>IF(C4="早","08-18",IF(C4="中","12-22",IF(C4="晚","22-08",IF(C4="X","輪休",IF(C4="公","公假",IF(OR(C4="病",C4="事"),"病(事)假",IF(OR(C4="婚",C4="產"),"婚(產)假",IF(C4="補","補休",IF(C4="休","休假",IF(C4="喪","喪假",IF(AND(C4="/",OR($A4=日期輸入!$B$23,$A4=日期輸入!$C$23,$A4=日期輸入!$D$23,$A4=日期輸入!$E$23,$A4=日期輸入!$F$23)),"08-18水電科",IF(C4="大日","大隊值日(日)",IF(C4="大夜","大隊值日(夜)",IF(C4="值1","值1(早)",IF(C4="值1丙","值1(早) 丙案",IF(C4="值2","值2(中)",IF(C4="值2乙","值2(中) 乙案",IF(C4="夜值","夜值(晚)",IF(C4="甲夜","夜值(晚) 甲案",IF(C4="備","08-18",IF(OR(C4="支援秘書室",C4="支援出納室",C4="支援警務科",C4="支援事務股"),"支援總(大)隊",IF(C4="支援檢疫所","支援(其他)",IF(  C4="/","空班",  IF(  C4="丙",  "※ 丙案",  IF(  C4="丙常訓",  "※ 丙案 常訓",C4  )))))))))))))))))))))))))</f>
        <v>大隊值日(夜)</v>
      </c>
      <c r="D44" s="271" t="str">
        <f>IF(D4="早","08-18",IF(D4="中","12-22",IF(D4="晚","22-08",IF(D4="X","輪休",IF(D4="公","公假",IF(OR(D4="病",D4="事"),"病(事)假",IF(OR(D4="婚",D4="產"),"婚(產)假",IF(D4="補","補休",IF(D4="休","休假",IF(D4="喪","喪假",IF(AND(D4="/",OR($A4=日期輸入!$B$23,$A4=日期輸入!$C$23,$A4=日期輸入!$D$23,$A4=日期輸入!$E$23,$A4=日期輸入!$F$23)),"08-18水電科",IF(D4="大日","大隊值日(日)",IF(D4="大夜","大隊值日(夜)",IF(D4="值1","值1(早)",IF(D4="值1丙","值1(早) 丙案",IF(D4="值2","值2(中)",IF(D4="值2乙","值2(中) 乙案",IF(D4="夜值","夜值(晚)",IF(D4="甲夜","夜值(晚) 甲案",IF(D4="備","08-18",IF(OR(D4="支援秘書室",D4="支援出納室",D4="支援警務科",D4="支援事務股"),"支援總(大)隊",IF(D4="支援檢疫所","支援(其他)",IF(  D4="/","空班",  IF(  D4="丙",  "※ 丙案",  IF(  D4="丙常訓",  "※ 丙案 常訓",D4  )))))))))))))))))))))))))</f>
        <v>輪休</v>
      </c>
      <c r="E44" s="271" t="str">
        <f>IF(E4="早","08-18",IF(E4="中","12-22",IF(E4="晚","22-08",IF(E4="X","輪休",IF(E4="公","公假",IF(OR(E4="病",E4="事"),"病(事)假",IF(OR(E4="婚",E4="產"),"婚(產)假",IF(E4="補","補休",IF(E4="休","休假",IF(E4="喪","喪假",IF(AND(E4="/",OR($A4=日期輸入!$B$23,$A4=日期輸入!$C$23,$A4=日期輸入!$D$23,$A4=日期輸入!$E$23,$A4=日期輸入!$F$23)),"08-18水電科",IF(E4="大日","大隊值日(日)",IF(E4="大夜","大隊值日(夜)",IF(E4="值1","值1(早)",IF(E4="值1丙","值1(早) 丙案",IF(E4="值2","值2(中)",IF(E4="值2乙","值2(中) 乙案",IF(E4="夜值","夜值(晚)",IF(E4="甲夜","夜值(晚) 甲案",IF(E4="備","08-18",IF(OR(E4="支援秘書室",E4="支援出納室",E4="支援警務科",E4="支援事務股"),"支援總(大)隊",IF(E4="支援檢疫所","支援(其他)",IF(  E4="/","空班",  IF(  E4="丙",  "※ 丙案",  IF(  E4="丙常訓",  "※ 丙案 常訓",E4  )))))))))))))))))))))))))</f>
        <v>值1早</v>
      </c>
      <c r="F44" s="271" t="str">
        <f>IF(F4="早","08-18",IF(F4="中","12-22",IF(F4="晚","22-08",IF(F4="X","輪休",IF(F4="公","公假",IF(OR(F4="病",F4="事"),"病(事)假",IF(OR(F4="婚",F4="產"),"婚(產)假",IF(F4="補","補休",IF(F4="休","休假",IF(F4="喪","喪假",IF(AND(F4="/",OR($A4=日期輸入!$B$23,$A4=日期輸入!$C$23,$A4=日期輸入!$D$23,$A4=日期輸入!$E$23,$A4=日期輸入!$F$23)),"08-18水電科",IF(F4="大日","大隊值日(日)",IF(F4="大夜","大隊值日(夜)",IF(F4="值1","值1(早)",IF(F4="值1丙","值1(早) 丙案",IF(F4="值2","值2(中)",IF(F4="值2乙","值2(中) 乙案",IF(F4="夜值","夜值(晚)",IF(F4="甲夜","夜值(晚) 甲案",IF(F4="備","08-18",IF(OR(F4="支援秘書室",F4="支援出納室",F4="支援警務科",F4="支援事務股"),"支援總(大)隊",IF(F4="支援檢疫所","支援(其他)",IF(  F4="/","空班",  IF(  F4="丙",  "※ 丙案",  IF(  F4="丙常訓",  "※ 丙案 常訓",F4  )))))))))))))))))))))))))</f>
        <v>值1早</v>
      </c>
      <c r="G44" s="271" t="str">
        <f>IF(G4="早","08-18",IF(G4="中","12-22",IF(G4="晚","22-08",IF(G4="X","輪休",IF(G4="公","公假",IF(OR(G4="病",G4="事"),"病(事)假",IF(OR(G4="婚",G4="產"),"婚(產)假",IF(G4="補","補休",IF(G4="休","休假",IF(G4="喪","喪假",IF(AND(G4="/",OR($A4=日期輸入!$B$23,$A4=日期輸入!$C$23,$A4=日期輸入!$D$23,$A4=日期輸入!$E$23,$A4=日期輸入!$F$23)),"08-18水電科",IF(G4="大日","大隊值日(日)",IF(G4="大夜","大隊值日(夜)",IF(G4="值1","值1(早)",IF(G4="值1丙","值1(早) 丙案",IF(G4="值2","值2(中)",IF(G4="值2乙","值2(中) 乙案",IF(G4="夜值","夜值(晚)",IF(G4="甲夜","夜值(晚) 甲案",IF(G4="備","08-18",IF(OR(G4="支援秘書室",G4="支援出納室",G4="支援警務科",G4="支援事務股"),"支援總(大)隊",IF(G4="支援檢疫所","支援(其他)",IF(  G4="/","空班",  IF(  G4="丙",  "※ 丙案",  IF(  G4="丙常訓",  "※ 丙案 常訓",G4  )))))))))))))))))))))))))</f>
        <v>值1(早)</v>
      </c>
      <c r="H44" s="271" t="str">
        <f>IF(H4="早","08-18",IF(H4="中","12-22",IF(H4="晚","22-08",IF(H4="X","輪休",IF(H4="公","公假",IF(OR(H4="病",H4="事"),"病(事)假",IF(OR(H4="婚",H4="產"),"婚(產)假",IF(H4="補","補休",IF(H4="休","休假",IF(H4="喪","喪假",IF(AND(H4="/",OR($A4=日期輸入!$B$23,$A4=日期輸入!$C$23,$A4=日期輸入!$D$23,$A4=日期輸入!$E$23,$A4=日期輸入!$F$23)),"08-18水電科",IF(H4="大日","大隊值日(日)",IF(H4="大夜","大隊值日(夜)",IF(H4="值1","值1(早)",IF(H4="值1丙","值1(早) 丙案",IF(H4="值2","值2(中)",IF(H4="值2乙","值2(中) 乙案",IF(H4="夜值","夜值(晚)",IF(H4="甲夜","夜值(晚) 甲案",IF(H4="備","08-18",IF(OR(H4="支援秘書室",H4="支援出納室",H4="支援警務科",H4="支援事務股"),"支援總(大)隊",IF(H4="支援檢疫所","支援(其他)",IF(  H4="/","空班",  IF(  H4="丙",  "※ 丙案",  IF(  H4="丙常訓",  "※ 丙案 常訓",H4  )))))))))))))))))))))))))</f>
        <v>值1(早)</v>
      </c>
      <c r="I44" s="271" t="str">
        <f>IF(I4="早","08-18",IF(I4="中","12-22",IF(I4="晚","22-08",IF(I4="X","輪休",IF(I4="公","公假",IF(OR(I4="病",I4="事"),"病(事)假",IF(OR(I4="婚",I4="產"),"婚(產)假",IF(I4="補","補休",IF(I4="休","休假",IF(I4="喪","喪假",IF(AND(I4="/",OR($A4=日期輸入!$B$23,$A4=日期輸入!$C$23,$A4=日期輸入!$D$23,$A4=日期輸入!$E$23,$A4=日期輸入!$F$23)),"08-18水電科",IF(I4="大日","大隊值日(日)",IF(I4="大夜","大隊值日(夜)",IF(I4="值1","值1(早)",IF(I4="值1丙","值1(早) 丙案",IF(I4="值2","值2(中)",IF(I4="值2乙","值2(中) 乙案",IF(I4="夜值","夜值(晚)",IF(I4="甲夜","夜值(晚) 甲案",IF(I4="備","08-18",IF(OR(I4="支援秘書室",I4="支援出納室",I4="支援警務科",I4="支援事務股"),"支援總(大)隊",IF(I4="支援檢疫所","支援(其他)",IF(  I4="/","空班",  IF(  I4="丙",  "※ 丙案",  IF(  I4="丙常訓",  "※ 丙案 常訓",I4  )))))))))))))))))))))))))</f>
        <v>值1(早)</v>
      </c>
      <c r="J44" s="271" t="str">
        <f>IF(J4="早","08-18",IF(J4="中","12-22",IF(J4="晚","22-08",IF(J4="X","輪休",IF(J4="公","公假",IF(OR(J4="病",J4="事"),"病(事)假",IF(OR(J4="婚",J4="產"),"婚(產)假",IF(J4="補","補休",IF(J4="休","休假",IF(J4="喪","喪假",IF(AND(J4="/",OR($A4=日期輸入!$B$23,$A4=日期輸入!$C$23,$A4=日期輸入!$D$23,$A4=日期輸入!$E$23,$A4=日期輸入!$F$23)),"08-18水電科",IF(J4="大日","大隊值日(日)",IF(J4="大夜","大隊值日(夜)",IF(J4="值1","值1(早)",IF(J4="值1丙","值1(早) 丙案",IF(J4="值2","值2(中)",IF(J4="值2乙","值2(中) 乙案",IF(J4="夜值","夜值(晚)",IF(J4="甲夜","夜值(晚) 甲案",IF(J4="備","08-18",IF(OR(J4="支援秘書室",J4="支援出納室",J4="支援警務科",J4="支援事務股"),"支援總(大)隊",IF(J4="支援檢疫所","支援(其他)",IF(  J4="/","空班",  IF(  J4="丙",  "※ 丙案",  IF(  J4="丙常訓",  "※ 丙案 常訓",J4  )))))))))))))))))))))))))</f>
        <v>值1(早)</v>
      </c>
      <c r="K44" s="271" t="str">
        <f>IF(K4="早","08-18",IF(K4="中","12-22",IF(K4="晚","22-08",IF(K4="X","輪休",IF(K4="公","公假",IF(OR(K4="病",K4="事"),"病(事)假",IF(OR(K4="婚",K4="產"),"婚(產)假",IF(K4="補","補休",IF(K4="休","休假",IF(K4="喪","喪假",IF(AND(K4="/",OR($A4=日期輸入!$B$23,$A4=日期輸入!$C$23,$A4=日期輸入!$D$23,$A4=日期輸入!$E$23,$A4=日期輸入!$F$23)),"08-18水電科",IF(K4="大日","大隊值日(日)",IF(K4="大夜","大隊值日(夜)",IF(K4="值1","值1(早)",IF(K4="值1丙","值1(早) 丙案",IF(K4="值2","值2(中)",IF(K4="值2乙","值2(中) 乙案",IF(K4="夜值","夜值(晚)",IF(K4="甲夜","夜值(晚) 甲案",IF(K4="備","08-18",IF(OR(K4="支援秘書室",K4="支援出納室",K4="支援警務科",K4="支援事務股"),"支援總(大)隊",IF(K4="支援檢疫所","支援(其他)",IF(  K4="/","空班",  IF(  K4="丙",  "※ 丙案",  IF(  K4="丙常訓",  "※ 丙案 常訓",K4  )))))))))))))))))))))))))</f>
        <v>值1(早)</v>
      </c>
      <c r="L44" s="271" t="str">
        <f>IF(L4="早","08-18",IF(L4="中","12-22",IF(L4="晚","22-08",IF(L4="X","輪休",IF(L4="公","公假",IF(OR(L4="病",L4="事"),"病(事)假",IF(OR(L4="婚",L4="產"),"婚(產)假",IF(L4="補","補休",IF(L4="休","休假",IF(L4="喪","喪假",IF(AND(L4="/",OR($A4=日期輸入!$B$23,$A4=日期輸入!$C$23,$A4=日期輸入!$D$23,$A4=日期輸入!$E$23,$A4=日期輸入!$F$23)),"08-18水電科",IF(L4="大日","大隊值日(日)",IF(L4="大夜","大隊值日(夜)",IF(L4="值1","值1(早)",IF(L4="值1丙","值1(早) 丙案",IF(L4="值2","值2(中)",IF(L4="值2乙","值2(中) 乙案",IF(L4="夜值","夜值(晚)",IF(L4="甲夜","夜值(晚) 甲案",IF(L4="備","08-18",IF(OR(L4="支援秘書室",L4="支援出納室",L4="支援警務科",L4="支援事務股"),"支援總(大)隊",IF(L4="支援檢疫所","支援(其他)",IF(  L4="/","空班",  IF(  L4="丙",  "※ 丙案",  IF(  L4="丙常訓",  "※ 丙案 常訓",L4  )))))))))))))))))))))))))</f>
        <v>值1(早)</v>
      </c>
      <c r="M44" s="271" t="str">
        <f>IF(M4="早","08-18",IF(M4="中","12-22",IF(M4="晚","22-08",IF(M4="X","輪休",IF(M4="公","公假",IF(OR(M4="病",M4="事"),"病(事)假",IF(OR(M4="婚",M4="產"),"婚(產)假",IF(M4="補","補休",IF(M4="休","休假",IF(M4="喪","喪假",IF(AND(M4="/",OR($A4=日期輸入!$B$23,$A4=日期輸入!$C$23,$A4=日期輸入!$D$23,$A4=日期輸入!$E$23,$A4=日期輸入!$F$23)),"08-18水電科",IF(M4="大日","大隊值日(日)",IF(M4="大夜","大隊值日(夜)",IF(M4="值1","值1(早)",IF(M4="值1丙","值1(早) 丙案",IF(M4="值2","值2(中)",IF(M4="值2乙","值2(中) 乙案",IF(M4="夜值","夜值(晚)",IF(M4="甲夜","夜值(晚) 甲案",IF(M4="備","08-18",IF(OR(M4="支援秘書室",M4="支援出納室",M4="支援警務科",M4="支援事務股"),"支援總(大)隊",IF(M4="支援檢疫所","支援(其他)",IF(  M4="/","空班",  IF(  M4="丙",  "※ 丙案",  IF(  M4="丙常訓",  "※ 丙案 常訓",M4  )))))))))))))))))))))))))</f>
        <v>值1(早)</v>
      </c>
      <c r="N44" s="271" t="str">
        <f>IF(N4="早","08-18",IF(N4="中","12-22",IF(N4="晚","22-08",IF(N4="X","輪休",IF(N4="公","公假",IF(OR(N4="病",N4="事"),"病(事)假",IF(OR(N4="婚",N4="產"),"婚(產)假",IF(N4="補","補休",IF(N4="休","休假",IF(N4="喪","喪假",IF(AND(N4="/",OR($A4=日期輸入!$B$23,$A4=日期輸入!$C$23,$A4=日期輸入!$D$23,$A4=日期輸入!$E$23,$A4=日期輸入!$F$23)),"08-18水電科",IF(N4="大日","大隊值日(日)",IF(N4="大夜","大隊值日(夜)",IF(N4="值1","值1(早)",IF(N4="值1丙","值1(早) 丙案",IF(N4="值2","值2(中)",IF(N4="值2乙","值2(中) 乙案",IF(N4="夜值","夜值(晚)",IF(N4="甲夜","夜值(晚) 甲案",IF(N4="備","08-18",IF(OR(N4="支援秘書室",N4="支援出納室",N4="支援警務科",N4="支援事務股"),"支援總(大)隊",IF(N4="支援檢疫所","支援(其他)",IF(  N4="/","空班",  IF(  N4="丙",  "※ 丙案",  IF(  N4="丙常訓",  "※ 丙案 常訓",N4  )))))))))))))))))))))))))</f>
        <v>值1(早)</v>
      </c>
      <c r="O44" s="271" t="str">
        <f>IF(O4="早","08-18",IF(O4="中","12-22",IF(O4="晚","22-08",IF(O4="X","輪休",IF(O4="公","公假",IF(OR(O4="病",O4="事"),"病(事)假",IF(OR(O4="婚",O4="產"),"婚(產)假",IF(O4="補","補休",IF(O4="休","休假",IF(O4="喪","喪假",IF(AND(O4="/",OR($A4=日期輸入!$B$23,$A4=日期輸入!$C$23,$A4=日期輸入!$D$23,$A4=日期輸入!$E$23,$A4=日期輸入!$F$23)),"08-18水電科",IF(O4="大日","大隊值日(日)",IF(O4="大夜","大隊值日(夜)",IF(O4="值1","值1(早)",IF(O4="值1丙","值1(早) 丙案",IF(O4="值2","值2(中)",IF(O4="值2乙","值2(中) 乙案",IF(O4="夜值","夜值(晚)",IF(O4="甲夜","夜值(晚) 甲案",IF(O4="備","08-18",IF(OR(O4="支援秘書室",O4="支援出納室",O4="支援警務科",O4="支援事務股"),"支援總(大)隊",IF(O4="支援檢疫所","支援(其他)",IF(  O4="/","空班",  IF(  O4="丙",  "※ 丙案",  IF(  O4="丙常訓",  "※ 丙案 常訓",O4  )))))))))))))))))))))))))</f>
        <v>值1(早)</v>
      </c>
      <c r="P44" s="271" t="str">
        <f>IF(P4="早","08-18",IF(P4="中","12-22",IF(P4="晚","22-08",IF(P4="X","輪休",IF(P4="公","公假",IF(OR(P4="病",P4="事"),"病(事)假",IF(OR(P4="婚",P4="產"),"婚(產)假",IF(P4="補","補休",IF(P4="休","休假",IF(P4="喪","喪假",IF(AND(P4="/",OR($A4=日期輸入!$B$23,$A4=日期輸入!$C$23,$A4=日期輸入!$D$23,$A4=日期輸入!$E$23,$A4=日期輸入!$F$23)),"08-18水電科",IF(P4="大日","大隊值日(日)",IF(P4="大夜","大隊值日(夜)",IF(P4="值1","值1(早)",IF(P4="值1丙","值1(早) 丙案",IF(P4="值2","值2(中)",IF(P4="值2乙","值2(中) 乙案",IF(P4="夜值","夜值(晚)",IF(P4="甲夜","夜值(晚) 甲案",IF(P4="備","08-18",IF(OR(P4="支援秘書室",P4="支援出納室",P4="支援警務科",P4="支援事務股"),"支援總(大)隊",IF(P4="支援檢疫所","支援(其他)",IF(  P4="/","空班",  IF(  P4="丙",  "※ 丙案",  IF(  P4="丙常訓",  "※ 丙案 常訓",P4  )))))))))))))))))))))))))</f>
        <v>值1(早)</v>
      </c>
      <c r="Q44" s="271" t="str">
        <f>IF(Q4="早","08-18",IF(Q4="中","12-22",IF(Q4="晚","22-08",IF(Q4="X","輪休",IF(Q4="公","公假",IF(OR(Q4="病",Q4="事"),"病(事)假",IF(OR(Q4="婚",Q4="產"),"婚(產)假",IF(Q4="補","補休",IF(Q4="休","休假",IF(Q4="喪","喪假",IF(AND(Q4="/",OR($A4=日期輸入!$B$23,$A4=日期輸入!$C$23,$A4=日期輸入!$D$23,$A4=日期輸入!$E$23,$A4=日期輸入!$F$23)),"08-18水電科",IF(Q4="大日","大隊值日(日)",IF(Q4="大夜","大隊值日(夜)",IF(Q4="值1","值1(早)",IF(Q4="值1丙","值1(早) 丙案",IF(Q4="值2","值2(中)",IF(Q4="值2乙","值2(中) 乙案",IF(Q4="夜值","夜值(晚)",IF(Q4="甲夜","夜值(晚) 甲案",IF(Q4="備","08-18",IF(OR(Q4="支援秘書室",Q4="支援出納室",Q4="支援警務科",Q4="支援事務股"),"支援總(大)隊",IF(Q4="支援檢疫所","支援(其他)",IF(  Q4="/","空班",  IF(  Q4="丙",  "※ 丙案",  IF(  Q4="丙常訓",  "※ 丙案 常訓",Q4  )))))))))))))))))))))))))</f>
        <v>值1(早)</v>
      </c>
      <c r="R44" s="271" t="str">
        <f>IF(R4="早","08-18",IF(R4="中","12-22",IF(R4="晚","22-08",IF(R4="X","輪休",IF(R4="公","公假",IF(OR(R4="病",R4="事"),"病(事)假",IF(OR(R4="婚",R4="產"),"婚(產)假",IF(R4="補","補休",IF(R4="休","休假",IF(R4="喪","喪假",IF(AND(R4="/",OR($A4=日期輸入!$B$23,$A4=日期輸入!$C$23,$A4=日期輸入!$D$23,$A4=日期輸入!$E$23,$A4=日期輸入!$F$23)),"08-18水電科",IF(R4="大日","大隊值日(日)",IF(R4="大夜","大隊值日(夜)",IF(R4="值1","值1(早)",IF(R4="值1丙","值1(早) 丙案",IF(R4="值2","值2(中)",IF(R4="值2乙","值2(中) 乙案",IF(R4="夜值","夜值(晚)",IF(R4="甲夜","夜值(晚) 甲案",IF(R4="備","08-18",IF(OR(R4="支援秘書室",R4="支援出納室",R4="支援警務科",R4="支援事務股"),"支援總(大)隊",IF(R4="支援檢疫所","支援(其他)",IF(  R4="/","空班",  IF(  R4="丙",  "※ 丙案",  IF(  R4="丙常訓",  "※ 丙案 常訓",R4  )))))))))))))))))))))))))</f>
        <v>輪休</v>
      </c>
      <c r="S44" s="271" t="str">
        <f>IF(S4="早","08-18",IF(S4="中","12-22",IF(S4="晚","22-08",IF(S4="X","輪休",IF(S4="公","公假",IF(OR(S4="病",S4="事"),"病(事)假",IF(OR(S4="婚",S4="產"),"婚(產)假",IF(S4="補","補休",IF(S4="休","休假",IF(S4="喪","喪假",IF(AND(S4="/",OR($A4=日期輸入!$B$23,$A4=日期輸入!$C$23,$A4=日期輸入!$D$23,$A4=日期輸入!$E$23,$A4=日期輸入!$F$23)),"08-18水電科",IF(S4="大日","大隊值日(日)",IF(S4="大夜","大隊值日(夜)",IF(S4="值1","值1(早)",IF(S4="值1丙","值1(早) 丙案",IF(S4="值2","值2(中)",IF(S4="值2乙","值2(中) 乙案",IF(S4="夜值","夜值(晚)",IF(S4="甲夜","夜值(晚) 甲案",IF(S4="備","08-18",IF(OR(S4="支援秘書室",S4="支援出納室",S4="支援警務科",S4="支援事務股"),"支援總(大)隊",IF(S4="支援檢疫所","支援(其他)",IF(  S4="/","空班",  IF(  S4="丙",  "※ 丙案",  IF(  S4="丙常訓",  "※ 丙案 常訓",S4  )))))))))))))))))))))))))</f>
        <v>值1(早)</v>
      </c>
      <c r="T44" s="271" t="str">
        <f>IF(T4="早","08-18",IF(T4="中","12-22",IF(T4="晚","22-08",IF(T4="X","輪休",IF(T4="公","公假",IF(OR(T4="病",T4="事"),"病(事)假",IF(OR(T4="婚",T4="產"),"婚(產)假",IF(T4="補","補休",IF(T4="休","休假",IF(T4="喪","喪假",IF(AND(T4="/",OR($A4=日期輸入!$B$23,$A4=日期輸入!$C$23,$A4=日期輸入!$D$23,$A4=日期輸入!$E$23,$A4=日期輸入!$F$23)),"08-18水電科",IF(T4="大日","大隊值日(日)",IF(T4="大夜","大隊值日(夜)",IF(T4="值1","值1(早)",IF(T4="值1丙","值1(早) 丙案",IF(T4="值2","值2(中)",IF(T4="值2乙","值2(中) 乙案",IF(T4="夜值","夜值(晚)",IF(T4="甲夜","夜值(晚) 甲案",IF(T4="備","08-18",IF(OR(T4="支援秘書室",T4="支援出納室",T4="支援警務科",T4="支援事務股"),"支援總(大)隊",IF(T4="支援檢疫所","支援(其他)",IF(  T4="/","空班",  IF(  T4="丙",  "※ 丙案",  IF(  T4="丙常訓",  "※ 丙案 常訓",T4  )))))))))))))))))))))))))</f>
        <v>值1(早)</v>
      </c>
      <c r="U44" s="271" t="str">
        <f>IF(U4="早","08-18",IF(U4="中","12-22",IF(U4="晚","22-08",IF(U4="X","輪休",IF(U4="公","公假",IF(OR(U4="病",U4="事"),"病(事)假",IF(OR(U4="婚",U4="產"),"婚(產)假",IF(U4="補","補休",IF(U4="休","休假",IF(U4="喪","喪假",IF(AND(U4="/",OR($A4=日期輸入!$B$23,$A4=日期輸入!$C$23,$A4=日期輸入!$D$23,$A4=日期輸入!$E$23,$A4=日期輸入!$F$23)),"08-18水電科",IF(U4="大日","大隊值日(日)",IF(U4="大夜","大隊值日(夜)",IF(U4="值1","值1(早)",IF(U4="值1丙","值1(早) 丙案",IF(U4="值2","值2(中)",IF(U4="值2乙","值2(中) 乙案",IF(U4="夜值","夜值(晚)",IF(U4="甲夜","夜值(晚) 甲案",IF(U4="備","08-18",IF(OR(U4="支援秘書室",U4="支援出納室",U4="支援警務科",U4="支援事務股"),"支援總(大)隊",IF(U4="支援檢疫所","支援(其他)",IF(  U4="/","空班",  IF(  U4="丙",  "※ 丙案",  IF(  U4="丙常訓",  "※ 丙案 常訓",U4  )))))))))))))))))))))))))</f>
        <v>值1(早)</v>
      </c>
      <c r="V44" s="271" t="str">
        <f>IF(V4="早","08-18",IF(V4="中","12-22",IF(V4="晚","22-08",IF(V4="X","輪休",IF(V4="公","公假",IF(OR(V4="病",V4="事"),"病(事)假",IF(OR(V4="婚",V4="產"),"婚(產)假",IF(V4="補","補休",IF(V4="休","休假",IF(V4="喪","喪假",IF(AND(V4="/",OR($A4=日期輸入!$B$23,$A4=日期輸入!$C$23,$A4=日期輸入!$D$23,$A4=日期輸入!$E$23,$A4=日期輸入!$F$23)),"08-18水電科",IF(V4="大日","大隊值日(日)",IF(V4="大夜","大隊值日(夜)",IF(V4="值1","值1(早)",IF(V4="值1丙","值1(早) 丙案",IF(V4="值2","值2(中)",IF(V4="值2乙","值2(中) 乙案",IF(V4="夜值","夜值(晚)",IF(V4="甲夜","夜值(晚) 甲案",IF(V4="備","08-18",IF(OR(V4="支援秘書室",V4="支援出納室",V4="支援警務科",V4="支援事務股"),"支援總(大)隊",IF(V4="支援檢疫所","支援(其他)",IF(  V4="/","空班",  IF(  V4="丙",  "※ 丙案",  IF(  V4="丙常訓",  "※ 丙案 常訓",V4  )))))))))))))))))))))))))</f>
        <v>值1(早)</v>
      </c>
      <c r="W44" s="271" t="str">
        <f>IF(W4="早","08-18",IF(W4="中","12-22",IF(W4="晚","22-08",IF(W4="X","輪休",IF(W4="公","公假",IF(OR(W4="病",W4="事"),"病(事)假",IF(OR(W4="婚",W4="產"),"婚(產)假",IF(W4="補","補休",IF(W4="休","休假",IF(W4="喪","喪假",IF(AND(W4="/",OR($A4=日期輸入!$B$23,$A4=日期輸入!$C$23,$A4=日期輸入!$D$23,$A4=日期輸入!$E$23,$A4=日期輸入!$F$23)),"08-18水電科",IF(W4="大日","大隊值日(日)",IF(W4="大夜","大隊值日(夜)",IF(W4="值1","值1(早)",IF(W4="值1丙","值1(早) 丙案",IF(W4="值2","值2(中)",IF(W4="值2乙","值2(中) 乙案",IF(W4="夜值","夜值(晚)",IF(W4="甲夜","夜值(晚) 甲案",IF(W4="備","08-18",IF(OR(W4="支援秘書室",W4="支援出納室",W4="支援警務科",W4="支援事務股"),"支援總(大)隊",IF(W4="支援檢疫所","支援(其他)",IF(  W4="/","空班",  IF(  W4="丙",  "※ 丙案",  IF(  W4="丙常訓",  "※ 丙案 常訓",W4  )))))))))))))))))))))))))</f>
        <v>值1(早)</v>
      </c>
      <c r="X44" s="271" t="str">
        <f>IF(X4="早","08-18",IF(X4="中","12-22",IF(X4="晚","22-08",IF(X4="X","輪休",IF(X4="公","公假",IF(OR(X4="病",X4="事"),"病(事)假",IF(OR(X4="婚",X4="產"),"婚(產)假",IF(X4="補","補休",IF(X4="休","休假",IF(X4="喪","喪假",IF(AND(X4="/",OR($A4=日期輸入!$B$23,$A4=日期輸入!$C$23,$A4=日期輸入!$D$23,$A4=日期輸入!$E$23,$A4=日期輸入!$F$23)),"08-18水電科",IF(X4="大日","大隊值日(日)",IF(X4="大夜","大隊值日(夜)",IF(X4="值1","值1(早)",IF(X4="值1丙","值1(早) 丙案",IF(X4="值2","值2(中)",IF(X4="值2乙","值2(中) 乙案",IF(X4="夜值","夜值(晚)",IF(X4="甲夜","夜值(晚) 甲案",IF(X4="備","08-18",IF(OR(X4="支援秘書室",X4="支援出納室",X4="支援警務科",X4="支援事務股"),"支援總(大)隊",IF(X4="支援檢疫所","支援(其他)",IF(  X4="/","空班",  IF(  X4="丙",  "※ 丙案",  IF(  X4="丙常訓",  "※ 丙案 常訓",X4  )))))))))))))))))))))))))</f>
        <v>值1(早)</v>
      </c>
      <c r="Y44" s="271" t="str">
        <f>IF(Y4="早","08-18",IF(Y4="中","12-22",IF(Y4="晚","22-08",IF(Y4="X","輪休",IF(Y4="公","公假",IF(OR(Y4="病",Y4="事"),"病(事)假",IF(OR(Y4="婚",Y4="產"),"婚(產)假",IF(Y4="補","補休",IF(Y4="休","休假",IF(Y4="喪","喪假",IF(AND(Y4="/",OR($A4=日期輸入!$B$23,$A4=日期輸入!$C$23,$A4=日期輸入!$D$23,$A4=日期輸入!$E$23,$A4=日期輸入!$F$23)),"08-18水電科",IF(Y4="大日","大隊值日(日)",IF(Y4="大夜","大隊值日(夜)",IF(Y4="值1","值1(早)",IF(Y4="值1丙","值1(早) 丙案",IF(Y4="值2","值2(中)",IF(Y4="值2乙","值2(中) 乙案",IF(Y4="夜值","夜值(晚)",IF(Y4="甲夜","夜值(晚) 甲案",IF(Y4="備","08-18",IF(OR(Y4="支援秘書室",Y4="支援出納室",Y4="支援警務科",Y4="支援事務股"),"支援總(大)隊",IF(Y4="支援檢疫所","支援(其他)",IF(  Y4="/","空班",  IF(  Y4="丙",  "※ 丙案",  IF(  Y4="丙常訓",  "※ 丙案 常訓",Y4  )))))))))))))))))))))))))</f>
        <v>值1(早)</v>
      </c>
      <c r="Z44" s="271" t="str">
        <f>IF(Z4="早","08-18",IF(Z4="中","12-22",IF(Z4="晚","22-08",IF(Z4="X","輪休",IF(Z4="公","公假",IF(OR(Z4="病",Z4="事"),"病(事)假",IF(OR(Z4="婚",Z4="產"),"婚(產)假",IF(Z4="補","補休",IF(Z4="休","休假",IF(Z4="喪","喪假",IF(AND(Z4="/",OR($A4=日期輸入!$B$23,$A4=日期輸入!$C$23,$A4=日期輸入!$D$23,$A4=日期輸入!$E$23,$A4=日期輸入!$F$23)),"08-18水電科",IF(Z4="大日","大隊值日(日)",IF(Z4="大夜","大隊值日(夜)",IF(Z4="值1","值1(早)",IF(Z4="值1丙","值1(早) 丙案",IF(Z4="值2","值2(中)",IF(Z4="值2乙","值2(中) 乙案",IF(Z4="夜值","夜值(晚)",IF(Z4="甲夜","夜值(晚) 甲案",IF(Z4="備","08-18",IF(OR(Z4="支援秘書室",Z4="支援出納室",Z4="支援警務科",Z4="支援事務股"),"支援總(大)隊",IF(Z4="支援檢疫所","支援(其他)",IF(  Z4="/","空班",  IF(  Z4="丙",  "※ 丙案",  IF(  Z4="丙常訓",  "※ 丙案 常訓",Z4  )))))))))))))))))))))))))</f>
        <v>值1(早)</v>
      </c>
      <c r="AA44" s="271" t="str">
        <f>IF(AA4="早","08-18",IF(AA4="中","12-22",IF(AA4="晚","22-08",IF(AA4="X","輪休",IF(AA4="公","公假",IF(OR(AA4="病",AA4="事"),"病(事)假",IF(OR(AA4="婚",AA4="產"),"婚(產)假",IF(AA4="補","補休",IF(AA4="休","休假",IF(AA4="喪","喪假",IF(AND(AA4="/",OR($A4=日期輸入!$B$23,$A4=日期輸入!$C$23,$A4=日期輸入!$D$23,$A4=日期輸入!$E$23,$A4=日期輸入!$F$23)),"08-18水電科",IF(AA4="大日","大隊值日(日)",IF(AA4="大夜","大隊值日(夜)",IF(AA4="值1","值1(早)",IF(AA4="值1丙","值1(早) 丙案",IF(AA4="值2","值2(中)",IF(AA4="值2乙","值2(中) 乙案",IF(AA4="夜值","夜值(晚)",IF(AA4="甲夜","夜值(晚) 甲案",IF(AA4="備","08-18",IF(OR(AA4="支援秘書室",AA4="支援出納室",AA4="支援警務科",AA4="支援事務股"),"支援總(大)隊",IF(AA4="支援檢疫所","支援(其他)",IF(  AA4="/","空班",  IF(  AA4="丙",  "※ 丙案",  IF(  AA4="丙常訓",  "※ 丙案 常訓",AA4  )))))))))))))))))))))))))</f>
        <v>值1(早)</v>
      </c>
      <c r="AB44" s="271" t="str">
        <f>IF(AB4="早","08-18",IF(AB4="中","12-22",IF(AB4="晚","22-08",IF(AB4="X","輪休",IF(AB4="公","公假",IF(OR(AB4="病",AB4="事"),"病(事)假",IF(OR(AB4="婚",AB4="產"),"婚(產)假",IF(AB4="補","補休",IF(AB4="休","休假",IF(AB4="喪","喪假",IF(AND(AB4="/",OR($A4=日期輸入!$B$23,$A4=日期輸入!$C$23,$A4=日期輸入!$D$23,$A4=日期輸入!$E$23,$A4=日期輸入!$F$23)),"08-18水電科",IF(AB4="大日","大隊值日(日)",IF(AB4="大夜","大隊值日(夜)",IF(AB4="值1","值1(早)",IF(AB4="值1丙","值1(早) 丙案",IF(AB4="值2","值2(中)",IF(AB4="值2乙","值2(中) 乙案",IF(AB4="夜值","夜值(晚)",IF(AB4="甲夜","夜值(晚) 甲案",IF(AB4="備","08-18",IF(OR(AB4="支援秘書室",AB4="支援出納室",AB4="支援警務科",AB4="支援事務股"),"支援總(大)隊",IF(AB4="支援檢疫所","支援(其他)",IF(  AB4="/","空班",  IF(  AB4="丙",  "※ 丙案",  IF(  AB4="丙常訓",  "※ 丙案 常訓",AB4  )))))))))))))))))))))))))</f>
        <v>值1(早)</v>
      </c>
      <c r="AC44" s="271" t="str">
        <f>IF(AC4="早","08-18",IF(AC4="中","12-22",IF(AC4="晚","22-08",IF(AC4="X","輪休",IF(AC4="公","公假",IF(OR(AC4="病",AC4="事"),"病(事)假",IF(OR(AC4="婚",AC4="產"),"婚(產)假",IF(AC4="補","補休",IF(AC4="休","休假",IF(AC4="喪","喪假",IF(AND(AC4="/",OR($A4=日期輸入!$B$23,$A4=日期輸入!$C$23,$A4=日期輸入!$D$23,$A4=日期輸入!$E$23,$A4=日期輸入!$F$23)),"08-18水電科",IF(AC4="大日","大隊值日(日)",IF(AC4="大夜","大隊值日(夜)",IF(AC4="值1","值1(早)",IF(AC4="值1丙","值1(早) 丙案",IF(AC4="值2","值2(中)",IF(AC4="值2乙","值2(中) 乙案",IF(AC4="夜值","夜值(晚)",IF(AC4="甲夜","夜值(晚) 甲案",IF(AC4="備","08-18",IF(OR(AC4="支援秘書室",AC4="支援出納室",AC4="支援警務科",AC4="支援事務股"),"支援總(大)隊",IF(AC4="支援檢疫所","支援(其他)",IF(  AC4="/","空班",  IF(  AC4="丙",  "※ 丙案",  IF(  AC4="丙常訓",  "※ 丙案 常訓",AC4  )))))))))))))))))))))))))</f>
        <v>值1(早)</v>
      </c>
      <c r="AD44" s="271" t="str">
        <f>IF(AD4="早","08-18",IF(AD4="中","12-22",IF(AD4="晚","22-08",IF(AD4="X","輪休",IF(AD4="公","公假",IF(OR(AD4="病",AD4="事"),"病(事)假",IF(OR(AD4="婚",AD4="產"),"婚(產)假",IF(AD4="補","補休",IF(AD4="休","休假",IF(AD4="喪","喪假",IF(AND(AD4="/",OR($A4=日期輸入!$B$23,$A4=日期輸入!$C$23,$A4=日期輸入!$D$23,$A4=日期輸入!$E$23,$A4=日期輸入!$F$23)),"08-18水電科",IF(AD4="大日","大隊值日(日)",IF(AD4="大夜","大隊值日(夜)",IF(AD4="值1","值1(早)",IF(AD4="值1丙","值1(早) 丙案",IF(AD4="值2","值2(中)",IF(AD4="值2乙","值2(中) 乙案",IF(AD4="夜值","夜值(晚)",IF(AD4="甲夜","夜值(晚) 甲案",IF(AD4="備","08-18",IF(OR(AD4="支援秘書室",AD4="支援出納室",AD4="支援警務科",AD4="支援事務股"),"支援總(大)隊",IF(AD4="支援檢疫所","支援(其他)",IF(  AD4="/","空班",  IF(  AD4="丙",  "※ 丙案",  IF(  AD4="丙常訓",  "※ 丙案 常訓",AD4  )))))))))))))))))))))))))</f>
        <v>值1(早)</v>
      </c>
      <c r="AE44" s="271" t="str">
        <f>IF(AE4="早","08-18",IF(AE4="中","12-22",IF(AE4="晚","22-08",IF(AE4="X","輪休",IF(AE4="公","公假",IF(OR(AE4="病",AE4="事"),"病(事)假",IF(OR(AE4="婚",AE4="產"),"婚(產)假",IF(AE4="補","補休",IF(AE4="休","休假",IF(AE4="喪","喪假",IF(AND(AE4="/",OR($A4=日期輸入!$B$23,$A4=日期輸入!$C$23,$A4=日期輸入!$D$23,$A4=日期輸入!$E$23,$A4=日期輸入!$F$23)),"08-18水電科",IF(AE4="大日","大隊值日(日)",IF(AE4="大夜","大隊值日(夜)",IF(AE4="值1","值1(早)",IF(AE4="值1丙","值1(早) 丙案",IF(AE4="值2","值2(中)",IF(AE4="值2乙","值2(中) 乙案",IF(AE4="夜值","夜值(晚)",IF(AE4="甲夜","夜值(晚) 甲案",IF(AE4="備","08-18",IF(OR(AE4="支援秘書室",AE4="支援出納室",AE4="支援警務科",AE4="支援事務股"),"支援總(大)隊",IF(AE4="支援檢疫所","支援(其他)",IF(  AE4="/","空班",  IF(  AE4="丙",  "※ 丙案",  IF(  AE4="丙常訓",  "※ 丙案 常訓",AE4  )))))))))))))))))))))))))</f>
        <v>值1(早)</v>
      </c>
      <c r="AF44" s="271" t="str">
        <f>IF(AF4="早","08-18",IF(AF4="中","12-22",IF(AF4="晚","22-08",IF(AF4="X","輪休",IF(AF4="公","公假",IF(OR(AF4="病",AF4="事"),"病(事)假",IF(OR(AF4="婚",AF4="產"),"婚(產)假",IF(AF4="補","補休",IF(AF4="休","休假",IF(AF4="喪","喪假",IF(AND(AF4="/",OR($A4=日期輸入!$B$23,$A4=日期輸入!$C$23,$A4=日期輸入!$D$23,$A4=日期輸入!$E$23,$A4=日期輸入!$F$23)),"08-18水電科",IF(AF4="大日","大隊值日(日)",IF(AF4="大夜","大隊值日(夜)",IF(AF4="值1","值1(早)",IF(AF4="值1丙","值1(早) 丙案",IF(AF4="值2","值2(中)",IF(AF4="值2乙","值2(中) 乙案",IF(AF4="夜值","夜值(晚)",IF(AF4="甲夜","夜值(晚) 甲案",IF(AF4="備","08-18",IF(OR(AF4="支援秘書室",AF4="支援出納室",AF4="支援警務科",AF4="支援事務股"),"支援總(大)隊",IF(AF4="支援檢疫所","支援(其他)",IF(  AF4="/","空班",  IF(  AF4="丙",  "※ 丙案",  IF(  AF4="丙常訓",  "※ 丙案 常訓",AF4  )))))))))))))))))))))))))</f>
        <v>值1(早)</v>
      </c>
      <c r="AG44" s="271" t="str">
        <f>IF(AG4="早","08-18",IF(AG4="中","12-22",IF(AG4="晚","22-08",IF(AG4="X","輪休",IF(AG4="公","公假",IF(OR(AG4="病",AG4="事"),"病(事)假",IF(OR(AG4="婚",AG4="產"),"婚(產)假",IF(AG4="補","補休",IF(AG4="休","休假",IF(AG4="喪","喪假",IF(AND(AG4="/",OR($A4=日期輸入!$B$23,$A4=日期輸入!$C$23,$A4=日期輸入!$D$23,$A4=日期輸入!$E$23,$A4=日期輸入!$F$23)),"08-18水電科",IF(AG4="大日","大隊值日(日)",IF(AG4="大夜","大隊值日(夜)",IF(AG4="值1","值1(早)",IF(AG4="值1丙","值1(早) 丙案",IF(AG4="值2","值2(中)",IF(AG4="值2乙","值2(中) 乙案",IF(AG4="夜值","夜值(晚)",IF(AG4="甲夜","夜值(晚) 甲案",IF(AG4="備","08-18",IF(OR(AG4="支援秘書室",AG4="支援出納室",AG4="支援警務科",AG4="支援事務股"),"支援總(大)隊",IF(AG4="支援檢疫所","支援(其他)",IF(  AG4="/","空班",  IF(  AG4="丙",  "※ 丙案",  IF(  AG4="丙常訓",  "※ 丙案 常訓",AG4  )))))))))))))))))))))))))</f>
        <v>值1(早)</v>
      </c>
    </row>
    <row r="45" spans="1:43">
      <c r="A45" s="271" t="str">
        <f t="shared" ref="A45:B45" si="4">A5</f>
        <v>F</v>
      </c>
      <c r="B45" s="271" t="str">
        <f t="shared" si="4"/>
        <v>李佳萱</v>
      </c>
      <c r="C45" s="271" t="str">
        <f>IF(C5="早","08-18",IF(C5="中","12-22",IF(C5="晚","22-08",IF(C5="X","輪休",IF(C5="公","公假",IF(OR(C5="病",C5="事"),"病(事)假",IF(OR(C5="婚",C5="產"),"婚(產)假",IF(C5="補","補休",IF(C5="休","休假",IF(C5="喪","喪假",IF(AND(C5="/",OR($A5=日期輸入!$B$23,$A5=日期輸入!$C$23,$A5=日期輸入!$D$23,$A5=日期輸入!$E$23,$A5=日期輸入!$F$23)),"08-18水電科",IF(C5="大日","大隊值日(日)",IF(C5="大夜","大隊值日(夜)",IF(C5="值1","值1(早)",IF(C5="值1丙","值1(早) 丙案",IF(C5="值2","值2(中)",IF(C5="值2乙","值2(中) 乙案",IF(C5="夜值","夜值(晚)",IF(C5="甲夜","夜值(晚) 甲案",IF(C5="備","08-18",IF(OR(C5="支援秘書室",C5="支援出納室",C5="支援警務科",C5="支援事務股"),"支援總(大)隊",IF(C5="支援檢疫所","支援(其他)",IF(  C5="/","空班",  IF(  C5="丙",  "※ 丙案",  IF(  C5="丙常訓",  "※ 丙案 常訓",C5  )))))))))))))))))))))))))</f>
        <v>育嬰假</v>
      </c>
      <c r="D45" s="271" t="str">
        <f>IF(D5="早","08-18",IF(D5="中","12-22",IF(D5="晚","22-08",IF(D5="X","輪休",IF(D5="公","公假",IF(OR(D5="病",D5="事"),"病(事)假",IF(OR(D5="婚",D5="產"),"婚(產)假",IF(D5="補","補休",IF(D5="休","休假",IF(D5="喪","喪假",IF(AND(D5="/",OR($A5=日期輸入!$B$23,$A5=日期輸入!$C$23,$A5=日期輸入!$D$23,$A5=日期輸入!$E$23,$A5=日期輸入!$F$23)),"08-18水電科",IF(D5="大日","大隊值日(日)",IF(D5="大夜","大隊值日(夜)",IF(D5="值1","值1(早)",IF(D5="值1丙","值1(早) 丙案",IF(D5="值2","值2(中)",IF(D5="值2乙","值2(中) 乙案",IF(D5="夜值","夜值(晚)",IF(D5="甲夜","夜值(晚) 甲案",IF(D5="備","08-18",IF(OR(D5="支援秘書室",D5="支援出納室",D5="支援警務科",D5="支援事務股"),"支援總(大)隊",IF(D5="支援檢疫所","支援(其他)",IF(  D5="/","空班",  IF(  D5="丙",  "※ 丙案",  IF(  D5="丙常訓",  "※ 丙案 常訓",D5  )))))))))))))))))))))))))</f>
        <v>育嬰假</v>
      </c>
      <c r="E45" s="271" t="str">
        <f>IF(E5="早","08-18",IF(E5="中","12-22",IF(E5="晚","22-08",IF(E5="X","輪休",IF(E5="公","公假",IF(OR(E5="病",E5="事"),"病(事)假",IF(OR(E5="婚",E5="產"),"婚(產)假",IF(E5="補","補休",IF(E5="休","休假",IF(E5="喪","喪假",IF(AND(E5="/",OR($A5=日期輸入!$B$23,$A5=日期輸入!$C$23,$A5=日期輸入!$D$23,$A5=日期輸入!$E$23,$A5=日期輸入!$F$23)),"08-18水電科",IF(E5="大日","大隊值日(日)",IF(E5="大夜","大隊值日(夜)",IF(E5="值1","值1(早)",IF(E5="值1丙","值1(早) 丙案",IF(E5="值2","值2(中)",IF(E5="值2乙","值2(中) 乙案",IF(E5="夜值","夜值(晚)",IF(E5="甲夜","夜值(晚) 甲案",IF(E5="備","08-18",IF(OR(E5="支援秘書室",E5="支援出納室",E5="支援警務科",E5="支援事務股"),"支援總(大)隊",IF(E5="支援檢疫所","支援(其他)",IF(  E5="/","空班",  IF(  E5="丙",  "※ 丙案",  IF(  E5="丙常訓",  "※ 丙案 常訓",E5  )))))))))))))))))))))))))</f>
        <v>育嬰假</v>
      </c>
      <c r="F45" s="271" t="str">
        <f>IF(F5="早","08-18",IF(F5="中","12-22",IF(F5="晚","22-08",IF(F5="X","輪休",IF(F5="公","公假",IF(OR(F5="病",F5="事"),"病(事)假",IF(OR(F5="婚",F5="產"),"婚(產)假",IF(F5="補","補休",IF(F5="休","休假",IF(F5="喪","喪假",IF(AND(F5="/",OR($A5=日期輸入!$B$23,$A5=日期輸入!$C$23,$A5=日期輸入!$D$23,$A5=日期輸入!$E$23,$A5=日期輸入!$F$23)),"08-18水電科",IF(F5="大日","大隊值日(日)",IF(F5="大夜","大隊值日(夜)",IF(F5="值1","值1(早)",IF(F5="值1丙","值1(早) 丙案",IF(F5="值2","值2(中)",IF(F5="值2乙","值2(中) 乙案",IF(F5="夜值","夜值(晚)",IF(F5="甲夜","夜值(晚) 甲案",IF(F5="備","08-18",IF(OR(F5="支援秘書室",F5="支援出納室",F5="支援警務科",F5="支援事務股"),"支援總(大)隊",IF(F5="支援檢疫所","支援(其他)",IF(  F5="/","空班",  IF(  F5="丙",  "※ 丙案",  IF(  F5="丙常訓",  "※ 丙案 常訓",F5  )))))))))))))))))))))))))</f>
        <v>育嬰假</v>
      </c>
      <c r="G45" s="271" t="str">
        <f>IF(G5="早","08-18",IF(G5="中","12-22",IF(G5="晚","22-08",IF(G5="X","輪休",IF(G5="公","公假",IF(OR(G5="病",G5="事"),"病(事)假",IF(OR(G5="婚",G5="產"),"婚(產)假",IF(G5="補","補休",IF(G5="休","休假",IF(G5="喪","喪假",IF(AND(G5="/",OR($A5=日期輸入!$B$23,$A5=日期輸入!$C$23,$A5=日期輸入!$D$23,$A5=日期輸入!$E$23,$A5=日期輸入!$F$23)),"08-18水電科",IF(G5="大日","大隊值日(日)",IF(G5="大夜","大隊值日(夜)",IF(G5="值1","值1(早)",IF(G5="值1丙","值1(早) 丙案",IF(G5="值2","值2(中)",IF(G5="值2乙","值2(中) 乙案",IF(G5="夜值","夜值(晚)",IF(G5="甲夜","夜值(晚) 甲案",IF(G5="備","08-18",IF(OR(G5="支援秘書室",G5="支援出納室",G5="支援警務科",G5="支援事務股"),"支援總(大)隊",IF(G5="支援檢疫所","支援(其他)",IF(  G5="/","空班",  IF(  G5="丙",  "※ 丙案",  IF(  G5="丙常訓",  "※ 丙案 常訓",G5  )))))))))))))))))))))))))</f>
        <v>育嬰假</v>
      </c>
      <c r="H45" s="271" t="str">
        <f>IF(H5="早","08-18",IF(H5="中","12-22",IF(H5="晚","22-08",IF(H5="X","輪休",IF(H5="公","公假",IF(OR(H5="病",H5="事"),"病(事)假",IF(OR(H5="婚",H5="產"),"婚(產)假",IF(H5="補","補休",IF(H5="休","休假",IF(H5="喪","喪假",IF(AND(H5="/",OR($A5=日期輸入!$B$23,$A5=日期輸入!$C$23,$A5=日期輸入!$D$23,$A5=日期輸入!$E$23,$A5=日期輸入!$F$23)),"08-18水電科",IF(H5="大日","大隊值日(日)",IF(H5="大夜","大隊值日(夜)",IF(H5="值1","值1(早)",IF(H5="值1丙","值1(早) 丙案",IF(H5="值2","值2(中)",IF(H5="值2乙","值2(中) 乙案",IF(H5="夜值","夜值(晚)",IF(H5="甲夜","夜值(晚) 甲案",IF(H5="備","08-18",IF(OR(H5="支援秘書室",H5="支援出納室",H5="支援警務科",H5="支援事務股"),"支援總(大)隊",IF(H5="支援檢疫所","支援(其他)",IF(  H5="/","空班",  IF(  H5="丙",  "※ 丙案",  IF(  H5="丙常訓",  "※ 丙案 常訓",H5  )))))))))))))))))))))))))</f>
        <v>育嬰假</v>
      </c>
      <c r="I45" s="271" t="str">
        <f>IF(I5="早","08-18",IF(I5="中","12-22",IF(I5="晚","22-08",IF(I5="X","輪休",IF(I5="公","公假",IF(OR(I5="病",I5="事"),"病(事)假",IF(OR(I5="婚",I5="產"),"婚(產)假",IF(I5="補","補休",IF(I5="休","休假",IF(I5="喪","喪假",IF(AND(I5="/",OR($A5=日期輸入!$B$23,$A5=日期輸入!$C$23,$A5=日期輸入!$D$23,$A5=日期輸入!$E$23,$A5=日期輸入!$F$23)),"08-18水電科",IF(I5="大日","大隊值日(日)",IF(I5="大夜","大隊值日(夜)",IF(I5="值1","值1(早)",IF(I5="值1丙","值1(早) 丙案",IF(I5="值2","值2(中)",IF(I5="值2乙","值2(中) 乙案",IF(I5="夜值","夜值(晚)",IF(I5="甲夜","夜值(晚) 甲案",IF(I5="備","08-18",IF(OR(I5="支援秘書室",I5="支援出納室",I5="支援警務科",I5="支援事務股"),"支援總(大)隊",IF(I5="支援檢疫所","支援(其他)",IF(  I5="/","空班",  IF(  I5="丙",  "※ 丙案",  IF(  I5="丙常訓",  "※ 丙案 常訓",I5  )))))))))))))))))))))))))</f>
        <v>育嬰假</v>
      </c>
      <c r="J45" s="271" t="str">
        <f>IF(J5="早","08-18",IF(J5="中","12-22",IF(J5="晚","22-08",IF(J5="X","輪休",IF(J5="公","公假",IF(OR(J5="病",J5="事"),"病(事)假",IF(OR(J5="婚",J5="產"),"婚(產)假",IF(J5="補","補休",IF(J5="休","休假",IF(J5="喪","喪假",IF(AND(J5="/",OR($A5=日期輸入!$B$23,$A5=日期輸入!$C$23,$A5=日期輸入!$D$23,$A5=日期輸入!$E$23,$A5=日期輸入!$F$23)),"08-18水電科",IF(J5="大日","大隊值日(日)",IF(J5="大夜","大隊值日(夜)",IF(J5="值1","值1(早)",IF(J5="值1丙","值1(早) 丙案",IF(J5="值2","值2(中)",IF(J5="值2乙","值2(中) 乙案",IF(J5="夜值","夜值(晚)",IF(J5="甲夜","夜值(晚) 甲案",IF(J5="備","08-18",IF(OR(J5="支援秘書室",J5="支援出納室",J5="支援警務科",J5="支援事務股"),"支援總(大)隊",IF(J5="支援檢疫所","支援(其他)",IF(  J5="/","空班",  IF(  J5="丙",  "※ 丙案",  IF(  J5="丙常訓",  "※ 丙案 常訓",J5  )))))))))))))))))))))))))</f>
        <v>育嬰假</v>
      </c>
      <c r="K45" s="271" t="str">
        <f>IF(K5="早","08-18",IF(K5="中","12-22",IF(K5="晚","22-08",IF(K5="X","輪休",IF(K5="公","公假",IF(OR(K5="病",K5="事"),"病(事)假",IF(OR(K5="婚",K5="產"),"婚(產)假",IF(K5="補","補休",IF(K5="休","休假",IF(K5="喪","喪假",IF(AND(K5="/",OR($A5=日期輸入!$B$23,$A5=日期輸入!$C$23,$A5=日期輸入!$D$23,$A5=日期輸入!$E$23,$A5=日期輸入!$F$23)),"08-18水電科",IF(K5="大日","大隊值日(日)",IF(K5="大夜","大隊值日(夜)",IF(K5="值1","值1(早)",IF(K5="值1丙","值1(早) 丙案",IF(K5="值2","值2(中)",IF(K5="值2乙","值2(中) 乙案",IF(K5="夜值","夜值(晚)",IF(K5="甲夜","夜值(晚) 甲案",IF(K5="備","08-18",IF(OR(K5="支援秘書室",K5="支援出納室",K5="支援警務科",K5="支援事務股"),"支援總(大)隊",IF(K5="支援檢疫所","支援(其他)",IF(  K5="/","空班",  IF(  K5="丙",  "※ 丙案",  IF(  K5="丙常訓",  "※ 丙案 常訓",K5  )))))))))))))))))))))))))</f>
        <v>育嬰假</v>
      </c>
      <c r="L45" s="271" t="str">
        <f>IF(L5="早","08-18",IF(L5="中","12-22",IF(L5="晚","22-08",IF(L5="X","輪休",IF(L5="公","公假",IF(OR(L5="病",L5="事"),"病(事)假",IF(OR(L5="婚",L5="產"),"婚(產)假",IF(L5="補","補休",IF(L5="休","休假",IF(L5="喪","喪假",IF(AND(L5="/",OR($A5=日期輸入!$B$23,$A5=日期輸入!$C$23,$A5=日期輸入!$D$23,$A5=日期輸入!$E$23,$A5=日期輸入!$F$23)),"08-18水電科",IF(L5="大日","大隊值日(日)",IF(L5="大夜","大隊值日(夜)",IF(L5="值1","值1(早)",IF(L5="值1丙","值1(早) 丙案",IF(L5="值2","值2(中)",IF(L5="值2乙","值2(中) 乙案",IF(L5="夜值","夜值(晚)",IF(L5="甲夜","夜值(晚) 甲案",IF(L5="備","08-18",IF(OR(L5="支援秘書室",L5="支援出納室",L5="支援警務科",L5="支援事務股"),"支援總(大)隊",IF(L5="支援檢疫所","支援(其他)",IF(  L5="/","空班",  IF(  L5="丙",  "※ 丙案",  IF(  L5="丙常訓",  "※ 丙案 常訓",L5  )))))))))))))))))))))))))</f>
        <v>育嬰假</v>
      </c>
      <c r="M45" s="271" t="str">
        <f>IF(M5="早","08-18",IF(M5="中","12-22",IF(M5="晚","22-08",IF(M5="X","輪休",IF(M5="公","公假",IF(OR(M5="病",M5="事"),"病(事)假",IF(OR(M5="婚",M5="產"),"婚(產)假",IF(M5="補","補休",IF(M5="休","休假",IF(M5="喪","喪假",IF(AND(M5="/",OR($A5=日期輸入!$B$23,$A5=日期輸入!$C$23,$A5=日期輸入!$D$23,$A5=日期輸入!$E$23,$A5=日期輸入!$F$23)),"08-18水電科",IF(M5="大日","大隊值日(日)",IF(M5="大夜","大隊值日(夜)",IF(M5="值1","值1(早)",IF(M5="值1丙","值1(早) 丙案",IF(M5="值2","值2(中)",IF(M5="值2乙","值2(中) 乙案",IF(M5="夜值","夜值(晚)",IF(M5="甲夜","夜值(晚) 甲案",IF(M5="備","08-18",IF(OR(M5="支援秘書室",M5="支援出納室",M5="支援警務科",M5="支援事務股"),"支援總(大)隊",IF(M5="支援檢疫所","支援(其他)",IF(  M5="/","空班",  IF(  M5="丙",  "※ 丙案",  IF(  M5="丙常訓",  "※ 丙案 常訓",M5  )))))))))))))))))))))))))</f>
        <v>育嬰假</v>
      </c>
      <c r="N45" s="271" t="str">
        <f>IF(N5="早","08-18",IF(N5="中","12-22",IF(N5="晚","22-08",IF(N5="X","輪休",IF(N5="公","公假",IF(OR(N5="病",N5="事"),"病(事)假",IF(OR(N5="婚",N5="產"),"婚(產)假",IF(N5="補","補休",IF(N5="休","休假",IF(N5="喪","喪假",IF(AND(N5="/",OR($A5=日期輸入!$B$23,$A5=日期輸入!$C$23,$A5=日期輸入!$D$23,$A5=日期輸入!$E$23,$A5=日期輸入!$F$23)),"08-18水電科",IF(N5="大日","大隊值日(日)",IF(N5="大夜","大隊值日(夜)",IF(N5="值1","值1(早)",IF(N5="值1丙","值1(早) 丙案",IF(N5="值2","值2(中)",IF(N5="值2乙","值2(中) 乙案",IF(N5="夜值","夜值(晚)",IF(N5="甲夜","夜值(晚) 甲案",IF(N5="備","08-18",IF(OR(N5="支援秘書室",N5="支援出納室",N5="支援警務科",N5="支援事務股"),"支援總(大)隊",IF(N5="支援檢疫所","支援(其他)",IF(  N5="/","空班",  IF(  N5="丙",  "※ 丙案",  IF(  N5="丙常訓",  "※ 丙案 常訓",N5  )))))))))))))))))))))))))</f>
        <v>育嬰假</v>
      </c>
      <c r="O45" s="271" t="str">
        <f>IF(O5="早","08-18",IF(O5="中","12-22",IF(O5="晚","22-08",IF(O5="X","輪休",IF(O5="公","公假",IF(OR(O5="病",O5="事"),"病(事)假",IF(OR(O5="婚",O5="產"),"婚(產)假",IF(O5="補","補休",IF(O5="休","休假",IF(O5="喪","喪假",IF(AND(O5="/",OR($A5=日期輸入!$B$23,$A5=日期輸入!$C$23,$A5=日期輸入!$D$23,$A5=日期輸入!$E$23,$A5=日期輸入!$F$23)),"08-18水電科",IF(O5="大日","大隊值日(日)",IF(O5="大夜","大隊值日(夜)",IF(O5="值1","值1(早)",IF(O5="值1丙","值1(早) 丙案",IF(O5="值2","值2(中)",IF(O5="值2乙","值2(中) 乙案",IF(O5="夜值","夜值(晚)",IF(O5="甲夜","夜值(晚) 甲案",IF(O5="備","08-18",IF(OR(O5="支援秘書室",O5="支援出納室",O5="支援警務科",O5="支援事務股"),"支援總(大)隊",IF(O5="支援檢疫所","支援(其他)",IF(  O5="/","空班",  IF(  O5="丙",  "※ 丙案",  IF(  O5="丙常訓",  "※ 丙案 常訓",O5  )))))))))))))))))))))))))</f>
        <v>育嬰假</v>
      </c>
      <c r="P45" s="271" t="str">
        <f>IF(P5="早","08-18",IF(P5="中","12-22",IF(P5="晚","22-08",IF(P5="X","輪休",IF(P5="公","公假",IF(OR(P5="病",P5="事"),"病(事)假",IF(OR(P5="婚",P5="產"),"婚(產)假",IF(P5="補","補休",IF(P5="休","休假",IF(P5="喪","喪假",IF(AND(P5="/",OR($A5=日期輸入!$B$23,$A5=日期輸入!$C$23,$A5=日期輸入!$D$23,$A5=日期輸入!$E$23,$A5=日期輸入!$F$23)),"08-18水電科",IF(P5="大日","大隊值日(日)",IF(P5="大夜","大隊值日(夜)",IF(P5="值1","值1(早)",IF(P5="值1丙","值1(早) 丙案",IF(P5="值2","值2(中)",IF(P5="值2乙","值2(中) 乙案",IF(P5="夜值","夜值(晚)",IF(P5="甲夜","夜值(晚) 甲案",IF(P5="備","08-18",IF(OR(P5="支援秘書室",P5="支援出納室",P5="支援警務科",P5="支援事務股"),"支援總(大)隊",IF(P5="支援檢疫所","支援(其他)",IF(  P5="/","空班",  IF(  P5="丙",  "※ 丙案",  IF(  P5="丙常訓",  "※ 丙案 常訓",P5  )))))))))))))))))))))))))</f>
        <v>育嬰假</v>
      </c>
      <c r="Q45" s="271" t="str">
        <f>IF(Q5="早","08-18",IF(Q5="中","12-22",IF(Q5="晚","22-08",IF(Q5="X","輪休",IF(Q5="公","公假",IF(OR(Q5="病",Q5="事"),"病(事)假",IF(OR(Q5="婚",Q5="產"),"婚(產)假",IF(Q5="補","補休",IF(Q5="休","休假",IF(Q5="喪","喪假",IF(AND(Q5="/",OR($A5=日期輸入!$B$23,$A5=日期輸入!$C$23,$A5=日期輸入!$D$23,$A5=日期輸入!$E$23,$A5=日期輸入!$F$23)),"08-18水電科",IF(Q5="大日","大隊值日(日)",IF(Q5="大夜","大隊值日(夜)",IF(Q5="值1","值1(早)",IF(Q5="值1丙","值1(早) 丙案",IF(Q5="值2","值2(中)",IF(Q5="值2乙","值2(中) 乙案",IF(Q5="夜值","夜值(晚)",IF(Q5="甲夜","夜值(晚) 甲案",IF(Q5="備","08-18",IF(OR(Q5="支援秘書室",Q5="支援出納室",Q5="支援警務科",Q5="支援事務股"),"支援總(大)隊",IF(Q5="支援檢疫所","支援(其他)",IF(  Q5="/","空班",  IF(  Q5="丙",  "※ 丙案",  IF(  Q5="丙常訓",  "※ 丙案 常訓",Q5  )))))))))))))))))))))))))</f>
        <v>育嬰假</v>
      </c>
      <c r="R45" s="271" t="str">
        <f>IF(R5="早","08-18",IF(R5="中","12-22",IF(R5="晚","22-08",IF(R5="X","輪休",IF(R5="公","公假",IF(OR(R5="病",R5="事"),"病(事)假",IF(OR(R5="婚",R5="產"),"婚(產)假",IF(R5="補","補休",IF(R5="休","休假",IF(R5="喪","喪假",IF(AND(R5="/",OR($A5=日期輸入!$B$23,$A5=日期輸入!$C$23,$A5=日期輸入!$D$23,$A5=日期輸入!$E$23,$A5=日期輸入!$F$23)),"08-18水電科",IF(R5="大日","大隊值日(日)",IF(R5="大夜","大隊值日(夜)",IF(R5="值1","值1(早)",IF(R5="值1丙","值1(早) 丙案",IF(R5="值2","值2(中)",IF(R5="值2乙","值2(中) 乙案",IF(R5="夜值","夜值(晚)",IF(R5="甲夜","夜值(晚) 甲案",IF(R5="備","08-18",IF(OR(R5="支援秘書室",R5="支援出納室",R5="支援警務科",R5="支援事務股"),"支援總(大)隊",IF(R5="支援檢疫所","支援(其他)",IF(  R5="/","空班",  IF(  R5="丙",  "※ 丙案",  IF(  R5="丙常訓",  "※ 丙案 常訓",R5  )))))))))))))))))))))))))</f>
        <v>育嬰假</v>
      </c>
      <c r="S45" s="271" t="str">
        <f>IF(S5="早","08-18",IF(S5="中","12-22",IF(S5="晚","22-08",IF(S5="X","輪休",IF(S5="公","公假",IF(OR(S5="病",S5="事"),"病(事)假",IF(OR(S5="婚",S5="產"),"婚(產)假",IF(S5="補","補休",IF(S5="休","休假",IF(S5="喪","喪假",IF(AND(S5="/",OR($A5=日期輸入!$B$23,$A5=日期輸入!$C$23,$A5=日期輸入!$D$23,$A5=日期輸入!$E$23,$A5=日期輸入!$F$23)),"08-18水電科",IF(S5="大日","大隊值日(日)",IF(S5="大夜","大隊值日(夜)",IF(S5="值1","值1(早)",IF(S5="值1丙","值1(早) 丙案",IF(S5="值2","值2(中)",IF(S5="值2乙","值2(中) 乙案",IF(S5="夜值","夜值(晚)",IF(S5="甲夜","夜值(晚) 甲案",IF(S5="備","08-18",IF(OR(S5="支援秘書室",S5="支援出納室",S5="支援警務科",S5="支援事務股"),"支援總(大)隊",IF(S5="支援檢疫所","支援(其他)",IF(  S5="/","空班",  IF(  S5="丙",  "※ 丙案",  IF(  S5="丙常訓",  "※ 丙案 常訓",S5  )))))))))))))))))))))))))</f>
        <v>育嬰假</v>
      </c>
      <c r="T45" s="271" t="str">
        <f>IF(T5="早","08-18",IF(T5="中","12-22",IF(T5="晚","22-08",IF(T5="X","輪休",IF(T5="公","公假",IF(OR(T5="病",T5="事"),"病(事)假",IF(OR(T5="婚",T5="產"),"婚(產)假",IF(T5="補","補休",IF(T5="休","休假",IF(T5="喪","喪假",IF(AND(T5="/",OR($A5=日期輸入!$B$23,$A5=日期輸入!$C$23,$A5=日期輸入!$D$23,$A5=日期輸入!$E$23,$A5=日期輸入!$F$23)),"08-18水電科",IF(T5="大日","大隊值日(日)",IF(T5="大夜","大隊值日(夜)",IF(T5="值1","值1(早)",IF(T5="值1丙","值1(早) 丙案",IF(T5="值2","值2(中)",IF(T5="值2乙","值2(中) 乙案",IF(T5="夜值","夜值(晚)",IF(T5="甲夜","夜值(晚) 甲案",IF(T5="備","08-18",IF(OR(T5="支援秘書室",T5="支援出納室",T5="支援警務科",T5="支援事務股"),"支援總(大)隊",IF(T5="支援檢疫所","支援(其他)",IF(  T5="/","空班",  IF(  T5="丙",  "※ 丙案",  IF(  T5="丙常訓",  "※ 丙案 常訓",T5  )))))))))))))))))))))))))</f>
        <v>育嬰假</v>
      </c>
      <c r="U45" s="271" t="str">
        <f>IF(U5="早","08-18",IF(U5="中","12-22",IF(U5="晚","22-08",IF(U5="X","輪休",IF(U5="公","公假",IF(OR(U5="病",U5="事"),"病(事)假",IF(OR(U5="婚",U5="產"),"婚(產)假",IF(U5="補","補休",IF(U5="休","休假",IF(U5="喪","喪假",IF(AND(U5="/",OR($A5=日期輸入!$B$23,$A5=日期輸入!$C$23,$A5=日期輸入!$D$23,$A5=日期輸入!$E$23,$A5=日期輸入!$F$23)),"08-18水電科",IF(U5="大日","大隊值日(日)",IF(U5="大夜","大隊值日(夜)",IF(U5="值1","值1(早)",IF(U5="值1丙","值1(早) 丙案",IF(U5="值2","值2(中)",IF(U5="值2乙","值2(中) 乙案",IF(U5="夜值","夜值(晚)",IF(U5="甲夜","夜值(晚) 甲案",IF(U5="備","08-18",IF(OR(U5="支援秘書室",U5="支援出納室",U5="支援警務科",U5="支援事務股"),"支援總(大)隊",IF(U5="支援檢疫所","支援(其他)",IF(  U5="/","空班",  IF(  U5="丙",  "※ 丙案",  IF(  U5="丙常訓",  "※ 丙案 常訓",U5  )))))))))))))))))))))))))</f>
        <v>育嬰假</v>
      </c>
      <c r="V45" s="271" t="str">
        <f>IF(V5="早","08-18",IF(V5="中","12-22",IF(V5="晚","22-08",IF(V5="X","輪休",IF(V5="公","公假",IF(OR(V5="病",V5="事"),"病(事)假",IF(OR(V5="婚",V5="產"),"婚(產)假",IF(V5="補","補休",IF(V5="休","休假",IF(V5="喪","喪假",IF(AND(V5="/",OR($A5=日期輸入!$B$23,$A5=日期輸入!$C$23,$A5=日期輸入!$D$23,$A5=日期輸入!$E$23,$A5=日期輸入!$F$23)),"08-18水電科",IF(V5="大日","大隊值日(日)",IF(V5="大夜","大隊值日(夜)",IF(V5="值1","值1(早)",IF(V5="值1丙","值1(早) 丙案",IF(V5="值2","值2(中)",IF(V5="值2乙","值2(中) 乙案",IF(V5="夜值","夜值(晚)",IF(V5="甲夜","夜值(晚) 甲案",IF(V5="備","08-18",IF(OR(V5="支援秘書室",V5="支援出納室",V5="支援警務科",V5="支援事務股"),"支援總(大)隊",IF(V5="支援檢疫所","支援(其他)",IF(  V5="/","空班",  IF(  V5="丙",  "※ 丙案",  IF(  V5="丙常訓",  "※ 丙案 常訓",V5  )))))))))))))))))))))))))</f>
        <v>育嬰假</v>
      </c>
      <c r="W45" s="271" t="str">
        <f>IF(W5="早","08-18",IF(W5="中","12-22",IF(W5="晚","22-08",IF(W5="X","輪休",IF(W5="公","公假",IF(OR(W5="病",W5="事"),"病(事)假",IF(OR(W5="婚",W5="產"),"婚(產)假",IF(W5="補","補休",IF(W5="休","休假",IF(W5="喪","喪假",IF(AND(W5="/",OR($A5=日期輸入!$B$23,$A5=日期輸入!$C$23,$A5=日期輸入!$D$23,$A5=日期輸入!$E$23,$A5=日期輸入!$F$23)),"08-18水電科",IF(W5="大日","大隊值日(日)",IF(W5="大夜","大隊值日(夜)",IF(W5="值1","值1(早)",IF(W5="值1丙","值1(早) 丙案",IF(W5="值2","值2(中)",IF(W5="值2乙","值2(中) 乙案",IF(W5="夜值","夜值(晚)",IF(W5="甲夜","夜值(晚) 甲案",IF(W5="備","08-18",IF(OR(W5="支援秘書室",W5="支援出納室",W5="支援警務科",W5="支援事務股"),"支援總(大)隊",IF(W5="支援檢疫所","支援(其他)",IF(  W5="/","空班",  IF(  W5="丙",  "※ 丙案",  IF(  W5="丙常訓",  "※ 丙案 常訓",W5  )))))))))))))))))))))))))</f>
        <v>育嬰假</v>
      </c>
      <c r="X45" s="271" t="str">
        <f>IF(X5="早","08-18",IF(X5="中","12-22",IF(X5="晚","22-08",IF(X5="X","輪休",IF(X5="公","公假",IF(OR(X5="病",X5="事"),"病(事)假",IF(OR(X5="婚",X5="產"),"婚(產)假",IF(X5="補","補休",IF(X5="休","休假",IF(X5="喪","喪假",IF(AND(X5="/",OR($A5=日期輸入!$B$23,$A5=日期輸入!$C$23,$A5=日期輸入!$D$23,$A5=日期輸入!$E$23,$A5=日期輸入!$F$23)),"08-18水電科",IF(X5="大日","大隊值日(日)",IF(X5="大夜","大隊值日(夜)",IF(X5="值1","值1(早)",IF(X5="值1丙","值1(早) 丙案",IF(X5="值2","值2(中)",IF(X5="值2乙","值2(中) 乙案",IF(X5="夜值","夜值(晚)",IF(X5="甲夜","夜值(晚) 甲案",IF(X5="備","08-18",IF(OR(X5="支援秘書室",X5="支援出納室",X5="支援警務科",X5="支援事務股"),"支援總(大)隊",IF(X5="支援檢疫所","支援(其他)",IF(  X5="/","空班",  IF(  X5="丙",  "※ 丙案",  IF(  X5="丙常訓",  "※ 丙案 常訓",X5  )))))))))))))))))))))))))</f>
        <v>育嬰假</v>
      </c>
      <c r="Y45" s="271" t="str">
        <f>IF(Y5="早","08-18",IF(Y5="中","12-22",IF(Y5="晚","22-08",IF(Y5="X","輪休",IF(Y5="公","公假",IF(OR(Y5="病",Y5="事"),"病(事)假",IF(OR(Y5="婚",Y5="產"),"婚(產)假",IF(Y5="補","補休",IF(Y5="休","休假",IF(Y5="喪","喪假",IF(AND(Y5="/",OR($A5=日期輸入!$B$23,$A5=日期輸入!$C$23,$A5=日期輸入!$D$23,$A5=日期輸入!$E$23,$A5=日期輸入!$F$23)),"08-18水電科",IF(Y5="大日","大隊值日(日)",IF(Y5="大夜","大隊值日(夜)",IF(Y5="值1","值1(早)",IF(Y5="值1丙","值1(早) 丙案",IF(Y5="值2","值2(中)",IF(Y5="值2乙","值2(中) 乙案",IF(Y5="夜值","夜值(晚)",IF(Y5="甲夜","夜值(晚) 甲案",IF(Y5="備","08-18",IF(OR(Y5="支援秘書室",Y5="支援出納室",Y5="支援警務科",Y5="支援事務股"),"支援總(大)隊",IF(Y5="支援檢疫所","支援(其他)",IF(  Y5="/","空班",  IF(  Y5="丙",  "※ 丙案",  IF(  Y5="丙常訓",  "※ 丙案 常訓",Y5  )))))))))))))))))))))))))</f>
        <v>育嬰假</v>
      </c>
      <c r="Z45" s="271" t="str">
        <f>IF(Z5="早","08-18",IF(Z5="中","12-22",IF(Z5="晚","22-08",IF(Z5="X","輪休",IF(Z5="公","公假",IF(OR(Z5="病",Z5="事"),"病(事)假",IF(OR(Z5="婚",Z5="產"),"婚(產)假",IF(Z5="補","補休",IF(Z5="休","休假",IF(Z5="喪","喪假",IF(AND(Z5="/",OR($A5=日期輸入!$B$23,$A5=日期輸入!$C$23,$A5=日期輸入!$D$23,$A5=日期輸入!$E$23,$A5=日期輸入!$F$23)),"08-18水電科",IF(Z5="大日","大隊值日(日)",IF(Z5="大夜","大隊值日(夜)",IF(Z5="值1","值1(早)",IF(Z5="值1丙","值1(早) 丙案",IF(Z5="值2","值2(中)",IF(Z5="值2乙","值2(中) 乙案",IF(Z5="夜值","夜值(晚)",IF(Z5="甲夜","夜值(晚) 甲案",IF(Z5="備","08-18",IF(OR(Z5="支援秘書室",Z5="支援出納室",Z5="支援警務科",Z5="支援事務股"),"支援總(大)隊",IF(Z5="支援檢疫所","支援(其他)",IF(  Z5="/","空班",  IF(  Z5="丙",  "※ 丙案",  IF(  Z5="丙常訓",  "※ 丙案 常訓",Z5  )))))))))))))))))))))))))</f>
        <v>育嬰假</v>
      </c>
      <c r="AA45" s="271" t="str">
        <f>IF(AA5="早","08-18",IF(AA5="中","12-22",IF(AA5="晚","22-08",IF(AA5="X","輪休",IF(AA5="公","公假",IF(OR(AA5="病",AA5="事"),"病(事)假",IF(OR(AA5="婚",AA5="產"),"婚(產)假",IF(AA5="補","補休",IF(AA5="休","休假",IF(AA5="喪","喪假",IF(AND(AA5="/",OR($A5=日期輸入!$B$23,$A5=日期輸入!$C$23,$A5=日期輸入!$D$23,$A5=日期輸入!$E$23,$A5=日期輸入!$F$23)),"08-18水電科",IF(AA5="大日","大隊值日(日)",IF(AA5="大夜","大隊值日(夜)",IF(AA5="值1","值1(早)",IF(AA5="值1丙","值1(早) 丙案",IF(AA5="值2","值2(中)",IF(AA5="值2乙","值2(中) 乙案",IF(AA5="夜值","夜值(晚)",IF(AA5="甲夜","夜值(晚) 甲案",IF(AA5="備","08-18",IF(OR(AA5="支援秘書室",AA5="支援出納室",AA5="支援警務科",AA5="支援事務股"),"支援總(大)隊",IF(AA5="支援檢疫所","支援(其他)",IF(  AA5="/","空班",  IF(  AA5="丙",  "※ 丙案",  IF(  AA5="丙常訓",  "※ 丙案 常訓",AA5  )))))))))))))))))))))))))</f>
        <v>育嬰假</v>
      </c>
      <c r="AB45" s="271" t="str">
        <f>IF(AB5="早","08-18",IF(AB5="中","12-22",IF(AB5="晚","22-08",IF(AB5="X","輪休",IF(AB5="公","公假",IF(OR(AB5="病",AB5="事"),"病(事)假",IF(OR(AB5="婚",AB5="產"),"婚(產)假",IF(AB5="補","補休",IF(AB5="休","休假",IF(AB5="喪","喪假",IF(AND(AB5="/",OR($A5=日期輸入!$B$23,$A5=日期輸入!$C$23,$A5=日期輸入!$D$23,$A5=日期輸入!$E$23,$A5=日期輸入!$F$23)),"08-18水電科",IF(AB5="大日","大隊值日(日)",IF(AB5="大夜","大隊值日(夜)",IF(AB5="值1","值1(早)",IF(AB5="值1丙","值1(早) 丙案",IF(AB5="值2","值2(中)",IF(AB5="值2乙","值2(中) 乙案",IF(AB5="夜值","夜值(晚)",IF(AB5="甲夜","夜值(晚) 甲案",IF(AB5="備","08-18",IF(OR(AB5="支援秘書室",AB5="支援出納室",AB5="支援警務科",AB5="支援事務股"),"支援總(大)隊",IF(AB5="支援檢疫所","支援(其他)",IF(  AB5="/","空班",  IF(  AB5="丙",  "※ 丙案",  IF(  AB5="丙常訓",  "※ 丙案 常訓",AB5  )))))))))))))))))))))))))</f>
        <v>育嬰假</v>
      </c>
      <c r="AC45" s="271" t="str">
        <f>IF(AC5="早","08-18",IF(AC5="中","12-22",IF(AC5="晚","22-08",IF(AC5="X","輪休",IF(AC5="公","公假",IF(OR(AC5="病",AC5="事"),"病(事)假",IF(OR(AC5="婚",AC5="產"),"婚(產)假",IF(AC5="補","補休",IF(AC5="休","休假",IF(AC5="喪","喪假",IF(AND(AC5="/",OR($A5=日期輸入!$B$23,$A5=日期輸入!$C$23,$A5=日期輸入!$D$23,$A5=日期輸入!$E$23,$A5=日期輸入!$F$23)),"08-18水電科",IF(AC5="大日","大隊值日(日)",IF(AC5="大夜","大隊值日(夜)",IF(AC5="值1","值1(早)",IF(AC5="值1丙","值1(早) 丙案",IF(AC5="值2","值2(中)",IF(AC5="值2乙","值2(中) 乙案",IF(AC5="夜值","夜值(晚)",IF(AC5="甲夜","夜值(晚) 甲案",IF(AC5="備","08-18",IF(OR(AC5="支援秘書室",AC5="支援出納室",AC5="支援警務科",AC5="支援事務股"),"支援總(大)隊",IF(AC5="支援檢疫所","支援(其他)",IF(  AC5="/","空班",  IF(  AC5="丙",  "※ 丙案",  IF(  AC5="丙常訓",  "※ 丙案 常訓",AC5  )))))))))))))))))))))))))</f>
        <v>育嬰假</v>
      </c>
      <c r="AD45" s="271" t="str">
        <f>IF(AD5="早","08-18",IF(AD5="中","12-22",IF(AD5="晚","22-08",IF(AD5="X","輪休",IF(AD5="公","公假",IF(OR(AD5="病",AD5="事"),"病(事)假",IF(OR(AD5="婚",AD5="產"),"婚(產)假",IF(AD5="補","補休",IF(AD5="休","休假",IF(AD5="喪","喪假",IF(AND(AD5="/",OR($A5=日期輸入!$B$23,$A5=日期輸入!$C$23,$A5=日期輸入!$D$23,$A5=日期輸入!$E$23,$A5=日期輸入!$F$23)),"08-18水電科",IF(AD5="大日","大隊值日(日)",IF(AD5="大夜","大隊值日(夜)",IF(AD5="值1","值1(早)",IF(AD5="值1丙","值1(早) 丙案",IF(AD5="值2","值2(中)",IF(AD5="值2乙","值2(中) 乙案",IF(AD5="夜值","夜值(晚)",IF(AD5="甲夜","夜值(晚) 甲案",IF(AD5="備","08-18",IF(OR(AD5="支援秘書室",AD5="支援出納室",AD5="支援警務科",AD5="支援事務股"),"支援總(大)隊",IF(AD5="支援檢疫所","支援(其他)",IF(  AD5="/","空班",  IF(  AD5="丙",  "※ 丙案",  IF(  AD5="丙常訓",  "※ 丙案 常訓",AD5  )))))))))))))))))))))))))</f>
        <v>育嬰假</v>
      </c>
      <c r="AE45" s="271" t="str">
        <f>IF(AE5="早","08-18",IF(AE5="中","12-22",IF(AE5="晚","22-08",IF(AE5="X","輪休",IF(AE5="公","公假",IF(OR(AE5="病",AE5="事"),"病(事)假",IF(OR(AE5="婚",AE5="產"),"婚(產)假",IF(AE5="補","補休",IF(AE5="休","休假",IF(AE5="喪","喪假",IF(AND(AE5="/",OR($A5=日期輸入!$B$23,$A5=日期輸入!$C$23,$A5=日期輸入!$D$23,$A5=日期輸入!$E$23,$A5=日期輸入!$F$23)),"08-18水電科",IF(AE5="大日","大隊值日(日)",IF(AE5="大夜","大隊值日(夜)",IF(AE5="值1","值1(早)",IF(AE5="值1丙","值1(早) 丙案",IF(AE5="值2","值2(中)",IF(AE5="值2乙","值2(中) 乙案",IF(AE5="夜值","夜值(晚)",IF(AE5="甲夜","夜值(晚) 甲案",IF(AE5="備","08-18",IF(OR(AE5="支援秘書室",AE5="支援出納室",AE5="支援警務科",AE5="支援事務股"),"支援總(大)隊",IF(AE5="支援檢疫所","支援(其他)",IF(  AE5="/","空班",  IF(  AE5="丙",  "※ 丙案",  IF(  AE5="丙常訓",  "※ 丙案 常訓",AE5  )))))))))))))))))))))))))</f>
        <v>育嬰假</v>
      </c>
      <c r="AF45" s="271" t="str">
        <f>IF(AF5="早","08-18",IF(AF5="中","12-22",IF(AF5="晚","22-08",IF(AF5="X","輪休",IF(AF5="公","公假",IF(OR(AF5="病",AF5="事"),"病(事)假",IF(OR(AF5="婚",AF5="產"),"婚(產)假",IF(AF5="補","補休",IF(AF5="休","休假",IF(AF5="喪","喪假",IF(AND(AF5="/",OR($A5=日期輸入!$B$23,$A5=日期輸入!$C$23,$A5=日期輸入!$D$23,$A5=日期輸入!$E$23,$A5=日期輸入!$F$23)),"08-18水電科",IF(AF5="大日","大隊值日(日)",IF(AF5="大夜","大隊值日(夜)",IF(AF5="值1","值1(早)",IF(AF5="值1丙","值1(早) 丙案",IF(AF5="值2","值2(中)",IF(AF5="值2乙","值2(中) 乙案",IF(AF5="夜值","夜值(晚)",IF(AF5="甲夜","夜值(晚) 甲案",IF(AF5="備","08-18",IF(OR(AF5="支援秘書室",AF5="支援出納室",AF5="支援警務科",AF5="支援事務股"),"支援總(大)隊",IF(AF5="支援檢疫所","支援(其他)",IF(  AF5="/","空班",  IF(  AF5="丙",  "※ 丙案",  IF(  AF5="丙常訓",  "※ 丙案 常訓",AF5  )))))))))))))))))))))))))</f>
        <v>育嬰假</v>
      </c>
      <c r="AG45" s="271" t="str">
        <f>IF(AG5="早","08-18",IF(AG5="中","12-22",IF(AG5="晚","22-08",IF(AG5="X","輪休",IF(AG5="公","公假",IF(OR(AG5="病",AG5="事"),"病(事)假",IF(OR(AG5="婚",AG5="產"),"婚(產)假",IF(AG5="補","補休",IF(AG5="休","休假",IF(AG5="喪","喪假",IF(AND(AG5="/",OR($A5=日期輸入!$B$23,$A5=日期輸入!$C$23,$A5=日期輸入!$D$23,$A5=日期輸入!$E$23,$A5=日期輸入!$F$23)),"08-18水電科",IF(AG5="大日","大隊值日(日)",IF(AG5="大夜","大隊值日(夜)",IF(AG5="值1","值1(早)",IF(AG5="值1丙","值1(早) 丙案",IF(AG5="值2","值2(中)",IF(AG5="值2乙","值2(中) 乙案",IF(AG5="夜值","夜值(晚)",IF(AG5="甲夜","夜值(晚) 甲案",IF(AG5="備","08-18",IF(OR(AG5="支援秘書室",AG5="支援出納室",AG5="支援警務科",AG5="支援事務股"),"支援總(大)隊",IF(AG5="支援檢疫所","支援(其他)",IF(  AG5="/","空班",  IF(  AG5="丙",  "※ 丙案",  IF(  AG5="丙常訓",  "※ 丙案 常訓",AG5  )))))))))))))))))))))))))</f>
        <v>育嬰假</v>
      </c>
    </row>
    <row r="46" spans="1:43">
      <c r="A46" s="271" t="str">
        <f t="shared" ref="A46:B46" si="5">A6</f>
        <v>I</v>
      </c>
      <c r="B46" s="271" t="str">
        <f t="shared" si="5"/>
        <v>王志鋒</v>
      </c>
      <c r="C46" s="271" t="str">
        <f>IF(C6="早","08-18",IF(C6="中","12-22",IF(C6="晚","22-08",IF(C6="X","輪休",IF(C6="公","公假",IF(OR(C6="病",C6="事"),"病(事)假",IF(OR(C6="婚",C6="產"),"婚(產)假",IF(C6="補","補休",IF(C6="休","休假",IF(C6="喪","喪假",IF(AND(C6="/",OR($A6=日期輸入!$B$23,$A6=日期輸入!$C$23,$A6=日期輸入!$D$23,$A6=日期輸入!$E$23,$A6=日期輸入!$F$23)),"08-18水電科",IF(C6="大日","大隊值日(日)",IF(C6="大夜","大隊值日(夜)",IF(C6="值1","值1(早)",IF(C6="值1丙","值1(早) 丙案",IF(C6="值2","值2(中)",IF(C6="值2乙","值2(中) 乙案",IF(C6="夜值","夜值(晚)",IF(C6="甲夜","夜值(晚) 甲案",IF(C6="備","08-18",IF(OR(C6="支援秘書室",C6="支援出納室",C6="支援警務科",C6="支援事務股"),"支援總(大)隊",IF(C6="支援檢疫所","支援(其他)",IF(  C6="/","空班",  IF(  C6="丙",  "※ 丙案",  IF(  C6="丙常訓",  "※ 丙案 常訓",C6  )))))))))))))))))))))))))</f>
        <v>值1(早)</v>
      </c>
      <c r="D46" s="271" t="str">
        <f>IF(D6="早","08-18",IF(D6="中","12-22",IF(D6="晚","22-08",IF(D6="X","輪休",IF(D6="公","公假",IF(OR(D6="病",D6="事"),"病(事)假",IF(OR(D6="婚",D6="產"),"婚(產)假",IF(D6="補","補休",IF(D6="休","休假",IF(D6="喪","喪假",IF(AND(D6="/",OR($A6=日期輸入!$B$23,$A6=日期輸入!$C$23,$A6=日期輸入!$D$23,$A6=日期輸入!$E$23,$A6=日期輸入!$F$23)),"08-18水電科",IF(D6="大日","大隊值日(日)",IF(D6="大夜","大隊值日(夜)",IF(D6="值1","值1(早)",IF(D6="值1丙","值1(早) 丙案",IF(D6="值2","值2(中)",IF(D6="值2乙","值2(中) 乙案",IF(D6="夜值","夜值(晚)",IF(D6="甲夜","夜值(晚) 甲案",IF(D6="備","08-18",IF(OR(D6="支援秘書室",D6="支援出納室",D6="支援警務科",D6="支援事務股"),"支援總(大)隊",IF(D6="支援檢疫所","支援(其他)",IF(  D6="/","空班",  IF(  D6="丙",  "※ 丙案",  IF(  D6="丙常訓",  "※ 丙案 常訓",D6  )))))))))))))))))))))))))</f>
        <v>值1(早)</v>
      </c>
      <c r="E46" s="271" t="str">
        <f>IF(E6="早","08-18",IF(E6="中","12-22",IF(E6="晚","22-08",IF(E6="X","輪休",IF(E6="公","公假",IF(OR(E6="病",E6="事"),"病(事)假",IF(OR(E6="婚",E6="產"),"婚(產)假",IF(E6="補","補休",IF(E6="休","休假",IF(E6="喪","喪假",IF(AND(E6="/",OR($A6=日期輸入!$B$23,$A6=日期輸入!$C$23,$A6=日期輸入!$D$23,$A6=日期輸入!$E$23,$A6=日期輸入!$F$23)),"08-18水電科",IF(E6="大日","大隊值日(日)",IF(E6="大夜","大隊值日(夜)",IF(E6="值1","值1(早)",IF(E6="值1丙","值1(早) 丙案",IF(E6="值2","值2(中)",IF(E6="值2乙","值2(中) 乙案",IF(E6="夜值","夜值(晚)",IF(E6="甲夜","夜值(晚) 甲案",IF(E6="備","08-18",IF(OR(E6="支援秘書室",E6="支援出納室",E6="支援警務科",E6="支援事務股"),"支援總(大)隊",IF(E6="支援檢疫所","支援(其他)",IF(  E6="/","空班",  IF(  E6="丙",  "※ 丙案",  IF(  E6="丙常訓",  "※ 丙案 常訓",E6  )))))))))))))))))))))))))</f>
        <v>大隊值日(夜)</v>
      </c>
      <c r="F46" s="271" t="str">
        <f>IF(F6="早","08-18",IF(F6="中","12-22",IF(F6="晚","22-08",IF(F6="X","輪休",IF(F6="公","公假",IF(OR(F6="病",F6="事"),"病(事)假",IF(OR(F6="婚",F6="產"),"婚(產)假",IF(F6="補","補休",IF(F6="休","休假",IF(F6="喪","喪假",IF(AND(F6="/",OR($A6=日期輸入!$B$23,$A6=日期輸入!$C$23,$A6=日期輸入!$D$23,$A6=日期輸入!$E$23,$A6=日期輸入!$F$23)),"08-18水電科",IF(F6="大日","大隊值日(日)",IF(F6="大夜","大隊值日(夜)",IF(F6="值1","值1(早)",IF(F6="值1丙","值1(早) 丙案",IF(F6="值2","值2(中)",IF(F6="值2乙","值2(中) 乙案",IF(F6="夜值","夜值(晚)",IF(F6="甲夜","夜值(晚) 甲案",IF(F6="備","08-18",IF(OR(F6="支援秘書室",F6="支援出納室",F6="支援警務科",F6="支援事務股"),"支援總(大)隊",IF(F6="支援檢疫所","支援(其他)",IF(  F6="/","空班",  IF(  F6="丙",  "※ 丙案",  IF(  F6="丙常訓",  "※ 丙案 常訓",F6  )))))))))))))))))))))))))</f>
        <v>輪休</v>
      </c>
      <c r="G46" s="271" t="str">
        <f>IF(G6="早","08-18",IF(G6="中","12-22",IF(G6="晚","22-08",IF(G6="X","輪休",IF(G6="公","公假",IF(OR(G6="病",G6="事"),"病(事)假",IF(OR(G6="婚",G6="產"),"婚(產)假",IF(G6="補","補休",IF(G6="休","休假",IF(G6="喪","喪假",IF(AND(G6="/",OR($A6=日期輸入!$B$23,$A6=日期輸入!$C$23,$A6=日期輸入!$D$23,$A6=日期輸入!$E$23,$A6=日期輸入!$F$23)),"08-18水電科",IF(G6="大日","大隊值日(日)",IF(G6="大夜","大隊值日(夜)",IF(G6="值1","值1(早)",IF(G6="值1丙","值1(早) 丙案",IF(G6="值2","值2(中)",IF(G6="值2乙","值2(中) 乙案",IF(G6="夜值","夜值(晚)",IF(G6="甲夜","夜值(晚) 甲案",IF(G6="備","08-18",IF(OR(G6="支援秘書室",G6="支援出納室",G6="支援警務科",G6="支援事務股"),"支援總(大)隊",IF(G6="支援檢疫所","支援(其他)",IF(  G6="/","空班",  IF(  G6="丙",  "※ 丙案",  IF(  G6="丙常訓",  "※ 丙案 常訓",G6  )))))))))))))))))))))))))</f>
        <v>輪休</v>
      </c>
      <c r="H46" s="271" t="str">
        <f>IF(H6="早","08-18",IF(H6="中","12-22",IF(H6="晚","22-08",IF(H6="X","輪休",IF(H6="公","公假",IF(OR(H6="病",H6="事"),"病(事)假",IF(OR(H6="婚",H6="產"),"婚(產)假",IF(H6="補","補休",IF(H6="休","休假",IF(H6="喪","喪假",IF(AND(H6="/",OR($A6=日期輸入!$B$23,$A6=日期輸入!$C$23,$A6=日期輸入!$D$23,$A6=日期輸入!$E$23,$A6=日期輸入!$F$23)),"08-18水電科",IF(H6="大日","大隊值日(日)",IF(H6="大夜","大隊值日(夜)",IF(H6="值1","值1(早)",IF(H6="值1丙","值1(早) 丙案",IF(H6="值2","值2(中)",IF(H6="值2乙","值2(中) 乙案",IF(H6="夜值","夜值(晚)",IF(H6="甲夜","夜值(晚) 甲案",IF(H6="備","08-18",IF(OR(H6="支援秘書室",H6="支援出納室",H6="支援警務科",H6="支援事務股"),"支援總(大)隊",IF(H6="支援檢疫所","支援(其他)",IF(  H6="/","空班",  IF(  H6="丙",  "※ 丙案",  IF(  H6="丙常訓",  "※ 丙案 常訓",H6  )))))))))))))))))))))))))</f>
        <v>輪休</v>
      </c>
      <c r="I46" s="271" t="str">
        <f>IF(I6="早","08-18",IF(I6="中","12-22",IF(I6="晚","22-08",IF(I6="X","輪休",IF(I6="公","公假",IF(OR(I6="病",I6="事"),"病(事)假",IF(OR(I6="婚",I6="產"),"婚(產)假",IF(I6="補","補休",IF(I6="休","休假",IF(I6="喪","喪假",IF(AND(I6="/",OR($A6=日期輸入!$B$23,$A6=日期輸入!$C$23,$A6=日期輸入!$D$23,$A6=日期輸入!$E$23,$A6=日期輸入!$F$23)),"08-18水電科",IF(I6="大日","大隊值日(日)",IF(I6="大夜","大隊值日(夜)",IF(I6="值1","值1(早)",IF(I6="值1丙","值1(早) 丙案",IF(I6="值2","值2(中)",IF(I6="值2乙","值2(中) 乙案",IF(I6="夜值","夜值(晚)",IF(I6="甲夜","夜值(晚) 甲案",IF(I6="備","08-18",IF(OR(I6="支援秘書室",I6="支援出納室",I6="支援警務科",I6="支援事務股"),"支援總(大)隊",IF(I6="支援檢疫所","支援(其他)",IF(  I6="/","空班",  IF(  I6="丙",  "※ 丙案",  IF(  I6="丙常訓",  "※ 丙案 常訓",I6  )))))))))))))))))))))))))</f>
        <v>輪休</v>
      </c>
      <c r="J46" s="271" t="str">
        <f>IF(J6="早","08-18",IF(J6="中","12-22",IF(J6="晚","22-08",IF(J6="X","輪休",IF(J6="公","公假",IF(OR(J6="病",J6="事"),"病(事)假",IF(OR(J6="婚",J6="產"),"婚(產)假",IF(J6="補","補休",IF(J6="休","休假",IF(J6="喪","喪假",IF(AND(J6="/",OR($A6=日期輸入!$B$23,$A6=日期輸入!$C$23,$A6=日期輸入!$D$23,$A6=日期輸入!$E$23,$A6=日期輸入!$F$23)),"08-18水電科",IF(J6="大日","大隊值日(日)",IF(J6="大夜","大隊值日(夜)",IF(J6="值1","值1(早)",IF(J6="值1丙","值1(早) 丙案",IF(J6="值2","值2(中)",IF(J6="值2乙","值2(中) 乙案",IF(J6="夜值","夜值(晚)",IF(J6="甲夜","夜值(晚) 甲案",IF(J6="備","08-18",IF(OR(J6="支援秘書室",J6="支援出納室",J6="支援警務科",J6="支援事務股"),"支援總(大)隊",IF(J6="支援檢疫所","支援(其他)",IF(  J6="/","空班",  IF(  J6="丙",  "※ 丙案",  IF(  J6="丙常訓",  "※ 丙案 常訓",J6  )))))))))))))))))))))))))</f>
        <v>輪休</v>
      </c>
      <c r="K46" s="271" t="str">
        <f>IF(K6="早","08-18",IF(K6="中","12-22",IF(K6="晚","22-08",IF(K6="X","輪休",IF(K6="公","公假",IF(OR(K6="病",K6="事"),"病(事)假",IF(OR(K6="婚",K6="產"),"婚(產)假",IF(K6="補","補休",IF(K6="休","休假",IF(K6="喪","喪假",IF(AND(K6="/",OR($A6=日期輸入!$B$23,$A6=日期輸入!$C$23,$A6=日期輸入!$D$23,$A6=日期輸入!$E$23,$A6=日期輸入!$F$23)),"08-18水電科",IF(K6="大日","大隊值日(日)",IF(K6="大夜","大隊值日(夜)",IF(K6="值1","值1(早)",IF(K6="值1丙","值1(早) 丙案",IF(K6="值2","值2(中)",IF(K6="值2乙","值2(中) 乙案",IF(K6="夜值","夜值(晚)",IF(K6="甲夜","夜值(晚) 甲案",IF(K6="備","08-18",IF(OR(K6="支援秘書室",K6="支援出納室",K6="支援警務科",K6="支援事務股"),"支援總(大)隊",IF(K6="支援檢疫所","支援(其他)",IF(  K6="/","空班",  IF(  K6="丙",  "※ 丙案",  IF(  K6="丙常訓",  "※ 丙案 常訓",K6  )))))))))))))))))))))))))</f>
        <v>輪休</v>
      </c>
      <c r="L46" s="271" t="str">
        <f>IF(L6="早","08-18",IF(L6="中","12-22",IF(L6="晚","22-08",IF(L6="X","輪休",IF(L6="公","公假",IF(OR(L6="病",L6="事"),"病(事)假",IF(OR(L6="婚",L6="產"),"婚(產)假",IF(L6="補","補休",IF(L6="休","休假",IF(L6="喪","喪假",IF(AND(L6="/",OR($A6=日期輸入!$B$23,$A6=日期輸入!$C$23,$A6=日期輸入!$D$23,$A6=日期輸入!$E$23,$A6=日期輸入!$F$23)),"08-18水電科",IF(L6="大日","大隊值日(日)",IF(L6="大夜","大隊值日(夜)",IF(L6="值1","值1(早)",IF(L6="值1丙","值1(早) 丙案",IF(L6="值2","值2(中)",IF(L6="值2乙","值2(中) 乙案",IF(L6="夜值","夜值(晚)",IF(L6="甲夜","夜值(晚) 甲案",IF(L6="備","08-18",IF(OR(L6="支援秘書室",L6="支援出納室",L6="支援警務科",L6="支援事務股"),"支援總(大)隊",IF(L6="支援檢疫所","支援(其他)",IF(  L6="/","空班",  IF(  L6="丙",  "※ 丙案",  IF(  L6="丙常訓",  "※ 丙案 常訓",L6  )))))))))))))))))))))))))</f>
        <v>輪休</v>
      </c>
      <c r="M46" s="271" t="str">
        <f>IF(M6="早","08-18",IF(M6="中","12-22",IF(M6="晚","22-08",IF(M6="X","輪休",IF(M6="公","公假",IF(OR(M6="病",M6="事"),"病(事)假",IF(OR(M6="婚",M6="產"),"婚(產)假",IF(M6="補","補休",IF(M6="休","休假",IF(M6="喪","喪假",IF(AND(M6="/",OR($A6=日期輸入!$B$23,$A6=日期輸入!$C$23,$A6=日期輸入!$D$23,$A6=日期輸入!$E$23,$A6=日期輸入!$F$23)),"08-18水電科",IF(M6="大日","大隊值日(日)",IF(M6="大夜","大隊值日(夜)",IF(M6="值1","值1(早)",IF(M6="值1丙","值1(早) 丙案",IF(M6="值2","值2(中)",IF(M6="值2乙","值2(中) 乙案",IF(M6="夜值","夜值(晚)",IF(M6="甲夜","夜值(晚) 甲案",IF(M6="備","08-18",IF(OR(M6="支援秘書室",M6="支援出納室",M6="支援警務科",M6="支援事務股"),"支援總(大)隊",IF(M6="支援檢疫所","支援(其他)",IF(  M6="/","空班",  IF(  M6="丙",  "※ 丙案",  IF(  M6="丙常訓",  "※ 丙案 常訓",M6  )))))))))))))))))))))))))</f>
        <v>輪休</v>
      </c>
      <c r="N46" s="271" t="str">
        <f>IF(N6="早","08-18",IF(N6="中","12-22",IF(N6="晚","22-08",IF(N6="X","輪休",IF(N6="公","公假",IF(OR(N6="病",N6="事"),"病(事)假",IF(OR(N6="婚",N6="產"),"婚(產)假",IF(N6="補","補休",IF(N6="休","休假",IF(N6="喪","喪假",IF(AND(N6="/",OR($A6=日期輸入!$B$23,$A6=日期輸入!$C$23,$A6=日期輸入!$D$23,$A6=日期輸入!$E$23,$A6=日期輸入!$F$23)),"08-18水電科",IF(N6="大日","大隊值日(日)",IF(N6="大夜","大隊值日(夜)",IF(N6="值1","值1(早)",IF(N6="值1丙","值1(早) 丙案",IF(N6="值2","值2(中)",IF(N6="值2乙","值2(中) 乙案",IF(N6="夜值","夜值(晚)",IF(N6="甲夜","夜值(晚) 甲案",IF(N6="備","08-18",IF(OR(N6="支援秘書室",N6="支援出納室",N6="支援警務科",N6="支援事務股"),"支援總(大)隊",IF(N6="支援檢疫所","支援(其他)",IF(  N6="/","空班",  IF(  N6="丙",  "※ 丙案",  IF(  N6="丙常訓",  "※ 丙案 常訓",N6  )))))))))))))))))))))))))</f>
        <v>輪休</v>
      </c>
      <c r="O46" s="271" t="str">
        <f>IF(O6="早","08-18",IF(O6="中","12-22",IF(O6="晚","22-08",IF(O6="X","輪休",IF(O6="公","公假",IF(OR(O6="病",O6="事"),"病(事)假",IF(OR(O6="婚",O6="產"),"婚(產)假",IF(O6="補","補休",IF(O6="休","休假",IF(O6="喪","喪假",IF(AND(O6="/",OR($A6=日期輸入!$B$23,$A6=日期輸入!$C$23,$A6=日期輸入!$D$23,$A6=日期輸入!$E$23,$A6=日期輸入!$F$23)),"08-18水電科",IF(O6="大日","大隊值日(日)",IF(O6="大夜","大隊值日(夜)",IF(O6="值1","值1(早)",IF(O6="值1丙","值1(早) 丙案",IF(O6="值2","值2(中)",IF(O6="值2乙","值2(中) 乙案",IF(O6="夜值","夜值(晚)",IF(O6="甲夜","夜值(晚) 甲案",IF(O6="備","08-18",IF(OR(O6="支援秘書室",O6="支援出納室",O6="支援警務科",O6="支援事務股"),"支援總(大)隊",IF(O6="支援檢疫所","支援(其他)",IF(  O6="/","空班",  IF(  O6="丙",  "※ 丙案",  IF(  O6="丙常訓",  "※ 丙案 常訓",O6  )))))))))))))))))))))))))</f>
        <v>輪休</v>
      </c>
      <c r="P46" s="271" t="str">
        <f>IF(P6="早","08-18",IF(P6="中","12-22",IF(P6="晚","22-08",IF(P6="X","輪休",IF(P6="公","公假",IF(OR(P6="病",P6="事"),"病(事)假",IF(OR(P6="婚",P6="產"),"婚(產)假",IF(P6="補","補休",IF(P6="休","休假",IF(P6="喪","喪假",IF(AND(P6="/",OR($A6=日期輸入!$B$23,$A6=日期輸入!$C$23,$A6=日期輸入!$D$23,$A6=日期輸入!$E$23,$A6=日期輸入!$F$23)),"08-18水電科",IF(P6="大日","大隊值日(日)",IF(P6="大夜","大隊值日(夜)",IF(P6="值1","值1(早)",IF(P6="值1丙","值1(早) 丙案",IF(P6="值2","值2(中)",IF(P6="值2乙","值2(中) 乙案",IF(P6="夜值","夜值(晚)",IF(P6="甲夜","夜值(晚) 甲案",IF(P6="備","08-18",IF(OR(P6="支援秘書室",P6="支援出納室",P6="支援警務科",P6="支援事務股"),"支援總(大)隊",IF(P6="支援檢疫所","支援(其他)",IF(  P6="/","空班",  IF(  P6="丙",  "※ 丙案",  IF(  P6="丙常訓",  "※ 丙案 常訓",P6  )))))))))))))))))))))))))</f>
        <v>輪休</v>
      </c>
      <c r="Q46" s="271" t="str">
        <f>IF(Q6="早","08-18",IF(Q6="中","12-22",IF(Q6="晚","22-08",IF(Q6="X","輪休",IF(Q6="公","公假",IF(OR(Q6="病",Q6="事"),"病(事)假",IF(OR(Q6="婚",Q6="產"),"婚(產)假",IF(Q6="補","補休",IF(Q6="休","休假",IF(Q6="喪","喪假",IF(AND(Q6="/",OR($A6=日期輸入!$B$23,$A6=日期輸入!$C$23,$A6=日期輸入!$D$23,$A6=日期輸入!$E$23,$A6=日期輸入!$F$23)),"08-18水電科",IF(Q6="大日","大隊值日(日)",IF(Q6="大夜","大隊值日(夜)",IF(Q6="值1","值1(早)",IF(Q6="值1丙","值1(早) 丙案",IF(Q6="值2","值2(中)",IF(Q6="值2乙","值2(中) 乙案",IF(Q6="夜值","夜值(晚)",IF(Q6="甲夜","夜值(晚) 甲案",IF(Q6="備","08-18",IF(OR(Q6="支援秘書室",Q6="支援出納室",Q6="支援警務科",Q6="支援事務股"),"支援總(大)隊",IF(Q6="支援檢疫所","支援(其他)",IF(  Q6="/","空班",  IF(  Q6="丙",  "※ 丙案",  IF(  Q6="丙常訓",  "※ 丙案 常訓",Q6  )))))))))))))))))))))))))</f>
        <v>輪休</v>
      </c>
      <c r="R46" s="271" t="str">
        <f>IF(R6="早","08-18",IF(R6="中","12-22",IF(R6="晚","22-08",IF(R6="X","輪休",IF(R6="公","公假",IF(OR(R6="病",R6="事"),"病(事)假",IF(OR(R6="婚",R6="產"),"婚(產)假",IF(R6="補","補休",IF(R6="休","休假",IF(R6="喪","喪假",IF(AND(R6="/",OR($A6=日期輸入!$B$23,$A6=日期輸入!$C$23,$A6=日期輸入!$D$23,$A6=日期輸入!$E$23,$A6=日期輸入!$F$23)),"08-18水電科",IF(R6="大日","大隊值日(日)",IF(R6="大夜","大隊值日(夜)",IF(R6="值1","值1(早)",IF(R6="值1丙","值1(早) 丙案",IF(R6="值2","值2(中)",IF(R6="值2乙","值2(中) 乙案",IF(R6="夜值","夜值(晚)",IF(R6="甲夜","夜值(晚) 甲案",IF(R6="備","08-18",IF(OR(R6="支援秘書室",R6="支援出納室",R6="支援警務科",R6="支援事務股"),"支援總(大)隊",IF(R6="支援檢疫所","支援(其他)",IF(  R6="/","空班",  IF(  R6="丙",  "※ 丙案",  IF(  R6="丙常訓",  "※ 丙案 常訓",R6  )))))))))))))))))))))))))</f>
        <v>夜值(晚)</v>
      </c>
      <c r="S46" s="271" t="str">
        <f>IF(S6="早","08-18",IF(S6="中","12-22",IF(S6="晚","22-08",IF(S6="X","輪休",IF(S6="公","公假",IF(OR(S6="病",S6="事"),"病(事)假",IF(OR(S6="婚",S6="產"),"婚(產)假",IF(S6="補","補休",IF(S6="休","休假",IF(S6="喪","喪假",IF(AND(S6="/",OR($A6=日期輸入!$B$23,$A6=日期輸入!$C$23,$A6=日期輸入!$D$23,$A6=日期輸入!$E$23,$A6=日期輸入!$F$23)),"08-18水電科",IF(S6="大日","大隊值日(日)",IF(S6="大夜","大隊值日(夜)",IF(S6="值1","值1(早)",IF(S6="值1丙","值1(早) 丙案",IF(S6="值2","值2(中)",IF(S6="值2乙","值2(中) 乙案",IF(S6="夜值","夜值(晚)",IF(S6="甲夜","夜值(晚) 甲案",IF(S6="備","08-18",IF(OR(S6="支援秘書室",S6="支援出納室",S6="支援警務科",S6="支援事務股"),"支援總(大)隊",IF(S6="支援檢疫所","支援(其他)",IF(  S6="/","空班",  IF(  S6="丙",  "※ 丙案",  IF(  S6="丙常訓",  "※ 丙案 常訓",S6  )))))))))))))))))))))))))</f>
        <v>輪休</v>
      </c>
      <c r="T46" s="271" t="str">
        <f>IF(T6="早","08-18",IF(T6="中","12-22",IF(T6="晚","22-08",IF(T6="X","輪休",IF(T6="公","公假",IF(OR(T6="病",T6="事"),"病(事)假",IF(OR(T6="婚",T6="產"),"婚(產)假",IF(T6="補","補休",IF(T6="休","休假",IF(T6="喪","喪假",IF(AND(T6="/",OR($A6=日期輸入!$B$23,$A6=日期輸入!$C$23,$A6=日期輸入!$D$23,$A6=日期輸入!$E$23,$A6=日期輸入!$F$23)),"08-18水電科",IF(T6="大日","大隊值日(日)",IF(T6="大夜","大隊值日(夜)",IF(T6="值1","值1(早)",IF(T6="值1丙","值1(早) 丙案",IF(T6="值2","值2(中)",IF(T6="值2乙","值2(中) 乙案",IF(T6="夜值","夜值(晚)",IF(T6="甲夜","夜值(晚) 甲案",IF(T6="備","08-18",IF(OR(T6="支援秘書室",T6="支援出納室",T6="支援警務科",T6="支援事務股"),"支援總(大)隊",IF(T6="支援檢疫所","支援(其他)",IF(  T6="/","空班",  IF(  T6="丙",  "※ 丙案",  IF(  T6="丙常訓",  "※ 丙案 常訓",T6  )))))))))))))))))))))))))</f>
        <v>輪休</v>
      </c>
      <c r="U46" s="271" t="str">
        <f>IF(U6="早","08-18",IF(U6="中","12-22",IF(U6="晚","22-08",IF(U6="X","輪休",IF(U6="公","公假",IF(OR(U6="病",U6="事"),"病(事)假",IF(OR(U6="婚",U6="產"),"婚(產)假",IF(U6="補","補休",IF(U6="休","休假",IF(U6="喪","喪假",IF(AND(U6="/",OR($A6=日期輸入!$B$23,$A6=日期輸入!$C$23,$A6=日期輸入!$D$23,$A6=日期輸入!$E$23,$A6=日期輸入!$F$23)),"08-18水電科",IF(U6="大日","大隊值日(日)",IF(U6="大夜","大隊值日(夜)",IF(U6="值1","值1(早)",IF(U6="值1丙","值1(早) 丙案",IF(U6="值2","值2(中)",IF(U6="值2乙","值2(中) 乙案",IF(U6="夜值","夜值(晚)",IF(U6="甲夜","夜值(晚) 甲案",IF(U6="備","08-18",IF(OR(U6="支援秘書室",U6="支援出納室",U6="支援警務科",U6="支援事務股"),"支援總(大)隊",IF(U6="支援檢疫所","支援(其他)",IF(  U6="/","空班",  IF(  U6="丙",  "※ 丙案",  IF(  U6="丙常訓",  "※ 丙案 常訓",U6  )))))))))))))))))))))))))</f>
        <v>輪休</v>
      </c>
      <c r="V46" s="271" t="str">
        <f>IF(V6="早","08-18",IF(V6="中","12-22",IF(V6="晚","22-08",IF(V6="X","輪休",IF(V6="公","公假",IF(OR(V6="病",V6="事"),"病(事)假",IF(OR(V6="婚",V6="產"),"婚(產)假",IF(V6="補","補休",IF(V6="休","休假",IF(V6="喪","喪假",IF(AND(V6="/",OR($A6=日期輸入!$B$23,$A6=日期輸入!$C$23,$A6=日期輸入!$D$23,$A6=日期輸入!$E$23,$A6=日期輸入!$F$23)),"08-18水電科",IF(V6="大日","大隊值日(日)",IF(V6="大夜","大隊值日(夜)",IF(V6="值1","值1(早)",IF(V6="值1丙","值1(早) 丙案",IF(V6="值2","值2(中)",IF(V6="值2乙","值2(中) 乙案",IF(V6="夜值","夜值(晚)",IF(V6="甲夜","夜值(晚) 甲案",IF(V6="備","08-18",IF(OR(V6="支援秘書室",V6="支援出納室",V6="支援警務科",V6="支援事務股"),"支援總(大)隊",IF(V6="支援檢疫所","支援(其他)",IF(  V6="/","空班",  IF(  V6="丙",  "※ 丙案",  IF(  V6="丙常訓",  "※ 丙案 常訓",V6  )))))))))))))))))))))))))</f>
        <v>輪休</v>
      </c>
      <c r="W46" s="271" t="str">
        <f>IF(W6="早","08-18",IF(W6="中","12-22",IF(W6="晚","22-08",IF(W6="X","輪休",IF(W6="公","公假",IF(OR(W6="病",W6="事"),"病(事)假",IF(OR(W6="婚",W6="產"),"婚(產)假",IF(W6="補","補休",IF(W6="休","休假",IF(W6="喪","喪假",IF(AND(W6="/",OR($A6=日期輸入!$B$23,$A6=日期輸入!$C$23,$A6=日期輸入!$D$23,$A6=日期輸入!$E$23,$A6=日期輸入!$F$23)),"08-18水電科",IF(W6="大日","大隊值日(日)",IF(W6="大夜","大隊值日(夜)",IF(W6="值1","值1(早)",IF(W6="值1丙","值1(早) 丙案",IF(W6="值2","值2(中)",IF(W6="值2乙","值2(中) 乙案",IF(W6="夜值","夜值(晚)",IF(W6="甲夜","夜值(晚) 甲案",IF(W6="備","08-18",IF(OR(W6="支援秘書室",W6="支援出納室",W6="支援警務科",W6="支援事務股"),"支援總(大)隊",IF(W6="支援檢疫所","支援(其他)",IF(  W6="/","空班",  IF(  W6="丙",  "※ 丙案",  IF(  W6="丙常訓",  "※ 丙案 常訓",W6  )))))))))))))))))))))))))</f>
        <v>輪休</v>
      </c>
      <c r="X46" s="271" t="str">
        <f>IF(X6="早","08-18",IF(X6="中","12-22",IF(X6="晚","22-08",IF(X6="X","輪休",IF(X6="公","公假",IF(OR(X6="病",X6="事"),"病(事)假",IF(OR(X6="婚",X6="產"),"婚(產)假",IF(X6="補","補休",IF(X6="休","休假",IF(X6="喪","喪假",IF(AND(X6="/",OR($A6=日期輸入!$B$23,$A6=日期輸入!$C$23,$A6=日期輸入!$D$23,$A6=日期輸入!$E$23,$A6=日期輸入!$F$23)),"08-18水電科",IF(X6="大日","大隊值日(日)",IF(X6="大夜","大隊值日(夜)",IF(X6="值1","值1(早)",IF(X6="值1丙","值1(早) 丙案",IF(X6="值2","值2(中)",IF(X6="值2乙","值2(中) 乙案",IF(X6="夜值","夜值(晚)",IF(X6="甲夜","夜值(晚) 甲案",IF(X6="備","08-18",IF(OR(X6="支援秘書室",X6="支援出納室",X6="支援警務科",X6="支援事務股"),"支援總(大)隊",IF(X6="支援檢疫所","支援(其他)",IF(  X6="/","空班",  IF(  X6="丙",  "※ 丙案",  IF(  X6="丙常訓",  "※ 丙案 常訓",X6  )))))))))))))))))))))))))</f>
        <v>輪休</v>
      </c>
      <c r="Y46" s="271" t="str">
        <f>IF(Y6="早","08-18",IF(Y6="中","12-22",IF(Y6="晚","22-08",IF(Y6="X","輪休",IF(Y6="公","公假",IF(OR(Y6="病",Y6="事"),"病(事)假",IF(OR(Y6="婚",Y6="產"),"婚(產)假",IF(Y6="補","補休",IF(Y6="休","休假",IF(Y6="喪","喪假",IF(AND(Y6="/",OR($A6=日期輸入!$B$23,$A6=日期輸入!$C$23,$A6=日期輸入!$D$23,$A6=日期輸入!$E$23,$A6=日期輸入!$F$23)),"08-18水電科",IF(Y6="大日","大隊值日(日)",IF(Y6="大夜","大隊值日(夜)",IF(Y6="值1","值1(早)",IF(Y6="值1丙","值1(早) 丙案",IF(Y6="值2","值2(中)",IF(Y6="值2乙","值2(中) 乙案",IF(Y6="夜值","夜值(晚)",IF(Y6="甲夜","夜值(晚) 甲案",IF(Y6="備","08-18",IF(OR(Y6="支援秘書室",Y6="支援出納室",Y6="支援警務科",Y6="支援事務股"),"支援總(大)隊",IF(Y6="支援檢疫所","支援(其他)",IF(  Y6="/","空班",  IF(  Y6="丙",  "※ 丙案",  IF(  Y6="丙常訓",  "※ 丙案 常訓",Y6  )))))))))))))))))))))))))</f>
        <v>輪休</v>
      </c>
      <c r="Z46" s="271" t="str">
        <f>IF(Z6="早","08-18",IF(Z6="中","12-22",IF(Z6="晚","22-08",IF(Z6="X","輪休",IF(Z6="公","公假",IF(OR(Z6="病",Z6="事"),"病(事)假",IF(OR(Z6="婚",Z6="產"),"婚(產)假",IF(Z6="補","補休",IF(Z6="休","休假",IF(Z6="喪","喪假",IF(AND(Z6="/",OR($A6=日期輸入!$B$23,$A6=日期輸入!$C$23,$A6=日期輸入!$D$23,$A6=日期輸入!$E$23,$A6=日期輸入!$F$23)),"08-18水電科",IF(Z6="大日","大隊值日(日)",IF(Z6="大夜","大隊值日(夜)",IF(Z6="值1","值1(早)",IF(Z6="值1丙","值1(早) 丙案",IF(Z6="值2","值2(中)",IF(Z6="值2乙","值2(中) 乙案",IF(Z6="夜值","夜值(晚)",IF(Z6="甲夜","夜值(晚) 甲案",IF(Z6="備","08-18",IF(OR(Z6="支援秘書室",Z6="支援出納室",Z6="支援警務科",Z6="支援事務股"),"支援總(大)隊",IF(Z6="支援檢疫所","支援(其他)",IF(  Z6="/","空班",  IF(  Z6="丙",  "※ 丙案",  IF(  Z6="丙常訓",  "※ 丙案 常訓",Z6  )))))))))))))))))))))))))</f>
        <v>輪休</v>
      </c>
      <c r="AA46" s="271" t="str">
        <f>IF(AA6="早","08-18",IF(AA6="中","12-22",IF(AA6="晚","22-08",IF(AA6="X","輪休",IF(AA6="公","公假",IF(OR(AA6="病",AA6="事"),"病(事)假",IF(OR(AA6="婚",AA6="產"),"婚(產)假",IF(AA6="補","補休",IF(AA6="休","休假",IF(AA6="喪","喪假",IF(AND(AA6="/",OR($A6=日期輸入!$B$23,$A6=日期輸入!$C$23,$A6=日期輸入!$D$23,$A6=日期輸入!$E$23,$A6=日期輸入!$F$23)),"08-18水電科",IF(AA6="大日","大隊值日(日)",IF(AA6="大夜","大隊值日(夜)",IF(AA6="值1","值1(早)",IF(AA6="值1丙","值1(早) 丙案",IF(AA6="值2","值2(中)",IF(AA6="值2乙","值2(中) 乙案",IF(AA6="夜值","夜值(晚)",IF(AA6="甲夜","夜值(晚) 甲案",IF(AA6="備","08-18",IF(OR(AA6="支援秘書室",AA6="支援出納室",AA6="支援警務科",AA6="支援事務股"),"支援總(大)隊",IF(AA6="支援檢疫所","支援(其他)",IF(  AA6="/","空班",  IF(  AA6="丙",  "※ 丙案",  IF(  AA6="丙常訓",  "※ 丙案 常訓",AA6  )))))))))))))))))))))))))</f>
        <v>輪休</v>
      </c>
      <c r="AB46" s="271" t="str">
        <f>IF(AB6="早","08-18",IF(AB6="中","12-22",IF(AB6="晚","22-08",IF(AB6="X","輪休",IF(AB6="公","公假",IF(OR(AB6="病",AB6="事"),"病(事)假",IF(OR(AB6="婚",AB6="產"),"婚(產)假",IF(AB6="補","補休",IF(AB6="休","休假",IF(AB6="喪","喪假",IF(AND(AB6="/",OR($A6=日期輸入!$B$23,$A6=日期輸入!$C$23,$A6=日期輸入!$D$23,$A6=日期輸入!$E$23,$A6=日期輸入!$F$23)),"08-18水電科",IF(AB6="大日","大隊值日(日)",IF(AB6="大夜","大隊值日(夜)",IF(AB6="值1","值1(早)",IF(AB6="值1丙","值1(早) 丙案",IF(AB6="值2","值2(中)",IF(AB6="值2乙","值2(中) 乙案",IF(AB6="夜值","夜值(晚)",IF(AB6="甲夜","夜值(晚) 甲案",IF(AB6="備","08-18",IF(OR(AB6="支援秘書室",AB6="支援出納室",AB6="支援警務科",AB6="支援事務股"),"支援總(大)隊",IF(AB6="支援檢疫所","支援(其他)",IF(  AB6="/","空班",  IF(  AB6="丙",  "※ 丙案",  IF(  AB6="丙常訓",  "※ 丙案 常訓",AB6  )))))))))))))))))))))))))</f>
        <v>輪休</v>
      </c>
      <c r="AC46" s="271" t="str">
        <f>IF(AC6="早","08-18",IF(AC6="中","12-22",IF(AC6="晚","22-08",IF(AC6="X","輪休",IF(AC6="公","公假",IF(OR(AC6="病",AC6="事"),"病(事)假",IF(OR(AC6="婚",AC6="產"),"婚(產)假",IF(AC6="補","補休",IF(AC6="休","休假",IF(AC6="喪","喪假",IF(AND(AC6="/",OR($A6=日期輸入!$B$23,$A6=日期輸入!$C$23,$A6=日期輸入!$D$23,$A6=日期輸入!$E$23,$A6=日期輸入!$F$23)),"08-18水電科",IF(AC6="大日","大隊值日(日)",IF(AC6="大夜","大隊值日(夜)",IF(AC6="值1","值1(早)",IF(AC6="值1丙","值1(早) 丙案",IF(AC6="值2","值2(中)",IF(AC6="值2乙","值2(中) 乙案",IF(AC6="夜值","夜值(晚)",IF(AC6="甲夜","夜值(晚) 甲案",IF(AC6="備","08-18",IF(OR(AC6="支援秘書室",AC6="支援出納室",AC6="支援警務科",AC6="支援事務股"),"支援總(大)隊",IF(AC6="支援檢疫所","支援(其他)",IF(  AC6="/","空班",  IF(  AC6="丙",  "※ 丙案",  IF(  AC6="丙常訓",  "※ 丙案 常訓",AC6  )))))))))))))))))))))))))</f>
        <v>輪休</v>
      </c>
      <c r="AD46" s="271" t="str">
        <f>IF(AD6="早","08-18",IF(AD6="中","12-22",IF(AD6="晚","22-08",IF(AD6="X","輪休",IF(AD6="公","公假",IF(OR(AD6="病",AD6="事"),"病(事)假",IF(OR(AD6="婚",AD6="產"),"婚(產)假",IF(AD6="補","補休",IF(AD6="休","休假",IF(AD6="喪","喪假",IF(AND(AD6="/",OR($A6=日期輸入!$B$23,$A6=日期輸入!$C$23,$A6=日期輸入!$D$23,$A6=日期輸入!$E$23,$A6=日期輸入!$F$23)),"08-18水電科",IF(AD6="大日","大隊值日(日)",IF(AD6="大夜","大隊值日(夜)",IF(AD6="值1","值1(早)",IF(AD6="值1丙","值1(早) 丙案",IF(AD6="值2","值2(中)",IF(AD6="值2乙","值2(中) 乙案",IF(AD6="夜值","夜值(晚)",IF(AD6="甲夜","夜值(晚) 甲案",IF(AD6="備","08-18",IF(OR(AD6="支援秘書室",AD6="支援出納室",AD6="支援警務科",AD6="支援事務股"),"支援總(大)隊",IF(AD6="支援檢疫所","支援(其他)",IF(  AD6="/","空班",  IF(  AD6="丙",  "※ 丙案",  IF(  AD6="丙常訓",  "※ 丙案 常訓",AD6  )))))))))))))))))))))))))</f>
        <v>輪休</v>
      </c>
      <c r="AE46" s="271" t="str">
        <f>IF(AE6="早","08-18",IF(AE6="中","12-22",IF(AE6="晚","22-08",IF(AE6="X","輪休",IF(AE6="公","公假",IF(OR(AE6="病",AE6="事"),"病(事)假",IF(OR(AE6="婚",AE6="產"),"婚(產)假",IF(AE6="補","補休",IF(AE6="休","休假",IF(AE6="喪","喪假",IF(AND(AE6="/",OR($A6=日期輸入!$B$23,$A6=日期輸入!$C$23,$A6=日期輸入!$D$23,$A6=日期輸入!$E$23,$A6=日期輸入!$F$23)),"08-18水電科",IF(AE6="大日","大隊值日(日)",IF(AE6="大夜","大隊值日(夜)",IF(AE6="值1","值1(早)",IF(AE6="值1丙","值1(早) 丙案",IF(AE6="值2","值2(中)",IF(AE6="值2乙","值2(中) 乙案",IF(AE6="夜值","夜值(晚)",IF(AE6="甲夜","夜值(晚) 甲案",IF(AE6="備","08-18",IF(OR(AE6="支援秘書室",AE6="支援出納室",AE6="支援警務科",AE6="支援事務股"),"支援總(大)隊",IF(AE6="支援檢疫所","支援(其他)",IF(  AE6="/","空班",  IF(  AE6="丙",  "※ 丙案",  IF(  AE6="丙常訓",  "※ 丙案 常訓",AE6  )))))))))))))))))))))))))</f>
        <v>輪休</v>
      </c>
      <c r="AF46" s="271" t="str">
        <f>IF(AF6="早","08-18",IF(AF6="中","12-22",IF(AF6="晚","22-08",IF(AF6="X","輪休",IF(AF6="公","公假",IF(OR(AF6="病",AF6="事"),"病(事)假",IF(OR(AF6="婚",AF6="產"),"婚(產)假",IF(AF6="補","補休",IF(AF6="休","休假",IF(AF6="喪","喪假",IF(AND(AF6="/",OR($A6=日期輸入!$B$23,$A6=日期輸入!$C$23,$A6=日期輸入!$D$23,$A6=日期輸入!$E$23,$A6=日期輸入!$F$23)),"08-18水電科",IF(AF6="大日","大隊值日(日)",IF(AF6="大夜","大隊值日(夜)",IF(AF6="值1","值1(早)",IF(AF6="值1丙","值1(早) 丙案",IF(AF6="值2","值2(中)",IF(AF6="值2乙","值2(中) 乙案",IF(AF6="夜值","夜值(晚)",IF(AF6="甲夜","夜值(晚) 甲案",IF(AF6="備","08-18",IF(OR(AF6="支援秘書室",AF6="支援出納室",AF6="支援警務科",AF6="支援事務股"),"支援總(大)隊",IF(AF6="支援檢疫所","支援(其他)",IF(  AF6="/","空班",  IF(  AF6="丙",  "※ 丙案",  IF(  AF6="丙常訓",  "※ 丙案 常訓",AF6  )))))))))))))))))))))))))</f>
        <v>輪休</v>
      </c>
      <c r="AG46" s="271" t="str">
        <f>IF(AG6="早","08-18",IF(AG6="中","12-22",IF(AG6="晚","22-08",IF(AG6="X","輪休",IF(AG6="公","公假",IF(OR(AG6="病",AG6="事"),"病(事)假",IF(OR(AG6="婚",AG6="產"),"婚(產)假",IF(AG6="補","補休",IF(AG6="休","休假",IF(AG6="喪","喪假",IF(AND(AG6="/",OR($A6=日期輸入!$B$23,$A6=日期輸入!$C$23,$A6=日期輸入!$D$23,$A6=日期輸入!$E$23,$A6=日期輸入!$F$23)),"08-18水電科",IF(AG6="大日","大隊值日(日)",IF(AG6="大夜","大隊值日(夜)",IF(AG6="值1","值1(早)",IF(AG6="值1丙","值1(早) 丙案",IF(AG6="值2","值2(中)",IF(AG6="值2乙","值2(中) 乙案",IF(AG6="夜值","夜值(晚)",IF(AG6="甲夜","夜值(晚) 甲案",IF(AG6="備","08-18",IF(OR(AG6="支援秘書室",AG6="支援出納室",AG6="支援警務科",AG6="支援事務股"),"支援總(大)隊",IF(AG6="支援檢疫所","支援(其他)",IF(  AG6="/","空班",  IF(  AG6="丙",  "※ 丙案",  IF(  AG6="丙常訓",  "※ 丙案 常訓",AG6  )))))))))))))))))))))))))</f>
        <v>輪休</v>
      </c>
    </row>
    <row r="47" spans="1:43">
      <c r="A47" s="271" t="str">
        <f t="shared" ref="A47:B47" si="6">A7</f>
        <v>J</v>
      </c>
      <c r="B47" s="271" t="str">
        <f t="shared" si="6"/>
        <v>黃臺境</v>
      </c>
      <c r="C47" s="271" t="str">
        <f>IF(C7="早","08-18",IF(C7="中","12-22",IF(C7="晚","22-08",IF(C7="X","輪休",IF(C7="公","公假",IF(OR(C7="病",C7="事"),"病(事)假",IF(OR(C7="婚",C7="產"),"婚(產)假",IF(C7="補","補休",IF(C7="休","休假",IF(C7="喪","喪假",IF(AND(C7="/",OR($A7=日期輸入!$B$23,$A7=日期輸入!$C$23,$A7=日期輸入!$D$23,$A7=日期輸入!$E$23,$A7=日期輸入!$F$23)),"08-18水電科",IF(C7="大日","大隊值日(日)",IF(C7="大夜","大隊值日(夜)",IF(C7="值1","值1(早)",IF(C7="值1丙","值1(早) 丙案",IF(C7="值2","值2(中)",IF(C7="值2乙","值2(中) 乙案",IF(C7="夜值","夜值(晚)",IF(C7="甲夜","夜值(晚) 甲案",IF(C7="備","08-18",IF(OR(C7="支援秘書室",C7="支援出納室",C7="支援警務科",C7="支援事務股"),"支援總(大)隊",IF(C7="支援檢疫所","支援(其他)",IF(  C7="/","空班",  IF(  C7="丙",  "※ 丙案",  IF(  C7="丙常訓",  "※ 丙案 常訓",C7  )))))))))))))))))))))))))</f>
        <v>黃臺境</v>
      </c>
      <c r="D47" s="271" t="str">
        <f>IF(D7="早","08-18",IF(D7="中","12-22",IF(D7="晚","22-08",IF(D7="X","輪休",IF(D7="公","公假",IF(OR(D7="病",D7="事"),"病(事)假",IF(OR(D7="婚",D7="產"),"婚(產)假",IF(D7="補","補休",IF(D7="休","休假",IF(D7="喪","喪假",IF(AND(D7="/",OR($A7=日期輸入!$B$23,$A7=日期輸入!$C$23,$A7=日期輸入!$D$23,$A7=日期輸入!$E$23,$A7=日期輸入!$F$23)),"08-18水電科",IF(D7="大日","大隊值日(日)",IF(D7="大夜","大隊值日(夜)",IF(D7="值1","值1(早)",IF(D7="值1丙","值1(早) 丙案",IF(D7="值2","值2(中)",IF(D7="值2乙","值2(中) 乙案",IF(D7="夜值","夜值(晚)",IF(D7="甲夜","夜值(晚) 甲案",IF(D7="備","08-18",IF(OR(D7="支援秘書室",D7="支援出納室",D7="支援警務科",D7="支援事務股"),"支援總(大)隊",IF(D7="支援檢疫所","支援(其他)",IF(  D7="/","空班",  IF(  D7="丙",  "※ 丙案",  IF(  D7="丙常訓",  "※ 丙案 常訓",D7  )))))))))))))))))))))))))</f>
        <v>黃臺境</v>
      </c>
      <c r="E47" s="271" t="str">
        <f>IF(E7="早","08-18",IF(E7="中","12-22",IF(E7="晚","22-08",IF(E7="X","輪休",IF(E7="公","公假",IF(OR(E7="病",E7="事"),"病(事)假",IF(OR(E7="婚",E7="產"),"婚(產)假",IF(E7="補","補休",IF(E7="休","休假",IF(E7="喪","喪假",IF(AND(E7="/",OR($A7=日期輸入!$B$23,$A7=日期輸入!$C$23,$A7=日期輸入!$D$23,$A7=日期輸入!$E$23,$A7=日期輸入!$F$23)),"08-18水電科",IF(E7="大日","大隊值日(日)",IF(E7="大夜","大隊值日(夜)",IF(E7="值1","值1(早)",IF(E7="值1丙","值1(早) 丙案",IF(E7="值2","值2(中)",IF(E7="值2乙","值2(中) 乙案",IF(E7="夜值","夜值(晚)",IF(E7="甲夜","夜值(晚) 甲案",IF(E7="備","08-18",IF(OR(E7="支援秘書室",E7="支援出納室",E7="支援警務科",E7="支援事務股"),"支援總(大)隊",IF(E7="支援檢疫所","支援(其他)",IF(  E7="/","空班",  IF(  E7="丙",  "※ 丙案",  IF(  E7="丙常訓",  "※ 丙案 常訓",E7  )))))))))))))))))))))))))</f>
        <v>黃臺境</v>
      </c>
      <c r="F47" s="271" t="str">
        <f>IF(F7="早","08-18",IF(F7="中","12-22",IF(F7="晚","22-08",IF(F7="X","輪休",IF(F7="公","公假",IF(OR(F7="病",F7="事"),"病(事)假",IF(OR(F7="婚",F7="產"),"婚(產)假",IF(F7="補","補休",IF(F7="休","休假",IF(F7="喪","喪假",IF(AND(F7="/",OR($A7=日期輸入!$B$23,$A7=日期輸入!$C$23,$A7=日期輸入!$D$23,$A7=日期輸入!$E$23,$A7=日期輸入!$F$23)),"08-18水電科",IF(F7="大日","大隊值日(日)",IF(F7="大夜","大隊值日(夜)",IF(F7="值1","值1(早)",IF(F7="值1丙","值1(早) 丙案",IF(F7="值2","值2(中)",IF(F7="值2乙","值2(中) 乙案",IF(F7="夜值","夜值(晚)",IF(F7="甲夜","夜值(晚) 甲案",IF(F7="備","08-18",IF(OR(F7="支援秘書室",F7="支援出納室",F7="支援警務科",F7="支援事務股"),"支援總(大)隊",IF(F7="支援檢疫所","支援(其他)",IF(  F7="/","空班",  IF(  F7="丙",  "※ 丙案",  IF(  F7="丙常訓",  "※ 丙案 常訓",F7  )))))))))))))))))))))))))</f>
        <v>黃臺境</v>
      </c>
      <c r="G47" s="271" t="str">
        <f>IF(G7="早","08-18",IF(G7="中","12-22",IF(G7="晚","22-08",IF(G7="X","輪休",IF(G7="公","公假",IF(OR(G7="病",G7="事"),"病(事)假",IF(OR(G7="婚",G7="產"),"婚(產)假",IF(G7="補","補休",IF(G7="休","休假",IF(G7="喪","喪假",IF(AND(G7="/",OR($A7=日期輸入!$B$23,$A7=日期輸入!$C$23,$A7=日期輸入!$D$23,$A7=日期輸入!$E$23,$A7=日期輸入!$F$23)),"08-18水電科",IF(G7="大日","大隊值日(日)",IF(G7="大夜","大隊值日(夜)",IF(G7="值1","值1(早)",IF(G7="值1丙","值1(早) 丙案",IF(G7="值2","值2(中)",IF(G7="值2乙","值2(中) 乙案",IF(G7="夜值","夜值(晚)",IF(G7="甲夜","夜值(晚) 甲案",IF(G7="備","08-18",IF(OR(G7="支援秘書室",G7="支援出納室",G7="支援警務科",G7="支援事務股"),"支援總(大)隊",IF(G7="支援檢疫所","支援(其他)",IF(  G7="/","空班",  IF(  G7="丙",  "※ 丙案",  IF(  G7="丙常訓",  "※ 丙案 常訓",G7  )))))))))))))))))))))))))</f>
        <v>黃臺境</v>
      </c>
      <c r="H47" s="271" t="str">
        <f>IF(H7="早","08-18",IF(H7="中","12-22",IF(H7="晚","22-08",IF(H7="X","輪休",IF(H7="公","公假",IF(OR(H7="病",H7="事"),"病(事)假",IF(OR(H7="婚",H7="產"),"婚(產)假",IF(H7="補","補休",IF(H7="休","休假",IF(H7="喪","喪假",IF(AND(H7="/",OR($A7=日期輸入!$B$23,$A7=日期輸入!$C$23,$A7=日期輸入!$D$23,$A7=日期輸入!$E$23,$A7=日期輸入!$F$23)),"08-18水電科",IF(H7="大日","大隊值日(日)",IF(H7="大夜","大隊值日(夜)",IF(H7="值1","值1(早)",IF(H7="值1丙","值1(早) 丙案",IF(H7="值2","值2(中)",IF(H7="值2乙","值2(中) 乙案",IF(H7="夜值","夜值(晚)",IF(H7="甲夜","夜值(晚) 甲案",IF(H7="備","08-18",IF(OR(H7="支援秘書室",H7="支援出納室",H7="支援警務科",H7="支援事務股"),"支援總(大)隊",IF(H7="支援檢疫所","支援(其他)",IF(  H7="/","空班",  IF(  H7="丙",  "※ 丙案",  IF(  H7="丙常訓",  "※ 丙案 常訓",H7  )))))))))))))))))))))))))</f>
        <v>黃臺境</v>
      </c>
      <c r="I47" s="271" t="str">
        <f>IF(I7="早","08-18",IF(I7="中","12-22",IF(I7="晚","22-08",IF(I7="X","輪休",IF(I7="公","公假",IF(OR(I7="病",I7="事"),"病(事)假",IF(OR(I7="婚",I7="產"),"婚(產)假",IF(I7="補","補休",IF(I7="休","休假",IF(I7="喪","喪假",IF(AND(I7="/",OR($A7=日期輸入!$B$23,$A7=日期輸入!$C$23,$A7=日期輸入!$D$23,$A7=日期輸入!$E$23,$A7=日期輸入!$F$23)),"08-18水電科",IF(I7="大日","大隊值日(日)",IF(I7="大夜","大隊值日(夜)",IF(I7="值1","值1(早)",IF(I7="值1丙","值1(早) 丙案",IF(I7="值2","值2(中)",IF(I7="值2乙","值2(中) 乙案",IF(I7="夜值","夜值(晚)",IF(I7="甲夜","夜值(晚) 甲案",IF(I7="備","08-18",IF(OR(I7="支援秘書室",I7="支援出納室",I7="支援警務科",I7="支援事務股"),"支援總(大)隊",IF(I7="支援檢疫所","支援(其他)",IF(  I7="/","空班",  IF(  I7="丙",  "※ 丙案",  IF(  I7="丙常訓",  "※ 丙案 常訓",I7  )))))))))))))))))))))))))</f>
        <v>黃臺境</v>
      </c>
      <c r="J47" s="271" t="str">
        <f>IF(J7="早","08-18",IF(J7="中","12-22",IF(J7="晚","22-08",IF(J7="X","輪休",IF(J7="公","公假",IF(OR(J7="病",J7="事"),"病(事)假",IF(OR(J7="婚",J7="產"),"婚(產)假",IF(J7="補","補休",IF(J7="休","休假",IF(J7="喪","喪假",IF(AND(J7="/",OR($A7=日期輸入!$B$23,$A7=日期輸入!$C$23,$A7=日期輸入!$D$23,$A7=日期輸入!$E$23,$A7=日期輸入!$F$23)),"08-18水電科",IF(J7="大日","大隊值日(日)",IF(J7="大夜","大隊值日(夜)",IF(J7="值1","值1(早)",IF(J7="值1丙","值1(早) 丙案",IF(J7="值2","值2(中)",IF(J7="值2乙","值2(中) 乙案",IF(J7="夜值","夜值(晚)",IF(J7="甲夜","夜值(晚) 甲案",IF(J7="備","08-18",IF(OR(J7="支援秘書室",J7="支援出納室",J7="支援警務科",J7="支援事務股"),"支援總(大)隊",IF(J7="支援檢疫所","支援(其他)",IF(  J7="/","空班",  IF(  J7="丙",  "※ 丙案",  IF(  J7="丙常訓",  "※ 丙案 常訓",J7  )))))))))))))))))))))))))</f>
        <v>黃臺境</v>
      </c>
      <c r="K47" s="271" t="str">
        <f>IF(K7="早","08-18",IF(K7="中","12-22",IF(K7="晚","22-08",IF(K7="X","輪休",IF(K7="公","公假",IF(OR(K7="病",K7="事"),"病(事)假",IF(OR(K7="婚",K7="產"),"婚(產)假",IF(K7="補","補休",IF(K7="休","休假",IF(K7="喪","喪假",IF(AND(K7="/",OR($A7=日期輸入!$B$23,$A7=日期輸入!$C$23,$A7=日期輸入!$D$23,$A7=日期輸入!$E$23,$A7=日期輸入!$F$23)),"08-18水電科",IF(K7="大日","大隊值日(日)",IF(K7="大夜","大隊值日(夜)",IF(K7="值1","值1(早)",IF(K7="值1丙","值1(早) 丙案",IF(K7="值2","值2(中)",IF(K7="值2乙","值2(中) 乙案",IF(K7="夜值","夜值(晚)",IF(K7="甲夜","夜值(晚) 甲案",IF(K7="備","08-18",IF(OR(K7="支援秘書室",K7="支援出納室",K7="支援警務科",K7="支援事務股"),"支援總(大)隊",IF(K7="支援檢疫所","支援(其他)",IF(  K7="/","空班",  IF(  K7="丙",  "※ 丙案",  IF(  K7="丙常訓",  "※ 丙案 常訓",K7  )))))))))))))))))))))))))</f>
        <v>黃臺境</v>
      </c>
      <c r="L47" s="271" t="str">
        <f>IF(L7="早","08-18",IF(L7="中","12-22",IF(L7="晚","22-08",IF(L7="X","輪休",IF(L7="公","公假",IF(OR(L7="病",L7="事"),"病(事)假",IF(OR(L7="婚",L7="產"),"婚(產)假",IF(L7="補","補休",IF(L7="休","休假",IF(L7="喪","喪假",IF(AND(L7="/",OR($A7=日期輸入!$B$23,$A7=日期輸入!$C$23,$A7=日期輸入!$D$23,$A7=日期輸入!$E$23,$A7=日期輸入!$F$23)),"08-18水電科",IF(L7="大日","大隊值日(日)",IF(L7="大夜","大隊值日(夜)",IF(L7="值1","值1(早)",IF(L7="值1丙","值1(早) 丙案",IF(L7="值2","值2(中)",IF(L7="值2乙","值2(中) 乙案",IF(L7="夜值","夜值(晚)",IF(L7="甲夜","夜值(晚) 甲案",IF(L7="備","08-18",IF(OR(L7="支援秘書室",L7="支援出納室",L7="支援警務科",L7="支援事務股"),"支援總(大)隊",IF(L7="支援檢疫所","支援(其他)",IF(  L7="/","空班",  IF(  L7="丙",  "※ 丙案",  IF(  L7="丙常訓",  "※ 丙案 常訓",L7  )))))))))))))))))))))))))</f>
        <v>黃臺境</v>
      </c>
      <c r="M47" s="271" t="str">
        <f>IF(M7="早","08-18",IF(M7="中","12-22",IF(M7="晚","22-08",IF(M7="X","輪休",IF(M7="公","公假",IF(OR(M7="病",M7="事"),"病(事)假",IF(OR(M7="婚",M7="產"),"婚(產)假",IF(M7="補","補休",IF(M7="休","休假",IF(M7="喪","喪假",IF(AND(M7="/",OR($A7=日期輸入!$B$23,$A7=日期輸入!$C$23,$A7=日期輸入!$D$23,$A7=日期輸入!$E$23,$A7=日期輸入!$F$23)),"08-18水電科",IF(M7="大日","大隊值日(日)",IF(M7="大夜","大隊值日(夜)",IF(M7="值1","值1(早)",IF(M7="值1丙","值1(早) 丙案",IF(M7="值2","值2(中)",IF(M7="值2乙","值2(中) 乙案",IF(M7="夜值","夜值(晚)",IF(M7="甲夜","夜值(晚) 甲案",IF(M7="備","08-18",IF(OR(M7="支援秘書室",M7="支援出納室",M7="支援警務科",M7="支援事務股"),"支援總(大)隊",IF(M7="支援檢疫所","支援(其他)",IF(  M7="/","空班",  IF(  M7="丙",  "※ 丙案",  IF(  M7="丙常訓",  "※ 丙案 常訓",M7  )))))))))))))))))))))))))</f>
        <v>黃臺境</v>
      </c>
      <c r="N47" s="271" t="str">
        <f>IF(N7="早","08-18",IF(N7="中","12-22",IF(N7="晚","22-08",IF(N7="X","輪休",IF(N7="公","公假",IF(OR(N7="病",N7="事"),"病(事)假",IF(OR(N7="婚",N7="產"),"婚(產)假",IF(N7="補","補休",IF(N7="休","休假",IF(N7="喪","喪假",IF(AND(N7="/",OR($A7=日期輸入!$B$23,$A7=日期輸入!$C$23,$A7=日期輸入!$D$23,$A7=日期輸入!$E$23,$A7=日期輸入!$F$23)),"08-18水電科",IF(N7="大日","大隊值日(日)",IF(N7="大夜","大隊值日(夜)",IF(N7="值1","值1(早)",IF(N7="值1丙","值1(早) 丙案",IF(N7="值2","值2(中)",IF(N7="值2乙","值2(中) 乙案",IF(N7="夜值","夜值(晚)",IF(N7="甲夜","夜值(晚) 甲案",IF(N7="備","08-18",IF(OR(N7="支援秘書室",N7="支援出納室",N7="支援警務科",N7="支援事務股"),"支援總(大)隊",IF(N7="支援檢疫所","支援(其他)",IF(  N7="/","空班",  IF(  N7="丙",  "※ 丙案",  IF(  N7="丙常訓",  "※ 丙案 常訓",N7  )))))))))))))))))))))))))</f>
        <v>黃臺境</v>
      </c>
      <c r="O47" s="271" t="str">
        <f>IF(O7="早","08-18",IF(O7="中","12-22",IF(O7="晚","22-08",IF(O7="X","輪休",IF(O7="公","公假",IF(OR(O7="病",O7="事"),"病(事)假",IF(OR(O7="婚",O7="產"),"婚(產)假",IF(O7="補","補休",IF(O7="休","休假",IF(O7="喪","喪假",IF(AND(O7="/",OR($A7=日期輸入!$B$23,$A7=日期輸入!$C$23,$A7=日期輸入!$D$23,$A7=日期輸入!$E$23,$A7=日期輸入!$F$23)),"08-18水電科",IF(O7="大日","大隊值日(日)",IF(O7="大夜","大隊值日(夜)",IF(O7="值1","值1(早)",IF(O7="值1丙","值1(早) 丙案",IF(O7="值2","值2(中)",IF(O7="值2乙","值2(中) 乙案",IF(O7="夜值","夜值(晚)",IF(O7="甲夜","夜值(晚) 甲案",IF(O7="備","08-18",IF(OR(O7="支援秘書室",O7="支援出納室",O7="支援警務科",O7="支援事務股"),"支援總(大)隊",IF(O7="支援檢疫所","支援(其他)",IF(  O7="/","空班",  IF(  O7="丙",  "※ 丙案",  IF(  O7="丙常訓",  "※ 丙案 常訓",O7  )))))))))))))))))))))))))</f>
        <v>黃臺境</v>
      </c>
      <c r="P47" s="271" t="str">
        <f>IF(P7="早","08-18",IF(P7="中","12-22",IF(P7="晚","22-08",IF(P7="X","輪休",IF(P7="公","公假",IF(OR(P7="病",P7="事"),"病(事)假",IF(OR(P7="婚",P7="產"),"婚(產)假",IF(P7="補","補休",IF(P7="休","休假",IF(P7="喪","喪假",IF(AND(P7="/",OR($A7=日期輸入!$B$23,$A7=日期輸入!$C$23,$A7=日期輸入!$D$23,$A7=日期輸入!$E$23,$A7=日期輸入!$F$23)),"08-18水電科",IF(P7="大日","大隊值日(日)",IF(P7="大夜","大隊值日(夜)",IF(P7="值1","值1(早)",IF(P7="值1丙","值1(早) 丙案",IF(P7="值2","值2(中)",IF(P7="值2乙","值2(中) 乙案",IF(P7="夜值","夜值(晚)",IF(P7="甲夜","夜值(晚) 甲案",IF(P7="備","08-18",IF(OR(P7="支援秘書室",P7="支援出納室",P7="支援警務科",P7="支援事務股"),"支援總(大)隊",IF(P7="支援檢疫所","支援(其他)",IF(  P7="/","空班",  IF(  P7="丙",  "※ 丙案",  IF(  P7="丙常訓",  "※ 丙案 常訓",P7  )))))))))))))))))))))))))</f>
        <v>黃臺境</v>
      </c>
      <c r="Q47" s="271" t="str">
        <f>IF(Q7="早","08-18",IF(Q7="中","12-22",IF(Q7="晚","22-08",IF(Q7="X","輪休",IF(Q7="公","公假",IF(OR(Q7="病",Q7="事"),"病(事)假",IF(OR(Q7="婚",Q7="產"),"婚(產)假",IF(Q7="補","補休",IF(Q7="休","休假",IF(Q7="喪","喪假",IF(AND(Q7="/",OR($A7=日期輸入!$B$23,$A7=日期輸入!$C$23,$A7=日期輸入!$D$23,$A7=日期輸入!$E$23,$A7=日期輸入!$F$23)),"08-18水電科",IF(Q7="大日","大隊值日(日)",IF(Q7="大夜","大隊值日(夜)",IF(Q7="值1","值1(早)",IF(Q7="值1丙","值1(早) 丙案",IF(Q7="值2","值2(中)",IF(Q7="值2乙","值2(中) 乙案",IF(Q7="夜值","夜值(晚)",IF(Q7="甲夜","夜值(晚) 甲案",IF(Q7="備","08-18",IF(OR(Q7="支援秘書室",Q7="支援出納室",Q7="支援警務科",Q7="支援事務股"),"支援總(大)隊",IF(Q7="支援檢疫所","支援(其他)",IF(  Q7="/","空班",  IF(  Q7="丙",  "※ 丙案",  IF(  Q7="丙常訓",  "※ 丙案 常訓",Q7  )))))))))))))))))))))))))</f>
        <v>黃臺境</v>
      </c>
      <c r="R47" s="271" t="str">
        <f>IF(R7="早","08-18",IF(R7="中","12-22",IF(R7="晚","22-08",IF(R7="X","輪休",IF(R7="公","公假",IF(OR(R7="病",R7="事"),"病(事)假",IF(OR(R7="婚",R7="產"),"婚(產)假",IF(R7="補","補休",IF(R7="休","休假",IF(R7="喪","喪假",IF(AND(R7="/",OR($A7=日期輸入!$B$23,$A7=日期輸入!$C$23,$A7=日期輸入!$D$23,$A7=日期輸入!$E$23,$A7=日期輸入!$F$23)),"08-18水電科",IF(R7="大日","大隊值日(日)",IF(R7="大夜","大隊值日(夜)",IF(R7="值1","值1(早)",IF(R7="值1丙","值1(早) 丙案",IF(R7="值2","值2(中)",IF(R7="值2乙","值2(中) 乙案",IF(R7="夜值","夜值(晚)",IF(R7="甲夜","夜值(晚) 甲案",IF(R7="備","08-18",IF(OR(R7="支援秘書室",R7="支援出納室",R7="支援警務科",R7="支援事務股"),"支援總(大)隊",IF(R7="支援檢疫所","支援(其他)",IF(  R7="/","空班",  IF(  R7="丙",  "※ 丙案",  IF(  R7="丙常訓",  "※ 丙案 常訓",R7  )))))))))))))))))))))))))</f>
        <v>黃臺境</v>
      </c>
      <c r="S47" s="271" t="str">
        <f>IF(S7="早","08-18",IF(S7="中","12-22",IF(S7="晚","22-08",IF(S7="X","輪休",IF(S7="公","公假",IF(OR(S7="病",S7="事"),"病(事)假",IF(OR(S7="婚",S7="產"),"婚(產)假",IF(S7="補","補休",IF(S7="休","休假",IF(S7="喪","喪假",IF(AND(S7="/",OR($A7=日期輸入!$B$23,$A7=日期輸入!$C$23,$A7=日期輸入!$D$23,$A7=日期輸入!$E$23,$A7=日期輸入!$F$23)),"08-18水電科",IF(S7="大日","大隊值日(日)",IF(S7="大夜","大隊值日(夜)",IF(S7="值1","值1(早)",IF(S7="值1丙","值1(早) 丙案",IF(S7="值2","值2(中)",IF(S7="值2乙","值2(中) 乙案",IF(S7="夜值","夜值(晚)",IF(S7="甲夜","夜值(晚) 甲案",IF(S7="備","08-18",IF(OR(S7="支援秘書室",S7="支援出納室",S7="支援警務科",S7="支援事務股"),"支援總(大)隊",IF(S7="支援檢疫所","支援(其他)",IF(  S7="/","空班",  IF(  S7="丙",  "※ 丙案",  IF(  S7="丙常訓",  "※ 丙案 常訓",S7  )))))))))))))))))))))))))</f>
        <v>黃臺境</v>
      </c>
      <c r="T47" s="271" t="str">
        <f>IF(T7="早","08-18",IF(T7="中","12-22",IF(T7="晚","22-08",IF(T7="X","輪休",IF(T7="公","公假",IF(OR(T7="病",T7="事"),"病(事)假",IF(OR(T7="婚",T7="產"),"婚(產)假",IF(T7="補","補休",IF(T7="休","休假",IF(T7="喪","喪假",IF(AND(T7="/",OR($A7=日期輸入!$B$23,$A7=日期輸入!$C$23,$A7=日期輸入!$D$23,$A7=日期輸入!$E$23,$A7=日期輸入!$F$23)),"08-18水電科",IF(T7="大日","大隊值日(日)",IF(T7="大夜","大隊值日(夜)",IF(T7="值1","值1(早)",IF(T7="值1丙","值1(早) 丙案",IF(T7="值2","值2(中)",IF(T7="值2乙","值2(中) 乙案",IF(T7="夜值","夜值(晚)",IF(T7="甲夜","夜值(晚) 甲案",IF(T7="備","08-18",IF(OR(T7="支援秘書室",T7="支援出納室",T7="支援警務科",T7="支援事務股"),"支援總(大)隊",IF(T7="支援檢疫所","支援(其他)",IF(  T7="/","空班",  IF(  T7="丙",  "※ 丙案",  IF(  T7="丙常訓",  "※ 丙案 常訓",T7  )))))))))))))))))))))))))</f>
        <v>黃臺境</v>
      </c>
      <c r="U47" s="271" t="str">
        <f>IF(U7="早","08-18",IF(U7="中","12-22",IF(U7="晚","22-08",IF(U7="X","輪休",IF(U7="公","公假",IF(OR(U7="病",U7="事"),"病(事)假",IF(OR(U7="婚",U7="產"),"婚(產)假",IF(U7="補","補休",IF(U7="休","休假",IF(U7="喪","喪假",IF(AND(U7="/",OR($A7=日期輸入!$B$23,$A7=日期輸入!$C$23,$A7=日期輸入!$D$23,$A7=日期輸入!$E$23,$A7=日期輸入!$F$23)),"08-18水電科",IF(U7="大日","大隊值日(日)",IF(U7="大夜","大隊值日(夜)",IF(U7="值1","值1(早)",IF(U7="值1丙","值1(早) 丙案",IF(U7="值2","值2(中)",IF(U7="值2乙","值2(中) 乙案",IF(U7="夜值","夜值(晚)",IF(U7="甲夜","夜值(晚) 甲案",IF(U7="備","08-18",IF(OR(U7="支援秘書室",U7="支援出納室",U7="支援警務科",U7="支援事務股"),"支援總(大)隊",IF(U7="支援檢疫所","支援(其他)",IF(  U7="/","空班",  IF(  U7="丙",  "※ 丙案",  IF(  U7="丙常訓",  "※ 丙案 常訓",U7  )))))))))))))))))))))))))</f>
        <v>黃臺境</v>
      </c>
      <c r="V47" s="271" t="str">
        <f>IF(V7="早","08-18",IF(V7="中","12-22",IF(V7="晚","22-08",IF(V7="X","輪休",IF(V7="公","公假",IF(OR(V7="病",V7="事"),"病(事)假",IF(OR(V7="婚",V7="產"),"婚(產)假",IF(V7="補","補休",IF(V7="休","休假",IF(V7="喪","喪假",IF(AND(V7="/",OR($A7=日期輸入!$B$23,$A7=日期輸入!$C$23,$A7=日期輸入!$D$23,$A7=日期輸入!$E$23,$A7=日期輸入!$F$23)),"08-18水電科",IF(V7="大日","大隊值日(日)",IF(V7="大夜","大隊值日(夜)",IF(V7="值1","值1(早)",IF(V7="值1丙","值1(早) 丙案",IF(V7="值2","值2(中)",IF(V7="值2乙","值2(中) 乙案",IF(V7="夜值","夜值(晚)",IF(V7="甲夜","夜值(晚) 甲案",IF(V7="備","08-18",IF(OR(V7="支援秘書室",V7="支援出納室",V7="支援警務科",V7="支援事務股"),"支援總(大)隊",IF(V7="支援檢疫所","支援(其他)",IF(  V7="/","空班",  IF(  V7="丙",  "※ 丙案",  IF(  V7="丙常訓",  "※ 丙案 常訓",V7  )))))))))))))))))))))))))</f>
        <v>黃臺境</v>
      </c>
      <c r="W47" s="271" t="str">
        <f>IF(W7="早","08-18",IF(W7="中","12-22",IF(W7="晚","22-08",IF(W7="X","輪休",IF(W7="公","公假",IF(OR(W7="病",W7="事"),"病(事)假",IF(OR(W7="婚",W7="產"),"婚(產)假",IF(W7="補","補休",IF(W7="休","休假",IF(W7="喪","喪假",IF(AND(W7="/",OR($A7=日期輸入!$B$23,$A7=日期輸入!$C$23,$A7=日期輸入!$D$23,$A7=日期輸入!$E$23,$A7=日期輸入!$F$23)),"08-18水電科",IF(W7="大日","大隊值日(日)",IF(W7="大夜","大隊值日(夜)",IF(W7="值1","值1(早)",IF(W7="值1丙","值1(早) 丙案",IF(W7="值2","值2(中)",IF(W7="值2乙","值2(中) 乙案",IF(W7="夜值","夜值(晚)",IF(W7="甲夜","夜值(晚) 甲案",IF(W7="備","08-18",IF(OR(W7="支援秘書室",W7="支援出納室",W7="支援警務科",W7="支援事務股"),"支援總(大)隊",IF(W7="支援檢疫所","支援(其他)",IF(  W7="/","空班",  IF(  W7="丙",  "※ 丙案",  IF(  W7="丙常訓",  "※ 丙案 常訓",W7  )))))))))))))))))))))))))</f>
        <v>黃臺境</v>
      </c>
      <c r="X47" s="271" t="str">
        <f>IF(X7="早","08-18",IF(X7="中","12-22",IF(X7="晚","22-08",IF(X7="X","輪休",IF(X7="公","公假",IF(OR(X7="病",X7="事"),"病(事)假",IF(OR(X7="婚",X7="產"),"婚(產)假",IF(X7="補","補休",IF(X7="休","休假",IF(X7="喪","喪假",IF(AND(X7="/",OR($A7=日期輸入!$B$23,$A7=日期輸入!$C$23,$A7=日期輸入!$D$23,$A7=日期輸入!$E$23,$A7=日期輸入!$F$23)),"08-18水電科",IF(X7="大日","大隊值日(日)",IF(X7="大夜","大隊值日(夜)",IF(X7="值1","值1(早)",IF(X7="值1丙","值1(早) 丙案",IF(X7="值2","值2(中)",IF(X7="值2乙","值2(中) 乙案",IF(X7="夜值","夜值(晚)",IF(X7="甲夜","夜值(晚) 甲案",IF(X7="備","08-18",IF(OR(X7="支援秘書室",X7="支援出納室",X7="支援警務科",X7="支援事務股"),"支援總(大)隊",IF(X7="支援檢疫所","支援(其他)",IF(  X7="/","空班",  IF(  X7="丙",  "※ 丙案",  IF(  X7="丙常訓",  "※ 丙案 常訓",X7  )))))))))))))))))))))))))</f>
        <v>黃臺境</v>
      </c>
      <c r="Y47" s="271" t="str">
        <f>IF(Y7="早","08-18",IF(Y7="中","12-22",IF(Y7="晚","22-08",IF(Y7="X","輪休",IF(Y7="公","公假",IF(OR(Y7="病",Y7="事"),"病(事)假",IF(OR(Y7="婚",Y7="產"),"婚(產)假",IF(Y7="補","補休",IF(Y7="休","休假",IF(Y7="喪","喪假",IF(AND(Y7="/",OR($A7=日期輸入!$B$23,$A7=日期輸入!$C$23,$A7=日期輸入!$D$23,$A7=日期輸入!$E$23,$A7=日期輸入!$F$23)),"08-18水電科",IF(Y7="大日","大隊值日(日)",IF(Y7="大夜","大隊值日(夜)",IF(Y7="值1","值1(早)",IF(Y7="值1丙","值1(早) 丙案",IF(Y7="值2","值2(中)",IF(Y7="值2乙","值2(中) 乙案",IF(Y7="夜值","夜值(晚)",IF(Y7="甲夜","夜值(晚) 甲案",IF(Y7="備","08-18",IF(OR(Y7="支援秘書室",Y7="支援出納室",Y7="支援警務科",Y7="支援事務股"),"支援總(大)隊",IF(Y7="支援檢疫所","支援(其他)",IF(  Y7="/","空班",  IF(  Y7="丙",  "※ 丙案",  IF(  Y7="丙常訓",  "※ 丙案 常訓",Y7  )))))))))))))))))))))))))</f>
        <v>黃臺境</v>
      </c>
      <c r="Z47" s="271" t="str">
        <f>IF(Z7="早","08-18",IF(Z7="中","12-22",IF(Z7="晚","22-08",IF(Z7="X","輪休",IF(Z7="公","公假",IF(OR(Z7="病",Z7="事"),"病(事)假",IF(OR(Z7="婚",Z7="產"),"婚(產)假",IF(Z7="補","補休",IF(Z7="休","休假",IF(Z7="喪","喪假",IF(AND(Z7="/",OR($A7=日期輸入!$B$23,$A7=日期輸入!$C$23,$A7=日期輸入!$D$23,$A7=日期輸入!$E$23,$A7=日期輸入!$F$23)),"08-18水電科",IF(Z7="大日","大隊值日(日)",IF(Z7="大夜","大隊值日(夜)",IF(Z7="值1","值1(早)",IF(Z7="值1丙","值1(早) 丙案",IF(Z7="值2","值2(中)",IF(Z7="值2乙","值2(中) 乙案",IF(Z7="夜值","夜值(晚)",IF(Z7="甲夜","夜值(晚) 甲案",IF(Z7="備","08-18",IF(OR(Z7="支援秘書室",Z7="支援出納室",Z7="支援警務科",Z7="支援事務股"),"支援總(大)隊",IF(Z7="支援檢疫所","支援(其他)",IF(  Z7="/","空班",  IF(  Z7="丙",  "※ 丙案",  IF(  Z7="丙常訓",  "※ 丙案 常訓",Z7  )))))))))))))))))))))))))</f>
        <v>黃臺境</v>
      </c>
      <c r="AA47" s="271" t="str">
        <f>IF(AA7="早","08-18",IF(AA7="中","12-22",IF(AA7="晚","22-08",IF(AA7="X","輪休",IF(AA7="公","公假",IF(OR(AA7="病",AA7="事"),"病(事)假",IF(OR(AA7="婚",AA7="產"),"婚(產)假",IF(AA7="補","補休",IF(AA7="休","休假",IF(AA7="喪","喪假",IF(AND(AA7="/",OR($A7=日期輸入!$B$23,$A7=日期輸入!$C$23,$A7=日期輸入!$D$23,$A7=日期輸入!$E$23,$A7=日期輸入!$F$23)),"08-18水電科",IF(AA7="大日","大隊值日(日)",IF(AA7="大夜","大隊值日(夜)",IF(AA7="值1","值1(早)",IF(AA7="值1丙","值1(早) 丙案",IF(AA7="值2","值2(中)",IF(AA7="值2乙","值2(中) 乙案",IF(AA7="夜值","夜值(晚)",IF(AA7="甲夜","夜值(晚) 甲案",IF(AA7="備","08-18",IF(OR(AA7="支援秘書室",AA7="支援出納室",AA7="支援警務科",AA7="支援事務股"),"支援總(大)隊",IF(AA7="支援檢疫所","支援(其他)",IF(  AA7="/","空班",  IF(  AA7="丙",  "※ 丙案",  IF(  AA7="丙常訓",  "※ 丙案 常訓",AA7  )))))))))))))))))))))))))</f>
        <v>黃臺境</v>
      </c>
      <c r="AB47" s="271" t="str">
        <f>IF(AB7="早","08-18",IF(AB7="中","12-22",IF(AB7="晚","22-08",IF(AB7="X","輪休",IF(AB7="公","公假",IF(OR(AB7="病",AB7="事"),"病(事)假",IF(OR(AB7="婚",AB7="產"),"婚(產)假",IF(AB7="補","補休",IF(AB7="休","休假",IF(AB7="喪","喪假",IF(AND(AB7="/",OR($A7=日期輸入!$B$23,$A7=日期輸入!$C$23,$A7=日期輸入!$D$23,$A7=日期輸入!$E$23,$A7=日期輸入!$F$23)),"08-18水電科",IF(AB7="大日","大隊值日(日)",IF(AB7="大夜","大隊值日(夜)",IF(AB7="值1","值1(早)",IF(AB7="值1丙","值1(早) 丙案",IF(AB7="值2","值2(中)",IF(AB7="值2乙","值2(中) 乙案",IF(AB7="夜值","夜值(晚)",IF(AB7="甲夜","夜值(晚) 甲案",IF(AB7="備","08-18",IF(OR(AB7="支援秘書室",AB7="支援出納室",AB7="支援警務科",AB7="支援事務股"),"支援總(大)隊",IF(AB7="支援檢疫所","支援(其他)",IF(  AB7="/","空班",  IF(  AB7="丙",  "※ 丙案",  IF(  AB7="丙常訓",  "※ 丙案 常訓",AB7  )))))))))))))))))))))))))</f>
        <v>黃臺境</v>
      </c>
      <c r="AC47" s="271" t="str">
        <f>IF(AC7="早","08-18",IF(AC7="中","12-22",IF(AC7="晚","22-08",IF(AC7="X","輪休",IF(AC7="公","公假",IF(OR(AC7="病",AC7="事"),"病(事)假",IF(OR(AC7="婚",AC7="產"),"婚(產)假",IF(AC7="補","補休",IF(AC7="休","休假",IF(AC7="喪","喪假",IF(AND(AC7="/",OR($A7=日期輸入!$B$23,$A7=日期輸入!$C$23,$A7=日期輸入!$D$23,$A7=日期輸入!$E$23,$A7=日期輸入!$F$23)),"08-18水電科",IF(AC7="大日","大隊值日(日)",IF(AC7="大夜","大隊值日(夜)",IF(AC7="值1","值1(早)",IF(AC7="值1丙","值1(早) 丙案",IF(AC7="值2","值2(中)",IF(AC7="值2乙","值2(中) 乙案",IF(AC7="夜值","夜值(晚)",IF(AC7="甲夜","夜值(晚) 甲案",IF(AC7="備","08-18",IF(OR(AC7="支援秘書室",AC7="支援出納室",AC7="支援警務科",AC7="支援事務股"),"支援總(大)隊",IF(AC7="支援檢疫所","支援(其他)",IF(  AC7="/","空班",  IF(  AC7="丙",  "※ 丙案",  IF(  AC7="丙常訓",  "※ 丙案 常訓",AC7  )))))))))))))))))))))))))</f>
        <v>黃臺境</v>
      </c>
      <c r="AD47" s="271" t="str">
        <f>IF(AD7="早","08-18",IF(AD7="中","12-22",IF(AD7="晚","22-08",IF(AD7="X","輪休",IF(AD7="公","公假",IF(OR(AD7="病",AD7="事"),"病(事)假",IF(OR(AD7="婚",AD7="產"),"婚(產)假",IF(AD7="補","補休",IF(AD7="休","休假",IF(AD7="喪","喪假",IF(AND(AD7="/",OR($A7=日期輸入!$B$23,$A7=日期輸入!$C$23,$A7=日期輸入!$D$23,$A7=日期輸入!$E$23,$A7=日期輸入!$F$23)),"08-18水電科",IF(AD7="大日","大隊值日(日)",IF(AD7="大夜","大隊值日(夜)",IF(AD7="值1","值1(早)",IF(AD7="值1丙","值1(早) 丙案",IF(AD7="值2","值2(中)",IF(AD7="值2乙","值2(中) 乙案",IF(AD7="夜值","夜值(晚)",IF(AD7="甲夜","夜值(晚) 甲案",IF(AD7="備","08-18",IF(OR(AD7="支援秘書室",AD7="支援出納室",AD7="支援警務科",AD7="支援事務股"),"支援總(大)隊",IF(AD7="支援檢疫所","支援(其他)",IF(  AD7="/","空班",  IF(  AD7="丙",  "※ 丙案",  IF(  AD7="丙常訓",  "※ 丙案 常訓",AD7  )))))))))))))))))))))))))</f>
        <v>黃臺境</v>
      </c>
      <c r="AE47" s="271" t="str">
        <f>IF(AE7="早","08-18",IF(AE7="中","12-22",IF(AE7="晚","22-08",IF(AE7="X","輪休",IF(AE7="公","公假",IF(OR(AE7="病",AE7="事"),"病(事)假",IF(OR(AE7="婚",AE7="產"),"婚(產)假",IF(AE7="補","補休",IF(AE7="休","休假",IF(AE7="喪","喪假",IF(AND(AE7="/",OR($A7=日期輸入!$B$23,$A7=日期輸入!$C$23,$A7=日期輸入!$D$23,$A7=日期輸入!$E$23,$A7=日期輸入!$F$23)),"08-18水電科",IF(AE7="大日","大隊值日(日)",IF(AE7="大夜","大隊值日(夜)",IF(AE7="值1","值1(早)",IF(AE7="值1丙","值1(早) 丙案",IF(AE7="值2","值2(中)",IF(AE7="值2乙","值2(中) 乙案",IF(AE7="夜值","夜值(晚)",IF(AE7="甲夜","夜值(晚) 甲案",IF(AE7="備","08-18",IF(OR(AE7="支援秘書室",AE7="支援出納室",AE7="支援警務科",AE7="支援事務股"),"支援總(大)隊",IF(AE7="支援檢疫所","支援(其他)",IF(  AE7="/","空班",  IF(  AE7="丙",  "※ 丙案",  IF(  AE7="丙常訓",  "※ 丙案 常訓",AE7  )))))))))))))))))))))))))</f>
        <v>黃臺境</v>
      </c>
      <c r="AF47" s="271" t="str">
        <f>IF(AF7="早","08-18",IF(AF7="中","12-22",IF(AF7="晚","22-08",IF(AF7="X","輪休",IF(AF7="公","公假",IF(OR(AF7="病",AF7="事"),"病(事)假",IF(OR(AF7="婚",AF7="產"),"婚(產)假",IF(AF7="補","補休",IF(AF7="休","休假",IF(AF7="喪","喪假",IF(AND(AF7="/",OR($A7=日期輸入!$B$23,$A7=日期輸入!$C$23,$A7=日期輸入!$D$23,$A7=日期輸入!$E$23,$A7=日期輸入!$F$23)),"08-18水電科",IF(AF7="大日","大隊值日(日)",IF(AF7="大夜","大隊值日(夜)",IF(AF7="值1","值1(早)",IF(AF7="值1丙","值1(早) 丙案",IF(AF7="值2","值2(中)",IF(AF7="值2乙","值2(中) 乙案",IF(AF7="夜值","夜值(晚)",IF(AF7="甲夜","夜值(晚) 甲案",IF(AF7="備","08-18",IF(OR(AF7="支援秘書室",AF7="支援出納室",AF7="支援警務科",AF7="支援事務股"),"支援總(大)隊",IF(AF7="支援檢疫所","支援(其他)",IF(  AF7="/","空班",  IF(  AF7="丙",  "※ 丙案",  IF(  AF7="丙常訓",  "※ 丙案 常訓",AF7  )))))))))))))))))))))))))</f>
        <v>黃臺境</v>
      </c>
      <c r="AG47" s="271" t="str">
        <f>IF(AG7="早","08-18",IF(AG7="中","12-22",IF(AG7="晚","22-08",IF(AG7="X","輪休",IF(AG7="公","公假",IF(OR(AG7="病",AG7="事"),"病(事)假",IF(OR(AG7="婚",AG7="產"),"婚(產)假",IF(AG7="補","補休",IF(AG7="休","休假",IF(AG7="喪","喪假",IF(AND(AG7="/",OR($A7=日期輸入!$B$23,$A7=日期輸入!$C$23,$A7=日期輸入!$D$23,$A7=日期輸入!$E$23,$A7=日期輸入!$F$23)),"08-18水電科",IF(AG7="大日","大隊值日(日)",IF(AG7="大夜","大隊值日(夜)",IF(AG7="值1","值1(早)",IF(AG7="值1丙","值1(早) 丙案",IF(AG7="值2","值2(中)",IF(AG7="值2乙","值2(中) 乙案",IF(AG7="夜值","夜值(晚)",IF(AG7="甲夜","夜值(晚) 甲案",IF(AG7="備","08-18",IF(OR(AG7="支援秘書室",AG7="支援出納室",AG7="支援警務科",AG7="支援事務股"),"支援總(大)隊",IF(AG7="支援檢疫所","支援(其他)",IF(  AG7="/","空班",  IF(  AG7="丙",  "※ 丙案",  IF(  AG7="丙常訓",  "※ 丙案 常訓",AG7  )))))))))))))))))))))))))</f>
        <v>補休</v>
      </c>
    </row>
    <row r="48" spans="1:43">
      <c r="A48" s="271" t="str">
        <f t="shared" ref="A48:B48" si="7">A8</f>
        <v>K</v>
      </c>
      <c r="B48" s="271" t="str">
        <f t="shared" si="7"/>
        <v>袁郁章</v>
      </c>
      <c r="C48" s="271" t="str">
        <f>IF(C8="早","08-18",IF(C8="中","12-22",IF(C8="晚","22-08",IF(C8="X","輪休",IF(C8="公","公假",IF(OR(C8="病",C8="事"),"病(事)假",IF(OR(C8="婚",C8="產"),"婚(產)假",IF(C8="補","補休",IF(C8="休","休假",IF(C8="喪","喪假",IF(AND(C8="/",OR($A8=日期輸入!$B$23,$A8=日期輸入!$C$23,$A8=日期輸入!$D$23,$A8=日期輸入!$E$23,$A8=日期輸入!$F$23)),"08-18水電科",IF(C8="大日","大隊值日(日)",IF(C8="大夜","大隊值日(夜)",IF(C8="值1","值1(早)",IF(C8="值1丙","值1(早) 丙案",IF(C8="值2","值2(中)",IF(C8="值2乙","值2(中) 乙案",IF(C8="夜值","夜值(晚)",IF(C8="甲夜","夜值(晚) 甲案",IF(C8="備","08-18",IF(OR(C8="支援秘書室",C8="支援出納室",C8="支援警務科",C8="支援事務股"),"支援總(大)隊",IF(C8="支援檢疫所","支援(其他)",IF(  C8="/","空班",  IF(  C8="丙",  "※ 丙案",  IF(  C8="丙常訓",  "※ 丙案 常訓",C8  )))))))))))))))))))))))))</f>
        <v>夜值(晚)</v>
      </c>
      <c r="D48" s="271" t="str">
        <f>IF(D8="早","08-18",IF(D8="中","12-22",IF(D8="晚","22-08",IF(D8="X","輪休",IF(D8="公","公假",IF(OR(D8="病",D8="事"),"病(事)假",IF(OR(D8="婚",D8="產"),"婚(產)假",IF(D8="補","補休",IF(D8="休","休假",IF(D8="喪","喪假",IF(AND(D8="/",OR($A8=日期輸入!$B$23,$A8=日期輸入!$C$23,$A8=日期輸入!$D$23,$A8=日期輸入!$E$23,$A8=日期輸入!$F$23)),"08-18水電科",IF(D8="大日","大隊值日(日)",IF(D8="大夜","大隊值日(夜)",IF(D8="值1","值1(早)",IF(D8="值1丙","值1(早) 丙案",IF(D8="值2","值2(中)",IF(D8="值2乙","值2(中) 乙案",IF(D8="夜值","夜值(晚)",IF(D8="甲夜","夜值(晚) 甲案",IF(D8="備","08-18",IF(OR(D8="支援秘書室",D8="支援出納室",D8="支援警務科",D8="支援事務股"),"支援總(大)隊",IF(D8="支援檢疫所","支援(其他)",IF(  D8="/","空班",  IF(  D8="丙",  "※ 丙案",  IF(  D8="丙常訓",  "※ 丙案 常訓",D8  )))))))))))))))))))))))))</f>
        <v>夜值(晚)</v>
      </c>
      <c r="E48" s="271" t="str">
        <f>IF(E8="早","08-18",IF(E8="中","12-22",IF(E8="晚","22-08",IF(E8="X","輪休",IF(E8="公","公假",IF(OR(E8="病",E8="事"),"病(事)假",IF(OR(E8="婚",E8="產"),"婚(產)假",IF(E8="補","補休",IF(E8="休","休假",IF(E8="喪","喪假",IF(AND(E8="/",OR($A8=日期輸入!$B$23,$A8=日期輸入!$C$23,$A8=日期輸入!$D$23,$A8=日期輸入!$E$23,$A8=日期輸入!$F$23)),"08-18水電科",IF(E8="大日","大隊值日(日)",IF(E8="大夜","大隊值日(夜)",IF(E8="值1","值1(早)",IF(E8="值1丙","值1(早) 丙案",IF(E8="值2","值2(中)",IF(E8="值2乙","值2(中) 乙案",IF(E8="夜值","夜值(晚)",IF(E8="甲夜","夜值(晚) 甲案",IF(E8="備","08-18",IF(OR(E8="支援秘書室",E8="支援出納室",E8="支援警務科",E8="支援事務股"),"支援總(大)隊",IF(E8="支援檢疫所","支援(其他)",IF(  E8="/","空班",  IF(  E8="丙",  "※ 丙案",  IF(  E8="丙常訓",  "※ 丙案 常訓",E8  )))))))))))))))))))))))))</f>
        <v>補休</v>
      </c>
      <c r="F48" s="271" t="str">
        <f>IF(F8="早","08-18",IF(F8="中","12-22",IF(F8="晚","22-08",IF(F8="X","輪休",IF(F8="公","公假",IF(OR(F8="病",F8="事"),"病(事)假",IF(OR(F8="婚",F8="產"),"婚(產)假",IF(F8="補","補休",IF(F8="休","休假",IF(F8="喪","喪假",IF(AND(F8="/",OR($A8=日期輸入!$B$23,$A8=日期輸入!$C$23,$A8=日期輸入!$D$23,$A8=日期輸入!$E$23,$A8=日期輸入!$F$23)),"08-18水電科",IF(F8="大日","大隊值日(日)",IF(F8="大夜","大隊值日(夜)",IF(F8="值1","值1(早)",IF(F8="值1丙","值1(早) 丙案",IF(F8="值2","值2(中)",IF(F8="值2乙","值2(中) 乙案",IF(F8="夜值","夜值(晚)",IF(F8="甲夜","夜值(晚) 甲案",IF(F8="備","08-18",IF(OR(F8="支援秘書室",F8="支援出納室",F8="支援警務科",F8="支援事務股"),"支援總(大)隊",IF(F8="支援檢疫所","支援(其他)",IF(  F8="/","空班",  IF(  F8="丙",  "※ 丙案",  IF(  F8="丙常訓",  "※ 丙案 常訓",F8  )))))))))))))))))))))))))</f>
        <v>補休</v>
      </c>
      <c r="G48" s="271" t="str">
        <f>IF(G8="早","08-18",IF(G8="中","12-22",IF(G8="晚","22-08",IF(G8="X","輪休",IF(G8="公","公假",IF(OR(G8="病",G8="事"),"病(事)假",IF(OR(G8="婚",G8="產"),"婚(產)假",IF(G8="補","補休",IF(G8="休","休假",IF(G8="喪","喪假",IF(AND(G8="/",OR($A8=日期輸入!$B$23,$A8=日期輸入!$C$23,$A8=日期輸入!$D$23,$A8=日期輸入!$E$23,$A8=日期輸入!$F$23)),"08-18水電科",IF(G8="大日","大隊值日(日)",IF(G8="大夜","大隊值日(夜)",IF(G8="值1","值1(早)",IF(G8="值1丙","值1(早) 丙案",IF(G8="值2","值2(中)",IF(G8="值2乙","值2(中) 乙案",IF(G8="夜值","夜值(晚)",IF(G8="甲夜","夜值(晚) 甲案",IF(G8="備","08-18",IF(OR(G8="支援秘書室",G8="支援出納室",G8="支援警務科",G8="支援事務股"),"支援總(大)隊",IF(G8="支援檢疫所","支援(其他)",IF(  G8="/","空班",  IF(  G8="丙",  "※ 丙案",  IF(  G8="丙常訓",  "※ 丙案 常訓",G8  )))))))))))))))))))))))))</f>
        <v>補休</v>
      </c>
      <c r="H48" s="271" t="str">
        <f>IF(H8="早","08-18",IF(H8="中","12-22",IF(H8="晚","22-08",IF(H8="X","輪休",IF(H8="公","公假",IF(OR(H8="病",H8="事"),"病(事)假",IF(OR(H8="婚",H8="產"),"婚(產)假",IF(H8="補","補休",IF(H8="休","休假",IF(H8="喪","喪假",IF(AND(H8="/",OR($A8=日期輸入!$B$23,$A8=日期輸入!$C$23,$A8=日期輸入!$D$23,$A8=日期輸入!$E$23,$A8=日期輸入!$F$23)),"08-18水電科",IF(H8="大日","大隊值日(日)",IF(H8="大夜","大隊值日(夜)",IF(H8="值1","值1(早)",IF(H8="值1丙","值1(早) 丙案",IF(H8="值2","值2(中)",IF(H8="值2乙","值2(中) 乙案",IF(H8="夜值","夜值(晚)",IF(H8="甲夜","夜值(晚) 甲案",IF(H8="備","08-18",IF(OR(H8="支援秘書室",H8="支援出納室",H8="支援警務科",H8="支援事務股"),"支援總(大)隊",IF(H8="支援檢疫所","支援(其他)",IF(  H8="/","空班",  IF(  H8="丙",  "※ 丙案",  IF(  H8="丙常訓",  "※ 丙案 常訓",H8  )))))))))))))))))))))))))</f>
        <v>補休</v>
      </c>
      <c r="I48" s="271" t="str">
        <f>IF(I8="早","08-18",IF(I8="中","12-22",IF(I8="晚","22-08",IF(I8="X","輪休",IF(I8="公","公假",IF(OR(I8="病",I8="事"),"病(事)假",IF(OR(I8="婚",I8="產"),"婚(產)假",IF(I8="補","補休",IF(I8="休","休假",IF(I8="喪","喪假",IF(AND(I8="/",OR($A8=日期輸入!$B$23,$A8=日期輸入!$C$23,$A8=日期輸入!$D$23,$A8=日期輸入!$E$23,$A8=日期輸入!$F$23)),"08-18水電科",IF(I8="大日","大隊值日(日)",IF(I8="大夜","大隊值日(夜)",IF(I8="值1","值1(早)",IF(I8="值1丙","值1(早) 丙案",IF(I8="值2","值2(中)",IF(I8="值2乙","值2(中) 乙案",IF(I8="夜值","夜值(晚)",IF(I8="甲夜","夜值(晚) 甲案",IF(I8="備","08-18",IF(OR(I8="支援秘書室",I8="支援出納室",I8="支援警務科",I8="支援事務股"),"支援總(大)隊",IF(I8="支援檢疫所","支援(其他)",IF(  I8="/","空班",  IF(  I8="丙",  "※ 丙案",  IF(  I8="丙常訓",  "※ 丙案 常訓",I8  )))))))))))))))))))))))))</f>
        <v>補休</v>
      </c>
      <c r="J48" s="271" t="str">
        <f>IF(J8="早","08-18",IF(J8="中","12-22",IF(J8="晚","22-08",IF(J8="X","輪休",IF(J8="公","公假",IF(OR(J8="病",J8="事"),"病(事)假",IF(OR(J8="婚",J8="產"),"婚(產)假",IF(J8="補","補休",IF(J8="休","休假",IF(J8="喪","喪假",IF(AND(J8="/",OR($A8=日期輸入!$B$23,$A8=日期輸入!$C$23,$A8=日期輸入!$D$23,$A8=日期輸入!$E$23,$A8=日期輸入!$F$23)),"08-18水電科",IF(J8="大日","大隊值日(日)",IF(J8="大夜","大隊值日(夜)",IF(J8="值1","值1(早)",IF(J8="值1丙","值1(早) 丙案",IF(J8="值2","值2(中)",IF(J8="值2乙","值2(中) 乙案",IF(J8="夜值","夜值(晚)",IF(J8="甲夜","夜值(晚) 甲案",IF(J8="備","08-18",IF(OR(J8="支援秘書室",J8="支援出納室",J8="支援警務科",J8="支援事務股"),"支援總(大)隊",IF(J8="支援檢疫所","支援(其他)",IF(  J8="/","空班",  IF(  J8="丙",  "※ 丙案",  IF(  J8="丙常訓",  "※ 丙案 常訓",J8  )))))))))))))))))))))))))</f>
        <v>補休</v>
      </c>
      <c r="K48" s="271" t="str">
        <f>IF(K8="早","08-18",IF(K8="中","12-22",IF(K8="晚","22-08",IF(K8="X","輪休",IF(K8="公","公假",IF(OR(K8="病",K8="事"),"病(事)假",IF(OR(K8="婚",K8="產"),"婚(產)假",IF(K8="補","補休",IF(K8="休","休假",IF(K8="喪","喪假",IF(AND(K8="/",OR($A8=日期輸入!$B$23,$A8=日期輸入!$C$23,$A8=日期輸入!$D$23,$A8=日期輸入!$E$23,$A8=日期輸入!$F$23)),"08-18水電科",IF(K8="大日","大隊值日(日)",IF(K8="大夜","大隊值日(夜)",IF(K8="值1","值1(早)",IF(K8="值1丙","值1(早) 丙案",IF(K8="值2","值2(中)",IF(K8="值2乙","值2(中) 乙案",IF(K8="夜值","夜值(晚)",IF(K8="甲夜","夜值(晚) 甲案",IF(K8="備","08-18",IF(OR(K8="支援秘書室",K8="支援出納室",K8="支援警務科",K8="支援事務股"),"支援總(大)隊",IF(K8="支援檢疫所","支援(其他)",IF(  K8="/","空班",  IF(  K8="丙",  "※ 丙案",  IF(  K8="丙常訓",  "※ 丙案 常訓",K8  )))))))))))))))))))))))))</f>
        <v>補休</v>
      </c>
      <c r="L48" s="271" t="str">
        <f>IF(L8="早","08-18",IF(L8="中","12-22",IF(L8="晚","22-08",IF(L8="X","輪休",IF(L8="公","公假",IF(OR(L8="病",L8="事"),"病(事)假",IF(OR(L8="婚",L8="產"),"婚(產)假",IF(L8="補","補休",IF(L8="休","休假",IF(L8="喪","喪假",IF(AND(L8="/",OR($A8=日期輸入!$B$23,$A8=日期輸入!$C$23,$A8=日期輸入!$D$23,$A8=日期輸入!$E$23,$A8=日期輸入!$F$23)),"08-18水電科",IF(L8="大日","大隊值日(日)",IF(L8="大夜","大隊值日(夜)",IF(L8="值1","值1(早)",IF(L8="值1丙","值1(早) 丙案",IF(L8="值2","值2(中)",IF(L8="值2乙","值2(中) 乙案",IF(L8="夜值","夜值(晚)",IF(L8="甲夜","夜值(晚) 甲案",IF(L8="備","08-18",IF(OR(L8="支援秘書室",L8="支援出納室",L8="支援警務科",L8="支援事務股"),"支援總(大)隊",IF(L8="支援檢疫所","支援(其他)",IF(  L8="/","空班",  IF(  L8="丙",  "※ 丙案",  IF(  L8="丙常訓",  "※ 丙案 常訓",L8  )))))))))))))))))))))))))</f>
        <v>補休</v>
      </c>
      <c r="M48" s="271" t="str">
        <f>IF(M8="早","08-18",IF(M8="中","12-22",IF(M8="晚","22-08",IF(M8="X","輪休",IF(M8="公","公假",IF(OR(M8="病",M8="事"),"病(事)假",IF(OR(M8="婚",M8="產"),"婚(產)假",IF(M8="補","補休",IF(M8="休","休假",IF(M8="喪","喪假",IF(AND(M8="/",OR($A8=日期輸入!$B$23,$A8=日期輸入!$C$23,$A8=日期輸入!$D$23,$A8=日期輸入!$E$23,$A8=日期輸入!$F$23)),"08-18水電科",IF(M8="大日","大隊值日(日)",IF(M8="大夜","大隊值日(夜)",IF(M8="值1","值1(早)",IF(M8="值1丙","值1(早) 丙案",IF(M8="值2","值2(中)",IF(M8="值2乙","值2(中) 乙案",IF(M8="夜值","夜值(晚)",IF(M8="甲夜","夜值(晚) 甲案",IF(M8="備","08-18",IF(OR(M8="支援秘書室",M8="支援出納室",M8="支援警務科",M8="支援事務股"),"支援總(大)隊",IF(M8="支援檢疫所","支援(其他)",IF(  M8="/","空班",  IF(  M8="丙",  "※ 丙案",  IF(  M8="丙常訓",  "※ 丙案 常訓",M8  )))))))))))))))))))))))))</f>
        <v>補休</v>
      </c>
      <c r="N48" s="271" t="str">
        <f>IF(N8="早","08-18",IF(N8="中","12-22",IF(N8="晚","22-08",IF(N8="X","輪休",IF(N8="公","公假",IF(OR(N8="病",N8="事"),"病(事)假",IF(OR(N8="婚",N8="產"),"婚(產)假",IF(N8="補","補休",IF(N8="休","休假",IF(N8="喪","喪假",IF(AND(N8="/",OR($A8=日期輸入!$B$23,$A8=日期輸入!$C$23,$A8=日期輸入!$D$23,$A8=日期輸入!$E$23,$A8=日期輸入!$F$23)),"08-18水電科",IF(N8="大日","大隊值日(日)",IF(N8="大夜","大隊值日(夜)",IF(N8="值1","值1(早)",IF(N8="值1丙","值1(早) 丙案",IF(N8="值2","值2(中)",IF(N8="值2乙","值2(中) 乙案",IF(N8="夜值","夜值(晚)",IF(N8="甲夜","夜值(晚) 甲案",IF(N8="備","08-18",IF(OR(N8="支援秘書室",N8="支援出納室",N8="支援警務科",N8="支援事務股"),"支援總(大)隊",IF(N8="支援檢疫所","支援(其他)",IF(  N8="/","空班",  IF(  N8="丙",  "※ 丙案",  IF(  N8="丙常訓",  "※ 丙案 常訓",N8  )))))))))))))))))))))))))</f>
        <v>補休</v>
      </c>
      <c r="O48" s="271" t="str">
        <f>IF(O8="早","08-18",IF(O8="中","12-22",IF(O8="晚","22-08",IF(O8="X","輪休",IF(O8="公","公假",IF(OR(O8="病",O8="事"),"病(事)假",IF(OR(O8="婚",O8="產"),"婚(產)假",IF(O8="補","補休",IF(O8="休","休假",IF(O8="喪","喪假",IF(AND(O8="/",OR($A8=日期輸入!$B$23,$A8=日期輸入!$C$23,$A8=日期輸入!$D$23,$A8=日期輸入!$E$23,$A8=日期輸入!$F$23)),"08-18水電科",IF(O8="大日","大隊值日(日)",IF(O8="大夜","大隊值日(夜)",IF(O8="值1","值1(早)",IF(O8="值1丙","值1(早) 丙案",IF(O8="值2","值2(中)",IF(O8="值2乙","值2(中) 乙案",IF(O8="夜值","夜值(晚)",IF(O8="甲夜","夜值(晚) 甲案",IF(O8="備","08-18",IF(OR(O8="支援秘書室",O8="支援出納室",O8="支援警務科",O8="支援事務股"),"支援總(大)隊",IF(O8="支援檢疫所","支援(其他)",IF(  O8="/","空班",  IF(  O8="丙",  "※ 丙案",  IF(  O8="丙常訓",  "※ 丙案 常訓",O8  )))))))))))))))))))))))))</f>
        <v>補休</v>
      </c>
      <c r="P48" s="271" t="str">
        <f>IF(P8="早","08-18",IF(P8="中","12-22",IF(P8="晚","22-08",IF(P8="X","輪休",IF(P8="公","公假",IF(OR(P8="病",P8="事"),"病(事)假",IF(OR(P8="婚",P8="產"),"婚(產)假",IF(P8="補","補休",IF(P8="休","休假",IF(P8="喪","喪假",IF(AND(P8="/",OR($A8=日期輸入!$B$23,$A8=日期輸入!$C$23,$A8=日期輸入!$D$23,$A8=日期輸入!$E$23,$A8=日期輸入!$F$23)),"08-18水電科",IF(P8="大日","大隊值日(日)",IF(P8="大夜","大隊值日(夜)",IF(P8="值1","值1(早)",IF(P8="值1丙","值1(早) 丙案",IF(P8="值2","值2(中)",IF(P8="值2乙","值2(中) 乙案",IF(P8="夜值","夜值(晚)",IF(P8="甲夜","夜值(晚) 甲案",IF(P8="備","08-18",IF(OR(P8="支援秘書室",P8="支援出納室",P8="支援警務科",P8="支援事務股"),"支援總(大)隊",IF(P8="支援檢疫所","支援(其他)",IF(  P8="/","空班",  IF(  P8="丙",  "※ 丙案",  IF(  P8="丙常訓",  "※ 丙案 常訓",P8  )))))))))))))))))))))))))</f>
        <v>補休</v>
      </c>
      <c r="Q48" s="271" t="str">
        <f>IF(Q8="早","08-18",IF(Q8="中","12-22",IF(Q8="晚","22-08",IF(Q8="X","輪休",IF(Q8="公","公假",IF(OR(Q8="病",Q8="事"),"病(事)假",IF(OR(Q8="婚",Q8="產"),"婚(產)假",IF(Q8="補","補休",IF(Q8="休","休假",IF(Q8="喪","喪假",IF(AND(Q8="/",OR($A8=日期輸入!$B$23,$A8=日期輸入!$C$23,$A8=日期輸入!$D$23,$A8=日期輸入!$E$23,$A8=日期輸入!$F$23)),"08-18水電科",IF(Q8="大日","大隊值日(日)",IF(Q8="大夜","大隊值日(夜)",IF(Q8="值1","值1(早)",IF(Q8="值1丙","值1(早) 丙案",IF(Q8="值2","值2(中)",IF(Q8="值2乙","值2(中) 乙案",IF(Q8="夜值","夜值(晚)",IF(Q8="甲夜","夜值(晚) 甲案",IF(Q8="備","08-18",IF(OR(Q8="支援秘書室",Q8="支援出納室",Q8="支援警務科",Q8="支援事務股"),"支援總(大)隊",IF(Q8="支援檢疫所","支援(其他)",IF(  Q8="/","空班",  IF(  Q8="丙",  "※ 丙案",  IF(  Q8="丙常訓",  "※ 丙案 常訓",Q8  )))))))))))))))))))))))))</f>
        <v>補休</v>
      </c>
      <c r="R48" s="271" t="str">
        <f>IF(R8="早","08-18",IF(R8="中","12-22",IF(R8="晚","22-08",IF(R8="X","輪休",IF(R8="公","公假",IF(OR(R8="病",R8="事"),"病(事)假",IF(OR(R8="婚",R8="產"),"婚(產)假",IF(R8="補","補休",IF(R8="休","休假",IF(R8="喪","喪假",IF(AND(R8="/",OR($A8=日期輸入!$B$23,$A8=日期輸入!$C$23,$A8=日期輸入!$D$23,$A8=日期輸入!$E$23,$A8=日期輸入!$F$23)),"08-18水電科",IF(R8="大日","大隊值日(日)",IF(R8="大夜","大隊值日(夜)",IF(R8="值1","值1(早)",IF(R8="值1丙","值1(早) 丙案",IF(R8="值2","值2(中)",IF(R8="值2乙","值2(中) 乙案",IF(R8="夜值","夜值(晚)",IF(R8="甲夜","夜值(晚) 甲案",IF(R8="備","08-18",IF(OR(R8="支援秘書室",R8="支援出納室",R8="支援警務科",R8="支援事務股"),"支援總(大)隊",IF(R8="支援檢疫所","支援(其他)",IF(  R8="/","空班",  IF(  R8="丙",  "※ 丙案",  IF(  R8="丙常訓",  "※ 丙案 常訓",R8  )))))))))))))))))))))))))</f>
        <v>補休</v>
      </c>
      <c r="S48" s="271" t="str">
        <f>IF(S8="早","08-18",IF(S8="中","12-22",IF(S8="晚","22-08",IF(S8="X","輪休",IF(S8="公","公假",IF(OR(S8="病",S8="事"),"病(事)假",IF(OR(S8="婚",S8="產"),"婚(產)假",IF(S8="補","補休",IF(S8="休","休假",IF(S8="喪","喪假",IF(AND(S8="/",OR($A8=日期輸入!$B$23,$A8=日期輸入!$C$23,$A8=日期輸入!$D$23,$A8=日期輸入!$E$23,$A8=日期輸入!$F$23)),"08-18水電科",IF(S8="大日","大隊值日(日)",IF(S8="大夜","大隊值日(夜)",IF(S8="值1","值1(早)",IF(S8="值1丙","值1(早) 丙案",IF(S8="值2","值2(中)",IF(S8="值2乙","值2(中) 乙案",IF(S8="夜值","夜值(晚)",IF(S8="甲夜","夜值(晚) 甲案",IF(S8="備","08-18",IF(OR(S8="支援秘書室",S8="支援出納室",S8="支援警務科",S8="支援事務股"),"支援總(大)隊",IF(S8="支援檢疫所","支援(其他)",IF(  S8="/","空班",  IF(  S8="丙",  "※ 丙案",  IF(  S8="丙常訓",  "※ 丙案 常訓",S8  )))))))))))))))))))))))))</f>
        <v>補休</v>
      </c>
      <c r="T48" s="271" t="str">
        <f>IF(T8="早","08-18",IF(T8="中","12-22",IF(T8="晚","22-08",IF(T8="X","輪休",IF(T8="公","公假",IF(OR(T8="病",T8="事"),"病(事)假",IF(OR(T8="婚",T8="產"),"婚(產)假",IF(T8="補","補休",IF(T8="休","休假",IF(T8="喪","喪假",IF(AND(T8="/",OR($A8=日期輸入!$B$23,$A8=日期輸入!$C$23,$A8=日期輸入!$D$23,$A8=日期輸入!$E$23,$A8=日期輸入!$F$23)),"08-18水電科",IF(T8="大日","大隊值日(日)",IF(T8="大夜","大隊值日(夜)",IF(T8="值1","值1(早)",IF(T8="值1丙","值1(早) 丙案",IF(T8="值2","值2(中)",IF(T8="值2乙","值2(中) 乙案",IF(T8="夜值","夜值(晚)",IF(T8="甲夜","夜值(晚) 甲案",IF(T8="備","08-18",IF(OR(T8="支援秘書室",T8="支援出納室",T8="支援警務科",T8="支援事務股"),"支援總(大)隊",IF(T8="支援檢疫所","支援(其他)",IF(  T8="/","空班",  IF(  T8="丙",  "※ 丙案",  IF(  T8="丙常訓",  "※ 丙案 常訓",T8  )))))))))))))))))))))))))</f>
        <v>補休</v>
      </c>
      <c r="U48" s="271" t="str">
        <f>IF(U8="早","08-18",IF(U8="中","12-22",IF(U8="晚","22-08",IF(U8="X","輪休",IF(U8="公","公假",IF(OR(U8="病",U8="事"),"病(事)假",IF(OR(U8="婚",U8="產"),"婚(產)假",IF(U8="補","補休",IF(U8="休","休假",IF(U8="喪","喪假",IF(AND(U8="/",OR($A8=日期輸入!$B$23,$A8=日期輸入!$C$23,$A8=日期輸入!$D$23,$A8=日期輸入!$E$23,$A8=日期輸入!$F$23)),"08-18水電科",IF(U8="大日","大隊值日(日)",IF(U8="大夜","大隊值日(夜)",IF(U8="值1","值1(早)",IF(U8="值1丙","值1(早) 丙案",IF(U8="值2","值2(中)",IF(U8="值2乙","值2(中) 乙案",IF(U8="夜值","夜值(晚)",IF(U8="甲夜","夜值(晚) 甲案",IF(U8="備","08-18",IF(OR(U8="支援秘書室",U8="支援出納室",U8="支援警務科",U8="支援事務股"),"支援總(大)隊",IF(U8="支援檢疫所","支援(其他)",IF(  U8="/","空班",  IF(  U8="丙",  "※ 丙案",  IF(  U8="丙常訓",  "※ 丙案 常訓",U8  )))))))))))))))))))))))))</f>
        <v>補休</v>
      </c>
      <c r="V48" s="271" t="str">
        <f>IF(V8="早","08-18",IF(V8="中","12-22",IF(V8="晚","22-08",IF(V8="X","輪休",IF(V8="公","公假",IF(OR(V8="病",V8="事"),"病(事)假",IF(OR(V8="婚",V8="產"),"婚(產)假",IF(V8="補","補休",IF(V8="休","休假",IF(V8="喪","喪假",IF(AND(V8="/",OR($A8=日期輸入!$B$23,$A8=日期輸入!$C$23,$A8=日期輸入!$D$23,$A8=日期輸入!$E$23,$A8=日期輸入!$F$23)),"08-18水電科",IF(V8="大日","大隊值日(日)",IF(V8="大夜","大隊值日(夜)",IF(V8="值1","值1(早)",IF(V8="值1丙","值1(早) 丙案",IF(V8="值2","值2(中)",IF(V8="值2乙","值2(中) 乙案",IF(V8="夜值","夜值(晚)",IF(V8="甲夜","夜值(晚) 甲案",IF(V8="備","08-18",IF(OR(V8="支援秘書室",V8="支援出納室",V8="支援警務科",V8="支援事務股"),"支援總(大)隊",IF(V8="支援檢疫所","支援(其他)",IF(  V8="/","空班",  IF(  V8="丙",  "※ 丙案",  IF(  V8="丙常訓",  "※ 丙案 常訓",V8  )))))))))))))))))))))))))</f>
        <v>補休</v>
      </c>
      <c r="W48" s="271" t="str">
        <f>IF(W8="早","08-18",IF(W8="中","12-22",IF(W8="晚","22-08",IF(W8="X","輪休",IF(W8="公","公假",IF(OR(W8="病",W8="事"),"病(事)假",IF(OR(W8="婚",W8="產"),"婚(產)假",IF(W8="補","補休",IF(W8="休","休假",IF(W8="喪","喪假",IF(AND(W8="/",OR($A8=日期輸入!$B$23,$A8=日期輸入!$C$23,$A8=日期輸入!$D$23,$A8=日期輸入!$E$23,$A8=日期輸入!$F$23)),"08-18水電科",IF(W8="大日","大隊值日(日)",IF(W8="大夜","大隊值日(夜)",IF(W8="值1","值1(早)",IF(W8="值1丙","值1(早) 丙案",IF(W8="值2","值2(中)",IF(W8="值2乙","值2(中) 乙案",IF(W8="夜值","夜值(晚)",IF(W8="甲夜","夜值(晚) 甲案",IF(W8="備","08-18",IF(OR(W8="支援秘書室",W8="支援出納室",W8="支援警務科",W8="支援事務股"),"支援總(大)隊",IF(W8="支援檢疫所","支援(其他)",IF(  W8="/","空班",  IF(  W8="丙",  "※ 丙案",  IF(  W8="丙常訓",  "※ 丙案 常訓",W8  )))))))))))))))))))))))))</f>
        <v>補休</v>
      </c>
      <c r="X48" s="271" t="str">
        <f>IF(X8="早","08-18",IF(X8="中","12-22",IF(X8="晚","22-08",IF(X8="X","輪休",IF(X8="公","公假",IF(OR(X8="病",X8="事"),"病(事)假",IF(OR(X8="婚",X8="產"),"婚(產)假",IF(X8="補","補休",IF(X8="休","休假",IF(X8="喪","喪假",IF(AND(X8="/",OR($A8=日期輸入!$B$23,$A8=日期輸入!$C$23,$A8=日期輸入!$D$23,$A8=日期輸入!$E$23,$A8=日期輸入!$F$23)),"08-18水電科",IF(X8="大日","大隊值日(日)",IF(X8="大夜","大隊值日(夜)",IF(X8="值1","值1(早)",IF(X8="值1丙","值1(早) 丙案",IF(X8="值2","值2(中)",IF(X8="值2乙","值2(中) 乙案",IF(X8="夜值","夜值(晚)",IF(X8="甲夜","夜值(晚) 甲案",IF(X8="備","08-18",IF(OR(X8="支援秘書室",X8="支援出納室",X8="支援警務科",X8="支援事務股"),"支援總(大)隊",IF(X8="支援檢疫所","支援(其他)",IF(  X8="/","空班",  IF(  X8="丙",  "※ 丙案",  IF(  X8="丙常訓",  "※ 丙案 常訓",X8  )))))))))))))))))))))))))</f>
        <v>補休</v>
      </c>
      <c r="Y48" s="271" t="str">
        <f>IF(Y8="早","08-18",IF(Y8="中","12-22",IF(Y8="晚","22-08",IF(Y8="X","輪休",IF(Y8="公","公假",IF(OR(Y8="病",Y8="事"),"病(事)假",IF(OR(Y8="婚",Y8="產"),"婚(產)假",IF(Y8="補","補休",IF(Y8="休","休假",IF(Y8="喪","喪假",IF(AND(Y8="/",OR($A8=日期輸入!$B$23,$A8=日期輸入!$C$23,$A8=日期輸入!$D$23,$A8=日期輸入!$E$23,$A8=日期輸入!$F$23)),"08-18水電科",IF(Y8="大日","大隊值日(日)",IF(Y8="大夜","大隊值日(夜)",IF(Y8="值1","值1(早)",IF(Y8="值1丙","值1(早) 丙案",IF(Y8="值2","值2(中)",IF(Y8="值2乙","值2(中) 乙案",IF(Y8="夜值","夜值(晚)",IF(Y8="甲夜","夜值(晚) 甲案",IF(Y8="備","08-18",IF(OR(Y8="支援秘書室",Y8="支援出納室",Y8="支援警務科",Y8="支援事務股"),"支援總(大)隊",IF(Y8="支援檢疫所","支援(其他)",IF(  Y8="/","空班",  IF(  Y8="丙",  "※ 丙案",  IF(  Y8="丙常訓",  "※ 丙案 常訓",Y8  )))))))))))))))))))))))))</f>
        <v>補休</v>
      </c>
      <c r="Z48" s="271" t="str">
        <f>IF(Z8="早","08-18",IF(Z8="中","12-22",IF(Z8="晚","22-08",IF(Z8="X","輪休",IF(Z8="公","公假",IF(OR(Z8="病",Z8="事"),"病(事)假",IF(OR(Z8="婚",Z8="產"),"婚(產)假",IF(Z8="補","補休",IF(Z8="休","休假",IF(Z8="喪","喪假",IF(AND(Z8="/",OR($A8=日期輸入!$B$23,$A8=日期輸入!$C$23,$A8=日期輸入!$D$23,$A8=日期輸入!$E$23,$A8=日期輸入!$F$23)),"08-18水電科",IF(Z8="大日","大隊值日(日)",IF(Z8="大夜","大隊值日(夜)",IF(Z8="值1","值1(早)",IF(Z8="值1丙","值1(早) 丙案",IF(Z8="值2","值2(中)",IF(Z8="值2乙","值2(中) 乙案",IF(Z8="夜值","夜值(晚)",IF(Z8="甲夜","夜值(晚) 甲案",IF(Z8="備","08-18",IF(OR(Z8="支援秘書室",Z8="支援出納室",Z8="支援警務科",Z8="支援事務股"),"支援總(大)隊",IF(Z8="支援檢疫所","支援(其他)",IF(  Z8="/","空班",  IF(  Z8="丙",  "※ 丙案",  IF(  Z8="丙常訓",  "※ 丙案 常訓",Z8  )))))))))))))))))))))))))</f>
        <v>補休</v>
      </c>
      <c r="AA48" s="271" t="str">
        <f>IF(AA8="早","08-18",IF(AA8="中","12-22",IF(AA8="晚","22-08",IF(AA8="X","輪休",IF(AA8="公","公假",IF(OR(AA8="病",AA8="事"),"病(事)假",IF(OR(AA8="婚",AA8="產"),"婚(產)假",IF(AA8="補","補休",IF(AA8="休","休假",IF(AA8="喪","喪假",IF(AND(AA8="/",OR($A8=日期輸入!$B$23,$A8=日期輸入!$C$23,$A8=日期輸入!$D$23,$A8=日期輸入!$E$23,$A8=日期輸入!$F$23)),"08-18水電科",IF(AA8="大日","大隊值日(日)",IF(AA8="大夜","大隊值日(夜)",IF(AA8="值1","值1(早)",IF(AA8="值1丙","值1(早) 丙案",IF(AA8="值2","值2(中)",IF(AA8="值2乙","值2(中) 乙案",IF(AA8="夜值","夜值(晚)",IF(AA8="甲夜","夜值(晚) 甲案",IF(AA8="備","08-18",IF(OR(AA8="支援秘書室",AA8="支援出納室",AA8="支援警務科",AA8="支援事務股"),"支援總(大)隊",IF(AA8="支援檢疫所","支援(其他)",IF(  AA8="/","空班",  IF(  AA8="丙",  "※ 丙案",  IF(  AA8="丙常訓",  "※ 丙案 常訓",AA8  )))))))))))))))))))))))))</f>
        <v>補休</v>
      </c>
      <c r="AB48" s="271" t="str">
        <f>IF(AB8="早","08-18",IF(AB8="中","12-22",IF(AB8="晚","22-08",IF(AB8="X","輪休",IF(AB8="公","公假",IF(OR(AB8="病",AB8="事"),"病(事)假",IF(OR(AB8="婚",AB8="產"),"婚(產)假",IF(AB8="補","補休",IF(AB8="休","休假",IF(AB8="喪","喪假",IF(AND(AB8="/",OR($A8=日期輸入!$B$23,$A8=日期輸入!$C$23,$A8=日期輸入!$D$23,$A8=日期輸入!$E$23,$A8=日期輸入!$F$23)),"08-18水電科",IF(AB8="大日","大隊值日(日)",IF(AB8="大夜","大隊值日(夜)",IF(AB8="值1","值1(早)",IF(AB8="值1丙","值1(早) 丙案",IF(AB8="值2","值2(中)",IF(AB8="值2乙","值2(中) 乙案",IF(AB8="夜值","夜值(晚)",IF(AB8="甲夜","夜值(晚) 甲案",IF(AB8="備","08-18",IF(OR(AB8="支援秘書室",AB8="支援出納室",AB8="支援警務科",AB8="支援事務股"),"支援總(大)隊",IF(AB8="支援檢疫所","支援(其他)",IF(  AB8="/","空班",  IF(  AB8="丙",  "※ 丙案",  IF(  AB8="丙常訓",  "※ 丙案 常訓",AB8  )))))))))))))))))))))))))</f>
        <v>補休</v>
      </c>
      <c r="AC48" s="271" t="str">
        <f>IF(AC8="早","08-18",IF(AC8="中","12-22",IF(AC8="晚","22-08",IF(AC8="X","輪休",IF(AC8="公","公假",IF(OR(AC8="病",AC8="事"),"病(事)假",IF(OR(AC8="婚",AC8="產"),"婚(產)假",IF(AC8="補","補休",IF(AC8="休","休假",IF(AC8="喪","喪假",IF(AND(AC8="/",OR($A8=日期輸入!$B$23,$A8=日期輸入!$C$23,$A8=日期輸入!$D$23,$A8=日期輸入!$E$23,$A8=日期輸入!$F$23)),"08-18水電科",IF(AC8="大日","大隊值日(日)",IF(AC8="大夜","大隊值日(夜)",IF(AC8="值1","值1(早)",IF(AC8="值1丙","值1(早) 丙案",IF(AC8="值2","值2(中)",IF(AC8="值2乙","值2(中) 乙案",IF(AC8="夜值","夜值(晚)",IF(AC8="甲夜","夜值(晚) 甲案",IF(AC8="備","08-18",IF(OR(AC8="支援秘書室",AC8="支援出納室",AC8="支援警務科",AC8="支援事務股"),"支援總(大)隊",IF(AC8="支援檢疫所","支援(其他)",IF(  AC8="/","空班",  IF(  AC8="丙",  "※ 丙案",  IF(  AC8="丙常訓",  "※ 丙案 常訓",AC8  )))))))))))))))))))))))))</f>
        <v>補休</v>
      </c>
      <c r="AD48" s="271" t="str">
        <f>IF(AD8="早","08-18",IF(AD8="中","12-22",IF(AD8="晚","22-08",IF(AD8="X","輪休",IF(AD8="公","公假",IF(OR(AD8="病",AD8="事"),"病(事)假",IF(OR(AD8="婚",AD8="產"),"婚(產)假",IF(AD8="補","補休",IF(AD8="休","休假",IF(AD8="喪","喪假",IF(AND(AD8="/",OR($A8=日期輸入!$B$23,$A8=日期輸入!$C$23,$A8=日期輸入!$D$23,$A8=日期輸入!$E$23,$A8=日期輸入!$F$23)),"08-18水電科",IF(AD8="大日","大隊值日(日)",IF(AD8="大夜","大隊值日(夜)",IF(AD8="值1","值1(早)",IF(AD8="值1丙","值1(早) 丙案",IF(AD8="值2","值2(中)",IF(AD8="值2乙","值2(中) 乙案",IF(AD8="夜值","夜值(晚)",IF(AD8="甲夜","夜值(晚) 甲案",IF(AD8="備","08-18",IF(OR(AD8="支援秘書室",AD8="支援出納室",AD8="支援警務科",AD8="支援事務股"),"支援總(大)隊",IF(AD8="支援檢疫所","支援(其他)",IF(  AD8="/","空班",  IF(  AD8="丙",  "※ 丙案",  IF(  AD8="丙常訓",  "※ 丙案 常訓",AD8  )))))))))))))))))))))))))</f>
        <v>補休</v>
      </c>
      <c r="AE48" s="271" t="str">
        <f>IF(AE8="早","08-18",IF(AE8="中","12-22",IF(AE8="晚","22-08",IF(AE8="X","輪休",IF(AE8="公","公假",IF(OR(AE8="病",AE8="事"),"病(事)假",IF(OR(AE8="婚",AE8="產"),"婚(產)假",IF(AE8="補","補休",IF(AE8="休","休假",IF(AE8="喪","喪假",IF(AND(AE8="/",OR($A8=日期輸入!$B$23,$A8=日期輸入!$C$23,$A8=日期輸入!$D$23,$A8=日期輸入!$E$23,$A8=日期輸入!$F$23)),"08-18水電科",IF(AE8="大日","大隊值日(日)",IF(AE8="大夜","大隊值日(夜)",IF(AE8="值1","值1(早)",IF(AE8="值1丙","值1(早) 丙案",IF(AE8="值2","值2(中)",IF(AE8="值2乙","值2(中) 乙案",IF(AE8="夜值","夜值(晚)",IF(AE8="甲夜","夜值(晚) 甲案",IF(AE8="備","08-18",IF(OR(AE8="支援秘書室",AE8="支援出納室",AE8="支援警務科",AE8="支援事務股"),"支援總(大)隊",IF(AE8="支援檢疫所","支援(其他)",IF(  AE8="/","空班",  IF(  AE8="丙",  "※ 丙案",  IF(  AE8="丙常訓",  "※ 丙案 常訓",AE8  )))))))))))))))))))))))))</f>
        <v>補休</v>
      </c>
      <c r="AF48" s="271" t="str">
        <f>IF(AF8="早","08-18",IF(AF8="中","12-22",IF(AF8="晚","22-08",IF(AF8="X","輪休",IF(AF8="公","公假",IF(OR(AF8="病",AF8="事"),"病(事)假",IF(OR(AF8="婚",AF8="產"),"婚(產)假",IF(AF8="補","補休",IF(AF8="休","休假",IF(AF8="喪","喪假",IF(AND(AF8="/",OR($A8=日期輸入!$B$23,$A8=日期輸入!$C$23,$A8=日期輸入!$D$23,$A8=日期輸入!$E$23,$A8=日期輸入!$F$23)),"08-18水電科",IF(AF8="大日","大隊值日(日)",IF(AF8="大夜","大隊值日(夜)",IF(AF8="值1","值1(早)",IF(AF8="值1丙","值1(早) 丙案",IF(AF8="值2","值2(中)",IF(AF8="值2乙","值2(中) 乙案",IF(AF8="夜值","夜值(晚)",IF(AF8="甲夜","夜值(晚) 甲案",IF(AF8="備","08-18",IF(OR(AF8="支援秘書室",AF8="支援出納室",AF8="支援警務科",AF8="支援事務股"),"支援總(大)隊",IF(AF8="支援檢疫所","支援(其他)",IF(  AF8="/","空班",  IF(  AF8="丙",  "※ 丙案",  IF(  AF8="丙常訓",  "※ 丙案 常訓",AF8  )))))))))))))))))))))))))</f>
        <v>補休</v>
      </c>
      <c r="AG48" s="271" t="str">
        <f>IF(AG8="早","08-18",IF(AG8="中","12-22",IF(AG8="晚","22-08",IF(AG8="X","輪休",IF(AG8="公","公假",IF(OR(AG8="病",AG8="事"),"病(事)假",IF(OR(AG8="婚",AG8="產"),"婚(產)假",IF(AG8="補","補休",IF(AG8="休","休假",IF(AG8="喪","喪假",IF(AND(AG8="/",OR($A8=日期輸入!$B$23,$A8=日期輸入!$C$23,$A8=日期輸入!$D$23,$A8=日期輸入!$E$23,$A8=日期輸入!$F$23)),"08-18水電科",IF(AG8="大日","大隊值日(日)",IF(AG8="大夜","大隊值日(夜)",IF(AG8="值1","值1(早)",IF(AG8="值1丙","值1(早) 丙案",IF(AG8="值2","值2(中)",IF(AG8="值2乙","值2(中) 乙案",IF(AG8="夜值","夜值(晚)",IF(AG8="甲夜","夜值(晚) 甲案",IF(AG8="備","08-18",IF(OR(AG8="支援秘書室",AG8="支援出納室",AG8="支援警務科",AG8="支援事務股"),"支援總(大)隊",IF(AG8="支援檢疫所","支援(其他)",IF(  AG8="/","空班",  IF(  AG8="丙",  "※ 丙案",  IF(  AG8="丙常訓",  "※ 丙案 常訓",AG8  )))))))))))))))))))))))))</f>
        <v>補休</v>
      </c>
    </row>
    <row r="49" spans="1:33">
      <c r="A49" s="271" t="str">
        <f t="shared" ref="A49:B49" si="8">A9</f>
        <v>L</v>
      </c>
      <c r="B49" s="271" t="str">
        <f t="shared" si="8"/>
        <v>黃慶生</v>
      </c>
      <c r="C49" s="271" t="str">
        <f>IF(C9="早","08-18",IF(C9="中","12-22",IF(C9="晚","22-08",IF(C9="X","輪休",IF(C9="公","公假",IF(OR(C9="病",C9="事"),"病(事)假",IF(OR(C9="婚",C9="產"),"婚(產)假",IF(C9="補","補休",IF(C9="休","休假",IF(C9="喪","喪假",IF(AND(C9="/",OR($A9=日期輸入!$B$23,$A9=日期輸入!$C$23,$A9=日期輸入!$D$23,$A9=日期輸入!$E$23,$A9=日期輸入!$F$23)),"08-18水電科",IF(C9="大日","大隊值日(日)",IF(C9="大夜","大隊值日(夜)",IF(C9="值1","值1(早)",IF(C9="值1丙","值1(早) 丙案",IF(C9="值2","值2(中)",IF(C9="值2乙","值2(中) 乙案",IF(C9="夜值","夜值(晚)",IF(C9="甲夜","夜值(晚) 甲案",IF(C9="備","08-18",IF(OR(C9="支援秘書室",C9="支援出納室",C9="支援警務科",C9="支援事務股"),"支援總(大)隊",IF(C9="支援檢疫所","支援(其他)",IF(  C9="/","空班",  IF(  C9="丙",  "※ 丙案",  IF(  C9="丙常訓",  "※ 丙案 常訓",C9  )))))))))))))))))))))))))</f>
        <v>輪休</v>
      </c>
      <c r="D49" s="271" t="str">
        <f>IF(D9="早","08-18",IF(D9="中","12-22",IF(D9="晚","22-08",IF(D9="X","輪休",IF(D9="公","公假",IF(OR(D9="病",D9="事"),"病(事)假",IF(OR(D9="婚",D9="產"),"婚(產)假",IF(D9="補","補休",IF(D9="休","休假",IF(D9="喪","喪假",IF(AND(D9="/",OR($A9=日期輸入!$B$23,$A9=日期輸入!$C$23,$A9=日期輸入!$D$23,$A9=日期輸入!$E$23,$A9=日期輸入!$F$23)),"08-18水電科",IF(D9="大日","大隊值日(日)",IF(D9="大夜","大隊值日(夜)",IF(D9="值1","值1(早)",IF(D9="值1丙","值1(早) 丙案",IF(D9="值2","值2(中)",IF(D9="值2乙","值2(中) 乙案",IF(D9="夜值","夜值(晚)",IF(D9="甲夜","夜值(晚) 甲案",IF(D9="備","08-18",IF(OR(D9="支援秘書室",D9="支援出納室",D9="支援警務科",D9="支援事務股"),"支援總(大)隊",IF(D9="支援檢疫所","支援(其他)",IF(  D9="/","空班",  IF(  D9="丙",  "※ 丙案",  IF(  D9="丙常訓",  "※ 丙案 常訓",D9  )))))))))))))))))))))))))</f>
        <v>輪休</v>
      </c>
      <c r="E49" s="271" t="str">
        <f>IF(E9="早","08-18",IF(E9="中","12-22",IF(E9="晚","22-08",IF(E9="X","輪休",IF(E9="公","公假",IF(OR(E9="病",E9="事"),"病(事)假",IF(OR(E9="婚",E9="產"),"婚(產)假",IF(E9="補","補休",IF(E9="休","休假",IF(E9="喪","喪假",IF(AND(E9="/",OR($A9=日期輸入!$B$23,$A9=日期輸入!$C$23,$A9=日期輸入!$D$23,$A9=日期輸入!$E$23,$A9=日期輸入!$F$23)),"08-18水電科",IF(E9="大日","大隊值日(日)",IF(E9="大夜","大隊值日(夜)",IF(E9="值1","值1(早)",IF(E9="值1丙","值1(早) 丙案",IF(E9="值2","值2(中)",IF(E9="值2乙","值2(中) 乙案",IF(E9="夜值","夜值(晚)",IF(E9="甲夜","夜值(晚) 甲案",IF(E9="備","08-18",IF(OR(E9="支援秘書室",E9="支援出納室",E9="支援警務科",E9="支援事務股"),"支援總(大)隊",IF(E9="支援檢疫所","支援(其他)",IF(  E9="/","空班",  IF(  E9="丙",  "※ 丙案",  IF(  E9="丙常訓",  "※ 丙案 常訓",E9  )))))))))))))))))))))))))</f>
        <v>休假</v>
      </c>
      <c r="F49" s="271" t="str">
        <f>IF(F9="早","08-18",IF(F9="中","12-22",IF(F9="晚","22-08",IF(F9="X","輪休",IF(F9="公","公假",IF(OR(F9="病",F9="事"),"病(事)假",IF(OR(F9="婚",F9="產"),"婚(產)假",IF(F9="補","補休",IF(F9="休","休假",IF(F9="喪","喪假",IF(AND(F9="/",OR($A9=日期輸入!$B$23,$A9=日期輸入!$C$23,$A9=日期輸入!$D$23,$A9=日期輸入!$E$23,$A9=日期輸入!$F$23)),"08-18水電科",IF(F9="大日","大隊值日(日)",IF(F9="大夜","大隊值日(夜)",IF(F9="值1","值1(早)",IF(F9="值1丙","值1(早) 丙案",IF(F9="值2","值2(中)",IF(F9="值2乙","值2(中) 乙案",IF(F9="夜值","夜值(晚)",IF(F9="甲夜","夜值(晚) 甲案",IF(F9="備","08-18",IF(OR(F9="支援秘書室",F9="支援出納室",F9="支援警務科",F9="支援事務股"),"支援總(大)隊",IF(F9="支援檢疫所","支援(其他)",IF(  F9="/","空班",  IF(  F9="丙",  "※ 丙案",  IF(  F9="丙常訓",  "※ 丙案 常訓",F9  )))))))))))))))))))))))))</f>
        <v>夜值(晚)</v>
      </c>
      <c r="G49" s="271" t="str">
        <f>IF(G9="早","08-18",IF(G9="中","12-22",IF(G9="晚","22-08",IF(G9="X","輪休",IF(G9="公","公假",IF(OR(G9="病",G9="事"),"病(事)假",IF(OR(G9="婚",G9="產"),"婚(產)假",IF(G9="補","補休",IF(G9="休","休假",IF(G9="喪","喪假",IF(AND(G9="/",OR($A9=日期輸入!$B$23,$A9=日期輸入!$C$23,$A9=日期輸入!$D$23,$A9=日期輸入!$E$23,$A9=日期輸入!$F$23)),"08-18水電科",IF(G9="大日","大隊值日(日)",IF(G9="大夜","大隊值日(夜)",IF(G9="值1","值1(早)",IF(G9="值1丙","值1(早) 丙案",IF(G9="值2","值2(中)",IF(G9="值2乙","值2(中) 乙案",IF(G9="夜值","夜值(晚)",IF(G9="甲夜","夜值(晚) 甲案",IF(G9="備","08-18",IF(OR(G9="支援秘書室",G9="支援出納室",G9="支援警務科",G9="支援事務股"),"支援總(大)隊",IF(G9="支援檢疫所","支援(其他)",IF(  G9="/","空班",  IF(  G9="丙",  "※ 丙案",  IF(  G9="丙常訓",  "※ 丙案 常訓",G9  )))))))))))))))))))))))))</f>
        <v>夜值(晚)</v>
      </c>
      <c r="H49" s="271" t="str">
        <f>IF(H9="早","08-18",IF(H9="中","12-22",IF(H9="晚","22-08",IF(H9="X","輪休",IF(H9="公","公假",IF(OR(H9="病",H9="事"),"病(事)假",IF(OR(H9="婚",H9="產"),"婚(產)假",IF(H9="補","補休",IF(H9="休","休假",IF(H9="喪","喪假",IF(AND(H9="/",OR($A9=日期輸入!$B$23,$A9=日期輸入!$C$23,$A9=日期輸入!$D$23,$A9=日期輸入!$E$23,$A9=日期輸入!$F$23)),"08-18水電科",IF(H9="大日","大隊值日(日)",IF(H9="大夜","大隊值日(夜)",IF(H9="值1","值1(早)",IF(H9="值1丙","值1(早) 丙案",IF(H9="值2","值2(中)",IF(H9="值2乙","值2(中) 乙案",IF(H9="夜值","夜值(晚)",IF(H9="甲夜","夜值(晚) 甲案",IF(H9="備","08-18",IF(OR(H9="支援秘書室",H9="支援出納室",H9="支援警務科",H9="支援事務股"),"支援總(大)隊",IF(H9="支援檢疫所","支援(其他)",IF(  H9="/","空班",  IF(  H9="丙",  "※ 丙案",  IF(  H9="丙常訓",  "※ 丙案 常訓",H9  )))))))))))))))))))))))))</f>
        <v>夜值(晚)</v>
      </c>
      <c r="I49" s="271" t="str">
        <f>IF(I9="早","08-18",IF(I9="中","12-22",IF(I9="晚","22-08",IF(I9="X","輪休",IF(I9="公","公假",IF(OR(I9="病",I9="事"),"病(事)假",IF(OR(I9="婚",I9="產"),"婚(產)假",IF(I9="補","補休",IF(I9="休","休假",IF(I9="喪","喪假",IF(AND(I9="/",OR($A9=日期輸入!$B$23,$A9=日期輸入!$C$23,$A9=日期輸入!$D$23,$A9=日期輸入!$E$23,$A9=日期輸入!$F$23)),"08-18水電科",IF(I9="大日","大隊值日(日)",IF(I9="大夜","大隊值日(夜)",IF(I9="值1","值1(早)",IF(I9="值1丙","值1(早) 丙案",IF(I9="值2","值2(中)",IF(I9="值2乙","值2(中) 乙案",IF(I9="夜值","夜值(晚)",IF(I9="甲夜","夜值(晚) 甲案",IF(I9="備","08-18",IF(OR(I9="支援秘書室",I9="支援出納室",I9="支援警務科",I9="支援事務股"),"支援總(大)隊",IF(I9="支援檢疫所","支援(其他)",IF(  I9="/","空班",  IF(  I9="丙",  "※ 丙案",  IF(  I9="丙常訓",  "※ 丙案 常訓",I9  )))))))))))))))))))))))))</f>
        <v>夜值(晚)</v>
      </c>
      <c r="J49" s="271" t="str">
        <f>IF(J9="早","08-18",IF(J9="中","12-22",IF(J9="晚","22-08",IF(J9="X","輪休",IF(J9="公","公假",IF(OR(J9="病",J9="事"),"病(事)假",IF(OR(J9="婚",J9="產"),"婚(產)假",IF(J9="補","補休",IF(J9="休","休假",IF(J9="喪","喪假",IF(AND(J9="/",OR($A9=日期輸入!$B$23,$A9=日期輸入!$C$23,$A9=日期輸入!$D$23,$A9=日期輸入!$E$23,$A9=日期輸入!$F$23)),"08-18水電科",IF(J9="大日","大隊值日(日)",IF(J9="大夜","大隊值日(夜)",IF(J9="值1","值1(早)",IF(J9="值1丙","值1(早) 丙案",IF(J9="值2","值2(中)",IF(J9="值2乙","值2(中) 乙案",IF(J9="夜值","夜值(晚)",IF(J9="甲夜","夜值(晚) 甲案",IF(J9="備","08-18",IF(OR(J9="支援秘書室",J9="支援出納室",J9="支援警務科",J9="支援事務股"),"支援總(大)隊",IF(J9="支援檢疫所","支援(其他)",IF(  J9="/","空班",  IF(  J9="丙",  "※ 丙案",  IF(  J9="丙常訓",  "※ 丙案 常訓",J9  )))))))))))))))))))))))))</f>
        <v>夜值(晚)</v>
      </c>
      <c r="K49" s="271" t="str">
        <f>IF(K9="早","08-18",IF(K9="中","12-22",IF(K9="晚","22-08",IF(K9="X","輪休",IF(K9="公","公假",IF(OR(K9="病",K9="事"),"病(事)假",IF(OR(K9="婚",K9="產"),"婚(產)假",IF(K9="補","補休",IF(K9="休","休假",IF(K9="喪","喪假",IF(AND(K9="/",OR($A9=日期輸入!$B$23,$A9=日期輸入!$C$23,$A9=日期輸入!$D$23,$A9=日期輸入!$E$23,$A9=日期輸入!$F$23)),"08-18水電科",IF(K9="大日","大隊值日(日)",IF(K9="大夜","大隊值日(夜)",IF(K9="值1","值1(早)",IF(K9="值1丙","值1(早) 丙案",IF(K9="值2","值2(中)",IF(K9="值2乙","值2(中) 乙案",IF(K9="夜值","夜值(晚)",IF(K9="甲夜","夜值(晚) 甲案",IF(K9="備","08-18",IF(OR(K9="支援秘書室",K9="支援出納室",K9="支援警務科",K9="支援事務股"),"支援總(大)隊",IF(K9="支援檢疫所","支援(其他)",IF(  K9="/","空班",  IF(  K9="丙",  "※ 丙案",  IF(  K9="丙常訓",  "※ 丙案 常訓",K9  )))))))))))))))))))))))))</f>
        <v>夜值(晚)</v>
      </c>
      <c r="L49" s="271" t="str">
        <f>IF(L9="早","08-18",IF(L9="中","12-22",IF(L9="晚","22-08",IF(L9="X","輪休",IF(L9="公","公假",IF(OR(L9="病",L9="事"),"病(事)假",IF(OR(L9="婚",L9="產"),"婚(產)假",IF(L9="補","補休",IF(L9="休","休假",IF(L9="喪","喪假",IF(AND(L9="/",OR($A9=日期輸入!$B$23,$A9=日期輸入!$C$23,$A9=日期輸入!$D$23,$A9=日期輸入!$E$23,$A9=日期輸入!$F$23)),"08-18水電科",IF(L9="大日","大隊值日(日)",IF(L9="大夜","大隊值日(夜)",IF(L9="值1","值1(早)",IF(L9="值1丙","值1(早) 丙案",IF(L9="值2","值2(中)",IF(L9="值2乙","值2(中) 乙案",IF(L9="夜值","夜值(晚)",IF(L9="甲夜","夜值(晚) 甲案",IF(L9="備","08-18",IF(OR(L9="支援秘書室",L9="支援出納室",L9="支援警務科",L9="支援事務股"),"支援總(大)隊",IF(L9="支援檢疫所","支援(其他)",IF(  L9="/","空班",  IF(  L9="丙",  "※ 丙案",  IF(  L9="丙常訓",  "※ 丙案 常訓",L9  )))))))))))))))))))))))))</f>
        <v>夜值(晚)</v>
      </c>
      <c r="M49" s="271" t="str">
        <f>IF(M9="早","08-18",IF(M9="中","12-22",IF(M9="晚","22-08",IF(M9="X","輪休",IF(M9="公","公假",IF(OR(M9="病",M9="事"),"病(事)假",IF(OR(M9="婚",M9="產"),"婚(產)假",IF(M9="補","補休",IF(M9="休","休假",IF(M9="喪","喪假",IF(AND(M9="/",OR($A9=日期輸入!$B$23,$A9=日期輸入!$C$23,$A9=日期輸入!$D$23,$A9=日期輸入!$E$23,$A9=日期輸入!$F$23)),"08-18水電科",IF(M9="大日","大隊值日(日)",IF(M9="大夜","大隊值日(夜)",IF(M9="值1","值1(早)",IF(M9="值1丙","值1(早) 丙案",IF(M9="值2","值2(中)",IF(M9="值2乙","值2(中) 乙案",IF(M9="夜值","夜值(晚)",IF(M9="甲夜","夜值(晚) 甲案",IF(M9="備","08-18",IF(OR(M9="支援秘書室",M9="支援出納室",M9="支援警務科",M9="支援事務股"),"支援總(大)隊",IF(M9="支援檢疫所","支援(其他)",IF(  M9="/","空班",  IF(  M9="丙",  "※ 丙案",  IF(  M9="丙常訓",  "※ 丙案 常訓",M9  )))))))))))))))))))))))))</f>
        <v>夜值(晚)</v>
      </c>
      <c r="N49" s="271" t="str">
        <f>IF(N9="早","08-18",IF(N9="中","12-22",IF(N9="晚","22-08",IF(N9="X","輪休",IF(N9="公","公假",IF(OR(N9="病",N9="事"),"病(事)假",IF(OR(N9="婚",N9="產"),"婚(產)假",IF(N9="補","補休",IF(N9="休","休假",IF(N9="喪","喪假",IF(AND(N9="/",OR($A9=日期輸入!$B$23,$A9=日期輸入!$C$23,$A9=日期輸入!$D$23,$A9=日期輸入!$E$23,$A9=日期輸入!$F$23)),"08-18水電科",IF(N9="大日","大隊值日(日)",IF(N9="大夜","大隊值日(夜)",IF(N9="值1","值1(早)",IF(N9="值1丙","值1(早) 丙案",IF(N9="值2","值2(中)",IF(N9="值2乙","值2(中) 乙案",IF(N9="夜值","夜值(晚)",IF(N9="甲夜","夜值(晚) 甲案",IF(N9="備","08-18",IF(OR(N9="支援秘書室",N9="支援出納室",N9="支援警務科",N9="支援事務股"),"支援總(大)隊",IF(N9="支援檢疫所","支援(其他)",IF(  N9="/","空班",  IF(  N9="丙",  "※ 丙案",  IF(  N9="丙常訓",  "※ 丙案 常訓",N9  )))))))))))))))))))))))))</f>
        <v>夜值(晚)</v>
      </c>
      <c r="O49" s="271" t="str">
        <f>IF(O9="早","08-18",IF(O9="中","12-22",IF(O9="晚","22-08",IF(O9="X","輪休",IF(O9="公","公假",IF(OR(O9="病",O9="事"),"病(事)假",IF(OR(O9="婚",O9="產"),"婚(產)假",IF(O9="補","補休",IF(O9="休","休假",IF(O9="喪","喪假",IF(AND(O9="/",OR($A9=日期輸入!$B$23,$A9=日期輸入!$C$23,$A9=日期輸入!$D$23,$A9=日期輸入!$E$23,$A9=日期輸入!$F$23)),"08-18水電科",IF(O9="大日","大隊值日(日)",IF(O9="大夜","大隊值日(夜)",IF(O9="值1","值1(早)",IF(O9="值1丙","值1(早) 丙案",IF(O9="值2","值2(中)",IF(O9="值2乙","值2(中) 乙案",IF(O9="夜值","夜值(晚)",IF(O9="甲夜","夜值(晚) 甲案",IF(O9="備","08-18",IF(OR(O9="支援秘書室",O9="支援出納室",O9="支援警務科",O9="支援事務股"),"支援總(大)隊",IF(O9="支援檢疫所","支援(其他)",IF(  O9="/","空班",  IF(  O9="丙",  "※ 丙案",  IF(  O9="丙常訓",  "※ 丙案 常訓",O9  )))))))))))))))))))))))))</f>
        <v>夜值(晚)</v>
      </c>
      <c r="P49" s="271" t="str">
        <f>IF(P9="早","08-18",IF(P9="中","12-22",IF(P9="晚","22-08",IF(P9="X","輪休",IF(P9="公","公假",IF(OR(P9="病",P9="事"),"病(事)假",IF(OR(P9="婚",P9="產"),"婚(產)假",IF(P9="補","補休",IF(P9="休","休假",IF(P9="喪","喪假",IF(AND(P9="/",OR($A9=日期輸入!$B$23,$A9=日期輸入!$C$23,$A9=日期輸入!$D$23,$A9=日期輸入!$E$23,$A9=日期輸入!$F$23)),"08-18水電科",IF(P9="大日","大隊值日(日)",IF(P9="大夜","大隊值日(夜)",IF(P9="值1","值1(早)",IF(P9="值1丙","值1(早) 丙案",IF(P9="值2","值2(中)",IF(P9="值2乙","值2(中) 乙案",IF(P9="夜值","夜值(晚)",IF(P9="甲夜","夜值(晚) 甲案",IF(P9="備","08-18",IF(OR(P9="支援秘書室",P9="支援出納室",P9="支援警務科",P9="支援事務股"),"支援總(大)隊",IF(P9="支援檢疫所","支援(其他)",IF(  P9="/","空班",  IF(  P9="丙",  "※ 丙案",  IF(  P9="丙常訓",  "※ 丙案 常訓",P9  )))))))))))))))))))))))))</f>
        <v>夜值(晚)</v>
      </c>
      <c r="Q49" s="271" t="str">
        <f>IF(Q9="早","08-18",IF(Q9="中","12-22",IF(Q9="晚","22-08",IF(Q9="X","輪休",IF(Q9="公","公假",IF(OR(Q9="病",Q9="事"),"病(事)假",IF(OR(Q9="婚",Q9="產"),"婚(產)假",IF(Q9="補","補休",IF(Q9="休","休假",IF(Q9="喪","喪假",IF(AND(Q9="/",OR($A9=日期輸入!$B$23,$A9=日期輸入!$C$23,$A9=日期輸入!$D$23,$A9=日期輸入!$E$23,$A9=日期輸入!$F$23)),"08-18水電科",IF(Q9="大日","大隊值日(日)",IF(Q9="大夜","大隊值日(夜)",IF(Q9="值1","值1(早)",IF(Q9="值1丙","值1(早) 丙案",IF(Q9="值2","值2(中)",IF(Q9="值2乙","值2(中) 乙案",IF(Q9="夜值","夜值(晚)",IF(Q9="甲夜","夜值(晚) 甲案",IF(Q9="備","08-18",IF(OR(Q9="支援秘書室",Q9="支援出納室",Q9="支援警務科",Q9="支援事務股"),"支援總(大)隊",IF(Q9="支援檢疫所","支援(其他)",IF(  Q9="/","空班",  IF(  Q9="丙",  "※ 丙案",  IF(  Q9="丙常訓",  "※ 丙案 常訓",Q9  )))))))))))))))))))))))))</f>
        <v>夜值(晚)</v>
      </c>
      <c r="R49" s="271" t="str">
        <f>IF(R9="早","08-18",IF(R9="中","12-22",IF(R9="晚","22-08",IF(R9="X","輪休",IF(R9="公","公假",IF(OR(R9="病",R9="事"),"病(事)假",IF(OR(R9="婚",R9="產"),"婚(產)假",IF(R9="補","補休",IF(R9="休","休假",IF(R9="喪","喪假",IF(AND(R9="/",OR($A9=日期輸入!$B$23,$A9=日期輸入!$C$23,$A9=日期輸入!$D$23,$A9=日期輸入!$E$23,$A9=日期輸入!$F$23)),"08-18水電科",IF(R9="大日","大隊值日(日)",IF(R9="大夜","大隊值日(夜)",IF(R9="值1","值1(早)",IF(R9="值1丙","值1(早) 丙案",IF(R9="值2","值2(中)",IF(R9="值2乙","值2(中) 乙案",IF(R9="夜值","夜值(晚)",IF(R9="甲夜","夜值(晚) 甲案",IF(R9="備","08-18",IF(OR(R9="支援秘書室",R9="支援出納室",R9="支援警務科",R9="支援事務股"),"支援總(大)隊",IF(R9="支援檢疫所","支援(其他)",IF(  R9="/","空班",  IF(  R9="丙",  "※ 丙案",  IF(  R9="丙常訓",  "※ 丙案 常訓",R9  )))))))))))))))))))))))))</f>
        <v>夜值(晚)</v>
      </c>
      <c r="S49" s="271" t="str">
        <f>IF(S9="早","08-18",IF(S9="中","12-22",IF(S9="晚","22-08",IF(S9="X","輪休",IF(S9="公","公假",IF(OR(S9="病",S9="事"),"病(事)假",IF(OR(S9="婚",S9="產"),"婚(產)假",IF(S9="補","補休",IF(S9="休","休假",IF(S9="喪","喪假",IF(AND(S9="/",OR($A9=日期輸入!$B$23,$A9=日期輸入!$C$23,$A9=日期輸入!$D$23,$A9=日期輸入!$E$23,$A9=日期輸入!$F$23)),"08-18水電科",IF(S9="大日","大隊值日(日)",IF(S9="大夜","大隊值日(夜)",IF(S9="值1","值1(早)",IF(S9="值1丙","值1(早) 丙案",IF(S9="值2","值2(中)",IF(S9="值2乙","值2(中) 乙案",IF(S9="夜值","夜值(晚)",IF(S9="甲夜","夜值(晚) 甲案",IF(S9="備","08-18",IF(OR(S9="支援秘書室",S9="支援出納室",S9="支援警務科",S9="支援事務股"),"支援總(大)隊",IF(S9="支援檢疫所","支援(其他)",IF(  S9="/","空班",  IF(  S9="丙",  "※ 丙案",  IF(  S9="丙常訓",  "※ 丙案 常訓",S9  )))))))))))))))))))))))))</f>
        <v>夜值(晚)</v>
      </c>
      <c r="T49" s="271" t="str">
        <f>IF(T9="早","08-18",IF(T9="中","12-22",IF(T9="晚","22-08",IF(T9="X","輪休",IF(T9="公","公假",IF(OR(T9="病",T9="事"),"病(事)假",IF(OR(T9="婚",T9="產"),"婚(產)假",IF(T9="補","補休",IF(T9="休","休假",IF(T9="喪","喪假",IF(AND(T9="/",OR($A9=日期輸入!$B$23,$A9=日期輸入!$C$23,$A9=日期輸入!$D$23,$A9=日期輸入!$E$23,$A9=日期輸入!$F$23)),"08-18水電科",IF(T9="大日","大隊值日(日)",IF(T9="大夜","大隊值日(夜)",IF(T9="值1","值1(早)",IF(T9="值1丙","值1(早) 丙案",IF(T9="值2","值2(中)",IF(T9="值2乙","值2(中) 乙案",IF(T9="夜值","夜值(晚)",IF(T9="甲夜","夜值(晚) 甲案",IF(T9="備","08-18",IF(OR(T9="支援秘書室",T9="支援出納室",T9="支援警務科",T9="支援事務股"),"支援總(大)隊",IF(T9="支援檢疫所","支援(其他)",IF(  T9="/","空班",  IF(  T9="丙",  "※ 丙案",  IF(  T9="丙常訓",  "※ 丙案 常訓",T9  )))))))))))))))))))))))))</f>
        <v>夜值(晚)</v>
      </c>
      <c r="U49" s="271" t="str">
        <f>IF(U9="早","08-18",IF(U9="中","12-22",IF(U9="晚","22-08",IF(U9="X","輪休",IF(U9="公","公假",IF(OR(U9="病",U9="事"),"病(事)假",IF(OR(U9="婚",U9="產"),"婚(產)假",IF(U9="補","補休",IF(U9="休","休假",IF(U9="喪","喪假",IF(AND(U9="/",OR($A9=日期輸入!$B$23,$A9=日期輸入!$C$23,$A9=日期輸入!$D$23,$A9=日期輸入!$E$23,$A9=日期輸入!$F$23)),"08-18水電科",IF(U9="大日","大隊值日(日)",IF(U9="大夜","大隊值日(夜)",IF(U9="值1","值1(早)",IF(U9="值1丙","值1(早) 丙案",IF(U9="值2","值2(中)",IF(U9="值2乙","值2(中) 乙案",IF(U9="夜值","夜值(晚)",IF(U9="甲夜","夜值(晚) 甲案",IF(U9="備","08-18",IF(OR(U9="支援秘書室",U9="支援出納室",U9="支援警務科",U9="支援事務股"),"支援總(大)隊",IF(U9="支援檢疫所","支援(其他)",IF(  U9="/","空班",  IF(  U9="丙",  "※ 丙案",  IF(  U9="丙常訓",  "※ 丙案 常訓",U9  )))))))))))))))))))))))))</f>
        <v>夜值(晚)</v>
      </c>
      <c r="V49" s="271" t="str">
        <f>IF(V9="早","08-18",IF(V9="中","12-22",IF(V9="晚","22-08",IF(V9="X","輪休",IF(V9="公","公假",IF(OR(V9="病",V9="事"),"病(事)假",IF(OR(V9="婚",V9="產"),"婚(產)假",IF(V9="補","補休",IF(V9="休","休假",IF(V9="喪","喪假",IF(AND(V9="/",OR($A9=日期輸入!$B$23,$A9=日期輸入!$C$23,$A9=日期輸入!$D$23,$A9=日期輸入!$E$23,$A9=日期輸入!$F$23)),"08-18水電科",IF(V9="大日","大隊值日(日)",IF(V9="大夜","大隊值日(夜)",IF(V9="值1","值1(早)",IF(V9="值1丙","值1(早) 丙案",IF(V9="值2","值2(中)",IF(V9="值2乙","值2(中) 乙案",IF(V9="夜值","夜值(晚)",IF(V9="甲夜","夜值(晚) 甲案",IF(V9="備","08-18",IF(OR(V9="支援秘書室",V9="支援出納室",V9="支援警務科",V9="支援事務股"),"支援總(大)隊",IF(V9="支援檢疫所","支援(其他)",IF(  V9="/","空班",  IF(  V9="丙",  "※ 丙案",  IF(  V9="丙常訓",  "※ 丙案 常訓",V9  )))))))))))))))))))))))))</f>
        <v>夜值(晚)</v>
      </c>
      <c r="W49" s="271" t="str">
        <f>IF(W9="早","08-18",IF(W9="中","12-22",IF(W9="晚","22-08",IF(W9="X","輪休",IF(W9="公","公假",IF(OR(W9="病",W9="事"),"病(事)假",IF(OR(W9="婚",W9="產"),"婚(產)假",IF(W9="補","補休",IF(W9="休","休假",IF(W9="喪","喪假",IF(AND(W9="/",OR($A9=日期輸入!$B$23,$A9=日期輸入!$C$23,$A9=日期輸入!$D$23,$A9=日期輸入!$E$23,$A9=日期輸入!$F$23)),"08-18水電科",IF(W9="大日","大隊值日(日)",IF(W9="大夜","大隊值日(夜)",IF(W9="值1","值1(早)",IF(W9="值1丙","值1(早) 丙案",IF(W9="值2","值2(中)",IF(W9="值2乙","值2(中) 乙案",IF(W9="夜值","夜值(晚)",IF(W9="甲夜","夜值(晚) 甲案",IF(W9="備","08-18",IF(OR(W9="支援秘書室",W9="支援出納室",W9="支援警務科",W9="支援事務股"),"支援總(大)隊",IF(W9="支援檢疫所","支援(其他)",IF(  W9="/","空班",  IF(  W9="丙",  "※ 丙案",  IF(  W9="丙常訓",  "※ 丙案 常訓",W9  )))))))))))))))))))))))))</f>
        <v>夜值(晚)</v>
      </c>
      <c r="X49" s="271" t="str">
        <f>IF(X9="早","08-18",IF(X9="中","12-22",IF(X9="晚","22-08",IF(X9="X","輪休",IF(X9="公","公假",IF(OR(X9="病",X9="事"),"病(事)假",IF(OR(X9="婚",X9="產"),"婚(產)假",IF(X9="補","補休",IF(X9="休","休假",IF(X9="喪","喪假",IF(AND(X9="/",OR($A9=日期輸入!$B$23,$A9=日期輸入!$C$23,$A9=日期輸入!$D$23,$A9=日期輸入!$E$23,$A9=日期輸入!$F$23)),"08-18水電科",IF(X9="大日","大隊值日(日)",IF(X9="大夜","大隊值日(夜)",IF(X9="值1","值1(早)",IF(X9="值1丙","值1(早) 丙案",IF(X9="值2","值2(中)",IF(X9="值2乙","值2(中) 乙案",IF(X9="夜值","夜值(晚)",IF(X9="甲夜","夜值(晚) 甲案",IF(X9="備","08-18",IF(OR(X9="支援秘書室",X9="支援出納室",X9="支援警務科",X9="支援事務股"),"支援總(大)隊",IF(X9="支援檢疫所","支援(其他)",IF(  X9="/","空班",  IF(  X9="丙",  "※ 丙案",  IF(  X9="丙常訓",  "※ 丙案 常訓",X9  )))))))))))))))))))))))))</f>
        <v>夜值(晚)</v>
      </c>
      <c r="Y49" s="271" t="str">
        <f>IF(Y9="早","08-18",IF(Y9="中","12-22",IF(Y9="晚","22-08",IF(Y9="X","輪休",IF(Y9="公","公假",IF(OR(Y9="病",Y9="事"),"病(事)假",IF(OR(Y9="婚",Y9="產"),"婚(產)假",IF(Y9="補","補休",IF(Y9="休","休假",IF(Y9="喪","喪假",IF(AND(Y9="/",OR($A9=日期輸入!$B$23,$A9=日期輸入!$C$23,$A9=日期輸入!$D$23,$A9=日期輸入!$E$23,$A9=日期輸入!$F$23)),"08-18水電科",IF(Y9="大日","大隊值日(日)",IF(Y9="大夜","大隊值日(夜)",IF(Y9="值1","值1(早)",IF(Y9="值1丙","值1(早) 丙案",IF(Y9="值2","值2(中)",IF(Y9="值2乙","值2(中) 乙案",IF(Y9="夜值","夜值(晚)",IF(Y9="甲夜","夜值(晚) 甲案",IF(Y9="備","08-18",IF(OR(Y9="支援秘書室",Y9="支援出納室",Y9="支援警務科",Y9="支援事務股"),"支援總(大)隊",IF(Y9="支援檢疫所","支援(其他)",IF(  Y9="/","空班",  IF(  Y9="丙",  "※ 丙案",  IF(  Y9="丙常訓",  "※ 丙案 常訓",Y9  )))))))))))))))))))))))))</f>
        <v>夜值(晚)</v>
      </c>
      <c r="Z49" s="271" t="str">
        <f>IF(Z9="早","08-18",IF(Z9="中","12-22",IF(Z9="晚","22-08",IF(Z9="X","輪休",IF(Z9="公","公假",IF(OR(Z9="病",Z9="事"),"病(事)假",IF(OR(Z9="婚",Z9="產"),"婚(產)假",IF(Z9="補","補休",IF(Z9="休","休假",IF(Z9="喪","喪假",IF(AND(Z9="/",OR($A9=日期輸入!$B$23,$A9=日期輸入!$C$23,$A9=日期輸入!$D$23,$A9=日期輸入!$E$23,$A9=日期輸入!$F$23)),"08-18水電科",IF(Z9="大日","大隊值日(日)",IF(Z9="大夜","大隊值日(夜)",IF(Z9="值1","值1(早)",IF(Z9="值1丙","值1(早) 丙案",IF(Z9="值2","值2(中)",IF(Z9="值2乙","值2(中) 乙案",IF(Z9="夜值","夜值(晚)",IF(Z9="甲夜","夜值(晚) 甲案",IF(Z9="備","08-18",IF(OR(Z9="支援秘書室",Z9="支援出納室",Z9="支援警務科",Z9="支援事務股"),"支援總(大)隊",IF(Z9="支援檢疫所","支援(其他)",IF(  Z9="/","空班",  IF(  Z9="丙",  "※ 丙案",  IF(  Z9="丙常訓",  "※ 丙案 常訓",Z9  )))))))))))))))))))))))))</f>
        <v>夜值(晚)</v>
      </c>
      <c r="AA49" s="271" t="str">
        <f>IF(AA9="早","08-18",IF(AA9="中","12-22",IF(AA9="晚","22-08",IF(AA9="X","輪休",IF(AA9="公","公假",IF(OR(AA9="病",AA9="事"),"病(事)假",IF(OR(AA9="婚",AA9="產"),"婚(產)假",IF(AA9="補","補休",IF(AA9="休","休假",IF(AA9="喪","喪假",IF(AND(AA9="/",OR($A9=日期輸入!$B$23,$A9=日期輸入!$C$23,$A9=日期輸入!$D$23,$A9=日期輸入!$E$23,$A9=日期輸入!$F$23)),"08-18水電科",IF(AA9="大日","大隊值日(日)",IF(AA9="大夜","大隊值日(夜)",IF(AA9="值1","值1(早)",IF(AA9="值1丙","值1(早) 丙案",IF(AA9="值2","值2(中)",IF(AA9="值2乙","值2(中) 乙案",IF(AA9="夜值","夜值(晚)",IF(AA9="甲夜","夜值(晚) 甲案",IF(AA9="備","08-18",IF(OR(AA9="支援秘書室",AA9="支援出納室",AA9="支援警務科",AA9="支援事務股"),"支援總(大)隊",IF(AA9="支援檢疫所","支援(其他)",IF(  AA9="/","空班",  IF(  AA9="丙",  "※ 丙案",  IF(  AA9="丙常訓",  "※ 丙案 常訓",AA9  )))))))))))))))))))))))))</f>
        <v>夜值(晚)</v>
      </c>
      <c r="AB49" s="271" t="str">
        <f>IF(AB9="早","08-18",IF(AB9="中","12-22",IF(AB9="晚","22-08",IF(AB9="X","輪休",IF(AB9="公","公假",IF(OR(AB9="病",AB9="事"),"病(事)假",IF(OR(AB9="婚",AB9="產"),"婚(產)假",IF(AB9="補","補休",IF(AB9="休","休假",IF(AB9="喪","喪假",IF(AND(AB9="/",OR($A9=日期輸入!$B$23,$A9=日期輸入!$C$23,$A9=日期輸入!$D$23,$A9=日期輸入!$E$23,$A9=日期輸入!$F$23)),"08-18水電科",IF(AB9="大日","大隊值日(日)",IF(AB9="大夜","大隊值日(夜)",IF(AB9="值1","值1(早)",IF(AB9="值1丙","值1(早) 丙案",IF(AB9="值2","值2(中)",IF(AB9="值2乙","值2(中) 乙案",IF(AB9="夜值","夜值(晚)",IF(AB9="甲夜","夜值(晚) 甲案",IF(AB9="備","08-18",IF(OR(AB9="支援秘書室",AB9="支援出納室",AB9="支援警務科",AB9="支援事務股"),"支援總(大)隊",IF(AB9="支援檢疫所","支援(其他)",IF(  AB9="/","空班",  IF(  AB9="丙",  "※ 丙案",  IF(  AB9="丙常訓",  "※ 丙案 常訓",AB9  )))))))))))))))))))))))))</f>
        <v>夜值(晚)</v>
      </c>
      <c r="AC49" s="271" t="str">
        <f>IF(AC9="早","08-18",IF(AC9="中","12-22",IF(AC9="晚","22-08",IF(AC9="X","輪休",IF(AC9="公","公假",IF(OR(AC9="病",AC9="事"),"病(事)假",IF(OR(AC9="婚",AC9="產"),"婚(產)假",IF(AC9="補","補休",IF(AC9="休","休假",IF(AC9="喪","喪假",IF(AND(AC9="/",OR($A9=日期輸入!$B$23,$A9=日期輸入!$C$23,$A9=日期輸入!$D$23,$A9=日期輸入!$E$23,$A9=日期輸入!$F$23)),"08-18水電科",IF(AC9="大日","大隊值日(日)",IF(AC9="大夜","大隊值日(夜)",IF(AC9="值1","值1(早)",IF(AC9="值1丙","值1(早) 丙案",IF(AC9="值2","值2(中)",IF(AC9="值2乙","值2(中) 乙案",IF(AC9="夜值","夜值(晚)",IF(AC9="甲夜","夜值(晚) 甲案",IF(AC9="備","08-18",IF(OR(AC9="支援秘書室",AC9="支援出納室",AC9="支援警務科",AC9="支援事務股"),"支援總(大)隊",IF(AC9="支援檢疫所","支援(其他)",IF(  AC9="/","空班",  IF(  AC9="丙",  "※ 丙案",  IF(  AC9="丙常訓",  "※ 丙案 常訓",AC9  )))))))))))))))))))))))))</f>
        <v>夜值(晚)</v>
      </c>
      <c r="AD49" s="271" t="str">
        <f>IF(AD9="早","08-18",IF(AD9="中","12-22",IF(AD9="晚","22-08",IF(AD9="X","輪休",IF(AD9="公","公假",IF(OR(AD9="病",AD9="事"),"病(事)假",IF(OR(AD9="婚",AD9="產"),"婚(產)假",IF(AD9="補","補休",IF(AD9="休","休假",IF(AD9="喪","喪假",IF(AND(AD9="/",OR($A9=日期輸入!$B$23,$A9=日期輸入!$C$23,$A9=日期輸入!$D$23,$A9=日期輸入!$E$23,$A9=日期輸入!$F$23)),"08-18水電科",IF(AD9="大日","大隊值日(日)",IF(AD9="大夜","大隊值日(夜)",IF(AD9="值1","值1(早)",IF(AD9="值1丙","值1(早) 丙案",IF(AD9="值2","值2(中)",IF(AD9="值2乙","值2(中) 乙案",IF(AD9="夜值","夜值(晚)",IF(AD9="甲夜","夜值(晚) 甲案",IF(AD9="備","08-18",IF(OR(AD9="支援秘書室",AD9="支援出納室",AD9="支援警務科",AD9="支援事務股"),"支援總(大)隊",IF(AD9="支援檢疫所","支援(其他)",IF(  AD9="/","空班",  IF(  AD9="丙",  "※ 丙案",  IF(  AD9="丙常訓",  "※ 丙案 常訓",AD9  )))))))))))))))))))))))))</f>
        <v>夜值(晚)</v>
      </c>
      <c r="AE49" s="271" t="str">
        <f>IF(AE9="早","08-18",IF(AE9="中","12-22",IF(AE9="晚","22-08",IF(AE9="X","輪休",IF(AE9="公","公假",IF(OR(AE9="病",AE9="事"),"病(事)假",IF(OR(AE9="婚",AE9="產"),"婚(產)假",IF(AE9="補","補休",IF(AE9="休","休假",IF(AE9="喪","喪假",IF(AND(AE9="/",OR($A9=日期輸入!$B$23,$A9=日期輸入!$C$23,$A9=日期輸入!$D$23,$A9=日期輸入!$E$23,$A9=日期輸入!$F$23)),"08-18水電科",IF(AE9="大日","大隊值日(日)",IF(AE9="大夜","大隊值日(夜)",IF(AE9="值1","值1(早)",IF(AE9="值1丙","值1(早) 丙案",IF(AE9="值2","值2(中)",IF(AE9="值2乙","值2(中) 乙案",IF(AE9="夜值","夜值(晚)",IF(AE9="甲夜","夜值(晚) 甲案",IF(AE9="備","08-18",IF(OR(AE9="支援秘書室",AE9="支援出納室",AE9="支援警務科",AE9="支援事務股"),"支援總(大)隊",IF(AE9="支援檢疫所","支援(其他)",IF(  AE9="/","空班",  IF(  AE9="丙",  "※ 丙案",  IF(  AE9="丙常訓",  "※ 丙案 常訓",AE9  )))))))))))))))))))))))))</f>
        <v>夜值(晚)</v>
      </c>
      <c r="AF49" s="271" t="str">
        <f>IF(AF9="早","08-18",IF(AF9="中","12-22",IF(AF9="晚","22-08",IF(AF9="X","輪休",IF(AF9="公","公假",IF(OR(AF9="病",AF9="事"),"病(事)假",IF(OR(AF9="婚",AF9="產"),"婚(產)假",IF(AF9="補","補休",IF(AF9="休","休假",IF(AF9="喪","喪假",IF(AND(AF9="/",OR($A9=日期輸入!$B$23,$A9=日期輸入!$C$23,$A9=日期輸入!$D$23,$A9=日期輸入!$E$23,$A9=日期輸入!$F$23)),"08-18水電科",IF(AF9="大日","大隊值日(日)",IF(AF9="大夜","大隊值日(夜)",IF(AF9="值1","值1(早)",IF(AF9="值1丙","值1(早) 丙案",IF(AF9="值2","值2(中)",IF(AF9="值2乙","值2(中) 乙案",IF(AF9="夜值","夜值(晚)",IF(AF9="甲夜","夜值(晚) 甲案",IF(AF9="備","08-18",IF(OR(AF9="支援秘書室",AF9="支援出納室",AF9="支援警務科",AF9="支援事務股"),"支援總(大)隊",IF(AF9="支援檢疫所","支援(其他)",IF(  AF9="/","空班",  IF(  AF9="丙",  "※ 丙案",  IF(  AF9="丙常訓",  "※ 丙案 常訓",AF9  )))))))))))))))))))))))))</f>
        <v>夜值(晚)</v>
      </c>
      <c r="AG49" s="271" t="str">
        <f>IF(AG9="早","08-18",IF(AG9="中","12-22",IF(AG9="晚","22-08",IF(AG9="X","輪休",IF(AG9="公","公假",IF(OR(AG9="病",AG9="事"),"病(事)假",IF(OR(AG9="婚",AG9="產"),"婚(產)假",IF(AG9="補","補休",IF(AG9="休","休假",IF(AG9="喪","喪假",IF(AND(AG9="/",OR($A9=日期輸入!$B$23,$A9=日期輸入!$C$23,$A9=日期輸入!$D$23,$A9=日期輸入!$E$23,$A9=日期輸入!$F$23)),"08-18水電科",IF(AG9="大日","大隊值日(日)",IF(AG9="大夜","大隊值日(夜)",IF(AG9="值1","值1(早)",IF(AG9="值1丙","值1(早) 丙案",IF(AG9="值2","值2(中)",IF(AG9="值2乙","值2(中) 乙案",IF(AG9="夜值","夜值(晚)",IF(AG9="甲夜","夜值(晚) 甲案",IF(AG9="備","08-18",IF(OR(AG9="支援秘書室",AG9="支援出納室",AG9="支援警務科",AG9="支援事務股"),"支援總(大)隊",IF(AG9="支援檢疫所","支援(其他)",IF(  AG9="/","空班",  IF(  AG9="丙",  "※ 丙案",  IF(  AG9="丙常訓",  "※ 丙案 常訓",AG9  )))))))))))))))))))))))))</f>
        <v>夜值(晚)</v>
      </c>
    </row>
    <row r="50" spans="1:33">
      <c r="A50" s="271" t="str">
        <f t="shared" ref="A50:B50" si="9">A10</f>
        <v>M</v>
      </c>
      <c r="B50" s="271" t="str">
        <f t="shared" si="9"/>
        <v>洪奇昌</v>
      </c>
      <c r="C50" s="271" t="str">
        <f>IF(C10="早","08-18",IF(C10="中","12-22",IF(C10="晚","22-08",IF(C10="X","輪休",IF(C10="公","公假",IF(OR(C10="病",C10="事"),"病(事)假",IF(OR(C10="婚",C10="產"),"婚(產)假",IF(C10="補","補休",IF(C10="休","休假",IF(C10="喪","喪假",IF(AND(C10="/",OR($A10=日期輸入!$B$23,$A10=日期輸入!$C$23,$A10=日期輸入!$D$23,$A10=日期輸入!$E$23,$A10=日期輸入!$F$23)),"08-18水電科",IF(C10="大日","大隊值日(日)",IF(C10="大夜","大隊值日(夜)",IF(C10="值1","值1(早)",IF(C10="值1丙","值1(早) 丙案",IF(C10="值2","值2(中)",IF(C10="值2乙","值2(中) 乙案",IF(C10="夜值","夜值(晚)",IF(C10="甲夜","夜值(晚) 甲案",IF(C10="備","08-18",IF(OR(C10="支援秘書室",C10="支援出納室",C10="支援警務科",C10="支援事務股"),"支援總(大)隊",IF(C10="支援檢疫所","支援(其他)",IF(  C10="/","空班",  IF(  C10="丙",  "※ 丙案",  IF(  C10="丙常訓",  "※ 丙案 常訓",C10  )))))))))))))))))))))))))</f>
        <v>休假</v>
      </c>
      <c r="D50" s="271" t="str">
        <f>IF(D10="早","08-18",IF(D10="中","12-22",IF(D10="晚","22-08",IF(D10="X","輪休",IF(D10="公","公假",IF(OR(D10="病",D10="事"),"病(事)假",IF(OR(D10="婚",D10="產"),"婚(產)假",IF(D10="補","補休",IF(D10="休","休假",IF(D10="喪","喪假",IF(AND(D10="/",OR($A10=日期輸入!$B$23,$A10=日期輸入!$C$23,$A10=日期輸入!$D$23,$A10=日期輸入!$E$23,$A10=日期輸入!$F$23)),"08-18水電科",IF(D10="大日","大隊值日(日)",IF(D10="大夜","大隊值日(夜)",IF(D10="值1","值1(早)",IF(D10="值1丙","值1(早) 丙案",IF(D10="值2","值2(中)",IF(D10="值2乙","值2(中) 乙案",IF(D10="夜值","夜值(晚)",IF(D10="甲夜","夜值(晚) 甲案",IF(D10="備","08-18",IF(OR(D10="支援秘書室",D10="支援出納室",D10="支援警務科",D10="支援事務股"),"支援總(大)隊",IF(D10="支援檢疫所","支援(其他)",IF(  D10="/","空班",  IF(  D10="丙",  "※ 丙案",  IF(  D10="丙常訓",  "※ 丙案 常訓",D10  )))))))))))))))))))))))))</f>
        <v>休假</v>
      </c>
      <c r="E50" s="271" t="str">
        <f>IF(E10="早","08-18",IF(E10="中","12-22",IF(E10="晚","22-08",IF(E10="X","輪休",IF(E10="公","公假",IF(OR(E10="病",E10="事"),"病(事)假",IF(OR(E10="婚",E10="產"),"婚(產)假",IF(E10="補","補休",IF(E10="休","休假",IF(E10="喪","喪假",IF(AND(E10="/",OR($A10=日期輸入!$B$23,$A10=日期輸入!$C$23,$A10=日期輸入!$D$23,$A10=日期輸入!$E$23,$A10=日期輸入!$F$23)),"08-18水電科",IF(E10="大日","大隊值日(日)",IF(E10="大夜","大隊值日(夜)",IF(E10="值1","值1(早)",IF(E10="值1丙","值1(早) 丙案",IF(E10="值2","值2(中)",IF(E10="值2乙","值2(中) 乙案",IF(E10="夜值","夜值(晚)",IF(E10="甲夜","夜值(晚) 甲案",IF(E10="備","08-18",IF(OR(E10="支援秘書室",E10="支援出納室",E10="支援警務科",E10="支援事務股"),"支援總(大)隊",IF(E10="支援檢疫所","支援(其他)",IF(  E10="/","空班",  IF(  E10="丙",  "※ 丙案",  IF(  E10="丙常訓",  "※ 丙案 常訓",E10  )))))))))))))))))))))))))</f>
        <v>夜值(晚)</v>
      </c>
      <c r="F50" s="271" t="str">
        <f>IF(F10="早","08-18",IF(F10="中","12-22",IF(F10="晚","22-08",IF(F10="X","輪休",IF(F10="公","公假",IF(OR(F10="病",F10="事"),"病(事)假",IF(OR(F10="婚",F10="產"),"婚(產)假",IF(F10="補","補休",IF(F10="休","休假",IF(F10="喪","喪假",IF(AND(F10="/",OR($A10=日期輸入!$B$23,$A10=日期輸入!$C$23,$A10=日期輸入!$D$23,$A10=日期輸入!$E$23,$A10=日期輸入!$F$23)),"08-18水電科",IF(F10="大日","大隊值日(日)",IF(F10="大夜","大隊值日(夜)",IF(F10="值1","值1(早)",IF(F10="值1丙","值1(早) 丙案",IF(F10="值2","值2(中)",IF(F10="值2乙","值2(中) 乙案",IF(F10="夜值","夜值(晚)",IF(F10="甲夜","夜值(晚) 甲案",IF(F10="備","08-18",IF(OR(F10="支援秘書室",F10="支援出納室",F10="支援警務科",F10="支援事務股"),"支援總(大)隊",IF(F10="支援檢疫所","支援(其他)",IF(  F10="/","空班",  IF(  F10="丙",  "※ 丙案",  IF(  F10="丙常訓",  "※ 丙案 常訓",F10  )))))))))))))))))))))))))</f>
        <v>輪休</v>
      </c>
      <c r="G50" s="271" t="str">
        <f>IF(G10="早","08-18",IF(G10="中","12-22",IF(G10="晚","22-08",IF(G10="X","輪休",IF(G10="公","公假",IF(OR(G10="病",G10="事"),"病(事)假",IF(OR(G10="婚",G10="產"),"婚(產)假",IF(G10="補","補休",IF(G10="休","休假",IF(G10="喪","喪假",IF(AND(G10="/",OR($A10=日期輸入!$B$23,$A10=日期輸入!$C$23,$A10=日期輸入!$D$23,$A10=日期輸入!$E$23,$A10=日期輸入!$F$23)),"08-18水電科",IF(G10="大日","大隊值日(日)",IF(G10="大夜","大隊值日(夜)",IF(G10="值1","值1(早)",IF(G10="值1丙","值1(早) 丙案",IF(G10="值2","值2(中)",IF(G10="值2乙","值2(中) 乙案",IF(G10="夜值","夜值(晚)",IF(G10="甲夜","夜值(晚) 甲案",IF(G10="備","08-18",IF(OR(G10="支援秘書室",G10="支援出納室",G10="支援警務科",G10="支援事務股"),"支援總(大)隊",IF(G10="支援檢疫所","支援(其他)",IF(  G10="/","空班",  IF(  G10="丙",  "※ 丙案",  IF(  G10="丙常訓",  "※ 丙案 常訓",G10  )))))))))))))))))))))))))</f>
        <v>輪休</v>
      </c>
      <c r="H50" s="271" t="str">
        <f>IF(H10="早","08-18",IF(H10="中","12-22",IF(H10="晚","22-08",IF(H10="X","輪休",IF(H10="公","公假",IF(OR(H10="病",H10="事"),"病(事)假",IF(OR(H10="婚",H10="產"),"婚(產)假",IF(H10="補","補休",IF(H10="休","休假",IF(H10="喪","喪假",IF(AND(H10="/",OR($A10=日期輸入!$B$23,$A10=日期輸入!$C$23,$A10=日期輸入!$D$23,$A10=日期輸入!$E$23,$A10=日期輸入!$F$23)),"08-18水電科",IF(H10="大日","大隊值日(日)",IF(H10="大夜","大隊值日(夜)",IF(H10="值1","值1(早)",IF(H10="值1丙","值1(早) 丙案",IF(H10="值2","值2(中)",IF(H10="值2乙","值2(中) 乙案",IF(H10="夜值","夜值(晚)",IF(H10="甲夜","夜值(晚) 甲案",IF(H10="備","08-18",IF(OR(H10="支援秘書室",H10="支援出納室",H10="支援警務科",H10="支援事務股"),"支援總(大)隊",IF(H10="支援檢疫所","支援(其他)",IF(  H10="/","空班",  IF(  H10="丙",  "※ 丙案",  IF(  H10="丙常訓",  "※ 丙案 常訓",H10  )))))))))))))))))))))))))</f>
        <v>輪休</v>
      </c>
      <c r="I50" s="271" t="str">
        <f>IF(I10="早","08-18",IF(I10="中","12-22",IF(I10="晚","22-08",IF(I10="X","輪休",IF(I10="公","公假",IF(OR(I10="病",I10="事"),"病(事)假",IF(OR(I10="婚",I10="產"),"婚(產)假",IF(I10="補","補休",IF(I10="休","休假",IF(I10="喪","喪假",IF(AND(I10="/",OR($A10=日期輸入!$B$23,$A10=日期輸入!$C$23,$A10=日期輸入!$D$23,$A10=日期輸入!$E$23,$A10=日期輸入!$F$23)),"08-18水電科",IF(I10="大日","大隊值日(日)",IF(I10="大夜","大隊值日(夜)",IF(I10="值1","值1(早)",IF(I10="值1丙","值1(早) 丙案",IF(I10="值2","值2(中)",IF(I10="值2乙","值2(中) 乙案",IF(I10="夜值","夜值(晚)",IF(I10="甲夜","夜值(晚) 甲案",IF(I10="備","08-18",IF(OR(I10="支援秘書室",I10="支援出納室",I10="支援警務科",I10="支援事務股"),"支援總(大)隊",IF(I10="支援檢疫所","支援(其他)",IF(  I10="/","空班",  IF(  I10="丙",  "※ 丙案",  IF(  I10="丙常訓",  "※ 丙案 常訓",I10  )))))))))))))))))))))))))</f>
        <v>輪休</v>
      </c>
      <c r="J50" s="271" t="str">
        <f>IF(J10="早","08-18",IF(J10="中","12-22",IF(J10="晚","22-08",IF(J10="X","輪休",IF(J10="公","公假",IF(OR(J10="病",J10="事"),"病(事)假",IF(OR(J10="婚",J10="產"),"婚(產)假",IF(J10="補","補休",IF(J10="休","休假",IF(J10="喪","喪假",IF(AND(J10="/",OR($A10=日期輸入!$B$23,$A10=日期輸入!$C$23,$A10=日期輸入!$D$23,$A10=日期輸入!$E$23,$A10=日期輸入!$F$23)),"08-18水電科",IF(J10="大日","大隊值日(日)",IF(J10="大夜","大隊值日(夜)",IF(J10="值1","值1(早)",IF(J10="值1丙","值1(早) 丙案",IF(J10="值2","值2(中)",IF(J10="值2乙","值2(中) 乙案",IF(J10="夜值","夜值(晚)",IF(J10="甲夜","夜值(晚) 甲案",IF(J10="備","08-18",IF(OR(J10="支援秘書室",J10="支援出納室",J10="支援警務科",J10="支援事務股"),"支援總(大)隊",IF(J10="支援檢疫所","支援(其他)",IF(  J10="/","空班",  IF(  J10="丙",  "※ 丙案",  IF(  J10="丙常訓",  "※ 丙案 常訓",J10  )))))))))))))))))))))))))</f>
        <v>輪休</v>
      </c>
      <c r="K50" s="271" t="str">
        <f>IF(K10="早","08-18",IF(K10="中","12-22",IF(K10="晚","22-08",IF(K10="X","輪休",IF(K10="公","公假",IF(OR(K10="病",K10="事"),"病(事)假",IF(OR(K10="婚",K10="產"),"婚(產)假",IF(K10="補","補休",IF(K10="休","休假",IF(K10="喪","喪假",IF(AND(K10="/",OR($A10=日期輸入!$B$23,$A10=日期輸入!$C$23,$A10=日期輸入!$D$23,$A10=日期輸入!$E$23,$A10=日期輸入!$F$23)),"08-18水電科",IF(K10="大日","大隊值日(日)",IF(K10="大夜","大隊值日(夜)",IF(K10="值1","值1(早)",IF(K10="值1丙","值1(早) 丙案",IF(K10="值2","值2(中)",IF(K10="值2乙","值2(中) 乙案",IF(K10="夜值","夜值(晚)",IF(K10="甲夜","夜值(晚) 甲案",IF(K10="備","08-18",IF(OR(K10="支援秘書室",K10="支援出納室",K10="支援警務科",K10="支援事務股"),"支援總(大)隊",IF(K10="支援檢疫所","支援(其他)",IF(  K10="/","空班",  IF(  K10="丙",  "※ 丙案",  IF(  K10="丙常訓",  "※ 丙案 常訓",K10  )))))))))))))))))))))))))</f>
        <v>輪休</v>
      </c>
      <c r="L50" s="271" t="str">
        <f>IF(L10="早","08-18",IF(L10="中","12-22",IF(L10="晚","22-08",IF(L10="X","輪休",IF(L10="公","公假",IF(OR(L10="病",L10="事"),"病(事)假",IF(OR(L10="婚",L10="產"),"婚(產)假",IF(L10="補","補休",IF(L10="休","休假",IF(L10="喪","喪假",IF(AND(L10="/",OR($A10=日期輸入!$B$23,$A10=日期輸入!$C$23,$A10=日期輸入!$D$23,$A10=日期輸入!$E$23,$A10=日期輸入!$F$23)),"08-18水電科",IF(L10="大日","大隊值日(日)",IF(L10="大夜","大隊值日(夜)",IF(L10="值1","值1(早)",IF(L10="值1丙","值1(早) 丙案",IF(L10="值2","值2(中)",IF(L10="值2乙","值2(中) 乙案",IF(L10="夜值","夜值(晚)",IF(L10="甲夜","夜值(晚) 甲案",IF(L10="備","08-18",IF(OR(L10="支援秘書室",L10="支援出納室",L10="支援警務科",L10="支援事務股"),"支援總(大)隊",IF(L10="支援檢疫所","支援(其他)",IF(  L10="/","空班",  IF(  L10="丙",  "※ 丙案",  IF(  L10="丙常訓",  "※ 丙案 常訓",L10  )))))))))))))))))))))))))</f>
        <v>輪休</v>
      </c>
      <c r="M50" s="271" t="str">
        <f>IF(M10="早","08-18",IF(M10="中","12-22",IF(M10="晚","22-08",IF(M10="X","輪休",IF(M10="公","公假",IF(OR(M10="病",M10="事"),"病(事)假",IF(OR(M10="婚",M10="產"),"婚(產)假",IF(M10="補","補休",IF(M10="休","休假",IF(M10="喪","喪假",IF(AND(M10="/",OR($A10=日期輸入!$B$23,$A10=日期輸入!$C$23,$A10=日期輸入!$D$23,$A10=日期輸入!$E$23,$A10=日期輸入!$F$23)),"08-18水電科",IF(M10="大日","大隊值日(日)",IF(M10="大夜","大隊值日(夜)",IF(M10="值1","值1(早)",IF(M10="值1丙","值1(早) 丙案",IF(M10="值2","值2(中)",IF(M10="值2乙","值2(中) 乙案",IF(M10="夜值","夜值(晚)",IF(M10="甲夜","夜值(晚) 甲案",IF(M10="備","08-18",IF(OR(M10="支援秘書室",M10="支援出納室",M10="支援警務科",M10="支援事務股"),"支援總(大)隊",IF(M10="支援檢疫所","支援(其他)",IF(  M10="/","空班",  IF(  M10="丙",  "※ 丙案",  IF(  M10="丙常訓",  "※ 丙案 常訓",M10  )))))))))))))))))))))))))</f>
        <v>輪休</v>
      </c>
      <c r="N50" s="271" t="str">
        <f>IF(N10="早","08-18",IF(N10="中","12-22",IF(N10="晚","22-08",IF(N10="X","輪休",IF(N10="公","公假",IF(OR(N10="病",N10="事"),"病(事)假",IF(OR(N10="婚",N10="產"),"婚(產)假",IF(N10="補","補休",IF(N10="休","休假",IF(N10="喪","喪假",IF(AND(N10="/",OR($A10=日期輸入!$B$23,$A10=日期輸入!$C$23,$A10=日期輸入!$D$23,$A10=日期輸入!$E$23,$A10=日期輸入!$F$23)),"08-18水電科",IF(N10="大日","大隊值日(日)",IF(N10="大夜","大隊值日(夜)",IF(N10="值1","值1(早)",IF(N10="值1丙","值1(早) 丙案",IF(N10="值2","值2(中)",IF(N10="值2乙","值2(中) 乙案",IF(N10="夜值","夜值(晚)",IF(N10="甲夜","夜值(晚) 甲案",IF(N10="備","08-18",IF(OR(N10="支援秘書室",N10="支援出納室",N10="支援警務科",N10="支援事務股"),"支援總(大)隊",IF(N10="支援檢疫所","支援(其他)",IF(  N10="/","空班",  IF(  N10="丙",  "※ 丙案",  IF(  N10="丙常訓",  "※ 丙案 常訓",N10  )))))))))))))))))))))))))</f>
        <v>輪休</v>
      </c>
      <c r="O50" s="271" t="str">
        <f>IF(O10="早","08-18",IF(O10="中","12-22",IF(O10="晚","22-08",IF(O10="X","輪休",IF(O10="公","公假",IF(OR(O10="病",O10="事"),"病(事)假",IF(OR(O10="婚",O10="產"),"婚(產)假",IF(O10="補","補休",IF(O10="休","休假",IF(O10="喪","喪假",IF(AND(O10="/",OR($A10=日期輸入!$B$23,$A10=日期輸入!$C$23,$A10=日期輸入!$D$23,$A10=日期輸入!$E$23,$A10=日期輸入!$F$23)),"08-18水電科",IF(O10="大日","大隊值日(日)",IF(O10="大夜","大隊值日(夜)",IF(O10="值1","值1(早)",IF(O10="值1丙","值1(早) 丙案",IF(O10="值2","值2(中)",IF(O10="值2乙","值2(中) 乙案",IF(O10="夜值","夜值(晚)",IF(O10="甲夜","夜值(晚) 甲案",IF(O10="備","08-18",IF(OR(O10="支援秘書室",O10="支援出納室",O10="支援警務科",O10="支援事務股"),"支援總(大)隊",IF(O10="支援檢疫所","支援(其他)",IF(  O10="/","空班",  IF(  O10="丙",  "※ 丙案",  IF(  O10="丙常訓",  "※ 丙案 常訓",O10  )))))))))))))))))))))))))</f>
        <v>輪休</v>
      </c>
      <c r="P50" s="271" t="str">
        <f>IF(P10="早","08-18",IF(P10="中","12-22",IF(P10="晚","22-08",IF(P10="X","輪休",IF(P10="公","公假",IF(OR(P10="病",P10="事"),"病(事)假",IF(OR(P10="婚",P10="產"),"婚(產)假",IF(P10="補","補休",IF(P10="休","休假",IF(P10="喪","喪假",IF(AND(P10="/",OR($A10=日期輸入!$B$23,$A10=日期輸入!$C$23,$A10=日期輸入!$D$23,$A10=日期輸入!$E$23,$A10=日期輸入!$F$23)),"08-18水電科",IF(P10="大日","大隊值日(日)",IF(P10="大夜","大隊值日(夜)",IF(P10="值1","值1(早)",IF(P10="值1丙","值1(早) 丙案",IF(P10="值2","值2(中)",IF(P10="值2乙","值2(中) 乙案",IF(P10="夜值","夜值(晚)",IF(P10="甲夜","夜值(晚) 甲案",IF(P10="備","08-18",IF(OR(P10="支援秘書室",P10="支援出納室",P10="支援警務科",P10="支援事務股"),"支援總(大)隊",IF(P10="支援檢疫所","支援(其他)",IF(  P10="/","空班",  IF(  P10="丙",  "※ 丙案",  IF(  P10="丙常訓",  "※ 丙案 常訓",P10  )))))))))))))))))))))))))</f>
        <v>輪休</v>
      </c>
      <c r="Q50" s="271" t="str">
        <f>IF(Q10="早","08-18",IF(Q10="中","12-22",IF(Q10="晚","22-08",IF(Q10="X","輪休",IF(Q10="公","公假",IF(OR(Q10="病",Q10="事"),"病(事)假",IF(OR(Q10="婚",Q10="產"),"婚(產)假",IF(Q10="補","補休",IF(Q10="休","休假",IF(Q10="喪","喪假",IF(AND(Q10="/",OR($A10=日期輸入!$B$23,$A10=日期輸入!$C$23,$A10=日期輸入!$D$23,$A10=日期輸入!$E$23,$A10=日期輸入!$F$23)),"08-18水電科",IF(Q10="大日","大隊值日(日)",IF(Q10="大夜","大隊值日(夜)",IF(Q10="值1","值1(早)",IF(Q10="值1丙","值1(早) 丙案",IF(Q10="值2","值2(中)",IF(Q10="值2乙","值2(中) 乙案",IF(Q10="夜值","夜值(晚)",IF(Q10="甲夜","夜值(晚) 甲案",IF(Q10="備","08-18",IF(OR(Q10="支援秘書室",Q10="支援出納室",Q10="支援警務科",Q10="支援事務股"),"支援總(大)隊",IF(Q10="支援檢疫所","支援(其他)",IF(  Q10="/","空班",  IF(  Q10="丙",  "※ 丙案",  IF(  Q10="丙常訓",  "※ 丙案 常訓",Q10  )))))))))))))))))))))))))</f>
        <v>輪休</v>
      </c>
      <c r="R50" s="271" t="str">
        <f>IF(R10="早","08-18",IF(R10="中","12-22",IF(R10="晚","22-08",IF(R10="X","輪休",IF(R10="公","公假",IF(OR(R10="病",R10="事"),"病(事)假",IF(OR(R10="婚",R10="產"),"婚(產)假",IF(R10="補","補休",IF(R10="休","休假",IF(R10="喪","喪假",IF(AND(R10="/",OR($A10=日期輸入!$B$23,$A10=日期輸入!$C$23,$A10=日期輸入!$D$23,$A10=日期輸入!$E$23,$A10=日期輸入!$F$23)),"08-18水電科",IF(R10="大日","大隊值日(日)",IF(R10="大夜","大隊值日(夜)",IF(R10="值1","值1(早)",IF(R10="值1丙","值1(早) 丙案",IF(R10="值2","值2(中)",IF(R10="值2乙","值2(中) 乙案",IF(R10="夜值","夜值(晚)",IF(R10="甲夜","夜值(晚) 甲案",IF(R10="備","08-18",IF(OR(R10="支援秘書室",R10="支援出納室",R10="支援警務科",R10="支援事務股"),"支援總(大)隊",IF(R10="支援檢疫所","支援(其他)",IF(  R10="/","空班",  IF(  R10="丙",  "※ 丙案",  IF(  R10="丙常訓",  "※ 丙案 常訓",R10  )))))))))))))))))))))))))</f>
        <v>輪休</v>
      </c>
      <c r="S50" s="271" t="str">
        <f>IF(S10="早","08-18",IF(S10="中","12-22",IF(S10="晚","22-08",IF(S10="X","輪休",IF(S10="公","公假",IF(OR(S10="病",S10="事"),"病(事)假",IF(OR(S10="婚",S10="產"),"婚(產)假",IF(S10="補","補休",IF(S10="休","休假",IF(S10="喪","喪假",IF(AND(S10="/",OR($A10=日期輸入!$B$23,$A10=日期輸入!$C$23,$A10=日期輸入!$D$23,$A10=日期輸入!$E$23,$A10=日期輸入!$F$23)),"08-18水電科",IF(S10="大日","大隊值日(日)",IF(S10="大夜","大隊值日(夜)",IF(S10="值1","值1(早)",IF(S10="值1丙","值1(早) 丙案",IF(S10="值2","值2(中)",IF(S10="值2乙","值2(中) 乙案",IF(S10="夜值","夜值(晚)",IF(S10="甲夜","夜值(晚) 甲案",IF(S10="備","08-18",IF(OR(S10="支援秘書室",S10="支援出納室",S10="支援警務科",S10="支援事務股"),"支援總(大)隊",IF(S10="支援檢疫所","支援(其他)",IF(  S10="/","空班",  IF(  S10="丙",  "※ 丙案",  IF(  S10="丙常訓",  "※ 丙案 常訓",S10  )))))))))))))))))))))))))</f>
        <v>輪休</v>
      </c>
      <c r="T50" s="271" t="str">
        <f>IF(T10="早","08-18",IF(T10="中","12-22",IF(T10="晚","22-08",IF(T10="X","輪休",IF(T10="公","公假",IF(OR(T10="病",T10="事"),"病(事)假",IF(OR(T10="婚",T10="產"),"婚(產)假",IF(T10="補","補休",IF(T10="休","休假",IF(T10="喪","喪假",IF(AND(T10="/",OR($A10=日期輸入!$B$23,$A10=日期輸入!$C$23,$A10=日期輸入!$D$23,$A10=日期輸入!$E$23,$A10=日期輸入!$F$23)),"08-18水電科",IF(T10="大日","大隊值日(日)",IF(T10="大夜","大隊值日(夜)",IF(T10="值1","值1(早)",IF(T10="值1丙","值1(早) 丙案",IF(T10="值2","值2(中)",IF(T10="值2乙","值2(中) 乙案",IF(T10="夜值","夜值(晚)",IF(T10="甲夜","夜值(晚) 甲案",IF(T10="備","08-18",IF(OR(T10="支援秘書室",T10="支援出納室",T10="支援警務科",T10="支援事務股"),"支援總(大)隊",IF(T10="支援檢疫所","支援(其他)",IF(  T10="/","空班",  IF(  T10="丙",  "※ 丙案",  IF(  T10="丙常訓",  "※ 丙案 常訓",T10  )))))))))))))))))))))))))</f>
        <v>輪休</v>
      </c>
      <c r="U50" s="271" t="str">
        <f>IF(U10="早","08-18",IF(U10="中","12-22",IF(U10="晚","22-08",IF(U10="X","輪休",IF(U10="公","公假",IF(OR(U10="病",U10="事"),"病(事)假",IF(OR(U10="婚",U10="產"),"婚(產)假",IF(U10="補","補休",IF(U10="休","休假",IF(U10="喪","喪假",IF(AND(U10="/",OR($A10=日期輸入!$B$23,$A10=日期輸入!$C$23,$A10=日期輸入!$D$23,$A10=日期輸入!$E$23,$A10=日期輸入!$F$23)),"08-18水電科",IF(U10="大日","大隊值日(日)",IF(U10="大夜","大隊值日(夜)",IF(U10="值1","值1(早)",IF(U10="值1丙","值1(早) 丙案",IF(U10="值2","值2(中)",IF(U10="值2乙","值2(中) 乙案",IF(U10="夜值","夜值(晚)",IF(U10="甲夜","夜值(晚) 甲案",IF(U10="備","08-18",IF(OR(U10="支援秘書室",U10="支援出納室",U10="支援警務科",U10="支援事務股"),"支援總(大)隊",IF(U10="支援檢疫所","支援(其他)",IF(  U10="/","空班",  IF(  U10="丙",  "※ 丙案",  IF(  U10="丙常訓",  "※ 丙案 常訓",U10  )))))))))))))))))))))))))</f>
        <v>輪休</v>
      </c>
      <c r="V50" s="271" t="str">
        <f>IF(V10="早","08-18",IF(V10="中","12-22",IF(V10="晚","22-08",IF(V10="X","輪休",IF(V10="公","公假",IF(OR(V10="病",V10="事"),"病(事)假",IF(OR(V10="婚",V10="產"),"婚(產)假",IF(V10="補","補休",IF(V10="休","休假",IF(V10="喪","喪假",IF(AND(V10="/",OR($A10=日期輸入!$B$23,$A10=日期輸入!$C$23,$A10=日期輸入!$D$23,$A10=日期輸入!$E$23,$A10=日期輸入!$F$23)),"08-18水電科",IF(V10="大日","大隊值日(日)",IF(V10="大夜","大隊值日(夜)",IF(V10="值1","值1(早)",IF(V10="值1丙","值1(早) 丙案",IF(V10="值2","值2(中)",IF(V10="值2乙","值2(中) 乙案",IF(V10="夜值","夜值(晚)",IF(V10="甲夜","夜值(晚) 甲案",IF(V10="備","08-18",IF(OR(V10="支援秘書室",V10="支援出納室",V10="支援警務科",V10="支援事務股"),"支援總(大)隊",IF(V10="支援檢疫所","支援(其他)",IF(  V10="/","空班",  IF(  V10="丙",  "※ 丙案",  IF(  V10="丙常訓",  "※ 丙案 常訓",V10  )))))))))))))))))))))))))</f>
        <v>輪休</v>
      </c>
      <c r="W50" s="271" t="str">
        <f>IF(W10="早","08-18",IF(W10="中","12-22",IF(W10="晚","22-08",IF(W10="X","輪休",IF(W10="公","公假",IF(OR(W10="病",W10="事"),"病(事)假",IF(OR(W10="婚",W10="產"),"婚(產)假",IF(W10="補","補休",IF(W10="休","休假",IF(W10="喪","喪假",IF(AND(W10="/",OR($A10=日期輸入!$B$23,$A10=日期輸入!$C$23,$A10=日期輸入!$D$23,$A10=日期輸入!$E$23,$A10=日期輸入!$F$23)),"08-18水電科",IF(W10="大日","大隊值日(日)",IF(W10="大夜","大隊值日(夜)",IF(W10="值1","值1(早)",IF(W10="值1丙","值1(早) 丙案",IF(W10="值2","值2(中)",IF(W10="值2乙","值2(中) 乙案",IF(W10="夜值","夜值(晚)",IF(W10="甲夜","夜值(晚) 甲案",IF(W10="備","08-18",IF(OR(W10="支援秘書室",W10="支援出納室",W10="支援警務科",W10="支援事務股"),"支援總(大)隊",IF(W10="支援檢疫所","支援(其他)",IF(  W10="/","空班",  IF(  W10="丙",  "※ 丙案",  IF(  W10="丙常訓",  "※ 丙案 常訓",W10  )))))))))))))))))))))))))</f>
        <v>輪休</v>
      </c>
      <c r="X50" s="271" t="str">
        <f>IF(X10="早","08-18",IF(X10="中","12-22",IF(X10="晚","22-08",IF(X10="X","輪休",IF(X10="公","公假",IF(OR(X10="病",X10="事"),"病(事)假",IF(OR(X10="婚",X10="產"),"婚(產)假",IF(X10="補","補休",IF(X10="休","休假",IF(X10="喪","喪假",IF(AND(X10="/",OR($A10=日期輸入!$B$23,$A10=日期輸入!$C$23,$A10=日期輸入!$D$23,$A10=日期輸入!$E$23,$A10=日期輸入!$F$23)),"08-18水電科",IF(X10="大日","大隊值日(日)",IF(X10="大夜","大隊值日(夜)",IF(X10="值1","值1(早)",IF(X10="值1丙","值1(早) 丙案",IF(X10="值2","值2(中)",IF(X10="值2乙","值2(中) 乙案",IF(X10="夜值","夜值(晚)",IF(X10="甲夜","夜值(晚) 甲案",IF(X10="備","08-18",IF(OR(X10="支援秘書室",X10="支援出納室",X10="支援警務科",X10="支援事務股"),"支援總(大)隊",IF(X10="支援檢疫所","支援(其他)",IF(  X10="/","空班",  IF(  X10="丙",  "※ 丙案",  IF(  X10="丙常訓",  "※ 丙案 常訓",X10  )))))))))))))))))))))))))</f>
        <v>輪休</v>
      </c>
      <c r="Y50" s="271" t="str">
        <f>IF(Y10="早","08-18",IF(Y10="中","12-22",IF(Y10="晚","22-08",IF(Y10="X","輪休",IF(Y10="公","公假",IF(OR(Y10="病",Y10="事"),"病(事)假",IF(OR(Y10="婚",Y10="產"),"婚(產)假",IF(Y10="補","補休",IF(Y10="休","休假",IF(Y10="喪","喪假",IF(AND(Y10="/",OR($A10=日期輸入!$B$23,$A10=日期輸入!$C$23,$A10=日期輸入!$D$23,$A10=日期輸入!$E$23,$A10=日期輸入!$F$23)),"08-18水電科",IF(Y10="大日","大隊值日(日)",IF(Y10="大夜","大隊值日(夜)",IF(Y10="值1","值1(早)",IF(Y10="值1丙","值1(早) 丙案",IF(Y10="值2","值2(中)",IF(Y10="值2乙","值2(中) 乙案",IF(Y10="夜值","夜值(晚)",IF(Y10="甲夜","夜值(晚) 甲案",IF(Y10="備","08-18",IF(OR(Y10="支援秘書室",Y10="支援出納室",Y10="支援警務科",Y10="支援事務股"),"支援總(大)隊",IF(Y10="支援檢疫所","支援(其他)",IF(  Y10="/","空班",  IF(  Y10="丙",  "※ 丙案",  IF(  Y10="丙常訓",  "※ 丙案 常訓",Y10  )))))))))))))))))))))))))</f>
        <v>輪休</v>
      </c>
      <c r="Z50" s="271" t="str">
        <f>IF(Z10="早","08-18",IF(Z10="中","12-22",IF(Z10="晚","22-08",IF(Z10="X","輪休",IF(Z10="公","公假",IF(OR(Z10="病",Z10="事"),"病(事)假",IF(OR(Z10="婚",Z10="產"),"婚(產)假",IF(Z10="補","補休",IF(Z10="休","休假",IF(Z10="喪","喪假",IF(AND(Z10="/",OR($A10=日期輸入!$B$23,$A10=日期輸入!$C$23,$A10=日期輸入!$D$23,$A10=日期輸入!$E$23,$A10=日期輸入!$F$23)),"08-18水電科",IF(Z10="大日","大隊值日(日)",IF(Z10="大夜","大隊值日(夜)",IF(Z10="值1","值1(早)",IF(Z10="值1丙","值1(早) 丙案",IF(Z10="值2","值2(中)",IF(Z10="值2乙","值2(中) 乙案",IF(Z10="夜值","夜值(晚)",IF(Z10="甲夜","夜值(晚) 甲案",IF(Z10="備","08-18",IF(OR(Z10="支援秘書室",Z10="支援出納室",Z10="支援警務科",Z10="支援事務股"),"支援總(大)隊",IF(Z10="支援檢疫所","支援(其他)",IF(  Z10="/","空班",  IF(  Z10="丙",  "※ 丙案",  IF(  Z10="丙常訓",  "※ 丙案 常訓",Z10  )))))))))))))))))))))))))</f>
        <v>輪休</v>
      </c>
      <c r="AA50" s="271" t="str">
        <f>IF(AA10="早","08-18",IF(AA10="中","12-22",IF(AA10="晚","22-08",IF(AA10="X","輪休",IF(AA10="公","公假",IF(OR(AA10="病",AA10="事"),"病(事)假",IF(OR(AA10="婚",AA10="產"),"婚(產)假",IF(AA10="補","補休",IF(AA10="休","休假",IF(AA10="喪","喪假",IF(AND(AA10="/",OR($A10=日期輸入!$B$23,$A10=日期輸入!$C$23,$A10=日期輸入!$D$23,$A10=日期輸入!$E$23,$A10=日期輸入!$F$23)),"08-18水電科",IF(AA10="大日","大隊值日(日)",IF(AA10="大夜","大隊值日(夜)",IF(AA10="值1","值1(早)",IF(AA10="值1丙","值1(早) 丙案",IF(AA10="值2","值2(中)",IF(AA10="值2乙","值2(中) 乙案",IF(AA10="夜值","夜值(晚)",IF(AA10="甲夜","夜值(晚) 甲案",IF(AA10="備","08-18",IF(OR(AA10="支援秘書室",AA10="支援出納室",AA10="支援警務科",AA10="支援事務股"),"支援總(大)隊",IF(AA10="支援檢疫所","支援(其他)",IF(  AA10="/","空班",  IF(  AA10="丙",  "※ 丙案",  IF(  AA10="丙常訓",  "※ 丙案 常訓",AA10  )))))))))))))))))))))))))</f>
        <v>輪休</v>
      </c>
      <c r="AB50" s="271" t="str">
        <f>IF(AB10="早","08-18",IF(AB10="中","12-22",IF(AB10="晚","22-08",IF(AB10="X","輪休",IF(AB10="公","公假",IF(OR(AB10="病",AB10="事"),"病(事)假",IF(OR(AB10="婚",AB10="產"),"婚(產)假",IF(AB10="補","補休",IF(AB10="休","休假",IF(AB10="喪","喪假",IF(AND(AB10="/",OR($A10=日期輸入!$B$23,$A10=日期輸入!$C$23,$A10=日期輸入!$D$23,$A10=日期輸入!$E$23,$A10=日期輸入!$F$23)),"08-18水電科",IF(AB10="大日","大隊值日(日)",IF(AB10="大夜","大隊值日(夜)",IF(AB10="值1","值1(早)",IF(AB10="值1丙","值1(早) 丙案",IF(AB10="值2","值2(中)",IF(AB10="值2乙","值2(中) 乙案",IF(AB10="夜值","夜值(晚)",IF(AB10="甲夜","夜值(晚) 甲案",IF(AB10="備","08-18",IF(OR(AB10="支援秘書室",AB10="支援出納室",AB10="支援警務科",AB10="支援事務股"),"支援總(大)隊",IF(AB10="支援檢疫所","支援(其他)",IF(  AB10="/","空班",  IF(  AB10="丙",  "※ 丙案",  IF(  AB10="丙常訓",  "※ 丙案 常訓",AB10  )))))))))))))))))))))))))</f>
        <v>輪休</v>
      </c>
      <c r="AC50" s="271" t="str">
        <f>IF(AC10="早","08-18",IF(AC10="中","12-22",IF(AC10="晚","22-08",IF(AC10="X","輪休",IF(AC10="公","公假",IF(OR(AC10="病",AC10="事"),"病(事)假",IF(OR(AC10="婚",AC10="產"),"婚(產)假",IF(AC10="補","補休",IF(AC10="休","休假",IF(AC10="喪","喪假",IF(AND(AC10="/",OR($A10=日期輸入!$B$23,$A10=日期輸入!$C$23,$A10=日期輸入!$D$23,$A10=日期輸入!$E$23,$A10=日期輸入!$F$23)),"08-18水電科",IF(AC10="大日","大隊值日(日)",IF(AC10="大夜","大隊值日(夜)",IF(AC10="值1","值1(早)",IF(AC10="值1丙","值1(早) 丙案",IF(AC10="值2","值2(中)",IF(AC10="值2乙","值2(中) 乙案",IF(AC10="夜值","夜值(晚)",IF(AC10="甲夜","夜值(晚) 甲案",IF(AC10="備","08-18",IF(OR(AC10="支援秘書室",AC10="支援出納室",AC10="支援警務科",AC10="支援事務股"),"支援總(大)隊",IF(AC10="支援檢疫所","支援(其他)",IF(  AC10="/","空班",  IF(  AC10="丙",  "※ 丙案",  IF(  AC10="丙常訓",  "※ 丙案 常訓",AC10  )))))))))))))))))))))))))</f>
        <v>輪休</v>
      </c>
      <c r="AD50" s="271" t="str">
        <f>IF(AD10="早","08-18",IF(AD10="中","12-22",IF(AD10="晚","22-08",IF(AD10="X","輪休",IF(AD10="公","公假",IF(OR(AD10="病",AD10="事"),"病(事)假",IF(OR(AD10="婚",AD10="產"),"婚(產)假",IF(AD10="補","補休",IF(AD10="休","休假",IF(AD10="喪","喪假",IF(AND(AD10="/",OR($A10=日期輸入!$B$23,$A10=日期輸入!$C$23,$A10=日期輸入!$D$23,$A10=日期輸入!$E$23,$A10=日期輸入!$F$23)),"08-18水電科",IF(AD10="大日","大隊值日(日)",IF(AD10="大夜","大隊值日(夜)",IF(AD10="值1","值1(早)",IF(AD10="值1丙","值1(早) 丙案",IF(AD10="值2","值2(中)",IF(AD10="值2乙","值2(中) 乙案",IF(AD10="夜值","夜值(晚)",IF(AD10="甲夜","夜值(晚) 甲案",IF(AD10="備","08-18",IF(OR(AD10="支援秘書室",AD10="支援出納室",AD10="支援警務科",AD10="支援事務股"),"支援總(大)隊",IF(AD10="支援檢疫所","支援(其他)",IF(  AD10="/","空班",  IF(  AD10="丙",  "※ 丙案",  IF(  AD10="丙常訓",  "※ 丙案 常訓",AD10  )))))))))))))))))))))))))</f>
        <v>輪休</v>
      </c>
      <c r="AE50" s="271" t="str">
        <f>IF(AE10="早","08-18",IF(AE10="中","12-22",IF(AE10="晚","22-08",IF(AE10="X","輪休",IF(AE10="公","公假",IF(OR(AE10="病",AE10="事"),"病(事)假",IF(OR(AE10="婚",AE10="產"),"婚(產)假",IF(AE10="補","補休",IF(AE10="休","休假",IF(AE10="喪","喪假",IF(AND(AE10="/",OR($A10=日期輸入!$B$23,$A10=日期輸入!$C$23,$A10=日期輸入!$D$23,$A10=日期輸入!$E$23,$A10=日期輸入!$F$23)),"08-18水電科",IF(AE10="大日","大隊值日(日)",IF(AE10="大夜","大隊值日(夜)",IF(AE10="值1","值1(早)",IF(AE10="值1丙","值1(早) 丙案",IF(AE10="值2","值2(中)",IF(AE10="值2乙","值2(中) 乙案",IF(AE10="夜值","夜值(晚)",IF(AE10="甲夜","夜值(晚) 甲案",IF(AE10="備","08-18",IF(OR(AE10="支援秘書室",AE10="支援出納室",AE10="支援警務科",AE10="支援事務股"),"支援總(大)隊",IF(AE10="支援檢疫所","支援(其他)",IF(  AE10="/","空班",  IF(  AE10="丙",  "※ 丙案",  IF(  AE10="丙常訓",  "※ 丙案 常訓",AE10  )))))))))))))))))))))))))</f>
        <v>輪休</v>
      </c>
      <c r="AF50" s="271" t="str">
        <f>IF(AF10="早","08-18",IF(AF10="中","12-22",IF(AF10="晚","22-08",IF(AF10="X","輪休",IF(AF10="公","公假",IF(OR(AF10="病",AF10="事"),"病(事)假",IF(OR(AF10="婚",AF10="產"),"婚(產)假",IF(AF10="補","補休",IF(AF10="休","休假",IF(AF10="喪","喪假",IF(AND(AF10="/",OR($A10=日期輸入!$B$23,$A10=日期輸入!$C$23,$A10=日期輸入!$D$23,$A10=日期輸入!$E$23,$A10=日期輸入!$F$23)),"08-18水電科",IF(AF10="大日","大隊值日(日)",IF(AF10="大夜","大隊值日(夜)",IF(AF10="值1","值1(早)",IF(AF10="值1丙","值1(早) 丙案",IF(AF10="值2","值2(中)",IF(AF10="值2乙","值2(中) 乙案",IF(AF10="夜值","夜值(晚)",IF(AF10="甲夜","夜值(晚) 甲案",IF(AF10="備","08-18",IF(OR(AF10="支援秘書室",AF10="支援出納室",AF10="支援警務科",AF10="支援事務股"),"支援總(大)隊",IF(AF10="支援檢疫所","支援(其他)",IF(  AF10="/","空班",  IF(  AF10="丙",  "※ 丙案",  IF(  AF10="丙常訓",  "※ 丙案 常訓",AF10  )))))))))))))))))))))))))</f>
        <v>輪休</v>
      </c>
      <c r="AG50" s="271" t="str">
        <f>IF(AG10="早","08-18",IF(AG10="中","12-22",IF(AG10="晚","22-08",IF(AG10="X","輪休",IF(AG10="公","公假",IF(OR(AG10="病",AG10="事"),"病(事)假",IF(OR(AG10="婚",AG10="產"),"婚(產)假",IF(AG10="補","補休",IF(AG10="休","休假",IF(AG10="喪","喪假",IF(AND(AG10="/",OR($A10=日期輸入!$B$23,$A10=日期輸入!$C$23,$A10=日期輸入!$D$23,$A10=日期輸入!$E$23,$A10=日期輸入!$F$23)),"08-18水電科",IF(AG10="大日","大隊值日(日)",IF(AG10="大夜","大隊值日(夜)",IF(AG10="值1","值1(早)",IF(AG10="值1丙","值1(早) 丙案",IF(AG10="值2","值2(中)",IF(AG10="值2乙","值2(中) 乙案",IF(AG10="夜值","夜值(晚)",IF(AG10="甲夜","夜值(晚) 甲案",IF(AG10="備","08-18",IF(OR(AG10="支援秘書室",AG10="支援出納室",AG10="支援警務科",AG10="支援事務股"),"支援總(大)隊",IF(AG10="支援檢疫所","支援(其他)",IF(  AG10="/","空班",  IF(  AG10="丙",  "※ 丙案",  IF(  AG10="丙常訓",  "※ 丙案 常訓",AG10  )))))))))))))))))))))))))</f>
        <v>輪休</v>
      </c>
    </row>
    <row r="51" spans="1:33">
      <c r="A51" s="271" t="str">
        <f t="shared" ref="A51:B51" si="10">A11</f>
        <v>N</v>
      </c>
      <c r="B51" s="271" t="str">
        <f t="shared" si="10"/>
        <v>陳正輝</v>
      </c>
      <c r="C51" s="271" t="str">
        <f>IF(C11="早","08-18",IF(C11="中","12-22",IF(C11="晚","22-08",IF(C11="X","輪休",IF(C11="公","公假",IF(OR(C11="病",C11="事"),"病(事)假",IF(OR(C11="婚",C11="產"),"婚(產)假",IF(C11="補","補休",IF(C11="休","休假",IF(C11="喪","喪假",IF(AND(C11="/",OR($A11=日期輸入!$B$23,$A11=日期輸入!$C$23,$A11=日期輸入!$D$23,$A11=日期輸入!$E$23,$A11=日期輸入!$F$23)),"08-18水電科",IF(C11="大日","大隊值日(日)",IF(C11="大夜","大隊值日(夜)",IF(C11="值1","值1(早)",IF(C11="值1丙","值1(早) 丙案",IF(C11="值2","值2(中)",IF(C11="值2乙","值2(中) 乙案",IF(C11="夜值","夜值(晚)",IF(C11="甲夜","夜值(晚) 甲案",IF(C11="備","08-18",IF(OR(C11="支援秘書室",C11="支援出納室",C11="支援警務科",C11="支援事務股"),"支援總(大)隊",IF(C11="支援檢疫所","支援(其他)",IF(  C11="/","空班",  IF(  C11="丙",  "※ 丙案",  IF(  C11="丙常訓",  "※ 丙案 常訓",C11  )))))))))))))))))))))))))</f>
        <v>空班</v>
      </c>
      <c r="D51" s="271" t="str">
        <f>IF(D11="早","08-18",IF(D11="中","12-22",IF(D11="晚","22-08",IF(D11="X","輪休",IF(D11="公","公假",IF(OR(D11="病",D11="事"),"病(事)假",IF(OR(D11="婚",D11="產"),"婚(產)假",IF(D11="補","補休",IF(D11="休","休假",IF(D11="喪","喪假",IF(AND(D11="/",OR($A11=日期輸入!$B$23,$A11=日期輸入!$C$23,$A11=日期輸入!$D$23,$A11=日期輸入!$E$23,$A11=日期輸入!$F$23)),"08-18水電科",IF(D11="大日","大隊值日(日)",IF(D11="大夜","大隊值日(夜)",IF(D11="值1","值1(早)",IF(D11="值1丙","值1(早) 丙案",IF(D11="值2","值2(中)",IF(D11="值2乙","值2(中) 乙案",IF(D11="夜值","夜值(晚)",IF(D11="甲夜","夜值(晚) 甲案",IF(D11="備","08-18",IF(OR(D11="支援秘書室",D11="支援出納室",D11="支援警務科",D11="支援事務股"),"支援總(大)隊",IF(D11="支援檢疫所","支援(其他)",IF(  D11="/","空班",  IF(  D11="丙",  "※ 丙案",  IF(  D11="丙常訓",  "※ 丙案 常訓",D11  )))))))))))))))))))))))))</f>
        <v>輪休</v>
      </c>
      <c r="E51" s="271" t="str">
        <f>IF(E11="早","08-18",IF(E11="中","12-22",IF(E11="晚","22-08",IF(E11="X","輪休",IF(E11="公","公假",IF(OR(E11="病",E11="事"),"病(事)假",IF(OR(E11="婚",E11="產"),"婚(產)假",IF(E11="補","補休",IF(E11="休","休假",IF(E11="喪","喪假",IF(AND(E11="/",OR($A11=日期輸入!$B$23,$A11=日期輸入!$C$23,$A11=日期輸入!$D$23,$A11=日期輸入!$E$23,$A11=日期輸入!$F$23)),"08-18水電科",IF(E11="大日","大隊值日(日)",IF(E11="大夜","大隊值日(夜)",IF(E11="值1","值1(早)",IF(E11="值1丙","值1(早) 丙案",IF(E11="值2","值2(中)",IF(E11="值2乙","值2(中) 乙案",IF(E11="夜值","夜值(晚)",IF(E11="甲夜","夜值(晚) 甲案",IF(E11="備","08-18",IF(OR(E11="支援秘書室",E11="支援出納室",E11="支援警務科",E11="支援事務股"),"支援總(大)隊",IF(E11="支援檢疫所","支援(其他)",IF(  E11="/","空班",  IF(  E11="丙",  "※ 丙案",  IF(  E11="丙常訓",  "※ 丙案 常訓",E11  )))))))))))))))))))))))))</f>
        <v>輪休</v>
      </c>
      <c r="F51" s="271" t="str">
        <f>IF(F11="早","08-18",IF(F11="中","12-22",IF(F11="晚","22-08",IF(F11="X","輪休",IF(F11="公","公假",IF(OR(F11="病",F11="事"),"病(事)假",IF(OR(F11="婚",F11="產"),"婚(產)假",IF(F11="補","補休",IF(F11="休","休假",IF(F11="喪","喪假",IF(AND(F11="/",OR($A11=日期輸入!$B$23,$A11=日期輸入!$C$23,$A11=日期輸入!$D$23,$A11=日期輸入!$E$23,$A11=日期輸入!$F$23)),"08-18水電科",IF(F11="大日","大隊值日(日)",IF(F11="大夜","大隊值日(夜)",IF(F11="值1","值1(早)",IF(F11="值1丙","值1(早) 丙案",IF(F11="值2","值2(中)",IF(F11="值2乙","值2(中) 乙案",IF(F11="夜值","夜值(晚)",IF(F11="甲夜","夜值(晚) 甲案",IF(F11="備","08-18",IF(OR(F11="支援秘書室",F11="支援出納室",F11="支援警務科",F11="支援事務股"),"支援總(大)隊",IF(F11="支援檢疫所","支援(其他)",IF(  F11="/","空班",  IF(  F11="丙",  "※ 丙案",  IF(  F11="丙常訓",  "※ 丙案 常訓",F11  )))))))))))))))))))))))))</f>
        <v>空班</v>
      </c>
      <c r="G51" s="271" t="str">
        <f>IF(G11="早","08-18",IF(G11="中","12-22",IF(G11="晚","22-08",IF(G11="X","輪休",IF(G11="公","公假",IF(OR(G11="病",G11="事"),"病(事)假",IF(OR(G11="婚",G11="產"),"婚(產)假",IF(G11="補","補休",IF(G11="休","休假",IF(G11="喪","喪假",IF(AND(G11="/",OR($A11=日期輸入!$B$23,$A11=日期輸入!$C$23,$A11=日期輸入!$D$23,$A11=日期輸入!$E$23,$A11=日期輸入!$F$23)),"08-18水電科",IF(G11="大日","大隊值日(日)",IF(G11="大夜","大隊值日(夜)",IF(G11="值1","值1(早)",IF(G11="值1丙","值1(早) 丙案",IF(G11="值2","值2(中)",IF(G11="值2乙","值2(中) 乙案",IF(G11="夜值","夜值(晚)",IF(G11="甲夜","夜值(晚) 甲案",IF(G11="備","08-18",IF(OR(G11="支援秘書室",G11="支援出納室",G11="支援警務科",G11="支援事務股"),"支援總(大)隊",IF(G11="支援檢疫所","支援(其他)",IF(  G11="/","空班",  IF(  G11="丙",  "※ 丙案",  IF(  G11="丙常訓",  "※ 丙案 常訓",G11  )))))))))))))))))))))))))</f>
        <v>空班</v>
      </c>
      <c r="H51" s="271" t="str">
        <f>IF(H11="早","08-18",IF(H11="中","12-22",IF(H11="晚","22-08",IF(H11="X","輪休",IF(H11="公","公假",IF(OR(H11="病",H11="事"),"病(事)假",IF(OR(H11="婚",H11="產"),"婚(產)假",IF(H11="補","補休",IF(H11="休","休假",IF(H11="喪","喪假",IF(AND(H11="/",OR($A11=日期輸入!$B$23,$A11=日期輸入!$C$23,$A11=日期輸入!$D$23,$A11=日期輸入!$E$23,$A11=日期輸入!$F$23)),"08-18水電科",IF(H11="大日","大隊值日(日)",IF(H11="大夜","大隊值日(夜)",IF(H11="值1","值1(早)",IF(H11="值1丙","值1(早) 丙案",IF(H11="值2","值2(中)",IF(H11="值2乙","值2(中) 乙案",IF(H11="夜值","夜值(晚)",IF(H11="甲夜","夜值(晚) 甲案",IF(H11="備","08-18",IF(OR(H11="支援秘書室",H11="支援出納室",H11="支援警務科",H11="支援事務股"),"支援總(大)隊",IF(H11="支援檢疫所","支援(其他)",IF(  H11="/","空班",  IF(  H11="丙",  "※ 丙案",  IF(  H11="丙常訓",  "※ 丙案 常訓",H11  )))))))))))))))))))))))))</f>
        <v>空班</v>
      </c>
      <c r="I51" s="271" t="str">
        <f>IF(I11="早","08-18",IF(I11="中","12-22",IF(I11="晚","22-08",IF(I11="X","輪休",IF(I11="公","公假",IF(OR(I11="病",I11="事"),"病(事)假",IF(OR(I11="婚",I11="產"),"婚(產)假",IF(I11="補","補休",IF(I11="休","休假",IF(I11="喪","喪假",IF(AND(I11="/",OR($A11=日期輸入!$B$23,$A11=日期輸入!$C$23,$A11=日期輸入!$D$23,$A11=日期輸入!$E$23,$A11=日期輸入!$F$23)),"08-18水電科",IF(I11="大日","大隊值日(日)",IF(I11="大夜","大隊值日(夜)",IF(I11="值1","值1(早)",IF(I11="值1丙","值1(早) 丙案",IF(I11="值2","值2(中)",IF(I11="值2乙","值2(中) 乙案",IF(I11="夜值","夜值(晚)",IF(I11="甲夜","夜值(晚) 甲案",IF(I11="備","08-18",IF(OR(I11="支援秘書室",I11="支援出納室",I11="支援警務科",I11="支援事務股"),"支援總(大)隊",IF(I11="支援檢疫所","支援(其他)",IF(  I11="/","空班",  IF(  I11="丙",  "※ 丙案",  IF(  I11="丙常訓",  "※ 丙案 常訓",I11  )))))))))))))))))))))))))</f>
        <v>空班</v>
      </c>
      <c r="J51" s="271" t="str">
        <f>IF(J11="早","08-18",IF(J11="中","12-22",IF(J11="晚","22-08",IF(J11="X","輪休",IF(J11="公","公假",IF(OR(J11="病",J11="事"),"病(事)假",IF(OR(J11="婚",J11="產"),"婚(產)假",IF(J11="補","補休",IF(J11="休","休假",IF(J11="喪","喪假",IF(AND(J11="/",OR($A11=日期輸入!$B$23,$A11=日期輸入!$C$23,$A11=日期輸入!$D$23,$A11=日期輸入!$E$23,$A11=日期輸入!$F$23)),"08-18水電科",IF(J11="大日","大隊值日(日)",IF(J11="大夜","大隊值日(夜)",IF(J11="值1","值1(早)",IF(J11="值1丙","值1(早) 丙案",IF(J11="值2","值2(中)",IF(J11="值2乙","值2(中) 乙案",IF(J11="夜值","夜值(晚)",IF(J11="甲夜","夜值(晚) 甲案",IF(J11="備","08-18",IF(OR(J11="支援秘書室",J11="支援出納室",J11="支援警務科",J11="支援事務股"),"支援總(大)隊",IF(J11="支援檢疫所","支援(其他)",IF(  J11="/","空班",  IF(  J11="丙",  "※ 丙案",  IF(  J11="丙常訓",  "※ 丙案 常訓",J11  )))))))))))))))))))))))))</f>
        <v>空班</v>
      </c>
      <c r="K51" s="271" t="str">
        <f>IF(K11="早","08-18",IF(K11="中","12-22",IF(K11="晚","22-08",IF(K11="X","輪休",IF(K11="公","公假",IF(OR(K11="病",K11="事"),"病(事)假",IF(OR(K11="婚",K11="產"),"婚(產)假",IF(K11="補","補休",IF(K11="休","休假",IF(K11="喪","喪假",IF(AND(K11="/",OR($A11=日期輸入!$B$23,$A11=日期輸入!$C$23,$A11=日期輸入!$D$23,$A11=日期輸入!$E$23,$A11=日期輸入!$F$23)),"08-18水電科",IF(K11="大日","大隊值日(日)",IF(K11="大夜","大隊值日(夜)",IF(K11="值1","值1(早)",IF(K11="值1丙","值1(早) 丙案",IF(K11="值2","值2(中)",IF(K11="值2乙","值2(中) 乙案",IF(K11="夜值","夜值(晚)",IF(K11="甲夜","夜值(晚) 甲案",IF(K11="備","08-18",IF(OR(K11="支援秘書室",K11="支援出納室",K11="支援警務科",K11="支援事務股"),"支援總(大)隊",IF(K11="支援檢疫所","支援(其他)",IF(  K11="/","空班",  IF(  K11="丙",  "※ 丙案",  IF(  K11="丙常訓",  "※ 丙案 常訓",K11  )))))))))))))))))))))))))</f>
        <v>空班</v>
      </c>
      <c r="L51" s="271" t="str">
        <f>IF(L11="早","08-18",IF(L11="中","12-22",IF(L11="晚","22-08",IF(L11="X","輪休",IF(L11="公","公假",IF(OR(L11="病",L11="事"),"病(事)假",IF(OR(L11="婚",L11="產"),"婚(產)假",IF(L11="補","補休",IF(L11="休","休假",IF(L11="喪","喪假",IF(AND(L11="/",OR($A11=日期輸入!$B$23,$A11=日期輸入!$C$23,$A11=日期輸入!$D$23,$A11=日期輸入!$E$23,$A11=日期輸入!$F$23)),"08-18水電科",IF(L11="大日","大隊值日(日)",IF(L11="大夜","大隊值日(夜)",IF(L11="值1","值1(早)",IF(L11="值1丙","值1(早) 丙案",IF(L11="值2","值2(中)",IF(L11="值2乙","值2(中) 乙案",IF(L11="夜值","夜值(晚)",IF(L11="甲夜","夜值(晚) 甲案",IF(L11="備","08-18",IF(OR(L11="支援秘書室",L11="支援出納室",L11="支援警務科",L11="支援事務股"),"支援總(大)隊",IF(L11="支援檢疫所","支援(其他)",IF(  L11="/","空班",  IF(  L11="丙",  "※ 丙案",  IF(  L11="丙常訓",  "※ 丙案 常訓",L11  )))))))))))))))))))))))))</f>
        <v>空班</v>
      </c>
      <c r="M51" s="271" t="str">
        <f>IF(M11="早","08-18",IF(M11="中","12-22",IF(M11="晚","22-08",IF(M11="X","輪休",IF(M11="公","公假",IF(OR(M11="病",M11="事"),"病(事)假",IF(OR(M11="婚",M11="產"),"婚(產)假",IF(M11="補","補休",IF(M11="休","休假",IF(M11="喪","喪假",IF(AND(M11="/",OR($A11=日期輸入!$B$23,$A11=日期輸入!$C$23,$A11=日期輸入!$D$23,$A11=日期輸入!$E$23,$A11=日期輸入!$F$23)),"08-18水電科",IF(M11="大日","大隊值日(日)",IF(M11="大夜","大隊值日(夜)",IF(M11="值1","值1(早)",IF(M11="值1丙","值1(早) 丙案",IF(M11="值2","值2(中)",IF(M11="值2乙","值2(中) 乙案",IF(M11="夜值","夜值(晚)",IF(M11="甲夜","夜值(晚) 甲案",IF(M11="備","08-18",IF(OR(M11="支援秘書室",M11="支援出納室",M11="支援警務科",M11="支援事務股"),"支援總(大)隊",IF(M11="支援檢疫所","支援(其他)",IF(  M11="/","空班",  IF(  M11="丙",  "※ 丙案",  IF(  M11="丙常訓",  "※ 丙案 常訓",M11  )))))))))))))))))))))))))</f>
        <v>空班</v>
      </c>
      <c r="N51" s="271" t="str">
        <f>IF(N11="早","08-18",IF(N11="中","12-22",IF(N11="晚","22-08",IF(N11="X","輪休",IF(N11="公","公假",IF(OR(N11="病",N11="事"),"病(事)假",IF(OR(N11="婚",N11="產"),"婚(產)假",IF(N11="補","補休",IF(N11="休","休假",IF(N11="喪","喪假",IF(AND(N11="/",OR($A11=日期輸入!$B$23,$A11=日期輸入!$C$23,$A11=日期輸入!$D$23,$A11=日期輸入!$E$23,$A11=日期輸入!$F$23)),"08-18水電科",IF(N11="大日","大隊值日(日)",IF(N11="大夜","大隊值日(夜)",IF(N11="值1","值1(早)",IF(N11="值1丙","值1(早) 丙案",IF(N11="值2","值2(中)",IF(N11="值2乙","值2(中) 乙案",IF(N11="夜值","夜值(晚)",IF(N11="甲夜","夜值(晚) 甲案",IF(N11="備","08-18",IF(OR(N11="支援秘書室",N11="支援出納室",N11="支援警務科",N11="支援事務股"),"支援總(大)隊",IF(N11="支援檢疫所","支援(其他)",IF(  N11="/","空班",  IF(  N11="丙",  "※ 丙案",  IF(  N11="丙常訓",  "※ 丙案 常訓",N11  )))))))))))))))))))))))))</f>
        <v>空班</v>
      </c>
      <c r="O51" s="271" t="str">
        <f>IF(O11="早","08-18",IF(O11="中","12-22",IF(O11="晚","22-08",IF(O11="X","輪休",IF(O11="公","公假",IF(OR(O11="病",O11="事"),"病(事)假",IF(OR(O11="婚",O11="產"),"婚(產)假",IF(O11="補","補休",IF(O11="休","休假",IF(O11="喪","喪假",IF(AND(O11="/",OR($A11=日期輸入!$B$23,$A11=日期輸入!$C$23,$A11=日期輸入!$D$23,$A11=日期輸入!$E$23,$A11=日期輸入!$F$23)),"08-18水電科",IF(O11="大日","大隊值日(日)",IF(O11="大夜","大隊值日(夜)",IF(O11="值1","值1(早)",IF(O11="值1丙","值1(早) 丙案",IF(O11="值2","值2(中)",IF(O11="值2乙","值2(中) 乙案",IF(O11="夜值","夜值(晚)",IF(O11="甲夜","夜值(晚) 甲案",IF(O11="備","08-18",IF(OR(O11="支援秘書室",O11="支援出納室",O11="支援警務科",O11="支援事務股"),"支援總(大)隊",IF(O11="支援檢疫所","支援(其他)",IF(  O11="/","空班",  IF(  O11="丙",  "※ 丙案",  IF(  O11="丙常訓",  "※ 丙案 常訓",O11  )))))))))))))))))))))))))</f>
        <v>空班</v>
      </c>
      <c r="P51" s="271" t="str">
        <f>IF(P11="早","08-18",IF(P11="中","12-22",IF(P11="晚","22-08",IF(P11="X","輪休",IF(P11="公","公假",IF(OR(P11="病",P11="事"),"病(事)假",IF(OR(P11="婚",P11="產"),"婚(產)假",IF(P11="補","補休",IF(P11="休","休假",IF(P11="喪","喪假",IF(AND(P11="/",OR($A11=日期輸入!$B$23,$A11=日期輸入!$C$23,$A11=日期輸入!$D$23,$A11=日期輸入!$E$23,$A11=日期輸入!$F$23)),"08-18水電科",IF(P11="大日","大隊值日(日)",IF(P11="大夜","大隊值日(夜)",IF(P11="值1","值1(早)",IF(P11="值1丙","值1(早) 丙案",IF(P11="值2","值2(中)",IF(P11="值2乙","值2(中) 乙案",IF(P11="夜值","夜值(晚)",IF(P11="甲夜","夜值(晚) 甲案",IF(P11="備","08-18",IF(OR(P11="支援秘書室",P11="支援出納室",P11="支援警務科",P11="支援事務股"),"支援總(大)隊",IF(P11="支援檢疫所","支援(其他)",IF(  P11="/","空班",  IF(  P11="丙",  "※ 丙案",  IF(  P11="丙常訓",  "※ 丙案 常訓",P11  )))))))))))))))))))))))))</f>
        <v>空班</v>
      </c>
      <c r="Q51" s="271" t="str">
        <f>IF(Q11="早","08-18",IF(Q11="中","12-22",IF(Q11="晚","22-08",IF(Q11="X","輪休",IF(Q11="公","公假",IF(OR(Q11="病",Q11="事"),"病(事)假",IF(OR(Q11="婚",Q11="產"),"婚(產)假",IF(Q11="補","補休",IF(Q11="休","休假",IF(Q11="喪","喪假",IF(AND(Q11="/",OR($A11=日期輸入!$B$23,$A11=日期輸入!$C$23,$A11=日期輸入!$D$23,$A11=日期輸入!$E$23,$A11=日期輸入!$F$23)),"08-18水電科",IF(Q11="大日","大隊值日(日)",IF(Q11="大夜","大隊值日(夜)",IF(Q11="值1","值1(早)",IF(Q11="值1丙","值1(早) 丙案",IF(Q11="值2","值2(中)",IF(Q11="值2乙","值2(中) 乙案",IF(Q11="夜值","夜值(晚)",IF(Q11="甲夜","夜值(晚) 甲案",IF(Q11="備","08-18",IF(OR(Q11="支援秘書室",Q11="支援出納室",Q11="支援警務科",Q11="支援事務股"),"支援總(大)隊",IF(Q11="支援檢疫所","支援(其他)",IF(  Q11="/","空班",  IF(  Q11="丙",  "※ 丙案",  IF(  Q11="丙常訓",  "※ 丙案 常訓",Q11  )))))))))))))))))))))))))</f>
        <v>空班</v>
      </c>
      <c r="R51" s="271" t="str">
        <f>IF(R11="早","08-18",IF(R11="中","12-22",IF(R11="晚","22-08",IF(R11="X","輪休",IF(R11="公","公假",IF(OR(R11="病",R11="事"),"病(事)假",IF(OR(R11="婚",R11="產"),"婚(產)假",IF(R11="補","補休",IF(R11="休","休假",IF(R11="喪","喪假",IF(AND(R11="/",OR($A11=日期輸入!$B$23,$A11=日期輸入!$C$23,$A11=日期輸入!$D$23,$A11=日期輸入!$E$23,$A11=日期輸入!$F$23)),"08-18水電科",IF(R11="大日","大隊值日(日)",IF(R11="大夜","大隊值日(夜)",IF(R11="值1","值1(早)",IF(R11="值1丙","值1(早) 丙案",IF(R11="值2","值2(中)",IF(R11="值2乙","值2(中) 乙案",IF(R11="夜值","夜值(晚)",IF(R11="甲夜","夜值(晚) 甲案",IF(R11="備","08-18",IF(OR(R11="支援秘書室",R11="支援出納室",R11="支援警務科",R11="支援事務股"),"支援總(大)隊",IF(R11="支援檢疫所","支援(其他)",IF(  R11="/","空班",  IF(  R11="丙",  "※ 丙案",  IF(  R11="丙常訓",  "※ 丙案 常訓",R11  )))))))))))))))))))))))))</f>
        <v>空班</v>
      </c>
      <c r="S51" s="271" t="str">
        <f>IF(S11="早","08-18",IF(S11="中","12-22",IF(S11="晚","22-08",IF(S11="X","輪休",IF(S11="公","公假",IF(OR(S11="病",S11="事"),"病(事)假",IF(OR(S11="婚",S11="產"),"婚(產)假",IF(S11="補","補休",IF(S11="休","休假",IF(S11="喪","喪假",IF(AND(S11="/",OR($A11=日期輸入!$B$23,$A11=日期輸入!$C$23,$A11=日期輸入!$D$23,$A11=日期輸入!$E$23,$A11=日期輸入!$F$23)),"08-18水電科",IF(S11="大日","大隊值日(日)",IF(S11="大夜","大隊值日(夜)",IF(S11="值1","值1(早)",IF(S11="值1丙","值1(早) 丙案",IF(S11="值2","值2(中)",IF(S11="值2乙","值2(中) 乙案",IF(S11="夜值","夜值(晚)",IF(S11="甲夜","夜值(晚) 甲案",IF(S11="備","08-18",IF(OR(S11="支援秘書室",S11="支援出納室",S11="支援警務科",S11="支援事務股"),"支援總(大)隊",IF(S11="支援檢疫所","支援(其他)",IF(  S11="/","空班",  IF(  S11="丙",  "※ 丙案",  IF(  S11="丙常訓",  "※ 丙案 常訓",S11  )))))))))))))))))))))))))</f>
        <v>空班</v>
      </c>
      <c r="T51" s="271" t="str">
        <f>IF(T11="早","08-18",IF(T11="中","12-22",IF(T11="晚","22-08",IF(T11="X","輪休",IF(T11="公","公假",IF(OR(T11="病",T11="事"),"病(事)假",IF(OR(T11="婚",T11="產"),"婚(產)假",IF(T11="補","補休",IF(T11="休","休假",IF(T11="喪","喪假",IF(AND(T11="/",OR($A11=日期輸入!$B$23,$A11=日期輸入!$C$23,$A11=日期輸入!$D$23,$A11=日期輸入!$E$23,$A11=日期輸入!$F$23)),"08-18水電科",IF(T11="大日","大隊值日(日)",IF(T11="大夜","大隊值日(夜)",IF(T11="值1","值1(早)",IF(T11="值1丙","值1(早) 丙案",IF(T11="值2","值2(中)",IF(T11="值2乙","值2(中) 乙案",IF(T11="夜值","夜值(晚)",IF(T11="甲夜","夜值(晚) 甲案",IF(T11="備","08-18",IF(OR(T11="支援秘書室",T11="支援出納室",T11="支援警務科",T11="支援事務股"),"支援總(大)隊",IF(T11="支援檢疫所","支援(其他)",IF(  T11="/","空班",  IF(  T11="丙",  "※ 丙案",  IF(  T11="丙常訓",  "※ 丙案 常訓",T11  )))))))))))))))))))))))))</f>
        <v>空班</v>
      </c>
      <c r="U51" s="271" t="str">
        <f>IF(U11="早","08-18",IF(U11="中","12-22",IF(U11="晚","22-08",IF(U11="X","輪休",IF(U11="公","公假",IF(OR(U11="病",U11="事"),"病(事)假",IF(OR(U11="婚",U11="產"),"婚(產)假",IF(U11="補","補休",IF(U11="休","休假",IF(U11="喪","喪假",IF(AND(U11="/",OR($A11=日期輸入!$B$23,$A11=日期輸入!$C$23,$A11=日期輸入!$D$23,$A11=日期輸入!$E$23,$A11=日期輸入!$F$23)),"08-18水電科",IF(U11="大日","大隊值日(日)",IF(U11="大夜","大隊值日(夜)",IF(U11="值1","值1(早)",IF(U11="值1丙","值1(早) 丙案",IF(U11="值2","值2(中)",IF(U11="值2乙","值2(中) 乙案",IF(U11="夜值","夜值(晚)",IF(U11="甲夜","夜值(晚) 甲案",IF(U11="備","08-18",IF(OR(U11="支援秘書室",U11="支援出納室",U11="支援警務科",U11="支援事務股"),"支援總(大)隊",IF(U11="支援檢疫所","支援(其他)",IF(  U11="/","空班",  IF(  U11="丙",  "※ 丙案",  IF(  U11="丙常訓",  "※ 丙案 常訓",U11  )))))))))))))))))))))))))</f>
        <v>空班</v>
      </c>
      <c r="V51" s="271" t="str">
        <f>IF(V11="早","08-18",IF(V11="中","12-22",IF(V11="晚","22-08",IF(V11="X","輪休",IF(V11="公","公假",IF(OR(V11="病",V11="事"),"病(事)假",IF(OR(V11="婚",V11="產"),"婚(產)假",IF(V11="補","補休",IF(V11="休","休假",IF(V11="喪","喪假",IF(AND(V11="/",OR($A11=日期輸入!$B$23,$A11=日期輸入!$C$23,$A11=日期輸入!$D$23,$A11=日期輸入!$E$23,$A11=日期輸入!$F$23)),"08-18水電科",IF(V11="大日","大隊值日(日)",IF(V11="大夜","大隊值日(夜)",IF(V11="值1","值1(早)",IF(V11="值1丙","值1(早) 丙案",IF(V11="值2","值2(中)",IF(V11="值2乙","值2(中) 乙案",IF(V11="夜值","夜值(晚)",IF(V11="甲夜","夜值(晚) 甲案",IF(V11="備","08-18",IF(OR(V11="支援秘書室",V11="支援出納室",V11="支援警務科",V11="支援事務股"),"支援總(大)隊",IF(V11="支援檢疫所","支援(其他)",IF(  V11="/","空班",  IF(  V11="丙",  "※ 丙案",  IF(  V11="丙常訓",  "※ 丙案 常訓",V11  )))))))))))))))))))))))))</f>
        <v>空班</v>
      </c>
      <c r="W51" s="271" t="str">
        <f>IF(W11="早","08-18",IF(W11="中","12-22",IF(W11="晚","22-08",IF(W11="X","輪休",IF(W11="公","公假",IF(OR(W11="病",W11="事"),"病(事)假",IF(OR(W11="婚",W11="產"),"婚(產)假",IF(W11="補","補休",IF(W11="休","休假",IF(W11="喪","喪假",IF(AND(W11="/",OR($A11=日期輸入!$B$23,$A11=日期輸入!$C$23,$A11=日期輸入!$D$23,$A11=日期輸入!$E$23,$A11=日期輸入!$F$23)),"08-18水電科",IF(W11="大日","大隊值日(日)",IF(W11="大夜","大隊值日(夜)",IF(W11="值1","值1(早)",IF(W11="值1丙","值1(早) 丙案",IF(W11="值2","值2(中)",IF(W11="值2乙","值2(中) 乙案",IF(W11="夜值","夜值(晚)",IF(W11="甲夜","夜值(晚) 甲案",IF(W11="備","08-18",IF(OR(W11="支援秘書室",W11="支援出納室",W11="支援警務科",W11="支援事務股"),"支援總(大)隊",IF(W11="支援檢疫所","支援(其他)",IF(  W11="/","空班",  IF(  W11="丙",  "※ 丙案",  IF(  W11="丙常訓",  "※ 丙案 常訓",W11  )))))))))))))))))))))))))</f>
        <v>空班</v>
      </c>
      <c r="X51" s="271" t="str">
        <f>IF(X11="早","08-18",IF(X11="中","12-22",IF(X11="晚","22-08",IF(X11="X","輪休",IF(X11="公","公假",IF(OR(X11="病",X11="事"),"病(事)假",IF(OR(X11="婚",X11="產"),"婚(產)假",IF(X11="補","補休",IF(X11="休","休假",IF(X11="喪","喪假",IF(AND(X11="/",OR($A11=日期輸入!$B$23,$A11=日期輸入!$C$23,$A11=日期輸入!$D$23,$A11=日期輸入!$E$23,$A11=日期輸入!$F$23)),"08-18水電科",IF(X11="大日","大隊值日(日)",IF(X11="大夜","大隊值日(夜)",IF(X11="值1","值1(早)",IF(X11="值1丙","值1(早) 丙案",IF(X11="值2","值2(中)",IF(X11="值2乙","值2(中) 乙案",IF(X11="夜值","夜值(晚)",IF(X11="甲夜","夜值(晚) 甲案",IF(X11="備","08-18",IF(OR(X11="支援秘書室",X11="支援出納室",X11="支援警務科",X11="支援事務股"),"支援總(大)隊",IF(X11="支援檢疫所","支援(其他)",IF(  X11="/","空班",  IF(  X11="丙",  "※ 丙案",  IF(  X11="丙常訓",  "※ 丙案 常訓",X11  )))))))))))))))))))))))))</f>
        <v>空班</v>
      </c>
      <c r="Y51" s="271" t="str">
        <f>IF(Y11="早","08-18",IF(Y11="中","12-22",IF(Y11="晚","22-08",IF(Y11="X","輪休",IF(Y11="公","公假",IF(OR(Y11="病",Y11="事"),"病(事)假",IF(OR(Y11="婚",Y11="產"),"婚(產)假",IF(Y11="補","補休",IF(Y11="休","休假",IF(Y11="喪","喪假",IF(AND(Y11="/",OR($A11=日期輸入!$B$23,$A11=日期輸入!$C$23,$A11=日期輸入!$D$23,$A11=日期輸入!$E$23,$A11=日期輸入!$F$23)),"08-18水電科",IF(Y11="大日","大隊值日(日)",IF(Y11="大夜","大隊值日(夜)",IF(Y11="值1","值1(早)",IF(Y11="值1丙","值1(早) 丙案",IF(Y11="值2","值2(中)",IF(Y11="值2乙","值2(中) 乙案",IF(Y11="夜值","夜值(晚)",IF(Y11="甲夜","夜值(晚) 甲案",IF(Y11="備","08-18",IF(OR(Y11="支援秘書室",Y11="支援出納室",Y11="支援警務科",Y11="支援事務股"),"支援總(大)隊",IF(Y11="支援檢疫所","支援(其他)",IF(  Y11="/","空班",  IF(  Y11="丙",  "※ 丙案",  IF(  Y11="丙常訓",  "※ 丙案 常訓",Y11  )))))))))))))))))))))))))</f>
        <v>空班</v>
      </c>
      <c r="Z51" s="271" t="str">
        <f>IF(Z11="早","08-18",IF(Z11="中","12-22",IF(Z11="晚","22-08",IF(Z11="X","輪休",IF(Z11="公","公假",IF(OR(Z11="病",Z11="事"),"病(事)假",IF(OR(Z11="婚",Z11="產"),"婚(產)假",IF(Z11="補","補休",IF(Z11="休","休假",IF(Z11="喪","喪假",IF(AND(Z11="/",OR($A11=日期輸入!$B$23,$A11=日期輸入!$C$23,$A11=日期輸入!$D$23,$A11=日期輸入!$E$23,$A11=日期輸入!$F$23)),"08-18水電科",IF(Z11="大日","大隊值日(日)",IF(Z11="大夜","大隊值日(夜)",IF(Z11="值1","值1(早)",IF(Z11="值1丙","值1(早) 丙案",IF(Z11="值2","值2(中)",IF(Z11="值2乙","值2(中) 乙案",IF(Z11="夜值","夜值(晚)",IF(Z11="甲夜","夜值(晚) 甲案",IF(Z11="備","08-18",IF(OR(Z11="支援秘書室",Z11="支援出納室",Z11="支援警務科",Z11="支援事務股"),"支援總(大)隊",IF(Z11="支援檢疫所","支援(其他)",IF(  Z11="/","空班",  IF(  Z11="丙",  "※ 丙案",  IF(  Z11="丙常訓",  "※ 丙案 常訓",Z11  )))))))))))))))))))))))))</f>
        <v>空班</v>
      </c>
      <c r="AA51" s="271" t="str">
        <f>IF(AA11="早","08-18",IF(AA11="中","12-22",IF(AA11="晚","22-08",IF(AA11="X","輪休",IF(AA11="公","公假",IF(OR(AA11="病",AA11="事"),"病(事)假",IF(OR(AA11="婚",AA11="產"),"婚(產)假",IF(AA11="補","補休",IF(AA11="休","休假",IF(AA11="喪","喪假",IF(AND(AA11="/",OR($A11=日期輸入!$B$23,$A11=日期輸入!$C$23,$A11=日期輸入!$D$23,$A11=日期輸入!$E$23,$A11=日期輸入!$F$23)),"08-18水電科",IF(AA11="大日","大隊值日(日)",IF(AA11="大夜","大隊值日(夜)",IF(AA11="值1","值1(早)",IF(AA11="值1丙","值1(早) 丙案",IF(AA11="值2","值2(中)",IF(AA11="值2乙","值2(中) 乙案",IF(AA11="夜值","夜值(晚)",IF(AA11="甲夜","夜值(晚) 甲案",IF(AA11="備","08-18",IF(OR(AA11="支援秘書室",AA11="支援出納室",AA11="支援警務科",AA11="支援事務股"),"支援總(大)隊",IF(AA11="支援檢疫所","支援(其他)",IF(  AA11="/","空班",  IF(  AA11="丙",  "※ 丙案",  IF(  AA11="丙常訓",  "※ 丙案 常訓",AA11  )))))))))))))))))))))))))</f>
        <v>空班</v>
      </c>
      <c r="AB51" s="271" t="str">
        <f>IF(AB11="早","08-18",IF(AB11="中","12-22",IF(AB11="晚","22-08",IF(AB11="X","輪休",IF(AB11="公","公假",IF(OR(AB11="病",AB11="事"),"病(事)假",IF(OR(AB11="婚",AB11="產"),"婚(產)假",IF(AB11="補","補休",IF(AB11="休","休假",IF(AB11="喪","喪假",IF(AND(AB11="/",OR($A11=日期輸入!$B$23,$A11=日期輸入!$C$23,$A11=日期輸入!$D$23,$A11=日期輸入!$E$23,$A11=日期輸入!$F$23)),"08-18水電科",IF(AB11="大日","大隊值日(日)",IF(AB11="大夜","大隊值日(夜)",IF(AB11="值1","值1(早)",IF(AB11="值1丙","值1(早) 丙案",IF(AB11="值2","值2(中)",IF(AB11="值2乙","值2(中) 乙案",IF(AB11="夜值","夜值(晚)",IF(AB11="甲夜","夜值(晚) 甲案",IF(AB11="備","08-18",IF(OR(AB11="支援秘書室",AB11="支援出納室",AB11="支援警務科",AB11="支援事務股"),"支援總(大)隊",IF(AB11="支援檢疫所","支援(其他)",IF(  AB11="/","空班",  IF(  AB11="丙",  "※ 丙案",  IF(  AB11="丙常訓",  "※ 丙案 常訓",AB11  )))))))))))))))))))))))))</f>
        <v>空班</v>
      </c>
      <c r="AC51" s="271" t="str">
        <f>IF(AC11="早","08-18",IF(AC11="中","12-22",IF(AC11="晚","22-08",IF(AC11="X","輪休",IF(AC11="公","公假",IF(OR(AC11="病",AC11="事"),"病(事)假",IF(OR(AC11="婚",AC11="產"),"婚(產)假",IF(AC11="補","補休",IF(AC11="休","休假",IF(AC11="喪","喪假",IF(AND(AC11="/",OR($A11=日期輸入!$B$23,$A11=日期輸入!$C$23,$A11=日期輸入!$D$23,$A11=日期輸入!$E$23,$A11=日期輸入!$F$23)),"08-18水電科",IF(AC11="大日","大隊值日(日)",IF(AC11="大夜","大隊值日(夜)",IF(AC11="值1","值1(早)",IF(AC11="值1丙","值1(早) 丙案",IF(AC11="值2","值2(中)",IF(AC11="值2乙","值2(中) 乙案",IF(AC11="夜值","夜值(晚)",IF(AC11="甲夜","夜值(晚) 甲案",IF(AC11="備","08-18",IF(OR(AC11="支援秘書室",AC11="支援出納室",AC11="支援警務科",AC11="支援事務股"),"支援總(大)隊",IF(AC11="支援檢疫所","支援(其他)",IF(  AC11="/","空班",  IF(  AC11="丙",  "※ 丙案",  IF(  AC11="丙常訓",  "※ 丙案 常訓",AC11  )))))))))))))))))))))))))</f>
        <v>空班</v>
      </c>
      <c r="AD51" s="271" t="str">
        <f>IF(AD11="早","08-18",IF(AD11="中","12-22",IF(AD11="晚","22-08",IF(AD11="X","輪休",IF(AD11="公","公假",IF(OR(AD11="病",AD11="事"),"病(事)假",IF(OR(AD11="婚",AD11="產"),"婚(產)假",IF(AD11="補","補休",IF(AD11="休","休假",IF(AD11="喪","喪假",IF(AND(AD11="/",OR($A11=日期輸入!$B$23,$A11=日期輸入!$C$23,$A11=日期輸入!$D$23,$A11=日期輸入!$E$23,$A11=日期輸入!$F$23)),"08-18水電科",IF(AD11="大日","大隊值日(日)",IF(AD11="大夜","大隊值日(夜)",IF(AD11="值1","值1(早)",IF(AD11="值1丙","值1(早) 丙案",IF(AD11="值2","值2(中)",IF(AD11="值2乙","值2(中) 乙案",IF(AD11="夜值","夜值(晚)",IF(AD11="甲夜","夜值(晚) 甲案",IF(AD11="備","08-18",IF(OR(AD11="支援秘書室",AD11="支援出納室",AD11="支援警務科",AD11="支援事務股"),"支援總(大)隊",IF(AD11="支援檢疫所","支援(其他)",IF(  AD11="/","空班",  IF(  AD11="丙",  "※ 丙案",  IF(  AD11="丙常訓",  "※ 丙案 常訓",AD11  )))))))))))))))))))))))))</f>
        <v>空班</v>
      </c>
      <c r="AE51" s="271" t="str">
        <f>IF(AE11="早","08-18",IF(AE11="中","12-22",IF(AE11="晚","22-08",IF(AE11="X","輪休",IF(AE11="公","公假",IF(OR(AE11="病",AE11="事"),"病(事)假",IF(OR(AE11="婚",AE11="產"),"婚(產)假",IF(AE11="補","補休",IF(AE11="休","休假",IF(AE11="喪","喪假",IF(AND(AE11="/",OR($A11=日期輸入!$B$23,$A11=日期輸入!$C$23,$A11=日期輸入!$D$23,$A11=日期輸入!$E$23,$A11=日期輸入!$F$23)),"08-18水電科",IF(AE11="大日","大隊值日(日)",IF(AE11="大夜","大隊值日(夜)",IF(AE11="值1","值1(早)",IF(AE11="值1丙","值1(早) 丙案",IF(AE11="值2","值2(中)",IF(AE11="值2乙","值2(中) 乙案",IF(AE11="夜值","夜值(晚)",IF(AE11="甲夜","夜值(晚) 甲案",IF(AE11="備","08-18",IF(OR(AE11="支援秘書室",AE11="支援出納室",AE11="支援警務科",AE11="支援事務股"),"支援總(大)隊",IF(AE11="支援檢疫所","支援(其他)",IF(  AE11="/","空班",  IF(  AE11="丙",  "※ 丙案",  IF(  AE11="丙常訓",  "※ 丙案 常訓",AE11  )))))))))))))))))))))))))</f>
        <v>空班</v>
      </c>
      <c r="AF51" s="271" t="str">
        <f>IF(AF11="早","08-18",IF(AF11="中","12-22",IF(AF11="晚","22-08",IF(AF11="X","輪休",IF(AF11="公","公假",IF(OR(AF11="病",AF11="事"),"病(事)假",IF(OR(AF11="婚",AF11="產"),"婚(產)假",IF(AF11="補","補休",IF(AF11="休","休假",IF(AF11="喪","喪假",IF(AND(AF11="/",OR($A11=日期輸入!$B$23,$A11=日期輸入!$C$23,$A11=日期輸入!$D$23,$A11=日期輸入!$E$23,$A11=日期輸入!$F$23)),"08-18水電科",IF(AF11="大日","大隊值日(日)",IF(AF11="大夜","大隊值日(夜)",IF(AF11="值1","值1(早)",IF(AF11="值1丙","值1(早) 丙案",IF(AF11="值2","值2(中)",IF(AF11="值2乙","值2(中) 乙案",IF(AF11="夜值","夜值(晚)",IF(AF11="甲夜","夜值(晚) 甲案",IF(AF11="備","08-18",IF(OR(AF11="支援秘書室",AF11="支援出納室",AF11="支援警務科",AF11="支援事務股"),"支援總(大)隊",IF(AF11="支援檢疫所","支援(其他)",IF(  AF11="/","空班",  IF(  AF11="丙",  "※ 丙案",  IF(  AF11="丙常訓",  "※ 丙案 常訓",AF11  )))))))))))))))))))))))))</f>
        <v>空班</v>
      </c>
      <c r="AG51" s="271" t="str">
        <f>IF(AG11="早","08-18",IF(AG11="中","12-22",IF(AG11="晚","22-08",IF(AG11="X","輪休",IF(AG11="公","公假",IF(OR(AG11="病",AG11="事"),"病(事)假",IF(OR(AG11="婚",AG11="產"),"婚(產)假",IF(AG11="補","補休",IF(AG11="休","休假",IF(AG11="喪","喪假",IF(AND(AG11="/",OR($A11=日期輸入!$B$23,$A11=日期輸入!$C$23,$A11=日期輸入!$D$23,$A11=日期輸入!$E$23,$A11=日期輸入!$F$23)),"08-18水電科",IF(AG11="大日","大隊值日(日)",IF(AG11="大夜","大隊值日(夜)",IF(AG11="值1","值1(早)",IF(AG11="值1丙","值1(早) 丙案",IF(AG11="值2","值2(中)",IF(AG11="值2乙","值2(中) 乙案",IF(AG11="夜值","夜值(晚)",IF(AG11="甲夜","夜值(晚) 甲案",IF(AG11="備","08-18",IF(OR(AG11="支援秘書室",AG11="支援出納室",AG11="支援警務科",AG11="支援事務股"),"支援總(大)隊",IF(AG11="支援檢疫所","支援(其他)",IF(  AG11="/","空班",  IF(  AG11="丙",  "※ 丙案",  IF(  AG11="丙常訓",  "※ 丙案 常訓",AG11  )))))))))))))))))))))))))</f>
        <v>空班</v>
      </c>
    </row>
    <row r="52" spans="1:33">
      <c r="A52" s="271" t="str">
        <f t="shared" ref="A52:B52" si="11">A12</f>
        <v>O</v>
      </c>
      <c r="B52" s="271" t="str">
        <f t="shared" si="11"/>
        <v>陳佑任</v>
      </c>
      <c r="C52" s="271" t="str">
        <f>IF(C12="早","08-18",IF(C12="中","12-22",IF(C12="晚","22-08",IF(C12="X","輪休",IF(C12="公","公假",IF(OR(C12="病",C12="事"),"病(事)假",IF(OR(C12="婚",C12="產"),"婚(產)假",IF(C12="補","補休",IF(C12="休","休假",IF(C12="喪","喪假",IF(AND(C12="/",OR($A12=日期輸入!$B$23,$A12=日期輸入!$C$23,$A12=日期輸入!$D$23,$A12=日期輸入!$E$23,$A12=日期輸入!$F$23)),"08-18水電科",IF(C12="大日","大隊值日(日)",IF(C12="大夜","大隊值日(夜)",IF(C12="值1","值1(早)",IF(C12="值1丙","值1(早) 丙案",IF(C12="值2","值2(中)",IF(C12="值2乙","值2(中) 乙案",IF(C12="夜值","夜值(晚)",IF(C12="甲夜","夜值(晚) 甲案",IF(C12="備","08-18",IF(OR(C12="支援秘書室",C12="支援出納室",C12="支援警務科",C12="支援事務股"),"支援總(大)隊",IF(C12="支援檢疫所","支援(其他)",IF(  C12="/","空班",  IF(  C12="丙",  "※ 丙案",  IF(  C12="丙常訓",  "※ 丙案 常訓",C12  )))))))))))))))))))))))))</f>
        <v>空班</v>
      </c>
      <c r="D52" s="271" t="str">
        <f>IF(D12="早","08-18",IF(D12="中","12-22",IF(D12="晚","22-08",IF(D12="X","輪休",IF(D12="公","公假",IF(OR(D12="病",D12="事"),"病(事)假",IF(OR(D12="婚",D12="產"),"婚(產)假",IF(D12="補","補休",IF(D12="休","休假",IF(D12="喪","喪假",IF(AND(D12="/",OR($A12=日期輸入!$B$23,$A12=日期輸入!$C$23,$A12=日期輸入!$D$23,$A12=日期輸入!$E$23,$A12=日期輸入!$F$23)),"08-18水電科",IF(D12="大日","大隊值日(日)",IF(D12="大夜","大隊值日(夜)",IF(D12="值1","值1(早)",IF(D12="值1丙","值1(早) 丙案",IF(D12="值2","值2(中)",IF(D12="值2乙","值2(中) 乙案",IF(D12="夜值","夜值(晚)",IF(D12="甲夜","夜值(晚) 甲案",IF(D12="備","08-18",IF(OR(D12="支援秘書室",D12="支援出納室",D12="支援警務科",D12="支援事務股"),"支援總(大)隊",IF(D12="支援檢疫所","支援(其他)",IF(  D12="/","空班",  IF(  D12="丙",  "※ 丙案",  IF(  D12="丙常訓",  "※ 丙案 常訓",D12  )))))))))))))))))))))))))</f>
        <v>輪休</v>
      </c>
      <c r="E52" s="271" t="str">
        <f>IF(E12="早","08-18",IF(E12="中","12-22",IF(E12="晚","22-08",IF(E12="X","輪休",IF(E12="公","公假",IF(OR(E12="病",E12="事"),"病(事)假",IF(OR(E12="婚",E12="產"),"婚(產)假",IF(E12="補","補休",IF(E12="休","休假",IF(E12="喪","喪假",IF(AND(E12="/",OR($A12=日期輸入!$B$23,$A12=日期輸入!$C$23,$A12=日期輸入!$D$23,$A12=日期輸入!$E$23,$A12=日期輸入!$F$23)),"08-18水電科",IF(E12="大日","大隊值日(日)",IF(E12="大夜","大隊值日(夜)",IF(E12="值1","值1(早)",IF(E12="值1丙","值1(早) 丙案",IF(E12="值2","值2(中)",IF(E12="值2乙","值2(中) 乙案",IF(E12="夜值","夜值(晚)",IF(E12="甲夜","夜值(晚) 甲案",IF(E12="備","08-18",IF(OR(E12="支援秘書室",E12="支援出納室",E12="支援警務科",E12="支援事務股"),"支援總(大)隊",IF(E12="支援檢疫所","支援(其他)",IF(  E12="/","空班",  IF(  E12="丙",  "※ 丙案",  IF(  E12="丙常訓",  "※ 丙案 常訓",E12  )))))))))))))))))))))))))</f>
        <v>輪休</v>
      </c>
      <c r="F52" s="271" t="str">
        <f>IF(F12="早","08-18",IF(F12="中","12-22",IF(F12="晚","22-08",IF(F12="X","輪休",IF(F12="公","公假",IF(OR(F12="病",F12="事"),"病(事)假",IF(OR(F12="婚",F12="產"),"婚(產)假",IF(F12="補","補休",IF(F12="休","休假",IF(F12="喪","喪假",IF(AND(F12="/",OR($A12=日期輸入!$B$23,$A12=日期輸入!$C$23,$A12=日期輸入!$D$23,$A12=日期輸入!$E$23,$A12=日期輸入!$F$23)),"08-18水電科",IF(F12="大日","大隊值日(日)",IF(F12="大夜","大隊值日(夜)",IF(F12="值1","值1(早)",IF(F12="值1丙","值1(早) 丙案",IF(F12="值2","值2(中)",IF(F12="值2乙","值2(中) 乙案",IF(F12="夜值","夜值(晚)",IF(F12="甲夜","夜值(晚) 甲案",IF(F12="備","08-18",IF(OR(F12="支援秘書室",F12="支援出納室",F12="支援警務科",F12="支援事務股"),"支援總(大)隊",IF(F12="支援檢疫所","支援(其他)",IF(  F12="/","空班",  IF(  F12="丙",  "※ 丙案",  IF(  F12="丙常訓",  "※ 丙案 常訓",F12  )))))))))))))))))))))))))</f>
        <v>空班</v>
      </c>
      <c r="G52" s="271" t="str">
        <f>IF(G12="早","08-18",IF(G12="中","12-22",IF(G12="晚","22-08",IF(G12="X","輪休",IF(G12="公","公假",IF(OR(G12="病",G12="事"),"病(事)假",IF(OR(G12="婚",G12="產"),"婚(產)假",IF(G12="補","補休",IF(G12="休","休假",IF(G12="喪","喪假",IF(AND(G12="/",OR($A12=日期輸入!$B$23,$A12=日期輸入!$C$23,$A12=日期輸入!$D$23,$A12=日期輸入!$E$23,$A12=日期輸入!$F$23)),"08-18水電科",IF(G12="大日","大隊值日(日)",IF(G12="大夜","大隊值日(夜)",IF(G12="值1","值1(早)",IF(G12="值1丙","值1(早) 丙案",IF(G12="值2","值2(中)",IF(G12="值2乙","值2(中) 乙案",IF(G12="夜值","夜值(晚)",IF(G12="甲夜","夜值(晚) 甲案",IF(G12="備","08-18",IF(OR(G12="支援秘書室",G12="支援出納室",G12="支援警務科",G12="支援事務股"),"支援總(大)隊",IF(G12="支援檢疫所","支援(其他)",IF(  G12="/","空班",  IF(  G12="丙",  "※ 丙案",  IF(  G12="丙常訓",  "※ 丙案 常訓",G12  )))))))))))))))))))))))))</f>
        <v>大隊值日(日)</v>
      </c>
      <c r="H52" s="271" t="str">
        <f>IF(H12="早","08-18",IF(H12="中","12-22",IF(H12="晚","22-08",IF(H12="X","輪休",IF(H12="公","公假",IF(OR(H12="病",H12="事"),"病(事)假",IF(OR(H12="婚",H12="產"),"婚(產)假",IF(H12="補","補休",IF(H12="休","休假",IF(H12="喪","喪假",IF(AND(H12="/",OR($A12=日期輸入!$B$23,$A12=日期輸入!$C$23,$A12=日期輸入!$D$23,$A12=日期輸入!$E$23,$A12=日期輸入!$F$23)),"08-18水電科",IF(H12="大日","大隊值日(日)",IF(H12="大夜","大隊值日(夜)",IF(H12="值1","值1(早)",IF(H12="值1丙","值1(早) 丙案",IF(H12="值2","值2(中)",IF(H12="值2乙","值2(中) 乙案",IF(H12="夜值","夜值(晚)",IF(H12="甲夜","夜值(晚) 甲案",IF(H12="備","08-18",IF(OR(H12="支援秘書室",H12="支援出納室",H12="支援警務科",H12="支援事務股"),"支援總(大)隊",IF(H12="支援檢疫所","支援(其他)",IF(  H12="/","空班",  IF(  H12="丙",  "※ 丙案",  IF(  H12="丙常訓",  "※ 丙案 常訓",H12  )))))))))))))))))))))))))</f>
        <v>大隊值日(日)</v>
      </c>
      <c r="I52" s="271" t="str">
        <f>IF(I12="早","08-18",IF(I12="中","12-22",IF(I12="晚","22-08",IF(I12="X","輪休",IF(I12="公","公假",IF(OR(I12="病",I12="事"),"病(事)假",IF(OR(I12="婚",I12="產"),"婚(產)假",IF(I12="補","補休",IF(I12="休","休假",IF(I12="喪","喪假",IF(AND(I12="/",OR($A12=日期輸入!$B$23,$A12=日期輸入!$C$23,$A12=日期輸入!$D$23,$A12=日期輸入!$E$23,$A12=日期輸入!$F$23)),"08-18水電科",IF(I12="大日","大隊值日(日)",IF(I12="大夜","大隊值日(夜)",IF(I12="值1","值1(早)",IF(I12="值1丙","值1(早) 丙案",IF(I12="值2","值2(中)",IF(I12="值2乙","值2(中) 乙案",IF(I12="夜值","夜值(晚)",IF(I12="甲夜","夜值(晚) 甲案",IF(I12="備","08-18",IF(OR(I12="支援秘書室",I12="支援出納室",I12="支援警務科",I12="支援事務股"),"支援總(大)隊",IF(I12="支援檢疫所","支援(其他)",IF(  I12="/","空班",  IF(  I12="丙",  "※ 丙案",  IF(  I12="丙常訓",  "※ 丙案 常訓",I12  )))))))))))))))))))))))))</f>
        <v>大隊值日(日)</v>
      </c>
      <c r="J52" s="271" t="str">
        <f>IF(J12="早","08-18",IF(J12="中","12-22",IF(J12="晚","22-08",IF(J12="X","輪休",IF(J12="公","公假",IF(OR(J12="病",J12="事"),"病(事)假",IF(OR(J12="婚",J12="產"),"婚(產)假",IF(J12="補","補休",IF(J12="休","休假",IF(J12="喪","喪假",IF(AND(J12="/",OR($A12=日期輸入!$B$23,$A12=日期輸入!$C$23,$A12=日期輸入!$D$23,$A12=日期輸入!$E$23,$A12=日期輸入!$F$23)),"08-18水電科",IF(J12="大日","大隊值日(日)",IF(J12="大夜","大隊值日(夜)",IF(J12="值1","值1(早)",IF(J12="值1丙","值1(早) 丙案",IF(J12="值2","值2(中)",IF(J12="值2乙","值2(中) 乙案",IF(J12="夜值","夜值(晚)",IF(J12="甲夜","夜值(晚) 甲案",IF(J12="備","08-18",IF(OR(J12="支援秘書室",J12="支援出納室",J12="支援警務科",J12="支援事務股"),"支援總(大)隊",IF(J12="支援檢疫所","支援(其他)",IF(  J12="/","空班",  IF(  J12="丙",  "※ 丙案",  IF(  J12="丙常訓",  "※ 丙案 常訓",J12  )))))))))))))))))))))))))</f>
        <v>大隊值日(日)</v>
      </c>
      <c r="K52" s="271" t="str">
        <f>IF(K12="早","08-18",IF(K12="中","12-22",IF(K12="晚","22-08",IF(K12="X","輪休",IF(K12="公","公假",IF(OR(K12="病",K12="事"),"病(事)假",IF(OR(K12="婚",K12="產"),"婚(產)假",IF(K12="補","補休",IF(K12="休","休假",IF(K12="喪","喪假",IF(AND(K12="/",OR($A12=日期輸入!$B$23,$A12=日期輸入!$C$23,$A12=日期輸入!$D$23,$A12=日期輸入!$E$23,$A12=日期輸入!$F$23)),"08-18水電科",IF(K12="大日","大隊值日(日)",IF(K12="大夜","大隊值日(夜)",IF(K12="值1","值1(早)",IF(K12="值1丙","值1(早) 丙案",IF(K12="值2","值2(中)",IF(K12="值2乙","值2(中) 乙案",IF(K12="夜值","夜值(晚)",IF(K12="甲夜","夜值(晚) 甲案",IF(K12="備","08-18",IF(OR(K12="支援秘書室",K12="支援出納室",K12="支援警務科",K12="支援事務股"),"支援總(大)隊",IF(K12="支援檢疫所","支援(其他)",IF(  K12="/","空班",  IF(  K12="丙",  "※ 丙案",  IF(  K12="丙常訓",  "※ 丙案 常訓",K12  )))))))))))))))))))))))))</f>
        <v>大隊值日(日)</v>
      </c>
      <c r="L52" s="271" t="str">
        <f>IF(L12="早","08-18",IF(L12="中","12-22",IF(L12="晚","22-08",IF(L12="X","輪休",IF(L12="公","公假",IF(OR(L12="病",L12="事"),"病(事)假",IF(OR(L12="婚",L12="產"),"婚(產)假",IF(L12="補","補休",IF(L12="休","休假",IF(L12="喪","喪假",IF(AND(L12="/",OR($A12=日期輸入!$B$23,$A12=日期輸入!$C$23,$A12=日期輸入!$D$23,$A12=日期輸入!$E$23,$A12=日期輸入!$F$23)),"08-18水電科",IF(L12="大日","大隊值日(日)",IF(L12="大夜","大隊值日(夜)",IF(L12="值1","值1(早)",IF(L12="值1丙","值1(早) 丙案",IF(L12="值2","值2(中)",IF(L12="值2乙","值2(中) 乙案",IF(L12="夜值","夜值(晚)",IF(L12="甲夜","夜值(晚) 甲案",IF(L12="備","08-18",IF(OR(L12="支援秘書室",L12="支援出納室",L12="支援警務科",L12="支援事務股"),"支援總(大)隊",IF(L12="支援檢疫所","支援(其他)",IF(  L12="/","空班",  IF(  L12="丙",  "※ 丙案",  IF(  L12="丙常訓",  "※ 丙案 常訓",L12  )))))))))))))))))))))))))</f>
        <v>大隊值日(日)</v>
      </c>
      <c r="M52" s="271" t="str">
        <f>IF(M12="早","08-18",IF(M12="中","12-22",IF(M12="晚","22-08",IF(M12="X","輪休",IF(M12="公","公假",IF(OR(M12="病",M12="事"),"病(事)假",IF(OR(M12="婚",M12="產"),"婚(產)假",IF(M12="補","補休",IF(M12="休","休假",IF(M12="喪","喪假",IF(AND(M12="/",OR($A12=日期輸入!$B$23,$A12=日期輸入!$C$23,$A12=日期輸入!$D$23,$A12=日期輸入!$E$23,$A12=日期輸入!$F$23)),"08-18水電科",IF(M12="大日","大隊值日(日)",IF(M12="大夜","大隊值日(夜)",IF(M12="值1","值1(早)",IF(M12="值1丙","值1(早) 丙案",IF(M12="值2","值2(中)",IF(M12="值2乙","值2(中) 乙案",IF(M12="夜值","夜值(晚)",IF(M12="甲夜","夜值(晚) 甲案",IF(M12="備","08-18",IF(OR(M12="支援秘書室",M12="支援出納室",M12="支援警務科",M12="支援事務股"),"支援總(大)隊",IF(M12="支援檢疫所","支援(其他)",IF(  M12="/","空班",  IF(  M12="丙",  "※ 丙案",  IF(  M12="丙常訓",  "※ 丙案 常訓",M12  )))))))))))))))))))))))))</f>
        <v>大隊值日(日)</v>
      </c>
      <c r="N52" s="271" t="str">
        <f>IF(N12="早","08-18",IF(N12="中","12-22",IF(N12="晚","22-08",IF(N12="X","輪休",IF(N12="公","公假",IF(OR(N12="病",N12="事"),"病(事)假",IF(OR(N12="婚",N12="產"),"婚(產)假",IF(N12="補","補休",IF(N12="休","休假",IF(N12="喪","喪假",IF(AND(N12="/",OR($A12=日期輸入!$B$23,$A12=日期輸入!$C$23,$A12=日期輸入!$D$23,$A12=日期輸入!$E$23,$A12=日期輸入!$F$23)),"08-18水電科",IF(N12="大日","大隊值日(日)",IF(N12="大夜","大隊值日(夜)",IF(N12="值1","值1(早)",IF(N12="值1丙","值1(早) 丙案",IF(N12="值2","值2(中)",IF(N12="值2乙","值2(中) 乙案",IF(N12="夜值","夜值(晚)",IF(N12="甲夜","夜值(晚) 甲案",IF(N12="備","08-18",IF(OR(N12="支援秘書室",N12="支援出納室",N12="支援警務科",N12="支援事務股"),"支援總(大)隊",IF(N12="支援檢疫所","支援(其他)",IF(  N12="/","空班",  IF(  N12="丙",  "※ 丙案",  IF(  N12="丙常訓",  "※ 丙案 常訓",N12  )))))))))))))))))))))))))</f>
        <v>大隊值日(日)</v>
      </c>
      <c r="O52" s="271" t="str">
        <f>IF(O12="早","08-18",IF(O12="中","12-22",IF(O12="晚","22-08",IF(O12="X","輪休",IF(O12="公","公假",IF(OR(O12="病",O12="事"),"病(事)假",IF(OR(O12="婚",O12="產"),"婚(產)假",IF(O12="補","補休",IF(O12="休","休假",IF(O12="喪","喪假",IF(AND(O12="/",OR($A12=日期輸入!$B$23,$A12=日期輸入!$C$23,$A12=日期輸入!$D$23,$A12=日期輸入!$E$23,$A12=日期輸入!$F$23)),"08-18水電科",IF(O12="大日","大隊值日(日)",IF(O12="大夜","大隊值日(夜)",IF(O12="值1","值1(早)",IF(O12="值1丙","值1(早) 丙案",IF(O12="值2","值2(中)",IF(O12="值2乙","值2(中) 乙案",IF(O12="夜值","夜值(晚)",IF(O12="甲夜","夜值(晚) 甲案",IF(O12="備","08-18",IF(OR(O12="支援秘書室",O12="支援出納室",O12="支援警務科",O12="支援事務股"),"支援總(大)隊",IF(O12="支援檢疫所","支援(其他)",IF(  O12="/","空班",  IF(  O12="丙",  "※ 丙案",  IF(  O12="丙常訓",  "※ 丙案 常訓",O12  )))))))))))))))))))))))))</f>
        <v>大隊值日(日)</v>
      </c>
      <c r="P52" s="271" t="str">
        <f>IF(P12="早","08-18",IF(P12="中","12-22",IF(P12="晚","22-08",IF(P12="X","輪休",IF(P12="公","公假",IF(OR(P12="病",P12="事"),"病(事)假",IF(OR(P12="婚",P12="產"),"婚(產)假",IF(P12="補","補休",IF(P12="休","休假",IF(P12="喪","喪假",IF(AND(P12="/",OR($A12=日期輸入!$B$23,$A12=日期輸入!$C$23,$A12=日期輸入!$D$23,$A12=日期輸入!$E$23,$A12=日期輸入!$F$23)),"08-18水電科",IF(P12="大日","大隊值日(日)",IF(P12="大夜","大隊值日(夜)",IF(P12="值1","值1(早)",IF(P12="值1丙","值1(早) 丙案",IF(P12="值2","值2(中)",IF(P12="值2乙","值2(中) 乙案",IF(P12="夜值","夜值(晚)",IF(P12="甲夜","夜值(晚) 甲案",IF(P12="備","08-18",IF(OR(P12="支援秘書室",P12="支援出納室",P12="支援警務科",P12="支援事務股"),"支援總(大)隊",IF(P12="支援檢疫所","支援(其他)",IF(  P12="/","空班",  IF(  P12="丙",  "※ 丙案",  IF(  P12="丙常訓",  "※ 丙案 常訓",P12  )))))))))))))))))))))))))</f>
        <v>大隊值日(日)</v>
      </c>
      <c r="Q52" s="271" t="str">
        <f>IF(Q12="早","08-18",IF(Q12="中","12-22",IF(Q12="晚","22-08",IF(Q12="X","輪休",IF(Q12="公","公假",IF(OR(Q12="病",Q12="事"),"病(事)假",IF(OR(Q12="婚",Q12="產"),"婚(產)假",IF(Q12="補","補休",IF(Q12="休","休假",IF(Q12="喪","喪假",IF(AND(Q12="/",OR($A12=日期輸入!$B$23,$A12=日期輸入!$C$23,$A12=日期輸入!$D$23,$A12=日期輸入!$E$23,$A12=日期輸入!$F$23)),"08-18水電科",IF(Q12="大日","大隊值日(日)",IF(Q12="大夜","大隊值日(夜)",IF(Q12="值1","值1(早)",IF(Q12="值1丙","值1(早) 丙案",IF(Q12="值2","值2(中)",IF(Q12="值2乙","值2(中) 乙案",IF(Q12="夜值","夜值(晚)",IF(Q12="甲夜","夜值(晚) 甲案",IF(Q12="備","08-18",IF(OR(Q12="支援秘書室",Q12="支援出納室",Q12="支援警務科",Q12="支援事務股"),"支援總(大)隊",IF(Q12="支援檢疫所","支援(其他)",IF(  Q12="/","空班",  IF(  Q12="丙",  "※ 丙案",  IF(  Q12="丙常訓",  "※ 丙案 常訓",Q12  )))))))))))))))))))))))))</f>
        <v>大隊值日(日)</v>
      </c>
      <c r="R52" s="271" t="str">
        <f>IF(R12="早","08-18",IF(R12="中","12-22",IF(R12="晚","22-08",IF(R12="X","輪休",IF(R12="公","公假",IF(OR(R12="病",R12="事"),"病(事)假",IF(OR(R12="婚",R12="產"),"婚(產)假",IF(R12="補","補休",IF(R12="休","休假",IF(R12="喪","喪假",IF(AND(R12="/",OR($A12=日期輸入!$B$23,$A12=日期輸入!$C$23,$A12=日期輸入!$D$23,$A12=日期輸入!$E$23,$A12=日期輸入!$F$23)),"08-18水電科",IF(R12="大日","大隊值日(日)",IF(R12="大夜","大隊值日(夜)",IF(R12="值1","值1(早)",IF(R12="值1丙","值1(早) 丙案",IF(R12="值2","值2(中)",IF(R12="值2乙","值2(中) 乙案",IF(R12="夜值","夜值(晚)",IF(R12="甲夜","夜值(晚) 甲案",IF(R12="備","08-18",IF(OR(R12="支援秘書室",R12="支援出納室",R12="支援警務科",R12="支援事務股"),"支援總(大)隊",IF(R12="支援檢疫所","支援(其他)",IF(  R12="/","空班",  IF(  R12="丙",  "※ 丙案",  IF(  R12="丙常訓",  "※ 丙案 常訓",R12  )))))))))))))))))))))))))</f>
        <v>大隊值日(日)</v>
      </c>
      <c r="S52" s="271" t="str">
        <f>IF(S12="早","08-18",IF(S12="中","12-22",IF(S12="晚","22-08",IF(S12="X","輪休",IF(S12="公","公假",IF(OR(S12="病",S12="事"),"病(事)假",IF(OR(S12="婚",S12="產"),"婚(產)假",IF(S12="補","補休",IF(S12="休","休假",IF(S12="喪","喪假",IF(AND(S12="/",OR($A12=日期輸入!$B$23,$A12=日期輸入!$C$23,$A12=日期輸入!$D$23,$A12=日期輸入!$E$23,$A12=日期輸入!$F$23)),"08-18水電科",IF(S12="大日","大隊值日(日)",IF(S12="大夜","大隊值日(夜)",IF(S12="值1","值1(早)",IF(S12="值1丙","值1(早) 丙案",IF(S12="值2","值2(中)",IF(S12="值2乙","值2(中) 乙案",IF(S12="夜值","夜值(晚)",IF(S12="甲夜","夜值(晚) 甲案",IF(S12="備","08-18",IF(OR(S12="支援秘書室",S12="支援出納室",S12="支援警務科",S12="支援事務股"),"支援總(大)隊",IF(S12="支援檢疫所","支援(其他)",IF(  S12="/","空班",  IF(  S12="丙",  "※ 丙案",  IF(  S12="丙常訓",  "※ 丙案 常訓",S12  )))))))))))))))))))))))))</f>
        <v>大隊值日(日)</v>
      </c>
      <c r="T52" s="271" t="str">
        <f>IF(T12="早","08-18",IF(T12="中","12-22",IF(T12="晚","22-08",IF(T12="X","輪休",IF(T12="公","公假",IF(OR(T12="病",T12="事"),"病(事)假",IF(OR(T12="婚",T12="產"),"婚(產)假",IF(T12="補","補休",IF(T12="休","休假",IF(T12="喪","喪假",IF(AND(T12="/",OR($A12=日期輸入!$B$23,$A12=日期輸入!$C$23,$A12=日期輸入!$D$23,$A12=日期輸入!$E$23,$A12=日期輸入!$F$23)),"08-18水電科",IF(T12="大日","大隊值日(日)",IF(T12="大夜","大隊值日(夜)",IF(T12="值1","值1(早)",IF(T12="值1丙","值1(早) 丙案",IF(T12="值2","值2(中)",IF(T12="值2乙","值2(中) 乙案",IF(T12="夜值","夜值(晚)",IF(T12="甲夜","夜值(晚) 甲案",IF(T12="備","08-18",IF(OR(T12="支援秘書室",T12="支援出納室",T12="支援警務科",T12="支援事務股"),"支援總(大)隊",IF(T12="支援檢疫所","支援(其他)",IF(  T12="/","空班",  IF(  T12="丙",  "※ 丙案",  IF(  T12="丙常訓",  "※ 丙案 常訓",T12  )))))))))))))))))))))))))</f>
        <v>大隊值日(日)</v>
      </c>
      <c r="U52" s="271" t="str">
        <f>IF(U12="早","08-18",IF(U12="中","12-22",IF(U12="晚","22-08",IF(U12="X","輪休",IF(U12="公","公假",IF(OR(U12="病",U12="事"),"病(事)假",IF(OR(U12="婚",U12="產"),"婚(產)假",IF(U12="補","補休",IF(U12="休","休假",IF(U12="喪","喪假",IF(AND(U12="/",OR($A12=日期輸入!$B$23,$A12=日期輸入!$C$23,$A12=日期輸入!$D$23,$A12=日期輸入!$E$23,$A12=日期輸入!$F$23)),"08-18水電科",IF(U12="大日","大隊值日(日)",IF(U12="大夜","大隊值日(夜)",IF(U12="值1","值1(早)",IF(U12="值1丙","值1(早) 丙案",IF(U12="值2","值2(中)",IF(U12="值2乙","值2(中) 乙案",IF(U12="夜值","夜值(晚)",IF(U12="甲夜","夜值(晚) 甲案",IF(U12="備","08-18",IF(OR(U12="支援秘書室",U12="支援出納室",U12="支援警務科",U12="支援事務股"),"支援總(大)隊",IF(U12="支援檢疫所","支援(其他)",IF(  U12="/","空班",  IF(  U12="丙",  "※ 丙案",  IF(  U12="丙常訓",  "※ 丙案 常訓",U12  )))))))))))))))))))))))))</f>
        <v>大隊值日(日)</v>
      </c>
      <c r="V52" s="271" t="str">
        <f>IF(V12="早","08-18",IF(V12="中","12-22",IF(V12="晚","22-08",IF(V12="X","輪休",IF(V12="公","公假",IF(OR(V12="病",V12="事"),"病(事)假",IF(OR(V12="婚",V12="產"),"婚(產)假",IF(V12="補","補休",IF(V12="休","休假",IF(V12="喪","喪假",IF(AND(V12="/",OR($A12=日期輸入!$B$23,$A12=日期輸入!$C$23,$A12=日期輸入!$D$23,$A12=日期輸入!$E$23,$A12=日期輸入!$F$23)),"08-18水電科",IF(V12="大日","大隊值日(日)",IF(V12="大夜","大隊值日(夜)",IF(V12="值1","值1(早)",IF(V12="值1丙","值1(早) 丙案",IF(V12="值2","值2(中)",IF(V12="值2乙","值2(中) 乙案",IF(V12="夜值","夜值(晚)",IF(V12="甲夜","夜值(晚) 甲案",IF(V12="備","08-18",IF(OR(V12="支援秘書室",V12="支援出納室",V12="支援警務科",V12="支援事務股"),"支援總(大)隊",IF(V12="支援檢疫所","支援(其他)",IF(  V12="/","空班",  IF(  V12="丙",  "※ 丙案",  IF(  V12="丙常訓",  "※ 丙案 常訓",V12  )))))))))))))))))))))))))</f>
        <v>大隊值日(日)</v>
      </c>
      <c r="W52" s="271" t="str">
        <f>IF(W12="早","08-18",IF(W12="中","12-22",IF(W12="晚","22-08",IF(W12="X","輪休",IF(W12="公","公假",IF(OR(W12="病",W12="事"),"病(事)假",IF(OR(W12="婚",W12="產"),"婚(產)假",IF(W12="補","補休",IF(W12="休","休假",IF(W12="喪","喪假",IF(AND(W12="/",OR($A12=日期輸入!$B$23,$A12=日期輸入!$C$23,$A12=日期輸入!$D$23,$A12=日期輸入!$E$23,$A12=日期輸入!$F$23)),"08-18水電科",IF(W12="大日","大隊值日(日)",IF(W12="大夜","大隊值日(夜)",IF(W12="值1","值1(早)",IF(W12="值1丙","值1(早) 丙案",IF(W12="值2","值2(中)",IF(W12="值2乙","值2(中) 乙案",IF(W12="夜值","夜值(晚)",IF(W12="甲夜","夜值(晚) 甲案",IF(W12="備","08-18",IF(OR(W12="支援秘書室",W12="支援出納室",W12="支援警務科",W12="支援事務股"),"支援總(大)隊",IF(W12="支援檢疫所","支援(其他)",IF(  W12="/","空班",  IF(  W12="丙",  "※ 丙案",  IF(  W12="丙常訓",  "※ 丙案 常訓",W12  )))))))))))))))))))))))))</f>
        <v>大隊值日(日)</v>
      </c>
      <c r="X52" s="271" t="str">
        <f>IF(X12="早","08-18",IF(X12="中","12-22",IF(X12="晚","22-08",IF(X12="X","輪休",IF(X12="公","公假",IF(OR(X12="病",X12="事"),"病(事)假",IF(OR(X12="婚",X12="產"),"婚(產)假",IF(X12="補","補休",IF(X12="休","休假",IF(X12="喪","喪假",IF(AND(X12="/",OR($A12=日期輸入!$B$23,$A12=日期輸入!$C$23,$A12=日期輸入!$D$23,$A12=日期輸入!$E$23,$A12=日期輸入!$F$23)),"08-18水電科",IF(X12="大日","大隊值日(日)",IF(X12="大夜","大隊值日(夜)",IF(X12="值1","值1(早)",IF(X12="值1丙","值1(早) 丙案",IF(X12="值2","值2(中)",IF(X12="值2乙","值2(中) 乙案",IF(X12="夜值","夜值(晚)",IF(X12="甲夜","夜值(晚) 甲案",IF(X12="備","08-18",IF(OR(X12="支援秘書室",X12="支援出納室",X12="支援警務科",X12="支援事務股"),"支援總(大)隊",IF(X12="支援檢疫所","支援(其他)",IF(  X12="/","空班",  IF(  X12="丙",  "※ 丙案",  IF(  X12="丙常訓",  "※ 丙案 常訓",X12  )))))))))))))))))))))))))</f>
        <v>大隊值日(日)</v>
      </c>
      <c r="Y52" s="271" t="str">
        <f>IF(Y12="早","08-18",IF(Y12="中","12-22",IF(Y12="晚","22-08",IF(Y12="X","輪休",IF(Y12="公","公假",IF(OR(Y12="病",Y12="事"),"病(事)假",IF(OR(Y12="婚",Y12="產"),"婚(產)假",IF(Y12="補","補休",IF(Y12="休","休假",IF(Y12="喪","喪假",IF(AND(Y12="/",OR($A12=日期輸入!$B$23,$A12=日期輸入!$C$23,$A12=日期輸入!$D$23,$A12=日期輸入!$E$23,$A12=日期輸入!$F$23)),"08-18水電科",IF(Y12="大日","大隊值日(日)",IF(Y12="大夜","大隊值日(夜)",IF(Y12="值1","值1(早)",IF(Y12="值1丙","值1(早) 丙案",IF(Y12="值2","值2(中)",IF(Y12="值2乙","值2(中) 乙案",IF(Y12="夜值","夜值(晚)",IF(Y12="甲夜","夜值(晚) 甲案",IF(Y12="備","08-18",IF(OR(Y12="支援秘書室",Y12="支援出納室",Y12="支援警務科",Y12="支援事務股"),"支援總(大)隊",IF(Y12="支援檢疫所","支援(其他)",IF(  Y12="/","空班",  IF(  Y12="丙",  "※ 丙案",  IF(  Y12="丙常訓",  "※ 丙案 常訓",Y12  )))))))))))))))))))))))))</f>
        <v>大隊值日(日)</v>
      </c>
      <c r="Z52" s="271" t="str">
        <f>IF(Z12="早","08-18",IF(Z12="中","12-22",IF(Z12="晚","22-08",IF(Z12="X","輪休",IF(Z12="公","公假",IF(OR(Z12="病",Z12="事"),"病(事)假",IF(OR(Z12="婚",Z12="產"),"婚(產)假",IF(Z12="補","補休",IF(Z12="休","休假",IF(Z12="喪","喪假",IF(AND(Z12="/",OR($A12=日期輸入!$B$23,$A12=日期輸入!$C$23,$A12=日期輸入!$D$23,$A12=日期輸入!$E$23,$A12=日期輸入!$F$23)),"08-18水電科",IF(Z12="大日","大隊值日(日)",IF(Z12="大夜","大隊值日(夜)",IF(Z12="值1","值1(早)",IF(Z12="值1丙","值1(早) 丙案",IF(Z12="值2","值2(中)",IF(Z12="值2乙","值2(中) 乙案",IF(Z12="夜值","夜值(晚)",IF(Z12="甲夜","夜值(晚) 甲案",IF(Z12="備","08-18",IF(OR(Z12="支援秘書室",Z12="支援出納室",Z12="支援警務科",Z12="支援事務股"),"支援總(大)隊",IF(Z12="支援檢疫所","支援(其他)",IF(  Z12="/","空班",  IF(  Z12="丙",  "※ 丙案",  IF(  Z12="丙常訓",  "※ 丙案 常訓",Z12  )))))))))))))))))))))))))</f>
        <v>大隊值日(日)</v>
      </c>
      <c r="AA52" s="271" t="str">
        <f>IF(AA12="早","08-18",IF(AA12="中","12-22",IF(AA12="晚","22-08",IF(AA12="X","輪休",IF(AA12="公","公假",IF(OR(AA12="病",AA12="事"),"病(事)假",IF(OR(AA12="婚",AA12="產"),"婚(產)假",IF(AA12="補","補休",IF(AA12="休","休假",IF(AA12="喪","喪假",IF(AND(AA12="/",OR($A12=日期輸入!$B$23,$A12=日期輸入!$C$23,$A12=日期輸入!$D$23,$A12=日期輸入!$E$23,$A12=日期輸入!$F$23)),"08-18水電科",IF(AA12="大日","大隊值日(日)",IF(AA12="大夜","大隊值日(夜)",IF(AA12="值1","值1(早)",IF(AA12="值1丙","值1(早) 丙案",IF(AA12="值2","值2(中)",IF(AA12="值2乙","值2(中) 乙案",IF(AA12="夜值","夜值(晚)",IF(AA12="甲夜","夜值(晚) 甲案",IF(AA12="備","08-18",IF(OR(AA12="支援秘書室",AA12="支援出納室",AA12="支援警務科",AA12="支援事務股"),"支援總(大)隊",IF(AA12="支援檢疫所","支援(其他)",IF(  AA12="/","空班",  IF(  AA12="丙",  "※ 丙案",  IF(  AA12="丙常訓",  "※ 丙案 常訓",AA12  )))))))))))))))))))))))))</f>
        <v>大隊值日(日)</v>
      </c>
      <c r="AB52" s="271" t="str">
        <f>IF(AB12="早","08-18",IF(AB12="中","12-22",IF(AB12="晚","22-08",IF(AB12="X","輪休",IF(AB12="公","公假",IF(OR(AB12="病",AB12="事"),"病(事)假",IF(OR(AB12="婚",AB12="產"),"婚(產)假",IF(AB12="補","補休",IF(AB12="休","休假",IF(AB12="喪","喪假",IF(AND(AB12="/",OR($A12=日期輸入!$B$23,$A12=日期輸入!$C$23,$A12=日期輸入!$D$23,$A12=日期輸入!$E$23,$A12=日期輸入!$F$23)),"08-18水電科",IF(AB12="大日","大隊值日(日)",IF(AB12="大夜","大隊值日(夜)",IF(AB12="值1","值1(早)",IF(AB12="值1丙","值1(早) 丙案",IF(AB12="值2","值2(中)",IF(AB12="值2乙","值2(中) 乙案",IF(AB12="夜值","夜值(晚)",IF(AB12="甲夜","夜值(晚) 甲案",IF(AB12="備","08-18",IF(OR(AB12="支援秘書室",AB12="支援出納室",AB12="支援警務科",AB12="支援事務股"),"支援總(大)隊",IF(AB12="支援檢疫所","支援(其他)",IF(  AB12="/","空班",  IF(  AB12="丙",  "※ 丙案",  IF(  AB12="丙常訓",  "※ 丙案 常訓",AB12  )))))))))))))))))))))))))</f>
        <v>大隊值日(日)</v>
      </c>
      <c r="AC52" s="271" t="str">
        <f>IF(AC12="早","08-18",IF(AC12="中","12-22",IF(AC12="晚","22-08",IF(AC12="X","輪休",IF(AC12="公","公假",IF(OR(AC12="病",AC12="事"),"病(事)假",IF(OR(AC12="婚",AC12="產"),"婚(產)假",IF(AC12="補","補休",IF(AC12="休","休假",IF(AC12="喪","喪假",IF(AND(AC12="/",OR($A12=日期輸入!$B$23,$A12=日期輸入!$C$23,$A12=日期輸入!$D$23,$A12=日期輸入!$E$23,$A12=日期輸入!$F$23)),"08-18水電科",IF(AC12="大日","大隊值日(日)",IF(AC12="大夜","大隊值日(夜)",IF(AC12="值1","值1(早)",IF(AC12="值1丙","值1(早) 丙案",IF(AC12="值2","值2(中)",IF(AC12="值2乙","值2(中) 乙案",IF(AC12="夜值","夜值(晚)",IF(AC12="甲夜","夜值(晚) 甲案",IF(AC12="備","08-18",IF(OR(AC12="支援秘書室",AC12="支援出納室",AC12="支援警務科",AC12="支援事務股"),"支援總(大)隊",IF(AC12="支援檢疫所","支援(其他)",IF(  AC12="/","空班",  IF(  AC12="丙",  "※ 丙案",  IF(  AC12="丙常訓",  "※ 丙案 常訓",AC12  )))))))))))))))))))))))))</f>
        <v>大隊值日(日)</v>
      </c>
      <c r="AD52" s="271" t="str">
        <f>IF(AD12="早","08-18",IF(AD12="中","12-22",IF(AD12="晚","22-08",IF(AD12="X","輪休",IF(AD12="公","公假",IF(OR(AD12="病",AD12="事"),"病(事)假",IF(OR(AD12="婚",AD12="產"),"婚(產)假",IF(AD12="補","補休",IF(AD12="休","休假",IF(AD12="喪","喪假",IF(AND(AD12="/",OR($A12=日期輸入!$B$23,$A12=日期輸入!$C$23,$A12=日期輸入!$D$23,$A12=日期輸入!$E$23,$A12=日期輸入!$F$23)),"08-18水電科",IF(AD12="大日","大隊值日(日)",IF(AD12="大夜","大隊值日(夜)",IF(AD12="值1","值1(早)",IF(AD12="值1丙","值1(早) 丙案",IF(AD12="值2","值2(中)",IF(AD12="值2乙","值2(中) 乙案",IF(AD12="夜值","夜值(晚)",IF(AD12="甲夜","夜值(晚) 甲案",IF(AD12="備","08-18",IF(OR(AD12="支援秘書室",AD12="支援出納室",AD12="支援警務科",AD12="支援事務股"),"支援總(大)隊",IF(AD12="支援檢疫所","支援(其他)",IF(  AD12="/","空班",  IF(  AD12="丙",  "※ 丙案",  IF(  AD12="丙常訓",  "※ 丙案 常訓",AD12  )))))))))))))))))))))))))</f>
        <v>大隊值日(日)</v>
      </c>
      <c r="AE52" s="271" t="str">
        <f>IF(AE12="早","08-18",IF(AE12="中","12-22",IF(AE12="晚","22-08",IF(AE12="X","輪休",IF(AE12="公","公假",IF(OR(AE12="病",AE12="事"),"病(事)假",IF(OR(AE12="婚",AE12="產"),"婚(產)假",IF(AE12="補","補休",IF(AE12="休","休假",IF(AE12="喪","喪假",IF(AND(AE12="/",OR($A12=日期輸入!$B$23,$A12=日期輸入!$C$23,$A12=日期輸入!$D$23,$A12=日期輸入!$E$23,$A12=日期輸入!$F$23)),"08-18水電科",IF(AE12="大日","大隊值日(日)",IF(AE12="大夜","大隊值日(夜)",IF(AE12="值1","值1(早)",IF(AE12="值1丙","值1(早) 丙案",IF(AE12="值2","值2(中)",IF(AE12="值2乙","值2(中) 乙案",IF(AE12="夜值","夜值(晚)",IF(AE12="甲夜","夜值(晚) 甲案",IF(AE12="備","08-18",IF(OR(AE12="支援秘書室",AE12="支援出納室",AE12="支援警務科",AE12="支援事務股"),"支援總(大)隊",IF(AE12="支援檢疫所","支援(其他)",IF(  AE12="/","空班",  IF(  AE12="丙",  "※ 丙案",  IF(  AE12="丙常訓",  "※ 丙案 常訓",AE12  )))))))))))))))))))))))))</f>
        <v>大隊值日(日)</v>
      </c>
      <c r="AF52" s="271" t="str">
        <f>IF(AF12="早","08-18",IF(AF12="中","12-22",IF(AF12="晚","22-08",IF(AF12="X","輪休",IF(AF12="公","公假",IF(OR(AF12="病",AF12="事"),"病(事)假",IF(OR(AF12="婚",AF12="產"),"婚(產)假",IF(AF12="補","補休",IF(AF12="休","休假",IF(AF12="喪","喪假",IF(AND(AF12="/",OR($A12=日期輸入!$B$23,$A12=日期輸入!$C$23,$A12=日期輸入!$D$23,$A12=日期輸入!$E$23,$A12=日期輸入!$F$23)),"08-18水電科",IF(AF12="大日","大隊值日(日)",IF(AF12="大夜","大隊值日(夜)",IF(AF12="值1","值1(早)",IF(AF12="值1丙","值1(早) 丙案",IF(AF12="值2","值2(中)",IF(AF12="值2乙","值2(中) 乙案",IF(AF12="夜值","夜值(晚)",IF(AF12="甲夜","夜值(晚) 甲案",IF(AF12="備","08-18",IF(OR(AF12="支援秘書室",AF12="支援出納室",AF12="支援警務科",AF12="支援事務股"),"支援總(大)隊",IF(AF12="支援檢疫所","支援(其他)",IF(  AF12="/","空班",  IF(  AF12="丙",  "※ 丙案",  IF(  AF12="丙常訓",  "※ 丙案 常訓",AF12  )))))))))))))))))))))))))</f>
        <v>大隊值日(日)</v>
      </c>
      <c r="AG52" s="271" t="str">
        <f>IF(AG12="早","08-18",IF(AG12="中","12-22",IF(AG12="晚","22-08",IF(AG12="X","輪休",IF(AG12="公","公假",IF(OR(AG12="病",AG12="事"),"病(事)假",IF(OR(AG12="婚",AG12="產"),"婚(產)假",IF(AG12="補","補休",IF(AG12="休","休假",IF(AG12="喪","喪假",IF(AND(AG12="/",OR($A12=日期輸入!$B$23,$A12=日期輸入!$C$23,$A12=日期輸入!$D$23,$A12=日期輸入!$E$23,$A12=日期輸入!$F$23)),"08-18水電科",IF(AG12="大日","大隊值日(日)",IF(AG12="大夜","大隊值日(夜)",IF(AG12="值1","值1(早)",IF(AG12="值1丙","值1(早) 丙案",IF(AG12="值2","值2(中)",IF(AG12="值2乙","值2(中) 乙案",IF(AG12="夜值","夜值(晚)",IF(AG12="甲夜","夜值(晚) 甲案",IF(AG12="備","08-18",IF(OR(AG12="支援秘書室",AG12="支援出納室",AG12="支援警務科",AG12="支援事務股"),"支援總(大)隊",IF(AG12="支援檢疫所","支援(其他)",IF(  AG12="/","空班",  IF(  AG12="丙",  "※ 丙案",  IF(  AG12="丙常訓",  "※ 丙案 常訓",AG12  )))))))))))))))))))))))))</f>
        <v>大隊值日(日)</v>
      </c>
    </row>
    <row r="53" spans="1:33">
      <c r="A53" s="271" t="str">
        <f t="shared" ref="A53:B53" si="12">A13</f>
        <v>P</v>
      </c>
      <c r="B53" s="271" t="str">
        <f t="shared" si="12"/>
        <v>林明道(支援總隊)</v>
      </c>
      <c r="C53" s="271" t="str">
        <f>IF(C13="早","08-18",IF(C13="中","12-22",IF(C13="晚","22-08",IF(C13="X","輪休",IF(C13="公","公假",IF(OR(C13="病",C13="事"),"病(事)假",IF(OR(C13="婚",C13="產"),"婚(產)假",IF(C13="補","補休",IF(C13="休","休假",IF(C13="喪","喪假",IF(AND(C13="/",OR($A13=日期輸入!$B$23,$A13=日期輸入!$C$23,$A13=日期輸入!$D$23,$A13=日期輸入!$E$23,$A13=日期輸入!$F$23)),"08-18水電科",IF(C13="大日","大隊值日(日)",IF(C13="大夜","大隊值日(夜)",IF(C13="值1","值1(早)",IF(C13="值1丙","值1(早) 丙案",IF(C13="值2","值2(中)",IF(C13="值2乙","值2(中) 乙案",IF(C13="夜值","夜值(晚)",IF(C13="甲夜","夜值(晚) 甲案",IF(C13="備","08-18",IF(OR(C13="支援秘書室",C13="支援出納室",C13="支援警務科",C13="支援事務股"),"支援總(大)隊",IF(C13="支援檢疫所","支援(其他)",IF(  C13="/","空班",  IF(  C13="丙",  "※ 丙案",  IF(  C13="丙常訓",  "※ 丙案 常訓",C13  )))))))))))))))))))))))))</f>
        <v>08-18水電科</v>
      </c>
      <c r="D53" s="271" t="str">
        <f>IF(D13="早","08-18",IF(D13="中","12-22",IF(D13="晚","22-08",IF(D13="X","輪休",IF(D13="公","公假",IF(OR(D13="病",D13="事"),"病(事)假",IF(OR(D13="婚",D13="產"),"婚(產)假",IF(D13="補","補休",IF(D13="休","休假",IF(D13="喪","喪假",IF(AND(D13="/",OR($A13=日期輸入!$B$23,$A13=日期輸入!$C$23,$A13=日期輸入!$D$23,$A13=日期輸入!$E$23,$A13=日期輸入!$F$23)),"08-18水電科",IF(D13="大日","大隊值日(日)",IF(D13="大夜","大隊值日(夜)",IF(D13="值1","值1(早)",IF(D13="值1丙","值1(早) 丙案",IF(D13="值2","值2(中)",IF(D13="值2乙","值2(中) 乙案",IF(D13="夜值","夜值(晚)",IF(D13="甲夜","夜值(晚) 甲案",IF(D13="備","08-18",IF(OR(D13="支援秘書室",D13="支援出納室",D13="支援警務科",D13="支援事務股"),"支援總(大)隊",IF(D13="支援檢疫所","支援(其他)",IF(  D13="/","空班",  IF(  D13="丙",  "※ 丙案",  IF(  D13="丙常訓",  "※ 丙案 常訓",D13  )))))))))))))))))))))))))</f>
        <v>輪休</v>
      </c>
      <c r="E53" s="271" t="str">
        <f>IF(E13="早","08-18",IF(E13="中","12-22",IF(E13="晚","22-08",IF(E13="X","輪休",IF(E13="公","公假",IF(OR(E13="病",E13="事"),"病(事)假",IF(OR(E13="婚",E13="產"),"婚(產)假",IF(E13="補","補休",IF(E13="休","休假",IF(E13="喪","喪假",IF(AND(E13="/",OR($A13=日期輸入!$B$23,$A13=日期輸入!$C$23,$A13=日期輸入!$D$23,$A13=日期輸入!$E$23,$A13=日期輸入!$F$23)),"08-18水電科",IF(E13="大日","大隊值日(日)",IF(E13="大夜","大隊值日(夜)",IF(E13="值1","值1(早)",IF(E13="值1丙","值1(早) 丙案",IF(E13="值2","值2(中)",IF(E13="值2乙","值2(中) 乙案",IF(E13="夜值","夜值(晚)",IF(E13="甲夜","夜值(晚) 甲案",IF(E13="備","08-18",IF(OR(E13="支援秘書室",E13="支援出納室",E13="支援警務科",E13="支援事務股"),"支援總(大)隊",IF(E13="支援檢疫所","支援(其他)",IF(  E13="/","空班",  IF(  E13="丙",  "※ 丙案",  IF(  E13="丙常訓",  "※ 丙案 常訓",E13  )))))))))))))))))))))))))</f>
        <v>輪休</v>
      </c>
      <c r="F53" s="271" t="str">
        <f>IF(F13="早","08-18",IF(F13="中","12-22",IF(F13="晚","22-08",IF(F13="X","輪休",IF(F13="公","公假",IF(OR(F13="病",F13="事"),"病(事)假",IF(OR(F13="婚",F13="產"),"婚(產)假",IF(F13="補","補休",IF(F13="休","休假",IF(F13="喪","喪假",IF(AND(F13="/",OR($A13=日期輸入!$B$23,$A13=日期輸入!$C$23,$A13=日期輸入!$D$23,$A13=日期輸入!$E$23,$A13=日期輸入!$F$23)),"08-18水電科",IF(F13="大日","大隊值日(日)",IF(F13="大夜","大隊值日(夜)",IF(F13="值1","值1(早)",IF(F13="值1丙","值1(早) 丙案",IF(F13="值2","值2(中)",IF(F13="值2乙","值2(中) 乙案",IF(F13="夜值","夜值(晚)",IF(F13="甲夜","夜值(晚) 甲案",IF(F13="備","08-18",IF(OR(F13="支援秘書室",F13="支援出納室",F13="支援警務科",F13="支援事務股"),"支援總(大)隊",IF(F13="支援檢疫所","支援(其他)",IF(  F13="/","空班",  IF(  F13="丙",  "※ 丙案",  IF(  F13="丙常訓",  "※ 丙案 常訓",F13  )))))))))))))))))))))))))</f>
        <v>08-18水電科</v>
      </c>
      <c r="G53" s="271" t="str">
        <f>IF(G13="早","08-18",IF(G13="中","12-22",IF(G13="晚","22-08",IF(G13="X","輪休",IF(G13="公","公假",IF(OR(G13="病",G13="事"),"病(事)假",IF(OR(G13="婚",G13="產"),"婚(產)假",IF(G13="補","補休",IF(G13="休","休假",IF(G13="喪","喪假",IF(AND(G13="/",OR($A13=日期輸入!$B$23,$A13=日期輸入!$C$23,$A13=日期輸入!$D$23,$A13=日期輸入!$E$23,$A13=日期輸入!$F$23)),"08-18水電科",IF(G13="大日","大隊值日(日)",IF(G13="大夜","大隊值日(夜)",IF(G13="值1","值1(早)",IF(G13="值1丙","值1(早) 丙案",IF(G13="值2","值2(中)",IF(G13="值2乙","值2(中) 乙案",IF(G13="夜值","夜值(晚)",IF(G13="甲夜","夜值(晚) 甲案",IF(G13="備","08-18",IF(OR(G13="支援秘書室",G13="支援出納室",G13="支援警務科",G13="支援事務股"),"支援總(大)隊",IF(G13="支援檢疫所","支援(其他)",IF(  G13="/","空班",  IF(  G13="丙",  "※ 丙案",  IF(  G13="丙常訓",  "※ 丙案 常訓",G13  )))))))))))))))))))))))))</f>
        <v>08-18水電科</v>
      </c>
      <c r="H53" s="271" t="str">
        <f>IF(H13="早","08-18",IF(H13="中","12-22",IF(H13="晚","22-08",IF(H13="X","輪休",IF(H13="公","公假",IF(OR(H13="病",H13="事"),"病(事)假",IF(OR(H13="婚",H13="產"),"婚(產)假",IF(H13="補","補休",IF(H13="休","休假",IF(H13="喪","喪假",IF(AND(H13="/",OR($A13=日期輸入!$B$23,$A13=日期輸入!$C$23,$A13=日期輸入!$D$23,$A13=日期輸入!$E$23,$A13=日期輸入!$F$23)),"08-18水電科",IF(H13="大日","大隊值日(日)",IF(H13="大夜","大隊值日(夜)",IF(H13="值1","值1(早)",IF(H13="值1丙","值1(早) 丙案",IF(H13="值2","值2(中)",IF(H13="值2乙","值2(中) 乙案",IF(H13="夜值","夜值(晚)",IF(H13="甲夜","夜值(晚) 甲案",IF(H13="備","08-18",IF(OR(H13="支援秘書室",H13="支援出納室",H13="支援警務科",H13="支援事務股"),"支援總(大)隊",IF(H13="支援檢疫所","支援(其他)",IF(  H13="/","空班",  IF(  H13="丙",  "※ 丙案",  IF(  H13="丙常訓",  "※ 丙案 常訓",H13  )))))))))))))))))))))))))</f>
        <v>08-18水電科</v>
      </c>
      <c r="I53" s="271" t="str">
        <f>IF(I13="早","08-18",IF(I13="中","12-22",IF(I13="晚","22-08",IF(I13="X","輪休",IF(I13="公","公假",IF(OR(I13="病",I13="事"),"病(事)假",IF(OR(I13="婚",I13="產"),"婚(產)假",IF(I13="補","補休",IF(I13="休","休假",IF(I13="喪","喪假",IF(AND(I13="/",OR($A13=日期輸入!$B$23,$A13=日期輸入!$C$23,$A13=日期輸入!$D$23,$A13=日期輸入!$E$23,$A13=日期輸入!$F$23)),"08-18水電科",IF(I13="大日","大隊值日(日)",IF(I13="大夜","大隊值日(夜)",IF(I13="值1","值1(早)",IF(I13="值1丙","值1(早) 丙案",IF(I13="值2","值2(中)",IF(I13="值2乙","值2(中) 乙案",IF(I13="夜值","夜值(晚)",IF(I13="甲夜","夜值(晚) 甲案",IF(I13="備","08-18",IF(OR(I13="支援秘書室",I13="支援出納室",I13="支援警務科",I13="支援事務股"),"支援總(大)隊",IF(I13="支援檢疫所","支援(其他)",IF(  I13="/","空班",  IF(  I13="丙",  "※ 丙案",  IF(  I13="丙常訓",  "※ 丙案 常訓",I13  )))))))))))))))))))))))))</f>
        <v>08-18水電科</v>
      </c>
      <c r="J53" s="271" t="str">
        <f>IF(J13="早","08-18",IF(J13="中","12-22",IF(J13="晚","22-08",IF(J13="X","輪休",IF(J13="公","公假",IF(OR(J13="病",J13="事"),"病(事)假",IF(OR(J13="婚",J13="產"),"婚(產)假",IF(J13="補","補休",IF(J13="休","休假",IF(J13="喪","喪假",IF(AND(J13="/",OR($A13=日期輸入!$B$23,$A13=日期輸入!$C$23,$A13=日期輸入!$D$23,$A13=日期輸入!$E$23,$A13=日期輸入!$F$23)),"08-18水電科",IF(J13="大日","大隊值日(日)",IF(J13="大夜","大隊值日(夜)",IF(J13="值1","值1(早)",IF(J13="值1丙","值1(早) 丙案",IF(J13="值2","值2(中)",IF(J13="值2乙","值2(中) 乙案",IF(J13="夜值","夜值(晚)",IF(J13="甲夜","夜值(晚) 甲案",IF(J13="備","08-18",IF(OR(J13="支援秘書室",J13="支援出納室",J13="支援警務科",J13="支援事務股"),"支援總(大)隊",IF(J13="支援檢疫所","支援(其他)",IF(  J13="/","空班",  IF(  J13="丙",  "※ 丙案",  IF(  J13="丙常訓",  "※ 丙案 常訓",J13  )))))))))))))))))))))))))</f>
        <v>08-18水電科</v>
      </c>
      <c r="K53" s="271" t="str">
        <f>IF(K13="早","08-18",IF(K13="中","12-22",IF(K13="晚","22-08",IF(K13="X","輪休",IF(K13="公","公假",IF(OR(K13="病",K13="事"),"病(事)假",IF(OR(K13="婚",K13="產"),"婚(產)假",IF(K13="補","補休",IF(K13="休","休假",IF(K13="喪","喪假",IF(AND(K13="/",OR($A13=日期輸入!$B$23,$A13=日期輸入!$C$23,$A13=日期輸入!$D$23,$A13=日期輸入!$E$23,$A13=日期輸入!$F$23)),"08-18水電科",IF(K13="大日","大隊值日(日)",IF(K13="大夜","大隊值日(夜)",IF(K13="值1","值1(早)",IF(K13="值1丙","值1(早) 丙案",IF(K13="值2","值2(中)",IF(K13="值2乙","值2(中) 乙案",IF(K13="夜值","夜值(晚)",IF(K13="甲夜","夜值(晚) 甲案",IF(K13="備","08-18",IF(OR(K13="支援秘書室",K13="支援出納室",K13="支援警務科",K13="支援事務股"),"支援總(大)隊",IF(K13="支援檢疫所","支援(其他)",IF(  K13="/","空班",  IF(  K13="丙",  "※ 丙案",  IF(  K13="丙常訓",  "※ 丙案 常訓",K13  )))))))))))))))))))))))))</f>
        <v>08-18水電科</v>
      </c>
      <c r="L53" s="271" t="str">
        <f>IF(L13="早","08-18",IF(L13="中","12-22",IF(L13="晚","22-08",IF(L13="X","輪休",IF(L13="公","公假",IF(OR(L13="病",L13="事"),"病(事)假",IF(OR(L13="婚",L13="產"),"婚(產)假",IF(L13="補","補休",IF(L13="休","休假",IF(L13="喪","喪假",IF(AND(L13="/",OR($A13=日期輸入!$B$23,$A13=日期輸入!$C$23,$A13=日期輸入!$D$23,$A13=日期輸入!$E$23,$A13=日期輸入!$F$23)),"08-18水電科",IF(L13="大日","大隊值日(日)",IF(L13="大夜","大隊值日(夜)",IF(L13="值1","值1(早)",IF(L13="值1丙","值1(早) 丙案",IF(L13="值2","值2(中)",IF(L13="值2乙","值2(中) 乙案",IF(L13="夜值","夜值(晚)",IF(L13="甲夜","夜值(晚) 甲案",IF(L13="備","08-18",IF(OR(L13="支援秘書室",L13="支援出納室",L13="支援警務科",L13="支援事務股"),"支援總(大)隊",IF(L13="支援檢疫所","支援(其他)",IF(  L13="/","空班",  IF(  L13="丙",  "※ 丙案",  IF(  L13="丙常訓",  "※ 丙案 常訓",L13  )))))))))))))))))))))))))</f>
        <v>08-18水電科</v>
      </c>
      <c r="M53" s="271" t="str">
        <f>IF(M13="早","08-18",IF(M13="中","12-22",IF(M13="晚","22-08",IF(M13="X","輪休",IF(M13="公","公假",IF(OR(M13="病",M13="事"),"病(事)假",IF(OR(M13="婚",M13="產"),"婚(產)假",IF(M13="補","補休",IF(M13="休","休假",IF(M13="喪","喪假",IF(AND(M13="/",OR($A13=日期輸入!$B$23,$A13=日期輸入!$C$23,$A13=日期輸入!$D$23,$A13=日期輸入!$E$23,$A13=日期輸入!$F$23)),"08-18水電科",IF(M13="大日","大隊值日(日)",IF(M13="大夜","大隊值日(夜)",IF(M13="值1","值1(早)",IF(M13="值1丙","值1(早) 丙案",IF(M13="值2","值2(中)",IF(M13="值2乙","值2(中) 乙案",IF(M13="夜值","夜值(晚)",IF(M13="甲夜","夜值(晚) 甲案",IF(M13="備","08-18",IF(OR(M13="支援秘書室",M13="支援出納室",M13="支援警務科",M13="支援事務股"),"支援總(大)隊",IF(M13="支援檢疫所","支援(其他)",IF(  M13="/","空班",  IF(  M13="丙",  "※ 丙案",  IF(  M13="丙常訓",  "※ 丙案 常訓",M13  )))))))))))))))))))))))))</f>
        <v>08-18水電科</v>
      </c>
      <c r="N53" s="271" t="str">
        <f>IF(N13="早","08-18",IF(N13="中","12-22",IF(N13="晚","22-08",IF(N13="X","輪休",IF(N13="公","公假",IF(OR(N13="病",N13="事"),"病(事)假",IF(OR(N13="婚",N13="產"),"婚(產)假",IF(N13="補","補休",IF(N13="休","休假",IF(N13="喪","喪假",IF(AND(N13="/",OR($A13=日期輸入!$B$23,$A13=日期輸入!$C$23,$A13=日期輸入!$D$23,$A13=日期輸入!$E$23,$A13=日期輸入!$F$23)),"08-18水電科",IF(N13="大日","大隊值日(日)",IF(N13="大夜","大隊值日(夜)",IF(N13="值1","值1(早)",IF(N13="值1丙","值1(早) 丙案",IF(N13="值2","值2(中)",IF(N13="值2乙","值2(中) 乙案",IF(N13="夜值","夜值(晚)",IF(N13="甲夜","夜值(晚) 甲案",IF(N13="備","08-18",IF(OR(N13="支援秘書室",N13="支援出納室",N13="支援警務科",N13="支援事務股"),"支援總(大)隊",IF(N13="支援檢疫所","支援(其他)",IF(  N13="/","空班",  IF(  N13="丙",  "※ 丙案",  IF(  N13="丙常訓",  "※ 丙案 常訓",N13  )))))))))))))))))))))))))</f>
        <v>08-18水電科</v>
      </c>
      <c r="O53" s="271" t="str">
        <f>IF(O13="早","08-18",IF(O13="中","12-22",IF(O13="晚","22-08",IF(O13="X","輪休",IF(O13="公","公假",IF(OR(O13="病",O13="事"),"病(事)假",IF(OR(O13="婚",O13="產"),"婚(產)假",IF(O13="補","補休",IF(O13="休","休假",IF(O13="喪","喪假",IF(AND(O13="/",OR($A13=日期輸入!$B$23,$A13=日期輸入!$C$23,$A13=日期輸入!$D$23,$A13=日期輸入!$E$23,$A13=日期輸入!$F$23)),"08-18水電科",IF(O13="大日","大隊值日(日)",IF(O13="大夜","大隊值日(夜)",IF(O13="值1","值1(早)",IF(O13="值1丙","值1(早) 丙案",IF(O13="值2","值2(中)",IF(O13="值2乙","值2(中) 乙案",IF(O13="夜值","夜值(晚)",IF(O13="甲夜","夜值(晚) 甲案",IF(O13="備","08-18",IF(OR(O13="支援秘書室",O13="支援出納室",O13="支援警務科",O13="支援事務股"),"支援總(大)隊",IF(O13="支援檢疫所","支援(其他)",IF(  O13="/","空班",  IF(  O13="丙",  "※ 丙案",  IF(  O13="丙常訓",  "※ 丙案 常訓",O13  )))))))))))))))))))))))))</f>
        <v>08-18水電科</v>
      </c>
      <c r="P53" s="271" t="str">
        <f>IF(P13="早","08-18",IF(P13="中","12-22",IF(P13="晚","22-08",IF(P13="X","輪休",IF(P13="公","公假",IF(OR(P13="病",P13="事"),"病(事)假",IF(OR(P13="婚",P13="產"),"婚(產)假",IF(P13="補","補休",IF(P13="休","休假",IF(P13="喪","喪假",IF(AND(P13="/",OR($A13=日期輸入!$B$23,$A13=日期輸入!$C$23,$A13=日期輸入!$D$23,$A13=日期輸入!$E$23,$A13=日期輸入!$F$23)),"08-18水電科",IF(P13="大日","大隊值日(日)",IF(P13="大夜","大隊值日(夜)",IF(P13="值1","值1(早)",IF(P13="值1丙","值1(早) 丙案",IF(P13="值2","值2(中)",IF(P13="值2乙","值2(中) 乙案",IF(P13="夜值","夜值(晚)",IF(P13="甲夜","夜值(晚) 甲案",IF(P13="備","08-18",IF(OR(P13="支援秘書室",P13="支援出納室",P13="支援警務科",P13="支援事務股"),"支援總(大)隊",IF(P13="支援檢疫所","支援(其他)",IF(  P13="/","空班",  IF(  P13="丙",  "※ 丙案",  IF(  P13="丙常訓",  "※ 丙案 常訓",P13  )))))))))))))))))))))))))</f>
        <v>08-18水電科</v>
      </c>
      <c r="Q53" s="271" t="str">
        <f>IF(Q13="早","08-18",IF(Q13="中","12-22",IF(Q13="晚","22-08",IF(Q13="X","輪休",IF(Q13="公","公假",IF(OR(Q13="病",Q13="事"),"病(事)假",IF(OR(Q13="婚",Q13="產"),"婚(產)假",IF(Q13="補","補休",IF(Q13="休","休假",IF(Q13="喪","喪假",IF(AND(Q13="/",OR($A13=日期輸入!$B$23,$A13=日期輸入!$C$23,$A13=日期輸入!$D$23,$A13=日期輸入!$E$23,$A13=日期輸入!$F$23)),"08-18水電科",IF(Q13="大日","大隊值日(日)",IF(Q13="大夜","大隊值日(夜)",IF(Q13="值1","值1(早)",IF(Q13="值1丙","值1(早) 丙案",IF(Q13="值2","值2(中)",IF(Q13="值2乙","值2(中) 乙案",IF(Q13="夜值","夜值(晚)",IF(Q13="甲夜","夜值(晚) 甲案",IF(Q13="備","08-18",IF(OR(Q13="支援秘書室",Q13="支援出納室",Q13="支援警務科",Q13="支援事務股"),"支援總(大)隊",IF(Q13="支援檢疫所","支援(其他)",IF(  Q13="/","空班",  IF(  Q13="丙",  "※ 丙案",  IF(  Q13="丙常訓",  "※ 丙案 常訓",Q13  )))))))))))))))))))))))))</f>
        <v>08-18水電科</v>
      </c>
      <c r="R53" s="271" t="str">
        <f>IF(R13="早","08-18",IF(R13="中","12-22",IF(R13="晚","22-08",IF(R13="X","輪休",IF(R13="公","公假",IF(OR(R13="病",R13="事"),"病(事)假",IF(OR(R13="婚",R13="產"),"婚(產)假",IF(R13="補","補休",IF(R13="休","休假",IF(R13="喪","喪假",IF(AND(R13="/",OR($A13=日期輸入!$B$23,$A13=日期輸入!$C$23,$A13=日期輸入!$D$23,$A13=日期輸入!$E$23,$A13=日期輸入!$F$23)),"08-18水電科",IF(R13="大日","大隊值日(日)",IF(R13="大夜","大隊值日(夜)",IF(R13="值1","值1(早)",IF(R13="值1丙","值1(早) 丙案",IF(R13="值2","值2(中)",IF(R13="值2乙","值2(中) 乙案",IF(R13="夜值","夜值(晚)",IF(R13="甲夜","夜值(晚) 甲案",IF(R13="備","08-18",IF(OR(R13="支援秘書室",R13="支援出納室",R13="支援警務科",R13="支援事務股"),"支援總(大)隊",IF(R13="支援檢疫所","支援(其他)",IF(  R13="/","空班",  IF(  R13="丙",  "※ 丙案",  IF(  R13="丙常訓",  "※ 丙案 常訓",R13  )))))))))))))))))))))))))</f>
        <v>08-18水電科</v>
      </c>
      <c r="S53" s="271" t="str">
        <f>IF(S13="早","08-18",IF(S13="中","12-22",IF(S13="晚","22-08",IF(S13="X","輪休",IF(S13="公","公假",IF(OR(S13="病",S13="事"),"病(事)假",IF(OR(S13="婚",S13="產"),"婚(產)假",IF(S13="補","補休",IF(S13="休","休假",IF(S13="喪","喪假",IF(AND(S13="/",OR($A13=日期輸入!$B$23,$A13=日期輸入!$C$23,$A13=日期輸入!$D$23,$A13=日期輸入!$E$23,$A13=日期輸入!$F$23)),"08-18水電科",IF(S13="大日","大隊值日(日)",IF(S13="大夜","大隊值日(夜)",IF(S13="值1","值1(早)",IF(S13="值1丙","值1(早) 丙案",IF(S13="值2","值2(中)",IF(S13="值2乙","值2(中) 乙案",IF(S13="夜值","夜值(晚)",IF(S13="甲夜","夜值(晚) 甲案",IF(S13="備","08-18",IF(OR(S13="支援秘書室",S13="支援出納室",S13="支援警務科",S13="支援事務股"),"支援總(大)隊",IF(S13="支援檢疫所","支援(其他)",IF(  S13="/","空班",  IF(  S13="丙",  "※ 丙案",  IF(  S13="丙常訓",  "※ 丙案 常訓",S13  )))))))))))))))))))))))))</f>
        <v>08-18水電科</v>
      </c>
      <c r="T53" s="271" t="str">
        <f>IF(T13="早","08-18",IF(T13="中","12-22",IF(T13="晚","22-08",IF(T13="X","輪休",IF(T13="公","公假",IF(OR(T13="病",T13="事"),"病(事)假",IF(OR(T13="婚",T13="產"),"婚(產)假",IF(T13="補","補休",IF(T13="休","休假",IF(T13="喪","喪假",IF(AND(T13="/",OR($A13=日期輸入!$B$23,$A13=日期輸入!$C$23,$A13=日期輸入!$D$23,$A13=日期輸入!$E$23,$A13=日期輸入!$F$23)),"08-18水電科",IF(T13="大日","大隊值日(日)",IF(T13="大夜","大隊值日(夜)",IF(T13="值1","值1(早)",IF(T13="值1丙","值1(早) 丙案",IF(T13="值2","值2(中)",IF(T13="值2乙","值2(中) 乙案",IF(T13="夜值","夜值(晚)",IF(T13="甲夜","夜值(晚) 甲案",IF(T13="備","08-18",IF(OR(T13="支援秘書室",T13="支援出納室",T13="支援警務科",T13="支援事務股"),"支援總(大)隊",IF(T13="支援檢疫所","支援(其他)",IF(  T13="/","空班",  IF(  T13="丙",  "※ 丙案",  IF(  T13="丙常訓",  "※ 丙案 常訓",T13  )))))))))))))))))))))))))</f>
        <v>08-18水電科</v>
      </c>
      <c r="U53" s="271" t="str">
        <f>IF(U13="早","08-18",IF(U13="中","12-22",IF(U13="晚","22-08",IF(U13="X","輪休",IF(U13="公","公假",IF(OR(U13="病",U13="事"),"病(事)假",IF(OR(U13="婚",U13="產"),"婚(產)假",IF(U13="補","補休",IF(U13="休","休假",IF(U13="喪","喪假",IF(AND(U13="/",OR($A13=日期輸入!$B$23,$A13=日期輸入!$C$23,$A13=日期輸入!$D$23,$A13=日期輸入!$E$23,$A13=日期輸入!$F$23)),"08-18水電科",IF(U13="大日","大隊值日(日)",IF(U13="大夜","大隊值日(夜)",IF(U13="值1","值1(早)",IF(U13="值1丙","值1(早) 丙案",IF(U13="值2","值2(中)",IF(U13="值2乙","值2(中) 乙案",IF(U13="夜值","夜值(晚)",IF(U13="甲夜","夜值(晚) 甲案",IF(U13="備","08-18",IF(OR(U13="支援秘書室",U13="支援出納室",U13="支援警務科",U13="支援事務股"),"支援總(大)隊",IF(U13="支援檢疫所","支援(其他)",IF(  U13="/","空班",  IF(  U13="丙",  "※ 丙案",  IF(  U13="丙常訓",  "※ 丙案 常訓",U13  )))))))))))))))))))))))))</f>
        <v>08-18水電科</v>
      </c>
      <c r="V53" s="271" t="str">
        <f>IF(V13="早","08-18",IF(V13="中","12-22",IF(V13="晚","22-08",IF(V13="X","輪休",IF(V13="公","公假",IF(OR(V13="病",V13="事"),"病(事)假",IF(OR(V13="婚",V13="產"),"婚(產)假",IF(V13="補","補休",IF(V13="休","休假",IF(V13="喪","喪假",IF(AND(V13="/",OR($A13=日期輸入!$B$23,$A13=日期輸入!$C$23,$A13=日期輸入!$D$23,$A13=日期輸入!$E$23,$A13=日期輸入!$F$23)),"08-18水電科",IF(V13="大日","大隊值日(日)",IF(V13="大夜","大隊值日(夜)",IF(V13="值1","值1(早)",IF(V13="值1丙","值1(早) 丙案",IF(V13="值2","值2(中)",IF(V13="值2乙","值2(中) 乙案",IF(V13="夜值","夜值(晚)",IF(V13="甲夜","夜值(晚) 甲案",IF(V13="備","08-18",IF(OR(V13="支援秘書室",V13="支援出納室",V13="支援警務科",V13="支援事務股"),"支援總(大)隊",IF(V13="支援檢疫所","支援(其他)",IF(  V13="/","空班",  IF(  V13="丙",  "※ 丙案",  IF(  V13="丙常訓",  "※ 丙案 常訓",V13  )))))))))))))))))))))))))</f>
        <v>08-18水電科</v>
      </c>
      <c r="W53" s="271" t="str">
        <f>IF(W13="早","08-18",IF(W13="中","12-22",IF(W13="晚","22-08",IF(W13="X","輪休",IF(W13="公","公假",IF(OR(W13="病",W13="事"),"病(事)假",IF(OR(W13="婚",W13="產"),"婚(產)假",IF(W13="補","補休",IF(W13="休","休假",IF(W13="喪","喪假",IF(AND(W13="/",OR($A13=日期輸入!$B$23,$A13=日期輸入!$C$23,$A13=日期輸入!$D$23,$A13=日期輸入!$E$23,$A13=日期輸入!$F$23)),"08-18水電科",IF(W13="大日","大隊值日(日)",IF(W13="大夜","大隊值日(夜)",IF(W13="值1","值1(早)",IF(W13="值1丙","值1(早) 丙案",IF(W13="值2","值2(中)",IF(W13="值2乙","值2(中) 乙案",IF(W13="夜值","夜值(晚)",IF(W13="甲夜","夜值(晚) 甲案",IF(W13="備","08-18",IF(OR(W13="支援秘書室",W13="支援出納室",W13="支援警務科",W13="支援事務股"),"支援總(大)隊",IF(W13="支援檢疫所","支援(其他)",IF(  W13="/","空班",  IF(  W13="丙",  "※ 丙案",  IF(  W13="丙常訓",  "※ 丙案 常訓",W13  )))))))))))))))))))))))))</f>
        <v>08-18水電科</v>
      </c>
      <c r="X53" s="271" t="str">
        <f>IF(X13="早","08-18",IF(X13="中","12-22",IF(X13="晚","22-08",IF(X13="X","輪休",IF(X13="公","公假",IF(OR(X13="病",X13="事"),"病(事)假",IF(OR(X13="婚",X13="產"),"婚(產)假",IF(X13="補","補休",IF(X13="休","休假",IF(X13="喪","喪假",IF(AND(X13="/",OR($A13=日期輸入!$B$23,$A13=日期輸入!$C$23,$A13=日期輸入!$D$23,$A13=日期輸入!$E$23,$A13=日期輸入!$F$23)),"08-18水電科",IF(X13="大日","大隊值日(日)",IF(X13="大夜","大隊值日(夜)",IF(X13="值1","值1(早)",IF(X13="值1丙","值1(早) 丙案",IF(X13="值2","值2(中)",IF(X13="值2乙","值2(中) 乙案",IF(X13="夜值","夜值(晚)",IF(X13="甲夜","夜值(晚) 甲案",IF(X13="備","08-18",IF(OR(X13="支援秘書室",X13="支援出納室",X13="支援警務科",X13="支援事務股"),"支援總(大)隊",IF(X13="支援檢疫所","支援(其他)",IF(  X13="/","空班",  IF(  X13="丙",  "※ 丙案",  IF(  X13="丙常訓",  "※ 丙案 常訓",X13  )))))))))))))))))))))))))</f>
        <v>08-18水電科</v>
      </c>
      <c r="Y53" s="271" t="str">
        <f>IF(Y13="早","08-18",IF(Y13="中","12-22",IF(Y13="晚","22-08",IF(Y13="X","輪休",IF(Y13="公","公假",IF(OR(Y13="病",Y13="事"),"病(事)假",IF(OR(Y13="婚",Y13="產"),"婚(產)假",IF(Y13="補","補休",IF(Y13="休","休假",IF(Y13="喪","喪假",IF(AND(Y13="/",OR($A13=日期輸入!$B$23,$A13=日期輸入!$C$23,$A13=日期輸入!$D$23,$A13=日期輸入!$E$23,$A13=日期輸入!$F$23)),"08-18水電科",IF(Y13="大日","大隊值日(日)",IF(Y13="大夜","大隊值日(夜)",IF(Y13="值1","值1(早)",IF(Y13="值1丙","值1(早) 丙案",IF(Y13="值2","值2(中)",IF(Y13="值2乙","值2(中) 乙案",IF(Y13="夜值","夜值(晚)",IF(Y13="甲夜","夜值(晚) 甲案",IF(Y13="備","08-18",IF(OR(Y13="支援秘書室",Y13="支援出納室",Y13="支援警務科",Y13="支援事務股"),"支援總(大)隊",IF(Y13="支援檢疫所","支援(其他)",IF(  Y13="/","空班",  IF(  Y13="丙",  "※ 丙案",  IF(  Y13="丙常訓",  "※ 丙案 常訓",Y13  )))))))))))))))))))))))))</f>
        <v>08-18水電科</v>
      </c>
      <c r="Z53" s="271" t="str">
        <f>IF(Z13="早","08-18",IF(Z13="中","12-22",IF(Z13="晚","22-08",IF(Z13="X","輪休",IF(Z13="公","公假",IF(OR(Z13="病",Z13="事"),"病(事)假",IF(OR(Z13="婚",Z13="產"),"婚(產)假",IF(Z13="補","補休",IF(Z13="休","休假",IF(Z13="喪","喪假",IF(AND(Z13="/",OR($A13=日期輸入!$B$23,$A13=日期輸入!$C$23,$A13=日期輸入!$D$23,$A13=日期輸入!$E$23,$A13=日期輸入!$F$23)),"08-18水電科",IF(Z13="大日","大隊值日(日)",IF(Z13="大夜","大隊值日(夜)",IF(Z13="值1","值1(早)",IF(Z13="值1丙","值1(早) 丙案",IF(Z13="值2","值2(中)",IF(Z13="值2乙","值2(中) 乙案",IF(Z13="夜值","夜值(晚)",IF(Z13="甲夜","夜值(晚) 甲案",IF(Z13="備","08-18",IF(OR(Z13="支援秘書室",Z13="支援出納室",Z13="支援警務科",Z13="支援事務股"),"支援總(大)隊",IF(Z13="支援檢疫所","支援(其他)",IF(  Z13="/","空班",  IF(  Z13="丙",  "※ 丙案",  IF(  Z13="丙常訓",  "※ 丙案 常訓",Z13  )))))))))))))))))))))))))</f>
        <v>08-18水電科</v>
      </c>
      <c r="AA53" s="271" t="str">
        <f>IF(AA13="早","08-18",IF(AA13="中","12-22",IF(AA13="晚","22-08",IF(AA13="X","輪休",IF(AA13="公","公假",IF(OR(AA13="病",AA13="事"),"病(事)假",IF(OR(AA13="婚",AA13="產"),"婚(產)假",IF(AA13="補","補休",IF(AA13="休","休假",IF(AA13="喪","喪假",IF(AND(AA13="/",OR($A13=日期輸入!$B$23,$A13=日期輸入!$C$23,$A13=日期輸入!$D$23,$A13=日期輸入!$E$23,$A13=日期輸入!$F$23)),"08-18水電科",IF(AA13="大日","大隊值日(日)",IF(AA13="大夜","大隊值日(夜)",IF(AA13="值1","值1(早)",IF(AA13="值1丙","值1(早) 丙案",IF(AA13="值2","值2(中)",IF(AA13="值2乙","值2(中) 乙案",IF(AA13="夜值","夜值(晚)",IF(AA13="甲夜","夜值(晚) 甲案",IF(AA13="備","08-18",IF(OR(AA13="支援秘書室",AA13="支援出納室",AA13="支援警務科",AA13="支援事務股"),"支援總(大)隊",IF(AA13="支援檢疫所","支援(其他)",IF(  AA13="/","空班",  IF(  AA13="丙",  "※ 丙案",  IF(  AA13="丙常訓",  "※ 丙案 常訓",AA13  )))))))))))))))))))))))))</f>
        <v>08-18水電科</v>
      </c>
      <c r="AB53" s="271" t="str">
        <f>IF(AB13="早","08-18",IF(AB13="中","12-22",IF(AB13="晚","22-08",IF(AB13="X","輪休",IF(AB13="公","公假",IF(OR(AB13="病",AB13="事"),"病(事)假",IF(OR(AB13="婚",AB13="產"),"婚(產)假",IF(AB13="補","補休",IF(AB13="休","休假",IF(AB13="喪","喪假",IF(AND(AB13="/",OR($A13=日期輸入!$B$23,$A13=日期輸入!$C$23,$A13=日期輸入!$D$23,$A13=日期輸入!$E$23,$A13=日期輸入!$F$23)),"08-18水電科",IF(AB13="大日","大隊值日(日)",IF(AB13="大夜","大隊值日(夜)",IF(AB13="值1","值1(早)",IF(AB13="值1丙","值1(早) 丙案",IF(AB13="值2","值2(中)",IF(AB13="值2乙","值2(中) 乙案",IF(AB13="夜值","夜值(晚)",IF(AB13="甲夜","夜值(晚) 甲案",IF(AB13="備","08-18",IF(OR(AB13="支援秘書室",AB13="支援出納室",AB13="支援警務科",AB13="支援事務股"),"支援總(大)隊",IF(AB13="支援檢疫所","支援(其他)",IF(  AB13="/","空班",  IF(  AB13="丙",  "※ 丙案",  IF(  AB13="丙常訓",  "※ 丙案 常訓",AB13  )))))))))))))))))))))))))</f>
        <v>08-18水電科</v>
      </c>
      <c r="AC53" s="271" t="str">
        <f>IF(AC13="早","08-18",IF(AC13="中","12-22",IF(AC13="晚","22-08",IF(AC13="X","輪休",IF(AC13="公","公假",IF(OR(AC13="病",AC13="事"),"病(事)假",IF(OR(AC13="婚",AC13="產"),"婚(產)假",IF(AC13="補","補休",IF(AC13="休","休假",IF(AC13="喪","喪假",IF(AND(AC13="/",OR($A13=日期輸入!$B$23,$A13=日期輸入!$C$23,$A13=日期輸入!$D$23,$A13=日期輸入!$E$23,$A13=日期輸入!$F$23)),"08-18水電科",IF(AC13="大日","大隊值日(日)",IF(AC13="大夜","大隊值日(夜)",IF(AC13="值1","值1(早)",IF(AC13="值1丙","值1(早) 丙案",IF(AC13="值2","值2(中)",IF(AC13="值2乙","值2(中) 乙案",IF(AC13="夜值","夜值(晚)",IF(AC13="甲夜","夜值(晚) 甲案",IF(AC13="備","08-18",IF(OR(AC13="支援秘書室",AC13="支援出納室",AC13="支援警務科",AC13="支援事務股"),"支援總(大)隊",IF(AC13="支援檢疫所","支援(其他)",IF(  AC13="/","空班",  IF(  AC13="丙",  "※ 丙案",  IF(  AC13="丙常訓",  "※ 丙案 常訓",AC13  )))))))))))))))))))))))))</f>
        <v>08-18水電科</v>
      </c>
      <c r="AD53" s="271" t="str">
        <f>IF(AD13="早","08-18",IF(AD13="中","12-22",IF(AD13="晚","22-08",IF(AD13="X","輪休",IF(AD13="公","公假",IF(OR(AD13="病",AD13="事"),"病(事)假",IF(OR(AD13="婚",AD13="產"),"婚(產)假",IF(AD13="補","補休",IF(AD13="休","休假",IF(AD13="喪","喪假",IF(AND(AD13="/",OR($A13=日期輸入!$B$23,$A13=日期輸入!$C$23,$A13=日期輸入!$D$23,$A13=日期輸入!$E$23,$A13=日期輸入!$F$23)),"08-18水電科",IF(AD13="大日","大隊值日(日)",IF(AD13="大夜","大隊值日(夜)",IF(AD13="值1","值1(早)",IF(AD13="值1丙","值1(早) 丙案",IF(AD13="值2","值2(中)",IF(AD13="值2乙","值2(中) 乙案",IF(AD13="夜值","夜值(晚)",IF(AD13="甲夜","夜值(晚) 甲案",IF(AD13="備","08-18",IF(OR(AD13="支援秘書室",AD13="支援出納室",AD13="支援警務科",AD13="支援事務股"),"支援總(大)隊",IF(AD13="支援檢疫所","支援(其他)",IF(  AD13="/","空班",  IF(  AD13="丙",  "※ 丙案",  IF(  AD13="丙常訓",  "※ 丙案 常訓",AD13  )))))))))))))))))))))))))</f>
        <v>08-18水電科</v>
      </c>
      <c r="AE53" s="271" t="str">
        <f>IF(AE13="早","08-18",IF(AE13="中","12-22",IF(AE13="晚","22-08",IF(AE13="X","輪休",IF(AE13="公","公假",IF(OR(AE13="病",AE13="事"),"病(事)假",IF(OR(AE13="婚",AE13="產"),"婚(產)假",IF(AE13="補","補休",IF(AE13="休","休假",IF(AE13="喪","喪假",IF(AND(AE13="/",OR($A13=日期輸入!$B$23,$A13=日期輸入!$C$23,$A13=日期輸入!$D$23,$A13=日期輸入!$E$23,$A13=日期輸入!$F$23)),"08-18水電科",IF(AE13="大日","大隊值日(日)",IF(AE13="大夜","大隊值日(夜)",IF(AE13="值1","值1(早)",IF(AE13="值1丙","值1(早) 丙案",IF(AE13="值2","值2(中)",IF(AE13="值2乙","值2(中) 乙案",IF(AE13="夜值","夜值(晚)",IF(AE13="甲夜","夜值(晚) 甲案",IF(AE13="備","08-18",IF(OR(AE13="支援秘書室",AE13="支援出納室",AE13="支援警務科",AE13="支援事務股"),"支援總(大)隊",IF(AE13="支援檢疫所","支援(其他)",IF(  AE13="/","空班",  IF(  AE13="丙",  "※ 丙案",  IF(  AE13="丙常訓",  "※ 丙案 常訓",AE13  )))))))))))))))))))))))))</f>
        <v>08-18水電科</v>
      </c>
      <c r="AF53" s="271" t="str">
        <f>IF(AF13="早","08-18",IF(AF13="中","12-22",IF(AF13="晚","22-08",IF(AF13="X","輪休",IF(AF13="公","公假",IF(OR(AF13="病",AF13="事"),"病(事)假",IF(OR(AF13="婚",AF13="產"),"婚(產)假",IF(AF13="補","補休",IF(AF13="休","休假",IF(AF13="喪","喪假",IF(AND(AF13="/",OR($A13=日期輸入!$B$23,$A13=日期輸入!$C$23,$A13=日期輸入!$D$23,$A13=日期輸入!$E$23,$A13=日期輸入!$F$23)),"08-18水電科",IF(AF13="大日","大隊值日(日)",IF(AF13="大夜","大隊值日(夜)",IF(AF13="值1","值1(早)",IF(AF13="值1丙","值1(早) 丙案",IF(AF13="值2","值2(中)",IF(AF13="值2乙","值2(中) 乙案",IF(AF13="夜值","夜值(晚)",IF(AF13="甲夜","夜值(晚) 甲案",IF(AF13="備","08-18",IF(OR(AF13="支援秘書室",AF13="支援出納室",AF13="支援警務科",AF13="支援事務股"),"支援總(大)隊",IF(AF13="支援檢疫所","支援(其他)",IF(  AF13="/","空班",  IF(  AF13="丙",  "※ 丙案",  IF(  AF13="丙常訓",  "※ 丙案 常訓",AF13  )))))))))))))))))))))))))</f>
        <v>08-18水電科</v>
      </c>
      <c r="AG53" s="271" t="str">
        <f>IF(AG13="早","08-18",IF(AG13="中","12-22",IF(AG13="晚","22-08",IF(AG13="X","輪休",IF(AG13="公","公假",IF(OR(AG13="病",AG13="事"),"病(事)假",IF(OR(AG13="婚",AG13="產"),"婚(產)假",IF(AG13="補","補休",IF(AG13="休","休假",IF(AG13="喪","喪假",IF(AND(AG13="/",OR($A13=日期輸入!$B$23,$A13=日期輸入!$C$23,$A13=日期輸入!$D$23,$A13=日期輸入!$E$23,$A13=日期輸入!$F$23)),"08-18水電科",IF(AG13="大日","大隊值日(日)",IF(AG13="大夜","大隊值日(夜)",IF(AG13="值1","值1(早)",IF(AG13="值1丙","值1(早) 丙案",IF(AG13="值2","值2(中)",IF(AG13="值2乙","值2(中) 乙案",IF(AG13="夜值","夜值(晚)",IF(AG13="甲夜","夜值(晚) 甲案",IF(AG13="備","08-18",IF(OR(AG13="支援秘書室",AG13="支援出納室",AG13="支援警務科",AG13="支援事務股"),"支援總(大)隊",IF(AG13="支援檢疫所","支援(其他)",IF(  AG13="/","空班",  IF(  AG13="丙",  "※ 丙案",  IF(  AG13="丙常訓",  "※ 丙案 常訓",AG13  )))))))))))))))))))))))))</f>
        <v>08-18水電科</v>
      </c>
    </row>
    <row r="54" spans="1:33">
      <c r="A54" s="271" t="str">
        <f t="shared" ref="A54:B54" si="13">A14</f>
        <v>Q</v>
      </c>
      <c r="B54" s="271" t="str">
        <f t="shared" si="13"/>
        <v>謝福生(支援總隊)</v>
      </c>
      <c r="C54" s="271" t="str">
        <f>IF(C14="早","08-18",IF(C14="中","12-22",IF(C14="晚","22-08",IF(C14="X","輪休",IF(C14="公","公假",IF(OR(C14="病",C14="事"),"病(事)假",IF(OR(C14="婚",C14="產"),"婚(產)假",IF(C14="補","補休",IF(C14="休","休假",IF(C14="喪","喪假",IF(AND(C14="/",OR($A14=日期輸入!$B$23,$A14=日期輸入!$C$23,$A14=日期輸入!$D$23,$A14=日期輸入!$E$23,$A14=日期輸入!$F$23)),"08-18水電科",IF(C14="大日","大隊值日(日)",IF(C14="大夜","大隊值日(夜)",IF(C14="值1","值1(早)",IF(C14="值1丙","值1(早) 丙案",IF(C14="值2","值2(中)",IF(C14="值2乙","值2(中) 乙案",IF(C14="夜值","夜值(晚)",IF(C14="甲夜","夜值(晚) 甲案",IF(C14="備","08-18",IF(OR(C14="支援秘書室",C14="支援出納室",C14="支援警務科",C14="支援事務股"),"支援總(大)隊",IF(C14="支援檢疫所","支援(其他)",IF(  C14="/","空班",  IF(  C14="丙",  "※ 丙案",  IF(  C14="丙常訓",  "※ 丙案 常訓",C14  )))))))))))))))))))))))))</f>
        <v>謝福生(支援總隊)</v>
      </c>
      <c r="D54" s="271" t="str">
        <f>IF(D14="早","08-18",IF(D14="中","12-22",IF(D14="晚","22-08",IF(D14="X","輪休",IF(D14="公","公假",IF(OR(D14="病",D14="事"),"病(事)假",IF(OR(D14="婚",D14="產"),"婚(產)假",IF(D14="補","補休",IF(D14="休","休假",IF(D14="喪","喪假",IF(AND(D14="/",OR($A14=日期輸入!$B$23,$A14=日期輸入!$C$23,$A14=日期輸入!$D$23,$A14=日期輸入!$E$23,$A14=日期輸入!$F$23)),"08-18水電科",IF(D14="大日","大隊值日(日)",IF(D14="大夜","大隊值日(夜)",IF(D14="值1","值1(早)",IF(D14="值1丙","值1(早) 丙案",IF(D14="值2","值2(中)",IF(D14="值2乙","值2(中) 乙案",IF(D14="夜值","夜值(晚)",IF(D14="甲夜","夜值(晚) 甲案",IF(D14="備","08-18",IF(OR(D14="支援秘書室",D14="支援出納室",D14="支援警務科",D14="支援事務股"),"支援總(大)隊",IF(D14="支援檢疫所","支援(其他)",IF(  D14="/","空班",  IF(  D14="丙",  "※ 丙案",  IF(  D14="丙常訓",  "※ 丙案 常訓",D14  )))))))))))))))))))))))))</f>
        <v>輪休</v>
      </c>
      <c r="E54" s="271" t="str">
        <f>IF(E14="早","08-18",IF(E14="中","12-22",IF(E14="晚","22-08",IF(E14="X","輪休",IF(E14="公","公假",IF(OR(E14="病",E14="事"),"病(事)假",IF(OR(E14="婚",E14="產"),"婚(產)假",IF(E14="補","補休",IF(E14="休","休假",IF(E14="喪","喪假",IF(AND(E14="/",OR($A14=日期輸入!$B$23,$A14=日期輸入!$C$23,$A14=日期輸入!$D$23,$A14=日期輸入!$E$23,$A14=日期輸入!$F$23)),"08-18水電科",IF(E14="大日","大隊值日(日)",IF(E14="大夜","大隊值日(夜)",IF(E14="值1","值1(早)",IF(E14="值1丙","值1(早) 丙案",IF(E14="值2","值2(中)",IF(E14="值2乙","值2(中) 乙案",IF(E14="夜值","夜值(晚)",IF(E14="甲夜","夜值(晚) 甲案",IF(E14="備","08-18",IF(OR(E14="支援秘書室",E14="支援出納室",E14="支援警務科",E14="支援事務股"),"支援總(大)隊",IF(E14="支援檢疫所","支援(其他)",IF(  E14="/","空班",  IF(  E14="丙",  "※ 丙案",  IF(  E14="丙常訓",  "※ 丙案 常訓",E14  )))))))))))))))))))))))))</f>
        <v>輪休</v>
      </c>
      <c r="F54" s="271" t="str">
        <f>IF(F14="早","08-18",IF(F14="中","12-22",IF(F14="晚","22-08",IF(F14="X","輪休",IF(F14="公","公假",IF(OR(F14="病",F14="事"),"病(事)假",IF(OR(F14="婚",F14="產"),"婚(產)假",IF(F14="補","補休",IF(F14="休","休假",IF(F14="喪","喪假",IF(AND(F14="/",OR($A14=日期輸入!$B$23,$A14=日期輸入!$C$23,$A14=日期輸入!$D$23,$A14=日期輸入!$E$23,$A14=日期輸入!$F$23)),"08-18水電科",IF(F14="大日","大隊值日(日)",IF(F14="大夜","大隊值日(夜)",IF(F14="值1","值1(早)",IF(F14="值1丙","值1(早) 丙案",IF(F14="值2","值2(中)",IF(F14="值2乙","值2(中) 乙案",IF(F14="夜值","夜值(晚)",IF(F14="甲夜","夜值(晚) 甲案",IF(F14="備","08-18",IF(OR(F14="支援秘書室",F14="支援出納室",F14="支援警務科",F14="支援事務股"),"支援總(大)隊",IF(F14="支援檢疫所","支援(其他)",IF(  F14="/","空班",  IF(  F14="丙",  "※ 丙案",  IF(  F14="丙常訓",  "※ 丙案 常訓",F14  )))))))))))))))))))))))))</f>
        <v>輪休</v>
      </c>
      <c r="G54" s="271" t="str">
        <f>IF(G14="早","08-18",IF(G14="中","12-22",IF(G14="晚","22-08",IF(G14="X","輪休",IF(G14="公","公假",IF(OR(G14="病",G14="事"),"病(事)假",IF(OR(G14="婚",G14="產"),"婚(產)假",IF(G14="補","補休",IF(G14="休","休假",IF(G14="喪","喪假",IF(AND(G14="/",OR($A14=日期輸入!$B$23,$A14=日期輸入!$C$23,$A14=日期輸入!$D$23,$A14=日期輸入!$E$23,$A14=日期輸入!$F$23)),"08-18水電科",IF(G14="大日","大隊值日(日)",IF(G14="大夜","大隊值日(夜)",IF(G14="值1","值1(早)",IF(G14="值1丙","值1(早) 丙案",IF(G14="值2","值2(中)",IF(G14="值2乙","值2(中) 乙案",IF(G14="夜值","夜值(晚)",IF(G14="甲夜","夜值(晚) 甲案",IF(G14="備","08-18",IF(OR(G14="支援秘書室",G14="支援出納室",G14="支援警務科",G14="支援事務股"),"支援總(大)隊",IF(G14="支援檢疫所","支援(其他)",IF(  G14="/","空班",  IF(  G14="丙",  "※ 丙案",  IF(  G14="丙常訓",  "※ 丙案 常訓",G14  )))))))))))))))))))))))))</f>
        <v>08-18水電科</v>
      </c>
      <c r="H54" s="271" t="str">
        <f>IF(H14="早","08-18",IF(H14="中","12-22",IF(H14="晚","22-08",IF(H14="X","輪休",IF(H14="公","公假",IF(OR(H14="病",H14="事"),"病(事)假",IF(OR(H14="婚",H14="產"),"婚(產)假",IF(H14="補","補休",IF(H14="休","休假",IF(H14="喪","喪假",IF(AND(H14="/",OR($A14=日期輸入!$B$23,$A14=日期輸入!$C$23,$A14=日期輸入!$D$23,$A14=日期輸入!$E$23,$A14=日期輸入!$F$23)),"08-18水電科",IF(H14="大日","大隊值日(日)",IF(H14="大夜","大隊值日(夜)",IF(H14="值1","值1(早)",IF(H14="值1丙","值1(早) 丙案",IF(H14="值2","值2(中)",IF(H14="值2乙","值2(中) 乙案",IF(H14="夜值","夜值(晚)",IF(H14="甲夜","夜值(晚) 甲案",IF(H14="備","08-18",IF(OR(H14="支援秘書室",H14="支援出納室",H14="支援警務科",H14="支援事務股"),"支援總(大)隊",IF(H14="支援檢疫所","支援(其他)",IF(  H14="/","空班",  IF(  H14="丙",  "※ 丙案",  IF(  H14="丙常訓",  "※ 丙案 常訓",H14  )))))))))))))))))))))))))</f>
        <v>08-18水電科</v>
      </c>
      <c r="I54" s="271" t="str">
        <f>IF(I14="早","08-18",IF(I14="中","12-22",IF(I14="晚","22-08",IF(I14="X","輪休",IF(I14="公","公假",IF(OR(I14="病",I14="事"),"病(事)假",IF(OR(I14="婚",I14="產"),"婚(產)假",IF(I14="補","補休",IF(I14="休","休假",IF(I14="喪","喪假",IF(AND(I14="/",OR($A14=日期輸入!$B$23,$A14=日期輸入!$C$23,$A14=日期輸入!$D$23,$A14=日期輸入!$E$23,$A14=日期輸入!$F$23)),"08-18水電科",IF(I14="大日","大隊值日(日)",IF(I14="大夜","大隊值日(夜)",IF(I14="值1","值1(早)",IF(I14="值1丙","值1(早) 丙案",IF(I14="值2","值2(中)",IF(I14="值2乙","值2(中) 乙案",IF(I14="夜值","夜值(晚)",IF(I14="甲夜","夜值(晚) 甲案",IF(I14="備","08-18",IF(OR(I14="支援秘書室",I14="支援出納室",I14="支援警務科",I14="支援事務股"),"支援總(大)隊",IF(I14="支援檢疫所","支援(其他)",IF(  I14="/","空班",  IF(  I14="丙",  "※ 丙案",  IF(  I14="丙常訓",  "※ 丙案 常訓",I14  )))))))))))))))))))))))))</f>
        <v>08-18水電科</v>
      </c>
      <c r="J54" s="271" t="str">
        <f>IF(J14="早","08-18",IF(J14="中","12-22",IF(J14="晚","22-08",IF(J14="X","輪休",IF(J14="公","公假",IF(OR(J14="病",J14="事"),"病(事)假",IF(OR(J14="婚",J14="產"),"婚(產)假",IF(J14="補","補休",IF(J14="休","休假",IF(J14="喪","喪假",IF(AND(J14="/",OR($A14=日期輸入!$B$23,$A14=日期輸入!$C$23,$A14=日期輸入!$D$23,$A14=日期輸入!$E$23,$A14=日期輸入!$F$23)),"08-18水電科",IF(J14="大日","大隊值日(日)",IF(J14="大夜","大隊值日(夜)",IF(J14="值1","值1(早)",IF(J14="值1丙","值1(早) 丙案",IF(J14="值2","值2(中)",IF(J14="值2乙","值2(中) 乙案",IF(J14="夜值","夜值(晚)",IF(J14="甲夜","夜值(晚) 甲案",IF(J14="備","08-18",IF(OR(J14="支援秘書室",J14="支援出納室",J14="支援警務科",J14="支援事務股"),"支援總(大)隊",IF(J14="支援檢疫所","支援(其他)",IF(  J14="/","空班",  IF(  J14="丙",  "※ 丙案",  IF(  J14="丙常訓",  "※ 丙案 常訓",J14  )))))))))))))))))))))))))</f>
        <v>08-18水電科</v>
      </c>
      <c r="K54" s="271" t="str">
        <f>IF(K14="早","08-18",IF(K14="中","12-22",IF(K14="晚","22-08",IF(K14="X","輪休",IF(K14="公","公假",IF(OR(K14="病",K14="事"),"病(事)假",IF(OR(K14="婚",K14="產"),"婚(產)假",IF(K14="補","補休",IF(K14="休","休假",IF(K14="喪","喪假",IF(AND(K14="/",OR($A14=日期輸入!$B$23,$A14=日期輸入!$C$23,$A14=日期輸入!$D$23,$A14=日期輸入!$E$23,$A14=日期輸入!$F$23)),"08-18水電科",IF(K14="大日","大隊值日(日)",IF(K14="大夜","大隊值日(夜)",IF(K14="值1","值1(早)",IF(K14="值1丙","值1(早) 丙案",IF(K14="值2","值2(中)",IF(K14="值2乙","值2(中) 乙案",IF(K14="夜值","夜值(晚)",IF(K14="甲夜","夜值(晚) 甲案",IF(K14="備","08-18",IF(OR(K14="支援秘書室",K14="支援出納室",K14="支援警務科",K14="支援事務股"),"支援總(大)隊",IF(K14="支援檢疫所","支援(其他)",IF(  K14="/","空班",  IF(  K14="丙",  "※ 丙案",  IF(  K14="丙常訓",  "※ 丙案 常訓",K14  )))))))))))))))))))))))))</f>
        <v>08-18水電科</v>
      </c>
      <c r="L54" s="271" t="str">
        <f>IF(L14="早","08-18",IF(L14="中","12-22",IF(L14="晚","22-08",IF(L14="X","輪休",IF(L14="公","公假",IF(OR(L14="病",L14="事"),"病(事)假",IF(OR(L14="婚",L14="產"),"婚(產)假",IF(L14="補","補休",IF(L14="休","休假",IF(L14="喪","喪假",IF(AND(L14="/",OR($A14=日期輸入!$B$23,$A14=日期輸入!$C$23,$A14=日期輸入!$D$23,$A14=日期輸入!$E$23,$A14=日期輸入!$F$23)),"08-18水電科",IF(L14="大日","大隊值日(日)",IF(L14="大夜","大隊值日(夜)",IF(L14="值1","值1(早)",IF(L14="值1丙","值1(早) 丙案",IF(L14="值2","值2(中)",IF(L14="值2乙","值2(中) 乙案",IF(L14="夜值","夜值(晚)",IF(L14="甲夜","夜值(晚) 甲案",IF(L14="備","08-18",IF(OR(L14="支援秘書室",L14="支援出納室",L14="支援警務科",L14="支援事務股"),"支援總(大)隊",IF(L14="支援檢疫所","支援(其他)",IF(  L14="/","空班",  IF(  L14="丙",  "※ 丙案",  IF(  L14="丙常訓",  "※ 丙案 常訓",L14  )))))))))))))))))))))))))</f>
        <v>08-18水電科</v>
      </c>
      <c r="M54" s="271" t="str">
        <f>IF(M14="早","08-18",IF(M14="中","12-22",IF(M14="晚","22-08",IF(M14="X","輪休",IF(M14="公","公假",IF(OR(M14="病",M14="事"),"病(事)假",IF(OR(M14="婚",M14="產"),"婚(產)假",IF(M14="補","補休",IF(M14="休","休假",IF(M14="喪","喪假",IF(AND(M14="/",OR($A14=日期輸入!$B$23,$A14=日期輸入!$C$23,$A14=日期輸入!$D$23,$A14=日期輸入!$E$23,$A14=日期輸入!$F$23)),"08-18水電科",IF(M14="大日","大隊值日(日)",IF(M14="大夜","大隊值日(夜)",IF(M14="值1","值1(早)",IF(M14="值1丙","值1(早) 丙案",IF(M14="值2","值2(中)",IF(M14="值2乙","值2(中) 乙案",IF(M14="夜值","夜值(晚)",IF(M14="甲夜","夜值(晚) 甲案",IF(M14="備","08-18",IF(OR(M14="支援秘書室",M14="支援出納室",M14="支援警務科",M14="支援事務股"),"支援總(大)隊",IF(M14="支援檢疫所","支援(其他)",IF(  M14="/","空班",  IF(  M14="丙",  "※ 丙案",  IF(  M14="丙常訓",  "※ 丙案 常訓",M14  )))))))))))))))))))))))))</f>
        <v>08-18水電科</v>
      </c>
      <c r="N54" s="271" t="str">
        <f>IF(N14="早","08-18",IF(N14="中","12-22",IF(N14="晚","22-08",IF(N14="X","輪休",IF(N14="公","公假",IF(OR(N14="病",N14="事"),"病(事)假",IF(OR(N14="婚",N14="產"),"婚(產)假",IF(N14="補","補休",IF(N14="休","休假",IF(N14="喪","喪假",IF(AND(N14="/",OR($A14=日期輸入!$B$23,$A14=日期輸入!$C$23,$A14=日期輸入!$D$23,$A14=日期輸入!$E$23,$A14=日期輸入!$F$23)),"08-18水電科",IF(N14="大日","大隊值日(日)",IF(N14="大夜","大隊值日(夜)",IF(N14="值1","值1(早)",IF(N14="值1丙","值1(早) 丙案",IF(N14="值2","值2(中)",IF(N14="值2乙","值2(中) 乙案",IF(N14="夜值","夜值(晚)",IF(N14="甲夜","夜值(晚) 甲案",IF(N14="備","08-18",IF(OR(N14="支援秘書室",N14="支援出納室",N14="支援警務科",N14="支援事務股"),"支援總(大)隊",IF(N14="支援檢疫所","支援(其他)",IF(  N14="/","空班",  IF(  N14="丙",  "※ 丙案",  IF(  N14="丙常訓",  "※ 丙案 常訓",N14  )))))))))))))))))))))))))</f>
        <v>08-18水電科</v>
      </c>
      <c r="O54" s="271" t="str">
        <f>IF(O14="早","08-18",IF(O14="中","12-22",IF(O14="晚","22-08",IF(O14="X","輪休",IF(O14="公","公假",IF(OR(O14="病",O14="事"),"病(事)假",IF(OR(O14="婚",O14="產"),"婚(產)假",IF(O14="補","補休",IF(O14="休","休假",IF(O14="喪","喪假",IF(AND(O14="/",OR($A14=日期輸入!$B$23,$A14=日期輸入!$C$23,$A14=日期輸入!$D$23,$A14=日期輸入!$E$23,$A14=日期輸入!$F$23)),"08-18水電科",IF(O14="大日","大隊值日(日)",IF(O14="大夜","大隊值日(夜)",IF(O14="值1","值1(早)",IF(O14="值1丙","值1(早) 丙案",IF(O14="值2","值2(中)",IF(O14="值2乙","值2(中) 乙案",IF(O14="夜值","夜值(晚)",IF(O14="甲夜","夜值(晚) 甲案",IF(O14="備","08-18",IF(OR(O14="支援秘書室",O14="支援出納室",O14="支援警務科",O14="支援事務股"),"支援總(大)隊",IF(O14="支援檢疫所","支援(其他)",IF(  O14="/","空班",  IF(  O14="丙",  "※ 丙案",  IF(  O14="丙常訓",  "※ 丙案 常訓",O14  )))))))))))))))))))))))))</f>
        <v>08-18水電科</v>
      </c>
      <c r="P54" s="271" t="str">
        <f>IF(P14="早","08-18",IF(P14="中","12-22",IF(P14="晚","22-08",IF(P14="X","輪休",IF(P14="公","公假",IF(OR(P14="病",P14="事"),"病(事)假",IF(OR(P14="婚",P14="產"),"婚(產)假",IF(P14="補","補休",IF(P14="休","休假",IF(P14="喪","喪假",IF(AND(P14="/",OR($A14=日期輸入!$B$23,$A14=日期輸入!$C$23,$A14=日期輸入!$D$23,$A14=日期輸入!$E$23,$A14=日期輸入!$F$23)),"08-18水電科",IF(P14="大日","大隊值日(日)",IF(P14="大夜","大隊值日(夜)",IF(P14="值1","值1(早)",IF(P14="值1丙","值1(早) 丙案",IF(P14="值2","值2(中)",IF(P14="值2乙","值2(中) 乙案",IF(P14="夜值","夜值(晚)",IF(P14="甲夜","夜值(晚) 甲案",IF(P14="備","08-18",IF(OR(P14="支援秘書室",P14="支援出納室",P14="支援警務科",P14="支援事務股"),"支援總(大)隊",IF(P14="支援檢疫所","支援(其他)",IF(  P14="/","空班",  IF(  P14="丙",  "※ 丙案",  IF(  P14="丙常訓",  "※ 丙案 常訓",P14  )))))))))))))))))))))))))</f>
        <v>08-18水電科</v>
      </c>
      <c r="Q54" s="271" t="str">
        <f>IF(Q14="早","08-18",IF(Q14="中","12-22",IF(Q14="晚","22-08",IF(Q14="X","輪休",IF(Q14="公","公假",IF(OR(Q14="病",Q14="事"),"病(事)假",IF(OR(Q14="婚",Q14="產"),"婚(產)假",IF(Q14="補","補休",IF(Q14="休","休假",IF(Q14="喪","喪假",IF(AND(Q14="/",OR($A14=日期輸入!$B$23,$A14=日期輸入!$C$23,$A14=日期輸入!$D$23,$A14=日期輸入!$E$23,$A14=日期輸入!$F$23)),"08-18水電科",IF(Q14="大日","大隊值日(日)",IF(Q14="大夜","大隊值日(夜)",IF(Q14="值1","值1(早)",IF(Q14="值1丙","值1(早) 丙案",IF(Q14="值2","值2(中)",IF(Q14="值2乙","值2(中) 乙案",IF(Q14="夜值","夜值(晚)",IF(Q14="甲夜","夜值(晚) 甲案",IF(Q14="備","08-18",IF(OR(Q14="支援秘書室",Q14="支援出納室",Q14="支援警務科",Q14="支援事務股"),"支援總(大)隊",IF(Q14="支援檢疫所","支援(其他)",IF(  Q14="/","空班",  IF(  Q14="丙",  "※ 丙案",  IF(  Q14="丙常訓",  "※ 丙案 常訓",Q14  )))))))))))))))))))))))))</f>
        <v>08-18水電科</v>
      </c>
      <c r="R54" s="271" t="str">
        <f>IF(R14="早","08-18",IF(R14="中","12-22",IF(R14="晚","22-08",IF(R14="X","輪休",IF(R14="公","公假",IF(OR(R14="病",R14="事"),"病(事)假",IF(OR(R14="婚",R14="產"),"婚(產)假",IF(R14="補","補休",IF(R14="休","休假",IF(R14="喪","喪假",IF(AND(R14="/",OR($A14=日期輸入!$B$23,$A14=日期輸入!$C$23,$A14=日期輸入!$D$23,$A14=日期輸入!$E$23,$A14=日期輸入!$F$23)),"08-18水電科",IF(R14="大日","大隊值日(日)",IF(R14="大夜","大隊值日(夜)",IF(R14="值1","值1(早)",IF(R14="值1丙","值1(早) 丙案",IF(R14="值2","值2(中)",IF(R14="值2乙","值2(中) 乙案",IF(R14="夜值","夜值(晚)",IF(R14="甲夜","夜值(晚) 甲案",IF(R14="備","08-18",IF(OR(R14="支援秘書室",R14="支援出納室",R14="支援警務科",R14="支援事務股"),"支援總(大)隊",IF(R14="支援檢疫所","支援(其他)",IF(  R14="/","空班",  IF(  R14="丙",  "※ 丙案",  IF(  R14="丙常訓",  "※ 丙案 常訓",R14  )))))))))))))))))))))))))</f>
        <v>08-18水電科</v>
      </c>
      <c r="S54" s="271" t="str">
        <f>IF(S14="早","08-18",IF(S14="中","12-22",IF(S14="晚","22-08",IF(S14="X","輪休",IF(S14="公","公假",IF(OR(S14="病",S14="事"),"病(事)假",IF(OR(S14="婚",S14="產"),"婚(產)假",IF(S14="補","補休",IF(S14="休","休假",IF(S14="喪","喪假",IF(AND(S14="/",OR($A14=日期輸入!$B$23,$A14=日期輸入!$C$23,$A14=日期輸入!$D$23,$A14=日期輸入!$E$23,$A14=日期輸入!$F$23)),"08-18水電科",IF(S14="大日","大隊值日(日)",IF(S14="大夜","大隊值日(夜)",IF(S14="值1","值1(早)",IF(S14="值1丙","值1(早) 丙案",IF(S14="值2","值2(中)",IF(S14="值2乙","值2(中) 乙案",IF(S14="夜值","夜值(晚)",IF(S14="甲夜","夜值(晚) 甲案",IF(S14="備","08-18",IF(OR(S14="支援秘書室",S14="支援出納室",S14="支援警務科",S14="支援事務股"),"支援總(大)隊",IF(S14="支援檢疫所","支援(其他)",IF(  S14="/","空班",  IF(  S14="丙",  "※ 丙案",  IF(  S14="丙常訓",  "※ 丙案 常訓",S14  )))))))))))))))))))))))))</f>
        <v>08-18水電科</v>
      </c>
      <c r="T54" s="271" t="str">
        <f>IF(T14="早","08-18",IF(T14="中","12-22",IF(T14="晚","22-08",IF(T14="X","輪休",IF(T14="公","公假",IF(OR(T14="病",T14="事"),"病(事)假",IF(OR(T14="婚",T14="產"),"婚(產)假",IF(T14="補","補休",IF(T14="休","休假",IF(T14="喪","喪假",IF(AND(T14="/",OR($A14=日期輸入!$B$23,$A14=日期輸入!$C$23,$A14=日期輸入!$D$23,$A14=日期輸入!$E$23,$A14=日期輸入!$F$23)),"08-18水電科",IF(T14="大日","大隊值日(日)",IF(T14="大夜","大隊值日(夜)",IF(T14="值1","值1(早)",IF(T14="值1丙","值1(早) 丙案",IF(T14="值2","值2(中)",IF(T14="值2乙","值2(中) 乙案",IF(T14="夜值","夜值(晚)",IF(T14="甲夜","夜值(晚) 甲案",IF(T14="備","08-18",IF(OR(T14="支援秘書室",T14="支援出納室",T14="支援警務科",T14="支援事務股"),"支援總(大)隊",IF(T14="支援檢疫所","支援(其他)",IF(  T14="/","空班",  IF(  T14="丙",  "※ 丙案",  IF(  T14="丙常訓",  "※ 丙案 常訓",T14  )))))))))))))))))))))))))</f>
        <v>08-18水電科</v>
      </c>
      <c r="U54" s="271" t="str">
        <f>IF(U14="早","08-18",IF(U14="中","12-22",IF(U14="晚","22-08",IF(U14="X","輪休",IF(U14="公","公假",IF(OR(U14="病",U14="事"),"病(事)假",IF(OR(U14="婚",U14="產"),"婚(產)假",IF(U14="補","補休",IF(U14="休","休假",IF(U14="喪","喪假",IF(AND(U14="/",OR($A14=日期輸入!$B$23,$A14=日期輸入!$C$23,$A14=日期輸入!$D$23,$A14=日期輸入!$E$23,$A14=日期輸入!$F$23)),"08-18水電科",IF(U14="大日","大隊值日(日)",IF(U14="大夜","大隊值日(夜)",IF(U14="值1","值1(早)",IF(U14="值1丙","值1(早) 丙案",IF(U14="值2","值2(中)",IF(U14="值2乙","值2(中) 乙案",IF(U14="夜值","夜值(晚)",IF(U14="甲夜","夜值(晚) 甲案",IF(U14="備","08-18",IF(OR(U14="支援秘書室",U14="支援出納室",U14="支援警務科",U14="支援事務股"),"支援總(大)隊",IF(U14="支援檢疫所","支援(其他)",IF(  U14="/","空班",  IF(  U14="丙",  "※ 丙案",  IF(  U14="丙常訓",  "※ 丙案 常訓",U14  )))))))))))))))))))))))))</f>
        <v>08-18水電科</v>
      </c>
      <c r="V54" s="271" t="str">
        <f>IF(V14="早","08-18",IF(V14="中","12-22",IF(V14="晚","22-08",IF(V14="X","輪休",IF(V14="公","公假",IF(OR(V14="病",V14="事"),"病(事)假",IF(OR(V14="婚",V14="產"),"婚(產)假",IF(V14="補","補休",IF(V14="休","休假",IF(V14="喪","喪假",IF(AND(V14="/",OR($A14=日期輸入!$B$23,$A14=日期輸入!$C$23,$A14=日期輸入!$D$23,$A14=日期輸入!$E$23,$A14=日期輸入!$F$23)),"08-18水電科",IF(V14="大日","大隊值日(日)",IF(V14="大夜","大隊值日(夜)",IF(V14="值1","值1(早)",IF(V14="值1丙","值1(早) 丙案",IF(V14="值2","值2(中)",IF(V14="值2乙","值2(中) 乙案",IF(V14="夜值","夜值(晚)",IF(V14="甲夜","夜值(晚) 甲案",IF(V14="備","08-18",IF(OR(V14="支援秘書室",V14="支援出納室",V14="支援警務科",V14="支援事務股"),"支援總(大)隊",IF(V14="支援檢疫所","支援(其他)",IF(  V14="/","空班",  IF(  V14="丙",  "※ 丙案",  IF(  V14="丙常訓",  "※ 丙案 常訓",V14  )))))))))))))))))))))))))</f>
        <v>08-18水電科</v>
      </c>
      <c r="W54" s="271" t="str">
        <f>IF(W14="早","08-18",IF(W14="中","12-22",IF(W14="晚","22-08",IF(W14="X","輪休",IF(W14="公","公假",IF(OR(W14="病",W14="事"),"病(事)假",IF(OR(W14="婚",W14="產"),"婚(產)假",IF(W14="補","補休",IF(W14="休","休假",IF(W14="喪","喪假",IF(AND(W14="/",OR($A14=日期輸入!$B$23,$A14=日期輸入!$C$23,$A14=日期輸入!$D$23,$A14=日期輸入!$E$23,$A14=日期輸入!$F$23)),"08-18水電科",IF(W14="大日","大隊值日(日)",IF(W14="大夜","大隊值日(夜)",IF(W14="值1","值1(早)",IF(W14="值1丙","值1(早) 丙案",IF(W14="值2","值2(中)",IF(W14="值2乙","值2(中) 乙案",IF(W14="夜值","夜值(晚)",IF(W14="甲夜","夜值(晚) 甲案",IF(W14="備","08-18",IF(OR(W14="支援秘書室",W14="支援出納室",W14="支援警務科",W14="支援事務股"),"支援總(大)隊",IF(W14="支援檢疫所","支援(其他)",IF(  W14="/","空班",  IF(  W14="丙",  "※ 丙案",  IF(  W14="丙常訓",  "※ 丙案 常訓",W14  )))))))))))))))))))))))))</f>
        <v>08-18水電科</v>
      </c>
      <c r="X54" s="271" t="str">
        <f>IF(X14="早","08-18",IF(X14="中","12-22",IF(X14="晚","22-08",IF(X14="X","輪休",IF(X14="公","公假",IF(OR(X14="病",X14="事"),"病(事)假",IF(OR(X14="婚",X14="產"),"婚(產)假",IF(X14="補","補休",IF(X14="休","休假",IF(X14="喪","喪假",IF(AND(X14="/",OR($A14=日期輸入!$B$23,$A14=日期輸入!$C$23,$A14=日期輸入!$D$23,$A14=日期輸入!$E$23,$A14=日期輸入!$F$23)),"08-18水電科",IF(X14="大日","大隊值日(日)",IF(X14="大夜","大隊值日(夜)",IF(X14="值1","值1(早)",IF(X14="值1丙","值1(早) 丙案",IF(X14="值2","值2(中)",IF(X14="值2乙","值2(中) 乙案",IF(X14="夜值","夜值(晚)",IF(X14="甲夜","夜值(晚) 甲案",IF(X14="備","08-18",IF(OR(X14="支援秘書室",X14="支援出納室",X14="支援警務科",X14="支援事務股"),"支援總(大)隊",IF(X14="支援檢疫所","支援(其他)",IF(  X14="/","空班",  IF(  X14="丙",  "※ 丙案",  IF(  X14="丙常訓",  "※ 丙案 常訓",X14  )))))))))))))))))))))))))</f>
        <v>08-18水電科</v>
      </c>
      <c r="Y54" s="271" t="str">
        <f>IF(Y14="早","08-18",IF(Y14="中","12-22",IF(Y14="晚","22-08",IF(Y14="X","輪休",IF(Y14="公","公假",IF(OR(Y14="病",Y14="事"),"病(事)假",IF(OR(Y14="婚",Y14="產"),"婚(產)假",IF(Y14="補","補休",IF(Y14="休","休假",IF(Y14="喪","喪假",IF(AND(Y14="/",OR($A14=日期輸入!$B$23,$A14=日期輸入!$C$23,$A14=日期輸入!$D$23,$A14=日期輸入!$E$23,$A14=日期輸入!$F$23)),"08-18水電科",IF(Y14="大日","大隊值日(日)",IF(Y14="大夜","大隊值日(夜)",IF(Y14="值1","值1(早)",IF(Y14="值1丙","值1(早) 丙案",IF(Y14="值2","值2(中)",IF(Y14="值2乙","值2(中) 乙案",IF(Y14="夜值","夜值(晚)",IF(Y14="甲夜","夜值(晚) 甲案",IF(Y14="備","08-18",IF(OR(Y14="支援秘書室",Y14="支援出納室",Y14="支援警務科",Y14="支援事務股"),"支援總(大)隊",IF(Y14="支援檢疫所","支援(其他)",IF(  Y14="/","空班",  IF(  Y14="丙",  "※ 丙案",  IF(  Y14="丙常訓",  "※ 丙案 常訓",Y14  )))))))))))))))))))))))))</f>
        <v>08-18水電科</v>
      </c>
      <c r="Z54" s="271" t="str">
        <f>IF(Z14="早","08-18",IF(Z14="中","12-22",IF(Z14="晚","22-08",IF(Z14="X","輪休",IF(Z14="公","公假",IF(OR(Z14="病",Z14="事"),"病(事)假",IF(OR(Z14="婚",Z14="產"),"婚(產)假",IF(Z14="補","補休",IF(Z14="休","休假",IF(Z14="喪","喪假",IF(AND(Z14="/",OR($A14=日期輸入!$B$23,$A14=日期輸入!$C$23,$A14=日期輸入!$D$23,$A14=日期輸入!$E$23,$A14=日期輸入!$F$23)),"08-18水電科",IF(Z14="大日","大隊值日(日)",IF(Z14="大夜","大隊值日(夜)",IF(Z14="值1","值1(早)",IF(Z14="值1丙","值1(早) 丙案",IF(Z14="值2","值2(中)",IF(Z14="值2乙","值2(中) 乙案",IF(Z14="夜值","夜值(晚)",IF(Z14="甲夜","夜值(晚) 甲案",IF(Z14="備","08-18",IF(OR(Z14="支援秘書室",Z14="支援出納室",Z14="支援警務科",Z14="支援事務股"),"支援總(大)隊",IF(Z14="支援檢疫所","支援(其他)",IF(  Z14="/","空班",  IF(  Z14="丙",  "※ 丙案",  IF(  Z14="丙常訓",  "※ 丙案 常訓",Z14  )))))))))))))))))))))))))</f>
        <v>08-18水電科</v>
      </c>
      <c r="AA54" s="271" t="str">
        <f>IF(AA14="早","08-18",IF(AA14="中","12-22",IF(AA14="晚","22-08",IF(AA14="X","輪休",IF(AA14="公","公假",IF(OR(AA14="病",AA14="事"),"病(事)假",IF(OR(AA14="婚",AA14="產"),"婚(產)假",IF(AA14="補","補休",IF(AA14="休","休假",IF(AA14="喪","喪假",IF(AND(AA14="/",OR($A14=日期輸入!$B$23,$A14=日期輸入!$C$23,$A14=日期輸入!$D$23,$A14=日期輸入!$E$23,$A14=日期輸入!$F$23)),"08-18水電科",IF(AA14="大日","大隊值日(日)",IF(AA14="大夜","大隊值日(夜)",IF(AA14="值1","值1(早)",IF(AA14="值1丙","值1(早) 丙案",IF(AA14="值2","值2(中)",IF(AA14="值2乙","值2(中) 乙案",IF(AA14="夜值","夜值(晚)",IF(AA14="甲夜","夜值(晚) 甲案",IF(AA14="備","08-18",IF(OR(AA14="支援秘書室",AA14="支援出納室",AA14="支援警務科",AA14="支援事務股"),"支援總(大)隊",IF(AA14="支援檢疫所","支援(其他)",IF(  AA14="/","空班",  IF(  AA14="丙",  "※ 丙案",  IF(  AA14="丙常訓",  "※ 丙案 常訓",AA14  )))))))))))))))))))))))))</f>
        <v>08-18水電科</v>
      </c>
      <c r="AB54" s="271" t="str">
        <f>IF(AB14="早","08-18",IF(AB14="中","12-22",IF(AB14="晚","22-08",IF(AB14="X","輪休",IF(AB14="公","公假",IF(OR(AB14="病",AB14="事"),"病(事)假",IF(OR(AB14="婚",AB14="產"),"婚(產)假",IF(AB14="補","補休",IF(AB14="休","休假",IF(AB14="喪","喪假",IF(AND(AB14="/",OR($A14=日期輸入!$B$23,$A14=日期輸入!$C$23,$A14=日期輸入!$D$23,$A14=日期輸入!$E$23,$A14=日期輸入!$F$23)),"08-18水電科",IF(AB14="大日","大隊值日(日)",IF(AB14="大夜","大隊值日(夜)",IF(AB14="值1","值1(早)",IF(AB14="值1丙","值1(早) 丙案",IF(AB14="值2","值2(中)",IF(AB14="值2乙","值2(中) 乙案",IF(AB14="夜值","夜值(晚)",IF(AB14="甲夜","夜值(晚) 甲案",IF(AB14="備","08-18",IF(OR(AB14="支援秘書室",AB14="支援出納室",AB14="支援警務科",AB14="支援事務股"),"支援總(大)隊",IF(AB14="支援檢疫所","支援(其他)",IF(  AB14="/","空班",  IF(  AB14="丙",  "※ 丙案",  IF(  AB14="丙常訓",  "※ 丙案 常訓",AB14  )))))))))))))))))))))))))</f>
        <v>08-18水電科</v>
      </c>
      <c r="AC54" s="271" t="str">
        <f>IF(AC14="早","08-18",IF(AC14="中","12-22",IF(AC14="晚","22-08",IF(AC14="X","輪休",IF(AC14="公","公假",IF(OR(AC14="病",AC14="事"),"病(事)假",IF(OR(AC14="婚",AC14="產"),"婚(產)假",IF(AC14="補","補休",IF(AC14="休","休假",IF(AC14="喪","喪假",IF(AND(AC14="/",OR($A14=日期輸入!$B$23,$A14=日期輸入!$C$23,$A14=日期輸入!$D$23,$A14=日期輸入!$E$23,$A14=日期輸入!$F$23)),"08-18水電科",IF(AC14="大日","大隊值日(日)",IF(AC14="大夜","大隊值日(夜)",IF(AC14="值1","值1(早)",IF(AC14="值1丙","值1(早) 丙案",IF(AC14="值2","值2(中)",IF(AC14="值2乙","值2(中) 乙案",IF(AC14="夜值","夜值(晚)",IF(AC14="甲夜","夜值(晚) 甲案",IF(AC14="備","08-18",IF(OR(AC14="支援秘書室",AC14="支援出納室",AC14="支援警務科",AC14="支援事務股"),"支援總(大)隊",IF(AC14="支援檢疫所","支援(其他)",IF(  AC14="/","空班",  IF(  AC14="丙",  "※ 丙案",  IF(  AC14="丙常訓",  "※ 丙案 常訓",AC14  )))))))))))))))))))))))))</f>
        <v>08-18水電科</v>
      </c>
      <c r="AD54" s="271" t="str">
        <f>IF(AD14="早","08-18",IF(AD14="中","12-22",IF(AD14="晚","22-08",IF(AD14="X","輪休",IF(AD14="公","公假",IF(OR(AD14="病",AD14="事"),"病(事)假",IF(OR(AD14="婚",AD14="產"),"婚(產)假",IF(AD14="補","補休",IF(AD14="休","休假",IF(AD14="喪","喪假",IF(AND(AD14="/",OR($A14=日期輸入!$B$23,$A14=日期輸入!$C$23,$A14=日期輸入!$D$23,$A14=日期輸入!$E$23,$A14=日期輸入!$F$23)),"08-18水電科",IF(AD14="大日","大隊值日(日)",IF(AD14="大夜","大隊值日(夜)",IF(AD14="值1","值1(早)",IF(AD14="值1丙","值1(早) 丙案",IF(AD14="值2","值2(中)",IF(AD14="值2乙","值2(中) 乙案",IF(AD14="夜值","夜值(晚)",IF(AD14="甲夜","夜值(晚) 甲案",IF(AD14="備","08-18",IF(OR(AD14="支援秘書室",AD14="支援出納室",AD14="支援警務科",AD14="支援事務股"),"支援總(大)隊",IF(AD14="支援檢疫所","支援(其他)",IF(  AD14="/","空班",  IF(  AD14="丙",  "※ 丙案",  IF(  AD14="丙常訓",  "※ 丙案 常訓",AD14  )))))))))))))))))))))))))</f>
        <v>08-18水電科</v>
      </c>
      <c r="AE54" s="271" t="str">
        <f>IF(AE14="早","08-18",IF(AE14="中","12-22",IF(AE14="晚","22-08",IF(AE14="X","輪休",IF(AE14="公","公假",IF(OR(AE14="病",AE14="事"),"病(事)假",IF(OR(AE14="婚",AE14="產"),"婚(產)假",IF(AE14="補","補休",IF(AE14="休","休假",IF(AE14="喪","喪假",IF(AND(AE14="/",OR($A14=日期輸入!$B$23,$A14=日期輸入!$C$23,$A14=日期輸入!$D$23,$A14=日期輸入!$E$23,$A14=日期輸入!$F$23)),"08-18水電科",IF(AE14="大日","大隊值日(日)",IF(AE14="大夜","大隊值日(夜)",IF(AE14="值1","值1(早)",IF(AE14="值1丙","值1(早) 丙案",IF(AE14="值2","值2(中)",IF(AE14="值2乙","值2(中) 乙案",IF(AE14="夜值","夜值(晚)",IF(AE14="甲夜","夜值(晚) 甲案",IF(AE14="備","08-18",IF(OR(AE14="支援秘書室",AE14="支援出納室",AE14="支援警務科",AE14="支援事務股"),"支援總(大)隊",IF(AE14="支援檢疫所","支援(其他)",IF(  AE14="/","空班",  IF(  AE14="丙",  "※ 丙案",  IF(  AE14="丙常訓",  "※ 丙案 常訓",AE14  )))))))))))))))))))))))))</f>
        <v>08-18水電科</v>
      </c>
      <c r="AF54" s="271" t="str">
        <f>IF(AF14="早","08-18",IF(AF14="中","12-22",IF(AF14="晚","22-08",IF(AF14="X","輪休",IF(AF14="公","公假",IF(OR(AF14="病",AF14="事"),"病(事)假",IF(OR(AF14="婚",AF14="產"),"婚(產)假",IF(AF14="補","補休",IF(AF14="休","休假",IF(AF14="喪","喪假",IF(AND(AF14="/",OR($A14=日期輸入!$B$23,$A14=日期輸入!$C$23,$A14=日期輸入!$D$23,$A14=日期輸入!$E$23,$A14=日期輸入!$F$23)),"08-18水電科",IF(AF14="大日","大隊值日(日)",IF(AF14="大夜","大隊值日(夜)",IF(AF14="值1","值1(早)",IF(AF14="值1丙","值1(早) 丙案",IF(AF14="值2","值2(中)",IF(AF14="值2乙","值2(中) 乙案",IF(AF14="夜值","夜值(晚)",IF(AF14="甲夜","夜值(晚) 甲案",IF(AF14="備","08-18",IF(OR(AF14="支援秘書室",AF14="支援出納室",AF14="支援警務科",AF14="支援事務股"),"支援總(大)隊",IF(AF14="支援檢疫所","支援(其他)",IF(  AF14="/","空班",  IF(  AF14="丙",  "※ 丙案",  IF(  AF14="丙常訓",  "※ 丙案 常訓",AF14  )))))))))))))))))))))))))</f>
        <v>08-18水電科</v>
      </c>
      <c r="AG54" s="271" t="str">
        <f>IF(AG14="早","08-18",IF(AG14="中","12-22",IF(AG14="晚","22-08",IF(AG14="X","輪休",IF(AG14="公","公假",IF(OR(AG14="病",AG14="事"),"病(事)假",IF(OR(AG14="婚",AG14="產"),"婚(產)假",IF(AG14="補","補休",IF(AG14="休","休假",IF(AG14="喪","喪假",IF(AND(AG14="/",OR($A14=日期輸入!$B$23,$A14=日期輸入!$C$23,$A14=日期輸入!$D$23,$A14=日期輸入!$E$23,$A14=日期輸入!$F$23)),"08-18水電科",IF(AG14="大日","大隊值日(日)",IF(AG14="大夜","大隊值日(夜)",IF(AG14="值1","值1(早)",IF(AG14="值1丙","值1(早) 丙案",IF(AG14="值2","值2(中)",IF(AG14="值2乙","值2(中) 乙案",IF(AG14="夜值","夜值(晚)",IF(AG14="甲夜","夜值(晚) 甲案",IF(AG14="備","08-18",IF(OR(AG14="支援秘書室",AG14="支援出納室",AG14="支援警務科",AG14="支援事務股"),"支援總(大)隊",IF(AG14="支援檢疫所","支援(其他)",IF(  AG14="/","空班",  IF(  AG14="丙",  "※ 丙案",  IF(  AG14="丙常訓",  "※ 丙案 常訓",AG14  )))))))))))))))))))))))))</f>
        <v>08-18水電科</v>
      </c>
    </row>
    <row r="55" spans="1:33">
      <c r="A55" s="271">
        <f t="shared" ref="A55:B55" si="14">A15</f>
        <v>51</v>
      </c>
      <c r="B55" s="271" t="str">
        <f t="shared" si="14"/>
        <v>陳俊印</v>
      </c>
      <c r="C55" s="271" t="str">
        <f>IF(C15="早","08-18",IF(C15="中","12-22",IF(C15="晚","22-08",IF(C15="X","輪休",IF(C15="公","公假",IF(OR(C15="病",C15="事"),"病(事)假",IF(OR(C15="婚",C15="產"),"婚(產)假",IF(C15="補","補休",IF(C15="休","休假",IF(C15="喪","喪假",IF(AND(C15="/",OR($A15=日期輸入!$B$23,$A15=日期輸入!$C$23,$A15=日期輸入!$D$23,$A15=日期輸入!$E$23,$A15=日期輸入!$F$23)),"08-18水電科",IF(C15="大日","大隊值日(日)",IF(C15="大夜","大隊值日(夜)",IF(C15="值1","值1(早)",IF(C15="值1丙","值1(早) 丙案",IF(C15="值2","值2(中)",IF(C15="值2乙","值2(中) 乙案",IF(C15="夜值","夜值(晚)",IF(C15="甲夜","夜值(晚) 甲案",IF(C15="備","08-18",IF(OR(C15="支援秘書室",C15="支援出納室",C15="支援警務科",C15="支援事務股"),"支援總(大)隊",IF(C15="支援檢疫所","支援(其他)",IF(  C15="/","空班",  IF(  C15="丙",  "※ 丙案",  IF(  C15="丙常訓",  "※ 丙案 常訓",C15  )))))))))))))))))))))))))</f>
        <v>08-18秘書室</v>
      </c>
      <c r="D55" s="271" t="str">
        <f>IF(D15="早","08-18",IF(D15="中","12-22",IF(D15="晚","22-08",IF(D15="X","輪休",IF(D15="公","公假",IF(OR(D15="病",D15="事"),"病(事)假",IF(OR(D15="婚",D15="產"),"婚(產)假",IF(D15="補","補休",IF(D15="休","休假",IF(D15="喪","喪假",IF(AND(D15="/",OR($A15=日期輸入!$B$23,$A15=日期輸入!$C$23,$A15=日期輸入!$D$23,$A15=日期輸入!$E$23,$A15=日期輸入!$F$23)),"08-18水電科",IF(D15="大日","大隊值日(日)",IF(D15="大夜","大隊值日(夜)",IF(D15="值1","值1(早)",IF(D15="值1丙","值1(早) 丙案",IF(D15="值2","值2(中)",IF(D15="值2乙","值2(中) 乙案",IF(D15="夜值","夜值(晚)",IF(D15="甲夜","夜值(晚) 甲案",IF(D15="備","08-18",IF(OR(D15="支援秘書室",D15="支援出納室",D15="支援警務科",D15="支援事務股"),"支援總(大)隊",IF(D15="支援檢疫所","支援(其他)",IF(  D15="/","空班",  IF(  D15="丙",  "※ 丙案",  IF(  D15="丙常訓",  "※ 丙案 常訓",D15  )))))))))))))))))))))))))</f>
        <v>輪休</v>
      </c>
      <c r="E55" s="271" t="str">
        <f>IF(E15="早","08-18",IF(E15="中","12-22",IF(E15="晚","22-08",IF(E15="X","輪休",IF(E15="公","公假",IF(OR(E15="病",E15="事"),"病(事)假",IF(OR(E15="婚",E15="產"),"婚(產)假",IF(E15="補","補休",IF(E15="休","休假",IF(E15="喪","喪假",IF(AND(E15="/",OR($A15=日期輸入!$B$23,$A15=日期輸入!$C$23,$A15=日期輸入!$D$23,$A15=日期輸入!$E$23,$A15=日期輸入!$F$23)),"08-18水電科",IF(E15="大日","大隊值日(日)",IF(E15="大夜","大隊值日(夜)",IF(E15="值1","值1(早)",IF(E15="值1丙","值1(早) 丙案",IF(E15="值2","值2(中)",IF(E15="值2乙","值2(中) 乙案",IF(E15="夜值","夜值(晚)",IF(E15="甲夜","夜值(晚) 甲案",IF(E15="備","08-18",IF(OR(E15="支援秘書室",E15="支援出納室",E15="支援警務科",E15="支援事務股"),"支援總(大)隊",IF(E15="支援檢疫所","支援(其他)",IF(  E15="/","空班",  IF(  E15="丙",  "※ 丙案",  IF(  E15="丙常訓",  "※ 丙案 常訓",E15  )))))))))))))))))))))))))</f>
        <v>輪休</v>
      </c>
      <c r="F55" s="271" t="str">
        <f>IF(F15="早","08-18",IF(F15="中","12-22",IF(F15="晚","22-08",IF(F15="X","輪休",IF(F15="公","公假",IF(OR(F15="病",F15="事"),"病(事)假",IF(OR(F15="婚",F15="產"),"婚(產)假",IF(F15="補","補休",IF(F15="休","休假",IF(F15="喪","喪假",IF(AND(F15="/",OR($A15=日期輸入!$B$23,$A15=日期輸入!$C$23,$A15=日期輸入!$D$23,$A15=日期輸入!$E$23,$A15=日期輸入!$F$23)),"08-18水電科",IF(F15="大日","大隊值日(日)",IF(F15="大夜","大隊值日(夜)",IF(F15="值1","值1(早)",IF(F15="值1丙","值1(早) 丙案",IF(F15="值2","值2(中)",IF(F15="值2乙","值2(中) 乙案",IF(F15="夜值","夜值(晚)",IF(F15="甲夜","夜值(晚) 甲案",IF(F15="備","08-18",IF(OR(F15="支援秘書室",F15="支援出納室",F15="支援警務科",F15="支援事務股"),"支援總(大)隊",IF(F15="支援檢疫所","支援(其他)",IF(  F15="/","空班",  IF(  F15="丙",  "※ 丙案",  IF(  F15="丙常訓",  "※ 丙案 常訓",F15  )))))))))))))))))))))))))</f>
        <v>08-18秘書室</v>
      </c>
      <c r="G55" s="271" t="str">
        <f>IF(G15="早","08-18",IF(G15="中","12-22",IF(G15="晚","22-08",IF(G15="X","輪休",IF(G15="公","公假",IF(OR(G15="病",G15="事"),"病(事)假",IF(OR(G15="婚",G15="產"),"婚(產)假",IF(G15="補","補休",IF(G15="休","休假",IF(G15="喪","喪假",IF(AND(G15="/",OR($A15=日期輸入!$B$23,$A15=日期輸入!$C$23,$A15=日期輸入!$D$23,$A15=日期輸入!$E$23,$A15=日期輸入!$F$23)),"08-18水電科",IF(G15="大日","大隊值日(日)",IF(G15="大夜","大隊值日(夜)",IF(G15="值1","值1(早)",IF(G15="值1丙","值1(早) 丙案",IF(G15="值2","值2(中)",IF(G15="值2乙","值2(中) 乙案",IF(G15="夜值","夜值(晚)",IF(G15="甲夜","夜值(晚) 甲案",IF(G15="備","08-18",IF(OR(G15="支援秘書室",G15="支援出納室",G15="支援警務科",G15="支援事務股"),"支援總(大)隊",IF(G15="支援檢疫所","支援(其他)",IF(  G15="/","空班",  IF(  G15="丙",  "※ 丙案",  IF(  G15="丙常訓",  "※ 丙案 常訓",G15  )))))))))))))))))))))))))</f>
        <v>08-18秘書室</v>
      </c>
      <c r="H55" s="271" t="str">
        <f>IF(H15="早","08-18",IF(H15="中","12-22",IF(H15="晚","22-08",IF(H15="X","輪休",IF(H15="公","公假",IF(OR(H15="病",H15="事"),"病(事)假",IF(OR(H15="婚",H15="產"),"婚(產)假",IF(H15="補","補休",IF(H15="休","休假",IF(H15="喪","喪假",IF(AND(H15="/",OR($A15=日期輸入!$B$23,$A15=日期輸入!$C$23,$A15=日期輸入!$D$23,$A15=日期輸入!$E$23,$A15=日期輸入!$F$23)),"08-18水電科",IF(H15="大日","大隊值日(日)",IF(H15="大夜","大隊值日(夜)",IF(H15="值1","值1(早)",IF(H15="值1丙","值1(早) 丙案",IF(H15="值2","值2(中)",IF(H15="值2乙","值2(中) 乙案",IF(H15="夜值","夜值(晚)",IF(H15="甲夜","夜值(晚) 甲案",IF(H15="備","08-18",IF(OR(H15="支援秘書室",H15="支援出納室",H15="支援警務科",H15="支援事務股"),"支援總(大)隊",IF(H15="支援檢疫所","支援(其他)",IF(  H15="/","空班",  IF(  H15="丙",  "※ 丙案",  IF(  H15="丙常訓",  "※ 丙案 常訓",H15  )))))))))))))))))))))))))</f>
        <v>08-18秘書室</v>
      </c>
      <c r="I55" s="271" t="str">
        <f>IF(I15="早","08-18",IF(I15="中","12-22",IF(I15="晚","22-08",IF(I15="X","輪休",IF(I15="公","公假",IF(OR(I15="病",I15="事"),"病(事)假",IF(OR(I15="婚",I15="產"),"婚(產)假",IF(I15="補","補休",IF(I15="休","休假",IF(I15="喪","喪假",IF(AND(I15="/",OR($A15=日期輸入!$B$23,$A15=日期輸入!$C$23,$A15=日期輸入!$D$23,$A15=日期輸入!$E$23,$A15=日期輸入!$F$23)),"08-18水電科",IF(I15="大日","大隊值日(日)",IF(I15="大夜","大隊值日(夜)",IF(I15="值1","值1(早)",IF(I15="值1丙","值1(早) 丙案",IF(I15="值2","值2(中)",IF(I15="值2乙","值2(中) 乙案",IF(I15="夜值","夜值(晚)",IF(I15="甲夜","夜值(晚) 甲案",IF(I15="備","08-18",IF(OR(I15="支援秘書室",I15="支援出納室",I15="支援警務科",I15="支援事務股"),"支援總(大)隊",IF(I15="支援檢疫所","支援(其他)",IF(  I15="/","空班",  IF(  I15="丙",  "※ 丙案",  IF(  I15="丙常訓",  "※ 丙案 常訓",I15  )))))))))))))))))))))))))</f>
        <v>08-18秘書室</v>
      </c>
      <c r="J55" s="271" t="str">
        <f>IF(J15="早","08-18",IF(J15="中","12-22",IF(J15="晚","22-08",IF(J15="X","輪休",IF(J15="公","公假",IF(OR(J15="病",J15="事"),"病(事)假",IF(OR(J15="婚",J15="產"),"婚(產)假",IF(J15="補","補休",IF(J15="休","休假",IF(J15="喪","喪假",IF(AND(J15="/",OR($A15=日期輸入!$B$23,$A15=日期輸入!$C$23,$A15=日期輸入!$D$23,$A15=日期輸入!$E$23,$A15=日期輸入!$F$23)),"08-18水電科",IF(J15="大日","大隊值日(日)",IF(J15="大夜","大隊值日(夜)",IF(J15="值1","值1(早)",IF(J15="值1丙","值1(早) 丙案",IF(J15="值2","值2(中)",IF(J15="值2乙","值2(中) 乙案",IF(J15="夜值","夜值(晚)",IF(J15="甲夜","夜值(晚) 甲案",IF(J15="備","08-18",IF(OR(J15="支援秘書室",J15="支援出納室",J15="支援警務科",J15="支援事務股"),"支援總(大)隊",IF(J15="支援檢疫所","支援(其他)",IF(  J15="/","空班",  IF(  J15="丙",  "※ 丙案",  IF(  J15="丙常訓",  "※ 丙案 常訓",J15  )))))))))))))))))))))))))</f>
        <v>08-18秘書室</v>
      </c>
      <c r="K55" s="271" t="str">
        <f>IF(K15="早","08-18",IF(K15="中","12-22",IF(K15="晚","22-08",IF(K15="X","輪休",IF(K15="公","公假",IF(OR(K15="病",K15="事"),"病(事)假",IF(OR(K15="婚",K15="產"),"婚(產)假",IF(K15="補","補休",IF(K15="休","休假",IF(K15="喪","喪假",IF(AND(K15="/",OR($A15=日期輸入!$B$23,$A15=日期輸入!$C$23,$A15=日期輸入!$D$23,$A15=日期輸入!$E$23,$A15=日期輸入!$F$23)),"08-18水電科",IF(K15="大日","大隊值日(日)",IF(K15="大夜","大隊值日(夜)",IF(K15="值1","值1(早)",IF(K15="值1丙","值1(早) 丙案",IF(K15="值2","值2(中)",IF(K15="值2乙","值2(中) 乙案",IF(K15="夜值","夜值(晚)",IF(K15="甲夜","夜值(晚) 甲案",IF(K15="備","08-18",IF(OR(K15="支援秘書室",K15="支援出納室",K15="支援警務科",K15="支援事務股"),"支援總(大)隊",IF(K15="支援檢疫所","支援(其他)",IF(  K15="/","空班",  IF(  K15="丙",  "※ 丙案",  IF(  K15="丙常訓",  "※ 丙案 常訓",K15  )))))))))))))))))))))))))</f>
        <v>08-18秘書室</v>
      </c>
      <c r="L55" s="271" t="str">
        <f>IF(L15="早","08-18",IF(L15="中","12-22",IF(L15="晚","22-08",IF(L15="X","輪休",IF(L15="公","公假",IF(OR(L15="病",L15="事"),"病(事)假",IF(OR(L15="婚",L15="產"),"婚(產)假",IF(L15="補","補休",IF(L15="休","休假",IF(L15="喪","喪假",IF(AND(L15="/",OR($A15=日期輸入!$B$23,$A15=日期輸入!$C$23,$A15=日期輸入!$D$23,$A15=日期輸入!$E$23,$A15=日期輸入!$F$23)),"08-18水電科",IF(L15="大日","大隊值日(日)",IF(L15="大夜","大隊值日(夜)",IF(L15="值1","值1(早)",IF(L15="值1丙","值1(早) 丙案",IF(L15="值2","值2(中)",IF(L15="值2乙","值2(中) 乙案",IF(L15="夜值","夜值(晚)",IF(L15="甲夜","夜值(晚) 甲案",IF(L15="備","08-18",IF(OR(L15="支援秘書室",L15="支援出納室",L15="支援警務科",L15="支援事務股"),"支援總(大)隊",IF(L15="支援檢疫所","支援(其他)",IF(  L15="/","空班",  IF(  L15="丙",  "※ 丙案",  IF(  L15="丙常訓",  "※ 丙案 常訓",L15  )))))))))))))))))))))))))</f>
        <v>08-18秘書室</v>
      </c>
      <c r="M55" s="271" t="str">
        <f>IF(M15="早","08-18",IF(M15="中","12-22",IF(M15="晚","22-08",IF(M15="X","輪休",IF(M15="公","公假",IF(OR(M15="病",M15="事"),"病(事)假",IF(OR(M15="婚",M15="產"),"婚(產)假",IF(M15="補","補休",IF(M15="休","休假",IF(M15="喪","喪假",IF(AND(M15="/",OR($A15=日期輸入!$B$23,$A15=日期輸入!$C$23,$A15=日期輸入!$D$23,$A15=日期輸入!$E$23,$A15=日期輸入!$F$23)),"08-18水電科",IF(M15="大日","大隊值日(日)",IF(M15="大夜","大隊值日(夜)",IF(M15="值1","值1(早)",IF(M15="值1丙","值1(早) 丙案",IF(M15="值2","值2(中)",IF(M15="值2乙","值2(中) 乙案",IF(M15="夜值","夜值(晚)",IF(M15="甲夜","夜值(晚) 甲案",IF(M15="備","08-18",IF(OR(M15="支援秘書室",M15="支援出納室",M15="支援警務科",M15="支援事務股"),"支援總(大)隊",IF(M15="支援檢疫所","支援(其他)",IF(  M15="/","空班",  IF(  M15="丙",  "※ 丙案",  IF(  M15="丙常訓",  "※ 丙案 常訓",M15  )))))))))))))))))))))))))</f>
        <v>08-18秘書室</v>
      </c>
      <c r="N55" s="271" t="str">
        <f>IF(N15="早","08-18",IF(N15="中","12-22",IF(N15="晚","22-08",IF(N15="X","輪休",IF(N15="公","公假",IF(OR(N15="病",N15="事"),"病(事)假",IF(OR(N15="婚",N15="產"),"婚(產)假",IF(N15="補","補休",IF(N15="休","休假",IF(N15="喪","喪假",IF(AND(N15="/",OR($A15=日期輸入!$B$23,$A15=日期輸入!$C$23,$A15=日期輸入!$D$23,$A15=日期輸入!$E$23,$A15=日期輸入!$F$23)),"08-18水電科",IF(N15="大日","大隊值日(日)",IF(N15="大夜","大隊值日(夜)",IF(N15="值1","值1(早)",IF(N15="值1丙","值1(早) 丙案",IF(N15="值2","值2(中)",IF(N15="值2乙","值2(中) 乙案",IF(N15="夜值","夜值(晚)",IF(N15="甲夜","夜值(晚) 甲案",IF(N15="備","08-18",IF(OR(N15="支援秘書室",N15="支援出納室",N15="支援警務科",N15="支援事務股"),"支援總(大)隊",IF(N15="支援檢疫所","支援(其他)",IF(  N15="/","空班",  IF(  N15="丙",  "※ 丙案",  IF(  N15="丙常訓",  "※ 丙案 常訓",N15  )))))))))))))))))))))))))</f>
        <v>08-18秘書室</v>
      </c>
      <c r="O55" s="271" t="str">
        <f>IF(O15="早","08-18",IF(O15="中","12-22",IF(O15="晚","22-08",IF(O15="X","輪休",IF(O15="公","公假",IF(OR(O15="病",O15="事"),"病(事)假",IF(OR(O15="婚",O15="產"),"婚(產)假",IF(O15="補","補休",IF(O15="休","休假",IF(O15="喪","喪假",IF(AND(O15="/",OR($A15=日期輸入!$B$23,$A15=日期輸入!$C$23,$A15=日期輸入!$D$23,$A15=日期輸入!$E$23,$A15=日期輸入!$F$23)),"08-18水電科",IF(O15="大日","大隊值日(日)",IF(O15="大夜","大隊值日(夜)",IF(O15="值1","值1(早)",IF(O15="值1丙","值1(早) 丙案",IF(O15="值2","值2(中)",IF(O15="值2乙","值2(中) 乙案",IF(O15="夜值","夜值(晚)",IF(O15="甲夜","夜值(晚) 甲案",IF(O15="備","08-18",IF(OR(O15="支援秘書室",O15="支援出納室",O15="支援警務科",O15="支援事務股"),"支援總(大)隊",IF(O15="支援檢疫所","支援(其他)",IF(  O15="/","空班",  IF(  O15="丙",  "※ 丙案",  IF(  O15="丙常訓",  "※ 丙案 常訓",O15  )))))))))))))))))))))))))</f>
        <v>08-18秘書室</v>
      </c>
      <c r="P55" s="271" t="str">
        <f>IF(P15="早","08-18",IF(P15="中","12-22",IF(P15="晚","22-08",IF(P15="X","輪休",IF(P15="公","公假",IF(OR(P15="病",P15="事"),"病(事)假",IF(OR(P15="婚",P15="產"),"婚(產)假",IF(P15="補","補休",IF(P15="休","休假",IF(P15="喪","喪假",IF(AND(P15="/",OR($A15=日期輸入!$B$23,$A15=日期輸入!$C$23,$A15=日期輸入!$D$23,$A15=日期輸入!$E$23,$A15=日期輸入!$F$23)),"08-18水電科",IF(P15="大日","大隊值日(日)",IF(P15="大夜","大隊值日(夜)",IF(P15="值1","值1(早)",IF(P15="值1丙","值1(早) 丙案",IF(P15="值2","值2(中)",IF(P15="值2乙","值2(中) 乙案",IF(P15="夜值","夜值(晚)",IF(P15="甲夜","夜值(晚) 甲案",IF(P15="備","08-18",IF(OR(P15="支援秘書室",P15="支援出納室",P15="支援警務科",P15="支援事務股"),"支援總(大)隊",IF(P15="支援檢疫所","支援(其他)",IF(  P15="/","空班",  IF(  P15="丙",  "※ 丙案",  IF(  P15="丙常訓",  "※ 丙案 常訓",P15  )))))))))))))))))))))))))</f>
        <v>08-18秘書室</v>
      </c>
      <c r="Q55" s="271" t="str">
        <f>IF(Q15="早","08-18",IF(Q15="中","12-22",IF(Q15="晚","22-08",IF(Q15="X","輪休",IF(Q15="公","公假",IF(OR(Q15="病",Q15="事"),"病(事)假",IF(OR(Q15="婚",Q15="產"),"婚(產)假",IF(Q15="補","補休",IF(Q15="休","休假",IF(Q15="喪","喪假",IF(AND(Q15="/",OR($A15=日期輸入!$B$23,$A15=日期輸入!$C$23,$A15=日期輸入!$D$23,$A15=日期輸入!$E$23,$A15=日期輸入!$F$23)),"08-18水電科",IF(Q15="大日","大隊值日(日)",IF(Q15="大夜","大隊值日(夜)",IF(Q15="值1","值1(早)",IF(Q15="值1丙","值1(早) 丙案",IF(Q15="值2","值2(中)",IF(Q15="值2乙","值2(中) 乙案",IF(Q15="夜值","夜值(晚)",IF(Q15="甲夜","夜值(晚) 甲案",IF(Q15="備","08-18",IF(OR(Q15="支援秘書室",Q15="支援出納室",Q15="支援警務科",Q15="支援事務股"),"支援總(大)隊",IF(Q15="支援檢疫所","支援(其他)",IF(  Q15="/","空班",  IF(  Q15="丙",  "※ 丙案",  IF(  Q15="丙常訓",  "※ 丙案 常訓",Q15  )))))))))))))))))))))))))</f>
        <v>08-18秘書室</v>
      </c>
      <c r="R55" s="271" t="str">
        <f>IF(R15="早","08-18",IF(R15="中","12-22",IF(R15="晚","22-08",IF(R15="X","輪休",IF(R15="公","公假",IF(OR(R15="病",R15="事"),"病(事)假",IF(OR(R15="婚",R15="產"),"婚(產)假",IF(R15="補","補休",IF(R15="休","休假",IF(R15="喪","喪假",IF(AND(R15="/",OR($A15=日期輸入!$B$23,$A15=日期輸入!$C$23,$A15=日期輸入!$D$23,$A15=日期輸入!$E$23,$A15=日期輸入!$F$23)),"08-18水電科",IF(R15="大日","大隊值日(日)",IF(R15="大夜","大隊值日(夜)",IF(R15="值1","值1(早)",IF(R15="值1丙","值1(早) 丙案",IF(R15="值2","值2(中)",IF(R15="值2乙","值2(中) 乙案",IF(R15="夜值","夜值(晚)",IF(R15="甲夜","夜值(晚) 甲案",IF(R15="備","08-18",IF(OR(R15="支援秘書室",R15="支援出納室",R15="支援警務科",R15="支援事務股"),"支援總(大)隊",IF(R15="支援檢疫所","支援(其他)",IF(  R15="/","空班",  IF(  R15="丙",  "※ 丙案",  IF(  R15="丙常訓",  "※ 丙案 常訓",R15  )))))))))))))))))))))))))</f>
        <v>08-18秘書室</v>
      </c>
      <c r="S55" s="271" t="str">
        <f>IF(S15="早","08-18",IF(S15="中","12-22",IF(S15="晚","22-08",IF(S15="X","輪休",IF(S15="公","公假",IF(OR(S15="病",S15="事"),"病(事)假",IF(OR(S15="婚",S15="產"),"婚(產)假",IF(S15="補","補休",IF(S15="休","休假",IF(S15="喪","喪假",IF(AND(S15="/",OR($A15=日期輸入!$B$23,$A15=日期輸入!$C$23,$A15=日期輸入!$D$23,$A15=日期輸入!$E$23,$A15=日期輸入!$F$23)),"08-18水電科",IF(S15="大日","大隊值日(日)",IF(S15="大夜","大隊值日(夜)",IF(S15="值1","值1(早)",IF(S15="值1丙","值1(早) 丙案",IF(S15="值2","值2(中)",IF(S15="值2乙","值2(中) 乙案",IF(S15="夜值","夜值(晚)",IF(S15="甲夜","夜值(晚) 甲案",IF(S15="備","08-18",IF(OR(S15="支援秘書室",S15="支援出納室",S15="支援警務科",S15="支援事務股"),"支援總(大)隊",IF(S15="支援檢疫所","支援(其他)",IF(  S15="/","空班",  IF(  S15="丙",  "※ 丙案",  IF(  S15="丙常訓",  "※ 丙案 常訓",S15  )))))))))))))))))))))))))</f>
        <v>空班</v>
      </c>
      <c r="T55" s="271" t="str">
        <f>IF(T15="早","08-18",IF(T15="中","12-22",IF(T15="晚","22-08",IF(T15="X","輪休",IF(T15="公","公假",IF(OR(T15="病",T15="事"),"病(事)假",IF(OR(T15="婚",T15="產"),"婚(產)假",IF(T15="補","補休",IF(T15="休","休假",IF(T15="喪","喪假",IF(AND(T15="/",OR($A15=日期輸入!$B$23,$A15=日期輸入!$C$23,$A15=日期輸入!$D$23,$A15=日期輸入!$E$23,$A15=日期輸入!$F$23)),"08-18水電科",IF(T15="大日","大隊值日(日)",IF(T15="大夜","大隊值日(夜)",IF(T15="值1","值1(早)",IF(T15="值1丙","值1(早) 丙案",IF(T15="值2","值2(中)",IF(T15="值2乙","值2(中) 乙案",IF(T15="夜值","夜值(晚)",IF(T15="甲夜","夜值(晚) 甲案",IF(T15="備","08-18",IF(OR(T15="支援秘書室",T15="支援出納室",T15="支援警務科",T15="支援事務股"),"支援總(大)隊",IF(T15="支援檢疫所","支援(其他)",IF(  T15="/","空班",  IF(  T15="丙",  "※ 丙案",  IF(  T15="丙常訓",  "※ 丙案 常訓",T15  )))))))))))))))))))))))))</f>
        <v>輪休</v>
      </c>
      <c r="U55" s="271" t="str">
        <f>IF(U15="早","08-18",IF(U15="中","12-22",IF(U15="晚","22-08",IF(U15="X","輪休",IF(U15="公","公假",IF(OR(U15="病",U15="事"),"病(事)假",IF(OR(U15="婚",U15="產"),"婚(產)假",IF(U15="補","補休",IF(U15="休","休假",IF(U15="喪","喪假",IF(AND(U15="/",OR($A15=日期輸入!$B$23,$A15=日期輸入!$C$23,$A15=日期輸入!$D$23,$A15=日期輸入!$E$23,$A15=日期輸入!$F$23)),"08-18水電科",IF(U15="大日","大隊值日(日)",IF(U15="大夜","大隊值日(夜)",IF(U15="值1","值1(早)",IF(U15="值1丙","值1(早) 丙案",IF(U15="值2","值2(中)",IF(U15="值2乙","值2(中) 乙案",IF(U15="夜值","夜值(晚)",IF(U15="甲夜","夜值(晚) 甲案",IF(U15="備","08-18",IF(OR(U15="支援秘書室",U15="支援出納室",U15="支援警務科",U15="支援事務股"),"支援總(大)隊",IF(U15="支援檢疫所","支援(其他)",IF(  U15="/","空班",  IF(  U15="丙",  "※ 丙案",  IF(  U15="丙常訓",  "※ 丙案 常訓",U15  )))))))))))))))))))))))))</f>
        <v>輪休</v>
      </c>
      <c r="V55" s="271" t="str">
        <f>IF(V15="早","08-18",IF(V15="中","12-22",IF(V15="晚","22-08",IF(V15="X","輪休",IF(V15="公","公假",IF(OR(V15="病",V15="事"),"病(事)假",IF(OR(V15="婚",V15="產"),"婚(產)假",IF(V15="補","補休",IF(V15="休","休假",IF(V15="喪","喪假",IF(AND(V15="/",OR($A15=日期輸入!$B$23,$A15=日期輸入!$C$23,$A15=日期輸入!$D$23,$A15=日期輸入!$E$23,$A15=日期輸入!$F$23)),"08-18水電科",IF(V15="大日","大隊值日(日)",IF(V15="大夜","大隊值日(夜)",IF(V15="值1","值1(早)",IF(V15="值1丙","值1(早) 丙案",IF(V15="值2","值2(中)",IF(V15="值2乙","值2(中) 乙案",IF(V15="夜值","夜值(晚)",IF(V15="甲夜","夜值(晚) 甲案",IF(V15="備","08-18",IF(OR(V15="支援秘書室",V15="支援出納室",V15="支援警務科",V15="支援事務股"),"支援總(大)隊",IF(V15="支援檢疫所","支援(其他)",IF(  V15="/","空班",  IF(  V15="丙",  "※ 丙案",  IF(  V15="丙常訓",  "※ 丙案 常訓",V15  )))))))))))))))))))))))))</f>
        <v>輪休</v>
      </c>
      <c r="W55" s="271" t="str">
        <f>IF(W15="早","08-18",IF(W15="中","12-22",IF(W15="晚","22-08",IF(W15="X","輪休",IF(W15="公","公假",IF(OR(W15="病",W15="事"),"病(事)假",IF(OR(W15="婚",W15="產"),"婚(產)假",IF(W15="補","補休",IF(W15="休","休假",IF(W15="喪","喪假",IF(AND(W15="/",OR($A15=日期輸入!$B$23,$A15=日期輸入!$C$23,$A15=日期輸入!$D$23,$A15=日期輸入!$E$23,$A15=日期輸入!$F$23)),"08-18水電科",IF(W15="大日","大隊值日(日)",IF(W15="大夜","大隊值日(夜)",IF(W15="值1","值1(早)",IF(W15="值1丙","值1(早) 丙案",IF(W15="值2","值2(中)",IF(W15="值2乙","值2(中) 乙案",IF(W15="夜值","夜值(晚)",IF(W15="甲夜","夜值(晚) 甲案",IF(W15="備","08-18",IF(OR(W15="支援秘書室",W15="支援出納室",W15="支援警務科",W15="支援事務股"),"支援總(大)隊",IF(W15="支援檢疫所","支援(其他)",IF(  W15="/","空班",  IF(  W15="丙",  "※ 丙案",  IF(  W15="丙常訓",  "※ 丙案 常訓",W15  )))))))))))))))))))))))))</f>
        <v>輪休</v>
      </c>
      <c r="X55" s="271" t="str">
        <f>IF(X15="早","08-18",IF(X15="中","12-22",IF(X15="晚","22-08",IF(X15="X","輪休",IF(X15="公","公假",IF(OR(X15="病",X15="事"),"病(事)假",IF(OR(X15="婚",X15="產"),"婚(產)假",IF(X15="補","補休",IF(X15="休","休假",IF(X15="喪","喪假",IF(AND(X15="/",OR($A15=日期輸入!$B$23,$A15=日期輸入!$C$23,$A15=日期輸入!$D$23,$A15=日期輸入!$E$23,$A15=日期輸入!$F$23)),"08-18水電科",IF(X15="大日","大隊值日(日)",IF(X15="大夜","大隊值日(夜)",IF(X15="值1","值1(早)",IF(X15="值1丙","值1(早) 丙案",IF(X15="值2","值2(中)",IF(X15="值2乙","值2(中) 乙案",IF(X15="夜值","夜值(晚)",IF(X15="甲夜","夜值(晚) 甲案",IF(X15="備","08-18",IF(OR(X15="支援秘書室",X15="支援出納室",X15="支援警務科",X15="支援事務股"),"支援總(大)隊",IF(X15="支援檢疫所","支援(其他)",IF(  X15="/","空班",  IF(  X15="丙",  "※ 丙案",  IF(  X15="丙常訓",  "※ 丙案 常訓",X15  )))))))))))))))))))))))))</f>
        <v>空班</v>
      </c>
      <c r="Y55" s="271" t="str">
        <f>IF(Y15="早","08-18",IF(Y15="中","12-22",IF(Y15="晚","22-08",IF(Y15="X","輪休",IF(Y15="公","公假",IF(OR(Y15="病",Y15="事"),"病(事)假",IF(OR(Y15="婚",Y15="產"),"婚(產)假",IF(Y15="補","補休",IF(Y15="休","休假",IF(Y15="喪","喪假",IF(AND(Y15="/",OR($A15=日期輸入!$B$23,$A15=日期輸入!$C$23,$A15=日期輸入!$D$23,$A15=日期輸入!$E$23,$A15=日期輸入!$F$23)),"08-18水電科",IF(Y15="大日","大隊值日(日)",IF(Y15="大夜","大隊值日(夜)",IF(Y15="值1","值1(早)",IF(Y15="值1丙","值1(早) 丙案",IF(Y15="值2","值2(中)",IF(Y15="值2乙","值2(中) 乙案",IF(Y15="夜值","夜值(晚)",IF(Y15="甲夜","夜值(晚) 甲案",IF(Y15="備","08-18",IF(OR(Y15="支援秘書室",Y15="支援出納室",Y15="支援警務科",Y15="支援事務股"),"支援總(大)隊",IF(Y15="支援檢疫所","支援(其他)",IF(  Y15="/","空班",  IF(  Y15="丙",  "※ 丙案",  IF(  Y15="丙常訓",  "※ 丙案 常訓",Y15  )))))))))))))))))))))))))</f>
        <v>空班</v>
      </c>
      <c r="Z55" s="271" t="str">
        <f>IF(Z15="早","08-18",IF(Z15="中","12-22",IF(Z15="晚","22-08",IF(Z15="X","輪休",IF(Z15="公","公假",IF(OR(Z15="病",Z15="事"),"病(事)假",IF(OR(Z15="婚",Z15="產"),"婚(產)假",IF(Z15="補","補休",IF(Z15="休","休假",IF(Z15="喪","喪假",IF(AND(Z15="/",OR($A15=日期輸入!$B$23,$A15=日期輸入!$C$23,$A15=日期輸入!$D$23,$A15=日期輸入!$E$23,$A15=日期輸入!$F$23)),"08-18水電科",IF(Z15="大日","大隊值日(日)",IF(Z15="大夜","大隊值日(夜)",IF(Z15="值1","值1(早)",IF(Z15="值1丙","值1(早) 丙案",IF(Z15="值2","值2(中)",IF(Z15="值2乙","值2(中) 乙案",IF(Z15="夜值","夜值(晚)",IF(Z15="甲夜","夜值(晚) 甲案",IF(Z15="備","08-18",IF(OR(Z15="支援秘書室",Z15="支援出納室",Z15="支援警務科",Z15="支援事務股"),"支援總(大)隊",IF(Z15="支援檢疫所","支援(其他)",IF(  Z15="/","空班",  IF(  Z15="丙",  "※ 丙案",  IF(  Z15="丙常訓",  "※ 丙案 常訓",Z15  )))))))))))))))))))))))))</f>
        <v>空班</v>
      </c>
      <c r="AA55" s="271" t="str">
        <f>IF(AA15="早","08-18",IF(AA15="中","12-22",IF(AA15="晚","22-08",IF(AA15="X","輪休",IF(AA15="公","公假",IF(OR(AA15="病",AA15="事"),"病(事)假",IF(OR(AA15="婚",AA15="產"),"婚(產)假",IF(AA15="補","補休",IF(AA15="休","休假",IF(AA15="喪","喪假",IF(AND(AA15="/",OR($A15=日期輸入!$B$23,$A15=日期輸入!$C$23,$A15=日期輸入!$D$23,$A15=日期輸入!$E$23,$A15=日期輸入!$F$23)),"08-18水電科",IF(AA15="大日","大隊值日(日)",IF(AA15="大夜","大隊值日(夜)",IF(AA15="值1","值1(早)",IF(AA15="值1丙","值1(早) 丙案",IF(AA15="值2","值2(中)",IF(AA15="值2乙","值2(中) 乙案",IF(AA15="夜值","夜值(晚)",IF(AA15="甲夜","夜值(晚) 甲案",IF(AA15="備","08-18",IF(OR(AA15="支援秘書室",AA15="支援出納室",AA15="支援警務科",AA15="支援事務股"),"支援總(大)隊",IF(AA15="支援檢疫所","支援(其他)",IF(  AA15="/","空班",  IF(  AA15="丙",  "※ 丙案",  IF(  AA15="丙常訓",  "※ 丙案 常訓",AA15  )))))))))))))))))))))))))</f>
        <v>空班</v>
      </c>
      <c r="AB55" s="271" t="str">
        <f>IF(AB15="早","08-18",IF(AB15="中","12-22",IF(AB15="晚","22-08",IF(AB15="X","輪休",IF(AB15="公","公假",IF(OR(AB15="病",AB15="事"),"病(事)假",IF(OR(AB15="婚",AB15="產"),"婚(產)假",IF(AB15="補","補休",IF(AB15="休","休假",IF(AB15="喪","喪假",IF(AND(AB15="/",OR($A15=日期輸入!$B$23,$A15=日期輸入!$C$23,$A15=日期輸入!$D$23,$A15=日期輸入!$E$23,$A15=日期輸入!$F$23)),"08-18水電科",IF(AB15="大日","大隊值日(日)",IF(AB15="大夜","大隊值日(夜)",IF(AB15="值1","值1(早)",IF(AB15="值1丙","值1(早) 丙案",IF(AB15="值2","值2(中)",IF(AB15="值2乙","值2(中) 乙案",IF(AB15="夜值","夜值(晚)",IF(AB15="甲夜","夜值(晚) 甲案",IF(AB15="備","08-18",IF(OR(AB15="支援秘書室",AB15="支援出納室",AB15="支援警務科",AB15="支援事務股"),"支援總(大)隊",IF(AB15="支援檢疫所","支援(其他)",IF(  AB15="/","空班",  IF(  AB15="丙",  "※ 丙案",  IF(  AB15="丙常訓",  "※ 丙案 常訓",AB15  )))))))))))))))))))))))))</f>
        <v>空班</v>
      </c>
      <c r="AC55" s="271" t="str">
        <f>IF(AC15="早","08-18",IF(AC15="中","12-22",IF(AC15="晚","22-08",IF(AC15="X","輪休",IF(AC15="公","公假",IF(OR(AC15="病",AC15="事"),"病(事)假",IF(OR(AC15="婚",AC15="產"),"婚(產)假",IF(AC15="補","補休",IF(AC15="休","休假",IF(AC15="喪","喪假",IF(AND(AC15="/",OR($A15=日期輸入!$B$23,$A15=日期輸入!$C$23,$A15=日期輸入!$D$23,$A15=日期輸入!$E$23,$A15=日期輸入!$F$23)),"08-18水電科",IF(AC15="大日","大隊值日(日)",IF(AC15="大夜","大隊值日(夜)",IF(AC15="值1","值1(早)",IF(AC15="值1丙","值1(早) 丙案",IF(AC15="值2","值2(中)",IF(AC15="值2乙","值2(中) 乙案",IF(AC15="夜值","夜值(晚)",IF(AC15="甲夜","夜值(晚) 甲案",IF(AC15="備","08-18",IF(OR(AC15="支援秘書室",AC15="支援出納室",AC15="支援警務科",AC15="支援事務股"),"支援總(大)隊",IF(AC15="支援檢疫所","支援(其他)",IF(  AC15="/","空班",  IF(  AC15="丙",  "※ 丙案",  IF(  AC15="丙常訓",  "※ 丙案 常訓",AC15  )))))))))))))))))))))))))</f>
        <v>空班</v>
      </c>
      <c r="AD55" s="271" t="str">
        <f>IF(AD15="早","08-18",IF(AD15="中","12-22",IF(AD15="晚","22-08",IF(AD15="X","輪休",IF(AD15="公","公假",IF(OR(AD15="病",AD15="事"),"病(事)假",IF(OR(AD15="婚",AD15="產"),"婚(產)假",IF(AD15="補","補休",IF(AD15="休","休假",IF(AD15="喪","喪假",IF(AND(AD15="/",OR($A15=日期輸入!$B$23,$A15=日期輸入!$C$23,$A15=日期輸入!$D$23,$A15=日期輸入!$E$23,$A15=日期輸入!$F$23)),"08-18水電科",IF(AD15="大日","大隊值日(日)",IF(AD15="大夜","大隊值日(夜)",IF(AD15="值1","值1(早)",IF(AD15="值1丙","值1(早) 丙案",IF(AD15="值2","值2(中)",IF(AD15="值2乙","值2(中) 乙案",IF(AD15="夜值","夜值(晚)",IF(AD15="甲夜","夜值(晚) 甲案",IF(AD15="備","08-18",IF(OR(AD15="支援秘書室",AD15="支援出納室",AD15="支援警務科",AD15="支援事務股"),"支援總(大)隊",IF(AD15="支援檢疫所","支援(其他)",IF(  AD15="/","空班",  IF(  AD15="丙",  "※ 丙案",  IF(  AD15="丙常訓",  "※ 丙案 常訓",AD15  )))))))))))))))))))))))))</f>
        <v>空班</v>
      </c>
      <c r="AE55" s="271" t="str">
        <f>IF(AE15="早","08-18",IF(AE15="中","12-22",IF(AE15="晚","22-08",IF(AE15="X","輪休",IF(AE15="公","公假",IF(OR(AE15="病",AE15="事"),"病(事)假",IF(OR(AE15="婚",AE15="產"),"婚(產)假",IF(AE15="補","補休",IF(AE15="休","休假",IF(AE15="喪","喪假",IF(AND(AE15="/",OR($A15=日期輸入!$B$23,$A15=日期輸入!$C$23,$A15=日期輸入!$D$23,$A15=日期輸入!$E$23,$A15=日期輸入!$F$23)),"08-18水電科",IF(AE15="大日","大隊值日(日)",IF(AE15="大夜","大隊值日(夜)",IF(AE15="值1","值1(早)",IF(AE15="值1丙","值1(早) 丙案",IF(AE15="值2","值2(中)",IF(AE15="值2乙","值2(中) 乙案",IF(AE15="夜值","夜值(晚)",IF(AE15="甲夜","夜值(晚) 甲案",IF(AE15="備","08-18",IF(OR(AE15="支援秘書室",AE15="支援出納室",AE15="支援警務科",AE15="支援事務股"),"支援總(大)隊",IF(AE15="支援檢疫所","支援(其他)",IF(  AE15="/","空班",  IF(  AE15="丙",  "※ 丙案",  IF(  AE15="丙常訓",  "※ 丙案 常訓",AE15  )))))))))))))))))))))))))</f>
        <v>空班</v>
      </c>
      <c r="AF55" s="271" t="str">
        <f>IF(AF15="早","08-18",IF(AF15="中","12-22",IF(AF15="晚","22-08",IF(AF15="X","輪休",IF(AF15="公","公假",IF(OR(AF15="病",AF15="事"),"病(事)假",IF(OR(AF15="婚",AF15="產"),"婚(產)假",IF(AF15="補","補休",IF(AF15="休","休假",IF(AF15="喪","喪假",IF(AND(AF15="/",OR($A15=日期輸入!$B$23,$A15=日期輸入!$C$23,$A15=日期輸入!$D$23,$A15=日期輸入!$E$23,$A15=日期輸入!$F$23)),"08-18水電科",IF(AF15="大日","大隊值日(日)",IF(AF15="大夜","大隊值日(夜)",IF(AF15="值1","值1(早)",IF(AF15="值1丙","值1(早) 丙案",IF(AF15="值2","值2(中)",IF(AF15="值2乙","值2(中) 乙案",IF(AF15="夜值","夜值(晚)",IF(AF15="甲夜","夜值(晚) 甲案",IF(AF15="備","08-18",IF(OR(AF15="支援秘書室",AF15="支援出納室",AF15="支援警務科",AF15="支援事務股"),"支援總(大)隊",IF(AF15="支援檢疫所","支援(其他)",IF(  AF15="/","空班",  IF(  AF15="丙",  "※ 丙案",  IF(  AF15="丙常訓",  "※ 丙案 常訓",AF15  )))))))))))))))))))))))))</f>
        <v>空班</v>
      </c>
      <c r="AG55" s="271" t="str">
        <f>IF(AG15="早","08-18",IF(AG15="中","12-22",IF(AG15="晚","22-08",IF(AG15="X","輪休",IF(AG15="公","公假",IF(OR(AG15="病",AG15="事"),"病(事)假",IF(OR(AG15="婚",AG15="產"),"婚(產)假",IF(AG15="補","補休",IF(AG15="休","休假",IF(AG15="喪","喪假",IF(AND(AG15="/",OR($A15=日期輸入!$B$23,$A15=日期輸入!$C$23,$A15=日期輸入!$D$23,$A15=日期輸入!$E$23,$A15=日期輸入!$F$23)),"08-18水電科",IF(AG15="大日","大隊值日(日)",IF(AG15="大夜","大隊值日(夜)",IF(AG15="值1","值1(早)",IF(AG15="值1丙","值1(早) 丙案",IF(AG15="值2","值2(中)",IF(AG15="值2乙","值2(中) 乙案",IF(AG15="夜值","夜值(晚)",IF(AG15="甲夜","夜值(晚) 甲案",IF(AG15="備","08-18",IF(OR(AG15="支援秘書室",AG15="支援出納室",AG15="支援警務科",AG15="支援事務股"),"支援總(大)隊",IF(AG15="支援檢疫所","支援(其他)",IF(  AG15="/","空班",  IF(  AG15="丙",  "※ 丙案",  IF(  AG15="丙常訓",  "※ 丙案 常訓",AG15  )))))))))))))))))))))))))</f>
        <v>空班</v>
      </c>
    </row>
    <row r="56" spans="1:33">
      <c r="A56" s="271">
        <f t="shared" ref="A56:B56" si="15">A16</f>
        <v>52</v>
      </c>
      <c r="B56" s="271" t="str">
        <f t="shared" si="15"/>
        <v>曾文彬</v>
      </c>
      <c r="C56" s="271" t="str">
        <f>IF(C16="早","08-18",IF(C16="中","12-22",IF(C16="晚","22-08",IF(C16="X","輪休",IF(C16="公","公假",IF(OR(C16="病",C16="事"),"病(事)假",IF(OR(C16="婚",C16="產"),"婚(產)假",IF(C16="補","補休",IF(C16="休","休假",IF(C16="喪","喪假",IF(AND(C16="/",OR($A16=日期輸入!$B$23,$A16=日期輸入!$C$23,$A16=日期輸入!$D$23,$A16=日期輸入!$E$23,$A16=日期輸入!$F$23)),"08-18水電科",IF(C16="大日","大隊值日(日)",IF(C16="大夜","大隊值日(夜)",IF(C16="值1","值1(早)",IF(C16="值1丙","值1(早) 丙案",IF(C16="值2","值2(中)",IF(C16="值2乙","值2(中) 乙案",IF(C16="夜值","夜值(晚)",IF(C16="甲夜","夜值(晚) 甲案",IF(C16="備","08-18",IF(OR(C16="支援秘書室",C16="支援出納室",C16="支援警務科",C16="支援事務股"),"支援總(大)隊",IF(C16="支援檢疫所","支援(其他)",IF(  C16="/","空班",  IF(  C16="丙",  "※ 丙案",  IF(  C16="丙常訓",  "※ 丙案 常訓",C16  )))))))))))))))))))))))))</f>
        <v>輪休</v>
      </c>
      <c r="D56" s="271" t="str">
        <f>IF(D16="早","08-18",IF(D16="中","12-22",IF(D16="晚","22-08",IF(D16="X","輪休",IF(D16="公","公假",IF(OR(D16="病",D16="事"),"病(事)假",IF(OR(D16="婚",D16="產"),"婚(產)假",IF(D16="補","補休",IF(D16="休","休假",IF(D16="喪","喪假",IF(AND(D16="/",OR($A16=日期輸入!$B$23,$A16=日期輸入!$C$23,$A16=日期輸入!$D$23,$A16=日期輸入!$E$23,$A16=日期輸入!$F$23)),"08-18水電科",IF(D16="大日","大隊值日(日)",IF(D16="大夜","大隊值日(夜)",IF(D16="值1","值1(早)",IF(D16="值1丙","值1(早) 丙案",IF(D16="值2","值2(中)",IF(D16="值2乙","值2(中) 乙案",IF(D16="夜值","夜值(晚)",IF(D16="甲夜","夜值(晚) 甲案",IF(D16="備","08-18",IF(OR(D16="支援秘書室",D16="支援出納室",D16="支援警務科",D16="支援事務股"),"支援總(大)隊",IF(D16="支援檢疫所","支援(其他)",IF(  D16="/","空班",  IF(  D16="丙",  "※ 丙案",  IF(  D16="丙常訓",  "※ 丙案 常訓",D16  )))))))))))))))))))))))))</f>
        <v>空班</v>
      </c>
      <c r="E56" s="271" t="str">
        <f>IF(E16="早","08-18",IF(E16="中","12-22",IF(E16="晚","22-08",IF(E16="X","輪休",IF(E16="公","公假",IF(OR(E16="病",E16="事"),"病(事)假",IF(OR(E16="婚",E16="產"),"婚(產)假",IF(E16="補","補休",IF(E16="休","休假",IF(E16="喪","喪假",IF(AND(E16="/",OR($A16=日期輸入!$B$23,$A16=日期輸入!$C$23,$A16=日期輸入!$D$23,$A16=日期輸入!$E$23,$A16=日期輸入!$F$23)),"08-18水電科",IF(E16="大日","大隊值日(日)",IF(E16="大夜","大隊值日(夜)",IF(E16="值1","值1(早)",IF(E16="值1丙","值1(早) 丙案",IF(E16="值2","值2(中)",IF(E16="值2乙","值2(中) 乙案",IF(E16="夜值","夜值(晚)",IF(E16="甲夜","夜值(晚) 甲案",IF(E16="備","08-18",IF(OR(E16="支援秘書室",E16="支援出納室",E16="支援警務科",E16="支援事務股"),"支援總(大)隊",IF(E16="支援檢疫所","支援(其他)",IF(  E16="/","空班",  IF(  E16="丙",  "※ 丙案",  IF(  E16="丙常訓",  "※ 丙案 常訓",E16  )))))))))))))))))))))))))</f>
        <v>空班</v>
      </c>
      <c r="F56" s="271" t="str">
        <f>IF(F16="早","08-18",IF(F16="中","12-22",IF(F16="晚","22-08",IF(F16="X","輪休",IF(F16="公","公假",IF(OR(F16="病",F16="事"),"病(事)假",IF(OR(F16="婚",F16="產"),"婚(產)假",IF(F16="補","補休",IF(F16="休","休假",IF(F16="喪","喪假",IF(AND(F16="/",OR($A16=日期輸入!$B$23,$A16=日期輸入!$C$23,$A16=日期輸入!$D$23,$A16=日期輸入!$E$23,$A16=日期輸入!$F$23)),"08-18水電科",IF(F16="大日","大隊值日(日)",IF(F16="大夜","大隊值日(夜)",IF(F16="值1","值1(早)",IF(F16="值1丙","值1(早) 丙案",IF(F16="值2","值2(中)",IF(F16="值2乙","值2(中) 乙案",IF(F16="夜值","夜值(晚)",IF(F16="甲夜","夜值(晚) 甲案",IF(F16="備","08-18",IF(OR(F16="支援秘書室",F16="支援出納室",F16="支援警務科",F16="支援事務股"),"支援總(大)隊",IF(F16="支援檢疫所","支援(其他)",IF(  F16="/","空班",  IF(  F16="丙",  "※ 丙案",  IF(  F16="丙常訓",  "※ 丙案 常訓",F16  )))))))))))))))))))))))))</f>
        <v>空班</v>
      </c>
      <c r="G56" s="271" t="str">
        <f>IF(G16="早","08-18",IF(G16="中","12-22",IF(G16="晚","22-08",IF(G16="X","輪休",IF(G16="公","公假",IF(OR(G16="病",G16="事"),"病(事)假",IF(OR(G16="婚",G16="產"),"婚(產)假",IF(G16="補","補休",IF(G16="休","休假",IF(G16="喪","喪假",IF(AND(G16="/",OR($A16=日期輸入!$B$23,$A16=日期輸入!$C$23,$A16=日期輸入!$D$23,$A16=日期輸入!$E$23,$A16=日期輸入!$F$23)),"08-18水電科",IF(G16="大日","大隊值日(日)",IF(G16="大夜","大隊值日(夜)",IF(G16="值1","值1(早)",IF(G16="值1丙","值1(早) 丙案",IF(G16="值2","值2(中)",IF(G16="值2乙","值2(中) 乙案",IF(G16="夜值","夜值(晚)",IF(G16="甲夜","夜值(晚) 甲案",IF(G16="備","08-18",IF(OR(G16="支援秘書室",G16="支援出納室",G16="支援警務科",G16="支援事務股"),"支援總(大)隊",IF(G16="支援檢疫所","支援(其他)",IF(  G16="/","空班",  IF(  G16="丙",  "※ 丙案",  IF(  G16="丙常訓",  "※ 丙案 常訓",G16  )))))))))))))))))))))))))</f>
        <v>空班</v>
      </c>
      <c r="H56" s="271" t="str">
        <f>IF(H16="早","08-18",IF(H16="中","12-22",IF(H16="晚","22-08",IF(H16="X","輪休",IF(H16="公","公假",IF(OR(H16="病",H16="事"),"病(事)假",IF(OR(H16="婚",H16="產"),"婚(產)假",IF(H16="補","補休",IF(H16="休","休假",IF(H16="喪","喪假",IF(AND(H16="/",OR($A16=日期輸入!$B$23,$A16=日期輸入!$C$23,$A16=日期輸入!$D$23,$A16=日期輸入!$E$23,$A16=日期輸入!$F$23)),"08-18水電科",IF(H16="大日","大隊值日(日)",IF(H16="大夜","大隊值日(夜)",IF(H16="值1","值1(早)",IF(H16="值1丙","值1(早) 丙案",IF(H16="值2","值2(中)",IF(H16="值2乙","值2(中) 乙案",IF(H16="夜值","夜值(晚)",IF(H16="甲夜","夜值(晚) 甲案",IF(H16="備","08-18",IF(OR(H16="支援秘書室",H16="支援出納室",H16="支援警務科",H16="支援事務股"),"支援總(大)隊",IF(H16="支援檢疫所","支援(其他)",IF(  H16="/","空班",  IF(  H16="丙",  "※ 丙案",  IF(  H16="丙常訓",  "※ 丙案 常訓",H16  )))))))))))))))))))))))))</f>
        <v>空班</v>
      </c>
      <c r="I56" s="271" t="str">
        <f>IF(I16="早","08-18",IF(I16="中","12-22",IF(I16="晚","22-08",IF(I16="X","輪休",IF(I16="公","公假",IF(OR(I16="病",I16="事"),"病(事)假",IF(OR(I16="婚",I16="產"),"婚(產)假",IF(I16="補","補休",IF(I16="休","休假",IF(I16="喪","喪假",IF(AND(I16="/",OR($A16=日期輸入!$B$23,$A16=日期輸入!$C$23,$A16=日期輸入!$D$23,$A16=日期輸入!$E$23,$A16=日期輸入!$F$23)),"08-18水電科",IF(I16="大日","大隊值日(日)",IF(I16="大夜","大隊值日(夜)",IF(I16="值1","值1(早)",IF(I16="值1丙","值1(早) 丙案",IF(I16="值2","值2(中)",IF(I16="值2乙","值2(中) 乙案",IF(I16="夜值","夜值(晚)",IF(I16="甲夜","夜值(晚) 甲案",IF(I16="備","08-18",IF(OR(I16="支援秘書室",I16="支援出納室",I16="支援警務科",I16="支援事務股"),"支援總(大)隊",IF(I16="支援檢疫所","支援(其他)",IF(  I16="/","空班",  IF(  I16="丙",  "※ 丙案",  IF(  I16="丙常訓",  "※ 丙案 常訓",I16  )))))))))))))))))))))))))</f>
        <v>空班</v>
      </c>
      <c r="J56" s="271" t="str">
        <f>IF(J16="早","08-18",IF(J16="中","12-22",IF(J16="晚","22-08",IF(J16="X","輪休",IF(J16="公","公假",IF(OR(J16="病",J16="事"),"病(事)假",IF(OR(J16="婚",J16="產"),"婚(產)假",IF(J16="補","補休",IF(J16="休","休假",IF(J16="喪","喪假",IF(AND(J16="/",OR($A16=日期輸入!$B$23,$A16=日期輸入!$C$23,$A16=日期輸入!$D$23,$A16=日期輸入!$E$23,$A16=日期輸入!$F$23)),"08-18水電科",IF(J16="大日","大隊值日(日)",IF(J16="大夜","大隊值日(夜)",IF(J16="值1","值1(早)",IF(J16="值1丙","值1(早) 丙案",IF(J16="值2","值2(中)",IF(J16="值2乙","值2(中) 乙案",IF(J16="夜值","夜值(晚)",IF(J16="甲夜","夜值(晚) 甲案",IF(J16="備","08-18",IF(OR(J16="支援秘書室",J16="支援出納室",J16="支援警務科",J16="支援事務股"),"支援總(大)隊",IF(J16="支援檢疫所","支援(其他)",IF(  J16="/","空班",  IF(  J16="丙",  "※ 丙案",  IF(  J16="丙常訓",  "※ 丙案 常訓",J16  )))))))))))))))))))))))))</f>
        <v>空班</v>
      </c>
      <c r="K56" s="271" t="str">
        <f>IF(K16="早","08-18",IF(K16="中","12-22",IF(K16="晚","22-08",IF(K16="X","輪休",IF(K16="公","公假",IF(OR(K16="病",K16="事"),"病(事)假",IF(OR(K16="婚",K16="產"),"婚(產)假",IF(K16="補","補休",IF(K16="休","休假",IF(K16="喪","喪假",IF(AND(K16="/",OR($A16=日期輸入!$B$23,$A16=日期輸入!$C$23,$A16=日期輸入!$D$23,$A16=日期輸入!$E$23,$A16=日期輸入!$F$23)),"08-18水電科",IF(K16="大日","大隊值日(日)",IF(K16="大夜","大隊值日(夜)",IF(K16="值1","值1(早)",IF(K16="值1丙","值1(早) 丙案",IF(K16="值2","值2(中)",IF(K16="值2乙","值2(中) 乙案",IF(K16="夜值","夜值(晚)",IF(K16="甲夜","夜值(晚) 甲案",IF(K16="備","08-18",IF(OR(K16="支援秘書室",K16="支援出納室",K16="支援警務科",K16="支援事務股"),"支援總(大)隊",IF(K16="支援檢疫所","支援(其他)",IF(  K16="/","空班",  IF(  K16="丙",  "※ 丙案",  IF(  K16="丙常訓",  "※ 丙案 常訓",K16  )))))))))))))))))))))))))</f>
        <v>空班</v>
      </c>
      <c r="L56" s="271" t="str">
        <f>IF(L16="早","08-18",IF(L16="中","12-22",IF(L16="晚","22-08",IF(L16="X","輪休",IF(L16="公","公假",IF(OR(L16="病",L16="事"),"病(事)假",IF(OR(L16="婚",L16="產"),"婚(產)假",IF(L16="補","補休",IF(L16="休","休假",IF(L16="喪","喪假",IF(AND(L16="/",OR($A16=日期輸入!$B$23,$A16=日期輸入!$C$23,$A16=日期輸入!$D$23,$A16=日期輸入!$E$23,$A16=日期輸入!$F$23)),"08-18水電科",IF(L16="大日","大隊值日(日)",IF(L16="大夜","大隊值日(夜)",IF(L16="值1","值1(早)",IF(L16="值1丙","值1(早) 丙案",IF(L16="值2","值2(中)",IF(L16="值2乙","值2(中) 乙案",IF(L16="夜值","夜值(晚)",IF(L16="甲夜","夜值(晚) 甲案",IF(L16="備","08-18",IF(OR(L16="支援秘書室",L16="支援出納室",L16="支援警務科",L16="支援事務股"),"支援總(大)隊",IF(L16="支援檢疫所","支援(其他)",IF(  L16="/","空班",  IF(  L16="丙",  "※ 丙案",  IF(  L16="丙常訓",  "※ 丙案 常訓",L16  )))))))))))))))))))))))))</f>
        <v>空班</v>
      </c>
      <c r="M56" s="271" t="str">
        <f>IF(M16="早","08-18",IF(M16="中","12-22",IF(M16="晚","22-08",IF(M16="X","輪休",IF(M16="公","公假",IF(OR(M16="病",M16="事"),"病(事)假",IF(OR(M16="婚",M16="產"),"婚(產)假",IF(M16="補","補休",IF(M16="休","休假",IF(M16="喪","喪假",IF(AND(M16="/",OR($A16=日期輸入!$B$23,$A16=日期輸入!$C$23,$A16=日期輸入!$D$23,$A16=日期輸入!$E$23,$A16=日期輸入!$F$23)),"08-18水電科",IF(M16="大日","大隊值日(日)",IF(M16="大夜","大隊值日(夜)",IF(M16="值1","值1(早)",IF(M16="值1丙","值1(早) 丙案",IF(M16="值2","值2(中)",IF(M16="值2乙","值2(中) 乙案",IF(M16="夜值","夜值(晚)",IF(M16="甲夜","夜值(晚) 甲案",IF(M16="備","08-18",IF(OR(M16="支援秘書室",M16="支援出納室",M16="支援警務科",M16="支援事務股"),"支援總(大)隊",IF(M16="支援檢疫所","支援(其他)",IF(  M16="/","空班",  IF(  M16="丙",  "※ 丙案",  IF(  M16="丙常訓",  "※ 丙案 常訓",M16  )))))))))))))))))))))))))</f>
        <v>空班</v>
      </c>
      <c r="N56" s="271" t="str">
        <f>IF(N16="早","08-18",IF(N16="中","12-22",IF(N16="晚","22-08",IF(N16="X","輪休",IF(N16="公","公假",IF(OR(N16="病",N16="事"),"病(事)假",IF(OR(N16="婚",N16="產"),"婚(產)假",IF(N16="補","補休",IF(N16="休","休假",IF(N16="喪","喪假",IF(AND(N16="/",OR($A16=日期輸入!$B$23,$A16=日期輸入!$C$23,$A16=日期輸入!$D$23,$A16=日期輸入!$E$23,$A16=日期輸入!$F$23)),"08-18水電科",IF(N16="大日","大隊值日(日)",IF(N16="大夜","大隊值日(夜)",IF(N16="值1","值1(早)",IF(N16="值1丙","值1(早) 丙案",IF(N16="值2","值2(中)",IF(N16="值2乙","值2(中) 乙案",IF(N16="夜值","夜值(晚)",IF(N16="甲夜","夜值(晚) 甲案",IF(N16="備","08-18",IF(OR(N16="支援秘書室",N16="支援出納室",N16="支援警務科",N16="支援事務股"),"支援總(大)隊",IF(N16="支援檢疫所","支援(其他)",IF(  N16="/","空班",  IF(  N16="丙",  "※ 丙案",  IF(  N16="丙常訓",  "※ 丙案 常訓",N16  )))))))))))))))))))))))))</f>
        <v>空班</v>
      </c>
      <c r="O56" s="271" t="str">
        <f>IF(O16="早","08-18",IF(O16="中","12-22",IF(O16="晚","22-08",IF(O16="X","輪休",IF(O16="公","公假",IF(OR(O16="病",O16="事"),"病(事)假",IF(OR(O16="婚",O16="產"),"婚(產)假",IF(O16="補","補休",IF(O16="休","休假",IF(O16="喪","喪假",IF(AND(O16="/",OR($A16=日期輸入!$B$23,$A16=日期輸入!$C$23,$A16=日期輸入!$D$23,$A16=日期輸入!$E$23,$A16=日期輸入!$F$23)),"08-18水電科",IF(O16="大日","大隊值日(日)",IF(O16="大夜","大隊值日(夜)",IF(O16="值1","值1(早)",IF(O16="值1丙","值1(早) 丙案",IF(O16="值2","值2(中)",IF(O16="值2乙","值2(中) 乙案",IF(O16="夜值","夜值(晚)",IF(O16="甲夜","夜值(晚) 甲案",IF(O16="備","08-18",IF(OR(O16="支援秘書室",O16="支援出納室",O16="支援警務科",O16="支援事務股"),"支援總(大)隊",IF(O16="支援檢疫所","支援(其他)",IF(  O16="/","空班",  IF(  O16="丙",  "※ 丙案",  IF(  O16="丙常訓",  "※ 丙案 常訓",O16  )))))))))))))))))))))))))</f>
        <v>空班</v>
      </c>
      <c r="P56" s="271" t="str">
        <f>IF(P16="早","08-18",IF(P16="中","12-22",IF(P16="晚","22-08",IF(P16="X","輪休",IF(P16="公","公假",IF(OR(P16="病",P16="事"),"病(事)假",IF(OR(P16="婚",P16="產"),"婚(產)假",IF(P16="補","補休",IF(P16="休","休假",IF(P16="喪","喪假",IF(AND(P16="/",OR($A16=日期輸入!$B$23,$A16=日期輸入!$C$23,$A16=日期輸入!$D$23,$A16=日期輸入!$E$23,$A16=日期輸入!$F$23)),"08-18水電科",IF(P16="大日","大隊值日(日)",IF(P16="大夜","大隊值日(夜)",IF(P16="值1","值1(早)",IF(P16="值1丙","值1(早) 丙案",IF(P16="值2","值2(中)",IF(P16="值2乙","值2(中) 乙案",IF(P16="夜值","夜值(晚)",IF(P16="甲夜","夜值(晚) 甲案",IF(P16="備","08-18",IF(OR(P16="支援秘書室",P16="支援出納室",P16="支援警務科",P16="支援事務股"),"支援總(大)隊",IF(P16="支援檢疫所","支援(其他)",IF(  P16="/","空班",  IF(  P16="丙",  "※ 丙案",  IF(  P16="丙常訓",  "※ 丙案 常訓",P16  )))))))))))))))))))))))))</f>
        <v>空班</v>
      </c>
      <c r="Q56" s="271" t="str">
        <f>IF(Q16="早","08-18",IF(Q16="中","12-22",IF(Q16="晚","22-08",IF(Q16="X","輪休",IF(Q16="公","公假",IF(OR(Q16="病",Q16="事"),"病(事)假",IF(OR(Q16="婚",Q16="產"),"婚(產)假",IF(Q16="補","補休",IF(Q16="休","休假",IF(Q16="喪","喪假",IF(AND(Q16="/",OR($A16=日期輸入!$B$23,$A16=日期輸入!$C$23,$A16=日期輸入!$D$23,$A16=日期輸入!$E$23,$A16=日期輸入!$F$23)),"08-18水電科",IF(Q16="大日","大隊值日(日)",IF(Q16="大夜","大隊值日(夜)",IF(Q16="值1","值1(早)",IF(Q16="值1丙","值1(早) 丙案",IF(Q16="值2","值2(中)",IF(Q16="值2乙","值2(中) 乙案",IF(Q16="夜值","夜值(晚)",IF(Q16="甲夜","夜值(晚) 甲案",IF(Q16="備","08-18",IF(OR(Q16="支援秘書室",Q16="支援出納室",Q16="支援警務科",Q16="支援事務股"),"支援總(大)隊",IF(Q16="支援檢疫所","支援(其他)",IF(  Q16="/","空班",  IF(  Q16="丙",  "※ 丙案",  IF(  Q16="丙常訓",  "※ 丙案 常訓",Q16  )))))))))))))))))))))))))</f>
        <v>空班</v>
      </c>
      <c r="R56" s="271" t="str">
        <f>IF(R16="早","08-18",IF(R16="中","12-22",IF(R16="晚","22-08",IF(R16="X","輪休",IF(R16="公","公假",IF(OR(R16="病",R16="事"),"病(事)假",IF(OR(R16="婚",R16="產"),"婚(產)假",IF(R16="補","補休",IF(R16="休","休假",IF(R16="喪","喪假",IF(AND(R16="/",OR($A16=日期輸入!$B$23,$A16=日期輸入!$C$23,$A16=日期輸入!$D$23,$A16=日期輸入!$E$23,$A16=日期輸入!$F$23)),"08-18水電科",IF(R16="大日","大隊值日(日)",IF(R16="大夜","大隊值日(夜)",IF(R16="值1","值1(早)",IF(R16="值1丙","值1(早) 丙案",IF(R16="值2","值2(中)",IF(R16="值2乙","值2(中) 乙案",IF(R16="夜值","夜值(晚)",IF(R16="甲夜","夜值(晚) 甲案",IF(R16="備","08-18",IF(OR(R16="支援秘書室",R16="支援出納室",R16="支援警務科",R16="支援事務股"),"支援總(大)隊",IF(R16="支援檢疫所","支援(其他)",IF(  R16="/","空班",  IF(  R16="丙",  "※ 丙案",  IF(  R16="丙常訓",  "※ 丙案 常訓",R16  )))))))))))))))))))))))))</f>
        <v>空班</v>
      </c>
      <c r="S56" s="271" t="str">
        <f>IF(S16="早","08-18",IF(S16="中","12-22",IF(S16="晚","22-08",IF(S16="X","輪休",IF(S16="公","公假",IF(OR(S16="病",S16="事"),"病(事)假",IF(OR(S16="婚",S16="產"),"婚(產)假",IF(S16="補","補休",IF(S16="休","休假",IF(S16="喪","喪假",IF(AND(S16="/",OR($A16=日期輸入!$B$23,$A16=日期輸入!$C$23,$A16=日期輸入!$D$23,$A16=日期輸入!$E$23,$A16=日期輸入!$F$23)),"08-18水電科",IF(S16="大日","大隊值日(日)",IF(S16="大夜","大隊值日(夜)",IF(S16="值1","值1(早)",IF(S16="值1丙","值1(早) 丙案",IF(S16="值2","值2(中)",IF(S16="值2乙","值2(中) 乙案",IF(S16="夜值","夜值(晚)",IF(S16="甲夜","夜值(晚) 甲案",IF(S16="備","08-18",IF(OR(S16="支援秘書室",S16="支援出納室",S16="支援警務科",S16="支援事務股"),"支援總(大)隊",IF(S16="支援檢疫所","支援(其他)",IF(  S16="/","空班",  IF(  S16="丙",  "※ 丙案",  IF(  S16="丙常訓",  "※ 丙案 常訓",S16  )))))))))))))))))))))))))</f>
        <v>空班</v>
      </c>
      <c r="T56" s="271" t="str">
        <f>IF(T16="早","08-18",IF(T16="中","12-22",IF(T16="晚","22-08",IF(T16="X","輪休",IF(T16="公","公假",IF(OR(T16="病",T16="事"),"病(事)假",IF(OR(T16="婚",T16="產"),"婚(產)假",IF(T16="補","補休",IF(T16="休","休假",IF(T16="喪","喪假",IF(AND(T16="/",OR($A16=日期輸入!$B$23,$A16=日期輸入!$C$23,$A16=日期輸入!$D$23,$A16=日期輸入!$E$23,$A16=日期輸入!$F$23)),"08-18水電科",IF(T16="大日","大隊值日(日)",IF(T16="大夜","大隊值日(夜)",IF(T16="值1","值1(早)",IF(T16="值1丙","值1(早) 丙案",IF(T16="值2","值2(中)",IF(T16="值2乙","值2(中) 乙案",IF(T16="夜值","夜值(晚)",IF(T16="甲夜","夜值(晚) 甲案",IF(T16="備","08-18",IF(OR(T16="支援秘書室",T16="支援出納室",T16="支援警務科",T16="支援事務股"),"支援總(大)隊",IF(T16="支援檢疫所","支援(其他)",IF(  T16="/","空班",  IF(  T16="丙",  "※ 丙案",  IF(  T16="丙常訓",  "※ 丙案 常訓",T16  )))))))))))))))))))))))))</f>
        <v>空班</v>
      </c>
      <c r="U56" s="271" t="str">
        <f>IF(U16="早","08-18",IF(U16="中","12-22",IF(U16="晚","22-08",IF(U16="X","輪休",IF(U16="公","公假",IF(OR(U16="病",U16="事"),"病(事)假",IF(OR(U16="婚",U16="產"),"婚(產)假",IF(U16="補","補休",IF(U16="休","休假",IF(U16="喪","喪假",IF(AND(U16="/",OR($A16=日期輸入!$B$23,$A16=日期輸入!$C$23,$A16=日期輸入!$D$23,$A16=日期輸入!$E$23,$A16=日期輸入!$F$23)),"08-18水電科",IF(U16="大日","大隊值日(日)",IF(U16="大夜","大隊值日(夜)",IF(U16="值1","值1(早)",IF(U16="值1丙","值1(早) 丙案",IF(U16="值2","值2(中)",IF(U16="值2乙","值2(中) 乙案",IF(U16="夜值","夜值(晚)",IF(U16="甲夜","夜值(晚) 甲案",IF(U16="備","08-18",IF(OR(U16="支援秘書室",U16="支援出納室",U16="支援警務科",U16="支援事務股"),"支援總(大)隊",IF(U16="支援檢疫所","支援(其他)",IF(  U16="/","空班",  IF(  U16="丙",  "※ 丙案",  IF(  U16="丙常訓",  "※ 丙案 常訓",U16  )))))))))))))))))))))))))</f>
        <v>空班</v>
      </c>
      <c r="V56" s="271" t="str">
        <f>IF(V16="早","08-18",IF(V16="中","12-22",IF(V16="晚","22-08",IF(V16="X","輪休",IF(V16="公","公假",IF(OR(V16="病",V16="事"),"病(事)假",IF(OR(V16="婚",V16="產"),"婚(產)假",IF(V16="補","補休",IF(V16="休","休假",IF(V16="喪","喪假",IF(AND(V16="/",OR($A16=日期輸入!$B$23,$A16=日期輸入!$C$23,$A16=日期輸入!$D$23,$A16=日期輸入!$E$23,$A16=日期輸入!$F$23)),"08-18水電科",IF(V16="大日","大隊值日(日)",IF(V16="大夜","大隊值日(夜)",IF(V16="值1","值1(早)",IF(V16="值1丙","值1(早) 丙案",IF(V16="值2","值2(中)",IF(V16="值2乙","值2(中) 乙案",IF(V16="夜值","夜值(晚)",IF(V16="甲夜","夜值(晚) 甲案",IF(V16="備","08-18",IF(OR(V16="支援秘書室",V16="支援出納室",V16="支援警務科",V16="支援事務股"),"支援總(大)隊",IF(V16="支援檢疫所","支援(其他)",IF(  V16="/","空班",  IF(  V16="丙",  "※ 丙案",  IF(  V16="丙常訓",  "※ 丙案 常訓",V16  )))))))))))))))))))))))))</f>
        <v>空班</v>
      </c>
      <c r="W56" s="271" t="str">
        <f>IF(W16="早","08-18",IF(W16="中","12-22",IF(W16="晚","22-08",IF(W16="X","輪休",IF(W16="公","公假",IF(OR(W16="病",W16="事"),"病(事)假",IF(OR(W16="婚",W16="產"),"婚(產)假",IF(W16="補","補休",IF(W16="休","休假",IF(W16="喪","喪假",IF(AND(W16="/",OR($A16=日期輸入!$B$23,$A16=日期輸入!$C$23,$A16=日期輸入!$D$23,$A16=日期輸入!$E$23,$A16=日期輸入!$F$23)),"08-18水電科",IF(W16="大日","大隊值日(日)",IF(W16="大夜","大隊值日(夜)",IF(W16="值1","值1(早)",IF(W16="值1丙","值1(早) 丙案",IF(W16="值2","值2(中)",IF(W16="值2乙","值2(中) 乙案",IF(W16="夜值","夜值(晚)",IF(W16="甲夜","夜值(晚) 甲案",IF(W16="備","08-18",IF(OR(W16="支援秘書室",W16="支援出納室",W16="支援警務科",W16="支援事務股"),"支援總(大)隊",IF(W16="支援檢疫所","支援(其他)",IF(  W16="/","空班",  IF(  W16="丙",  "※ 丙案",  IF(  W16="丙常訓",  "※ 丙案 常訓",W16  )))))))))))))))))))))))))</f>
        <v>空班</v>
      </c>
      <c r="X56" s="271" t="str">
        <f>IF(X16="早","08-18",IF(X16="中","12-22",IF(X16="晚","22-08",IF(X16="X","輪休",IF(X16="公","公假",IF(OR(X16="病",X16="事"),"病(事)假",IF(OR(X16="婚",X16="產"),"婚(產)假",IF(X16="補","補休",IF(X16="休","休假",IF(X16="喪","喪假",IF(AND(X16="/",OR($A16=日期輸入!$B$23,$A16=日期輸入!$C$23,$A16=日期輸入!$D$23,$A16=日期輸入!$E$23,$A16=日期輸入!$F$23)),"08-18水電科",IF(X16="大日","大隊值日(日)",IF(X16="大夜","大隊值日(夜)",IF(X16="值1","值1(早)",IF(X16="值1丙","值1(早) 丙案",IF(X16="值2","值2(中)",IF(X16="值2乙","值2(中) 乙案",IF(X16="夜值","夜值(晚)",IF(X16="甲夜","夜值(晚) 甲案",IF(X16="備","08-18",IF(OR(X16="支援秘書室",X16="支援出納室",X16="支援警務科",X16="支援事務股"),"支援總(大)隊",IF(X16="支援檢疫所","支援(其他)",IF(  X16="/","空班",  IF(  X16="丙",  "※ 丙案",  IF(  X16="丙常訓",  "※ 丙案 常訓",X16  )))))))))))))))))))))))))</f>
        <v>空班</v>
      </c>
      <c r="Y56" s="271" t="str">
        <f>IF(Y16="早","08-18",IF(Y16="中","12-22",IF(Y16="晚","22-08",IF(Y16="X","輪休",IF(Y16="公","公假",IF(OR(Y16="病",Y16="事"),"病(事)假",IF(OR(Y16="婚",Y16="產"),"婚(產)假",IF(Y16="補","補休",IF(Y16="休","休假",IF(Y16="喪","喪假",IF(AND(Y16="/",OR($A16=日期輸入!$B$23,$A16=日期輸入!$C$23,$A16=日期輸入!$D$23,$A16=日期輸入!$E$23,$A16=日期輸入!$F$23)),"08-18水電科",IF(Y16="大日","大隊值日(日)",IF(Y16="大夜","大隊值日(夜)",IF(Y16="值1","值1(早)",IF(Y16="值1丙","值1(早) 丙案",IF(Y16="值2","值2(中)",IF(Y16="值2乙","值2(中) 乙案",IF(Y16="夜值","夜值(晚)",IF(Y16="甲夜","夜值(晚) 甲案",IF(Y16="備","08-18",IF(OR(Y16="支援秘書室",Y16="支援出納室",Y16="支援警務科",Y16="支援事務股"),"支援總(大)隊",IF(Y16="支援檢疫所","支援(其他)",IF(  Y16="/","空班",  IF(  Y16="丙",  "※ 丙案",  IF(  Y16="丙常訓",  "※ 丙案 常訓",Y16  )))))))))))))))))))))))))</f>
        <v>空班</v>
      </c>
      <c r="Z56" s="271" t="str">
        <f>IF(Z16="早","08-18",IF(Z16="中","12-22",IF(Z16="晚","22-08",IF(Z16="X","輪休",IF(Z16="公","公假",IF(OR(Z16="病",Z16="事"),"病(事)假",IF(OR(Z16="婚",Z16="產"),"婚(產)假",IF(Z16="補","補休",IF(Z16="休","休假",IF(Z16="喪","喪假",IF(AND(Z16="/",OR($A16=日期輸入!$B$23,$A16=日期輸入!$C$23,$A16=日期輸入!$D$23,$A16=日期輸入!$E$23,$A16=日期輸入!$F$23)),"08-18水電科",IF(Z16="大日","大隊值日(日)",IF(Z16="大夜","大隊值日(夜)",IF(Z16="值1","值1(早)",IF(Z16="值1丙","值1(早) 丙案",IF(Z16="值2","值2(中)",IF(Z16="值2乙","值2(中) 乙案",IF(Z16="夜值","夜值(晚)",IF(Z16="甲夜","夜值(晚) 甲案",IF(Z16="備","08-18",IF(OR(Z16="支援秘書室",Z16="支援出納室",Z16="支援警務科",Z16="支援事務股"),"支援總(大)隊",IF(Z16="支援檢疫所","支援(其他)",IF(  Z16="/","空班",  IF(  Z16="丙",  "※ 丙案",  IF(  Z16="丙常訓",  "※ 丙案 常訓",Z16  )))))))))))))))))))))))))</f>
        <v>空班</v>
      </c>
      <c r="AA56" s="271" t="str">
        <f>IF(AA16="早","08-18",IF(AA16="中","12-22",IF(AA16="晚","22-08",IF(AA16="X","輪休",IF(AA16="公","公假",IF(OR(AA16="病",AA16="事"),"病(事)假",IF(OR(AA16="婚",AA16="產"),"婚(產)假",IF(AA16="補","補休",IF(AA16="休","休假",IF(AA16="喪","喪假",IF(AND(AA16="/",OR($A16=日期輸入!$B$23,$A16=日期輸入!$C$23,$A16=日期輸入!$D$23,$A16=日期輸入!$E$23,$A16=日期輸入!$F$23)),"08-18水電科",IF(AA16="大日","大隊值日(日)",IF(AA16="大夜","大隊值日(夜)",IF(AA16="值1","值1(早)",IF(AA16="值1丙","值1(早) 丙案",IF(AA16="值2","值2(中)",IF(AA16="值2乙","值2(中) 乙案",IF(AA16="夜值","夜值(晚)",IF(AA16="甲夜","夜值(晚) 甲案",IF(AA16="備","08-18",IF(OR(AA16="支援秘書室",AA16="支援出納室",AA16="支援警務科",AA16="支援事務股"),"支援總(大)隊",IF(AA16="支援檢疫所","支援(其他)",IF(  AA16="/","空班",  IF(  AA16="丙",  "※ 丙案",  IF(  AA16="丙常訓",  "※ 丙案 常訓",AA16  )))))))))))))))))))))))))</f>
        <v>空班</v>
      </c>
      <c r="AB56" s="271" t="str">
        <f>IF(AB16="早","08-18",IF(AB16="中","12-22",IF(AB16="晚","22-08",IF(AB16="X","輪休",IF(AB16="公","公假",IF(OR(AB16="病",AB16="事"),"病(事)假",IF(OR(AB16="婚",AB16="產"),"婚(產)假",IF(AB16="補","補休",IF(AB16="休","休假",IF(AB16="喪","喪假",IF(AND(AB16="/",OR($A16=日期輸入!$B$23,$A16=日期輸入!$C$23,$A16=日期輸入!$D$23,$A16=日期輸入!$E$23,$A16=日期輸入!$F$23)),"08-18水電科",IF(AB16="大日","大隊值日(日)",IF(AB16="大夜","大隊值日(夜)",IF(AB16="值1","值1(早)",IF(AB16="值1丙","值1(早) 丙案",IF(AB16="值2","值2(中)",IF(AB16="值2乙","值2(中) 乙案",IF(AB16="夜值","夜值(晚)",IF(AB16="甲夜","夜值(晚) 甲案",IF(AB16="備","08-18",IF(OR(AB16="支援秘書室",AB16="支援出納室",AB16="支援警務科",AB16="支援事務股"),"支援總(大)隊",IF(AB16="支援檢疫所","支援(其他)",IF(  AB16="/","空班",  IF(  AB16="丙",  "※ 丙案",  IF(  AB16="丙常訓",  "※ 丙案 常訓",AB16  )))))))))))))))))))))))))</f>
        <v>空班</v>
      </c>
      <c r="AC56" s="271" t="str">
        <f>IF(AC16="早","08-18",IF(AC16="中","12-22",IF(AC16="晚","22-08",IF(AC16="X","輪休",IF(AC16="公","公假",IF(OR(AC16="病",AC16="事"),"病(事)假",IF(OR(AC16="婚",AC16="產"),"婚(產)假",IF(AC16="補","補休",IF(AC16="休","休假",IF(AC16="喪","喪假",IF(AND(AC16="/",OR($A16=日期輸入!$B$23,$A16=日期輸入!$C$23,$A16=日期輸入!$D$23,$A16=日期輸入!$E$23,$A16=日期輸入!$F$23)),"08-18水電科",IF(AC16="大日","大隊值日(日)",IF(AC16="大夜","大隊值日(夜)",IF(AC16="值1","值1(早)",IF(AC16="值1丙","值1(早) 丙案",IF(AC16="值2","值2(中)",IF(AC16="值2乙","值2(中) 乙案",IF(AC16="夜值","夜值(晚)",IF(AC16="甲夜","夜值(晚) 甲案",IF(AC16="備","08-18",IF(OR(AC16="支援秘書室",AC16="支援出納室",AC16="支援警務科",AC16="支援事務股"),"支援總(大)隊",IF(AC16="支援檢疫所","支援(其他)",IF(  AC16="/","空班",  IF(  AC16="丙",  "※ 丙案",  IF(  AC16="丙常訓",  "※ 丙案 常訓",AC16  )))))))))))))))))))))))))</f>
        <v>空班</v>
      </c>
      <c r="AD56" s="271" t="str">
        <f>IF(AD16="早","08-18",IF(AD16="中","12-22",IF(AD16="晚","22-08",IF(AD16="X","輪休",IF(AD16="公","公假",IF(OR(AD16="病",AD16="事"),"病(事)假",IF(OR(AD16="婚",AD16="產"),"婚(產)假",IF(AD16="補","補休",IF(AD16="休","休假",IF(AD16="喪","喪假",IF(AND(AD16="/",OR($A16=日期輸入!$B$23,$A16=日期輸入!$C$23,$A16=日期輸入!$D$23,$A16=日期輸入!$E$23,$A16=日期輸入!$F$23)),"08-18水電科",IF(AD16="大日","大隊值日(日)",IF(AD16="大夜","大隊值日(夜)",IF(AD16="值1","值1(早)",IF(AD16="值1丙","值1(早) 丙案",IF(AD16="值2","值2(中)",IF(AD16="值2乙","值2(中) 乙案",IF(AD16="夜值","夜值(晚)",IF(AD16="甲夜","夜值(晚) 甲案",IF(AD16="備","08-18",IF(OR(AD16="支援秘書室",AD16="支援出納室",AD16="支援警務科",AD16="支援事務股"),"支援總(大)隊",IF(AD16="支援檢疫所","支援(其他)",IF(  AD16="/","空班",  IF(  AD16="丙",  "※ 丙案",  IF(  AD16="丙常訓",  "※ 丙案 常訓",AD16  )))))))))))))))))))))))))</f>
        <v>空班</v>
      </c>
      <c r="AE56" s="271" t="str">
        <f>IF(AE16="早","08-18",IF(AE16="中","12-22",IF(AE16="晚","22-08",IF(AE16="X","輪休",IF(AE16="公","公假",IF(OR(AE16="病",AE16="事"),"病(事)假",IF(OR(AE16="婚",AE16="產"),"婚(產)假",IF(AE16="補","補休",IF(AE16="休","休假",IF(AE16="喪","喪假",IF(AND(AE16="/",OR($A16=日期輸入!$B$23,$A16=日期輸入!$C$23,$A16=日期輸入!$D$23,$A16=日期輸入!$E$23,$A16=日期輸入!$F$23)),"08-18水電科",IF(AE16="大日","大隊值日(日)",IF(AE16="大夜","大隊值日(夜)",IF(AE16="值1","值1(早)",IF(AE16="值1丙","值1(早) 丙案",IF(AE16="值2","值2(中)",IF(AE16="值2乙","值2(中) 乙案",IF(AE16="夜值","夜值(晚)",IF(AE16="甲夜","夜值(晚) 甲案",IF(AE16="備","08-18",IF(OR(AE16="支援秘書室",AE16="支援出納室",AE16="支援警務科",AE16="支援事務股"),"支援總(大)隊",IF(AE16="支援檢疫所","支援(其他)",IF(  AE16="/","空班",  IF(  AE16="丙",  "※ 丙案",  IF(  AE16="丙常訓",  "※ 丙案 常訓",AE16  )))))))))))))))))))))))))</f>
        <v>空班</v>
      </c>
      <c r="AF56" s="271" t="str">
        <f>IF(AF16="早","08-18",IF(AF16="中","12-22",IF(AF16="晚","22-08",IF(AF16="X","輪休",IF(AF16="公","公假",IF(OR(AF16="病",AF16="事"),"病(事)假",IF(OR(AF16="婚",AF16="產"),"婚(產)假",IF(AF16="補","補休",IF(AF16="休","休假",IF(AF16="喪","喪假",IF(AND(AF16="/",OR($A16=日期輸入!$B$23,$A16=日期輸入!$C$23,$A16=日期輸入!$D$23,$A16=日期輸入!$E$23,$A16=日期輸入!$F$23)),"08-18水電科",IF(AF16="大日","大隊值日(日)",IF(AF16="大夜","大隊值日(夜)",IF(AF16="值1","值1(早)",IF(AF16="值1丙","值1(早) 丙案",IF(AF16="值2","值2(中)",IF(AF16="值2乙","值2(中) 乙案",IF(AF16="夜值","夜值(晚)",IF(AF16="甲夜","夜值(晚) 甲案",IF(AF16="備","08-18",IF(OR(AF16="支援秘書室",AF16="支援出納室",AF16="支援警務科",AF16="支援事務股"),"支援總(大)隊",IF(AF16="支援檢疫所","支援(其他)",IF(  AF16="/","空班",  IF(  AF16="丙",  "※ 丙案",  IF(  AF16="丙常訓",  "※ 丙案 常訓",AF16  )))))))))))))))))))))))))</f>
        <v>空班</v>
      </c>
      <c r="AG56" s="271" t="str">
        <f>IF(AG16="早","08-18",IF(AG16="中","12-22",IF(AG16="晚","22-08",IF(AG16="X","輪休",IF(AG16="公","公假",IF(OR(AG16="病",AG16="事"),"病(事)假",IF(OR(AG16="婚",AG16="產"),"婚(產)假",IF(AG16="補","補休",IF(AG16="休","休假",IF(AG16="喪","喪假",IF(AND(AG16="/",OR($A16=日期輸入!$B$23,$A16=日期輸入!$C$23,$A16=日期輸入!$D$23,$A16=日期輸入!$E$23,$A16=日期輸入!$F$23)),"08-18水電科",IF(AG16="大日","大隊值日(日)",IF(AG16="大夜","大隊值日(夜)",IF(AG16="值1","值1(早)",IF(AG16="值1丙","值1(早) 丙案",IF(AG16="值2","值2(中)",IF(AG16="值2乙","值2(中) 乙案",IF(AG16="夜值","夜值(晚)",IF(AG16="甲夜","夜值(晚) 甲案",IF(AG16="備","08-18",IF(OR(AG16="支援秘書室",AG16="支援出納室",AG16="支援警務科",AG16="支援事務股"),"支援總(大)隊",IF(AG16="支援檢疫所","支援(其他)",IF(  AG16="/","空班",  IF(  AG16="丙",  "※ 丙案",  IF(  AG16="丙常訓",  "※ 丙案 常訓",AG16  )))))))))))))))))))))))))</f>
        <v>空班</v>
      </c>
    </row>
    <row r="57" spans="1:33">
      <c r="A57" s="271">
        <f t="shared" ref="A57:B57" si="16">A17</f>
        <v>53</v>
      </c>
      <c r="B57" s="271" t="str">
        <f t="shared" si="16"/>
        <v>鄒本強</v>
      </c>
      <c r="C57" s="271" t="str">
        <f>IF(C17="早","08-18",IF(C17="中","12-22",IF(C17="晚","22-08",IF(C17="X","輪休",IF(C17="公","公假",IF(OR(C17="病",C17="事"),"病(事)假",IF(OR(C17="婚",C17="產"),"婚(產)假",IF(C17="補","補休",IF(C17="休","休假",IF(C17="喪","喪假",IF(AND(C17="/",OR($A17=日期輸入!$B$23,$A17=日期輸入!$C$23,$A17=日期輸入!$D$23,$A17=日期輸入!$E$23,$A17=日期輸入!$F$23)),"08-18水電科",IF(C17="大日","大隊值日(日)",IF(C17="大夜","大隊值日(夜)",IF(C17="值1","值1(早)",IF(C17="值1丙","值1(早) 丙案",IF(C17="值2","值2(中)",IF(C17="值2乙","值2(中) 乙案",IF(C17="夜值","夜值(晚)",IF(C17="甲夜","夜值(晚) 甲案",IF(C17="備","08-18",IF(OR(C17="支援秘書室",C17="支援出納室",C17="支援警務科",C17="支援事務股"),"支援總(大)隊",IF(C17="支援檢疫所","支援(其他)",IF(  C17="/","空班",  IF(  C17="丙",  "※ 丙案",  IF(  C17="丙常訓",  "※ 丙案 常訓",C17  )))))))))))))))))))))))))</f>
        <v>支援總(大)隊</v>
      </c>
      <c r="D57" s="271" t="str">
        <f>IF(D17="早","08-18",IF(D17="中","12-22",IF(D17="晚","22-08",IF(D17="X","輪休",IF(D17="公","公假",IF(OR(D17="病",D17="事"),"病(事)假",IF(OR(D17="婚",D17="產"),"婚(產)假",IF(D17="補","補休",IF(D17="休","休假",IF(D17="喪","喪假",IF(AND(D17="/",OR($A17=日期輸入!$B$23,$A17=日期輸入!$C$23,$A17=日期輸入!$D$23,$A17=日期輸入!$E$23,$A17=日期輸入!$F$23)),"08-18水電科",IF(D17="大日","大隊值日(日)",IF(D17="大夜","大隊值日(夜)",IF(D17="值1","值1(早)",IF(D17="值1丙","值1(早) 丙案",IF(D17="值2","值2(中)",IF(D17="值2乙","值2(中) 乙案",IF(D17="夜值","夜值(晚)",IF(D17="甲夜","夜值(晚) 甲案",IF(D17="備","08-18",IF(OR(D17="支援秘書室",D17="支援出納室",D17="支援警務科",D17="支援事務股"),"支援總(大)隊",IF(D17="支援檢疫所","支援(其他)",IF(  D17="/","空班",  IF(  D17="丙",  "※ 丙案",  IF(  D17="丙常訓",  "※ 丙案 常訓",D17  )))))))))))))))))))))))))</f>
        <v>支援總(大)隊</v>
      </c>
      <c r="E57" s="271" t="str">
        <f>IF(E17="早","08-18",IF(E17="中","12-22",IF(E17="晚","22-08",IF(E17="X","輪休",IF(E17="公","公假",IF(OR(E17="病",E17="事"),"病(事)假",IF(OR(E17="婚",E17="產"),"婚(產)假",IF(E17="補","補休",IF(E17="休","休假",IF(E17="喪","喪假",IF(AND(E17="/",OR($A17=日期輸入!$B$23,$A17=日期輸入!$C$23,$A17=日期輸入!$D$23,$A17=日期輸入!$E$23,$A17=日期輸入!$F$23)),"08-18水電科",IF(E17="大日","大隊值日(日)",IF(E17="大夜","大隊值日(夜)",IF(E17="值1","值1(早)",IF(E17="值1丙","值1(早) 丙案",IF(E17="值2","值2(中)",IF(E17="值2乙","值2(中) 乙案",IF(E17="夜值","夜值(晚)",IF(E17="甲夜","夜值(晚) 甲案",IF(E17="備","08-18",IF(OR(E17="支援秘書室",E17="支援出納室",E17="支援警務科",E17="支援事務股"),"支援總(大)隊",IF(E17="支援檢疫所","支援(其他)",IF(  E17="/","空班",  IF(  E17="丙",  "※ 丙案",  IF(  E17="丙常訓",  "※ 丙案 常訓",E17  )))))))))))))))))))))))))</f>
        <v>支援總(大)隊</v>
      </c>
      <c r="F57" s="271" t="str">
        <f>IF(F17="早","08-18",IF(F17="中","12-22",IF(F17="晚","22-08",IF(F17="X","輪休",IF(F17="公","公假",IF(OR(F17="病",F17="事"),"病(事)假",IF(OR(F17="婚",F17="產"),"婚(產)假",IF(F17="補","補休",IF(F17="休","休假",IF(F17="喪","喪假",IF(AND(F17="/",OR($A17=日期輸入!$B$23,$A17=日期輸入!$C$23,$A17=日期輸入!$D$23,$A17=日期輸入!$E$23,$A17=日期輸入!$F$23)),"08-18水電科",IF(F17="大日","大隊值日(日)",IF(F17="大夜","大隊值日(夜)",IF(F17="值1","值1(早)",IF(F17="值1丙","值1(早) 丙案",IF(F17="值2","值2(中)",IF(F17="值2乙","值2(中) 乙案",IF(F17="夜值","夜值(晚)",IF(F17="甲夜","夜值(晚) 甲案",IF(F17="備","08-18",IF(OR(F17="支援秘書室",F17="支援出納室",F17="支援警務科",F17="支援事務股"),"支援總(大)隊",IF(F17="支援檢疫所","支援(其他)",IF(  F17="/","空班",  IF(  F17="丙",  "※ 丙案",  IF(  F17="丙常訓",  "※ 丙案 常訓",F17  )))))))))))))))))))))))))</f>
        <v>支援總(大)隊</v>
      </c>
      <c r="G57" s="271" t="str">
        <f>IF(G17="早","08-18",IF(G17="中","12-22",IF(G17="晚","22-08",IF(G17="X","輪休",IF(G17="公","公假",IF(OR(G17="病",G17="事"),"病(事)假",IF(OR(G17="婚",G17="產"),"婚(產)假",IF(G17="補","補休",IF(G17="休","休假",IF(G17="喪","喪假",IF(AND(G17="/",OR($A17=日期輸入!$B$23,$A17=日期輸入!$C$23,$A17=日期輸入!$D$23,$A17=日期輸入!$E$23,$A17=日期輸入!$F$23)),"08-18水電科",IF(G17="大日","大隊值日(日)",IF(G17="大夜","大隊值日(夜)",IF(G17="值1","值1(早)",IF(G17="值1丙","值1(早) 丙案",IF(G17="值2","值2(中)",IF(G17="值2乙","值2(中) 乙案",IF(G17="夜值","夜值(晚)",IF(G17="甲夜","夜值(晚) 甲案",IF(G17="備","08-18",IF(OR(G17="支援秘書室",G17="支援出納室",G17="支援警務科",G17="支援事務股"),"支援總(大)隊",IF(G17="支援檢疫所","支援(其他)",IF(  G17="/","空班",  IF(  G17="丙",  "※ 丙案",  IF(  G17="丙常訓",  "※ 丙案 常訓",G17  )))))))))))))))))))))))))</f>
        <v>支援總(大)隊</v>
      </c>
      <c r="H57" s="271" t="str">
        <f>IF(H17="早","08-18",IF(H17="中","12-22",IF(H17="晚","22-08",IF(H17="X","輪休",IF(H17="公","公假",IF(OR(H17="病",H17="事"),"病(事)假",IF(OR(H17="婚",H17="產"),"婚(產)假",IF(H17="補","補休",IF(H17="休","休假",IF(H17="喪","喪假",IF(AND(H17="/",OR($A17=日期輸入!$B$23,$A17=日期輸入!$C$23,$A17=日期輸入!$D$23,$A17=日期輸入!$E$23,$A17=日期輸入!$F$23)),"08-18水電科",IF(H17="大日","大隊值日(日)",IF(H17="大夜","大隊值日(夜)",IF(H17="值1","值1(早)",IF(H17="值1丙","值1(早) 丙案",IF(H17="值2","值2(中)",IF(H17="值2乙","值2(中) 乙案",IF(H17="夜值","夜值(晚)",IF(H17="甲夜","夜值(晚) 甲案",IF(H17="備","08-18",IF(OR(H17="支援秘書室",H17="支援出納室",H17="支援警務科",H17="支援事務股"),"支援總(大)隊",IF(H17="支援檢疫所","支援(其他)",IF(  H17="/","空班",  IF(  H17="丙",  "※ 丙案",  IF(  H17="丙常訓",  "※ 丙案 常訓",H17  )))))))))))))))))))))))))</f>
        <v>支援總(大)隊</v>
      </c>
      <c r="I57" s="271" t="str">
        <f>IF(I17="早","08-18",IF(I17="中","12-22",IF(I17="晚","22-08",IF(I17="X","輪休",IF(I17="公","公假",IF(OR(I17="病",I17="事"),"病(事)假",IF(OR(I17="婚",I17="產"),"婚(產)假",IF(I17="補","補休",IF(I17="休","休假",IF(I17="喪","喪假",IF(AND(I17="/",OR($A17=日期輸入!$B$23,$A17=日期輸入!$C$23,$A17=日期輸入!$D$23,$A17=日期輸入!$E$23,$A17=日期輸入!$F$23)),"08-18水電科",IF(I17="大日","大隊值日(日)",IF(I17="大夜","大隊值日(夜)",IF(I17="值1","值1(早)",IF(I17="值1丙","值1(早) 丙案",IF(I17="值2","值2(中)",IF(I17="值2乙","值2(中) 乙案",IF(I17="夜值","夜值(晚)",IF(I17="甲夜","夜值(晚) 甲案",IF(I17="備","08-18",IF(OR(I17="支援秘書室",I17="支援出納室",I17="支援警務科",I17="支援事務股"),"支援總(大)隊",IF(I17="支援檢疫所","支援(其他)",IF(  I17="/","空班",  IF(  I17="丙",  "※ 丙案",  IF(  I17="丙常訓",  "※ 丙案 常訓",I17  )))))))))))))))))))))))))</f>
        <v>支援總(大)隊</v>
      </c>
      <c r="J57" s="271" t="str">
        <f>IF(J17="早","08-18",IF(J17="中","12-22",IF(J17="晚","22-08",IF(J17="X","輪休",IF(J17="公","公假",IF(OR(J17="病",J17="事"),"病(事)假",IF(OR(J17="婚",J17="產"),"婚(產)假",IF(J17="補","補休",IF(J17="休","休假",IF(J17="喪","喪假",IF(AND(J17="/",OR($A17=日期輸入!$B$23,$A17=日期輸入!$C$23,$A17=日期輸入!$D$23,$A17=日期輸入!$E$23,$A17=日期輸入!$F$23)),"08-18水電科",IF(J17="大日","大隊值日(日)",IF(J17="大夜","大隊值日(夜)",IF(J17="值1","值1(早)",IF(J17="值1丙","值1(早) 丙案",IF(J17="值2","值2(中)",IF(J17="值2乙","值2(中) 乙案",IF(J17="夜值","夜值(晚)",IF(J17="甲夜","夜值(晚) 甲案",IF(J17="備","08-18",IF(OR(J17="支援秘書室",J17="支援出納室",J17="支援警務科",J17="支援事務股"),"支援總(大)隊",IF(J17="支援檢疫所","支援(其他)",IF(  J17="/","空班",  IF(  J17="丙",  "※ 丙案",  IF(  J17="丙常訓",  "※ 丙案 常訓",J17  )))))))))))))))))))))))))</f>
        <v>支援總(大)隊</v>
      </c>
      <c r="K57" s="271" t="str">
        <f>IF(K17="早","08-18",IF(K17="中","12-22",IF(K17="晚","22-08",IF(K17="X","輪休",IF(K17="公","公假",IF(OR(K17="病",K17="事"),"病(事)假",IF(OR(K17="婚",K17="產"),"婚(產)假",IF(K17="補","補休",IF(K17="休","休假",IF(K17="喪","喪假",IF(AND(K17="/",OR($A17=日期輸入!$B$23,$A17=日期輸入!$C$23,$A17=日期輸入!$D$23,$A17=日期輸入!$E$23,$A17=日期輸入!$F$23)),"08-18水電科",IF(K17="大日","大隊值日(日)",IF(K17="大夜","大隊值日(夜)",IF(K17="值1","值1(早)",IF(K17="值1丙","值1(早) 丙案",IF(K17="值2","值2(中)",IF(K17="值2乙","值2(中) 乙案",IF(K17="夜值","夜值(晚)",IF(K17="甲夜","夜值(晚) 甲案",IF(K17="備","08-18",IF(OR(K17="支援秘書室",K17="支援出納室",K17="支援警務科",K17="支援事務股"),"支援總(大)隊",IF(K17="支援檢疫所","支援(其他)",IF(  K17="/","空班",  IF(  K17="丙",  "※ 丙案",  IF(  K17="丙常訓",  "※ 丙案 常訓",K17  )))))))))))))))))))))))))</f>
        <v>支援總(大)隊</v>
      </c>
      <c r="L57" s="271" t="str">
        <f>IF(L17="早","08-18",IF(L17="中","12-22",IF(L17="晚","22-08",IF(L17="X","輪休",IF(L17="公","公假",IF(OR(L17="病",L17="事"),"病(事)假",IF(OR(L17="婚",L17="產"),"婚(產)假",IF(L17="補","補休",IF(L17="休","休假",IF(L17="喪","喪假",IF(AND(L17="/",OR($A17=日期輸入!$B$23,$A17=日期輸入!$C$23,$A17=日期輸入!$D$23,$A17=日期輸入!$E$23,$A17=日期輸入!$F$23)),"08-18水電科",IF(L17="大日","大隊值日(日)",IF(L17="大夜","大隊值日(夜)",IF(L17="值1","值1(早)",IF(L17="值1丙","值1(早) 丙案",IF(L17="值2","值2(中)",IF(L17="值2乙","值2(中) 乙案",IF(L17="夜值","夜值(晚)",IF(L17="甲夜","夜值(晚) 甲案",IF(L17="備","08-18",IF(OR(L17="支援秘書室",L17="支援出納室",L17="支援警務科",L17="支援事務股"),"支援總(大)隊",IF(L17="支援檢疫所","支援(其他)",IF(  L17="/","空班",  IF(  L17="丙",  "※ 丙案",  IF(  L17="丙常訓",  "※ 丙案 常訓",L17  )))))))))))))))))))))))))</f>
        <v>支援總(大)隊</v>
      </c>
      <c r="M57" s="271" t="str">
        <f>IF(M17="早","08-18",IF(M17="中","12-22",IF(M17="晚","22-08",IF(M17="X","輪休",IF(M17="公","公假",IF(OR(M17="病",M17="事"),"病(事)假",IF(OR(M17="婚",M17="產"),"婚(產)假",IF(M17="補","補休",IF(M17="休","休假",IF(M17="喪","喪假",IF(AND(M17="/",OR($A17=日期輸入!$B$23,$A17=日期輸入!$C$23,$A17=日期輸入!$D$23,$A17=日期輸入!$E$23,$A17=日期輸入!$F$23)),"08-18水電科",IF(M17="大日","大隊值日(日)",IF(M17="大夜","大隊值日(夜)",IF(M17="值1","值1(早)",IF(M17="值1丙","值1(早) 丙案",IF(M17="值2","值2(中)",IF(M17="值2乙","值2(中) 乙案",IF(M17="夜值","夜值(晚)",IF(M17="甲夜","夜值(晚) 甲案",IF(M17="備","08-18",IF(OR(M17="支援秘書室",M17="支援出納室",M17="支援警務科",M17="支援事務股"),"支援總(大)隊",IF(M17="支援檢疫所","支援(其他)",IF(  M17="/","空班",  IF(  M17="丙",  "※ 丙案",  IF(  M17="丙常訓",  "※ 丙案 常訓",M17  )))))))))))))))))))))))))</f>
        <v>支援總(大)隊</v>
      </c>
      <c r="N57" s="271" t="str">
        <f>IF(N17="早","08-18",IF(N17="中","12-22",IF(N17="晚","22-08",IF(N17="X","輪休",IF(N17="公","公假",IF(OR(N17="病",N17="事"),"病(事)假",IF(OR(N17="婚",N17="產"),"婚(產)假",IF(N17="補","補休",IF(N17="休","休假",IF(N17="喪","喪假",IF(AND(N17="/",OR($A17=日期輸入!$B$23,$A17=日期輸入!$C$23,$A17=日期輸入!$D$23,$A17=日期輸入!$E$23,$A17=日期輸入!$F$23)),"08-18水電科",IF(N17="大日","大隊值日(日)",IF(N17="大夜","大隊值日(夜)",IF(N17="值1","值1(早)",IF(N17="值1丙","值1(早) 丙案",IF(N17="值2","值2(中)",IF(N17="值2乙","值2(中) 乙案",IF(N17="夜值","夜值(晚)",IF(N17="甲夜","夜值(晚) 甲案",IF(N17="備","08-18",IF(OR(N17="支援秘書室",N17="支援出納室",N17="支援警務科",N17="支援事務股"),"支援總(大)隊",IF(N17="支援檢疫所","支援(其他)",IF(  N17="/","空班",  IF(  N17="丙",  "※ 丙案",  IF(  N17="丙常訓",  "※ 丙案 常訓",N17  )))))))))))))))))))))))))</f>
        <v>支援總(大)隊</v>
      </c>
      <c r="O57" s="271" t="str">
        <f>IF(O17="早","08-18",IF(O17="中","12-22",IF(O17="晚","22-08",IF(O17="X","輪休",IF(O17="公","公假",IF(OR(O17="病",O17="事"),"病(事)假",IF(OR(O17="婚",O17="產"),"婚(產)假",IF(O17="補","補休",IF(O17="休","休假",IF(O17="喪","喪假",IF(AND(O17="/",OR($A17=日期輸入!$B$23,$A17=日期輸入!$C$23,$A17=日期輸入!$D$23,$A17=日期輸入!$E$23,$A17=日期輸入!$F$23)),"08-18水電科",IF(O17="大日","大隊值日(日)",IF(O17="大夜","大隊值日(夜)",IF(O17="值1","值1(早)",IF(O17="值1丙","值1(早) 丙案",IF(O17="值2","值2(中)",IF(O17="值2乙","值2(中) 乙案",IF(O17="夜值","夜值(晚)",IF(O17="甲夜","夜值(晚) 甲案",IF(O17="備","08-18",IF(OR(O17="支援秘書室",O17="支援出納室",O17="支援警務科",O17="支援事務股"),"支援總(大)隊",IF(O17="支援檢疫所","支援(其他)",IF(  O17="/","空班",  IF(  O17="丙",  "※ 丙案",  IF(  O17="丙常訓",  "※ 丙案 常訓",O17  )))))))))))))))))))))))))</f>
        <v>支援總(大)隊</v>
      </c>
      <c r="P57" s="271" t="str">
        <f>IF(P17="早","08-18",IF(P17="中","12-22",IF(P17="晚","22-08",IF(P17="X","輪休",IF(P17="公","公假",IF(OR(P17="病",P17="事"),"病(事)假",IF(OR(P17="婚",P17="產"),"婚(產)假",IF(P17="補","補休",IF(P17="休","休假",IF(P17="喪","喪假",IF(AND(P17="/",OR($A17=日期輸入!$B$23,$A17=日期輸入!$C$23,$A17=日期輸入!$D$23,$A17=日期輸入!$E$23,$A17=日期輸入!$F$23)),"08-18水電科",IF(P17="大日","大隊值日(日)",IF(P17="大夜","大隊值日(夜)",IF(P17="值1","值1(早)",IF(P17="值1丙","值1(早) 丙案",IF(P17="值2","值2(中)",IF(P17="值2乙","值2(中) 乙案",IF(P17="夜值","夜值(晚)",IF(P17="甲夜","夜值(晚) 甲案",IF(P17="備","08-18",IF(OR(P17="支援秘書室",P17="支援出納室",P17="支援警務科",P17="支援事務股"),"支援總(大)隊",IF(P17="支援檢疫所","支援(其他)",IF(  P17="/","空班",  IF(  P17="丙",  "※ 丙案",  IF(  P17="丙常訓",  "※ 丙案 常訓",P17  )))))))))))))))))))))))))</f>
        <v>支援總(大)隊</v>
      </c>
      <c r="Q57" s="271" t="str">
        <f>IF(Q17="早","08-18",IF(Q17="中","12-22",IF(Q17="晚","22-08",IF(Q17="X","輪休",IF(Q17="公","公假",IF(OR(Q17="病",Q17="事"),"病(事)假",IF(OR(Q17="婚",Q17="產"),"婚(產)假",IF(Q17="補","補休",IF(Q17="休","休假",IF(Q17="喪","喪假",IF(AND(Q17="/",OR($A17=日期輸入!$B$23,$A17=日期輸入!$C$23,$A17=日期輸入!$D$23,$A17=日期輸入!$E$23,$A17=日期輸入!$F$23)),"08-18水電科",IF(Q17="大日","大隊值日(日)",IF(Q17="大夜","大隊值日(夜)",IF(Q17="值1","值1(早)",IF(Q17="值1丙","值1(早) 丙案",IF(Q17="值2","值2(中)",IF(Q17="值2乙","值2(中) 乙案",IF(Q17="夜值","夜值(晚)",IF(Q17="甲夜","夜值(晚) 甲案",IF(Q17="備","08-18",IF(OR(Q17="支援秘書室",Q17="支援出納室",Q17="支援警務科",Q17="支援事務股"),"支援總(大)隊",IF(Q17="支援檢疫所","支援(其他)",IF(  Q17="/","空班",  IF(  Q17="丙",  "※ 丙案",  IF(  Q17="丙常訓",  "※ 丙案 常訓",Q17  )))))))))))))))))))))))))</f>
        <v>支援總(大)隊</v>
      </c>
      <c r="R57" s="271" t="str">
        <f>IF(R17="早","08-18",IF(R17="中","12-22",IF(R17="晚","22-08",IF(R17="X","輪休",IF(R17="公","公假",IF(OR(R17="病",R17="事"),"病(事)假",IF(OR(R17="婚",R17="產"),"婚(產)假",IF(R17="補","補休",IF(R17="休","休假",IF(R17="喪","喪假",IF(AND(R17="/",OR($A17=日期輸入!$B$23,$A17=日期輸入!$C$23,$A17=日期輸入!$D$23,$A17=日期輸入!$E$23,$A17=日期輸入!$F$23)),"08-18水電科",IF(R17="大日","大隊值日(日)",IF(R17="大夜","大隊值日(夜)",IF(R17="值1","值1(早)",IF(R17="值1丙","值1(早) 丙案",IF(R17="值2","值2(中)",IF(R17="值2乙","值2(中) 乙案",IF(R17="夜值","夜值(晚)",IF(R17="甲夜","夜值(晚) 甲案",IF(R17="備","08-18",IF(OR(R17="支援秘書室",R17="支援出納室",R17="支援警務科",R17="支援事務股"),"支援總(大)隊",IF(R17="支援檢疫所","支援(其他)",IF(  R17="/","空班",  IF(  R17="丙",  "※ 丙案",  IF(  R17="丙常訓",  "※ 丙案 常訓",R17  )))))))))))))))))))))))))</f>
        <v>支援總(大)隊</v>
      </c>
      <c r="S57" s="271" t="str">
        <f>IF(S17="早","08-18",IF(S17="中","12-22",IF(S17="晚","22-08",IF(S17="X","輪休",IF(S17="公","公假",IF(OR(S17="病",S17="事"),"病(事)假",IF(OR(S17="婚",S17="產"),"婚(產)假",IF(S17="補","補休",IF(S17="休","休假",IF(S17="喪","喪假",IF(AND(S17="/",OR($A17=日期輸入!$B$23,$A17=日期輸入!$C$23,$A17=日期輸入!$D$23,$A17=日期輸入!$E$23,$A17=日期輸入!$F$23)),"08-18水電科",IF(S17="大日","大隊值日(日)",IF(S17="大夜","大隊值日(夜)",IF(S17="值1","值1(早)",IF(S17="值1丙","值1(早) 丙案",IF(S17="值2","值2(中)",IF(S17="值2乙","值2(中) 乙案",IF(S17="夜值","夜值(晚)",IF(S17="甲夜","夜值(晚) 甲案",IF(S17="備","08-18",IF(OR(S17="支援秘書室",S17="支援出納室",S17="支援警務科",S17="支援事務股"),"支援總(大)隊",IF(S17="支援檢疫所","支援(其他)",IF(  S17="/","空班",  IF(  S17="丙",  "※ 丙案",  IF(  S17="丙常訓",  "※ 丙案 常訓",S17  )))))))))))))))))))))))))</f>
        <v>支援總(大)隊</v>
      </c>
      <c r="T57" s="271" t="str">
        <f>IF(T17="早","08-18",IF(T17="中","12-22",IF(T17="晚","22-08",IF(T17="X","輪休",IF(T17="公","公假",IF(OR(T17="病",T17="事"),"病(事)假",IF(OR(T17="婚",T17="產"),"婚(產)假",IF(T17="補","補休",IF(T17="休","休假",IF(T17="喪","喪假",IF(AND(T17="/",OR($A17=日期輸入!$B$23,$A17=日期輸入!$C$23,$A17=日期輸入!$D$23,$A17=日期輸入!$E$23,$A17=日期輸入!$F$23)),"08-18水電科",IF(T17="大日","大隊值日(日)",IF(T17="大夜","大隊值日(夜)",IF(T17="值1","值1(早)",IF(T17="值1丙","值1(早) 丙案",IF(T17="值2","值2(中)",IF(T17="值2乙","值2(中) 乙案",IF(T17="夜值","夜值(晚)",IF(T17="甲夜","夜值(晚) 甲案",IF(T17="備","08-18",IF(OR(T17="支援秘書室",T17="支援出納室",T17="支援警務科",T17="支援事務股"),"支援總(大)隊",IF(T17="支援檢疫所","支援(其他)",IF(  T17="/","空班",  IF(  T17="丙",  "※ 丙案",  IF(  T17="丙常訓",  "※ 丙案 常訓",T17  )))))))))))))))))))))))))</f>
        <v>支援總(大)隊</v>
      </c>
      <c r="U57" s="271" t="str">
        <f>IF(U17="早","08-18",IF(U17="中","12-22",IF(U17="晚","22-08",IF(U17="X","輪休",IF(U17="公","公假",IF(OR(U17="病",U17="事"),"病(事)假",IF(OR(U17="婚",U17="產"),"婚(產)假",IF(U17="補","補休",IF(U17="休","休假",IF(U17="喪","喪假",IF(AND(U17="/",OR($A17=日期輸入!$B$23,$A17=日期輸入!$C$23,$A17=日期輸入!$D$23,$A17=日期輸入!$E$23,$A17=日期輸入!$F$23)),"08-18水電科",IF(U17="大日","大隊值日(日)",IF(U17="大夜","大隊值日(夜)",IF(U17="值1","值1(早)",IF(U17="值1丙","值1(早) 丙案",IF(U17="值2","值2(中)",IF(U17="值2乙","值2(中) 乙案",IF(U17="夜值","夜值(晚)",IF(U17="甲夜","夜值(晚) 甲案",IF(U17="備","08-18",IF(OR(U17="支援秘書室",U17="支援出納室",U17="支援警務科",U17="支援事務股"),"支援總(大)隊",IF(U17="支援檢疫所","支援(其他)",IF(  U17="/","空班",  IF(  U17="丙",  "※ 丙案",  IF(  U17="丙常訓",  "※ 丙案 常訓",U17  )))))))))))))))))))))))))</f>
        <v>支援總(大)隊</v>
      </c>
      <c r="V57" s="271" t="str">
        <f>IF(V17="早","08-18",IF(V17="中","12-22",IF(V17="晚","22-08",IF(V17="X","輪休",IF(V17="公","公假",IF(OR(V17="病",V17="事"),"病(事)假",IF(OR(V17="婚",V17="產"),"婚(產)假",IF(V17="補","補休",IF(V17="休","休假",IF(V17="喪","喪假",IF(AND(V17="/",OR($A17=日期輸入!$B$23,$A17=日期輸入!$C$23,$A17=日期輸入!$D$23,$A17=日期輸入!$E$23,$A17=日期輸入!$F$23)),"08-18水電科",IF(V17="大日","大隊值日(日)",IF(V17="大夜","大隊值日(夜)",IF(V17="值1","值1(早)",IF(V17="值1丙","值1(早) 丙案",IF(V17="值2","值2(中)",IF(V17="值2乙","值2(中) 乙案",IF(V17="夜值","夜值(晚)",IF(V17="甲夜","夜值(晚) 甲案",IF(V17="備","08-18",IF(OR(V17="支援秘書室",V17="支援出納室",V17="支援警務科",V17="支援事務股"),"支援總(大)隊",IF(V17="支援檢疫所","支援(其他)",IF(  V17="/","空班",  IF(  V17="丙",  "※ 丙案",  IF(  V17="丙常訓",  "※ 丙案 常訓",V17  )))))))))))))))))))))))))</f>
        <v>支援總(大)隊</v>
      </c>
      <c r="W57" s="271" t="str">
        <f>IF(W17="早","08-18",IF(W17="中","12-22",IF(W17="晚","22-08",IF(W17="X","輪休",IF(W17="公","公假",IF(OR(W17="病",W17="事"),"病(事)假",IF(OR(W17="婚",W17="產"),"婚(產)假",IF(W17="補","補休",IF(W17="休","休假",IF(W17="喪","喪假",IF(AND(W17="/",OR($A17=日期輸入!$B$23,$A17=日期輸入!$C$23,$A17=日期輸入!$D$23,$A17=日期輸入!$E$23,$A17=日期輸入!$F$23)),"08-18水電科",IF(W17="大日","大隊值日(日)",IF(W17="大夜","大隊值日(夜)",IF(W17="值1","值1(早)",IF(W17="值1丙","值1(早) 丙案",IF(W17="值2","值2(中)",IF(W17="值2乙","值2(中) 乙案",IF(W17="夜值","夜值(晚)",IF(W17="甲夜","夜值(晚) 甲案",IF(W17="備","08-18",IF(OR(W17="支援秘書室",W17="支援出納室",W17="支援警務科",W17="支援事務股"),"支援總(大)隊",IF(W17="支援檢疫所","支援(其他)",IF(  W17="/","空班",  IF(  W17="丙",  "※ 丙案",  IF(  W17="丙常訓",  "※ 丙案 常訓",W17  )))))))))))))))))))))))))</f>
        <v>支援總(大)隊</v>
      </c>
      <c r="X57" s="271" t="str">
        <f>IF(X17="早","08-18",IF(X17="中","12-22",IF(X17="晚","22-08",IF(X17="X","輪休",IF(X17="公","公假",IF(OR(X17="病",X17="事"),"病(事)假",IF(OR(X17="婚",X17="產"),"婚(產)假",IF(X17="補","補休",IF(X17="休","休假",IF(X17="喪","喪假",IF(AND(X17="/",OR($A17=日期輸入!$B$23,$A17=日期輸入!$C$23,$A17=日期輸入!$D$23,$A17=日期輸入!$E$23,$A17=日期輸入!$F$23)),"08-18水電科",IF(X17="大日","大隊值日(日)",IF(X17="大夜","大隊值日(夜)",IF(X17="值1","值1(早)",IF(X17="值1丙","值1(早) 丙案",IF(X17="值2","值2(中)",IF(X17="值2乙","值2(中) 乙案",IF(X17="夜值","夜值(晚)",IF(X17="甲夜","夜值(晚) 甲案",IF(X17="備","08-18",IF(OR(X17="支援秘書室",X17="支援出納室",X17="支援警務科",X17="支援事務股"),"支援總(大)隊",IF(X17="支援檢疫所","支援(其他)",IF(  X17="/","空班",  IF(  X17="丙",  "※ 丙案",  IF(  X17="丙常訓",  "※ 丙案 常訓",X17  )))))))))))))))))))))))))</f>
        <v>支援總(大)隊</v>
      </c>
      <c r="Y57" s="271" t="str">
        <f>IF(Y17="早","08-18",IF(Y17="中","12-22",IF(Y17="晚","22-08",IF(Y17="X","輪休",IF(Y17="公","公假",IF(OR(Y17="病",Y17="事"),"病(事)假",IF(OR(Y17="婚",Y17="產"),"婚(產)假",IF(Y17="補","補休",IF(Y17="休","休假",IF(Y17="喪","喪假",IF(AND(Y17="/",OR($A17=日期輸入!$B$23,$A17=日期輸入!$C$23,$A17=日期輸入!$D$23,$A17=日期輸入!$E$23,$A17=日期輸入!$F$23)),"08-18水電科",IF(Y17="大日","大隊值日(日)",IF(Y17="大夜","大隊值日(夜)",IF(Y17="值1","值1(早)",IF(Y17="值1丙","值1(早) 丙案",IF(Y17="值2","值2(中)",IF(Y17="值2乙","值2(中) 乙案",IF(Y17="夜值","夜值(晚)",IF(Y17="甲夜","夜值(晚) 甲案",IF(Y17="備","08-18",IF(OR(Y17="支援秘書室",Y17="支援出納室",Y17="支援警務科",Y17="支援事務股"),"支援總(大)隊",IF(Y17="支援檢疫所","支援(其他)",IF(  Y17="/","空班",  IF(  Y17="丙",  "※ 丙案",  IF(  Y17="丙常訓",  "※ 丙案 常訓",Y17  )))))))))))))))))))))))))</f>
        <v>支援總(大)隊</v>
      </c>
      <c r="Z57" s="271" t="str">
        <f>IF(Z17="早","08-18",IF(Z17="中","12-22",IF(Z17="晚","22-08",IF(Z17="X","輪休",IF(Z17="公","公假",IF(OR(Z17="病",Z17="事"),"病(事)假",IF(OR(Z17="婚",Z17="產"),"婚(產)假",IF(Z17="補","補休",IF(Z17="休","休假",IF(Z17="喪","喪假",IF(AND(Z17="/",OR($A17=日期輸入!$B$23,$A17=日期輸入!$C$23,$A17=日期輸入!$D$23,$A17=日期輸入!$E$23,$A17=日期輸入!$F$23)),"08-18水電科",IF(Z17="大日","大隊值日(日)",IF(Z17="大夜","大隊值日(夜)",IF(Z17="值1","值1(早)",IF(Z17="值1丙","值1(早) 丙案",IF(Z17="值2","值2(中)",IF(Z17="值2乙","值2(中) 乙案",IF(Z17="夜值","夜值(晚)",IF(Z17="甲夜","夜值(晚) 甲案",IF(Z17="備","08-18",IF(OR(Z17="支援秘書室",Z17="支援出納室",Z17="支援警務科",Z17="支援事務股"),"支援總(大)隊",IF(Z17="支援檢疫所","支援(其他)",IF(  Z17="/","空班",  IF(  Z17="丙",  "※ 丙案",  IF(  Z17="丙常訓",  "※ 丙案 常訓",Z17  )))))))))))))))))))))))))</f>
        <v>支援總(大)隊</v>
      </c>
      <c r="AA57" s="271" t="str">
        <f>IF(AA17="早","08-18",IF(AA17="中","12-22",IF(AA17="晚","22-08",IF(AA17="X","輪休",IF(AA17="公","公假",IF(OR(AA17="病",AA17="事"),"病(事)假",IF(OR(AA17="婚",AA17="產"),"婚(產)假",IF(AA17="補","補休",IF(AA17="休","休假",IF(AA17="喪","喪假",IF(AND(AA17="/",OR($A17=日期輸入!$B$23,$A17=日期輸入!$C$23,$A17=日期輸入!$D$23,$A17=日期輸入!$E$23,$A17=日期輸入!$F$23)),"08-18水電科",IF(AA17="大日","大隊值日(日)",IF(AA17="大夜","大隊值日(夜)",IF(AA17="值1","值1(早)",IF(AA17="值1丙","值1(早) 丙案",IF(AA17="值2","值2(中)",IF(AA17="值2乙","值2(中) 乙案",IF(AA17="夜值","夜值(晚)",IF(AA17="甲夜","夜值(晚) 甲案",IF(AA17="備","08-18",IF(OR(AA17="支援秘書室",AA17="支援出納室",AA17="支援警務科",AA17="支援事務股"),"支援總(大)隊",IF(AA17="支援檢疫所","支援(其他)",IF(  AA17="/","空班",  IF(  AA17="丙",  "※ 丙案",  IF(  AA17="丙常訓",  "※ 丙案 常訓",AA17  )))))))))))))))))))))))))</f>
        <v>支援總(大)隊</v>
      </c>
      <c r="AB57" s="271" t="str">
        <f>IF(AB17="早","08-18",IF(AB17="中","12-22",IF(AB17="晚","22-08",IF(AB17="X","輪休",IF(AB17="公","公假",IF(OR(AB17="病",AB17="事"),"病(事)假",IF(OR(AB17="婚",AB17="產"),"婚(產)假",IF(AB17="補","補休",IF(AB17="休","休假",IF(AB17="喪","喪假",IF(AND(AB17="/",OR($A17=日期輸入!$B$23,$A17=日期輸入!$C$23,$A17=日期輸入!$D$23,$A17=日期輸入!$E$23,$A17=日期輸入!$F$23)),"08-18水電科",IF(AB17="大日","大隊值日(日)",IF(AB17="大夜","大隊值日(夜)",IF(AB17="值1","值1(早)",IF(AB17="值1丙","值1(早) 丙案",IF(AB17="值2","值2(中)",IF(AB17="值2乙","值2(中) 乙案",IF(AB17="夜值","夜值(晚)",IF(AB17="甲夜","夜值(晚) 甲案",IF(AB17="備","08-18",IF(OR(AB17="支援秘書室",AB17="支援出納室",AB17="支援警務科",AB17="支援事務股"),"支援總(大)隊",IF(AB17="支援檢疫所","支援(其他)",IF(  AB17="/","空班",  IF(  AB17="丙",  "※ 丙案",  IF(  AB17="丙常訓",  "※ 丙案 常訓",AB17  )))))))))))))))))))))))))</f>
        <v>支援總(大)隊</v>
      </c>
      <c r="AC57" s="271" t="str">
        <f>IF(AC17="早","08-18",IF(AC17="中","12-22",IF(AC17="晚","22-08",IF(AC17="X","輪休",IF(AC17="公","公假",IF(OR(AC17="病",AC17="事"),"病(事)假",IF(OR(AC17="婚",AC17="產"),"婚(產)假",IF(AC17="補","補休",IF(AC17="休","休假",IF(AC17="喪","喪假",IF(AND(AC17="/",OR($A17=日期輸入!$B$23,$A17=日期輸入!$C$23,$A17=日期輸入!$D$23,$A17=日期輸入!$E$23,$A17=日期輸入!$F$23)),"08-18水電科",IF(AC17="大日","大隊值日(日)",IF(AC17="大夜","大隊值日(夜)",IF(AC17="值1","值1(早)",IF(AC17="值1丙","值1(早) 丙案",IF(AC17="值2","值2(中)",IF(AC17="值2乙","值2(中) 乙案",IF(AC17="夜值","夜值(晚)",IF(AC17="甲夜","夜值(晚) 甲案",IF(AC17="備","08-18",IF(OR(AC17="支援秘書室",AC17="支援出納室",AC17="支援警務科",AC17="支援事務股"),"支援總(大)隊",IF(AC17="支援檢疫所","支援(其他)",IF(  AC17="/","空班",  IF(  AC17="丙",  "※ 丙案",  IF(  AC17="丙常訓",  "※ 丙案 常訓",AC17  )))))))))))))))))))))))))</f>
        <v>支援總(大)隊</v>
      </c>
      <c r="AD57" s="271" t="str">
        <f>IF(AD17="早","08-18",IF(AD17="中","12-22",IF(AD17="晚","22-08",IF(AD17="X","輪休",IF(AD17="公","公假",IF(OR(AD17="病",AD17="事"),"病(事)假",IF(OR(AD17="婚",AD17="產"),"婚(產)假",IF(AD17="補","補休",IF(AD17="休","休假",IF(AD17="喪","喪假",IF(AND(AD17="/",OR($A17=日期輸入!$B$23,$A17=日期輸入!$C$23,$A17=日期輸入!$D$23,$A17=日期輸入!$E$23,$A17=日期輸入!$F$23)),"08-18水電科",IF(AD17="大日","大隊值日(日)",IF(AD17="大夜","大隊值日(夜)",IF(AD17="值1","值1(早)",IF(AD17="值1丙","值1(早) 丙案",IF(AD17="值2","值2(中)",IF(AD17="值2乙","值2(中) 乙案",IF(AD17="夜值","夜值(晚)",IF(AD17="甲夜","夜值(晚) 甲案",IF(AD17="備","08-18",IF(OR(AD17="支援秘書室",AD17="支援出納室",AD17="支援警務科",AD17="支援事務股"),"支援總(大)隊",IF(AD17="支援檢疫所","支援(其他)",IF(  AD17="/","空班",  IF(  AD17="丙",  "※ 丙案",  IF(  AD17="丙常訓",  "※ 丙案 常訓",AD17  )))))))))))))))))))))))))</f>
        <v>支援總(大)隊</v>
      </c>
      <c r="AE57" s="271" t="str">
        <f>IF(AE17="早","08-18",IF(AE17="中","12-22",IF(AE17="晚","22-08",IF(AE17="X","輪休",IF(AE17="公","公假",IF(OR(AE17="病",AE17="事"),"病(事)假",IF(OR(AE17="婚",AE17="產"),"婚(產)假",IF(AE17="補","補休",IF(AE17="休","休假",IF(AE17="喪","喪假",IF(AND(AE17="/",OR($A17=日期輸入!$B$23,$A17=日期輸入!$C$23,$A17=日期輸入!$D$23,$A17=日期輸入!$E$23,$A17=日期輸入!$F$23)),"08-18水電科",IF(AE17="大日","大隊值日(日)",IF(AE17="大夜","大隊值日(夜)",IF(AE17="值1","值1(早)",IF(AE17="值1丙","值1(早) 丙案",IF(AE17="值2","值2(中)",IF(AE17="值2乙","值2(中) 乙案",IF(AE17="夜值","夜值(晚)",IF(AE17="甲夜","夜值(晚) 甲案",IF(AE17="備","08-18",IF(OR(AE17="支援秘書室",AE17="支援出納室",AE17="支援警務科",AE17="支援事務股"),"支援總(大)隊",IF(AE17="支援檢疫所","支援(其他)",IF(  AE17="/","空班",  IF(  AE17="丙",  "※ 丙案",  IF(  AE17="丙常訓",  "※ 丙案 常訓",AE17  )))))))))))))))))))))))))</f>
        <v>支援總(大)隊</v>
      </c>
      <c r="AF57" s="271" t="str">
        <f>IF(AF17="早","08-18",IF(AF17="中","12-22",IF(AF17="晚","22-08",IF(AF17="X","輪休",IF(AF17="公","公假",IF(OR(AF17="病",AF17="事"),"病(事)假",IF(OR(AF17="婚",AF17="產"),"婚(產)假",IF(AF17="補","補休",IF(AF17="休","休假",IF(AF17="喪","喪假",IF(AND(AF17="/",OR($A17=日期輸入!$B$23,$A17=日期輸入!$C$23,$A17=日期輸入!$D$23,$A17=日期輸入!$E$23,$A17=日期輸入!$F$23)),"08-18水電科",IF(AF17="大日","大隊值日(日)",IF(AF17="大夜","大隊值日(夜)",IF(AF17="值1","值1(早)",IF(AF17="值1丙","值1(早) 丙案",IF(AF17="值2","值2(中)",IF(AF17="值2乙","值2(中) 乙案",IF(AF17="夜值","夜值(晚)",IF(AF17="甲夜","夜值(晚) 甲案",IF(AF17="備","08-18",IF(OR(AF17="支援秘書室",AF17="支援出納室",AF17="支援警務科",AF17="支援事務股"),"支援總(大)隊",IF(AF17="支援檢疫所","支援(其他)",IF(  AF17="/","空班",  IF(  AF17="丙",  "※ 丙案",  IF(  AF17="丙常訓",  "※ 丙案 常訓",AF17  )))))))))))))))))))))))))</f>
        <v>支援總(大)隊</v>
      </c>
      <c r="AG57" s="271" t="str">
        <f>IF(AG17="早","08-18",IF(AG17="中","12-22",IF(AG17="晚","22-08",IF(AG17="X","輪休",IF(AG17="公","公假",IF(OR(AG17="病",AG17="事"),"病(事)假",IF(OR(AG17="婚",AG17="產"),"婚(產)假",IF(AG17="補","補休",IF(AG17="休","休假",IF(AG17="喪","喪假",IF(AND(AG17="/",OR($A17=日期輸入!$B$23,$A17=日期輸入!$C$23,$A17=日期輸入!$D$23,$A17=日期輸入!$E$23,$A17=日期輸入!$F$23)),"08-18水電科",IF(AG17="大日","大隊值日(日)",IF(AG17="大夜","大隊值日(夜)",IF(AG17="值1","值1(早)",IF(AG17="值1丙","值1(早) 丙案",IF(AG17="值2","值2(中)",IF(AG17="值2乙","值2(中) 乙案",IF(AG17="夜值","夜值(晚)",IF(AG17="甲夜","夜值(晚) 甲案",IF(AG17="備","08-18",IF(OR(AG17="支援秘書室",AG17="支援出納室",AG17="支援警務科",AG17="支援事務股"),"支援總(大)隊",IF(AG17="支援檢疫所","支援(其他)",IF(  AG17="/","空班",  IF(  AG17="丙",  "※ 丙案",  IF(  AG17="丙常訓",  "※ 丙案 常訓",AG17  )))))))))))))))))))))))))</f>
        <v>支援總(大)隊</v>
      </c>
    </row>
    <row r="58" spans="1:33">
      <c r="A58" s="271">
        <f t="shared" ref="A58:B58" si="17">A18</f>
        <v>54</v>
      </c>
      <c r="B58" s="271" t="str">
        <f t="shared" si="17"/>
        <v>王俊欽</v>
      </c>
      <c r="C58" s="271" t="str">
        <f>IF(C18="早","08-18",IF(C18="中","12-22",IF(C18="晚","22-08",IF(C18="X","輪休",IF(C18="公","公假",IF(OR(C18="病",C18="事"),"病(事)假",IF(OR(C18="婚",C18="產"),"婚(產)假",IF(C18="補","補休",IF(C18="休","休假",IF(C18="喪","喪假",IF(AND(C18="/",OR($A18=日期輸入!$B$23,$A18=日期輸入!$C$23,$A18=日期輸入!$D$23,$A18=日期輸入!$E$23,$A18=日期輸入!$F$23)),"08-18水電科",IF(C18="大日","大隊值日(日)",IF(C18="大夜","大隊值日(夜)",IF(C18="值1","值1(早)",IF(C18="值1丙","值1(早) 丙案",IF(C18="值2","值2(中)",IF(C18="值2乙","值2(中) 乙案",IF(C18="夜值","夜值(晚)",IF(C18="甲夜","夜值(晚) 甲案",IF(C18="備","08-18",IF(OR(C18="支援秘書室",C18="支援出納室",C18="支援警務科",C18="支援事務股"),"支援總(大)隊",IF(C18="支援檢疫所","支援(其他)",IF(  C18="/","空班",  IF(  C18="丙",  "※ 丙案",  IF(  C18="丙常訓",  "※ 丙案 常訓",C18  )))))))))))))))))))))))))</f>
        <v>支援總(大)隊</v>
      </c>
      <c r="D58" s="271" t="str">
        <f>IF(D18="早","08-18",IF(D18="中","12-22",IF(D18="晚","22-08",IF(D18="X","輪休",IF(D18="公","公假",IF(OR(D18="病",D18="事"),"病(事)假",IF(OR(D18="婚",D18="產"),"婚(產)假",IF(D18="補","補休",IF(D18="休","休假",IF(D18="喪","喪假",IF(AND(D18="/",OR($A18=日期輸入!$B$23,$A18=日期輸入!$C$23,$A18=日期輸入!$D$23,$A18=日期輸入!$E$23,$A18=日期輸入!$F$23)),"08-18水電科",IF(D18="大日","大隊值日(日)",IF(D18="大夜","大隊值日(夜)",IF(D18="值1","值1(早)",IF(D18="值1丙","值1(早) 丙案",IF(D18="值2","值2(中)",IF(D18="值2乙","值2(中) 乙案",IF(D18="夜值","夜值(晚)",IF(D18="甲夜","夜值(晚) 甲案",IF(D18="備","08-18",IF(OR(D18="支援秘書室",D18="支援出納室",D18="支援警務科",D18="支援事務股"),"支援總(大)隊",IF(D18="支援檢疫所","支援(其他)",IF(  D18="/","空班",  IF(  D18="丙",  "※ 丙案",  IF(  D18="丙常訓",  "※ 丙案 常訓",D18  )))))))))))))))))))))))))</f>
        <v>支援總(大)隊</v>
      </c>
      <c r="E58" s="271" t="str">
        <f>IF(E18="早","08-18",IF(E18="中","12-22",IF(E18="晚","22-08",IF(E18="X","輪休",IF(E18="公","公假",IF(OR(E18="病",E18="事"),"病(事)假",IF(OR(E18="婚",E18="產"),"婚(產)假",IF(E18="補","補休",IF(E18="休","休假",IF(E18="喪","喪假",IF(AND(E18="/",OR($A18=日期輸入!$B$23,$A18=日期輸入!$C$23,$A18=日期輸入!$D$23,$A18=日期輸入!$E$23,$A18=日期輸入!$F$23)),"08-18水電科",IF(E18="大日","大隊值日(日)",IF(E18="大夜","大隊值日(夜)",IF(E18="值1","值1(早)",IF(E18="值1丙","值1(早) 丙案",IF(E18="值2","值2(中)",IF(E18="值2乙","值2(中) 乙案",IF(E18="夜值","夜值(晚)",IF(E18="甲夜","夜值(晚) 甲案",IF(E18="備","08-18",IF(OR(E18="支援秘書室",E18="支援出納室",E18="支援警務科",E18="支援事務股"),"支援總(大)隊",IF(E18="支援檢疫所","支援(其他)",IF(  E18="/","空班",  IF(  E18="丙",  "※ 丙案",  IF(  E18="丙常訓",  "※ 丙案 常訓",E18  )))))))))))))))))))))))))</f>
        <v>支援總(大)隊</v>
      </c>
      <c r="F58" s="271" t="str">
        <f>IF(F18="早","08-18",IF(F18="中","12-22",IF(F18="晚","22-08",IF(F18="X","輪休",IF(F18="公","公假",IF(OR(F18="病",F18="事"),"病(事)假",IF(OR(F18="婚",F18="產"),"婚(產)假",IF(F18="補","補休",IF(F18="休","休假",IF(F18="喪","喪假",IF(AND(F18="/",OR($A18=日期輸入!$B$23,$A18=日期輸入!$C$23,$A18=日期輸入!$D$23,$A18=日期輸入!$E$23,$A18=日期輸入!$F$23)),"08-18水電科",IF(F18="大日","大隊值日(日)",IF(F18="大夜","大隊值日(夜)",IF(F18="值1","值1(早)",IF(F18="值1丙","值1(早) 丙案",IF(F18="值2","值2(中)",IF(F18="值2乙","值2(中) 乙案",IF(F18="夜值","夜值(晚)",IF(F18="甲夜","夜值(晚) 甲案",IF(F18="備","08-18",IF(OR(F18="支援秘書室",F18="支援出納室",F18="支援警務科",F18="支援事務股"),"支援總(大)隊",IF(F18="支援檢疫所","支援(其他)",IF(  F18="/","空班",  IF(  F18="丙",  "※ 丙案",  IF(  F18="丙常訓",  "※ 丙案 常訓",F18  )))))))))))))))))))))))))</f>
        <v>支援總(大)隊</v>
      </c>
      <c r="G58" s="271" t="str">
        <f>IF(G18="早","08-18",IF(G18="中","12-22",IF(G18="晚","22-08",IF(G18="X","輪休",IF(G18="公","公假",IF(OR(G18="病",G18="事"),"病(事)假",IF(OR(G18="婚",G18="產"),"婚(產)假",IF(G18="補","補休",IF(G18="休","休假",IF(G18="喪","喪假",IF(AND(G18="/",OR($A18=日期輸入!$B$23,$A18=日期輸入!$C$23,$A18=日期輸入!$D$23,$A18=日期輸入!$E$23,$A18=日期輸入!$F$23)),"08-18水電科",IF(G18="大日","大隊值日(日)",IF(G18="大夜","大隊值日(夜)",IF(G18="值1","值1(早)",IF(G18="值1丙","值1(早) 丙案",IF(G18="值2","值2(中)",IF(G18="值2乙","值2(中) 乙案",IF(G18="夜值","夜值(晚)",IF(G18="甲夜","夜值(晚) 甲案",IF(G18="備","08-18",IF(OR(G18="支援秘書室",G18="支援出納室",G18="支援警務科",G18="支援事務股"),"支援總(大)隊",IF(G18="支援檢疫所","支援(其他)",IF(  G18="/","空班",  IF(  G18="丙",  "※ 丙案",  IF(  G18="丙常訓",  "※ 丙案 常訓",G18  )))))))))))))))))))))))))</f>
        <v>支援總(大)隊</v>
      </c>
      <c r="H58" s="271" t="str">
        <f>IF(H18="早","08-18",IF(H18="中","12-22",IF(H18="晚","22-08",IF(H18="X","輪休",IF(H18="公","公假",IF(OR(H18="病",H18="事"),"病(事)假",IF(OR(H18="婚",H18="產"),"婚(產)假",IF(H18="補","補休",IF(H18="休","休假",IF(H18="喪","喪假",IF(AND(H18="/",OR($A18=日期輸入!$B$23,$A18=日期輸入!$C$23,$A18=日期輸入!$D$23,$A18=日期輸入!$E$23,$A18=日期輸入!$F$23)),"08-18水電科",IF(H18="大日","大隊值日(日)",IF(H18="大夜","大隊值日(夜)",IF(H18="值1","值1(早)",IF(H18="值1丙","值1(早) 丙案",IF(H18="值2","值2(中)",IF(H18="值2乙","值2(中) 乙案",IF(H18="夜值","夜值(晚)",IF(H18="甲夜","夜值(晚) 甲案",IF(H18="備","08-18",IF(OR(H18="支援秘書室",H18="支援出納室",H18="支援警務科",H18="支援事務股"),"支援總(大)隊",IF(H18="支援檢疫所","支援(其他)",IF(  H18="/","空班",  IF(  H18="丙",  "※ 丙案",  IF(  H18="丙常訓",  "※ 丙案 常訓",H18  )))))))))))))))))))))))))</f>
        <v>支援總(大)隊</v>
      </c>
      <c r="I58" s="271" t="str">
        <f>IF(I18="早","08-18",IF(I18="中","12-22",IF(I18="晚","22-08",IF(I18="X","輪休",IF(I18="公","公假",IF(OR(I18="病",I18="事"),"病(事)假",IF(OR(I18="婚",I18="產"),"婚(產)假",IF(I18="補","補休",IF(I18="休","休假",IF(I18="喪","喪假",IF(AND(I18="/",OR($A18=日期輸入!$B$23,$A18=日期輸入!$C$23,$A18=日期輸入!$D$23,$A18=日期輸入!$E$23,$A18=日期輸入!$F$23)),"08-18水電科",IF(I18="大日","大隊值日(日)",IF(I18="大夜","大隊值日(夜)",IF(I18="值1","值1(早)",IF(I18="值1丙","值1(早) 丙案",IF(I18="值2","值2(中)",IF(I18="值2乙","值2(中) 乙案",IF(I18="夜值","夜值(晚)",IF(I18="甲夜","夜值(晚) 甲案",IF(I18="備","08-18",IF(OR(I18="支援秘書室",I18="支援出納室",I18="支援警務科",I18="支援事務股"),"支援總(大)隊",IF(I18="支援檢疫所","支援(其他)",IF(  I18="/","空班",  IF(  I18="丙",  "※ 丙案",  IF(  I18="丙常訓",  "※ 丙案 常訓",I18  )))))))))))))))))))))))))</f>
        <v>支援總(大)隊</v>
      </c>
      <c r="J58" s="271" t="str">
        <f>IF(J18="早","08-18",IF(J18="中","12-22",IF(J18="晚","22-08",IF(J18="X","輪休",IF(J18="公","公假",IF(OR(J18="病",J18="事"),"病(事)假",IF(OR(J18="婚",J18="產"),"婚(產)假",IF(J18="補","補休",IF(J18="休","休假",IF(J18="喪","喪假",IF(AND(J18="/",OR($A18=日期輸入!$B$23,$A18=日期輸入!$C$23,$A18=日期輸入!$D$23,$A18=日期輸入!$E$23,$A18=日期輸入!$F$23)),"08-18水電科",IF(J18="大日","大隊值日(日)",IF(J18="大夜","大隊值日(夜)",IF(J18="值1","值1(早)",IF(J18="值1丙","值1(早) 丙案",IF(J18="值2","值2(中)",IF(J18="值2乙","值2(中) 乙案",IF(J18="夜值","夜值(晚)",IF(J18="甲夜","夜值(晚) 甲案",IF(J18="備","08-18",IF(OR(J18="支援秘書室",J18="支援出納室",J18="支援警務科",J18="支援事務股"),"支援總(大)隊",IF(J18="支援檢疫所","支援(其他)",IF(  J18="/","空班",  IF(  J18="丙",  "※ 丙案",  IF(  J18="丙常訓",  "※ 丙案 常訓",J18  )))))))))))))))))))))))))</f>
        <v>支援總(大)隊</v>
      </c>
      <c r="K58" s="271" t="str">
        <f>IF(K18="早","08-18",IF(K18="中","12-22",IF(K18="晚","22-08",IF(K18="X","輪休",IF(K18="公","公假",IF(OR(K18="病",K18="事"),"病(事)假",IF(OR(K18="婚",K18="產"),"婚(產)假",IF(K18="補","補休",IF(K18="休","休假",IF(K18="喪","喪假",IF(AND(K18="/",OR($A18=日期輸入!$B$23,$A18=日期輸入!$C$23,$A18=日期輸入!$D$23,$A18=日期輸入!$E$23,$A18=日期輸入!$F$23)),"08-18水電科",IF(K18="大日","大隊值日(日)",IF(K18="大夜","大隊值日(夜)",IF(K18="值1","值1(早)",IF(K18="值1丙","值1(早) 丙案",IF(K18="值2","值2(中)",IF(K18="值2乙","值2(中) 乙案",IF(K18="夜值","夜值(晚)",IF(K18="甲夜","夜值(晚) 甲案",IF(K18="備","08-18",IF(OR(K18="支援秘書室",K18="支援出納室",K18="支援警務科",K18="支援事務股"),"支援總(大)隊",IF(K18="支援檢疫所","支援(其他)",IF(  K18="/","空班",  IF(  K18="丙",  "※ 丙案",  IF(  K18="丙常訓",  "※ 丙案 常訓",K18  )))))))))))))))))))))))))</f>
        <v>支援總(大)隊</v>
      </c>
      <c r="L58" s="271" t="str">
        <f>IF(L18="早","08-18",IF(L18="中","12-22",IF(L18="晚","22-08",IF(L18="X","輪休",IF(L18="公","公假",IF(OR(L18="病",L18="事"),"病(事)假",IF(OR(L18="婚",L18="產"),"婚(產)假",IF(L18="補","補休",IF(L18="休","休假",IF(L18="喪","喪假",IF(AND(L18="/",OR($A18=日期輸入!$B$23,$A18=日期輸入!$C$23,$A18=日期輸入!$D$23,$A18=日期輸入!$E$23,$A18=日期輸入!$F$23)),"08-18水電科",IF(L18="大日","大隊值日(日)",IF(L18="大夜","大隊值日(夜)",IF(L18="值1","值1(早)",IF(L18="值1丙","值1(早) 丙案",IF(L18="值2","值2(中)",IF(L18="值2乙","值2(中) 乙案",IF(L18="夜值","夜值(晚)",IF(L18="甲夜","夜值(晚) 甲案",IF(L18="備","08-18",IF(OR(L18="支援秘書室",L18="支援出納室",L18="支援警務科",L18="支援事務股"),"支援總(大)隊",IF(L18="支援檢疫所","支援(其他)",IF(  L18="/","空班",  IF(  L18="丙",  "※ 丙案",  IF(  L18="丙常訓",  "※ 丙案 常訓",L18  )))))))))))))))))))))))))</f>
        <v>支援總(大)隊</v>
      </c>
      <c r="M58" s="271" t="str">
        <f>IF(M18="早","08-18",IF(M18="中","12-22",IF(M18="晚","22-08",IF(M18="X","輪休",IF(M18="公","公假",IF(OR(M18="病",M18="事"),"病(事)假",IF(OR(M18="婚",M18="產"),"婚(產)假",IF(M18="補","補休",IF(M18="休","休假",IF(M18="喪","喪假",IF(AND(M18="/",OR($A18=日期輸入!$B$23,$A18=日期輸入!$C$23,$A18=日期輸入!$D$23,$A18=日期輸入!$E$23,$A18=日期輸入!$F$23)),"08-18水電科",IF(M18="大日","大隊值日(日)",IF(M18="大夜","大隊值日(夜)",IF(M18="值1","值1(早)",IF(M18="值1丙","值1(早) 丙案",IF(M18="值2","值2(中)",IF(M18="值2乙","值2(中) 乙案",IF(M18="夜值","夜值(晚)",IF(M18="甲夜","夜值(晚) 甲案",IF(M18="備","08-18",IF(OR(M18="支援秘書室",M18="支援出納室",M18="支援警務科",M18="支援事務股"),"支援總(大)隊",IF(M18="支援檢疫所","支援(其他)",IF(  M18="/","空班",  IF(  M18="丙",  "※ 丙案",  IF(  M18="丙常訓",  "※ 丙案 常訓",M18  )))))))))))))))))))))))))</f>
        <v>支援總(大)隊</v>
      </c>
      <c r="N58" s="271" t="str">
        <f>IF(N18="早","08-18",IF(N18="中","12-22",IF(N18="晚","22-08",IF(N18="X","輪休",IF(N18="公","公假",IF(OR(N18="病",N18="事"),"病(事)假",IF(OR(N18="婚",N18="產"),"婚(產)假",IF(N18="補","補休",IF(N18="休","休假",IF(N18="喪","喪假",IF(AND(N18="/",OR($A18=日期輸入!$B$23,$A18=日期輸入!$C$23,$A18=日期輸入!$D$23,$A18=日期輸入!$E$23,$A18=日期輸入!$F$23)),"08-18水電科",IF(N18="大日","大隊值日(日)",IF(N18="大夜","大隊值日(夜)",IF(N18="值1","值1(早)",IF(N18="值1丙","值1(早) 丙案",IF(N18="值2","值2(中)",IF(N18="值2乙","值2(中) 乙案",IF(N18="夜值","夜值(晚)",IF(N18="甲夜","夜值(晚) 甲案",IF(N18="備","08-18",IF(OR(N18="支援秘書室",N18="支援出納室",N18="支援警務科",N18="支援事務股"),"支援總(大)隊",IF(N18="支援檢疫所","支援(其他)",IF(  N18="/","空班",  IF(  N18="丙",  "※ 丙案",  IF(  N18="丙常訓",  "※ 丙案 常訓",N18  )))))))))))))))))))))))))</f>
        <v>支援總(大)隊</v>
      </c>
      <c r="O58" s="271" t="str">
        <f>IF(O18="早","08-18",IF(O18="中","12-22",IF(O18="晚","22-08",IF(O18="X","輪休",IF(O18="公","公假",IF(OR(O18="病",O18="事"),"病(事)假",IF(OR(O18="婚",O18="產"),"婚(產)假",IF(O18="補","補休",IF(O18="休","休假",IF(O18="喪","喪假",IF(AND(O18="/",OR($A18=日期輸入!$B$23,$A18=日期輸入!$C$23,$A18=日期輸入!$D$23,$A18=日期輸入!$E$23,$A18=日期輸入!$F$23)),"08-18水電科",IF(O18="大日","大隊值日(日)",IF(O18="大夜","大隊值日(夜)",IF(O18="值1","值1(早)",IF(O18="值1丙","值1(早) 丙案",IF(O18="值2","值2(中)",IF(O18="值2乙","值2(中) 乙案",IF(O18="夜值","夜值(晚)",IF(O18="甲夜","夜值(晚) 甲案",IF(O18="備","08-18",IF(OR(O18="支援秘書室",O18="支援出納室",O18="支援警務科",O18="支援事務股"),"支援總(大)隊",IF(O18="支援檢疫所","支援(其他)",IF(  O18="/","空班",  IF(  O18="丙",  "※ 丙案",  IF(  O18="丙常訓",  "※ 丙案 常訓",O18  )))))))))))))))))))))))))</f>
        <v>支援總(大)隊</v>
      </c>
      <c r="P58" s="271" t="str">
        <f>IF(P18="早","08-18",IF(P18="中","12-22",IF(P18="晚","22-08",IF(P18="X","輪休",IF(P18="公","公假",IF(OR(P18="病",P18="事"),"病(事)假",IF(OR(P18="婚",P18="產"),"婚(產)假",IF(P18="補","補休",IF(P18="休","休假",IF(P18="喪","喪假",IF(AND(P18="/",OR($A18=日期輸入!$B$23,$A18=日期輸入!$C$23,$A18=日期輸入!$D$23,$A18=日期輸入!$E$23,$A18=日期輸入!$F$23)),"08-18水電科",IF(P18="大日","大隊值日(日)",IF(P18="大夜","大隊值日(夜)",IF(P18="值1","值1(早)",IF(P18="值1丙","值1(早) 丙案",IF(P18="值2","值2(中)",IF(P18="值2乙","值2(中) 乙案",IF(P18="夜值","夜值(晚)",IF(P18="甲夜","夜值(晚) 甲案",IF(P18="備","08-18",IF(OR(P18="支援秘書室",P18="支援出納室",P18="支援警務科",P18="支援事務股"),"支援總(大)隊",IF(P18="支援檢疫所","支援(其他)",IF(  P18="/","空班",  IF(  P18="丙",  "※ 丙案",  IF(  P18="丙常訓",  "※ 丙案 常訓",P18  )))))))))))))))))))))))))</f>
        <v>支援總(大)隊</v>
      </c>
      <c r="Q58" s="271" t="str">
        <f>IF(Q18="早","08-18",IF(Q18="中","12-22",IF(Q18="晚","22-08",IF(Q18="X","輪休",IF(Q18="公","公假",IF(OR(Q18="病",Q18="事"),"病(事)假",IF(OR(Q18="婚",Q18="產"),"婚(產)假",IF(Q18="補","補休",IF(Q18="休","休假",IF(Q18="喪","喪假",IF(AND(Q18="/",OR($A18=日期輸入!$B$23,$A18=日期輸入!$C$23,$A18=日期輸入!$D$23,$A18=日期輸入!$E$23,$A18=日期輸入!$F$23)),"08-18水電科",IF(Q18="大日","大隊值日(日)",IF(Q18="大夜","大隊值日(夜)",IF(Q18="值1","值1(早)",IF(Q18="值1丙","值1(早) 丙案",IF(Q18="值2","值2(中)",IF(Q18="值2乙","值2(中) 乙案",IF(Q18="夜值","夜值(晚)",IF(Q18="甲夜","夜值(晚) 甲案",IF(Q18="備","08-18",IF(OR(Q18="支援秘書室",Q18="支援出納室",Q18="支援警務科",Q18="支援事務股"),"支援總(大)隊",IF(Q18="支援檢疫所","支援(其他)",IF(  Q18="/","空班",  IF(  Q18="丙",  "※ 丙案",  IF(  Q18="丙常訓",  "※ 丙案 常訓",Q18  )))))))))))))))))))))))))</f>
        <v>支援總(大)隊</v>
      </c>
      <c r="R58" s="271" t="str">
        <f>IF(R18="早","08-18",IF(R18="中","12-22",IF(R18="晚","22-08",IF(R18="X","輪休",IF(R18="公","公假",IF(OR(R18="病",R18="事"),"病(事)假",IF(OR(R18="婚",R18="產"),"婚(產)假",IF(R18="補","補休",IF(R18="休","休假",IF(R18="喪","喪假",IF(AND(R18="/",OR($A18=日期輸入!$B$23,$A18=日期輸入!$C$23,$A18=日期輸入!$D$23,$A18=日期輸入!$E$23,$A18=日期輸入!$F$23)),"08-18水電科",IF(R18="大日","大隊值日(日)",IF(R18="大夜","大隊值日(夜)",IF(R18="值1","值1(早)",IF(R18="值1丙","值1(早) 丙案",IF(R18="值2","值2(中)",IF(R18="值2乙","值2(中) 乙案",IF(R18="夜值","夜值(晚)",IF(R18="甲夜","夜值(晚) 甲案",IF(R18="備","08-18",IF(OR(R18="支援秘書室",R18="支援出納室",R18="支援警務科",R18="支援事務股"),"支援總(大)隊",IF(R18="支援檢疫所","支援(其他)",IF(  R18="/","空班",  IF(  R18="丙",  "※ 丙案",  IF(  R18="丙常訓",  "※ 丙案 常訓",R18  )))))))))))))))))))))))))</f>
        <v>支援總(大)隊</v>
      </c>
      <c r="S58" s="271" t="str">
        <f>IF(S18="早","08-18",IF(S18="中","12-22",IF(S18="晚","22-08",IF(S18="X","輪休",IF(S18="公","公假",IF(OR(S18="病",S18="事"),"病(事)假",IF(OR(S18="婚",S18="產"),"婚(產)假",IF(S18="補","補休",IF(S18="休","休假",IF(S18="喪","喪假",IF(AND(S18="/",OR($A18=日期輸入!$B$23,$A18=日期輸入!$C$23,$A18=日期輸入!$D$23,$A18=日期輸入!$E$23,$A18=日期輸入!$F$23)),"08-18水電科",IF(S18="大日","大隊值日(日)",IF(S18="大夜","大隊值日(夜)",IF(S18="值1","值1(早)",IF(S18="值1丙","值1(早) 丙案",IF(S18="值2","值2(中)",IF(S18="值2乙","值2(中) 乙案",IF(S18="夜值","夜值(晚)",IF(S18="甲夜","夜值(晚) 甲案",IF(S18="備","08-18",IF(OR(S18="支援秘書室",S18="支援出納室",S18="支援警務科",S18="支援事務股"),"支援總(大)隊",IF(S18="支援檢疫所","支援(其他)",IF(  S18="/","空班",  IF(  S18="丙",  "※ 丙案",  IF(  S18="丙常訓",  "※ 丙案 常訓",S18  )))))))))))))))))))))))))</f>
        <v>支援總(大)隊</v>
      </c>
      <c r="T58" s="271" t="str">
        <f>IF(T18="早","08-18",IF(T18="中","12-22",IF(T18="晚","22-08",IF(T18="X","輪休",IF(T18="公","公假",IF(OR(T18="病",T18="事"),"病(事)假",IF(OR(T18="婚",T18="產"),"婚(產)假",IF(T18="補","補休",IF(T18="休","休假",IF(T18="喪","喪假",IF(AND(T18="/",OR($A18=日期輸入!$B$23,$A18=日期輸入!$C$23,$A18=日期輸入!$D$23,$A18=日期輸入!$E$23,$A18=日期輸入!$F$23)),"08-18水電科",IF(T18="大日","大隊值日(日)",IF(T18="大夜","大隊值日(夜)",IF(T18="值1","值1(早)",IF(T18="值1丙","值1(早) 丙案",IF(T18="值2","值2(中)",IF(T18="值2乙","值2(中) 乙案",IF(T18="夜值","夜值(晚)",IF(T18="甲夜","夜值(晚) 甲案",IF(T18="備","08-18",IF(OR(T18="支援秘書室",T18="支援出納室",T18="支援警務科",T18="支援事務股"),"支援總(大)隊",IF(T18="支援檢疫所","支援(其他)",IF(  T18="/","空班",  IF(  T18="丙",  "※ 丙案",  IF(  T18="丙常訓",  "※ 丙案 常訓",T18  )))))))))))))))))))))))))</f>
        <v>支援總(大)隊</v>
      </c>
      <c r="U58" s="271" t="str">
        <f>IF(U18="早","08-18",IF(U18="中","12-22",IF(U18="晚","22-08",IF(U18="X","輪休",IF(U18="公","公假",IF(OR(U18="病",U18="事"),"病(事)假",IF(OR(U18="婚",U18="產"),"婚(產)假",IF(U18="補","補休",IF(U18="休","休假",IF(U18="喪","喪假",IF(AND(U18="/",OR($A18=日期輸入!$B$23,$A18=日期輸入!$C$23,$A18=日期輸入!$D$23,$A18=日期輸入!$E$23,$A18=日期輸入!$F$23)),"08-18水電科",IF(U18="大日","大隊值日(日)",IF(U18="大夜","大隊值日(夜)",IF(U18="值1","值1(早)",IF(U18="值1丙","值1(早) 丙案",IF(U18="值2","值2(中)",IF(U18="值2乙","值2(中) 乙案",IF(U18="夜值","夜值(晚)",IF(U18="甲夜","夜值(晚) 甲案",IF(U18="備","08-18",IF(OR(U18="支援秘書室",U18="支援出納室",U18="支援警務科",U18="支援事務股"),"支援總(大)隊",IF(U18="支援檢疫所","支援(其他)",IF(  U18="/","空班",  IF(  U18="丙",  "※ 丙案",  IF(  U18="丙常訓",  "※ 丙案 常訓",U18  )))))))))))))))))))))))))</f>
        <v>支援總(大)隊</v>
      </c>
      <c r="V58" s="271" t="str">
        <f>IF(V18="早","08-18",IF(V18="中","12-22",IF(V18="晚","22-08",IF(V18="X","輪休",IF(V18="公","公假",IF(OR(V18="病",V18="事"),"病(事)假",IF(OR(V18="婚",V18="產"),"婚(產)假",IF(V18="補","補休",IF(V18="休","休假",IF(V18="喪","喪假",IF(AND(V18="/",OR($A18=日期輸入!$B$23,$A18=日期輸入!$C$23,$A18=日期輸入!$D$23,$A18=日期輸入!$E$23,$A18=日期輸入!$F$23)),"08-18水電科",IF(V18="大日","大隊值日(日)",IF(V18="大夜","大隊值日(夜)",IF(V18="值1","值1(早)",IF(V18="值1丙","值1(早) 丙案",IF(V18="值2","值2(中)",IF(V18="值2乙","值2(中) 乙案",IF(V18="夜值","夜值(晚)",IF(V18="甲夜","夜值(晚) 甲案",IF(V18="備","08-18",IF(OR(V18="支援秘書室",V18="支援出納室",V18="支援警務科",V18="支援事務股"),"支援總(大)隊",IF(V18="支援檢疫所","支援(其他)",IF(  V18="/","空班",  IF(  V18="丙",  "※ 丙案",  IF(  V18="丙常訓",  "※ 丙案 常訓",V18  )))))))))))))))))))))))))</f>
        <v>支援總(大)隊</v>
      </c>
      <c r="W58" s="271" t="str">
        <f>IF(W18="早","08-18",IF(W18="中","12-22",IF(W18="晚","22-08",IF(W18="X","輪休",IF(W18="公","公假",IF(OR(W18="病",W18="事"),"病(事)假",IF(OR(W18="婚",W18="產"),"婚(產)假",IF(W18="補","補休",IF(W18="休","休假",IF(W18="喪","喪假",IF(AND(W18="/",OR($A18=日期輸入!$B$23,$A18=日期輸入!$C$23,$A18=日期輸入!$D$23,$A18=日期輸入!$E$23,$A18=日期輸入!$F$23)),"08-18水電科",IF(W18="大日","大隊值日(日)",IF(W18="大夜","大隊值日(夜)",IF(W18="值1","值1(早)",IF(W18="值1丙","值1(早) 丙案",IF(W18="值2","值2(中)",IF(W18="值2乙","值2(中) 乙案",IF(W18="夜值","夜值(晚)",IF(W18="甲夜","夜值(晚) 甲案",IF(W18="備","08-18",IF(OR(W18="支援秘書室",W18="支援出納室",W18="支援警務科",W18="支援事務股"),"支援總(大)隊",IF(W18="支援檢疫所","支援(其他)",IF(  W18="/","空班",  IF(  W18="丙",  "※ 丙案",  IF(  W18="丙常訓",  "※ 丙案 常訓",W18  )))))))))))))))))))))))))</f>
        <v>支援總(大)隊</v>
      </c>
      <c r="X58" s="271" t="str">
        <f>IF(X18="早","08-18",IF(X18="中","12-22",IF(X18="晚","22-08",IF(X18="X","輪休",IF(X18="公","公假",IF(OR(X18="病",X18="事"),"病(事)假",IF(OR(X18="婚",X18="產"),"婚(產)假",IF(X18="補","補休",IF(X18="休","休假",IF(X18="喪","喪假",IF(AND(X18="/",OR($A18=日期輸入!$B$23,$A18=日期輸入!$C$23,$A18=日期輸入!$D$23,$A18=日期輸入!$E$23,$A18=日期輸入!$F$23)),"08-18水電科",IF(X18="大日","大隊值日(日)",IF(X18="大夜","大隊值日(夜)",IF(X18="值1","值1(早)",IF(X18="值1丙","值1(早) 丙案",IF(X18="值2","值2(中)",IF(X18="值2乙","值2(中) 乙案",IF(X18="夜值","夜值(晚)",IF(X18="甲夜","夜值(晚) 甲案",IF(X18="備","08-18",IF(OR(X18="支援秘書室",X18="支援出納室",X18="支援警務科",X18="支援事務股"),"支援總(大)隊",IF(X18="支援檢疫所","支援(其他)",IF(  X18="/","空班",  IF(  X18="丙",  "※ 丙案",  IF(  X18="丙常訓",  "※ 丙案 常訓",X18  )))))))))))))))))))))))))</f>
        <v>支援總(大)隊</v>
      </c>
      <c r="Y58" s="271" t="str">
        <f>IF(Y18="早","08-18",IF(Y18="中","12-22",IF(Y18="晚","22-08",IF(Y18="X","輪休",IF(Y18="公","公假",IF(OR(Y18="病",Y18="事"),"病(事)假",IF(OR(Y18="婚",Y18="產"),"婚(產)假",IF(Y18="補","補休",IF(Y18="休","休假",IF(Y18="喪","喪假",IF(AND(Y18="/",OR($A18=日期輸入!$B$23,$A18=日期輸入!$C$23,$A18=日期輸入!$D$23,$A18=日期輸入!$E$23,$A18=日期輸入!$F$23)),"08-18水電科",IF(Y18="大日","大隊值日(日)",IF(Y18="大夜","大隊值日(夜)",IF(Y18="值1","值1(早)",IF(Y18="值1丙","值1(早) 丙案",IF(Y18="值2","值2(中)",IF(Y18="值2乙","值2(中) 乙案",IF(Y18="夜值","夜值(晚)",IF(Y18="甲夜","夜值(晚) 甲案",IF(Y18="備","08-18",IF(OR(Y18="支援秘書室",Y18="支援出納室",Y18="支援警務科",Y18="支援事務股"),"支援總(大)隊",IF(Y18="支援檢疫所","支援(其他)",IF(  Y18="/","空班",  IF(  Y18="丙",  "※ 丙案",  IF(  Y18="丙常訓",  "※ 丙案 常訓",Y18  )))))))))))))))))))))))))</f>
        <v>支援總(大)隊</v>
      </c>
      <c r="Z58" s="271" t="str">
        <f>IF(Z18="早","08-18",IF(Z18="中","12-22",IF(Z18="晚","22-08",IF(Z18="X","輪休",IF(Z18="公","公假",IF(OR(Z18="病",Z18="事"),"病(事)假",IF(OR(Z18="婚",Z18="產"),"婚(產)假",IF(Z18="補","補休",IF(Z18="休","休假",IF(Z18="喪","喪假",IF(AND(Z18="/",OR($A18=日期輸入!$B$23,$A18=日期輸入!$C$23,$A18=日期輸入!$D$23,$A18=日期輸入!$E$23,$A18=日期輸入!$F$23)),"08-18水電科",IF(Z18="大日","大隊值日(日)",IF(Z18="大夜","大隊值日(夜)",IF(Z18="值1","值1(早)",IF(Z18="值1丙","值1(早) 丙案",IF(Z18="值2","值2(中)",IF(Z18="值2乙","值2(中) 乙案",IF(Z18="夜值","夜值(晚)",IF(Z18="甲夜","夜值(晚) 甲案",IF(Z18="備","08-18",IF(OR(Z18="支援秘書室",Z18="支援出納室",Z18="支援警務科",Z18="支援事務股"),"支援總(大)隊",IF(Z18="支援檢疫所","支援(其他)",IF(  Z18="/","空班",  IF(  Z18="丙",  "※ 丙案",  IF(  Z18="丙常訓",  "※ 丙案 常訓",Z18  )))))))))))))))))))))))))</f>
        <v>支援總(大)隊</v>
      </c>
      <c r="AA58" s="271" t="str">
        <f>IF(AA18="早","08-18",IF(AA18="中","12-22",IF(AA18="晚","22-08",IF(AA18="X","輪休",IF(AA18="公","公假",IF(OR(AA18="病",AA18="事"),"病(事)假",IF(OR(AA18="婚",AA18="產"),"婚(產)假",IF(AA18="補","補休",IF(AA18="休","休假",IF(AA18="喪","喪假",IF(AND(AA18="/",OR($A18=日期輸入!$B$23,$A18=日期輸入!$C$23,$A18=日期輸入!$D$23,$A18=日期輸入!$E$23,$A18=日期輸入!$F$23)),"08-18水電科",IF(AA18="大日","大隊值日(日)",IF(AA18="大夜","大隊值日(夜)",IF(AA18="值1","值1(早)",IF(AA18="值1丙","值1(早) 丙案",IF(AA18="值2","值2(中)",IF(AA18="值2乙","值2(中) 乙案",IF(AA18="夜值","夜值(晚)",IF(AA18="甲夜","夜值(晚) 甲案",IF(AA18="備","08-18",IF(OR(AA18="支援秘書室",AA18="支援出納室",AA18="支援警務科",AA18="支援事務股"),"支援總(大)隊",IF(AA18="支援檢疫所","支援(其他)",IF(  AA18="/","空班",  IF(  AA18="丙",  "※ 丙案",  IF(  AA18="丙常訓",  "※ 丙案 常訓",AA18  )))))))))))))))))))))))))</f>
        <v>支援總(大)隊</v>
      </c>
      <c r="AB58" s="271" t="str">
        <f>IF(AB18="早","08-18",IF(AB18="中","12-22",IF(AB18="晚","22-08",IF(AB18="X","輪休",IF(AB18="公","公假",IF(OR(AB18="病",AB18="事"),"病(事)假",IF(OR(AB18="婚",AB18="產"),"婚(產)假",IF(AB18="補","補休",IF(AB18="休","休假",IF(AB18="喪","喪假",IF(AND(AB18="/",OR($A18=日期輸入!$B$23,$A18=日期輸入!$C$23,$A18=日期輸入!$D$23,$A18=日期輸入!$E$23,$A18=日期輸入!$F$23)),"08-18水電科",IF(AB18="大日","大隊值日(日)",IF(AB18="大夜","大隊值日(夜)",IF(AB18="值1","值1(早)",IF(AB18="值1丙","值1(早) 丙案",IF(AB18="值2","值2(中)",IF(AB18="值2乙","值2(中) 乙案",IF(AB18="夜值","夜值(晚)",IF(AB18="甲夜","夜值(晚) 甲案",IF(AB18="備","08-18",IF(OR(AB18="支援秘書室",AB18="支援出納室",AB18="支援警務科",AB18="支援事務股"),"支援總(大)隊",IF(AB18="支援檢疫所","支援(其他)",IF(  AB18="/","空班",  IF(  AB18="丙",  "※ 丙案",  IF(  AB18="丙常訓",  "※ 丙案 常訓",AB18  )))))))))))))))))))))))))</f>
        <v>支援總(大)隊</v>
      </c>
      <c r="AC58" s="271" t="str">
        <f>IF(AC18="早","08-18",IF(AC18="中","12-22",IF(AC18="晚","22-08",IF(AC18="X","輪休",IF(AC18="公","公假",IF(OR(AC18="病",AC18="事"),"病(事)假",IF(OR(AC18="婚",AC18="產"),"婚(產)假",IF(AC18="補","補休",IF(AC18="休","休假",IF(AC18="喪","喪假",IF(AND(AC18="/",OR($A18=日期輸入!$B$23,$A18=日期輸入!$C$23,$A18=日期輸入!$D$23,$A18=日期輸入!$E$23,$A18=日期輸入!$F$23)),"08-18水電科",IF(AC18="大日","大隊值日(日)",IF(AC18="大夜","大隊值日(夜)",IF(AC18="值1","值1(早)",IF(AC18="值1丙","值1(早) 丙案",IF(AC18="值2","值2(中)",IF(AC18="值2乙","值2(中) 乙案",IF(AC18="夜值","夜值(晚)",IF(AC18="甲夜","夜值(晚) 甲案",IF(AC18="備","08-18",IF(OR(AC18="支援秘書室",AC18="支援出納室",AC18="支援警務科",AC18="支援事務股"),"支援總(大)隊",IF(AC18="支援檢疫所","支援(其他)",IF(  AC18="/","空班",  IF(  AC18="丙",  "※ 丙案",  IF(  AC18="丙常訓",  "※ 丙案 常訓",AC18  )))))))))))))))))))))))))</f>
        <v>支援總(大)隊</v>
      </c>
      <c r="AD58" s="271" t="str">
        <f>IF(AD18="早","08-18",IF(AD18="中","12-22",IF(AD18="晚","22-08",IF(AD18="X","輪休",IF(AD18="公","公假",IF(OR(AD18="病",AD18="事"),"病(事)假",IF(OR(AD18="婚",AD18="產"),"婚(產)假",IF(AD18="補","補休",IF(AD18="休","休假",IF(AD18="喪","喪假",IF(AND(AD18="/",OR($A18=日期輸入!$B$23,$A18=日期輸入!$C$23,$A18=日期輸入!$D$23,$A18=日期輸入!$E$23,$A18=日期輸入!$F$23)),"08-18水電科",IF(AD18="大日","大隊值日(日)",IF(AD18="大夜","大隊值日(夜)",IF(AD18="值1","值1(早)",IF(AD18="值1丙","值1(早) 丙案",IF(AD18="值2","值2(中)",IF(AD18="值2乙","值2(中) 乙案",IF(AD18="夜值","夜值(晚)",IF(AD18="甲夜","夜值(晚) 甲案",IF(AD18="備","08-18",IF(OR(AD18="支援秘書室",AD18="支援出納室",AD18="支援警務科",AD18="支援事務股"),"支援總(大)隊",IF(AD18="支援檢疫所","支援(其他)",IF(  AD18="/","空班",  IF(  AD18="丙",  "※ 丙案",  IF(  AD18="丙常訓",  "※ 丙案 常訓",AD18  )))))))))))))))))))))))))</f>
        <v>支援總(大)隊</v>
      </c>
      <c r="AE58" s="271" t="str">
        <f>IF(AE18="早","08-18",IF(AE18="中","12-22",IF(AE18="晚","22-08",IF(AE18="X","輪休",IF(AE18="公","公假",IF(OR(AE18="病",AE18="事"),"病(事)假",IF(OR(AE18="婚",AE18="產"),"婚(產)假",IF(AE18="補","補休",IF(AE18="休","休假",IF(AE18="喪","喪假",IF(AND(AE18="/",OR($A18=日期輸入!$B$23,$A18=日期輸入!$C$23,$A18=日期輸入!$D$23,$A18=日期輸入!$E$23,$A18=日期輸入!$F$23)),"08-18水電科",IF(AE18="大日","大隊值日(日)",IF(AE18="大夜","大隊值日(夜)",IF(AE18="值1","值1(早)",IF(AE18="值1丙","值1(早) 丙案",IF(AE18="值2","值2(中)",IF(AE18="值2乙","值2(中) 乙案",IF(AE18="夜值","夜值(晚)",IF(AE18="甲夜","夜值(晚) 甲案",IF(AE18="備","08-18",IF(OR(AE18="支援秘書室",AE18="支援出納室",AE18="支援警務科",AE18="支援事務股"),"支援總(大)隊",IF(AE18="支援檢疫所","支援(其他)",IF(  AE18="/","空班",  IF(  AE18="丙",  "※ 丙案",  IF(  AE18="丙常訓",  "※ 丙案 常訓",AE18  )))))))))))))))))))))))))</f>
        <v>支援總(大)隊</v>
      </c>
      <c r="AF58" s="271" t="str">
        <f>IF(AF18="早","08-18",IF(AF18="中","12-22",IF(AF18="晚","22-08",IF(AF18="X","輪休",IF(AF18="公","公假",IF(OR(AF18="病",AF18="事"),"病(事)假",IF(OR(AF18="婚",AF18="產"),"婚(產)假",IF(AF18="補","補休",IF(AF18="休","休假",IF(AF18="喪","喪假",IF(AND(AF18="/",OR($A18=日期輸入!$B$23,$A18=日期輸入!$C$23,$A18=日期輸入!$D$23,$A18=日期輸入!$E$23,$A18=日期輸入!$F$23)),"08-18水電科",IF(AF18="大日","大隊值日(日)",IF(AF18="大夜","大隊值日(夜)",IF(AF18="值1","值1(早)",IF(AF18="值1丙","值1(早) 丙案",IF(AF18="值2","值2(中)",IF(AF18="值2乙","值2(中) 乙案",IF(AF18="夜值","夜值(晚)",IF(AF18="甲夜","夜值(晚) 甲案",IF(AF18="備","08-18",IF(OR(AF18="支援秘書室",AF18="支援出納室",AF18="支援警務科",AF18="支援事務股"),"支援總(大)隊",IF(AF18="支援檢疫所","支援(其他)",IF(  AF18="/","空班",  IF(  AF18="丙",  "※ 丙案",  IF(  AF18="丙常訓",  "※ 丙案 常訓",AF18  )))))))))))))))))))))))))</f>
        <v>支援總(大)隊</v>
      </c>
      <c r="AG58" s="271" t="str">
        <f>IF(AG18="早","08-18",IF(AG18="中","12-22",IF(AG18="晚","22-08",IF(AG18="X","輪休",IF(AG18="公","公假",IF(OR(AG18="病",AG18="事"),"病(事)假",IF(OR(AG18="婚",AG18="產"),"婚(產)假",IF(AG18="補","補休",IF(AG18="休","休假",IF(AG18="喪","喪假",IF(AND(AG18="/",OR($A18=日期輸入!$B$23,$A18=日期輸入!$C$23,$A18=日期輸入!$D$23,$A18=日期輸入!$E$23,$A18=日期輸入!$F$23)),"08-18水電科",IF(AG18="大日","大隊值日(日)",IF(AG18="大夜","大隊值日(夜)",IF(AG18="值1","值1(早)",IF(AG18="值1丙","值1(早) 丙案",IF(AG18="值2","值2(中)",IF(AG18="值2乙","值2(中) 乙案",IF(AG18="夜值","夜值(晚)",IF(AG18="甲夜","夜值(晚) 甲案",IF(AG18="備","08-18",IF(OR(AG18="支援秘書室",AG18="支援出納室",AG18="支援警務科",AG18="支援事務股"),"支援總(大)隊",IF(AG18="支援檢疫所","支援(其他)",IF(  AG18="/","空班",  IF(  AG18="丙",  "※ 丙案",  IF(  AG18="丙常訓",  "※ 丙案 常訓",AG18  )))))))))))))))))))))))))</f>
        <v>支援總(大)隊</v>
      </c>
    </row>
    <row r="59" spans="1:33">
      <c r="A59" s="271">
        <f t="shared" ref="A59:B59" si="18">A19</f>
        <v>55</v>
      </c>
      <c r="B59" s="271" t="str">
        <f t="shared" si="18"/>
        <v>林明慧</v>
      </c>
      <c r="C59" s="271" t="str">
        <f>IF(C19="早","08-18",IF(C19="中","12-22",IF(C19="晚","22-08",IF(C19="X","輪休",IF(C19="公","公假",IF(OR(C19="病",C19="事"),"病(事)假",IF(OR(C19="婚",C19="產"),"婚(產)假",IF(C19="補","補休",IF(C19="休","休假",IF(C19="喪","喪假",IF(AND(C19="/",OR($A19=日期輸入!$B$23,$A19=日期輸入!$C$23,$A19=日期輸入!$D$23,$A19=日期輸入!$E$23,$A19=日期輸入!$F$23)),"08-18水電科",IF(C19="大日","大隊值日(日)",IF(C19="大夜","大隊值日(夜)",IF(C19="值1","值1(早)",IF(C19="值1丙","值1(早) 丙案",IF(C19="值2","值2(中)",IF(C19="值2乙","值2(中) 乙案",IF(C19="夜值","夜值(晚)",IF(C19="甲夜","夜值(晚) 甲案",IF(C19="備","08-18",IF(OR(C19="支援秘書室",C19="支援出納室",C19="支援警務科",C19="支援事務股"),"支援總(大)隊",IF(C19="支援檢疫所","支援(其他)",IF(  C19="/","空班",  IF(  C19="丙",  "※ 丙案",  IF(  C19="丙常訓",  "※ 丙案 常訓",C19  )))))))))))))))))))))))))</f>
        <v>支援總(大)隊</v>
      </c>
      <c r="D59" s="271" t="str">
        <f>IF(D19="早","08-18",IF(D19="中","12-22",IF(D19="晚","22-08",IF(D19="X","輪休",IF(D19="公","公假",IF(OR(D19="病",D19="事"),"病(事)假",IF(OR(D19="婚",D19="產"),"婚(產)假",IF(D19="補","補休",IF(D19="休","休假",IF(D19="喪","喪假",IF(AND(D19="/",OR($A19=日期輸入!$B$23,$A19=日期輸入!$C$23,$A19=日期輸入!$D$23,$A19=日期輸入!$E$23,$A19=日期輸入!$F$23)),"08-18水電科",IF(D19="大日","大隊值日(日)",IF(D19="大夜","大隊值日(夜)",IF(D19="值1","值1(早)",IF(D19="值1丙","值1(早) 丙案",IF(D19="值2","值2(中)",IF(D19="值2乙","值2(中) 乙案",IF(D19="夜值","夜值(晚)",IF(D19="甲夜","夜值(晚) 甲案",IF(D19="備","08-18",IF(OR(D19="支援秘書室",D19="支援出納室",D19="支援警務科",D19="支援事務股"),"支援總(大)隊",IF(D19="支援檢疫所","支援(其他)",IF(  D19="/","空班",  IF(  D19="丙",  "※ 丙案",  IF(  D19="丙常訓",  "※ 丙案 常訓",D19  )))))))))))))))))))))))))</f>
        <v>支援總(大)隊</v>
      </c>
      <c r="E59" s="271" t="str">
        <f>IF(E19="早","08-18",IF(E19="中","12-22",IF(E19="晚","22-08",IF(E19="X","輪休",IF(E19="公","公假",IF(OR(E19="病",E19="事"),"病(事)假",IF(OR(E19="婚",E19="產"),"婚(產)假",IF(E19="補","補休",IF(E19="休","休假",IF(E19="喪","喪假",IF(AND(E19="/",OR($A19=日期輸入!$B$23,$A19=日期輸入!$C$23,$A19=日期輸入!$D$23,$A19=日期輸入!$E$23,$A19=日期輸入!$F$23)),"08-18水電科",IF(E19="大日","大隊值日(日)",IF(E19="大夜","大隊值日(夜)",IF(E19="值1","值1(早)",IF(E19="值1丙","值1(早) 丙案",IF(E19="值2","值2(中)",IF(E19="值2乙","值2(中) 乙案",IF(E19="夜值","夜值(晚)",IF(E19="甲夜","夜值(晚) 甲案",IF(E19="備","08-18",IF(OR(E19="支援秘書室",E19="支援出納室",E19="支援警務科",E19="支援事務股"),"支援總(大)隊",IF(E19="支援檢疫所","支援(其他)",IF(  E19="/","空班",  IF(  E19="丙",  "※ 丙案",  IF(  E19="丙常訓",  "※ 丙案 常訓",E19  )))))))))))))))))))))))))</f>
        <v>支援總(大)隊</v>
      </c>
      <c r="F59" s="271" t="str">
        <f>IF(F19="早","08-18",IF(F19="中","12-22",IF(F19="晚","22-08",IF(F19="X","輪休",IF(F19="公","公假",IF(OR(F19="病",F19="事"),"病(事)假",IF(OR(F19="婚",F19="產"),"婚(產)假",IF(F19="補","補休",IF(F19="休","休假",IF(F19="喪","喪假",IF(AND(F19="/",OR($A19=日期輸入!$B$23,$A19=日期輸入!$C$23,$A19=日期輸入!$D$23,$A19=日期輸入!$E$23,$A19=日期輸入!$F$23)),"08-18水電科",IF(F19="大日","大隊值日(日)",IF(F19="大夜","大隊值日(夜)",IF(F19="值1","值1(早)",IF(F19="值1丙","值1(早) 丙案",IF(F19="值2","值2(中)",IF(F19="值2乙","值2(中) 乙案",IF(F19="夜值","夜值(晚)",IF(F19="甲夜","夜值(晚) 甲案",IF(F19="備","08-18",IF(OR(F19="支援秘書室",F19="支援出納室",F19="支援警務科",F19="支援事務股"),"支援總(大)隊",IF(F19="支援檢疫所","支援(其他)",IF(  F19="/","空班",  IF(  F19="丙",  "※ 丙案",  IF(  F19="丙常訓",  "※ 丙案 常訓",F19  )))))))))))))))))))))))))</f>
        <v>支援總(大)隊</v>
      </c>
      <c r="G59" s="271" t="str">
        <f>IF(G19="早","08-18",IF(G19="中","12-22",IF(G19="晚","22-08",IF(G19="X","輪休",IF(G19="公","公假",IF(OR(G19="病",G19="事"),"病(事)假",IF(OR(G19="婚",G19="產"),"婚(產)假",IF(G19="補","補休",IF(G19="休","休假",IF(G19="喪","喪假",IF(AND(G19="/",OR($A19=日期輸入!$B$23,$A19=日期輸入!$C$23,$A19=日期輸入!$D$23,$A19=日期輸入!$E$23,$A19=日期輸入!$F$23)),"08-18水電科",IF(G19="大日","大隊值日(日)",IF(G19="大夜","大隊值日(夜)",IF(G19="值1","值1(早)",IF(G19="值1丙","值1(早) 丙案",IF(G19="值2","值2(中)",IF(G19="值2乙","值2(中) 乙案",IF(G19="夜值","夜值(晚)",IF(G19="甲夜","夜值(晚) 甲案",IF(G19="備","08-18",IF(OR(G19="支援秘書室",G19="支援出納室",G19="支援警務科",G19="支援事務股"),"支援總(大)隊",IF(G19="支援檢疫所","支援(其他)",IF(  G19="/","空班",  IF(  G19="丙",  "※ 丙案",  IF(  G19="丙常訓",  "※ 丙案 常訓",G19  )))))))))))))))))))))))))</f>
        <v>支援總(大)隊</v>
      </c>
      <c r="H59" s="271" t="str">
        <f>IF(H19="早","08-18",IF(H19="中","12-22",IF(H19="晚","22-08",IF(H19="X","輪休",IF(H19="公","公假",IF(OR(H19="病",H19="事"),"病(事)假",IF(OR(H19="婚",H19="產"),"婚(產)假",IF(H19="補","補休",IF(H19="休","休假",IF(H19="喪","喪假",IF(AND(H19="/",OR($A19=日期輸入!$B$23,$A19=日期輸入!$C$23,$A19=日期輸入!$D$23,$A19=日期輸入!$E$23,$A19=日期輸入!$F$23)),"08-18水電科",IF(H19="大日","大隊值日(日)",IF(H19="大夜","大隊值日(夜)",IF(H19="值1","值1(早)",IF(H19="值1丙","值1(早) 丙案",IF(H19="值2","值2(中)",IF(H19="值2乙","值2(中) 乙案",IF(H19="夜值","夜值(晚)",IF(H19="甲夜","夜值(晚) 甲案",IF(H19="備","08-18",IF(OR(H19="支援秘書室",H19="支援出納室",H19="支援警務科",H19="支援事務股"),"支援總(大)隊",IF(H19="支援檢疫所","支援(其他)",IF(  H19="/","空班",  IF(  H19="丙",  "※ 丙案",  IF(  H19="丙常訓",  "※ 丙案 常訓",H19  )))))))))))))))))))))))))</f>
        <v>支援總(大)隊</v>
      </c>
      <c r="I59" s="271" t="str">
        <f>IF(I19="早","08-18",IF(I19="中","12-22",IF(I19="晚","22-08",IF(I19="X","輪休",IF(I19="公","公假",IF(OR(I19="病",I19="事"),"病(事)假",IF(OR(I19="婚",I19="產"),"婚(產)假",IF(I19="補","補休",IF(I19="休","休假",IF(I19="喪","喪假",IF(AND(I19="/",OR($A19=日期輸入!$B$23,$A19=日期輸入!$C$23,$A19=日期輸入!$D$23,$A19=日期輸入!$E$23,$A19=日期輸入!$F$23)),"08-18水電科",IF(I19="大日","大隊值日(日)",IF(I19="大夜","大隊值日(夜)",IF(I19="值1","值1(早)",IF(I19="值1丙","值1(早) 丙案",IF(I19="值2","值2(中)",IF(I19="值2乙","值2(中) 乙案",IF(I19="夜值","夜值(晚)",IF(I19="甲夜","夜值(晚) 甲案",IF(I19="備","08-18",IF(OR(I19="支援秘書室",I19="支援出納室",I19="支援警務科",I19="支援事務股"),"支援總(大)隊",IF(I19="支援檢疫所","支援(其他)",IF(  I19="/","空班",  IF(  I19="丙",  "※ 丙案",  IF(  I19="丙常訓",  "※ 丙案 常訓",I19  )))))))))))))))))))))))))</f>
        <v>支援總(大)隊</v>
      </c>
      <c r="J59" s="271" t="str">
        <f>IF(J19="早","08-18",IF(J19="中","12-22",IF(J19="晚","22-08",IF(J19="X","輪休",IF(J19="公","公假",IF(OR(J19="病",J19="事"),"病(事)假",IF(OR(J19="婚",J19="產"),"婚(產)假",IF(J19="補","補休",IF(J19="休","休假",IF(J19="喪","喪假",IF(AND(J19="/",OR($A19=日期輸入!$B$23,$A19=日期輸入!$C$23,$A19=日期輸入!$D$23,$A19=日期輸入!$E$23,$A19=日期輸入!$F$23)),"08-18水電科",IF(J19="大日","大隊值日(日)",IF(J19="大夜","大隊值日(夜)",IF(J19="值1","值1(早)",IF(J19="值1丙","值1(早) 丙案",IF(J19="值2","值2(中)",IF(J19="值2乙","值2(中) 乙案",IF(J19="夜值","夜值(晚)",IF(J19="甲夜","夜值(晚) 甲案",IF(J19="備","08-18",IF(OR(J19="支援秘書室",J19="支援出納室",J19="支援警務科",J19="支援事務股"),"支援總(大)隊",IF(J19="支援檢疫所","支援(其他)",IF(  J19="/","空班",  IF(  J19="丙",  "※ 丙案",  IF(  J19="丙常訓",  "※ 丙案 常訓",J19  )))))))))))))))))))))))))</f>
        <v>支援總(大)隊</v>
      </c>
      <c r="K59" s="271" t="str">
        <f>IF(K19="早","08-18",IF(K19="中","12-22",IF(K19="晚","22-08",IF(K19="X","輪休",IF(K19="公","公假",IF(OR(K19="病",K19="事"),"病(事)假",IF(OR(K19="婚",K19="產"),"婚(產)假",IF(K19="補","補休",IF(K19="休","休假",IF(K19="喪","喪假",IF(AND(K19="/",OR($A19=日期輸入!$B$23,$A19=日期輸入!$C$23,$A19=日期輸入!$D$23,$A19=日期輸入!$E$23,$A19=日期輸入!$F$23)),"08-18水電科",IF(K19="大日","大隊值日(日)",IF(K19="大夜","大隊值日(夜)",IF(K19="值1","值1(早)",IF(K19="值1丙","值1(早) 丙案",IF(K19="值2","值2(中)",IF(K19="值2乙","值2(中) 乙案",IF(K19="夜值","夜值(晚)",IF(K19="甲夜","夜值(晚) 甲案",IF(K19="備","08-18",IF(OR(K19="支援秘書室",K19="支援出納室",K19="支援警務科",K19="支援事務股"),"支援總(大)隊",IF(K19="支援檢疫所","支援(其他)",IF(  K19="/","空班",  IF(  K19="丙",  "※ 丙案",  IF(  K19="丙常訓",  "※ 丙案 常訓",K19  )))))))))))))))))))))))))</f>
        <v>支援總(大)隊</v>
      </c>
      <c r="L59" s="271" t="str">
        <f>IF(L19="早","08-18",IF(L19="中","12-22",IF(L19="晚","22-08",IF(L19="X","輪休",IF(L19="公","公假",IF(OR(L19="病",L19="事"),"病(事)假",IF(OR(L19="婚",L19="產"),"婚(產)假",IF(L19="補","補休",IF(L19="休","休假",IF(L19="喪","喪假",IF(AND(L19="/",OR($A19=日期輸入!$B$23,$A19=日期輸入!$C$23,$A19=日期輸入!$D$23,$A19=日期輸入!$E$23,$A19=日期輸入!$F$23)),"08-18水電科",IF(L19="大日","大隊值日(日)",IF(L19="大夜","大隊值日(夜)",IF(L19="值1","值1(早)",IF(L19="值1丙","值1(早) 丙案",IF(L19="值2","值2(中)",IF(L19="值2乙","值2(中) 乙案",IF(L19="夜值","夜值(晚)",IF(L19="甲夜","夜值(晚) 甲案",IF(L19="備","08-18",IF(OR(L19="支援秘書室",L19="支援出納室",L19="支援警務科",L19="支援事務股"),"支援總(大)隊",IF(L19="支援檢疫所","支援(其他)",IF(  L19="/","空班",  IF(  L19="丙",  "※ 丙案",  IF(  L19="丙常訓",  "※ 丙案 常訓",L19  )))))))))))))))))))))))))</f>
        <v>支援總(大)隊</v>
      </c>
      <c r="M59" s="271" t="str">
        <f>IF(M19="早","08-18",IF(M19="中","12-22",IF(M19="晚","22-08",IF(M19="X","輪休",IF(M19="公","公假",IF(OR(M19="病",M19="事"),"病(事)假",IF(OR(M19="婚",M19="產"),"婚(產)假",IF(M19="補","補休",IF(M19="休","休假",IF(M19="喪","喪假",IF(AND(M19="/",OR($A19=日期輸入!$B$23,$A19=日期輸入!$C$23,$A19=日期輸入!$D$23,$A19=日期輸入!$E$23,$A19=日期輸入!$F$23)),"08-18水電科",IF(M19="大日","大隊值日(日)",IF(M19="大夜","大隊值日(夜)",IF(M19="值1","值1(早)",IF(M19="值1丙","值1(早) 丙案",IF(M19="值2","值2(中)",IF(M19="值2乙","值2(中) 乙案",IF(M19="夜值","夜值(晚)",IF(M19="甲夜","夜值(晚) 甲案",IF(M19="備","08-18",IF(OR(M19="支援秘書室",M19="支援出納室",M19="支援警務科",M19="支援事務股"),"支援總(大)隊",IF(M19="支援檢疫所","支援(其他)",IF(  M19="/","空班",  IF(  M19="丙",  "※ 丙案",  IF(  M19="丙常訓",  "※ 丙案 常訓",M19  )))))))))))))))))))))))))</f>
        <v>支援總(大)隊</v>
      </c>
      <c r="N59" s="271" t="str">
        <f>IF(N19="早","08-18",IF(N19="中","12-22",IF(N19="晚","22-08",IF(N19="X","輪休",IF(N19="公","公假",IF(OR(N19="病",N19="事"),"病(事)假",IF(OR(N19="婚",N19="產"),"婚(產)假",IF(N19="補","補休",IF(N19="休","休假",IF(N19="喪","喪假",IF(AND(N19="/",OR($A19=日期輸入!$B$23,$A19=日期輸入!$C$23,$A19=日期輸入!$D$23,$A19=日期輸入!$E$23,$A19=日期輸入!$F$23)),"08-18水電科",IF(N19="大日","大隊值日(日)",IF(N19="大夜","大隊值日(夜)",IF(N19="值1","值1(早)",IF(N19="值1丙","值1(早) 丙案",IF(N19="值2","值2(中)",IF(N19="值2乙","值2(中) 乙案",IF(N19="夜值","夜值(晚)",IF(N19="甲夜","夜值(晚) 甲案",IF(N19="備","08-18",IF(OR(N19="支援秘書室",N19="支援出納室",N19="支援警務科",N19="支援事務股"),"支援總(大)隊",IF(N19="支援檢疫所","支援(其他)",IF(  N19="/","空班",  IF(  N19="丙",  "※ 丙案",  IF(  N19="丙常訓",  "※ 丙案 常訓",N19  )))))))))))))))))))))))))</f>
        <v>支援總(大)隊</v>
      </c>
      <c r="O59" s="271" t="str">
        <f>IF(O19="早","08-18",IF(O19="中","12-22",IF(O19="晚","22-08",IF(O19="X","輪休",IF(O19="公","公假",IF(OR(O19="病",O19="事"),"病(事)假",IF(OR(O19="婚",O19="產"),"婚(產)假",IF(O19="補","補休",IF(O19="休","休假",IF(O19="喪","喪假",IF(AND(O19="/",OR($A19=日期輸入!$B$23,$A19=日期輸入!$C$23,$A19=日期輸入!$D$23,$A19=日期輸入!$E$23,$A19=日期輸入!$F$23)),"08-18水電科",IF(O19="大日","大隊值日(日)",IF(O19="大夜","大隊值日(夜)",IF(O19="值1","值1(早)",IF(O19="值1丙","值1(早) 丙案",IF(O19="值2","值2(中)",IF(O19="值2乙","值2(中) 乙案",IF(O19="夜值","夜值(晚)",IF(O19="甲夜","夜值(晚) 甲案",IF(O19="備","08-18",IF(OR(O19="支援秘書室",O19="支援出納室",O19="支援警務科",O19="支援事務股"),"支援總(大)隊",IF(O19="支援檢疫所","支援(其他)",IF(  O19="/","空班",  IF(  O19="丙",  "※ 丙案",  IF(  O19="丙常訓",  "※ 丙案 常訓",O19  )))))))))))))))))))))))))</f>
        <v>支援總(大)隊</v>
      </c>
      <c r="P59" s="271" t="str">
        <f>IF(P19="早","08-18",IF(P19="中","12-22",IF(P19="晚","22-08",IF(P19="X","輪休",IF(P19="公","公假",IF(OR(P19="病",P19="事"),"病(事)假",IF(OR(P19="婚",P19="產"),"婚(產)假",IF(P19="補","補休",IF(P19="休","休假",IF(P19="喪","喪假",IF(AND(P19="/",OR($A19=日期輸入!$B$23,$A19=日期輸入!$C$23,$A19=日期輸入!$D$23,$A19=日期輸入!$E$23,$A19=日期輸入!$F$23)),"08-18水電科",IF(P19="大日","大隊值日(日)",IF(P19="大夜","大隊值日(夜)",IF(P19="值1","值1(早)",IF(P19="值1丙","值1(早) 丙案",IF(P19="值2","值2(中)",IF(P19="值2乙","值2(中) 乙案",IF(P19="夜值","夜值(晚)",IF(P19="甲夜","夜值(晚) 甲案",IF(P19="備","08-18",IF(OR(P19="支援秘書室",P19="支援出納室",P19="支援警務科",P19="支援事務股"),"支援總(大)隊",IF(P19="支援檢疫所","支援(其他)",IF(  P19="/","空班",  IF(  P19="丙",  "※ 丙案",  IF(  P19="丙常訓",  "※ 丙案 常訓",P19  )))))))))))))))))))))))))</f>
        <v>支援總(大)隊</v>
      </c>
      <c r="Q59" s="271" t="str">
        <f>IF(Q19="早","08-18",IF(Q19="中","12-22",IF(Q19="晚","22-08",IF(Q19="X","輪休",IF(Q19="公","公假",IF(OR(Q19="病",Q19="事"),"病(事)假",IF(OR(Q19="婚",Q19="產"),"婚(產)假",IF(Q19="補","補休",IF(Q19="休","休假",IF(Q19="喪","喪假",IF(AND(Q19="/",OR($A19=日期輸入!$B$23,$A19=日期輸入!$C$23,$A19=日期輸入!$D$23,$A19=日期輸入!$E$23,$A19=日期輸入!$F$23)),"08-18水電科",IF(Q19="大日","大隊值日(日)",IF(Q19="大夜","大隊值日(夜)",IF(Q19="值1","值1(早)",IF(Q19="值1丙","值1(早) 丙案",IF(Q19="值2","值2(中)",IF(Q19="值2乙","值2(中) 乙案",IF(Q19="夜值","夜值(晚)",IF(Q19="甲夜","夜值(晚) 甲案",IF(Q19="備","08-18",IF(OR(Q19="支援秘書室",Q19="支援出納室",Q19="支援警務科",Q19="支援事務股"),"支援總(大)隊",IF(Q19="支援檢疫所","支援(其他)",IF(  Q19="/","空班",  IF(  Q19="丙",  "※ 丙案",  IF(  Q19="丙常訓",  "※ 丙案 常訓",Q19  )))))))))))))))))))))))))</f>
        <v>支援總(大)隊</v>
      </c>
      <c r="R59" s="271" t="str">
        <f>IF(R19="早","08-18",IF(R19="中","12-22",IF(R19="晚","22-08",IF(R19="X","輪休",IF(R19="公","公假",IF(OR(R19="病",R19="事"),"病(事)假",IF(OR(R19="婚",R19="產"),"婚(產)假",IF(R19="補","補休",IF(R19="休","休假",IF(R19="喪","喪假",IF(AND(R19="/",OR($A19=日期輸入!$B$23,$A19=日期輸入!$C$23,$A19=日期輸入!$D$23,$A19=日期輸入!$E$23,$A19=日期輸入!$F$23)),"08-18水電科",IF(R19="大日","大隊值日(日)",IF(R19="大夜","大隊值日(夜)",IF(R19="值1","值1(早)",IF(R19="值1丙","值1(早) 丙案",IF(R19="值2","值2(中)",IF(R19="值2乙","值2(中) 乙案",IF(R19="夜值","夜值(晚)",IF(R19="甲夜","夜值(晚) 甲案",IF(R19="備","08-18",IF(OR(R19="支援秘書室",R19="支援出納室",R19="支援警務科",R19="支援事務股"),"支援總(大)隊",IF(R19="支援檢疫所","支援(其他)",IF(  R19="/","空班",  IF(  R19="丙",  "※ 丙案",  IF(  R19="丙常訓",  "※ 丙案 常訓",R19  )))))))))))))))))))))))))</f>
        <v>支援總(大)隊</v>
      </c>
      <c r="S59" s="271" t="str">
        <f>IF(S19="早","08-18",IF(S19="中","12-22",IF(S19="晚","22-08",IF(S19="X","輪休",IF(S19="公","公假",IF(OR(S19="病",S19="事"),"病(事)假",IF(OR(S19="婚",S19="產"),"婚(產)假",IF(S19="補","補休",IF(S19="休","休假",IF(S19="喪","喪假",IF(AND(S19="/",OR($A19=日期輸入!$B$23,$A19=日期輸入!$C$23,$A19=日期輸入!$D$23,$A19=日期輸入!$E$23,$A19=日期輸入!$F$23)),"08-18水電科",IF(S19="大日","大隊值日(日)",IF(S19="大夜","大隊值日(夜)",IF(S19="值1","值1(早)",IF(S19="值1丙","值1(早) 丙案",IF(S19="值2","值2(中)",IF(S19="值2乙","值2(中) 乙案",IF(S19="夜值","夜值(晚)",IF(S19="甲夜","夜值(晚) 甲案",IF(S19="備","08-18",IF(OR(S19="支援秘書室",S19="支援出納室",S19="支援警務科",S19="支援事務股"),"支援總(大)隊",IF(S19="支援檢疫所","支援(其他)",IF(  S19="/","空班",  IF(  S19="丙",  "※ 丙案",  IF(  S19="丙常訓",  "※ 丙案 常訓",S19  )))))))))))))))))))))))))</f>
        <v>支援總(大)隊</v>
      </c>
      <c r="T59" s="271" t="str">
        <f>IF(T19="早","08-18",IF(T19="中","12-22",IF(T19="晚","22-08",IF(T19="X","輪休",IF(T19="公","公假",IF(OR(T19="病",T19="事"),"病(事)假",IF(OR(T19="婚",T19="產"),"婚(產)假",IF(T19="補","補休",IF(T19="休","休假",IF(T19="喪","喪假",IF(AND(T19="/",OR($A19=日期輸入!$B$23,$A19=日期輸入!$C$23,$A19=日期輸入!$D$23,$A19=日期輸入!$E$23,$A19=日期輸入!$F$23)),"08-18水電科",IF(T19="大日","大隊值日(日)",IF(T19="大夜","大隊值日(夜)",IF(T19="值1","值1(早)",IF(T19="值1丙","值1(早) 丙案",IF(T19="值2","值2(中)",IF(T19="值2乙","值2(中) 乙案",IF(T19="夜值","夜值(晚)",IF(T19="甲夜","夜值(晚) 甲案",IF(T19="備","08-18",IF(OR(T19="支援秘書室",T19="支援出納室",T19="支援警務科",T19="支援事務股"),"支援總(大)隊",IF(T19="支援檢疫所","支援(其他)",IF(  T19="/","空班",  IF(  T19="丙",  "※ 丙案",  IF(  T19="丙常訓",  "※ 丙案 常訓",T19  )))))))))))))))))))))))))</f>
        <v>支援總(大)隊</v>
      </c>
      <c r="U59" s="271" t="str">
        <f>IF(U19="早","08-18",IF(U19="中","12-22",IF(U19="晚","22-08",IF(U19="X","輪休",IF(U19="公","公假",IF(OR(U19="病",U19="事"),"病(事)假",IF(OR(U19="婚",U19="產"),"婚(產)假",IF(U19="補","補休",IF(U19="休","休假",IF(U19="喪","喪假",IF(AND(U19="/",OR($A19=日期輸入!$B$23,$A19=日期輸入!$C$23,$A19=日期輸入!$D$23,$A19=日期輸入!$E$23,$A19=日期輸入!$F$23)),"08-18水電科",IF(U19="大日","大隊值日(日)",IF(U19="大夜","大隊值日(夜)",IF(U19="值1","值1(早)",IF(U19="值1丙","值1(早) 丙案",IF(U19="值2","值2(中)",IF(U19="值2乙","值2(中) 乙案",IF(U19="夜值","夜值(晚)",IF(U19="甲夜","夜值(晚) 甲案",IF(U19="備","08-18",IF(OR(U19="支援秘書室",U19="支援出納室",U19="支援警務科",U19="支援事務股"),"支援總(大)隊",IF(U19="支援檢疫所","支援(其他)",IF(  U19="/","空班",  IF(  U19="丙",  "※ 丙案",  IF(  U19="丙常訓",  "※ 丙案 常訓",U19  )))))))))))))))))))))))))</f>
        <v>支援總(大)隊</v>
      </c>
      <c r="V59" s="271" t="str">
        <f>IF(V19="早","08-18",IF(V19="中","12-22",IF(V19="晚","22-08",IF(V19="X","輪休",IF(V19="公","公假",IF(OR(V19="病",V19="事"),"病(事)假",IF(OR(V19="婚",V19="產"),"婚(產)假",IF(V19="補","補休",IF(V19="休","休假",IF(V19="喪","喪假",IF(AND(V19="/",OR($A19=日期輸入!$B$23,$A19=日期輸入!$C$23,$A19=日期輸入!$D$23,$A19=日期輸入!$E$23,$A19=日期輸入!$F$23)),"08-18水電科",IF(V19="大日","大隊值日(日)",IF(V19="大夜","大隊值日(夜)",IF(V19="值1","值1(早)",IF(V19="值1丙","值1(早) 丙案",IF(V19="值2","值2(中)",IF(V19="值2乙","值2(中) 乙案",IF(V19="夜值","夜值(晚)",IF(V19="甲夜","夜值(晚) 甲案",IF(V19="備","08-18",IF(OR(V19="支援秘書室",V19="支援出納室",V19="支援警務科",V19="支援事務股"),"支援總(大)隊",IF(V19="支援檢疫所","支援(其他)",IF(  V19="/","空班",  IF(  V19="丙",  "※ 丙案",  IF(  V19="丙常訓",  "※ 丙案 常訓",V19  )))))))))))))))))))))))))</f>
        <v>支援總(大)隊</v>
      </c>
      <c r="W59" s="271" t="str">
        <f>IF(W19="早","08-18",IF(W19="中","12-22",IF(W19="晚","22-08",IF(W19="X","輪休",IF(W19="公","公假",IF(OR(W19="病",W19="事"),"病(事)假",IF(OR(W19="婚",W19="產"),"婚(產)假",IF(W19="補","補休",IF(W19="休","休假",IF(W19="喪","喪假",IF(AND(W19="/",OR($A19=日期輸入!$B$23,$A19=日期輸入!$C$23,$A19=日期輸入!$D$23,$A19=日期輸入!$E$23,$A19=日期輸入!$F$23)),"08-18水電科",IF(W19="大日","大隊值日(日)",IF(W19="大夜","大隊值日(夜)",IF(W19="值1","值1(早)",IF(W19="值1丙","值1(早) 丙案",IF(W19="值2","值2(中)",IF(W19="值2乙","值2(中) 乙案",IF(W19="夜值","夜值(晚)",IF(W19="甲夜","夜值(晚) 甲案",IF(W19="備","08-18",IF(OR(W19="支援秘書室",W19="支援出納室",W19="支援警務科",W19="支援事務股"),"支援總(大)隊",IF(W19="支援檢疫所","支援(其他)",IF(  W19="/","空班",  IF(  W19="丙",  "※ 丙案",  IF(  W19="丙常訓",  "※ 丙案 常訓",W19  )))))))))))))))))))))))))</f>
        <v>支援總(大)隊</v>
      </c>
      <c r="X59" s="271" t="str">
        <f>IF(X19="早","08-18",IF(X19="中","12-22",IF(X19="晚","22-08",IF(X19="X","輪休",IF(X19="公","公假",IF(OR(X19="病",X19="事"),"病(事)假",IF(OR(X19="婚",X19="產"),"婚(產)假",IF(X19="補","補休",IF(X19="休","休假",IF(X19="喪","喪假",IF(AND(X19="/",OR($A19=日期輸入!$B$23,$A19=日期輸入!$C$23,$A19=日期輸入!$D$23,$A19=日期輸入!$E$23,$A19=日期輸入!$F$23)),"08-18水電科",IF(X19="大日","大隊值日(日)",IF(X19="大夜","大隊值日(夜)",IF(X19="值1","值1(早)",IF(X19="值1丙","值1(早) 丙案",IF(X19="值2","值2(中)",IF(X19="值2乙","值2(中) 乙案",IF(X19="夜值","夜值(晚)",IF(X19="甲夜","夜值(晚) 甲案",IF(X19="備","08-18",IF(OR(X19="支援秘書室",X19="支援出納室",X19="支援警務科",X19="支援事務股"),"支援總(大)隊",IF(X19="支援檢疫所","支援(其他)",IF(  X19="/","空班",  IF(  X19="丙",  "※ 丙案",  IF(  X19="丙常訓",  "※ 丙案 常訓",X19  )))))))))))))))))))))))))</f>
        <v>支援總(大)隊</v>
      </c>
      <c r="Y59" s="271" t="str">
        <f>IF(Y19="早","08-18",IF(Y19="中","12-22",IF(Y19="晚","22-08",IF(Y19="X","輪休",IF(Y19="公","公假",IF(OR(Y19="病",Y19="事"),"病(事)假",IF(OR(Y19="婚",Y19="產"),"婚(產)假",IF(Y19="補","補休",IF(Y19="休","休假",IF(Y19="喪","喪假",IF(AND(Y19="/",OR($A19=日期輸入!$B$23,$A19=日期輸入!$C$23,$A19=日期輸入!$D$23,$A19=日期輸入!$E$23,$A19=日期輸入!$F$23)),"08-18水電科",IF(Y19="大日","大隊值日(日)",IF(Y19="大夜","大隊值日(夜)",IF(Y19="值1","值1(早)",IF(Y19="值1丙","值1(早) 丙案",IF(Y19="值2","值2(中)",IF(Y19="值2乙","值2(中) 乙案",IF(Y19="夜值","夜值(晚)",IF(Y19="甲夜","夜值(晚) 甲案",IF(Y19="備","08-18",IF(OR(Y19="支援秘書室",Y19="支援出納室",Y19="支援警務科",Y19="支援事務股"),"支援總(大)隊",IF(Y19="支援檢疫所","支援(其他)",IF(  Y19="/","空班",  IF(  Y19="丙",  "※ 丙案",  IF(  Y19="丙常訓",  "※ 丙案 常訓",Y19  )))))))))))))))))))))))))</f>
        <v>支援總(大)隊</v>
      </c>
      <c r="Z59" s="271" t="str">
        <f>IF(Z19="早","08-18",IF(Z19="中","12-22",IF(Z19="晚","22-08",IF(Z19="X","輪休",IF(Z19="公","公假",IF(OR(Z19="病",Z19="事"),"病(事)假",IF(OR(Z19="婚",Z19="產"),"婚(產)假",IF(Z19="補","補休",IF(Z19="休","休假",IF(Z19="喪","喪假",IF(AND(Z19="/",OR($A19=日期輸入!$B$23,$A19=日期輸入!$C$23,$A19=日期輸入!$D$23,$A19=日期輸入!$E$23,$A19=日期輸入!$F$23)),"08-18水電科",IF(Z19="大日","大隊值日(日)",IF(Z19="大夜","大隊值日(夜)",IF(Z19="值1","值1(早)",IF(Z19="值1丙","值1(早) 丙案",IF(Z19="值2","值2(中)",IF(Z19="值2乙","值2(中) 乙案",IF(Z19="夜值","夜值(晚)",IF(Z19="甲夜","夜值(晚) 甲案",IF(Z19="備","08-18",IF(OR(Z19="支援秘書室",Z19="支援出納室",Z19="支援警務科",Z19="支援事務股"),"支援總(大)隊",IF(Z19="支援檢疫所","支援(其他)",IF(  Z19="/","空班",  IF(  Z19="丙",  "※ 丙案",  IF(  Z19="丙常訓",  "※ 丙案 常訓",Z19  )))))))))))))))))))))))))</f>
        <v>支援總(大)隊</v>
      </c>
      <c r="AA59" s="271" t="str">
        <f>IF(AA19="早","08-18",IF(AA19="中","12-22",IF(AA19="晚","22-08",IF(AA19="X","輪休",IF(AA19="公","公假",IF(OR(AA19="病",AA19="事"),"病(事)假",IF(OR(AA19="婚",AA19="產"),"婚(產)假",IF(AA19="補","補休",IF(AA19="休","休假",IF(AA19="喪","喪假",IF(AND(AA19="/",OR($A19=日期輸入!$B$23,$A19=日期輸入!$C$23,$A19=日期輸入!$D$23,$A19=日期輸入!$E$23,$A19=日期輸入!$F$23)),"08-18水電科",IF(AA19="大日","大隊值日(日)",IF(AA19="大夜","大隊值日(夜)",IF(AA19="值1","值1(早)",IF(AA19="值1丙","值1(早) 丙案",IF(AA19="值2","值2(中)",IF(AA19="值2乙","值2(中) 乙案",IF(AA19="夜值","夜值(晚)",IF(AA19="甲夜","夜值(晚) 甲案",IF(AA19="備","08-18",IF(OR(AA19="支援秘書室",AA19="支援出納室",AA19="支援警務科",AA19="支援事務股"),"支援總(大)隊",IF(AA19="支援檢疫所","支援(其他)",IF(  AA19="/","空班",  IF(  AA19="丙",  "※ 丙案",  IF(  AA19="丙常訓",  "※ 丙案 常訓",AA19  )))))))))))))))))))))))))</f>
        <v>支援總(大)隊</v>
      </c>
      <c r="AB59" s="271" t="str">
        <f>IF(AB19="早","08-18",IF(AB19="中","12-22",IF(AB19="晚","22-08",IF(AB19="X","輪休",IF(AB19="公","公假",IF(OR(AB19="病",AB19="事"),"病(事)假",IF(OR(AB19="婚",AB19="產"),"婚(產)假",IF(AB19="補","補休",IF(AB19="休","休假",IF(AB19="喪","喪假",IF(AND(AB19="/",OR($A19=日期輸入!$B$23,$A19=日期輸入!$C$23,$A19=日期輸入!$D$23,$A19=日期輸入!$E$23,$A19=日期輸入!$F$23)),"08-18水電科",IF(AB19="大日","大隊值日(日)",IF(AB19="大夜","大隊值日(夜)",IF(AB19="值1","值1(早)",IF(AB19="值1丙","值1(早) 丙案",IF(AB19="值2","值2(中)",IF(AB19="值2乙","值2(中) 乙案",IF(AB19="夜值","夜值(晚)",IF(AB19="甲夜","夜值(晚) 甲案",IF(AB19="備","08-18",IF(OR(AB19="支援秘書室",AB19="支援出納室",AB19="支援警務科",AB19="支援事務股"),"支援總(大)隊",IF(AB19="支援檢疫所","支援(其他)",IF(  AB19="/","空班",  IF(  AB19="丙",  "※ 丙案",  IF(  AB19="丙常訓",  "※ 丙案 常訓",AB19  )))))))))))))))))))))))))</f>
        <v>支援總(大)隊</v>
      </c>
      <c r="AC59" s="271" t="str">
        <f>IF(AC19="早","08-18",IF(AC19="中","12-22",IF(AC19="晚","22-08",IF(AC19="X","輪休",IF(AC19="公","公假",IF(OR(AC19="病",AC19="事"),"病(事)假",IF(OR(AC19="婚",AC19="產"),"婚(產)假",IF(AC19="補","補休",IF(AC19="休","休假",IF(AC19="喪","喪假",IF(AND(AC19="/",OR($A19=日期輸入!$B$23,$A19=日期輸入!$C$23,$A19=日期輸入!$D$23,$A19=日期輸入!$E$23,$A19=日期輸入!$F$23)),"08-18水電科",IF(AC19="大日","大隊值日(日)",IF(AC19="大夜","大隊值日(夜)",IF(AC19="值1","值1(早)",IF(AC19="值1丙","值1(早) 丙案",IF(AC19="值2","值2(中)",IF(AC19="值2乙","值2(中) 乙案",IF(AC19="夜值","夜值(晚)",IF(AC19="甲夜","夜值(晚) 甲案",IF(AC19="備","08-18",IF(OR(AC19="支援秘書室",AC19="支援出納室",AC19="支援警務科",AC19="支援事務股"),"支援總(大)隊",IF(AC19="支援檢疫所","支援(其他)",IF(  AC19="/","空班",  IF(  AC19="丙",  "※ 丙案",  IF(  AC19="丙常訓",  "※ 丙案 常訓",AC19  )))))))))))))))))))))))))</f>
        <v>支援總(大)隊</v>
      </c>
      <c r="AD59" s="271" t="str">
        <f>IF(AD19="早","08-18",IF(AD19="中","12-22",IF(AD19="晚","22-08",IF(AD19="X","輪休",IF(AD19="公","公假",IF(OR(AD19="病",AD19="事"),"病(事)假",IF(OR(AD19="婚",AD19="產"),"婚(產)假",IF(AD19="補","補休",IF(AD19="休","休假",IF(AD19="喪","喪假",IF(AND(AD19="/",OR($A19=日期輸入!$B$23,$A19=日期輸入!$C$23,$A19=日期輸入!$D$23,$A19=日期輸入!$E$23,$A19=日期輸入!$F$23)),"08-18水電科",IF(AD19="大日","大隊值日(日)",IF(AD19="大夜","大隊值日(夜)",IF(AD19="值1","值1(早)",IF(AD19="值1丙","值1(早) 丙案",IF(AD19="值2","值2(中)",IF(AD19="值2乙","值2(中) 乙案",IF(AD19="夜值","夜值(晚)",IF(AD19="甲夜","夜值(晚) 甲案",IF(AD19="備","08-18",IF(OR(AD19="支援秘書室",AD19="支援出納室",AD19="支援警務科",AD19="支援事務股"),"支援總(大)隊",IF(AD19="支援檢疫所","支援(其他)",IF(  AD19="/","空班",  IF(  AD19="丙",  "※ 丙案",  IF(  AD19="丙常訓",  "※ 丙案 常訓",AD19  )))))))))))))))))))))))))</f>
        <v>支援總(大)隊</v>
      </c>
      <c r="AE59" s="271" t="str">
        <f>IF(AE19="早","08-18",IF(AE19="中","12-22",IF(AE19="晚","22-08",IF(AE19="X","輪休",IF(AE19="公","公假",IF(OR(AE19="病",AE19="事"),"病(事)假",IF(OR(AE19="婚",AE19="產"),"婚(產)假",IF(AE19="補","補休",IF(AE19="休","休假",IF(AE19="喪","喪假",IF(AND(AE19="/",OR($A19=日期輸入!$B$23,$A19=日期輸入!$C$23,$A19=日期輸入!$D$23,$A19=日期輸入!$E$23,$A19=日期輸入!$F$23)),"08-18水電科",IF(AE19="大日","大隊值日(日)",IF(AE19="大夜","大隊值日(夜)",IF(AE19="值1","值1(早)",IF(AE19="值1丙","值1(早) 丙案",IF(AE19="值2","值2(中)",IF(AE19="值2乙","值2(中) 乙案",IF(AE19="夜值","夜值(晚)",IF(AE19="甲夜","夜值(晚) 甲案",IF(AE19="備","08-18",IF(OR(AE19="支援秘書室",AE19="支援出納室",AE19="支援警務科",AE19="支援事務股"),"支援總(大)隊",IF(AE19="支援檢疫所","支援(其他)",IF(  AE19="/","空班",  IF(  AE19="丙",  "※ 丙案",  IF(  AE19="丙常訓",  "※ 丙案 常訓",AE19  )))))))))))))))))))))))))</f>
        <v>支援總(大)隊</v>
      </c>
      <c r="AF59" s="271" t="str">
        <f>IF(AF19="早","08-18",IF(AF19="中","12-22",IF(AF19="晚","22-08",IF(AF19="X","輪休",IF(AF19="公","公假",IF(OR(AF19="病",AF19="事"),"病(事)假",IF(OR(AF19="婚",AF19="產"),"婚(產)假",IF(AF19="補","補休",IF(AF19="休","休假",IF(AF19="喪","喪假",IF(AND(AF19="/",OR($A19=日期輸入!$B$23,$A19=日期輸入!$C$23,$A19=日期輸入!$D$23,$A19=日期輸入!$E$23,$A19=日期輸入!$F$23)),"08-18水電科",IF(AF19="大日","大隊值日(日)",IF(AF19="大夜","大隊值日(夜)",IF(AF19="值1","值1(早)",IF(AF19="值1丙","值1(早) 丙案",IF(AF19="值2","值2(中)",IF(AF19="值2乙","值2(中) 乙案",IF(AF19="夜值","夜值(晚)",IF(AF19="甲夜","夜值(晚) 甲案",IF(AF19="備","08-18",IF(OR(AF19="支援秘書室",AF19="支援出納室",AF19="支援警務科",AF19="支援事務股"),"支援總(大)隊",IF(AF19="支援檢疫所","支援(其他)",IF(  AF19="/","空班",  IF(  AF19="丙",  "※ 丙案",  IF(  AF19="丙常訓",  "※ 丙案 常訓",AF19  )))))))))))))))))))))))))</f>
        <v>支援總(大)隊</v>
      </c>
      <c r="AG59" s="271" t="str">
        <f>IF(AG19="早","08-18",IF(AG19="中","12-22",IF(AG19="晚","22-08",IF(AG19="X","輪休",IF(AG19="公","公假",IF(OR(AG19="病",AG19="事"),"病(事)假",IF(OR(AG19="婚",AG19="產"),"婚(產)假",IF(AG19="補","補休",IF(AG19="休","休假",IF(AG19="喪","喪假",IF(AND(AG19="/",OR($A19=日期輸入!$B$23,$A19=日期輸入!$C$23,$A19=日期輸入!$D$23,$A19=日期輸入!$E$23,$A19=日期輸入!$F$23)),"08-18水電科",IF(AG19="大日","大隊值日(日)",IF(AG19="大夜","大隊值日(夜)",IF(AG19="值1","值1(早)",IF(AG19="值1丙","值1(早) 丙案",IF(AG19="值2","值2(中)",IF(AG19="值2乙","值2(中) 乙案",IF(AG19="夜值","夜值(晚)",IF(AG19="甲夜","夜值(晚) 甲案",IF(AG19="備","08-18",IF(OR(AG19="支援秘書室",AG19="支援出納室",AG19="支援警務科",AG19="支援事務股"),"支援總(大)隊",IF(AG19="支援檢疫所","支援(其他)",IF(  AG19="/","空班",  IF(  AG19="丙",  "※ 丙案",  IF(  AG19="丙常訓",  "※ 丙案 常訓",AG19  )))))))))))))))))))))))))</f>
        <v>支援總(大)隊</v>
      </c>
    </row>
    <row r="60" spans="1:33">
      <c r="A60" s="271">
        <f t="shared" ref="A60:B60" si="19">A20</f>
        <v>56</v>
      </c>
      <c r="B60" s="271" t="str">
        <f t="shared" si="19"/>
        <v>王美惠</v>
      </c>
      <c r="C60" s="271" t="str">
        <f>IF(C20="早","08-18",IF(C20="中","12-22",IF(C20="晚","22-08",IF(C20="X","輪休",IF(C20="公","公假",IF(OR(C20="病",C20="事"),"病(事)假",IF(OR(C20="婚",C20="產"),"婚(產)假",IF(C20="補","補休",IF(C20="休","休假",IF(C20="喪","喪假",IF(AND(C20="/",OR($A20=日期輸入!$B$23,$A20=日期輸入!$C$23,$A20=日期輸入!$D$23,$A20=日期輸入!$E$23,$A20=日期輸入!$F$23)),"08-18水電科",IF(C20="大日","大隊值日(日)",IF(C20="大夜","大隊值日(夜)",IF(C20="值1","值1(早)",IF(C20="值1丙","值1(早) 丙案",IF(C20="值2","值2(中)",IF(C20="值2乙","值2(中) 乙案",IF(C20="夜值","夜值(晚)",IF(C20="甲夜","夜值(晚) 甲案",IF(C20="備","08-18",IF(OR(C20="支援秘書室",C20="支援出納室",C20="支援警務科",C20="支援事務股"),"支援總(大)隊",IF(C20="支援檢疫所","支援(其他)",IF(  C20="/","空班",  IF(  C20="丙",  "※ 丙案",  IF(  C20="丙常訓",  "※ 丙案 常訓",C20  )))))))))))))))))))))))))</f>
        <v>支援總(大)隊</v>
      </c>
      <c r="D60" s="271" t="str">
        <f>IF(D20="早","08-18",IF(D20="中","12-22",IF(D20="晚","22-08",IF(D20="X","輪休",IF(D20="公","公假",IF(OR(D20="病",D20="事"),"病(事)假",IF(OR(D20="婚",D20="產"),"婚(產)假",IF(D20="補","補休",IF(D20="休","休假",IF(D20="喪","喪假",IF(AND(D20="/",OR($A20=日期輸入!$B$23,$A20=日期輸入!$C$23,$A20=日期輸入!$D$23,$A20=日期輸入!$E$23,$A20=日期輸入!$F$23)),"08-18水電科",IF(D20="大日","大隊值日(日)",IF(D20="大夜","大隊值日(夜)",IF(D20="值1","值1(早)",IF(D20="值1丙","值1(早) 丙案",IF(D20="值2","值2(中)",IF(D20="值2乙","值2(中) 乙案",IF(D20="夜值","夜值(晚)",IF(D20="甲夜","夜值(晚) 甲案",IF(D20="備","08-18",IF(OR(D20="支援秘書室",D20="支援出納室",D20="支援警務科",D20="支援事務股"),"支援總(大)隊",IF(D20="支援檢疫所","支援(其他)",IF(  D20="/","空班",  IF(  D20="丙",  "※ 丙案",  IF(  D20="丙常訓",  "※ 丙案 常訓",D20  )))))))))))))))))))))))))</f>
        <v>支援總(大)隊</v>
      </c>
      <c r="E60" s="271" t="str">
        <f>IF(E20="早","08-18",IF(E20="中","12-22",IF(E20="晚","22-08",IF(E20="X","輪休",IF(E20="公","公假",IF(OR(E20="病",E20="事"),"病(事)假",IF(OR(E20="婚",E20="產"),"婚(產)假",IF(E20="補","補休",IF(E20="休","休假",IF(E20="喪","喪假",IF(AND(E20="/",OR($A20=日期輸入!$B$23,$A20=日期輸入!$C$23,$A20=日期輸入!$D$23,$A20=日期輸入!$E$23,$A20=日期輸入!$F$23)),"08-18水電科",IF(E20="大日","大隊值日(日)",IF(E20="大夜","大隊值日(夜)",IF(E20="值1","值1(早)",IF(E20="值1丙","值1(早) 丙案",IF(E20="值2","值2(中)",IF(E20="值2乙","值2(中) 乙案",IF(E20="夜值","夜值(晚)",IF(E20="甲夜","夜值(晚) 甲案",IF(E20="備","08-18",IF(OR(E20="支援秘書室",E20="支援出納室",E20="支援警務科",E20="支援事務股"),"支援總(大)隊",IF(E20="支援檢疫所","支援(其他)",IF(  E20="/","空班",  IF(  E20="丙",  "※ 丙案",  IF(  E20="丙常訓",  "※ 丙案 常訓",E20  )))))))))))))))))))))))))</f>
        <v>支援總(大)隊</v>
      </c>
      <c r="F60" s="271" t="str">
        <f>IF(F20="早","08-18",IF(F20="中","12-22",IF(F20="晚","22-08",IF(F20="X","輪休",IF(F20="公","公假",IF(OR(F20="病",F20="事"),"病(事)假",IF(OR(F20="婚",F20="產"),"婚(產)假",IF(F20="補","補休",IF(F20="休","休假",IF(F20="喪","喪假",IF(AND(F20="/",OR($A20=日期輸入!$B$23,$A20=日期輸入!$C$23,$A20=日期輸入!$D$23,$A20=日期輸入!$E$23,$A20=日期輸入!$F$23)),"08-18水電科",IF(F20="大日","大隊值日(日)",IF(F20="大夜","大隊值日(夜)",IF(F20="值1","值1(早)",IF(F20="值1丙","值1(早) 丙案",IF(F20="值2","值2(中)",IF(F20="值2乙","值2(中) 乙案",IF(F20="夜值","夜值(晚)",IF(F20="甲夜","夜值(晚) 甲案",IF(F20="備","08-18",IF(OR(F20="支援秘書室",F20="支援出納室",F20="支援警務科",F20="支援事務股"),"支援總(大)隊",IF(F20="支援檢疫所","支援(其他)",IF(  F20="/","空班",  IF(  F20="丙",  "※ 丙案",  IF(  F20="丙常訓",  "※ 丙案 常訓",F20  )))))))))))))))))))))))))</f>
        <v>支援總(大)隊</v>
      </c>
      <c r="G60" s="271" t="str">
        <f>IF(G20="早","08-18",IF(G20="中","12-22",IF(G20="晚","22-08",IF(G20="X","輪休",IF(G20="公","公假",IF(OR(G20="病",G20="事"),"病(事)假",IF(OR(G20="婚",G20="產"),"婚(產)假",IF(G20="補","補休",IF(G20="休","休假",IF(G20="喪","喪假",IF(AND(G20="/",OR($A20=日期輸入!$B$23,$A20=日期輸入!$C$23,$A20=日期輸入!$D$23,$A20=日期輸入!$E$23,$A20=日期輸入!$F$23)),"08-18水電科",IF(G20="大日","大隊值日(日)",IF(G20="大夜","大隊值日(夜)",IF(G20="值1","值1(早)",IF(G20="值1丙","值1(早) 丙案",IF(G20="值2","值2(中)",IF(G20="值2乙","值2(中) 乙案",IF(G20="夜值","夜值(晚)",IF(G20="甲夜","夜值(晚) 甲案",IF(G20="備","08-18",IF(OR(G20="支援秘書室",G20="支援出納室",G20="支援警務科",G20="支援事務股"),"支援總(大)隊",IF(G20="支援檢疫所","支援(其他)",IF(  G20="/","空班",  IF(  G20="丙",  "※ 丙案",  IF(  G20="丙常訓",  "※ 丙案 常訓",G20  )))))))))))))))))))))))))</f>
        <v>支援總(大)隊</v>
      </c>
      <c r="H60" s="271" t="str">
        <f>IF(H20="早","08-18",IF(H20="中","12-22",IF(H20="晚","22-08",IF(H20="X","輪休",IF(H20="公","公假",IF(OR(H20="病",H20="事"),"病(事)假",IF(OR(H20="婚",H20="產"),"婚(產)假",IF(H20="補","補休",IF(H20="休","休假",IF(H20="喪","喪假",IF(AND(H20="/",OR($A20=日期輸入!$B$23,$A20=日期輸入!$C$23,$A20=日期輸入!$D$23,$A20=日期輸入!$E$23,$A20=日期輸入!$F$23)),"08-18水電科",IF(H20="大日","大隊值日(日)",IF(H20="大夜","大隊值日(夜)",IF(H20="值1","值1(早)",IF(H20="值1丙","值1(早) 丙案",IF(H20="值2","值2(中)",IF(H20="值2乙","值2(中) 乙案",IF(H20="夜值","夜值(晚)",IF(H20="甲夜","夜值(晚) 甲案",IF(H20="備","08-18",IF(OR(H20="支援秘書室",H20="支援出納室",H20="支援警務科",H20="支援事務股"),"支援總(大)隊",IF(H20="支援檢疫所","支援(其他)",IF(  H20="/","空班",  IF(  H20="丙",  "※ 丙案",  IF(  H20="丙常訓",  "※ 丙案 常訓",H20  )))))))))))))))))))))))))</f>
        <v>支援總(大)隊</v>
      </c>
      <c r="I60" s="271" t="str">
        <f>IF(I20="早","08-18",IF(I20="中","12-22",IF(I20="晚","22-08",IF(I20="X","輪休",IF(I20="公","公假",IF(OR(I20="病",I20="事"),"病(事)假",IF(OR(I20="婚",I20="產"),"婚(產)假",IF(I20="補","補休",IF(I20="休","休假",IF(I20="喪","喪假",IF(AND(I20="/",OR($A20=日期輸入!$B$23,$A20=日期輸入!$C$23,$A20=日期輸入!$D$23,$A20=日期輸入!$E$23,$A20=日期輸入!$F$23)),"08-18水電科",IF(I20="大日","大隊值日(日)",IF(I20="大夜","大隊值日(夜)",IF(I20="值1","值1(早)",IF(I20="值1丙","值1(早) 丙案",IF(I20="值2","值2(中)",IF(I20="值2乙","值2(中) 乙案",IF(I20="夜值","夜值(晚)",IF(I20="甲夜","夜值(晚) 甲案",IF(I20="備","08-18",IF(OR(I20="支援秘書室",I20="支援出納室",I20="支援警務科",I20="支援事務股"),"支援總(大)隊",IF(I20="支援檢疫所","支援(其他)",IF(  I20="/","空班",  IF(  I20="丙",  "※ 丙案",  IF(  I20="丙常訓",  "※ 丙案 常訓",I20  )))))))))))))))))))))))))</f>
        <v>支援總(大)隊</v>
      </c>
      <c r="J60" s="271" t="str">
        <f>IF(J20="早","08-18",IF(J20="中","12-22",IF(J20="晚","22-08",IF(J20="X","輪休",IF(J20="公","公假",IF(OR(J20="病",J20="事"),"病(事)假",IF(OR(J20="婚",J20="產"),"婚(產)假",IF(J20="補","補休",IF(J20="休","休假",IF(J20="喪","喪假",IF(AND(J20="/",OR($A20=日期輸入!$B$23,$A20=日期輸入!$C$23,$A20=日期輸入!$D$23,$A20=日期輸入!$E$23,$A20=日期輸入!$F$23)),"08-18水電科",IF(J20="大日","大隊值日(日)",IF(J20="大夜","大隊值日(夜)",IF(J20="值1","值1(早)",IF(J20="值1丙","值1(早) 丙案",IF(J20="值2","值2(中)",IF(J20="值2乙","值2(中) 乙案",IF(J20="夜值","夜值(晚)",IF(J20="甲夜","夜值(晚) 甲案",IF(J20="備","08-18",IF(OR(J20="支援秘書室",J20="支援出納室",J20="支援警務科",J20="支援事務股"),"支援總(大)隊",IF(J20="支援檢疫所","支援(其他)",IF(  J20="/","空班",  IF(  J20="丙",  "※ 丙案",  IF(  J20="丙常訓",  "※ 丙案 常訓",J20  )))))))))))))))))))))))))</f>
        <v>支援總(大)隊</v>
      </c>
      <c r="K60" s="271" t="str">
        <f>IF(K20="早","08-18",IF(K20="中","12-22",IF(K20="晚","22-08",IF(K20="X","輪休",IF(K20="公","公假",IF(OR(K20="病",K20="事"),"病(事)假",IF(OR(K20="婚",K20="產"),"婚(產)假",IF(K20="補","補休",IF(K20="休","休假",IF(K20="喪","喪假",IF(AND(K20="/",OR($A20=日期輸入!$B$23,$A20=日期輸入!$C$23,$A20=日期輸入!$D$23,$A20=日期輸入!$E$23,$A20=日期輸入!$F$23)),"08-18水電科",IF(K20="大日","大隊值日(日)",IF(K20="大夜","大隊值日(夜)",IF(K20="值1","值1(早)",IF(K20="值1丙","值1(早) 丙案",IF(K20="值2","值2(中)",IF(K20="值2乙","值2(中) 乙案",IF(K20="夜值","夜值(晚)",IF(K20="甲夜","夜值(晚) 甲案",IF(K20="備","08-18",IF(OR(K20="支援秘書室",K20="支援出納室",K20="支援警務科",K20="支援事務股"),"支援總(大)隊",IF(K20="支援檢疫所","支援(其他)",IF(  K20="/","空班",  IF(  K20="丙",  "※ 丙案",  IF(  K20="丙常訓",  "※ 丙案 常訓",K20  )))))))))))))))))))))))))</f>
        <v>支援總(大)隊</v>
      </c>
      <c r="L60" s="271" t="str">
        <f>IF(L20="早","08-18",IF(L20="中","12-22",IF(L20="晚","22-08",IF(L20="X","輪休",IF(L20="公","公假",IF(OR(L20="病",L20="事"),"病(事)假",IF(OR(L20="婚",L20="產"),"婚(產)假",IF(L20="補","補休",IF(L20="休","休假",IF(L20="喪","喪假",IF(AND(L20="/",OR($A20=日期輸入!$B$23,$A20=日期輸入!$C$23,$A20=日期輸入!$D$23,$A20=日期輸入!$E$23,$A20=日期輸入!$F$23)),"08-18水電科",IF(L20="大日","大隊值日(日)",IF(L20="大夜","大隊值日(夜)",IF(L20="值1","值1(早)",IF(L20="值1丙","值1(早) 丙案",IF(L20="值2","值2(中)",IF(L20="值2乙","值2(中) 乙案",IF(L20="夜值","夜值(晚)",IF(L20="甲夜","夜值(晚) 甲案",IF(L20="備","08-18",IF(OR(L20="支援秘書室",L20="支援出納室",L20="支援警務科",L20="支援事務股"),"支援總(大)隊",IF(L20="支援檢疫所","支援(其他)",IF(  L20="/","空班",  IF(  L20="丙",  "※ 丙案",  IF(  L20="丙常訓",  "※ 丙案 常訓",L20  )))))))))))))))))))))))))</f>
        <v>支援總(大)隊</v>
      </c>
      <c r="M60" s="271" t="str">
        <f>IF(M20="早","08-18",IF(M20="中","12-22",IF(M20="晚","22-08",IF(M20="X","輪休",IF(M20="公","公假",IF(OR(M20="病",M20="事"),"病(事)假",IF(OR(M20="婚",M20="產"),"婚(產)假",IF(M20="補","補休",IF(M20="休","休假",IF(M20="喪","喪假",IF(AND(M20="/",OR($A20=日期輸入!$B$23,$A20=日期輸入!$C$23,$A20=日期輸入!$D$23,$A20=日期輸入!$E$23,$A20=日期輸入!$F$23)),"08-18水電科",IF(M20="大日","大隊值日(日)",IF(M20="大夜","大隊值日(夜)",IF(M20="值1","值1(早)",IF(M20="值1丙","值1(早) 丙案",IF(M20="值2","值2(中)",IF(M20="值2乙","值2(中) 乙案",IF(M20="夜值","夜值(晚)",IF(M20="甲夜","夜值(晚) 甲案",IF(M20="備","08-18",IF(OR(M20="支援秘書室",M20="支援出納室",M20="支援警務科",M20="支援事務股"),"支援總(大)隊",IF(M20="支援檢疫所","支援(其他)",IF(  M20="/","空班",  IF(  M20="丙",  "※ 丙案",  IF(  M20="丙常訓",  "※ 丙案 常訓",M20  )))))))))))))))))))))))))</f>
        <v>支援總(大)隊</v>
      </c>
      <c r="N60" s="271" t="str">
        <f>IF(N20="早","08-18",IF(N20="中","12-22",IF(N20="晚","22-08",IF(N20="X","輪休",IF(N20="公","公假",IF(OR(N20="病",N20="事"),"病(事)假",IF(OR(N20="婚",N20="產"),"婚(產)假",IF(N20="補","補休",IF(N20="休","休假",IF(N20="喪","喪假",IF(AND(N20="/",OR($A20=日期輸入!$B$23,$A20=日期輸入!$C$23,$A20=日期輸入!$D$23,$A20=日期輸入!$E$23,$A20=日期輸入!$F$23)),"08-18水電科",IF(N20="大日","大隊值日(日)",IF(N20="大夜","大隊值日(夜)",IF(N20="值1","值1(早)",IF(N20="值1丙","值1(早) 丙案",IF(N20="值2","值2(中)",IF(N20="值2乙","值2(中) 乙案",IF(N20="夜值","夜值(晚)",IF(N20="甲夜","夜值(晚) 甲案",IF(N20="備","08-18",IF(OR(N20="支援秘書室",N20="支援出納室",N20="支援警務科",N20="支援事務股"),"支援總(大)隊",IF(N20="支援檢疫所","支援(其他)",IF(  N20="/","空班",  IF(  N20="丙",  "※ 丙案",  IF(  N20="丙常訓",  "※ 丙案 常訓",N20  )))))))))))))))))))))))))</f>
        <v>支援總(大)隊</v>
      </c>
      <c r="O60" s="271" t="str">
        <f>IF(O20="早","08-18",IF(O20="中","12-22",IF(O20="晚","22-08",IF(O20="X","輪休",IF(O20="公","公假",IF(OR(O20="病",O20="事"),"病(事)假",IF(OR(O20="婚",O20="產"),"婚(產)假",IF(O20="補","補休",IF(O20="休","休假",IF(O20="喪","喪假",IF(AND(O20="/",OR($A20=日期輸入!$B$23,$A20=日期輸入!$C$23,$A20=日期輸入!$D$23,$A20=日期輸入!$E$23,$A20=日期輸入!$F$23)),"08-18水電科",IF(O20="大日","大隊值日(日)",IF(O20="大夜","大隊值日(夜)",IF(O20="值1","值1(早)",IF(O20="值1丙","值1(早) 丙案",IF(O20="值2","值2(中)",IF(O20="值2乙","值2(中) 乙案",IF(O20="夜值","夜值(晚)",IF(O20="甲夜","夜值(晚) 甲案",IF(O20="備","08-18",IF(OR(O20="支援秘書室",O20="支援出納室",O20="支援警務科",O20="支援事務股"),"支援總(大)隊",IF(O20="支援檢疫所","支援(其他)",IF(  O20="/","空班",  IF(  O20="丙",  "※ 丙案",  IF(  O20="丙常訓",  "※ 丙案 常訓",O20  )))))))))))))))))))))))))</f>
        <v>支援總(大)隊</v>
      </c>
      <c r="P60" s="271" t="str">
        <f>IF(P20="早","08-18",IF(P20="中","12-22",IF(P20="晚","22-08",IF(P20="X","輪休",IF(P20="公","公假",IF(OR(P20="病",P20="事"),"病(事)假",IF(OR(P20="婚",P20="產"),"婚(產)假",IF(P20="補","補休",IF(P20="休","休假",IF(P20="喪","喪假",IF(AND(P20="/",OR($A20=日期輸入!$B$23,$A20=日期輸入!$C$23,$A20=日期輸入!$D$23,$A20=日期輸入!$E$23,$A20=日期輸入!$F$23)),"08-18水電科",IF(P20="大日","大隊值日(日)",IF(P20="大夜","大隊值日(夜)",IF(P20="值1","值1(早)",IF(P20="值1丙","值1(早) 丙案",IF(P20="值2","值2(中)",IF(P20="值2乙","值2(中) 乙案",IF(P20="夜值","夜值(晚)",IF(P20="甲夜","夜值(晚) 甲案",IF(P20="備","08-18",IF(OR(P20="支援秘書室",P20="支援出納室",P20="支援警務科",P20="支援事務股"),"支援總(大)隊",IF(P20="支援檢疫所","支援(其他)",IF(  P20="/","空班",  IF(  P20="丙",  "※ 丙案",  IF(  P20="丙常訓",  "※ 丙案 常訓",P20  )))))))))))))))))))))))))</f>
        <v>支援總(大)隊</v>
      </c>
      <c r="Q60" s="271" t="str">
        <f>IF(Q20="早","08-18",IF(Q20="中","12-22",IF(Q20="晚","22-08",IF(Q20="X","輪休",IF(Q20="公","公假",IF(OR(Q20="病",Q20="事"),"病(事)假",IF(OR(Q20="婚",Q20="產"),"婚(產)假",IF(Q20="補","補休",IF(Q20="休","休假",IF(Q20="喪","喪假",IF(AND(Q20="/",OR($A20=日期輸入!$B$23,$A20=日期輸入!$C$23,$A20=日期輸入!$D$23,$A20=日期輸入!$E$23,$A20=日期輸入!$F$23)),"08-18水電科",IF(Q20="大日","大隊值日(日)",IF(Q20="大夜","大隊值日(夜)",IF(Q20="值1","值1(早)",IF(Q20="值1丙","值1(早) 丙案",IF(Q20="值2","值2(中)",IF(Q20="值2乙","值2(中) 乙案",IF(Q20="夜值","夜值(晚)",IF(Q20="甲夜","夜值(晚) 甲案",IF(Q20="備","08-18",IF(OR(Q20="支援秘書室",Q20="支援出納室",Q20="支援警務科",Q20="支援事務股"),"支援總(大)隊",IF(Q20="支援檢疫所","支援(其他)",IF(  Q20="/","空班",  IF(  Q20="丙",  "※ 丙案",  IF(  Q20="丙常訓",  "※ 丙案 常訓",Q20  )))))))))))))))))))))))))</f>
        <v>支援總(大)隊</v>
      </c>
      <c r="R60" s="271" t="str">
        <f>IF(R20="早","08-18",IF(R20="中","12-22",IF(R20="晚","22-08",IF(R20="X","輪休",IF(R20="公","公假",IF(OR(R20="病",R20="事"),"病(事)假",IF(OR(R20="婚",R20="產"),"婚(產)假",IF(R20="補","補休",IF(R20="休","休假",IF(R20="喪","喪假",IF(AND(R20="/",OR($A20=日期輸入!$B$23,$A20=日期輸入!$C$23,$A20=日期輸入!$D$23,$A20=日期輸入!$E$23,$A20=日期輸入!$F$23)),"08-18水電科",IF(R20="大日","大隊值日(日)",IF(R20="大夜","大隊值日(夜)",IF(R20="值1","值1(早)",IF(R20="值1丙","值1(早) 丙案",IF(R20="值2","值2(中)",IF(R20="值2乙","值2(中) 乙案",IF(R20="夜值","夜值(晚)",IF(R20="甲夜","夜值(晚) 甲案",IF(R20="備","08-18",IF(OR(R20="支援秘書室",R20="支援出納室",R20="支援警務科",R20="支援事務股"),"支援總(大)隊",IF(R20="支援檢疫所","支援(其他)",IF(  R20="/","空班",  IF(  R20="丙",  "※ 丙案",  IF(  R20="丙常訓",  "※ 丙案 常訓",R20  )))))))))))))))))))))))))</f>
        <v>支援總(大)隊</v>
      </c>
      <c r="S60" s="271" t="str">
        <f>IF(S20="早","08-18",IF(S20="中","12-22",IF(S20="晚","22-08",IF(S20="X","輪休",IF(S20="公","公假",IF(OR(S20="病",S20="事"),"病(事)假",IF(OR(S20="婚",S20="產"),"婚(產)假",IF(S20="補","補休",IF(S20="休","休假",IF(S20="喪","喪假",IF(AND(S20="/",OR($A20=日期輸入!$B$23,$A20=日期輸入!$C$23,$A20=日期輸入!$D$23,$A20=日期輸入!$E$23,$A20=日期輸入!$F$23)),"08-18水電科",IF(S20="大日","大隊值日(日)",IF(S20="大夜","大隊值日(夜)",IF(S20="值1","值1(早)",IF(S20="值1丙","值1(早) 丙案",IF(S20="值2","值2(中)",IF(S20="值2乙","值2(中) 乙案",IF(S20="夜值","夜值(晚)",IF(S20="甲夜","夜值(晚) 甲案",IF(S20="備","08-18",IF(OR(S20="支援秘書室",S20="支援出納室",S20="支援警務科",S20="支援事務股"),"支援總(大)隊",IF(S20="支援檢疫所","支援(其他)",IF(  S20="/","空班",  IF(  S20="丙",  "※ 丙案",  IF(  S20="丙常訓",  "※ 丙案 常訓",S20  )))))))))))))))))))))))))</f>
        <v>支援總(大)隊</v>
      </c>
      <c r="T60" s="271" t="str">
        <f>IF(T20="早","08-18",IF(T20="中","12-22",IF(T20="晚","22-08",IF(T20="X","輪休",IF(T20="公","公假",IF(OR(T20="病",T20="事"),"病(事)假",IF(OR(T20="婚",T20="產"),"婚(產)假",IF(T20="補","補休",IF(T20="休","休假",IF(T20="喪","喪假",IF(AND(T20="/",OR($A20=日期輸入!$B$23,$A20=日期輸入!$C$23,$A20=日期輸入!$D$23,$A20=日期輸入!$E$23,$A20=日期輸入!$F$23)),"08-18水電科",IF(T20="大日","大隊值日(日)",IF(T20="大夜","大隊值日(夜)",IF(T20="值1","值1(早)",IF(T20="值1丙","值1(早) 丙案",IF(T20="值2","值2(中)",IF(T20="值2乙","值2(中) 乙案",IF(T20="夜值","夜值(晚)",IF(T20="甲夜","夜值(晚) 甲案",IF(T20="備","08-18",IF(OR(T20="支援秘書室",T20="支援出納室",T20="支援警務科",T20="支援事務股"),"支援總(大)隊",IF(T20="支援檢疫所","支援(其他)",IF(  T20="/","空班",  IF(  T20="丙",  "※ 丙案",  IF(  T20="丙常訓",  "※ 丙案 常訓",T20  )))))))))))))))))))))))))</f>
        <v>支援總(大)隊</v>
      </c>
      <c r="U60" s="271" t="str">
        <f>IF(U20="早","08-18",IF(U20="中","12-22",IF(U20="晚","22-08",IF(U20="X","輪休",IF(U20="公","公假",IF(OR(U20="病",U20="事"),"病(事)假",IF(OR(U20="婚",U20="產"),"婚(產)假",IF(U20="補","補休",IF(U20="休","休假",IF(U20="喪","喪假",IF(AND(U20="/",OR($A20=日期輸入!$B$23,$A20=日期輸入!$C$23,$A20=日期輸入!$D$23,$A20=日期輸入!$E$23,$A20=日期輸入!$F$23)),"08-18水電科",IF(U20="大日","大隊值日(日)",IF(U20="大夜","大隊值日(夜)",IF(U20="值1","值1(早)",IF(U20="值1丙","值1(早) 丙案",IF(U20="值2","值2(中)",IF(U20="值2乙","值2(中) 乙案",IF(U20="夜值","夜值(晚)",IF(U20="甲夜","夜值(晚) 甲案",IF(U20="備","08-18",IF(OR(U20="支援秘書室",U20="支援出納室",U20="支援警務科",U20="支援事務股"),"支援總(大)隊",IF(U20="支援檢疫所","支援(其他)",IF(  U20="/","空班",  IF(  U20="丙",  "※ 丙案",  IF(  U20="丙常訓",  "※ 丙案 常訓",U20  )))))))))))))))))))))))))</f>
        <v>支援總(大)隊</v>
      </c>
      <c r="V60" s="271" t="str">
        <f>IF(V20="早","08-18",IF(V20="中","12-22",IF(V20="晚","22-08",IF(V20="X","輪休",IF(V20="公","公假",IF(OR(V20="病",V20="事"),"病(事)假",IF(OR(V20="婚",V20="產"),"婚(產)假",IF(V20="補","補休",IF(V20="休","休假",IF(V20="喪","喪假",IF(AND(V20="/",OR($A20=日期輸入!$B$23,$A20=日期輸入!$C$23,$A20=日期輸入!$D$23,$A20=日期輸入!$E$23,$A20=日期輸入!$F$23)),"08-18水電科",IF(V20="大日","大隊值日(日)",IF(V20="大夜","大隊值日(夜)",IF(V20="值1","值1(早)",IF(V20="值1丙","值1(早) 丙案",IF(V20="值2","值2(中)",IF(V20="值2乙","值2(中) 乙案",IF(V20="夜值","夜值(晚)",IF(V20="甲夜","夜值(晚) 甲案",IF(V20="備","08-18",IF(OR(V20="支援秘書室",V20="支援出納室",V20="支援警務科",V20="支援事務股"),"支援總(大)隊",IF(V20="支援檢疫所","支援(其他)",IF(  V20="/","空班",  IF(  V20="丙",  "※ 丙案",  IF(  V20="丙常訓",  "※ 丙案 常訓",V20  )))))))))))))))))))))))))</f>
        <v>支援總(大)隊</v>
      </c>
      <c r="W60" s="271" t="str">
        <f>IF(W20="早","08-18",IF(W20="中","12-22",IF(W20="晚","22-08",IF(W20="X","輪休",IF(W20="公","公假",IF(OR(W20="病",W20="事"),"病(事)假",IF(OR(W20="婚",W20="產"),"婚(產)假",IF(W20="補","補休",IF(W20="休","休假",IF(W20="喪","喪假",IF(AND(W20="/",OR($A20=日期輸入!$B$23,$A20=日期輸入!$C$23,$A20=日期輸入!$D$23,$A20=日期輸入!$E$23,$A20=日期輸入!$F$23)),"08-18水電科",IF(W20="大日","大隊值日(日)",IF(W20="大夜","大隊值日(夜)",IF(W20="值1","值1(早)",IF(W20="值1丙","值1(早) 丙案",IF(W20="值2","值2(中)",IF(W20="值2乙","值2(中) 乙案",IF(W20="夜值","夜值(晚)",IF(W20="甲夜","夜值(晚) 甲案",IF(W20="備","08-18",IF(OR(W20="支援秘書室",W20="支援出納室",W20="支援警務科",W20="支援事務股"),"支援總(大)隊",IF(W20="支援檢疫所","支援(其他)",IF(  W20="/","空班",  IF(  W20="丙",  "※ 丙案",  IF(  W20="丙常訓",  "※ 丙案 常訓",W20  )))))))))))))))))))))))))</f>
        <v>支援總(大)隊</v>
      </c>
      <c r="X60" s="271" t="str">
        <f>IF(X20="早","08-18",IF(X20="中","12-22",IF(X20="晚","22-08",IF(X20="X","輪休",IF(X20="公","公假",IF(OR(X20="病",X20="事"),"病(事)假",IF(OR(X20="婚",X20="產"),"婚(產)假",IF(X20="補","補休",IF(X20="休","休假",IF(X20="喪","喪假",IF(AND(X20="/",OR($A20=日期輸入!$B$23,$A20=日期輸入!$C$23,$A20=日期輸入!$D$23,$A20=日期輸入!$E$23,$A20=日期輸入!$F$23)),"08-18水電科",IF(X20="大日","大隊值日(日)",IF(X20="大夜","大隊值日(夜)",IF(X20="值1","值1(早)",IF(X20="值1丙","值1(早) 丙案",IF(X20="值2","值2(中)",IF(X20="值2乙","值2(中) 乙案",IF(X20="夜值","夜值(晚)",IF(X20="甲夜","夜值(晚) 甲案",IF(X20="備","08-18",IF(OR(X20="支援秘書室",X20="支援出納室",X20="支援警務科",X20="支援事務股"),"支援總(大)隊",IF(X20="支援檢疫所","支援(其他)",IF(  X20="/","空班",  IF(  X20="丙",  "※ 丙案",  IF(  X20="丙常訓",  "※ 丙案 常訓",X20  )))))))))))))))))))))))))</f>
        <v>支援總(大)隊</v>
      </c>
      <c r="Y60" s="271" t="str">
        <f>IF(Y20="早","08-18",IF(Y20="中","12-22",IF(Y20="晚","22-08",IF(Y20="X","輪休",IF(Y20="公","公假",IF(OR(Y20="病",Y20="事"),"病(事)假",IF(OR(Y20="婚",Y20="產"),"婚(產)假",IF(Y20="補","補休",IF(Y20="休","休假",IF(Y20="喪","喪假",IF(AND(Y20="/",OR($A20=日期輸入!$B$23,$A20=日期輸入!$C$23,$A20=日期輸入!$D$23,$A20=日期輸入!$E$23,$A20=日期輸入!$F$23)),"08-18水電科",IF(Y20="大日","大隊值日(日)",IF(Y20="大夜","大隊值日(夜)",IF(Y20="值1","值1(早)",IF(Y20="值1丙","值1(早) 丙案",IF(Y20="值2","值2(中)",IF(Y20="值2乙","值2(中) 乙案",IF(Y20="夜值","夜值(晚)",IF(Y20="甲夜","夜值(晚) 甲案",IF(Y20="備","08-18",IF(OR(Y20="支援秘書室",Y20="支援出納室",Y20="支援警務科",Y20="支援事務股"),"支援總(大)隊",IF(Y20="支援檢疫所","支援(其他)",IF(  Y20="/","空班",  IF(  Y20="丙",  "※ 丙案",  IF(  Y20="丙常訓",  "※ 丙案 常訓",Y20  )))))))))))))))))))))))))</f>
        <v>支援總(大)隊</v>
      </c>
      <c r="Z60" s="271" t="str">
        <f>IF(Z20="早","08-18",IF(Z20="中","12-22",IF(Z20="晚","22-08",IF(Z20="X","輪休",IF(Z20="公","公假",IF(OR(Z20="病",Z20="事"),"病(事)假",IF(OR(Z20="婚",Z20="產"),"婚(產)假",IF(Z20="補","補休",IF(Z20="休","休假",IF(Z20="喪","喪假",IF(AND(Z20="/",OR($A20=日期輸入!$B$23,$A20=日期輸入!$C$23,$A20=日期輸入!$D$23,$A20=日期輸入!$E$23,$A20=日期輸入!$F$23)),"08-18水電科",IF(Z20="大日","大隊值日(日)",IF(Z20="大夜","大隊值日(夜)",IF(Z20="值1","值1(早)",IF(Z20="值1丙","值1(早) 丙案",IF(Z20="值2","值2(中)",IF(Z20="值2乙","值2(中) 乙案",IF(Z20="夜值","夜值(晚)",IF(Z20="甲夜","夜值(晚) 甲案",IF(Z20="備","08-18",IF(OR(Z20="支援秘書室",Z20="支援出納室",Z20="支援警務科",Z20="支援事務股"),"支援總(大)隊",IF(Z20="支援檢疫所","支援(其他)",IF(  Z20="/","空班",  IF(  Z20="丙",  "※ 丙案",  IF(  Z20="丙常訓",  "※ 丙案 常訓",Z20  )))))))))))))))))))))))))</f>
        <v>支援總(大)隊</v>
      </c>
      <c r="AA60" s="271" t="str">
        <f>IF(AA20="早","08-18",IF(AA20="中","12-22",IF(AA20="晚","22-08",IF(AA20="X","輪休",IF(AA20="公","公假",IF(OR(AA20="病",AA20="事"),"病(事)假",IF(OR(AA20="婚",AA20="產"),"婚(產)假",IF(AA20="補","補休",IF(AA20="休","休假",IF(AA20="喪","喪假",IF(AND(AA20="/",OR($A20=日期輸入!$B$23,$A20=日期輸入!$C$23,$A20=日期輸入!$D$23,$A20=日期輸入!$E$23,$A20=日期輸入!$F$23)),"08-18水電科",IF(AA20="大日","大隊值日(日)",IF(AA20="大夜","大隊值日(夜)",IF(AA20="值1","值1(早)",IF(AA20="值1丙","值1(早) 丙案",IF(AA20="值2","值2(中)",IF(AA20="值2乙","值2(中) 乙案",IF(AA20="夜值","夜值(晚)",IF(AA20="甲夜","夜值(晚) 甲案",IF(AA20="備","08-18",IF(OR(AA20="支援秘書室",AA20="支援出納室",AA20="支援警務科",AA20="支援事務股"),"支援總(大)隊",IF(AA20="支援檢疫所","支援(其他)",IF(  AA20="/","空班",  IF(  AA20="丙",  "※ 丙案",  IF(  AA20="丙常訓",  "※ 丙案 常訓",AA20  )))))))))))))))))))))))))</f>
        <v>支援總(大)隊</v>
      </c>
      <c r="AB60" s="271" t="str">
        <f>IF(AB20="早","08-18",IF(AB20="中","12-22",IF(AB20="晚","22-08",IF(AB20="X","輪休",IF(AB20="公","公假",IF(OR(AB20="病",AB20="事"),"病(事)假",IF(OR(AB20="婚",AB20="產"),"婚(產)假",IF(AB20="補","補休",IF(AB20="休","休假",IF(AB20="喪","喪假",IF(AND(AB20="/",OR($A20=日期輸入!$B$23,$A20=日期輸入!$C$23,$A20=日期輸入!$D$23,$A20=日期輸入!$E$23,$A20=日期輸入!$F$23)),"08-18水電科",IF(AB20="大日","大隊值日(日)",IF(AB20="大夜","大隊值日(夜)",IF(AB20="值1","值1(早)",IF(AB20="值1丙","值1(早) 丙案",IF(AB20="值2","值2(中)",IF(AB20="值2乙","值2(中) 乙案",IF(AB20="夜值","夜值(晚)",IF(AB20="甲夜","夜值(晚) 甲案",IF(AB20="備","08-18",IF(OR(AB20="支援秘書室",AB20="支援出納室",AB20="支援警務科",AB20="支援事務股"),"支援總(大)隊",IF(AB20="支援檢疫所","支援(其他)",IF(  AB20="/","空班",  IF(  AB20="丙",  "※ 丙案",  IF(  AB20="丙常訓",  "※ 丙案 常訓",AB20  )))))))))))))))))))))))))</f>
        <v>支援總(大)隊</v>
      </c>
      <c r="AC60" s="271" t="str">
        <f>IF(AC20="早","08-18",IF(AC20="中","12-22",IF(AC20="晚","22-08",IF(AC20="X","輪休",IF(AC20="公","公假",IF(OR(AC20="病",AC20="事"),"病(事)假",IF(OR(AC20="婚",AC20="產"),"婚(產)假",IF(AC20="補","補休",IF(AC20="休","休假",IF(AC20="喪","喪假",IF(AND(AC20="/",OR($A20=日期輸入!$B$23,$A20=日期輸入!$C$23,$A20=日期輸入!$D$23,$A20=日期輸入!$E$23,$A20=日期輸入!$F$23)),"08-18水電科",IF(AC20="大日","大隊值日(日)",IF(AC20="大夜","大隊值日(夜)",IF(AC20="值1","值1(早)",IF(AC20="值1丙","值1(早) 丙案",IF(AC20="值2","值2(中)",IF(AC20="值2乙","值2(中) 乙案",IF(AC20="夜值","夜值(晚)",IF(AC20="甲夜","夜值(晚) 甲案",IF(AC20="備","08-18",IF(OR(AC20="支援秘書室",AC20="支援出納室",AC20="支援警務科",AC20="支援事務股"),"支援總(大)隊",IF(AC20="支援檢疫所","支援(其他)",IF(  AC20="/","空班",  IF(  AC20="丙",  "※ 丙案",  IF(  AC20="丙常訓",  "※ 丙案 常訓",AC20  )))))))))))))))))))))))))</f>
        <v>支援總(大)隊</v>
      </c>
      <c r="AD60" s="271" t="str">
        <f>IF(AD20="早","08-18",IF(AD20="中","12-22",IF(AD20="晚","22-08",IF(AD20="X","輪休",IF(AD20="公","公假",IF(OR(AD20="病",AD20="事"),"病(事)假",IF(OR(AD20="婚",AD20="產"),"婚(產)假",IF(AD20="補","補休",IF(AD20="休","休假",IF(AD20="喪","喪假",IF(AND(AD20="/",OR($A20=日期輸入!$B$23,$A20=日期輸入!$C$23,$A20=日期輸入!$D$23,$A20=日期輸入!$E$23,$A20=日期輸入!$F$23)),"08-18水電科",IF(AD20="大日","大隊值日(日)",IF(AD20="大夜","大隊值日(夜)",IF(AD20="值1","值1(早)",IF(AD20="值1丙","值1(早) 丙案",IF(AD20="值2","值2(中)",IF(AD20="值2乙","值2(中) 乙案",IF(AD20="夜值","夜值(晚)",IF(AD20="甲夜","夜值(晚) 甲案",IF(AD20="備","08-18",IF(OR(AD20="支援秘書室",AD20="支援出納室",AD20="支援警務科",AD20="支援事務股"),"支援總(大)隊",IF(AD20="支援檢疫所","支援(其他)",IF(  AD20="/","空班",  IF(  AD20="丙",  "※ 丙案",  IF(  AD20="丙常訓",  "※ 丙案 常訓",AD20  )))))))))))))))))))))))))</f>
        <v>支援總(大)隊</v>
      </c>
      <c r="AE60" s="271" t="str">
        <f>IF(AE20="早","08-18",IF(AE20="中","12-22",IF(AE20="晚","22-08",IF(AE20="X","輪休",IF(AE20="公","公假",IF(OR(AE20="病",AE20="事"),"病(事)假",IF(OR(AE20="婚",AE20="產"),"婚(產)假",IF(AE20="補","補休",IF(AE20="休","休假",IF(AE20="喪","喪假",IF(AND(AE20="/",OR($A20=日期輸入!$B$23,$A20=日期輸入!$C$23,$A20=日期輸入!$D$23,$A20=日期輸入!$E$23,$A20=日期輸入!$F$23)),"08-18水電科",IF(AE20="大日","大隊值日(日)",IF(AE20="大夜","大隊值日(夜)",IF(AE20="值1","值1(早)",IF(AE20="值1丙","值1(早) 丙案",IF(AE20="值2","值2(中)",IF(AE20="值2乙","值2(中) 乙案",IF(AE20="夜值","夜值(晚)",IF(AE20="甲夜","夜值(晚) 甲案",IF(AE20="備","08-18",IF(OR(AE20="支援秘書室",AE20="支援出納室",AE20="支援警務科",AE20="支援事務股"),"支援總(大)隊",IF(AE20="支援檢疫所","支援(其他)",IF(  AE20="/","空班",  IF(  AE20="丙",  "※ 丙案",  IF(  AE20="丙常訓",  "※ 丙案 常訓",AE20  )))))))))))))))))))))))))</f>
        <v>支援總(大)隊</v>
      </c>
      <c r="AF60" s="271" t="str">
        <f>IF(AF20="早","08-18",IF(AF20="中","12-22",IF(AF20="晚","22-08",IF(AF20="X","輪休",IF(AF20="公","公假",IF(OR(AF20="病",AF20="事"),"病(事)假",IF(OR(AF20="婚",AF20="產"),"婚(產)假",IF(AF20="補","補休",IF(AF20="休","休假",IF(AF20="喪","喪假",IF(AND(AF20="/",OR($A20=日期輸入!$B$23,$A20=日期輸入!$C$23,$A20=日期輸入!$D$23,$A20=日期輸入!$E$23,$A20=日期輸入!$F$23)),"08-18水電科",IF(AF20="大日","大隊值日(日)",IF(AF20="大夜","大隊值日(夜)",IF(AF20="值1","值1(早)",IF(AF20="值1丙","值1(早) 丙案",IF(AF20="值2","值2(中)",IF(AF20="值2乙","值2(中) 乙案",IF(AF20="夜值","夜值(晚)",IF(AF20="甲夜","夜值(晚) 甲案",IF(AF20="備","08-18",IF(OR(AF20="支援秘書室",AF20="支援出納室",AF20="支援警務科",AF20="支援事務股"),"支援總(大)隊",IF(AF20="支援檢疫所","支援(其他)",IF(  AF20="/","空班",  IF(  AF20="丙",  "※ 丙案",  IF(  AF20="丙常訓",  "※ 丙案 常訓",AF20  )))))))))))))))))))))))))</f>
        <v>支援總(大)隊</v>
      </c>
      <c r="AG60" s="271" t="str">
        <f>IF(AG20="早","08-18",IF(AG20="中","12-22",IF(AG20="晚","22-08",IF(AG20="X","輪休",IF(AG20="公","公假",IF(OR(AG20="病",AG20="事"),"病(事)假",IF(OR(AG20="婚",AG20="產"),"婚(產)假",IF(AG20="補","補休",IF(AG20="休","休假",IF(AG20="喪","喪假",IF(AND(AG20="/",OR($A20=日期輸入!$B$23,$A20=日期輸入!$C$23,$A20=日期輸入!$D$23,$A20=日期輸入!$E$23,$A20=日期輸入!$F$23)),"08-18水電科",IF(AG20="大日","大隊值日(日)",IF(AG20="大夜","大隊值日(夜)",IF(AG20="值1","值1(早)",IF(AG20="值1丙","值1(早) 丙案",IF(AG20="值2","值2(中)",IF(AG20="值2乙","值2(中) 乙案",IF(AG20="夜值","夜值(晚)",IF(AG20="甲夜","夜值(晚) 甲案",IF(AG20="備","08-18",IF(OR(AG20="支援秘書室",AG20="支援出納室",AG20="支援警務科",AG20="支援事務股"),"支援總(大)隊",IF(AG20="支援檢疫所","支援(其他)",IF(  AG20="/","空班",  IF(  AG20="丙",  "※ 丙案",  IF(  AG20="丙常訓",  "※ 丙案 常訓",AG20  )))))))))))))))))))))))))</f>
        <v>支援總(大)隊</v>
      </c>
    </row>
    <row r="61" spans="1:33">
      <c r="A61" s="271" t="str">
        <f t="shared" ref="A61:B61" si="20">A21</f>
        <v/>
      </c>
      <c r="B61" s="271" t="str">
        <f t="shared" si="20"/>
        <v/>
      </c>
      <c r="C61" s="271" t="str">
        <f>IF(C21="早","08-18",IF(C21="中","12-22",IF(C21="晚","22-08",IF(C21="X","輪休",IF(C21="公","公假",IF(OR(C21="病",C21="事"),"病(事)假",IF(OR(C21="婚",C21="產"),"婚(產)假",IF(C21="補","補休",IF(C21="休","休假",IF(C21="喪","喪假",IF(AND(C21="/",OR($A21=日期輸入!$B$23,$A21=日期輸入!$C$23,$A21=日期輸入!$D$23,$A21=日期輸入!$E$23,$A21=日期輸入!$F$23)),"08-18水電科",IF(C21="大日","大隊值日(日)",IF(C21="大夜","大隊值日(夜)",IF(C21="值1","值1(早)",IF(C21="值1丙","值1(早) 丙案",IF(C21="值2","值2(中)",IF(C21="值2乙","值2(中) 乙案",IF(C21="夜值","夜值(晚)",IF(C21="甲夜","夜值(晚) 甲案",IF(C21="備","08-18",IF(OR(C21="支援秘書室",C21="支援出納室",C21="支援警務科",C21="支援事務股"),"支援總(大)隊",IF(C21="支援檢疫所","支援(其他)",IF(  C21="/","空班",  IF(  C21="丙",  "※ 丙案",  IF(  C21="丙常訓",  "※ 丙案 常訓",C21  )))))))))))))))))))))))))</f>
        <v/>
      </c>
      <c r="D61" s="271" t="str">
        <f>IF(D21="早","08-18",IF(D21="中","12-22",IF(D21="晚","22-08",IF(D21="X","輪休",IF(D21="公","公假",IF(OR(D21="病",D21="事"),"病(事)假",IF(OR(D21="婚",D21="產"),"婚(產)假",IF(D21="補","補休",IF(D21="休","休假",IF(D21="喪","喪假",IF(AND(D21="/",OR($A21=日期輸入!$B$23,$A21=日期輸入!$C$23,$A21=日期輸入!$D$23,$A21=日期輸入!$E$23,$A21=日期輸入!$F$23)),"08-18水電科",IF(D21="大日","大隊值日(日)",IF(D21="大夜","大隊值日(夜)",IF(D21="值1","值1(早)",IF(D21="值1丙","值1(早) 丙案",IF(D21="值2","值2(中)",IF(D21="值2乙","值2(中) 乙案",IF(D21="夜值","夜值(晚)",IF(D21="甲夜","夜值(晚) 甲案",IF(D21="備","08-18",IF(OR(D21="支援秘書室",D21="支援出納室",D21="支援警務科",D21="支援事務股"),"支援總(大)隊",IF(D21="支援檢疫所","支援(其他)",IF(  D21="/","空班",  IF(  D21="丙",  "※ 丙案",  IF(  D21="丙常訓",  "※ 丙案 常訓",D21  )))))))))))))))))))))))))</f>
        <v/>
      </c>
      <c r="E61" s="271" t="str">
        <f>IF(E21="早","08-18",IF(E21="中","12-22",IF(E21="晚","22-08",IF(E21="X","輪休",IF(E21="公","公假",IF(OR(E21="病",E21="事"),"病(事)假",IF(OR(E21="婚",E21="產"),"婚(產)假",IF(E21="補","補休",IF(E21="休","休假",IF(E21="喪","喪假",IF(AND(E21="/",OR($A21=日期輸入!$B$23,$A21=日期輸入!$C$23,$A21=日期輸入!$D$23,$A21=日期輸入!$E$23,$A21=日期輸入!$F$23)),"08-18水電科",IF(E21="大日","大隊值日(日)",IF(E21="大夜","大隊值日(夜)",IF(E21="值1","值1(早)",IF(E21="值1丙","值1(早) 丙案",IF(E21="值2","值2(中)",IF(E21="值2乙","值2(中) 乙案",IF(E21="夜值","夜值(晚)",IF(E21="甲夜","夜值(晚) 甲案",IF(E21="備","08-18",IF(OR(E21="支援秘書室",E21="支援出納室",E21="支援警務科",E21="支援事務股"),"支援總(大)隊",IF(E21="支援檢疫所","支援(其他)",IF(  E21="/","空班",  IF(  E21="丙",  "※ 丙案",  IF(  E21="丙常訓",  "※ 丙案 常訓",E21  )))))))))))))))))))))))))</f>
        <v/>
      </c>
      <c r="F61" s="271" t="str">
        <f>IF(F21="早","08-18",IF(F21="中","12-22",IF(F21="晚","22-08",IF(F21="X","輪休",IF(F21="公","公假",IF(OR(F21="病",F21="事"),"病(事)假",IF(OR(F21="婚",F21="產"),"婚(產)假",IF(F21="補","補休",IF(F21="休","休假",IF(F21="喪","喪假",IF(AND(F21="/",OR($A21=日期輸入!$B$23,$A21=日期輸入!$C$23,$A21=日期輸入!$D$23,$A21=日期輸入!$E$23,$A21=日期輸入!$F$23)),"08-18水電科",IF(F21="大日","大隊值日(日)",IF(F21="大夜","大隊值日(夜)",IF(F21="值1","值1(早)",IF(F21="值1丙","值1(早) 丙案",IF(F21="值2","值2(中)",IF(F21="值2乙","值2(中) 乙案",IF(F21="夜值","夜值(晚)",IF(F21="甲夜","夜值(晚) 甲案",IF(F21="備","08-18",IF(OR(F21="支援秘書室",F21="支援出納室",F21="支援警務科",F21="支援事務股"),"支援總(大)隊",IF(F21="支援檢疫所","支援(其他)",IF(  F21="/","空班",  IF(  F21="丙",  "※ 丙案",  IF(  F21="丙常訓",  "※ 丙案 常訓",F21  )))))))))))))))))))))))))</f>
        <v/>
      </c>
      <c r="G61" s="271" t="str">
        <f>IF(G21="早","08-18",IF(G21="中","12-22",IF(G21="晚","22-08",IF(G21="X","輪休",IF(G21="公","公假",IF(OR(G21="病",G21="事"),"病(事)假",IF(OR(G21="婚",G21="產"),"婚(產)假",IF(G21="補","補休",IF(G21="休","休假",IF(G21="喪","喪假",IF(AND(G21="/",OR($A21=日期輸入!$B$23,$A21=日期輸入!$C$23,$A21=日期輸入!$D$23,$A21=日期輸入!$E$23,$A21=日期輸入!$F$23)),"08-18水電科",IF(G21="大日","大隊值日(日)",IF(G21="大夜","大隊值日(夜)",IF(G21="值1","值1(早)",IF(G21="值1丙","值1(早) 丙案",IF(G21="值2","值2(中)",IF(G21="值2乙","值2(中) 乙案",IF(G21="夜值","夜值(晚)",IF(G21="甲夜","夜值(晚) 甲案",IF(G21="備","08-18",IF(OR(G21="支援秘書室",G21="支援出納室",G21="支援警務科",G21="支援事務股"),"支援總(大)隊",IF(G21="支援檢疫所","支援(其他)",IF(  G21="/","空班",  IF(  G21="丙",  "※ 丙案",  IF(  G21="丙常訓",  "※ 丙案 常訓",G21  )))))))))))))))))))))))))</f>
        <v/>
      </c>
      <c r="H61" s="271" t="str">
        <f>IF(H21="早","08-18",IF(H21="中","12-22",IF(H21="晚","22-08",IF(H21="X","輪休",IF(H21="公","公假",IF(OR(H21="病",H21="事"),"病(事)假",IF(OR(H21="婚",H21="產"),"婚(產)假",IF(H21="補","補休",IF(H21="休","休假",IF(H21="喪","喪假",IF(AND(H21="/",OR($A21=日期輸入!$B$23,$A21=日期輸入!$C$23,$A21=日期輸入!$D$23,$A21=日期輸入!$E$23,$A21=日期輸入!$F$23)),"08-18水電科",IF(H21="大日","大隊值日(日)",IF(H21="大夜","大隊值日(夜)",IF(H21="值1","值1(早)",IF(H21="值1丙","值1(早) 丙案",IF(H21="值2","值2(中)",IF(H21="值2乙","值2(中) 乙案",IF(H21="夜值","夜值(晚)",IF(H21="甲夜","夜值(晚) 甲案",IF(H21="備","08-18",IF(OR(H21="支援秘書室",H21="支援出納室",H21="支援警務科",H21="支援事務股"),"支援總(大)隊",IF(H21="支援檢疫所","支援(其他)",IF(  H21="/","空班",  IF(  H21="丙",  "※ 丙案",  IF(  H21="丙常訓",  "※ 丙案 常訓",H21  )))))))))))))))))))))))))</f>
        <v/>
      </c>
      <c r="I61" s="271" t="str">
        <f>IF(I21="早","08-18",IF(I21="中","12-22",IF(I21="晚","22-08",IF(I21="X","輪休",IF(I21="公","公假",IF(OR(I21="病",I21="事"),"病(事)假",IF(OR(I21="婚",I21="產"),"婚(產)假",IF(I21="補","補休",IF(I21="休","休假",IF(I21="喪","喪假",IF(AND(I21="/",OR($A21=日期輸入!$B$23,$A21=日期輸入!$C$23,$A21=日期輸入!$D$23,$A21=日期輸入!$E$23,$A21=日期輸入!$F$23)),"08-18水電科",IF(I21="大日","大隊值日(日)",IF(I21="大夜","大隊值日(夜)",IF(I21="值1","值1(早)",IF(I21="值1丙","值1(早) 丙案",IF(I21="值2","值2(中)",IF(I21="值2乙","值2(中) 乙案",IF(I21="夜值","夜值(晚)",IF(I21="甲夜","夜值(晚) 甲案",IF(I21="備","08-18",IF(OR(I21="支援秘書室",I21="支援出納室",I21="支援警務科",I21="支援事務股"),"支援總(大)隊",IF(I21="支援檢疫所","支援(其他)",IF(  I21="/","空班",  IF(  I21="丙",  "※ 丙案",  IF(  I21="丙常訓",  "※ 丙案 常訓",I21  )))))))))))))))))))))))))</f>
        <v/>
      </c>
      <c r="J61" s="271" t="str">
        <f>IF(J21="早","08-18",IF(J21="中","12-22",IF(J21="晚","22-08",IF(J21="X","輪休",IF(J21="公","公假",IF(OR(J21="病",J21="事"),"病(事)假",IF(OR(J21="婚",J21="產"),"婚(產)假",IF(J21="補","補休",IF(J21="休","休假",IF(J21="喪","喪假",IF(AND(J21="/",OR($A21=日期輸入!$B$23,$A21=日期輸入!$C$23,$A21=日期輸入!$D$23,$A21=日期輸入!$E$23,$A21=日期輸入!$F$23)),"08-18水電科",IF(J21="大日","大隊值日(日)",IF(J21="大夜","大隊值日(夜)",IF(J21="值1","值1(早)",IF(J21="值1丙","值1(早) 丙案",IF(J21="值2","值2(中)",IF(J21="值2乙","值2(中) 乙案",IF(J21="夜值","夜值(晚)",IF(J21="甲夜","夜值(晚) 甲案",IF(J21="備","08-18",IF(OR(J21="支援秘書室",J21="支援出納室",J21="支援警務科",J21="支援事務股"),"支援總(大)隊",IF(J21="支援檢疫所","支援(其他)",IF(  J21="/","空班",  IF(  J21="丙",  "※ 丙案",  IF(  J21="丙常訓",  "※ 丙案 常訓",J21  )))))))))))))))))))))))))</f>
        <v/>
      </c>
      <c r="K61" s="271" t="str">
        <f>IF(K21="早","08-18",IF(K21="中","12-22",IF(K21="晚","22-08",IF(K21="X","輪休",IF(K21="公","公假",IF(OR(K21="病",K21="事"),"病(事)假",IF(OR(K21="婚",K21="產"),"婚(產)假",IF(K21="補","補休",IF(K21="休","休假",IF(K21="喪","喪假",IF(AND(K21="/",OR($A21=日期輸入!$B$23,$A21=日期輸入!$C$23,$A21=日期輸入!$D$23,$A21=日期輸入!$E$23,$A21=日期輸入!$F$23)),"08-18水電科",IF(K21="大日","大隊值日(日)",IF(K21="大夜","大隊值日(夜)",IF(K21="值1","值1(早)",IF(K21="值1丙","值1(早) 丙案",IF(K21="值2","值2(中)",IF(K21="值2乙","值2(中) 乙案",IF(K21="夜值","夜值(晚)",IF(K21="甲夜","夜值(晚) 甲案",IF(K21="備","08-18",IF(OR(K21="支援秘書室",K21="支援出納室",K21="支援警務科",K21="支援事務股"),"支援總(大)隊",IF(K21="支援檢疫所","支援(其他)",IF(  K21="/","空班",  IF(  K21="丙",  "※ 丙案",  IF(  K21="丙常訓",  "※ 丙案 常訓",K21  )))))))))))))))))))))))))</f>
        <v/>
      </c>
      <c r="L61" s="271" t="str">
        <f>IF(L21="早","08-18",IF(L21="中","12-22",IF(L21="晚","22-08",IF(L21="X","輪休",IF(L21="公","公假",IF(OR(L21="病",L21="事"),"病(事)假",IF(OR(L21="婚",L21="產"),"婚(產)假",IF(L21="補","補休",IF(L21="休","休假",IF(L21="喪","喪假",IF(AND(L21="/",OR($A21=日期輸入!$B$23,$A21=日期輸入!$C$23,$A21=日期輸入!$D$23,$A21=日期輸入!$E$23,$A21=日期輸入!$F$23)),"08-18水電科",IF(L21="大日","大隊值日(日)",IF(L21="大夜","大隊值日(夜)",IF(L21="值1","值1(早)",IF(L21="值1丙","值1(早) 丙案",IF(L21="值2","值2(中)",IF(L21="值2乙","值2(中) 乙案",IF(L21="夜值","夜值(晚)",IF(L21="甲夜","夜值(晚) 甲案",IF(L21="備","08-18",IF(OR(L21="支援秘書室",L21="支援出納室",L21="支援警務科",L21="支援事務股"),"支援總(大)隊",IF(L21="支援檢疫所","支援(其他)",IF(  L21="/","空班",  IF(  L21="丙",  "※ 丙案",  IF(  L21="丙常訓",  "※ 丙案 常訓",L21  )))))))))))))))))))))))))</f>
        <v/>
      </c>
      <c r="M61" s="271" t="str">
        <f>IF(M21="早","08-18",IF(M21="中","12-22",IF(M21="晚","22-08",IF(M21="X","輪休",IF(M21="公","公假",IF(OR(M21="病",M21="事"),"病(事)假",IF(OR(M21="婚",M21="產"),"婚(產)假",IF(M21="補","補休",IF(M21="休","休假",IF(M21="喪","喪假",IF(AND(M21="/",OR($A21=日期輸入!$B$23,$A21=日期輸入!$C$23,$A21=日期輸入!$D$23,$A21=日期輸入!$E$23,$A21=日期輸入!$F$23)),"08-18水電科",IF(M21="大日","大隊值日(日)",IF(M21="大夜","大隊值日(夜)",IF(M21="值1","值1(早)",IF(M21="值1丙","值1(早) 丙案",IF(M21="值2","值2(中)",IF(M21="值2乙","值2(中) 乙案",IF(M21="夜值","夜值(晚)",IF(M21="甲夜","夜值(晚) 甲案",IF(M21="備","08-18",IF(OR(M21="支援秘書室",M21="支援出納室",M21="支援警務科",M21="支援事務股"),"支援總(大)隊",IF(M21="支援檢疫所","支援(其他)",IF(  M21="/","空班",  IF(  M21="丙",  "※ 丙案",  IF(  M21="丙常訓",  "※ 丙案 常訓",M21  )))))))))))))))))))))))))</f>
        <v/>
      </c>
      <c r="N61" s="271" t="str">
        <f>IF(N21="早","08-18",IF(N21="中","12-22",IF(N21="晚","22-08",IF(N21="X","輪休",IF(N21="公","公假",IF(OR(N21="病",N21="事"),"病(事)假",IF(OR(N21="婚",N21="產"),"婚(產)假",IF(N21="補","補休",IF(N21="休","休假",IF(N21="喪","喪假",IF(AND(N21="/",OR($A21=日期輸入!$B$23,$A21=日期輸入!$C$23,$A21=日期輸入!$D$23,$A21=日期輸入!$E$23,$A21=日期輸入!$F$23)),"08-18水電科",IF(N21="大日","大隊值日(日)",IF(N21="大夜","大隊值日(夜)",IF(N21="值1","值1(早)",IF(N21="值1丙","值1(早) 丙案",IF(N21="值2","值2(中)",IF(N21="值2乙","值2(中) 乙案",IF(N21="夜值","夜值(晚)",IF(N21="甲夜","夜值(晚) 甲案",IF(N21="備","08-18",IF(OR(N21="支援秘書室",N21="支援出納室",N21="支援警務科",N21="支援事務股"),"支援總(大)隊",IF(N21="支援檢疫所","支援(其他)",IF(  N21="/","空班",  IF(  N21="丙",  "※ 丙案",  IF(  N21="丙常訓",  "※ 丙案 常訓",N21  )))))))))))))))))))))))))</f>
        <v/>
      </c>
      <c r="O61" s="271" t="str">
        <f>IF(O21="早","08-18",IF(O21="中","12-22",IF(O21="晚","22-08",IF(O21="X","輪休",IF(O21="公","公假",IF(OR(O21="病",O21="事"),"病(事)假",IF(OR(O21="婚",O21="產"),"婚(產)假",IF(O21="補","補休",IF(O21="休","休假",IF(O21="喪","喪假",IF(AND(O21="/",OR($A21=日期輸入!$B$23,$A21=日期輸入!$C$23,$A21=日期輸入!$D$23,$A21=日期輸入!$E$23,$A21=日期輸入!$F$23)),"08-18水電科",IF(O21="大日","大隊值日(日)",IF(O21="大夜","大隊值日(夜)",IF(O21="值1","值1(早)",IF(O21="值1丙","值1(早) 丙案",IF(O21="值2","值2(中)",IF(O21="值2乙","值2(中) 乙案",IF(O21="夜值","夜值(晚)",IF(O21="甲夜","夜值(晚) 甲案",IF(O21="備","08-18",IF(OR(O21="支援秘書室",O21="支援出納室",O21="支援警務科",O21="支援事務股"),"支援總(大)隊",IF(O21="支援檢疫所","支援(其他)",IF(  O21="/","空班",  IF(  O21="丙",  "※ 丙案",  IF(  O21="丙常訓",  "※ 丙案 常訓",O21  )))))))))))))))))))))))))</f>
        <v/>
      </c>
      <c r="P61" s="271" t="str">
        <f>IF(P21="早","08-18",IF(P21="中","12-22",IF(P21="晚","22-08",IF(P21="X","輪休",IF(P21="公","公假",IF(OR(P21="病",P21="事"),"病(事)假",IF(OR(P21="婚",P21="產"),"婚(產)假",IF(P21="補","補休",IF(P21="休","休假",IF(P21="喪","喪假",IF(AND(P21="/",OR($A21=日期輸入!$B$23,$A21=日期輸入!$C$23,$A21=日期輸入!$D$23,$A21=日期輸入!$E$23,$A21=日期輸入!$F$23)),"08-18水電科",IF(P21="大日","大隊值日(日)",IF(P21="大夜","大隊值日(夜)",IF(P21="值1","值1(早)",IF(P21="值1丙","值1(早) 丙案",IF(P21="值2","值2(中)",IF(P21="值2乙","值2(中) 乙案",IF(P21="夜值","夜值(晚)",IF(P21="甲夜","夜值(晚) 甲案",IF(P21="備","08-18",IF(OR(P21="支援秘書室",P21="支援出納室",P21="支援警務科",P21="支援事務股"),"支援總(大)隊",IF(P21="支援檢疫所","支援(其他)",IF(  P21="/","空班",  IF(  P21="丙",  "※ 丙案",  IF(  P21="丙常訓",  "※ 丙案 常訓",P21  )))))))))))))))))))))))))</f>
        <v/>
      </c>
      <c r="Q61" s="271" t="str">
        <f>IF(Q21="早","08-18",IF(Q21="中","12-22",IF(Q21="晚","22-08",IF(Q21="X","輪休",IF(Q21="公","公假",IF(OR(Q21="病",Q21="事"),"病(事)假",IF(OR(Q21="婚",Q21="產"),"婚(產)假",IF(Q21="補","補休",IF(Q21="休","休假",IF(Q21="喪","喪假",IF(AND(Q21="/",OR($A21=日期輸入!$B$23,$A21=日期輸入!$C$23,$A21=日期輸入!$D$23,$A21=日期輸入!$E$23,$A21=日期輸入!$F$23)),"08-18水電科",IF(Q21="大日","大隊值日(日)",IF(Q21="大夜","大隊值日(夜)",IF(Q21="值1","值1(早)",IF(Q21="值1丙","值1(早) 丙案",IF(Q21="值2","值2(中)",IF(Q21="值2乙","值2(中) 乙案",IF(Q21="夜值","夜值(晚)",IF(Q21="甲夜","夜值(晚) 甲案",IF(Q21="備","08-18",IF(OR(Q21="支援秘書室",Q21="支援出納室",Q21="支援警務科",Q21="支援事務股"),"支援總(大)隊",IF(Q21="支援檢疫所","支援(其他)",IF(  Q21="/","空班",  IF(  Q21="丙",  "※ 丙案",  IF(  Q21="丙常訓",  "※ 丙案 常訓",Q21  )))))))))))))))))))))))))</f>
        <v/>
      </c>
      <c r="R61" s="271" t="str">
        <f>IF(R21="早","08-18",IF(R21="中","12-22",IF(R21="晚","22-08",IF(R21="X","輪休",IF(R21="公","公假",IF(OR(R21="病",R21="事"),"病(事)假",IF(OR(R21="婚",R21="產"),"婚(產)假",IF(R21="補","補休",IF(R21="休","休假",IF(R21="喪","喪假",IF(AND(R21="/",OR($A21=日期輸入!$B$23,$A21=日期輸入!$C$23,$A21=日期輸入!$D$23,$A21=日期輸入!$E$23,$A21=日期輸入!$F$23)),"08-18水電科",IF(R21="大日","大隊值日(日)",IF(R21="大夜","大隊值日(夜)",IF(R21="值1","值1(早)",IF(R21="值1丙","值1(早) 丙案",IF(R21="值2","值2(中)",IF(R21="值2乙","值2(中) 乙案",IF(R21="夜值","夜值(晚)",IF(R21="甲夜","夜值(晚) 甲案",IF(R21="備","08-18",IF(OR(R21="支援秘書室",R21="支援出納室",R21="支援警務科",R21="支援事務股"),"支援總(大)隊",IF(R21="支援檢疫所","支援(其他)",IF(  R21="/","空班",  IF(  R21="丙",  "※ 丙案",  IF(  R21="丙常訓",  "※ 丙案 常訓",R21  )))))))))))))))))))))))))</f>
        <v/>
      </c>
      <c r="S61" s="271" t="str">
        <f>IF(S21="早","08-18",IF(S21="中","12-22",IF(S21="晚","22-08",IF(S21="X","輪休",IF(S21="公","公假",IF(OR(S21="病",S21="事"),"病(事)假",IF(OR(S21="婚",S21="產"),"婚(產)假",IF(S21="補","補休",IF(S21="休","休假",IF(S21="喪","喪假",IF(AND(S21="/",OR($A21=日期輸入!$B$23,$A21=日期輸入!$C$23,$A21=日期輸入!$D$23,$A21=日期輸入!$E$23,$A21=日期輸入!$F$23)),"08-18水電科",IF(S21="大日","大隊值日(日)",IF(S21="大夜","大隊值日(夜)",IF(S21="值1","值1(早)",IF(S21="值1丙","值1(早) 丙案",IF(S21="值2","值2(中)",IF(S21="值2乙","值2(中) 乙案",IF(S21="夜值","夜值(晚)",IF(S21="甲夜","夜值(晚) 甲案",IF(S21="備","08-18",IF(OR(S21="支援秘書室",S21="支援出納室",S21="支援警務科",S21="支援事務股"),"支援總(大)隊",IF(S21="支援檢疫所","支援(其他)",IF(  S21="/","空班",  IF(  S21="丙",  "※ 丙案",  IF(  S21="丙常訓",  "※ 丙案 常訓",S21  )))))))))))))))))))))))))</f>
        <v/>
      </c>
      <c r="T61" s="271" t="str">
        <f>IF(T21="早","08-18",IF(T21="中","12-22",IF(T21="晚","22-08",IF(T21="X","輪休",IF(T21="公","公假",IF(OR(T21="病",T21="事"),"病(事)假",IF(OR(T21="婚",T21="產"),"婚(產)假",IF(T21="補","補休",IF(T21="休","休假",IF(T21="喪","喪假",IF(AND(T21="/",OR($A21=日期輸入!$B$23,$A21=日期輸入!$C$23,$A21=日期輸入!$D$23,$A21=日期輸入!$E$23,$A21=日期輸入!$F$23)),"08-18水電科",IF(T21="大日","大隊值日(日)",IF(T21="大夜","大隊值日(夜)",IF(T21="值1","值1(早)",IF(T21="值1丙","值1(早) 丙案",IF(T21="值2","值2(中)",IF(T21="值2乙","值2(中) 乙案",IF(T21="夜值","夜值(晚)",IF(T21="甲夜","夜值(晚) 甲案",IF(T21="備","08-18",IF(OR(T21="支援秘書室",T21="支援出納室",T21="支援警務科",T21="支援事務股"),"支援總(大)隊",IF(T21="支援檢疫所","支援(其他)",IF(  T21="/","空班",  IF(  T21="丙",  "※ 丙案",  IF(  T21="丙常訓",  "※ 丙案 常訓",T21  )))))))))))))))))))))))))</f>
        <v/>
      </c>
      <c r="U61" s="271" t="str">
        <f>IF(U21="早","08-18",IF(U21="中","12-22",IF(U21="晚","22-08",IF(U21="X","輪休",IF(U21="公","公假",IF(OR(U21="病",U21="事"),"病(事)假",IF(OR(U21="婚",U21="產"),"婚(產)假",IF(U21="補","補休",IF(U21="休","休假",IF(U21="喪","喪假",IF(AND(U21="/",OR($A21=日期輸入!$B$23,$A21=日期輸入!$C$23,$A21=日期輸入!$D$23,$A21=日期輸入!$E$23,$A21=日期輸入!$F$23)),"08-18水電科",IF(U21="大日","大隊值日(日)",IF(U21="大夜","大隊值日(夜)",IF(U21="值1","值1(早)",IF(U21="值1丙","值1(早) 丙案",IF(U21="值2","值2(中)",IF(U21="值2乙","值2(中) 乙案",IF(U21="夜值","夜值(晚)",IF(U21="甲夜","夜值(晚) 甲案",IF(U21="備","08-18",IF(OR(U21="支援秘書室",U21="支援出納室",U21="支援警務科",U21="支援事務股"),"支援總(大)隊",IF(U21="支援檢疫所","支援(其他)",IF(  U21="/","空班",  IF(  U21="丙",  "※ 丙案",  IF(  U21="丙常訓",  "※ 丙案 常訓",U21  )))))))))))))))))))))))))</f>
        <v/>
      </c>
      <c r="V61" s="271" t="str">
        <f>IF(V21="早","08-18",IF(V21="中","12-22",IF(V21="晚","22-08",IF(V21="X","輪休",IF(V21="公","公假",IF(OR(V21="病",V21="事"),"病(事)假",IF(OR(V21="婚",V21="產"),"婚(產)假",IF(V21="補","補休",IF(V21="休","休假",IF(V21="喪","喪假",IF(AND(V21="/",OR($A21=日期輸入!$B$23,$A21=日期輸入!$C$23,$A21=日期輸入!$D$23,$A21=日期輸入!$E$23,$A21=日期輸入!$F$23)),"08-18水電科",IF(V21="大日","大隊值日(日)",IF(V21="大夜","大隊值日(夜)",IF(V21="值1","值1(早)",IF(V21="值1丙","值1(早) 丙案",IF(V21="值2","值2(中)",IF(V21="值2乙","值2(中) 乙案",IF(V21="夜值","夜值(晚)",IF(V21="甲夜","夜值(晚) 甲案",IF(V21="備","08-18",IF(OR(V21="支援秘書室",V21="支援出納室",V21="支援警務科",V21="支援事務股"),"支援總(大)隊",IF(V21="支援檢疫所","支援(其他)",IF(  V21="/","空班",  IF(  V21="丙",  "※ 丙案",  IF(  V21="丙常訓",  "※ 丙案 常訓",V21  )))))))))))))))))))))))))</f>
        <v/>
      </c>
      <c r="W61" s="271" t="str">
        <f>IF(W21="早","08-18",IF(W21="中","12-22",IF(W21="晚","22-08",IF(W21="X","輪休",IF(W21="公","公假",IF(OR(W21="病",W21="事"),"病(事)假",IF(OR(W21="婚",W21="產"),"婚(產)假",IF(W21="補","補休",IF(W21="休","休假",IF(W21="喪","喪假",IF(AND(W21="/",OR($A21=日期輸入!$B$23,$A21=日期輸入!$C$23,$A21=日期輸入!$D$23,$A21=日期輸入!$E$23,$A21=日期輸入!$F$23)),"08-18水電科",IF(W21="大日","大隊值日(日)",IF(W21="大夜","大隊值日(夜)",IF(W21="值1","值1(早)",IF(W21="值1丙","值1(早) 丙案",IF(W21="值2","值2(中)",IF(W21="值2乙","值2(中) 乙案",IF(W21="夜值","夜值(晚)",IF(W21="甲夜","夜值(晚) 甲案",IF(W21="備","08-18",IF(OR(W21="支援秘書室",W21="支援出納室",W21="支援警務科",W21="支援事務股"),"支援總(大)隊",IF(W21="支援檢疫所","支援(其他)",IF(  W21="/","空班",  IF(  W21="丙",  "※ 丙案",  IF(  W21="丙常訓",  "※ 丙案 常訓",W21  )))))))))))))))))))))))))</f>
        <v/>
      </c>
      <c r="X61" s="271" t="str">
        <f>IF(X21="早","08-18",IF(X21="中","12-22",IF(X21="晚","22-08",IF(X21="X","輪休",IF(X21="公","公假",IF(OR(X21="病",X21="事"),"病(事)假",IF(OR(X21="婚",X21="產"),"婚(產)假",IF(X21="補","補休",IF(X21="休","休假",IF(X21="喪","喪假",IF(AND(X21="/",OR($A21=日期輸入!$B$23,$A21=日期輸入!$C$23,$A21=日期輸入!$D$23,$A21=日期輸入!$E$23,$A21=日期輸入!$F$23)),"08-18水電科",IF(X21="大日","大隊值日(日)",IF(X21="大夜","大隊值日(夜)",IF(X21="值1","值1(早)",IF(X21="值1丙","值1(早) 丙案",IF(X21="值2","值2(中)",IF(X21="值2乙","值2(中) 乙案",IF(X21="夜值","夜值(晚)",IF(X21="甲夜","夜值(晚) 甲案",IF(X21="備","08-18",IF(OR(X21="支援秘書室",X21="支援出納室",X21="支援警務科",X21="支援事務股"),"支援總(大)隊",IF(X21="支援檢疫所","支援(其他)",IF(  X21="/","空班",  IF(  X21="丙",  "※ 丙案",  IF(  X21="丙常訓",  "※ 丙案 常訓",X21  )))))))))))))))))))))))))</f>
        <v/>
      </c>
      <c r="Y61" s="271" t="str">
        <f>IF(Y21="早","08-18",IF(Y21="中","12-22",IF(Y21="晚","22-08",IF(Y21="X","輪休",IF(Y21="公","公假",IF(OR(Y21="病",Y21="事"),"病(事)假",IF(OR(Y21="婚",Y21="產"),"婚(產)假",IF(Y21="補","補休",IF(Y21="休","休假",IF(Y21="喪","喪假",IF(AND(Y21="/",OR($A21=日期輸入!$B$23,$A21=日期輸入!$C$23,$A21=日期輸入!$D$23,$A21=日期輸入!$E$23,$A21=日期輸入!$F$23)),"08-18水電科",IF(Y21="大日","大隊值日(日)",IF(Y21="大夜","大隊值日(夜)",IF(Y21="值1","值1(早)",IF(Y21="值1丙","值1(早) 丙案",IF(Y21="值2","值2(中)",IF(Y21="值2乙","值2(中) 乙案",IF(Y21="夜值","夜值(晚)",IF(Y21="甲夜","夜值(晚) 甲案",IF(Y21="備","08-18",IF(OR(Y21="支援秘書室",Y21="支援出納室",Y21="支援警務科",Y21="支援事務股"),"支援總(大)隊",IF(Y21="支援檢疫所","支援(其他)",IF(  Y21="/","空班",  IF(  Y21="丙",  "※ 丙案",  IF(  Y21="丙常訓",  "※ 丙案 常訓",Y21  )))))))))))))))))))))))))</f>
        <v/>
      </c>
      <c r="Z61" s="271" t="str">
        <f>IF(Z21="早","08-18",IF(Z21="中","12-22",IF(Z21="晚","22-08",IF(Z21="X","輪休",IF(Z21="公","公假",IF(OR(Z21="病",Z21="事"),"病(事)假",IF(OR(Z21="婚",Z21="產"),"婚(產)假",IF(Z21="補","補休",IF(Z21="休","休假",IF(Z21="喪","喪假",IF(AND(Z21="/",OR($A21=日期輸入!$B$23,$A21=日期輸入!$C$23,$A21=日期輸入!$D$23,$A21=日期輸入!$E$23,$A21=日期輸入!$F$23)),"08-18水電科",IF(Z21="大日","大隊值日(日)",IF(Z21="大夜","大隊值日(夜)",IF(Z21="值1","值1(早)",IF(Z21="值1丙","值1(早) 丙案",IF(Z21="值2","值2(中)",IF(Z21="值2乙","值2(中) 乙案",IF(Z21="夜值","夜值(晚)",IF(Z21="甲夜","夜值(晚) 甲案",IF(Z21="備","08-18",IF(OR(Z21="支援秘書室",Z21="支援出納室",Z21="支援警務科",Z21="支援事務股"),"支援總(大)隊",IF(Z21="支援檢疫所","支援(其他)",IF(  Z21="/","空班",  IF(  Z21="丙",  "※ 丙案",  IF(  Z21="丙常訓",  "※ 丙案 常訓",Z21  )))))))))))))))))))))))))</f>
        <v/>
      </c>
      <c r="AA61" s="271" t="str">
        <f>IF(AA21="早","08-18",IF(AA21="中","12-22",IF(AA21="晚","22-08",IF(AA21="X","輪休",IF(AA21="公","公假",IF(OR(AA21="病",AA21="事"),"病(事)假",IF(OR(AA21="婚",AA21="產"),"婚(產)假",IF(AA21="補","補休",IF(AA21="休","休假",IF(AA21="喪","喪假",IF(AND(AA21="/",OR($A21=日期輸入!$B$23,$A21=日期輸入!$C$23,$A21=日期輸入!$D$23,$A21=日期輸入!$E$23,$A21=日期輸入!$F$23)),"08-18水電科",IF(AA21="大日","大隊值日(日)",IF(AA21="大夜","大隊值日(夜)",IF(AA21="值1","值1(早)",IF(AA21="值1丙","值1(早) 丙案",IF(AA21="值2","值2(中)",IF(AA21="值2乙","值2(中) 乙案",IF(AA21="夜值","夜值(晚)",IF(AA21="甲夜","夜值(晚) 甲案",IF(AA21="備","08-18",IF(OR(AA21="支援秘書室",AA21="支援出納室",AA21="支援警務科",AA21="支援事務股"),"支援總(大)隊",IF(AA21="支援檢疫所","支援(其他)",IF(  AA21="/","空班",  IF(  AA21="丙",  "※ 丙案",  IF(  AA21="丙常訓",  "※ 丙案 常訓",AA21  )))))))))))))))))))))))))</f>
        <v/>
      </c>
      <c r="AB61" s="271" t="str">
        <f>IF(AB21="早","08-18",IF(AB21="中","12-22",IF(AB21="晚","22-08",IF(AB21="X","輪休",IF(AB21="公","公假",IF(OR(AB21="病",AB21="事"),"病(事)假",IF(OR(AB21="婚",AB21="產"),"婚(產)假",IF(AB21="補","補休",IF(AB21="休","休假",IF(AB21="喪","喪假",IF(AND(AB21="/",OR($A21=日期輸入!$B$23,$A21=日期輸入!$C$23,$A21=日期輸入!$D$23,$A21=日期輸入!$E$23,$A21=日期輸入!$F$23)),"08-18水電科",IF(AB21="大日","大隊值日(日)",IF(AB21="大夜","大隊值日(夜)",IF(AB21="值1","值1(早)",IF(AB21="值1丙","值1(早) 丙案",IF(AB21="值2","值2(中)",IF(AB21="值2乙","值2(中) 乙案",IF(AB21="夜值","夜值(晚)",IF(AB21="甲夜","夜值(晚) 甲案",IF(AB21="備","08-18",IF(OR(AB21="支援秘書室",AB21="支援出納室",AB21="支援警務科",AB21="支援事務股"),"支援總(大)隊",IF(AB21="支援檢疫所","支援(其他)",IF(  AB21="/","空班",  IF(  AB21="丙",  "※ 丙案",  IF(  AB21="丙常訓",  "※ 丙案 常訓",AB21  )))))))))))))))))))))))))</f>
        <v/>
      </c>
      <c r="AC61" s="271" t="str">
        <f>IF(AC21="早","08-18",IF(AC21="中","12-22",IF(AC21="晚","22-08",IF(AC21="X","輪休",IF(AC21="公","公假",IF(OR(AC21="病",AC21="事"),"病(事)假",IF(OR(AC21="婚",AC21="產"),"婚(產)假",IF(AC21="補","補休",IF(AC21="休","休假",IF(AC21="喪","喪假",IF(AND(AC21="/",OR($A21=日期輸入!$B$23,$A21=日期輸入!$C$23,$A21=日期輸入!$D$23,$A21=日期輸入!$E$23,$A21=日期輸入!$F$23)),"08-18水電科",IF(AC21="大日","大隊值日(日)",IF(AC21="大夜","大隊值日(夜)",IF(AC21="值1","值1(早)",IF(AC21="值1丙","值1(早) 丙案",IF(AC21="值2","值2(中)",IF(AC21="值2乙","值2(中) 乙案",IF(AC21="夜值","夜值(晚)",IF(AC21="甲夜","夜值(晚) 甲案",IF(AC21="備","08-18",IF(OR(AC21="支援秘書室",AC21="支援出納室",AC21="支援警務科",AC21="支援事務股"),"支援總(大)隊",IF(AC21="支援檢疫所","支援(其他)",IF(  AC21="/","空班",  IF(  AC21="丙",  "※ 丙案",  IF(  AC21="丙常訓",  "※ 丙案 常訓",AC21  )))))))))))))))))))))))))</f>
        <v/>
      </c>
      <c r="AD61" s="271" t="str">
        <f>IF(AD21="早","08-18",IF(AD21="中","12-22",IF(AD21="晚","22-08",IF(AD21="X","輪休",IF(AD21="公","公假",IF(OR(AD21="病",AD21="事"),"病(事)假",IF(OR(AD21="婚",AD21="產"),"婚(產)假",IF(AD21="補","補休",IF(AD21="休","休假",IF(AD21="喪","喪假",IF(AND(AD21="/",OR($A21=日期輸入!$B$23,$A21=日期輸入!$C$23,$A21=日期輸入!$D$23,$A21=日期輸入!$E$23,$A21=日期輸入!$F$23)),"08-18水電科",IF(AD21="大日","大隊值日(日)",IF(AD21="大夜","大隊值日(夜)",IF(AD21="值1","值1(早)",IF(AD21="值1丙","值1(早) 丙案",IF(AD21="值2","值2(中)",IF(AD21="值2乙","值2(中) 乙案",IF(AD21="夜值","夜值(晚)",IF(AD21="甲夜","夜值(晚) 甲案",IF(AD21="備","08-18",IF(OR(AD21="支援秘書室",AD21="支援出納室",AD21="支援警務科",AD21="支援事務股"),"支援總(大)隊",IF(AD21="支援檢疫所","支援(其他)",IF(  AD21="/","空班",  IF(  AD21="丙",  "※ 丙案",  IF(  AD21="丙常訓",  "※ 丙案 常訓",AD21  )))))))))))))))))))))))))</f>
        <v/>
      </c>
      <c r="AE61" s="271" t="str">
        <f>IF(AE21="早","08-18",IF(AE21="中","12-22",IF(AE21="晚","22-08",IF(AE21="X","輪休",IF(AE21="公","公假",IF(OR(AE21="病",AE21="事"),"病(事)假",IF(OR(AE21="婚",AE21="產"),"婚(產)假",IF(AE21="補","補休",IF(AE21="休","休假",IF(AE21="喪","喪假",IF(AND(AE21="/",OR($A21=日期輸入!$B$23,$A21=日期輸入!$C$23,$A21=日期輸入!$D$23,$A21=日期輸入!$E$23,$A21=日期輸入!$F$23)),"08-18水電科",IF(AE21="大日","大隊值日(日)",IF(AE21="大夜","大隊值日(夜)",IF(AE21="值1","值1(早)",IF(AE21="值1丙","值1(早) 丙案",IF(AE21="值2","值2(中)",IF(AE21="值2乙","值2(中) 乙案",IF(AE21="夜值","夜值(晚)",IF(AE21="甲夜","夜值(晚) 甲案",IF(AE21="備","08-18",IF(OR(AE21="支援秘書室",AE21="支援出納室",AE21="支援警務科",AE21="支援事務股"),"支援總(大)隊",IF(AE21="支援檢疫所","支援(其他)",IF(  AE21="/","空班",  IF(  AE21="丙",  "※ 丙案",  IF(  AE21="丙常訓",  "※ 丙案 常訓",AE21  )))))))))))))))))))))))))</f>
        <v/>
      </c>
      <c r="AF61" s="271" t="str">
        <f>IF(AF21="早","08-18",IF(AF21="中","12-22",IF(AF21="晚","22-08",IF(AF21="X","輪休",IF(AF21="公","公假",IF(OR(AF21="病",AF21="事"),"病(事)假",IF(OR(AF21="婚",AF21="產"),"婚(產)假",IF(AF21="補","補休",IF(AF21="休","休假",IF(AF21="喪","喪假",IF(AND(AF21="/",OR($A21=日期輸入!$B$23,$A21=日期輸入!$C$23,$A21=日期輸入!$D$23,$A21=日期輸入!$E$23,$A21=日期輸入!$F$23)),"08-18水電科",IF(AF21="大日","大隊值日(日)",IF(AF21="大夜","大隊值日(夜)",IF(AF21="值1","值1(早)",IF(AF21="值1丙","值1(早) 丙案",IF(AF21="值2","值2(中)",IF(AF21="值2乙","值2(中) 乙案",IF(AF21="夜值","夜值(晚)",IF(AF21="甲夜","夜值(晚) 甲案",IF(AF21="備","08-18",IF(OR(AF21="支援秘書室",AF21="支援出納室",AF21="支援警務科",AF21="支援事務股"),"支援總(大)隊",IF(AF21="支援檢疫所","支援(其他)",IF(  AF21="/","空班",  IF(  AF21="丙",  "※ 丙案",  IF(  AF21="丙常訓",  "※ 丙案 常訓",AF21  )))))))))))))))))))))))))</f>
        <v/>
      </c>
      <c r="AG61" s="271" t="str">
        <f>IF(AG21="早","08-18",IF(AG21="中","12-22",IF(AG21="晚","22-08",IF(AG21="X","輪休",IF(AG21="公","公假",IF(OR(AG21="病",AG21="事"),"病(事)假",IF(OR(AG21="婚",AG21="產"),"婚(產)假",IF(AG21="補","補休",IF(AG21="休","休假",IF(AG21="喪","喪假",IF(AND(AG21="/",OR($A21=日期輸入!$B$23,$A21=日期輸入!$C$23,$A21=日期輸入!$D$23,$A21=日期輸入!$E$23,$A21=日期輸入!$F$23)),"08-18水電科",IF(AG21="大日","大隊值日(日)",IF(AG21="大夜","大隊值日(夜)",IF(AG21="值1","值1(早)",IF(AG21="值1丙","值1(早) 丙案",IF(AG21="值2","值2(中)",IF(AG21="值2乙","值2(中) 乙案",IF(AG21="夜值","夜值(晚)",IF(AG21="甲夜","夜值(晚) 甲案",IF(AG21="備","08-18",IF(OR(AG21="支援秘書室",AG21="支援出納室",AG21="支援警務科",AG21="支援事務股"),"支援總(大)隊",IF(AG21="支援檢疫所","支援(其他)",IF(  AG21="/","空班",  IF(  AG21="丙",  "※ 丙案",  IF(  AG21="丙常訓",  "※ 丙案 常訓",AG21  )))))))))))))))))))))))))</f>
        <v/>
      </c>
    </row>
    <row r="62" spans="1:33">
      <c r="A62" s="271" t="str">
        <f t="shared" ref="A62:B62" si="21">A22</f>
        <v/>
      </c>
      <c r="B62" s="271" t="str">
        <f t="shared" si="21"/>
        <v/>
      </c>
      <c r="C62" s="271" t="str">
        <f>IF(C22="早","08-18",IF(C22="中","12-22",IF(C22="晚","22-08",IF(C22="X","輪休",IF(C22="公","公假",IF(OR(C22="病",C22="事"),"病(事)假",IF(OR(C22="婚",C22="產"),"婚(產)假",IF(C22="補","補休",IF(C22="休","休假",IF(C22="喪","喪假",IF(AND(C22="/",OR($A22=日期輸入!$B$23,$A22=日期輸入!$C$23,$A22=日期輸入!$D$23,$A22=日期輸入!$E$23,$A22=日期輸入!$F$23)),"08-18水電科",IF(C22="大日","大隊值日(日)",IF(C22="大夜","大隊值日(夜)",IF(C22="值1","值1(早)",IF(C22="值1丙","值1(早) 丙案",IF(C22="值2","值2(中)",IF(C22="值2乙","值2(中) 乙案",IF(C22="夜值","夜值(晚)",IF(C22="甲夜","夜值(晚) 甲案",IF(C22="備","08-18",IF(OR(C22="支援秘書室",C22="支援出納室",C22="支援警務科",C22="支援事務股"),"支援總(大)隊",IF(C22="支援檢疫所","支援(其他)",IF(  C22="/","空班",  IF(  C22="丙",  "※ 丙案",  IF(  C22="丙常訓",  "※ 丙案 常訓",C22  )))))))))))))))))))))))))</f>
        <v/>
      </c>
      <c r="D62" s="271" t="str">
        <f>IF(D22="早","08-18",IF(D22="中","12-22",IF(D22="晚","22-08",IF(D22="X","輪休",IF(D22="公","公假",IF(OR(D22="病",D22="事"),"病(事)假",IF(OR(D22="婚",D22="產"),"婚(產)假",IF(D22="補","補休",IF(D22="休","休假",IF(D22="喪","喪假",IF(AND(D22="/",OR($A22=日期輸入!$B$23,$A22=日期輸入!$C$23,$A22=日期輸入!$D$23,$A22=日期輸入!$E$23,$A22=日期輸入!$F$23)),"08-18水電科",IF(D22="大日","大隊值日(日)",IF(D22="大夜","大隊值日(夜)",IF(D22="值1","值1(早)",IF(D22="值1丙","值1(早) 丙案",IF(D22="值2","值2(中)",IF(D22="值2乙","值2(中) 乙案",IF(D22="夜值","夜值(晚)",IF(D22="甲夜","夜值(晚) 甲案",IF(D22="備","08-18",IF(OR(D22="支援秘書室",D22="支援出納室",D22="支援警務科",D22="支援事務股"),"支援總(大)隊",IF(D22="支援檢疫所","支援(其他)",IF(  D22="/","空班",  IF(  D22="丙",  "※ 丙案",  IF(  D22="丙常訓",  "※ 丙案 常訓",D22  )))))))))))))))))))))))))</f>
        <v/>
      </c>
      <c r="E62" s="271" t="str">
        <f>IF(E22="早","08-18",IF(E22="中","12-22",IF(E22="晚","22-08",IF(E22="X","輪休",IF(E22="公","公假",IF(OR(E22="病",E22="事"),"病(事)假",IF(OR(E22="婚",E22="產"),"婚(產)假",IF(E22="補","補休",IF(E22="休","休假",IF(E22="喪","喪假",IF(AND(E22="/",OR($A22=日期輸入!$B$23,$A22=日期輸入!$C$23,$A22=日期輸入!$D$23,$A22=日期輸入!$E$23,$A22=日期輸入!$F$23)),"08-18水電科",IF(E22="大日","大隊值日(日)",IF(E22="大夜","大隊值日(夜)",IF(E22="值1","值1(早)",IF(E22="值1丙","值1(早) 丙案",IF(E22="值2","值2(中)",IF(E22="值2乙","值2(中) 乙案",IF(E22="夜值","夜值(晚)",IF(E22="甲夜","夜值(晚) 甲案",IF(E22="備","08-18",IF(OR(E22="支援秘書室",E22="支援出納室",E22="支援警務科",E22="支援事務股"),"支援總(大)隊",IF(E22="支援檢疫所","支援(其他)",IF(  E22="/","空班",  IF(  E22="丙",  "※ 丙案",  IF(  E22="丙常訓",  "※ 丙案 常訓",E22  )))))))))))))))))))))))))</f>
        <v/>
      </c>
      <c r="F62" s="271" t="str">
        <f>IF(F22="早","08-18",IF(F22="中","12-22",IF(F22="晚","22-08",IF(F22="X","輪休",IF(F22="公","公假",IF(OR(F22="病",F22="事"),"病(事)假",IF(OR(F22="婚",F22="產"),"婚(產)假",IF(F22="補","補休",IF(F22="休","休假",IF(F22="喪","喪假",IF(AND(F22="/",OR($A22=日期輸入!$B$23,$A22=日期輸入!$C$23,$A22=日期輸入!$D$23,$A22=日期輸入!$E$23,$A22=日期輸入!$F$23)),"08-18水電科",IF(F22="大日","大隊值日(日)",IF(F22="大夜","大隊值日(夜)",IF(F22="值1","值1(早)",IF(F22="值1丙","值1(早) 丙案",IF(F22="值2","值2(中)",IF(F22="值2乙","值2(中) 乙案",IF(F22="夜值","夜值(晚)",IF(F22="甲夜","夜值(晚) 甲案",IF(F22="備","08-18",IF(OR(F22="支援秘書室",F22="支援出納室",F22="支援警務科",F22="支援事務股"),"支援總(大)隊",IF(F22="支援檢疫所","支援(其他)",IF(  F22="/","空班",  IF(  F22="丙",  "※ 丙案",  IF(  F22="丙常訓",  "※ 丙案 常訓",F22  )))))))))))))))))))))))))</f>
        <v/>
      </c>
      <c r="G62" s="271" t="str">
        <f>IF(G22="早","08-18",IF(G22="中","12-22",IF(G22="晚","22-08",IF(G22="X","輪休",IF(G22="公","公假",IF(OR(G22="病",G22="事"),"病(事)假",IF(OR(G22="婚",G22="產"),"婚(產)假",IF(G22="補","補休",IF(G22="休","休假",IF(G22="喪","喪假",IF(AND(G22="/",OR($A22=日期輸入!$B$23,$A22=日期輸入!$C$23,$A22=日期輸入!$D$23,$A22=日期輸入!$E$23,$A22=日期輸入!$F$23)),"08-18水電科",IF(G22="大日","大隊值日(日)",IF(G22="大夜","大隊值日(夜)",IF(G22="值1","值1(早)",IF(G22="值1丙","值1(早) 丙案",IF(G22="值2","值2(中)",IF(G22="值2乙","值2(中) 乙案",IF(G22="夜值","夜值(晚)",IF(G22="甲夜","夜值(晚) 甲案",IF(G22="備","08-18",IF(OR(G22="支援秘書室",G22="支援出納室",G22="支援警務科",G22="支援事務股"),"支援總(大)隊",IF(G22="支援檢疫所","支援(其他)",IF(  G22="/","空班",  IF(  G22="丙",  "※ 丙案",  IF(  G22="丙常訓",  "※ 丙案 常訓",G22  )))))))))))))))))))))))))</f>
        <v/>
      </c>
      <c r="H62" s="271" t="str">
        <f>IF(H22="早","08-18",IF(H22="中","12-22",IF(H22="晚","22-08",IF(H22="X","輪休",IF(H22="公","公假",IF(OR(H22="病",H22="事"),"病(事)假",IF(OR(H22="婚",H22="產"),"婚(產)假",IF(H22="補","補休",IF(H22="休","休假",IF(H22="喪","喪假",IF(AND(H22="/",OR($A22=日期輸入!$B$23,$A22=日期輸入!$C$23,$A22=日期輸入!$D$23,$A22=日期輸入!$E$23,$A22=日期輸入!$F$23)),"08-18水電科",IF(H22="大日","大隊值日(日)",IF(H22="大夜","大隊值日(夜)",IF(H22="值1","值1(早)",IF(H22="值1丙","值1(早) 丙案",IF(H22="值2","值2(中)",IF(H22="值2乙","值2(中) 乙案",IF(H22="夜值","夜值(晚)",IF(H22="甲夜","夜值(晚) 甲案",IF(H22="備","08-18",IF(OR(H22="支援秘書室",H22="支援出納室",H22="支援警務科",H22="支援事務股"),"支援總(大)隊",IF(H22="支援檢疫所","支援(其他)",IF(  H22="/","空班",  IF(  H22="丙",  "※ 丙案",  IF(  H22="丙常訓",  "※ 丙案 常訓",H22  )))))))))))))))))))))))))</f>
        <v/>
      </c>
      <c r="I62" s="271" t="str">
        <f>IF(I22="早","08-18",IF(I22="中","12-22",IF(I22="晚","22-08",IF(I22="X","輪休",IF(I22="公","公假",IF(OR(I22="病",I22="事"),"病(事)假",IF(OR(I22="婚",I22="產"),"婚(產)假",IF(I22="補","補休",IF(I22="休","休假",IF(I22="喪","喪假",IF(AND(I22="/",OR($A22=日期輸入!$B$23,$A22=日期輸入!$C$23,$A22=日期輸入!$D$23,$A22=日期輸入!$E$23,$A22=日期輸入!$F$23)),"08-18水電科",IF(I22="大日","大隊值日(日)",IF(I22="大夜","大隊值日(夜)",IF(I22="值1","值1(早)",IF(I22="值1丙","值1(早) 丙案",IF(I22="值2","值2(中)",IF(I22="值2乙","值2(中) 乙案",IF(I22="夜值","夜值(晚)",IF(I22="甲夜","夜值(晚) 甲案",IF(I22="備","08-18",IF(OR(I22="支援秘書室",I22="支援出納室",I22="支援警務科",I22="支援事務股"),"支援總(大)隊",IF(I22="支援檢疫所","支援(其他)",IF(  I22="/","空班",  IF(  I22="丙",  "※ 丙案",  IF(  I22="丙常訓",  "※ 丙案 常訓",I22  )))))))))))))))))))))))))</f>
        <v/>
      </c>
      <c r="J62" s="271" t="str">
        <f>IF(J22="早","08-18",IF(J22="中","12-22",IF(J22="晚","22-08",IF(J22="X","輪休",IF(J22="公","公假",IF(OR(J22="病",J22="事"),"病(事)假",IF(OR(J22="婚",J22="產"),"婚(產)假",IF(J22="補","補休",IF(J22="休","休假",IF(J22="喪","喪假",IF(AND(J22="/",OR($A22=日期輸入!$B$23,$A22=日期輸入!$C$23,$A22=日期輸入!$D$23,$A22=日期輸入!$E$23,$A22=日期輸入!$F$23)),"08-18水電科",IF(J22="大日","大隊值日(日)",IF(J22="大夜","大隊值日(夜)",IF(J22="值1","值1(早)",IF(J22="值1丙","值1(早) 丙案",IF(J22="值2","值2(中)",IF(J22="值2乙","值2(中) 乙案",IF(J22="夜值","夜值(晚)",IF(J22="甲夜","夜值(晚) 甲案",IF(J22="備","08-18",IF(OR(J22="支援秘書室",J22="支援出納室",J22="支援警務科",J22="支援事務股"),"支援總(大)隊",IF(J22="支援檢疫所","支援(其他)",IF(  J22="/","空班",  IF(  J22="丙",  "※ 丙案",  IF(  J22="丙常訓",  "※ 丙案 常訓",J22  )))))))))))))))))))))))))</f>
        <v/>
      </c>
      <c r="K62" s="271" t="str">
        <f>IF(K22="早","08-18",IF(K22="中","12-22",IF(K22="晚","22-08",IF(K22="X","輪休",IF(K22="公","公假",IF(OR(K22="病",K22="事"),"病(事)假",IF(OR(K22="婚",K22="產"),"婚(產)假",IF(K22="補","補休",IF(K22="休","休假",IF(K22="喪","喪假",IF(AND(K22="/",OR($A22=日期輸入!$B$23,$A22=日期輸入!$C$23,$A22=日期輸入!$D$23,$A22=日期輸入!$E$23,$A22=日期輸入!$F$23)),"08-18水電科",IF(K22="大日","大隊值日(日)",IF(K22="大夜","大隊值日(夜)",IF(K22="值1","值1(早)",IF(K22="值1丙","值1(早) 丙案",IF(K22="值2","值2(中)",IF(K22="值2乙","值2(中) 乙案",IF(K22="夜值","夜值(晚)",IF(K22="甲夜","夜值(晚) 甲案",IF(K22="備","08-18",IF(OR(K22="支援秘書室",K22="支援出納室",K22="支援警務科",K22="支援事務股"),"支援總(大)隊",IF(K22="支援檢疫所","支援(其他)",IF(  K22="/","空班",  IF(  K22="丙",  "※ 丙案",  IF(  K22="丙常訓",  "※ 丙案 常訓",K22  )))))))))))))))))))))))))</f>
        <v/>
      </c>
      <c r="L62" s="271" t="str">
        <f>IF(L22="早","08-18",IF(L22="中","12-22",IF(L22="晚","22-08",IF(L22="X","輪休",IF(L22="公","公假",IF(OR(L22="病",L22="事"),"病(事)假",IF(OR(L22="婚",L22="產"),"婚(產)假",IF(L22="補","補休",IF(L22="休","休假",IF(L22="喪","喪假",IF(AND(L22="/",OR($A22=日期輸入!$B$23,$A22=日期輸入!$C$23,$A22=日期輸入!$D$23,$A22=日期輸入!$E$23,$A22=日期輸入!$F$23)),"08-18水電科",IF(L22="大日","大隊值日(日)",IF(L22="大夜","大隊值日(夜)",IF(L22="值1","值1(早)",IF(L22="值1丙","值1(早) 丙案",IF(L22="值2","值2(中)",IF(L22="值2乙","值2(中) 乙案",IF(L22="夜值","夜值(晚)",IF(L22="甲夜","夜值(晚) 甲案",IF(L22="備","08-18",IF(OR(L22="支援秘書室",L22="支援出納室",L22="支援警務科",L22="支援事務股"),"支援總(大)隊",IF(L22="支援檢疫所","支援(其他)",IF(  L22="/","空班",  IF(  L22="丙",  "※ 丙案",  IF(  L22="丙常訓",  "※ 丙案 常訓",L22  )))))))))))))))))))))))))</f>
        <v/>
      </c>
      <c r="M62" s="271" t="str">
        <f>IF(M22="早","08-18",IF(M22="中","12-22",IF(M22="晚","22-08",IF(M22="X","輪休",IF(M22="公","公假",IF(OR(M22="病",M22="事"),"病(事)假",IF(OR(M22="婚",M22="產"),"婚(產)假",IF(M22="補","補休",IF(M22="休","休假",IF(M22="喪","喪假",IF(AND(M22="/",OR($A22=日期輸入!$B$23,$A22=日期輸入!$C$23,$A22=日期輸入!$D$23,$A22=日期輸入!$E$23,$A22=日期輸入!$F$23)),"08-18水電科",IF(M22="大日","大隊值日(日)",IF(M22="大夜","大隊值日(夜)",IF(M22="值1","值1(早)",IF(M22="值1丙","值1(早) 丙案",IF(M22="值2","值2(中)",IF(M22="值2乙","值2(中) 乙案",IF(M22="夜值","夜值(晚)",IF(M22="甲夜","夜值(晚) 甲案",IF(M22="備","08-18",IF(OR(M22="支援秘書室",M22="支援出納室",M22="支援警務科",M22="支援事務股"),"支援總(大)隊",IF(M22="支援檢疫所","支援(其他)",IF(  M22="/","空班",  IF(  M22="丙",  "※ 丙案",  IF(  M22="丙常訓",  "※ 丙案 常訓",M22  )))))))))))))))))))))))))</f>
        <v/>
      </c>
      <c r="N62" s="271" t="str">
        <f>IF(N22="早","08-18",IF(N22="中","12-22",IF(N22="晚","22-08",IF(N22="X","輪休",IF(N22="公","公假",IF(OR(N22="病",N22="事"),"病(事)假",IF(OR(N22="婚",N22="產"),"婚(產)假",IF(N22="補","補休",IF(N22="休","休假",IF(N22="喪","喪假",IF(AND(N22="/",OR($A22=日期輸入!$B$23,$A22=日期輸入!$C$23,$A22=日期輸入!$D$23,$A22=日期輸入!$E$23,$A22=日期輸入!$F$23)),"08-18水電科",IF(N22="大日","大隊值日(日)",IF(N22="大夜","大隊值日(夜)",IF(N22="值1","值1(早)",IF(N22="值1丙","值1(早) 丙案",IF(N22="值2","值2(中)",IF(N22="值2乙","值2(中) 乙案",IF(N22="夜值","夜值(晚)",IF(N22="甲夜","夜值(晚) 甲案",IF(N22="備","08-18",IF(OR(N22="支援秘書室",N22="支援出納室",N22="支援警務科",N22="支援事務股"),"支援總(大)隊",IF(N22="支援檢疫所","支援(其他)",IF(  N22="/","空班",  IF(  N22="丙",  "※ 丙案",  IF(  N22="丙常訓",  "※ 丙案 常訓",N22  )))))))))))))))))))))))))</f>
        <v/>
      </c>
      <c r="O62" s="271" t="str">
        <f>IF(O22="早","08-18",IF(O22="中","12-22",IF(O22="晚","22-08",IF(O22="X","輪休",IF(O22="公","公假",IF(OR(O22="病",O22="事"),"病(事)假",IF(OR(O22="婚",O22="產"),"婚(產)假",IF(O22="補","補休",IF(O22="休","休假",IF(O22="喪","喪假",IF(AND(O22="/",OR($A22=日期輸入!$B$23,$A22=日期輸入!$C$23,$A22=日期輸入!$D$23,$A22=日期輸入!$E$23,$A22=日期輸入!$F$23)),"08-18水電科",IF(O22="大日","大隊值日(日)",IF(O22="大夜","大隊值日(夜)",IF(O22="值1","值1(早)",IF(O22="值1丙","值1(早) 丙案",IF(O22="值2","值2(中)",IF(O22="值2乙","值2(中) 乙案",IF(O22="夜值","夜值(晚)",IF(O22="甲夜","夜值(晚) 甲案",IF(O22="備","08-18",IF(OR(O22="支援秘書室",O22="支援出納室",O22="支援警務科",O22="支援事務股"),"支援總(大)隊",IF(O22="支援檢疫所","支援(其他)",IF(  O22="/","空班",  IF(  O22="丙",  "※ 丙案",  IF(  O22="丙常訓",  "※ 丙案 常訓",O22  )))))))))))))))))))))))))</f>
        <v/>
      </c>
      <c r="P62" s="271" t="str">
        <f>IF(P22="早","08-18",IF(P22="中","12-22",IF(P22="晚","22-08",IF(P22="X","輪休",IF(P22="公","公假",IF(OR(P22="病",P22="事"),"病(事)假",IF(OR(P22="婚",P22="產"),"婚(產)假",IF(P22="補","補休",IF(P22="休","休假",IF(P22="喪","喪假",IF(AND(P22="/",OR($A22=日期輸入!$B$23,$A22=日期輸入!$C$23,$A22=日期輸入!$D$23,$A22=日期輸入!$E$23,$A22=日期輸入!$F$23)),"08-18水電科",IF(P22="大日","大隊值日(日)",IF(P22="大夜","大隊值日(夜)",IF(P22="值1","值1(早)",IF(P22="值1丙","值1(早) 丙案",IF(P22="值2","值2(中)",IF(P22="值2乙","值2(中) 乙案",IF(P22="夜值","夜值(晚)",IF(P22="甲夜","夜值(晚) 甲案",IF(P22="備","08-18",IF(OR(P22="支援秘書室",P22="支援出納室",P22="支援警務科",P22="支援事務股"),"支援總(大)隊",IF(P22="支援檢疫所","支援(其他)",IF(  P22="/","空班",  IF(  P22="丙",  "※ 丙案",  IF(  P22="丙常訓",  "※ 丙案 常訓",P22  )))))))))))))))))))))))))</f>
        <v/>
      </c>
      <c r="Q62" s="271" t="str">
        <f>IF(Q22="早","08-18",IF(Q22="中","12-22",IF(Q22="晚","22-08",IF(Q22="X","輪休",IF(Q22="公","公假",IF(OR(Q22="病",Q22="事"),"病(事)假",IF(OR(Q22="婚",Q22="產"),"婚(產)假",IF(Q22="補","補休",IF(Q22="休","休假",IF(Q22="喪","喪假",IF(AND(Q22="/",OR($A22=日期輸入!$B$23,$A22=日期輸入!$C$23,$A22=日期輸入!$D$23,$A22=日期輸入!$E$23,$A22=日期輸入!$F$23)),"08-18水電科",IF(Q22="大日","大隊值日(日)",IF(Q22="大夜","大隊值日(夜)",IF(Q22="值1","值1(早)",IF(Q22="值1丙","值1(早) 丙案",IF(Q22="值2","值2(中)",IF(Q22="值2乙","值2(中) 乙案",IF(Q22="夜值","夜值(晚)",IF(Q22="甲夜","夜值(晚) 甲案",IF(Q22="備","08-18",IF(OR(Q22="支援秘書室",Q22="支援出納室",Q22="支援警務科",Q22="支援事務股"),"支援總(大)隊",IF(Q22="支援檢疫所","支援(其他)",IF(  Q22="/","空班",  IF(  Q22="丙",  "※ 丙案",  IF(  Q22="丙常訓",  "※ 丙案 常訓",Q22  )))))))))))))))))))))))))</f>
        <v/>
      </c>
      <c r="R62" s="271" t="str">
        <f>IF(R22="早","08-18",IF(R22="中","12-22",IF(R22="晚","22-08",IF(R22="X","輪休",IF(R22="公","公假",IF(OR(R22="病",R22="事"),"病(事)假",IF(OR(R22="婚",R22="產"),"婚(產)假",IF(R22="補","補休",IF(R22="休","休假",IF(R22="喪","喪假",IF(AND(R22="/",OR($A22=日期輸入!$B$23,$A22=日期輸入!$C$23,$A22=日期輸入!$D$23,$A22=日期輸入!$E$23,$A22=日期輸入!$F$23)),"08-18水電科",IF(R22="大日","大隊值日(日)",IF(R22="大夜","大隊值日(夜)",IF(R22="值1","值1(早)",IF(R22="值1丙","值1(早) 丙案",IF(R22="值2","值2(中)",IF(R22="值2乙","值2(中) 乙案",IF(R22="夜值","夜值(晚)",IF(R22="甲夜","夜值(晚) 甲案",IF(R22="備","08-18",IF(OR(R22="支援秘書室",R22="支援出納室",R22="支援警務科",R22="支援事務股"),"支援總(大)隊",IF(R22="支援檢疫所","支援(其他)",IF(  R22="/","空班",  IF(  R22="丙",  "※ 丙案",  IF(  R22="丙常訓",  "※ 丙案 常訓",R22  )))))))))))))))))))))))))</f>
        <v/>
      </c>
      <c r="S62" s="271" t="str">
        <f>IF(S22="早","08-18",IF(S22="中","12-22",IF(S22="晚","22-08",IF(S22="X","輪休",IF(S22="公","公假",IF(OR(S22="病",S22="事"),"病(事)假",IF(OR(S22="婚",S22="產"),"婚(產)假",IF(S22="補","補休",IF(S22="休","休假",IF(S22="喪","喪假",IF(AND(S22="/",OR($A22=日期輸入!$B$23,$A22=日期輸入!$C$23,$A22=日期輸入!$D$23,$A22=日期輸入!$E$23,$A22=日期輸入!$F$23)),"08-18水電科",IF(S22="大日","大隊值日(日)",IF(S22="大夜","大隊值日(夜)",IF(S22="值1","值1(早)",IF(S22="值1丙","值1(早) 丙案",IF(S22="值2","值2(中)",IF(S22="值2乙","值2(中) 乙案",IF(S22="夜值","夜值(晚)",IF(S22="甲夜","夜值(晚) 甲案",IF(S22="備","08-18",IF(OR(S22="支援秘書室",S22="支援出納室",S22="支援警務科",S22="支援事務股"),"支援總(大)隊",IF(S22="支援檢疫所","支援(其他)",IF(  S22="/","空班",  IF(  S22="丙",  "※ 丙案",  IF(  S22="丙常訓",  "※ 丙案 常訓",S22  )))))))))))))))))))))))))</f>
        <v/>
      </c>
      <c r="T62" s="271" t="str">
        <f>IF(T22="早","08-18",IF(T22="中","12-22",IF(T22="晚","22-08",IF(T22="X","輪休",IF(T22="公","公假",IF(OR(T22="病",T22="事"),"病(事)假",IF(OR(T22="婚",T22="產"),"婚(產)假",IF(T22="補","補休",IF(T22="休","休假",IF(T22="喪","喪假",IF(AND(T22="/",OR($A22=日期輸入!$B$23,$A22=日期輸入!$C$23,$A22=日期輸入!$D$23,$A22=日期輸入!$E$23,$A22=日期輸入!$F$23)),"08-18水電科",IF(T22="大日","大隊值日(日)",IF(T22="大夜","大隊值日(夜)",IF(T22="值1","值1(早)",IF(T22="值1丙","值1(早) 丙案",IF(T22="值2","值2(中)",IF(T22="值2乙","值2(中) 乙案",IF(T22="夜值","夜值(晚)",IF(T22="甲夜","夜值(晚) 甲案",IF(T22="備","08-18",IF(OR(T22="支援秘書室",T22="支援出納室",T22="支援警務科",T22="支援事務股"),"支援總(大)隊",IF(T22="支援檢疫所","支援(其他)",IF(  T22="/","空班",  IF(  T22="丙",  "※ 丙案",  IF(  T22="丙常訓",  "※ 丙案 常訓",T22  )))))))))))))))))))))))))</f>
        <v/>
      </c>
      <c r="U62" s="271" t="str">
        <f>IF(U22="早","08-18",IF(U22="中","12-22",IF(U22="晚","22-08",IF(U22="X","輪休",IF(U22="公","公假",IF(OR(U22="病",U22="事"),"病(事)假",IF(OR(U22="婚",U22="產"),"婚(產)假",IF(U22="補","補休",IF(U22="休","休假",IF(U22="喪","喪假",IF(AND(U22="/",OR($A22=日期輸入!$B$23,$A22=日期輸入!$C$23,$A22=日期輸入!$D$23,$A22=日期輸入!$E$23,$A22=日期輸入!$F$23)),"08-18水電科",IF(U22="大日","大隊值日(日)",IF(U22="大夜","大隊值日(夜)",IF(U22="值1","值1(早)",IF(U22="值1丙","值1(早) 丙案",IF(U22="值2","值2(中)",IF(U22="值2乙","值2(中) 乙案",IF(U22="夜值","夜值(晚)",IF(U22="甲夜","夜值(晚) 甲案",IF(U22="備","08-18",IF(OR(U22="支援秘書室",U22="支援出納室",U22="支援警務科",U22="支援事務股"),"支援總(大)隊",IF(U22="支援檢疫所","支援(其他)",IF(  U22="/","空班",  IF(  U22="丙",  "※ 丙案",  IF(  U22="丙常訓",  "※ 丙案 常訓",U22  )))))))))))))))))))))))))</f>
        <v/>
      </c>
      <c r="V62" s="271" t="str">
        <f>IF(V22="早","08-18",IF(V22="中","12-22",IF(V22="晚","22-08",IF(V22="X","輪休",IF(V22="公","公假",IF(OR(V22="病",V22="事"),"病(事)假",IF(OR(V22="婚",V22="產"),"婚(產)假",IF(V22="補","補休",IF(V22="休","休假",IF(V22="喪","喪假",IF(AND(V22="/",OR($A22=日期輸入!$B$23,$A22=日期輸入!$C$23,$A22=日期輸入!$D$23,$A22=日期輸入!$E$23,$A22=日期輸入!$F$23)),"08-18水電科",IF(V22="大日","大隊值日(日)",IF(V22="大夜","大隊值日(夜)",IF(V22="值1","值1(早)",IF(V22="值1丙","值1(早) 丙案",IF(V22="值2","值2(中)",IF(V22="值2乙","值2(中) 乙案",IF(V22="夜值","夜值(晚)",IF(V22="甲夜","夜值(晚) 甲案",IF(V22="備","08-18",IF(OR(V22="支援秘書室",V22="支援出納室",V22="支援警務科",V22="支援事務股"),"支援總(大)隊",IF(V22="支援檢疫所","支援(其他)",IF(  V22="/","空班",  IF(  V22="丙",  "※ 丙案",  IF(  V22="丙常訓",  "※ 丙案 常訓",V22  )))))))))))))))))))))))))</f>
        <v/>
      </c>
      <c r="W62" s="271" t="str">
        <f>IF(W22="早","08-18",IF(W22="中","12-22",IF(W22="晚","22-08",IF(W22="X","輪休",IF(W22="公","公假",IF(OR(W22="病",W22="事"),"病(事)假",IF(OR(W22="婚",W22="產"),"婚(產)假",IF(W22="補","補休",IF(W22="休","休假",IF(W22="喪","喪假",IF(AND(W22="/",OR($A22=日期輸入!$B$23,$A22=日期輸入!$C$23,$A22=日期輸入!$D$23,$A22=日期輸入!$E$23,$A22=日期輸入!$F$23)),"08-18水電科",IF(W22="大日","大隊值日(日)",IF(W22="大夜","大隊值日(夜)",IF(W22="值1","值1(早)",IF(W22="值1丙","值1(早) 丙案",IF(W22="值2","值2(中)",IF(W22="值2乙","值2(中) 乙案",IF(W22="夜值","夜值(晚)",IF(W22="甲夜","夜值(晚) 甲案",IF(W22="備","08-18",IF(OR(W22="支援秘書室",W22="支援出納室",W22="支援警務科",W22="支援事務股"),"支援總(大)隊",IF(W22="支援檢疫所","支援(其他)",IF(  W22="/","空班",  IF(  W22="丙",  "※ 丙案",  IF(  W22="丙常訓",  "※ 丙案 常訓",W22  )))))))))))))))))))))))))</f>
        <v/>
      </c>
      <c r="X62" s="271" t="str">
        <f>IF(X22="早","08-18",IF(X22="中","12-22",IF(X22="晚","22-08",IF(X22="X","輪休",IF(X22="公","公假",IF(OR(X22="病",X22="事"),"病(事)假",IF(OR(X22="婚",X22="產"),"婚(產)假",IF(X22="補","補休",IF(X22="休","休假",IF(X22="喪","喪假",IF(AND(X22="/",OR($A22=日期輸入!$B$23,$A22=日期輸入!$C$23,$A22=日期輸入!$D$23,$A22=日期輸入!$E$23,$A22=日期輸入!$F$23)),"08-18水電科",IF(X22="大日","大隊值日(日)",IF(X22="大夜","大隊值日(夜)",IF(X22="值1","值1(早)",IF(X22="值1丙","值1(早) 丙案",IF(X22="值2","值2(中)",IF(X22="值2乙","值2(中) 乙案",IF(X22="夜值","夜值(晚)",IF(X22="甲夜","夜值(晚) 甲案",IF(X22="備","08-18",IF(OR(X22="支援秘書室",X22="支援出納室",X22="支援警務科",X22="支援事務股"),"支援總(大)隊",IF(X22="支援檢疫所","支援(其他)",IF(  X22="/","空班",  IF(  X22="丙",  "※ 丙案",  IF(  X22="丙常訓",  "※ 丙案 常訓",X22  )))))))))))))))))))))))))</f>
        <v/>
      </c>
      <c r="Y62" s="271" t="str">
        <f>IF(Y22="早","08-18",IF(Y22="中","12-22",IF(Y22="晚","22-08",IF(Y22="X","輪休",IF(Y22="公","公假",IF(OR(Y22="病",Y22="事"),"病(事)假",IF(OR(Y22="婚",Y22="產"),"婚(產)假",IF(Y22="補","補休",IF(Y22="休","休假",IF(Y22="喪","喪假",IF(AND(Y22="/",OR($A22=日期輸入!$B$23,$A22=日期輸入!$C$23,$A22=日期輸入!$D$23,$A22=日期輸入!$E$23,$A22=日期輸入!$F$23)),"08-18水電科",IF(Y22="大日","大隊值日(日)",IF(Y22="大夜","大隊值日(夜)",IF(Y22="值1","值1(早)",IF(Y22="值1丙","值1(早) 丙案",IF(Y22="值2","值2(中)",IF(Y22="值2乙","值2(中) 乙案",IF(Y22="夜值","夜值(晚)",IF(Y22="甲夜","夜值(晚) 甲案",IF(Y22="備","08-18",IF(OR(Y22="支援秘書室",Y22="支援出納室",Y22="支援警務科",Y22="支援事務股"),"支援總(大)隊",IF(Y22="支援檢疫所","支援(其他)",IF(  Y22="/","空班",  IF(  Y22="丙",  "※ 丙案",  IF(  Y22="丙常訓",  "※ 丙案 常訓",Y22  )))))))))))))))))))))))))</f>
        <v/>
      </c>
      <c r="Z62" s="271" t="str">
        <f>IF(Z22="早","08-18",IF(Z22="中","12-22",IF(Z22="晚","22-08",IF(Z22="X","輪休",IF(Z22="公","公假",IF(OR(Z22="病",Z22="事"),"病(事)假",IF(OR(Z22="婚",Z22="產"),"婚(產)假",IF(Z22="補","補休",IF(Z22="休","休假",IF(Z22="喪","喪假",IF(AND(Z22="/",OR($A22=日期輸入!$B$23,$A22=日期輸入!$C$23,$A22=日期輸入!$D$23,$A22=日期輸入!$E$23,$A22=日期輸入!$F$23)),"08-18水電科",IF(Z22="大日","大隊值日(日)",IF(Z22="大夜","大隊值日(夜)",IF(Z22="值1","值1(早)",IF(Z22="值1丙","值1(早) 丙案",IF(Z22="值2","值2(中)",IF(Z22="值2乙","值2(中) 乙案",IF(Z22="夜值","夜值(晚)",IF(Z22="甲夜","夜值(晚) 甲案",IF(Z22="備","08-18",IF(OR(Z22="支援秘書室",Z22="支援出納室",Z22="支援警務科",Z22="支援事務股"),"支援總(大)隊",IF(Z22="支援檢疫所","支援(其他)",IF(  Z22="/","空班",  IF(  Z22="丙",  "※ 丙案",  IF(  Z22="丙常訓",  "※ 丙案 常訓",Z22  )))))))))))))))))))))))))</f>
        <v/>
      </c>
      <c r="AA62" s="271" t="str">
        <f>IF(AA22="早","08-18",IF(AA22="中","12-22",IF(AA22="晚","22-08",IF(AA22="X","輪休",IF(AA22="公","公假",IF(OR(AA22="病",AA22="事"),"病(事)假",IF(OR(AA22="婚",AA22="產"),"婚(產)假",IF(AA22="補","補休",IF(AA22="休","休假",IF(AA22="喪","喪假",IF(AND(AA22="/",OR($A22=日期輸入!$B$23,$A22=日期輸入!$C$23,$A22=日期輸入!$D$23,$A22=日期輸入!$E$23,$A22=日期輸入!$F$23)),"08-18水電科",IF(AA22="大日","大隊值日(日)",IF(AA22="大夜","大隊值日(夜)",IF(AA22="值1","值1(早)",IF(AA22="值1丙","值1(早) 丙案",IF(AA22="值2","值2(中)",IF(AA22="值2乙","值2(中) 乙案",IF(AA22="夜值","夜值(晚)",IF(AA22="甲夜","夜值(晚) 甲案",IF(AA22="備","08-18",IF(OR(AA22="支援秘書室",AA22="支援出納室",AA22="支援警務科",AA22="支援事務股"),"支援總(大)隊",IF(AA22="支援檢疫所","支援(其他)",IF(  AA22="/","空班",  IF(  AA22="丙",  "※ 丙案",  IF(  AA22="丙常訓",  "※ 丙案 常訓",AA22  )))))))))))))))))))))))))</f>
        <v/>
      </c>
      <c r="AB62" s="271" t="str">
        <f>IF(AB22="早","08-18",IF(AB22="中","12-22",IF(AB22="晚","22-08",IF(AB22="X","輪休",IF(AB22="公","公假",IF(OR(AB22="病",AB22="事"),"病(事)假",IF(OR(AB22="婚",AB22="產"),"婚(產)假",IF(AB22="補","補休",IF(AB22="休","休假",IF(AB22="喪","喪假",IF(AND(AB22="/",OR($A22=日期輸入!$B$23,$A22=日期輸入!$C$23,$A22=日期輸入!$D$23,$A22=日期輸入!$E$23,$A22=日期輸入!$F$23)),"08-18水電科",IF(AB22="大日","大隊值日(日)",IF(AB22="大夜","大隊值日(夜)",IF(AB22="值1","值1(早)",IF(AB22="值1丙","值1(早) 丙案",IF(AB22="值2","值2(中)",IF(AB22="值2乙","值2(中) 乙案",IF(AB22="夜值","夜值(晚)",IF(AB22="甲夜","夜值(晚) 甲案",IF(AB22="備","08-18",IF(OR(AB22="支援秘書室",AB22="支援出納室",AB22="支援警務科",AB22="支援事務股"),"支援總(大)隊",IF(AB22="支援檢疫所","支援(其他)",IF(  AB22="/","空班",  IF(  AB22="丙",  "※ 丙案",  IF(  AB22="丙常訓",  "※ 丙案 常訓",AB22  )))))))))))))))))))))))))</f>
        <v/>
      </c>
      <c r="AC62" s="271" t="str">
        <f>IF(AC22="早","08-18",IF(AC22="中","12-22",IF(AC22="晚","22-08",IF(AC22="X","輪休",IF(AC22="公","公假",IF(OR(AC22="病",AC22="事"),"病(事)假",IF(OR(AC22="婚",AC22="產"),"婚(產)假",IF(AC22="補","補休",IF(AC22="休","休假",IF(AC22="喪","喪假",IF(AND(AC22="/",OR($A22=日期輸入!$B$23,$A22=日期輸入!$C$23,$A22=日期輸入!$D$23,$A22=日期輸入!$E$23,$A22=日期輸入!$F$23)),"08-18水電科",IF(AC22="大日","大隊值日(日)",IF(AC22="大夜","大隊值日(夜)",IF(AC22="值1","值1(早)",IF(AC22="值1丙","值1(早) 丙案",IF(AC22="值2","值2(中)",IF(AC22="值2乙","值2(中) 乙案",IF(AC22="夜值","夜值(晚)",IF(AC22="甲夜","夜值(晚) 甲案",IF(AC22="備","08-18",IF(OR(AC22="支援秘書室",AC22="支援出納室",AC22="支援警務科",AC22="支援事務股"),"支援總(大)隊",IF(AC22="支援檢疫所","支援(其他)",IF(  AC22="/","空班",  IF(  AC22="丙",  "※ 丙案",  IF(  AC22="丙常訓",  "※ 丙案 常訓",AC22  )))))))))))))))))))))))))</f>
        <v/>
      </c>
      <c r="AD62" s="271" t="str">
        <f>IF(AD22="早","08-18",IF(AD22="中","12-22",IF(AD22="晚","22-08",IF(AD22="X","輪休",IF(AD22="公","公假",IF(OR(AD22="病",AD22="事"),"病(事)假",IF(OR(AD22="婚",AD22="產"),"婚(產)假",IF(AD22="補","補休",IF(AD22="休","休假",IF(AD22="喪","喪假",IF(AND(AD22="/",OR($A22=日期輸入!$B$23,$A22=日期輸入!$C$23,$A22=日期輸入!$D$23,$A22=日期輸入!$E$23,$A22=日期輸入!$F$23)),"08-18水電科",IF(AD22="大日","大隊值日(日)",IF(AD22="大夜","大隊值日(夜)",IF(AD22="值1","值1(早)",IF(AD22="值1丙","值1(早) 丙案",IF(AD22="值2","值2(中)",IF(AD22="值2乙","值2(中) 乙案",IF(AD22="夜值","夜值(晚)",IF(AD22="甲夜","夜值(晚) 甲案",IF(AD22="備","08-18",IF(OR(AD22="支援秘書室",AD22="支援出納室",AD22="支援警務科",AD22="支援事務股"),"支援總(大)隊",IF(AD22="支援檢疫所","支援(其他)",IF(  AD22="/","空班",  IF(  AD22="丙",  "※ 丙案",  IF(  AD22="丙常訓",  "※ 丙案 常訓",AD22  )))))))))))))))))))))))))</f>
        <v/>
      </c>
      <c r="AE62" s="271" t="str">
        <f>IF(AE22="早","08-18",IF(AE22="中","12-22",IF(AE22="晚","22-08",IF(AE22="X","輪休",IF(AE22="公","公假",IF(OR(AE22="病",AE22="事"),"病(事)假",IF(OR(AE22="婚",AE22="產"),"婚(產)假",IF(AE22="補","補休",IF(AE22="休","休假",IF(AE22="喪","喪假",IF(AND(AE22="/",OR($A22=日期輸入!$B$23,$A22=日期輸入!$C$23,$A22=日期輸入!$D$23,$A22=日期輸入!$E$23,$A22=日期輸入!$F$23)),"08-18水電科",IF(AE22="大日","大隊值日(日)",IF(AE22="大夜","大隊值日(夜)",IF(AE22="值1","值1(早)",IF(AE22="值1丙","值1(早) 丙案",IF(AE22="值2","值2(中)",IF(AE22="值2乙","值2(中) 乙案",IF(AE22="夜值","夜值(晚)",IF(AE22="甲夜","夜值(晚) 甲案",IF(AE22="備","08-18",IF(OR(AE22="支援秘書室",AE22="支援出納室",AE22="支援警務科",AE22="支援事務股"),"支援總(大)隊",IF(AE22="支援檢疫所","支援(其他)",IF(  AE22="/","空班",  IF(  AE22="丙",  "※ 丙案",  IF(  AE22="丙常訓",  "※ 丙案 常訓",AE22  )))))))))))))))))))))))))</f>
        <v/>
      </c>
      <c r="AF62" s="271" t="str">
        <f>IF(AF22="早","08-18",IF(AF22="中","12-22",IF(AF22="晚","22-08",IF(AF22="X","輪休",IF(AF22="公","公假",IF(OR(AF22="病",AF22="事"),"病(事)假",IF(OR(AF22="婚",AF22="產"),"婚(產)假",IF(AF22="補","補休",IF(AF22="休","休假",IF(AF22="喪","喪假",IF(AND(AF22="/",OR($A22=日期輸入!$B$23,$A22=日期輸入!$C$23,$A22=日期輸入!$D$23,$A22=日期輸入!$E$23,$A22=日期輸入!$F$23)),"08-18水電科",IF(AF22="大日","大隊值日(日)",IF(AF22="大夜","大隊值日(夜)",IF(AF22="值1","值1(早)",IF(AF22="值1丙","值1(早) 丙案",IF(AF22="值2","值2(中)",IF(AF22="值2乙","值2(中) 乙案",IF(AF22="夜值","夜值(晚)",IF(AF22="甲夜","夜值(晚) 甲案",IF(AF22="備","08-18",IF(OR(AF22="支援秘書室",AF22="支援出納室",AF22="支援警務科",AF22="支援事務股"),"支援總(大)隊",IF(AF22="支援檢疫所","支援(其他)",IF(  AF22="/","空班",  IF(  AF22="丙",  "※ 丙案",  IF(  AF22="丙常訓",  "※ 丙案 常訓",AF22  )))))))))))))))))))))))))</f>
        <v/>
      </c>
      <c r="AG62" s="271" t="str">
        <f>IF(AG22="早","08-18",IF(AG22="中","12-22",IF(AG22="晚","22-08",IF(AG22="X","輪休",IF(AG22="公","公假",IF(OR(AG22="病",AG22="事"),"病(事)假",IF(OR(AG22="婚",AG22="產"),"婚(產)假",IF(AG22="補","補休",IF(AG22="休","休假",IF(AG22="喪","喪假",IF(AND(AG22="/",OR($A22=日期輸入!$B$23,$A22=日期輸入!$C$23,$A22=日期輸入!$D$23,$A22=日期輸入!$E$23,$A22=日期輸入!$F$23)),"08-18水電科",IF(AG22="大日","大隊值日(日)",IF(AG22="大夜","大隊值日(夜)",IF(AG22="值1","值1(早)",IF(AG22="值1丙","值1(早) 丙案",IF(AG22="值2","值2(中)",IF(AG22="值2乙","值2(中) 乙案",IF(AG22="夜值","夜值(晚)",IF(AG22="甲夜","夜值(晚) 甲案",IF(AG22="備","08-18",IF(OR(AG22="支援秘書室",AG22="支援出納室",AG22="支援警務科",AG22="支援事務股"),"支援總(大)隊",IF(AG22="支援檢疫所","支援(其他)",IF(  AG22="/","空班",  IF(  AG22="丙",  "※ 丙案",  IF(  AG22="丙常訓",  "※ 丙案 常訓",AG22  )))))))))))))))))))))))))</f>
        <v/>
      </c>
    </row>
    <row r="63" spans="1:33">
      <c r="A63" s="271" t="str">
        <f t="shared" ref="A63:B63" si="22">A23</f>
        <v/>
      </c>
      <c r="B63" s="271" t="str">
        <f t="shared" si="22"/>
        <v/>
      </c>
      <c r="C63" s="271" t="str">
        <f>IF(C23="早","08-18",IF(C23="中","12-22",IF(C23="晚","22-08",IF(C23="X","輪休",IF(C23="公","公假",IF(OR(C23="病",C23="事"),"病(事)假",IF(OR(C23="婚",C23="產"),"婚(產)假",IF(C23="補","補休",IF(C23="休","休假",IF(C23="喪","喪假",IF(AND(C23="/",OR($A23=日期輸入!$B$23,$A23=日期輸入!$C$23,$A23=日期輸入!$D$23,$A23=日期輸入!$E$23,$A23=日期輸入!$F$23)),"08-18水電科",IF(C23="大日","大隊值日(日)",IF(C23="大夜","大隊值日(夜)",IF(C23="值1","值1(早)",IF(C23="值1丙","值1(早) 丙案",IF(C23="值2","值2(中)",IF(C23="值2乙","值2(中) 乙案",IF(C23="夜值","夜值(晚)",IF(C23="甲夜","夜值(晚) 甲案",IF(C23="備","08-18",IF(OR(C23="支援秘書室",C23="支援出納室",C23="支援警務科",C23="支援事務股"),"支援總(大)隊",IF(C23="支援檢疫所","支援(其他)",IF(  C23="/","空班",  IF(  C23="丙",  "※ 丙案",  IF(  C23="丙常訓",  "※ 丙案 常訓",C23  )))))))))))))))))))))))))</f>
        <v/>
      </c>
      <c r="D63" s="271" t="str">
        <f>IF(D23="早","08-18",IF(D23="中","12-22",IF(D23="晚","22-08",IF(D23="X","輪休",IF(D23="公","公假",IF(OR(D23="病",D23="事"),"病(事)假",IF(OR(D23="婚",D23="產"),"婚(產)假",IF(D23="補","補休",IF(D23="休","休假",IF(D23="喪","喪假",IF(AND(D23="/",OR($A23=日期輸入!$B$23,$A23=日期輸入!$C$23,$A23=日期輸入!$D$23,$A23=日期輸入!$E$23,$A23=日期輸入!$F$23)),"08-18水電科",IF(D23="大日","大隊值日(日)",IF(D23="大夜","大隊值日(夜)",IF(D23="值1","值1(早)",IF(D23="值1丙","值1(早) 丙案",IF(D23="值2","值2(中)",IF(D23="值2乙","值2(中) 乙案",IF(D23="夜值","夜值(晚)",IF(D23="甲夜","夜值(晚) 甲案",IF(D23="備","08-18",IF(OR(D23="支援秘書室",D23="支援出納室",D23="支援警務科",D23="支援事務股"),"支援總(大)隊",IF(D23="支援檢疫所","支援(其他)",IF(  D23="/","空班",  IF(  D23="丙",  "※ 丙案",  IF(  D23="丙常訓",  "※ 丙案 常訓",D23  )))))))))))))))))))))))))</f>
        <v/>
      </c>
      <c r="E63" s="271" t="str">
        <f>IF(E23="早","08-18",IF(E23="中","12-22",IF(E23="晚","22-08",IF(E23="X","輪休",IF(E23="公","公假",IF(OR(E23="病",E23="事"),"病(事)假",IF(OR(E23="婚",E23="產"),"婚(產)假",IF(E23="補","補休",IF(E23="休","休假",IF(E23="喪","喪假",IF(AND(E23="/",OR($A23=日期輸入!$B$23,$A23=日期輸入!$C$23,$A23=日期輸入!$D$23,$A23=日期輸入!$E$23,$A23=日期輸入!$F$23)),"08-18水電科",IF(E23="大日","大隊值日(日)",IF(E23="大夜","大隊值日(夜)",IF(E23="值1","值1(早)",IF(E23="值1丙","值1(早) 丙案",IF(E23="值2","值2(中)",IF(E23="值2乙","值2(中) 乙案",IF(E23="夜值","夜值(晚)",IF(E23="甲夜","夜值(晚) 甲案",IF(E23="備","08-18",IF(OR(E23="支援秘書室",E23="支援出納室",E23="支援警務科",E23="支援事務股"),"支援總(大)隊",IF(E23="支援檢疫所","支援(其他)",IF(  E23="/","空班",  IF(  E23="丙",  "※ 丙案",  IF(  E23="丙常訓",  "※ 丙案 常訓",E23  )))))))))))))))))))))))))</f>
        <v/>
      </c>
      <c r="F63" s="271" t="str">
        <f>IF(F23="早","08-18",IF(F23="中","12-22",IF(F23="晚","22-08",IF(F23="X","輪休",IF(F23="公","公假",IF(OR(F23="病",F23="事"),"病(事)假",IF(OR(F23="婚",F23="產"),"婚(產)假",IF(F23="補","補休",IF(F23="休","休假",IF(F23="喪","喪假",IF(AND(F23="/",OR($A23=日期輸入!$B$23,$A23=日期輸入!$C$23,$A23=日期輸入!$D$23,$A23=日期輸入!$E$23,$A23=日期輸入!$F$23)),"08-18水電科",IF(F23="大日","大隊值日(日)",IF(F23="大夜","大隊值日(夜)",IF(F23="值1","值1(早)",IF(F23="值1丙","值1(早) 丙案",IF(F23="值2","值2(中)",IF(F23="值2乙","值2(中) 乙案",IF(F23="夜值","夜值(晚)",IF(F23="甲夜","夜值(晚) 甲案",IF(F23="備","08-18",IF(OR(F23="支援秘書室",F23="支援出納室",F23="支援警務科",F23="支援事務股"),"支援總(大)隊",IF(F23="支援檢疫所","支援(其他)",IF(  F23="/","空班",  IF(  F23="丙",  "※ 丙案",  IF(  F23="丙常訓",  "※ 丙案 常訓",F23  )))))))))))))))))))))))))</f>
        <v/>
      </c>
      <c r="G63" s="271" t="str">
        <f>IF(G23="早","08-18",IF(G23="中","12-22",IF(G23="晚","22-08",IF(G23="X","輪休",IF(G23="公","公假",IF(OR(G23="病",G23="事"),"病(事)假",IF(OR(G23="婚",G23="產"),"婚(產)假",IF(G23="補","補休",IF(G23="休","休假",IF(G23="喪","喪假",IF(AND(G23="/",OR($A23=日期輸入!$B$23,$A23=日期輸入!$C$23,$A23=日期輸入!$D$23,$A23=日期輸入!$E$23,$A23=日期輸入!$F$23)),"08-18水電科",IF(G23="大日","大隊值日(日)",IF(G23="大夜","大隊值日(夜)",IF(G23="值1","值1(早)",IF(G23="值1丙","值1(早) 丙案",IF(G23="值2","值2(中)",IF(G23="值2乙","值2(中) 乙案",IF(G23="夜值","夜值(晚)",IF(G23="甲夜","夜值(晚) 甲案",IF(G23="備","08-18",IF(OR(G23="支援秘書室",G23="支援出納室",G23="支援警務科",G23="支援事務股"),"支援總(大)隊",IF(G23="支援檢疫所","支援(其他)",IF(  G23="/","空班",  IF(  G23="丙",  "※ 丙案",  IF(  G23="丙常訓",  "※ 丙案 常訓",G23  )))))))))))))))))))))))))</f>
        <v/>
      </c>
      <c r="H63" s="271" t="str">
        <f>IF(H23="早","08-18",IF(H23="中","12-22",IF(H23="晚","22-08",IF(H23="X","輪休",IF(H23="公","公假",IF(OR(H23="病",H23="事"),"病(事)假",IF(OR(H23="婚",H23="產"),"婚(產)假",IF(H23="補","補休",IF(H23="休","休假",IF(H23="喪","喪假",IF(AND(H23="/",OR($A23=日期輸入!$B$23,$A23=日期輸入!$C$23,$A23=日期輸入!$D$23,$A23=日期輸入!$E$23,$A23=日期輸入!$F$23)),"08-18水電科",IF(H23="大日","大隊值日(日)",IF(H23="大夜","大隊值日(夜)",IF(H23="值1","值1(早)",IF(H23="值1丙","值1(早) 丙案",IF(H23="值2","值2(中)",IF(H23="值2乙","值2(中) 乙案",IF(H23="夜值","夜值(晚)",IF(H23="甲夜","夜值(晚) 甲案",IF(H23="備","08-18",IF(OR(H23="支援秘書室",H23="支援出納室",H23="支援警務科",H23="支援事務股"),"支援總(大)隊",IF(H23="支援檢疫所","支援(其他)",IF(  H23="/","空班",  IF(  H23="丙",  "※ 丙案",  IF(  H23="丙常訓",  "※ 丙案 常訓",H23  )))))))))))))))))))))))))</f>
        <v/>
      </c>
      <c r="I63" s="271" t="str">
        <f>IF(I23="早","08-18",IF(I23="中","12-22",IF(I23="晚","22-08",IF(I23="X","輪休",IF(I23="公","公假",IF(OR(I23="病",I23="事"),"病(事)假",IF(OR(I23="婚",I23="產"),"婚(產)假",IF(I23="補","補休",IF(I23="休","休假",IF(I23="喪","喪假",IF(AND(I23="/",OR($A23=日期輸入!$B$23,$A23=日期輸入!$C$23,$A23=日期輸入!$D$23,$A23=日期輸入!$E$23,$A23=日期輸入!$F$23)),"08-18水電科",IF(I23="大日","大隊值日(日)",IF(I23="大夜","大隊值日(夜)",IF(I23="值1","值1(早)",IF(I23="值1丙","值1(早) 丙案",IF(I23="值2","值2(中)",IF(I23="值2乙","值2(中) 乙案",IF(I23="夜值","夜值(晚)",IF(I23="甲夜","夜值(晚) 甲案",IF(I23="備","08-18",IF(OR(I23="支援秘書室",I23="支援出納室",I23="支援警務科",I23="支援事務股"),"支援總(大)隊",IF(I23="支援檢疫所","支援(其他)",IF(  I23="/","空班",  IF(  I23="丙",  "※ 丙案",  IF(  I23="丙常訓",  "※ 丙案 常訓",I23  )))))))))))))))))))))))))</f>
        <v/>
      </c>
      <c r="J63" s="271" t="str">
        <f>IF(J23="早","08-18",IF(J23="中","12-22",IF(J23="晚","22-08",IF(J23="X","輪休",IF(J23="公","公假",IF(OR(J23="病",J23="事"),"病(事)假",IF(OR(J23="婚",J23="產"),"婚(產)假",IF(J23="補","補休",IF(J23="休","休假",IF(J23="喪","喪假",IF(AND(J23="/",OR($A23=日期輸入!$B$23,$A23=日期輸入!$C$23,$A23=日期輸入!$D$23,$A23=日期輸入!$E$23,$A23=日期輸入!$F$23)),"08-18水電科",IF(J23="大日","大隊值日(日)",IF(J23="大夜","大隊值日(夜)",IF(J23="值1","值1(早)",IF(J23="值1丙","值1(早) 丙案",IF(J23="值2","值2(中)",IF(J23="值2乙","值2(中) 乙案",IF(J23="夜值","夜值(晚)",IF(J23="甲夜","夜值(晚) 甲案",IF(J23="備","08-18",IF(OR(J23="支援秘書室",J23="支援出納室",J23="支援警務科",J23="支援事務股"),"支援總(大)隊",IF(J23="支援檢疫所","支援(其他)",IF(  J23="/","空班",  IF(  J23="丙",  "※ 丙案",  IF(  J23="丙常訓",  "※ 丙案 常訓",J23  )))))))))))))))))))))))))</f>
        <v/>
      </c>
      <c r="K63" s="271" t="str">
        <f>IF(K23="早","08-18",IF(K23="中","12-22",IF(K23="晚","22-08",IF(K23="X","輪休",IF(K23="公","公假",IF(OR(K23="病",K23="事"),"病(事)假",IF(OR(K23="婚",K23="產"),"婚(產)假",IF(K23="補","補休",IF(K23="休","休假",IF(K23="喪","喪假",IF(AND(K23="/",OR($A23=日期輸入!$B$23,$A23=日期輸入!$C$23,$A23=日期輸入!$D$23,$A23=日期輸入!$E$23,$A23=日期輸入!$F$23)),"08-18水電科",IF(K23="大日","大隊值日(日)",IF(K23="大夜","大隊值日(夜)",IF(K23="值1","值1(早)",IF(K23="值1丙","值1(早) 丙案",IF(K23="值2","值2(中)",IF(K23="值2乙","值2(中) 乙案",IF(K23="夜值","夜值(晚)",IF(K23="甲夜","夜值(晚) 甲案",IF(K23="備","08-18",IF(OR(K23="支援秘書室",K23="支援出納室",K23="支援警務科",K23="支援事務股"),"支援總(大)隊",IF(K23="支援檢疫所","支援(其他)",IF(  K23="/","空班",  IF(  K23="丙",  "※ 丙案",  IF(  K23="丙常訓",  "※ 丙案 常訓",K23  )))))))))))))))))))))))))</f>
        <v/>
      </c>
      <c r="L63" s="271" t="str">
        <f>IF(L23="早","08-18",IF(L23="中","12-22",IF(L23="晚","22-08",IF(L23="X","輪休",IF(L23="公","公假",IF(OR(L23="病",L23="事"),"病(事)假",IF(OR(L23="婚",L23="產"),"婚(產)假",IF(L23="補","補休",IF(L23="休","休假",IF(L23="喪","喪假",IF(AND(L23="/",OR($A23=日期輸入!$B$23,$A23=日期輸入!$C$23,$A23=日期輸入!$D$23,$A23=日期輸入!$E$23,$A23=日期輸入!$F$23)),"08-18水電科",IF(L23="大日","大隊值日(日)",IF(L23="大夜","大隊值日(夜)",IF(L23="值1","值1(早)",IF(L23="值1丙","值1(早) 丙案",IF(L23="值2","值2(中)",IF(L23="值2乙","值2(中) 乙案",IF(L23="夜值","夜值(晚)",IF(L23="甲夜","夜值(晚) 甲案",IF(L23="備","08-18",IF(OR(L23="支援秘書室",L23="支援出納室",L23="支援警務科",L23="支援事務股"),"支援總(大)隊",IF(L23="支援檢疫所","支援(其他)",IF(  L23="/","空班",  IF(  L23="丙",  "※ 丙案",  IF(  L23="丙常訓",  "※ 丙案 常訓",L23  )))))))))))))))))))))))))</f>
        <v/>
      </c>
      <c r="M63" s="271" t="str">
        <f>IF(M23="早","08-18",IF(M23="中","12-22",IF(M23="晚","22-08",IF(M23="X","輪休",IF(M23="公","公假",IF(OR(M23="病",M23="事"),"病(事)假",IF(OR(M23="婚",M23="產"),"婚(產)假",IF(M23="補","補休",IF(M23="休","休假",IF(M23="喪","喪假",IF(AND(M23="/",OR($A23=日期輸入!$B$23,$A23=日期輸入!$C$23,$A23=日期輸入!$D$23,$A23=日期輸入!$E$23,$A23=日期輸入!$F$23)),"08-18水電科",IF(M23="大日","大隊值日(日)",IF(M23="大夜","大隊值日(夜)",IF(M23="值1","值1(早)",IF(M23="值1丙","值1(早) 丙案",IF(M23="值2","值2(中)",IF(M23="值2乙","值2(中) 乙案",IF(M23="夜值","夜值(晚)",IF(M23="甲夜","夜值(晚) 甲案",IF(M23="備","08-18",IF(OR(M23="支援秘書室",M23="支援出納室",M23="支援警務科",M23="支援事務股"),"支援總(大)隊",IF(M23="支援檢疫所","支援(其他)",IF(  M23="/","空班",  IF(  M23="丙",  "※ 丙案",  IF(  M23="丙常訓",  "※ 丙案 常訓",M23  )))))))))))))))))))))))))</f>
        <v/>
      </c>
      <c r="N63" s="271" t="str">
        <f>IF(N23="早","08-18",IF(N23="中","12-22",IF(N23="晚","22-08",IF(N23="X","輪休",IF(N23="公","公假",IF(OR(N23="病",N23="事"),"病(事)假",IF(OR(N23="婚",N23="產"),"婚(產)假",IF(N23="補","補休",IF(N23="休","休假",IF(N23="喪","喪假",IF(AND(N23="/",OR($A23=日期輸入!$B$23,$A23=日期輸入!$C$23,$A23=日期輸入!$D$23,$A23=日期輸入!$E$23,$A23=日期輸入!$F$23)),"08-18水電科",IF(N23="大日","大隊值日(日)",IF(N23="大夜","大隊值日(夜)",IF(N23="值1","值1(早)",IF(N23="值1丙","值1(早) 丙案",IF(N23="值2","值2(中)",IF(N23="值2乙","值2(中) 乙案",IF(N23="夜值","夜值(晚)",IF(N23="甲夜","夜值(晚) 甲案",IF(N23="備","08-18",IF(OR(N23="支援秘書室",N23="支援出納室",N23="支援警務科",N23="支援事務股"),"支援總(大)隊",IF(N23="支援檢疫所","支援(其他)",IF(  N23="/","空班",  IF(  N23="丙",  "※ 丙案",  IF(  N23="丙常訓",  "※ 丙案 常訓",N23  )))))))))))))))))))))))))</f>
        <v/>
      </c>
      <c r="O63" s="271" t="str">
        <f>IF(O23="早","08-18",IF(O23="中","12-22",IF(O23="晚","22-08",IF(O23="X","輪休",IF(O23="公","公假",IF(OR(O23="病",O23="事"),"病(事)假",IF(OR(O23="婚",O23="產"),"婚(產)假",IF(O23="補","補休",IF(O23="休","休假",IF(O23="喪","喪假",IF(AND(O23="/",OR($A23=日期輸入!$B$23,$A23=日期輸入!$C$23,$A23=日期輸入!$D$23,$A23=日期輸入!$E$23,$A23=日期輸入!$F$23)),"08-18水電科",IF(O23="大日","大隊值日(日)",IF(O23="大夜","大隊值日(夜)",IF(O23="值1","值1(早)",IF(O23="值1丙","值1(早) 丙案",IF(O23="值2","值2(中)",IF(O23="值2乙","值2(中) 乙案",IF(O23="夜值","夜值(晚)",IF(O23="甲夜","夜值(晚) 甲案",IF(O23="備","08-18",IF(OR(O23="支援秘書室",O23="支援出納室",O23="支援警務科",O23="支援事務股"),"支援總(大)隊",IF(O23="支援檢疫所","支援(其他)",IF(  O23="/","空班",  IF(  O23="丙",  "※ 丙案",  IF(  O23="丙常訓",  "※ 丙案 常訓",O23  )))))))))))))))))))))))))</f>
        <v/>
      </c>
      <c r="P63" s="271" t="str">
        <f>IF(P23="早","08-18",IF(P23="中","12-22",IF(P23="晚","22-08",IF(P23="X","輪休",IF(P23="公","公假",IF(OR(P23="病",P23="事"),"病(事)假",IF(OR(P23="婚",P23="產"),"婚(產)假",IF(P23="補","補休",IF(P23="休","休假",IF(P23="喪","喪假",IF(AND(P23="/",OR($A23=日期輸入!$B$23,$A23=日期輸入!$C$23,$A23=日期輸入!$D$23,$A23=日期輸入!$E$23,$A23=日期輸入!$F$23)),"08-18水電科",IF(P23="大日","大隊值日(日)",IF(P23="大夜","大隊值日(夜)",IF(P23="值1","值1(早)",IF(P23="值1丙","值1(早) 丙案",IF(P23="值2","值2(中)",IF(P23="值2乙","值2(中) 乙案",IF(P23="夜值","夜值(晚)",IF(P23="甲夜","夜值(晚) 甲案",IF(P23="備","08-18",IF(OR(P23="支援秘書室",P23="支援出納室",P23="支援警務科",P23="支援事務股"),"支援總(大)隊",IF(P23="支援檢疫所","支援(其他)",IF(  P23="/","空班",  IF(  P23="丙",  "※ 丙案",  IF(  P23="丙常訓",  "※ 丙案 常訓",P23  )))))))))))))))))))))))))</f>
        <v/>
      </c>
      <c r="Q63" s="271" t="str">
        <f>IF(Q23="早","08-18",IF(Q23="中","12-22",IF(Q23="晚","22-08",IF(Q23="X","輪休",IF(Q23="公","公假",IF(OR(Q23="病",Q23="事"),"病(事)假",IF(OR(Q23="婚",Q23="產"),"婚(產)假",IF(Q23="補","補休",IF(Q23="休","休假",IF(Q23="喪","喪假",IF(AND(Q23="/",OR($A23=日期輸入!$B$23,$A23=日期輸入!$C$23,$A23=日期輸入!$D$23,$A23=日期輸入!$E$23,$A23=日期輸入!$F$23)),"08-18水電科",IF(Q23="大日","大隊值日(日)",IF(Q23="大夜","大隊值日(夜)",IF(Q23="值1","值1(早)",IF(Q23="值1丙","值1(早) 丙案",IF(Q23="值2","值2(中)",IF(Q23="值2乙","值2(中) 乙案",IF(Q23="夜值","夜值(晚)",IF(Q23="甲夜","夜值(晚) 甲案",IF(Q23="備","08-18",IF(OR(Q23="支援秘書室",Q23="支援出納室",Q23="支援警務科",Q23="支援事務股"),"支援總(大)隊",IF(Q23="支援檢疫所","支援(其他)",IF(  Q23="/","空班",  IF(  Q23="丙",  "※ 丙案",  IF(  Q23="丙常訓",  "※ 丙案 常訓",Q23  )))))))))))))))))))))))))</f>
        <v/>
      </c>
      <c r="R63" s="271" t="str">
        <f>IF(R23="早","08-18",IF(R23="中","12-22",IF(R23="晚","22-08",IF(R23="X","輪休",IF(R23="公","公假",IF(OR(R23="病",R23="事"),"病(事)假",IF(OR(R23="婚",R23="產"),"婚(產)假",IF(R23="補","補休",IF(R23="休","休假",IF(R23="喪","喪假",IF(AND(R23="/",OR($A23=日期輸入!$B$23,$A23=日期輸入!$C$23,$A23=日期輸入!$D$23,$A23=日期輸入!$E$23,$A23=日期輸入!$F$23)),"08-18水電科",IF(R23="大日","大隊值日(日)",IF(R23="大夜","大隊值日(夜)",IF(R23="值1","值1(早)",IF(R23="值1丙","值1(早) 丙案",IF(R23="值2","值2(中)",IF(R23="值2乙","值2(中) 乙案",IF(R23="夜值","夜值(晚)",IF(R23="甲夜","夜值(晚) 甲案",IF(R23="備","08-18",IF(OR(R23="支援秘書室",R23="支援出納室",R23="支援警務科",R23="支援事務股"),"支援總(大)隊",IF(R23="支援檢疫所","支援(其他)",IF(  R23="/","空班",  IF(  R23="丙",  "※ 丙案",  IF(  R23="丙常訓",  "※ 丙案 常訓",R23  )))))))))))))))))))))))))</f>
        <v/>
      </c>
      <c r="S63" s="271" t="str">
        <f>IF(S23="早","08-18",IF(S23="中","12-22",IF(S23="晚","22-08",IF(S23="X","輪休",IF(S23="公","公假",IF(OR(S23="病",S23="事"),"病(事)假",IF(OR(S23="婚",S23="產"),"婚(產)假",IF(S23="補","補休",IF(S23="休","休假",IF(S23="喪","喪假",IF(AND(S23="/",OR($A23=日期輸入!$B$23,$A23=日期輸入!$C$23,$A23=日期輸入!$D$23,$A23=日期輸入!$E$23,$A23=日期輸入!$F$23)),"08-18水電科",IF(S23="大日","大隊值日(日)",IF(S23="大夜","大隊值日(夜)",IF(S23="值1","值1(早)",IF(S23="值1丙","值1(早) 丙案",IF(S23="值2","值2(中)",IF(S23="值2乙","值2(中) 乙案",IF(S23="夜值","夜值(晚)",IF(S23="甲夜","夜值(晚) 甲案",IF(S23="備","08-18",IF(OR(S23="支援秘書室",S23="支援出納室",S23="支援警務科",S23="支援事務股"),"支援總(大)隊",IF(S23="支援檢疫所","支援(其他)",IF(  S23="/","空班",  IF(  S23="丙",  "※ 丙案",  IF(  S23="丙常訓",  "※ 丙案 常訓",S23  )))))))))))))))))))))))))</f>
        <v/>
      </c>
      <c r="T63" s="271" t="str">
        <f>IF(T23="早","08-18",IF(T23="中","12-22",IF(T23="晚","22-08",IF(T23="X","輪休",IF(T23="公","公假",IF(OR(T23="病",T23="事"),"病(事)假",IF(OR(T23="婚",T23="產"),"婚(產)假",IF(T23="補","補休",IF(T23="休","休假",IF(T23="喪","喪假",IF(AND(T23="/",OR($A23=日期輸入!$B$23,$A23=日期輸入!$C$23,$A23=日期輸入!$D$23,$A23=日期輸入!$E$23,$A23=日期輸入!$F$23)),"08-18水電科",IF(T23="大日","大隊值日(日)",IF(T23="大夜","大隊值日(夜)",IF(T23="值1","值1(早)",IF(T23="值1丙","值1(早) 丙案",IF(T23="值2","值2(中)",IF(T23="值2乙","值2(中) 乙案",IF(T23="夜值","夜值(晚)",IF(T23="甲夜","夜值(晚) 甲案",IF(T23="備","08-18",IF(OR(T23="支援秘書室",T23="支援出納室",T23="支援警務科",T23="支援事務股"),"支援總(大)隊",IF(T23="支援檢疫所","支援(其他)",IF(  T23="/","空班",  IF(  T23="丙",  "※ 丙案",  IF(  T23="丙常訓",  "※ 丙案 常訓",T23  )))))))))))))))))))))))))</f>
        <v/>
      </c>
      <c r="U63" s="271" t="str">
        <f>IF(U23="早","08-18",IF(U23="中","12-22",IF(U23="晚","22-08",IF(U23="X","輪休",IF(U23="公","公假",IF(OR(U23="病",U23="事"),"病(事)假",IF(OR(U23="婚",U23="產"),"婚(產)假",IF(U23="補","補休",IF(U23="休","休假",IF(U23="喪","喪假",IF(AND(U23="/",OR($A23=日期輸入!$B$23,$A23=日期輸入!$C$23,$A23=日期輸入!$D$23,$A23=日期輸入!$E$23,$A23=日期輸入!$F$23)),"08-18水電科",IF(U23="大日","大隊值日(日)",IF(U23="大夜","大隊值日(夜)",IF(U23="值1","值1(早)",IF(U23="值1丙","值1(早) 丙案",IF(U23="值2","值2(中)",IF(U23="值2乙","值2(中) 乙案",IF(U23="夜值","夜值(晚)",IF(U23="甲夜","夜值(晚) 甲案",IF(U23="備","08-18",IF(OR(U23="支援秘書室",U23="支援出納室",U23="支援警務科",U23="支援事務股"),"支援總(大)隊",IF(U23="支援檢疫所","支援(其他)",IF(  U23="/","空班",  IF(  U23="丙",  "※ 丙案",  IF(  U23="丙常訓",  "※ 丙案 常訓",U23  )))))))))))))))))))))))))</f>
        <v/>
      </c>
      <c r="V63" s="271" t="str">
        <f>IF(V23="早","08-18",IF(V23="中","12-22",IF(V23="晚","22-08",IF(V23="X","輪休",IF(V23="公","公假",IF(OR(V23="病",V23="事"),"病(事)假",IF(OR(V23="婚",V23="產"),"婚(產)假",IF(V23="補","補休",IF(V23="休","休假",IF(V23="喪","喪假",IF(AND(V23="/",OR($A23=日期輸入!$B$23,$A23=日期輸入!$C$23,$A23=日期輸入!$D$23,$A23=日期輸入!$E$23,$A23=日期輸入!$F$23)),"08-18水電科",IF(V23="大日","大隊值日(日)",IF(V23="大夜","大隊值日(夜)",IF(V23="值1","值1(早)",IF(V23="值1丙","值1(早) 丙案",IF(V23="值2","值2(中)",IF(V23="值2乙","值2(中) 乙案",IF(V23="夜值","夜值(晚)",IF(V23="甲夜","夜值(晚) 甲案",IF(V23="備","08-18",IF(OR(V23="支援秘書室",V23="支援出納室",V23="支援警務科",V23="支援事務股"),"支援總(大)隊",IF(V23="支援檢疫所","支援(其他)",IF(  V23="/","空班",  IF(  V23="丙",  "※ 丙案",  IF(  V23="丙常訓",  "※ 丙案 常訓",V23  )))))))))))))))))))))))))</f>
        <v/>
      </c>
      <c r="W63" s="271" t="str">
        <f>IF(W23="早","08-18",IF(W23="中","12-22",IF(W23="晚","22-08",IF(W23="X","輪休",IF(W23="公","公假",IF(OR(W23="病",W23="事"),"病(事)假",IF(OR(W23="婚",W23="產"),"婚(產)假",IF(W23="補","補休",IF(W23="休","休假",IF(W23="喪","喪假",IF(AND(W23="/",OR($A23=日期輸入!$B$23,$A23=日期輸入!$C$23,$A23=日期輸入!$D$23,$A23=日期輸入!$E$23,$A23=日期輸入!$F$23)),"08-18水電科",IF(W23="大日","大隊值日(日)",IF(W23="大夜","大隊值日(夜)",IF(W23="值1","值1(早)",IF(W23="值1丙","值1(早) 丙案",IF(W23="值2","值2(中)",IF(W23="值2乙","值2(中) 乙案",IF(W23="夜值","夜值(晚)",IF(W23="甲夜","夜值(晚) 甲案",IF(W23="備","08-18",IF(OR(W23="支援秘書室",W23="支援出納室",W23="支援警務科",W23="支援事務股"),"支援總(大)隊",IF(W23="支援檢疫所","支援(其他)",IF(  W23="/","空班",  IF(  W23="丙",  "※ 丙案",  IF(  W23="丙常訓",  "※ 丙案 常訓",W23  )))))))))))))))))))))))))</f>
        <v/>
      </c>
      <c r="X63" s="271" t="str">
        <f>IF(X23="早","08-18",IF(X23="中","12-22",IF(X23="晚","22-08",IF(X23="X","輪休",IF(X23="公","公假",IF(OR(X23="病",X23="事"),"病(事)假",IF(OR(X23="婚",X23="產"),"婚(產)假",IF(X23="補","補休",IF(X23="休","休假",IF(X23="喪","喪假",IF(AND(X23="/",OR($A23=日期輸入!$B$23,$A23=日期輸入!$C$23,$A23=日期輸入!$D$23,$A23=日期輸入!$E$23,$A23=日期輸入!$F$23)),"08-18水電科",IF(X23="大日","大隊值日(日)",IF(X23="大夜","大隊值日(夜)",IF(X23="值1","值1(早)",IF(X23="值1丙","值1(早) 丙案",IF(X23="值2","值2(中)",IF(X23="值2乙","值2(中) 乙案",IF(X23="夜值","夜值(晚)",IF(X23="甲夜","夜值(晚) 甲案",IF(X23="備","08-18",IF(OR(X23="支援秘書室",X23="支援出納室",X23="支援警務科",X23="支援事務股"),"支援總(大)隊",IF(X23="支援檢疫所","支援(其他)",IF(  X23="/","空班",  IF(  X23="丙",  "※ 丙案",  IF(  X23="丙常訓",  "※ 丙案 常訓",X23  )))))))))))))))))))))))))</f>
        <v/>
      </c>
      <c r="Y63" s="271" t="str">
        <f>IF(Y23="早","08-18",IF(Y23="中","12-22",IF(Y23="晚","22-08",IF(Y23="X","輪休",IF(Y23="公","公假",IF(OR(Y23="病",Y23="事"),"病(事)假",IF(OR(Y23="婚",Y23="產"),"婚(產)假",IF(Y23="補","補休",IF(Y23="休","休假",IF(Y23="喪","喪假",IF(AND(Y23="/",OR($A23=日期輸入!$B$23,$A23=日期輸入!$C$23,$A23=日期輸入!$D$23,$A23=日期輸入!$E$23,$A23=日期輸入!$F$23)),"08-18水電科",IF(Y23="大日","大隊值日(日)",IF(Y23="大夜","大隊值日(夜)",IF(Y23="值1","值1(早)",IF(Y23="值1丙","值1(早) 丙案",IF(Y23="值2","值2(中)",IF(Y23="值2乙","值2(中) 乙案",IF(Y23="夜值","夜值(晚)",IF(Y23="甲夜","夜值(晚) 甲案",IF(Y23="備","08-18",IF(OR(Y23="支援秘書室",Y23="支援出納室",Y23="支援警務科",Y23="支援事務股"),"支援總(大)隊",IF(Y23="支援檢疫所","支援(其他)",IF(  Y23="/","空班",  IF(  Y23="丙",  "※ 丙案",  IF(  Y23="丙常訓",  "※ 丙案 常訓",Y23  )))))))))))))))))))))))))</f>
        <v/>
      </c>
      <c r="Z63" s="271" t="str">
        <f>IF(Z23="早","08-18",IF(Z23="中","12-22",IF(Z23="晚","22-08",IF(Z23="X","輪休",IF(Z23="公","公假",IF(OR(Z23="病",Z23="事"),"病(事)假",IF(OR(Z23="婚",Z23="產"),"婚(產)假",IF(Z23="補","補休",IF(Z23="休","休假",IF(Z23="喪","喪假",IF(AND(Z23="/",OR($A23=日期輸入!$B$23,$A23=日期輸入!$C$23,$A23=日期輸入!$D$23,$A23=日期輸入!$E$23,$A23=日期輸入!$F$23)),"08-18水電科",IF(Z23="大日","大隊值日(日)",IF(Z23="大夜","大隊值日(夜)",IF(Z23="值1","值1(早)",IF(Z23="值1丙","值1(早) 丙案",IF(Z23="值2","值2(中)",IF(Z23="值2乙","值2(中) 乙案",IF(Z23="夜值","夜值(晚)",IF(Z23="甲夜","夜值(晚) 甲案",IF(Z23="備","08-18",IF(OR(Z23="支援秘書室",Z23="支援出納室",Z23="支援警務科",Z23="支援事務股"),"支援總(大)隊",IF(Z23="支援檢疫所","支援(其他)",IF(  Z23="/","空班",  IF(  Z23="丙",  "※ 丙案",  IF(  Z23="丙常訓",  "※ 丙案 常訓",Z23  )))))))))))))))))))))))))</f>
        <v/>
      </c>
      <c r="AA63" s="271" t="str">
        <f>IF(AA23="早","08-18",IF(AA23="中","12-22",IF(AA23="晚","22-08",IF(AA23="X","輪休",IF(AA23="公","公假",IF(OR(AA23="病",AA23="事"),"病(事)假",IF(OR(AA23="婚",AA23="產"),"婚(產)假",IF(AA23="補","補休",IF(AA23="休","休假",IF(AA23="喪","喪假",IF(AND(AA23="/",OR($A23=日期輸入!$B$23,$A23=日期輸入!$C$23,$A23=日期輸入!$D$23,$A23=日期輸入!$E$23,$A23=日期輸入!$F$23)),"08-18水電科",IF(AA23="大日","大隊值日(日)",IF(AA23="大夜","大隊值日(夜)",IF(AA23="值1","值1(早)",IF(AA23="值1丙","值1(早) 丙案",IF(AA23="值2","值2(中)",IF(AA23="值2乙","值2(中) 乙案",IF(AA23="夜值","夜值(晚)",IF(AA23="甲夜","夜值(晚) 甲案",IF(AA23="備","08-18",IF(OR(AA23="支援秘書室",AA23="支援出納室",AA23="支援警務科",AA23="支援事務股"),"支援總(大)隊",IF(AA23="支援檢疫所","支援(其他)",IF(  AA23="/","空班",  IF(  AA23="丙",  "※ 丙案",  IF(  AA23="丙常訓",  "※ 丙案 常訓",AA23  )))))))))))))))))))))))))</f>
        <v/>
      </c>
      <c r="AB63" s="271" t="str">
        <f>IF(AB23="早","08-18",IF(AB23="中","12-22",IF(AB23="晚","22-08",IF(AB23="X","輪休",IF(AB23="公","公假",IF(OR(AB23="病",AB23="事"),"病(事)假",IF(OR(AB23="婚",AB23="產"),"婚(產)假",IF(AB23="補","補休",IF(AB23="休","休假",IF(AB23="喪","喪假",IF(AND(AB23="/",OR($A23=日期輸入!$B$23,$A23=日期輸入!$C$23,$A23=日期輸入!$D$23,$A23=日期輸入!$E$23,$A23=日期輸入!$F$23)),"08-18水電科",IF(AB23="大日","大隊值日(日)",IF(AB23="大夜","大隊值日(夜)",IF(AB23="值1","值1(早)",IF(AB23="值1丙","值1(早) 丙案",IF(AB23="值2","值2(中)",IF(AB23="值2乙","值2(中) 乙案",IF(AB23="夜值","夜值(晚)",IF(AB23="甲夜","夜值(晚) 甲案",IF(AB23="備","08-18",IF(OR(AB23="支援秘書室",AB23="支援出納室",AB23="支援警務科",AB23="支援事務股"),"支援總(大)隊",IF(AB23="支援檢疫所","支援(其他)",IF(  AB23="/","空班",  IF(  AB23="丙",  "※ 丙案",  IF(  AB23="丙常訓",  "※ 丙案 常訓",AB23  )))))))))))))))))))))))))</f>
        <v/>
      </c>
      <c r="AC63" s="271" t="str">
        <f>IF(AC23="早","08-18",IF(AC23="中","12-22",IF(AC23="晚","22-08",IF(AC23="X","輪休",IF(AC23="公","公假",IF(OR(AC23="病",AC23="事"),"病(事)假",IF(OR(AC23="婚",AC23="產"),"婚(產)假",IF(AC23="補","補休",IF(AC23="休","休假",IF(AC23="喪","喪假",IF(AND(AC23="/",OR($A23=日期輸入!$B$23,$A23=日期輸入!$C$23,$A23=日期輸入!$D$23,$A23=日期輸入!$E$23,$A23=日期輸入!$F$23)),"08-18水電科",IF(AC23="大日","大隊值日(日)",IF(AC23="大夜","大隊值日(夜)",IF(AC23="值1","值1(早)",IF(AC23="值1丙","值1(早) 丙案",IF(AC23="值2","值2(中)",IF(AC23="值2乙","值2(中) 乙案",IF(AC23="夜值","夜值(晚)",IF(AC23="甲夜","夜值(晚) 甲案",IF(AC23="備","08-18",IF(OR(AC23="支援秘書室",AC23="支援出納室",AC23="支援警務科",AC23="支援事務股"),"支援總(大)隊",IF(AC23="支援檢疫所","支援(其他)",IF(  AC23="/","空班",  IF(  AC23="丙",  "※ 丙案",  IF(  AC23="丙常訓",  "※ 丙案 常訓",AC23  )))))))))))))))))))))))))</f>
        <v/>
      </c>
      <c r="AD63" s="271" t="str">
        <f>IF(AD23="早","08-18",IF(AD23="中","12-22",IF(AD23="晚","22-08",IF(AD23="X","輪休",IF(AD23="公","公假",IF(OR(AD23="病",AD23="事"),"病(事)假",IF(OR(AD23="婚",AD23="產"),"婚(產)假",IF(AD23="補","補休",IF(AD23="休","休假",IF(AD23="喪","喪假",IF(AND(AD23="/",OR($A23=日期輸入!$B$23,$A23=日期輸入!$C$23,$A23=日期輸入!$D$23,$A23=日期輸入!$E$23,$A23=日期輸入!$F$23)),"08-18水電科",IF(AD23="大日","大隊值日(日)",IF(AD23="大夜","大隊值日(夜)",IF(AD23="值1","值1(早)",IF(AD23="值1丙","值1(早) 丙案",IF(AD23="值2","值2(中)",IF(AD23="值2乙","值2(中) 乙案",IF(AD23="夜值","夜值(晚)",IF(AD23="甲夜","夜值(晚) 甲案",IF(AD23="備","08-18",IF(OR(AD23="支援秘書室",AD23="支援出納室",AD23="支援警務科",AD23="支援事務股"),"支援總(大)隊",IF(AD23="支援檢疫所","支援(其他)",IF(  AD23="/","空班",  IF(  AD23="丙",  "※ 丙案",  IF(  AD23="丙常訓",  "※ 丙案 常訓",AD23  )))))))))))))))))))))))))</f>
        <v/>
      </c>
      <c r="AE63" s="271" t="str">
        <f>IF(AE23="早","08-18",IF(AE23="中","12-22",IF(AE23="晚","22-08",IF(AE23="X","輪休",IF(AE23="公","公假",IF(OR(AE23="病",AE23="事"),"病(事)假",IF(OR(AE23="婚",AE23="產"),"婚(產)假",IF(AE23="補","補休",IF(AE23="休","休假",IF(AE23="喪","喪假",IF(AND(AE23="/",OR($A23=日期輸入!$B$23,$A23=日期輸入!$C$23,$A23=日期輸入!$D$23,$A23=日期輸入!$E$23,$A23=日期輸入!$F$23)),"08-18水電科",IF(AE23="大日","大隊值日(日)",IF(AE23="大夜","大隊值日(夜)",IF(AE23="值1","值1(早)",IF(AE23="值1丙","值1(早) 丙案",IF(AE23="值2","值2(中)",IF(AE23="值2乙","值2(中) 乙案",IF(AE23="夜值","夜值(晚)",IF(AE23="甲夜","夜值(晚) 甲案",IF(AE23="備","08-18",IF(OR(AE23="支援秘書室",AE23="支援出納室",AE23="支援警務科",AE23="支援事務股"),"支援總(大)隊",IF(AE23="支援檢疫所","支援(其他)",IF(  AE23="/","空班",  IF(  AE23="丙",  "※ 丙案",  IF(  AE23="丙常訓",  "※ 丙案 常訓",AE23  )))))))))))))))))))))))))</f>
        <v/>
      </c>
      <c r="AF63" s="271" t="str">
        <f>IF(AF23="早","08-18",IF(AF23="中","12-22",IF(AF23="晚","22-08",IF(AF23="X","輪休",IF(AF23="公","公假",IF(OR(AF23="病",AF23="事"),"病(事)假",IF(OR(AF23="婚",AF23="產"),"婚(產)假",IF(AF23="補","補休",IF(AF23="休","休假",IF(AF23="喪","喪假",IF(AND(AF23="/",OR($A23=日期輸入!$B$23,$A23=日期輸入!$C$23,$A23=日期輸入!$D$23,$A23=日期輸入!$E$23,$A23=日期輸入!$F$23)),"08-18水電科",IF(AF23="大日","大隊值日(日)",IF(AF23="大夜","大隊值日(夜)",IF(AF23="值1","值1(早)",IF(AF23="值1丙","值1(早) 丙案",IF(AF23="值2","值2(中)",IF(AF23="值2乙","值2(中) 乙案",IF(AF23="夜值","夜值(晚)",IF(AF23="甲夜","夜值(晚) 甲案",IF(AF23="備","08-18",IF(OR(AF23="支援秘書室",AF23="支援出納室",AF23="支援警務科",AF23="支援事務股"),"支援總(大)隊",IF(AF23="支援檢疫所","支援(其他)",IF(  AF23="/","空班",  IF(  AF23="丙",  "※ 丙案",  IF(  AF23="丙常訓",  "※ 丙案 常訓",AF23  )))))))))))))))))))))))))</f>
        <v/>
      </c>
      <c r="AG63" s="271" t="str">
        <f>IF(AG23="早","08-18",IF(AG23="中","12-22",IF(AG23="晚","22-08",IF(AG23="X","輪休",IF(AG23="公","公假",IF(OR(AG23="病",AG23="事"),"病(事)假",IF(OR(AG23="婚",AG23="產"),"婚(產)假",IF(AG23="補","補休",IF(AG23="休","休假",IF(AG23="喪","喪假",IF(AND(AG23="/",OR($A23=日期輸入!$B$23,$A23=日期輸入!$C$23,$A23=日期輸入!$D$23,$A23=日期輸入!$E$23,$A23=日期輸入!$F$23)),"08-18水電科",IF(AG23="大日","大隊值日(日)",IF(AG23="大夜","大隊值日(夜)",IF(AG23="值1","值1(早)",IF(AG23="值1丙","值1(早) 丙案",IF(AG23="值2","值2(中)",IF(AG23="值2乙","值2(中) 乙案",IF(AG23="夜值","夜值(晚)",IF(AG23="甲夜","夜值(晚) 甲案",IF(AG23="備","08-18",IF(OR(AG23="支援秘書室",AG23="支援出納室",AG23="支援警務科",AG23="支援事務股"),"支援總(大)隊",IF(AG23="支援檢疫所","支援(其他)",IF(  AG23="/","空班",  IF(  AG23="丙",  "※ 丙案",  IF(  AG23="丙常訓",  "※ 丙案 常訓",AG23  )))))))))))))))))))))))))</f>
        <v/>
      </c>
    </row>
    <row r="64" spans="1:33">
      <c r="A64" s="271" t="str">
        <f t="shared" ref="A64:B64" si="23">A24</f>
        <v/>
      </c>
      <c r="B64" s="271" t="str">
        <f t="shared" si="23"/>
        <v/>
      </c>
      <c r="C64" s="271" t="str">
        <f>IF(C24="早","08-18",IF(C24="中","12-22",IF(C24="晚","22-08",IF(C24="X","輪休",IF(C24="公","公假",IF(OR(C24="病",C24="事"),"病(事)假",IF(OR(C24="婚",C24="產"),"婚(產)假",IF(C24="補","補休",IF(C24="休","休假",IF(C24="喪","喪假",IF(AND(C24="/",OR($A24=日期輸入!$B$23,$A24=日期輸入!$C$23,$A24=日期輸入!$D$23,$A24=日期輸入!$E$23,$A24=日期輸入!$F$23)),"08-18水電科",IF(C24="大日","大隊值日(日)",IF(C24="大夜","大隊值日(夜)",IF(C24="值1","值1(早)",IF(C24="值1丙","值1(早) 丙案",IF(C24="值2","值2(中)",IF(C24="值2乙","值2(中) 乙案",IF(C24="夜值","夜值(晚)",IF(C24="甲夜","夜值(晚) 甲案",IF(C24="備","08-18",IF(OR(C24="支援秘書室",C24="支援出納室",C24="支援警務科",C24="支援事務股"),"支援總(大)隊",IF(C24="支援檢疫所","支援(其他)",IF(  C24="/","空班",  IF(  C24="丙",  "※ 丙案",  IF(  C24="丙常訓",  "※ 丙案 常訓",C24  )))))))))))))))))))))))))</f>
        <v/>
      </c>
      <c r="D64" s="271" t="str">
        <f>IF(D24="早","08-18",IF(D24="中","12-22",IF(D24="晚","22-08",IF(D24="X","輪休",IF(D24="公","公假",IF(OR(D24="病",D24="事"),"病(事)假",IF(OR(D24="婚",D24="產"),"婚(產)假",IF(D24="補","補休",IF(D24="休","休假",IF(D24="喪","喪假",IF(AND(D24="/",OR($A24=日期輸入!$B$23,$A24=日期輸入!$C$23,$A24=日期輸入!$D$23,$A24=日期輸入!$E$23,$A24=日期輸入!$F$23)),"08-18水電科",IF(D24="大日","大隊值日(日)",IF(D24="大夜","大隊值日(夜)",IF(D24="值1","值1(早)",IF(D24="值1丙","值1(早) 丙案",IF(D24="值2","值2(中)",IF(D24="值2乙","值2(中) 乙案",IF(D24="夜值","夜值(晚)",IF(D24="甲夜","夜值(晚) 甲案",IF(D24="備","08-18",IF(OR(D24="支援秘書室",D24="支援出納室",D24="支援警務科",D24="支援事務股"),"支援總(大)隊",IF(D24="支援檢疫所","支援(其他)",IF(  D24="/","空班",  IF(  D24="丙",  "※ 丙案",  IF(  D24="丙常訓",  "※ 丙案 常訓",D24  )))))))))))))))))))))))))</f>
        <v/>
      </c>
      <c r="E64" s="271" t="str">
        <f>IF(E24="早","08-18",IF(E24="中","12-22",IF(E24="晚","22-08",IF(E24="X","輪休",IF(E24="公","公假",IF(OR(E24="病",E24="事"),"病(事)假",IF(OR(E24="婚",E24="產"),"婚(產)假",IF(E24="補","補休",IF(E24="休","休假",IF(E24="喪","喪假",IF(AND(E24="/",OR($A24=日期輸入!$B$23,$A24=日期輸入!$C$23,$A24=日期輸入!$D$23,$A24=日期輸入!$E$23,$A24=日期輸入!$F$23)),"08-18水電科",IF(E24="大日","大隊值日(日)",IF(E24="大夜","大隊值日(夜)",IF(E24="值1","值1(早)",IF(E24="值1丙","值1(早) 丙案",IF(E24="值2","值2(中)",IF(E24="值2乙","值2(中) 乙案",IF(E24="夜值","夜值(晚)",IF(E24="甲夜","夜值(晚) 甲案",IF(E24="備","08-18",IF(OR(E24="支援秘書室",E24="支援出納室",E24="支援警務科",E24="支援事務股"),"支援總(大)隊",IF(E24="支援檢疫所","支援(其他)",IF(  E24="/","空班",  IF(  E24="丙",  "※ 丙案",  IF(  E24="丙常訓",  "※ 丙案 常訓",E24  )))))))))))))))))))))))))</f>
        <v/>
      </c>
      <c r="F64" s="271" t="str">
        <f>IF(F24="早","08-18",IF(F24="中","12-22",IF(F24="晚","22-08",IF(F24="X","輪休",IF(F24="公","公假",IF(OR(F24="病",F24="事"),"病(事)假",IF(OR(F24="婚",F24="產"),"婚(產)假",IF(F24="補","補休",IF(F24="休","休假",IF(F24="喪","喪假",IF(AND(F24="/",OR($A24=日期輸入!$B$23,$A24=日期輸入!$C$23,$A24=日期輸入!$D$23,$A24=日期輸入!$E$23,$A24=日期輸入!$F$23)),"08-18水電科",IF(F24="大日","大隊值日(日)",IF(F24="大夜","大隊值日(夜)",IF(F24="值1","值1(早)",IF(F24="值1丙","值1(早) 丙案",IF(F24="值2","值2(中)",IF(F24="值2乙","值2(中) 乙案",IF(F24="夜值","夜值(晚)",IF(F24="甲夜","夜值(晚) 甲案",IF(F24="備","08-18",IF(OR(F24="支援秘書室",F24="支援出納室",F24="支援警務科",F24="支援事務股"),"支援總(大)隊",IF(F24="支援檢疫所","支援(其他)",IF(  F24="/","空班",  IF(  F24="丙",  "※ 丙案",  IF(  F24="丙常訓",  "※ 丙案 常訓",F24  )))))))))))))))))))))))))</f>
        <v/>
      </c>
      <c r="G64" s="271" t="str">
        <f>IF(G24="早","08-18",IF(G24="中","12-22",IF(G24="晚","22-08",IF(G24="X","輪休",IF(G24="公","公假",IF(OR(G24="病",G24="事"),"病(事)假",IF(OR(G24="婚",G24="產"),"婚(產)假",IF(G24="補","補休",IF(G24="休","休假",IF(G24="喪","喪假",IF(AND(G24="/",OR($A24=日期輸入!$B$23,$A24=日期輸入!$C$23,$A24=日期輸入!$D$23,$A24=日期輸入!$E$23,$A24=日期輸入!$F$23)),"08-18水電科",IF(G24="大日","大隊值日(日)",IF(G24="大夜","大隊值日(夜)",IF(G24="值1","值1(早)",IF(G24="值1丙","值1(早) 丙案",IF(G24="值2","值2(中)",IF(G24="值2乙","值2(中) 乙案",IF(G24="夜值","夜值(晚)",IF(G24="甲夜","夜值(晚) 甲案",IF(G24="備","08-18",IF(OR(G24="支援秘書室",G24="支援出納室",G24="支援警務科",G24="支援事務股"),"支援總(大)隊",IF(G24="支援檢疫所","支援(其他)",IF(  G24="/","空班",  IF(  G24="丙",  "※ 丙案",  IF(  G24="丙常訓",  "※ 丙案 常訓",G24  )))))))))))))))))))))))))</f>
        <v/>
      </c>
      <c r="H64" s="271" t="str">
        <f>IF(H24="早","08-18",IF(H24="中","12-22",IF(H24="晚","22-08",IF(H24="X","輪休",IF(H24="公","公假",IF(OR(H24="病",H24="事"),"病(事)假",IF(OR(H24="婚",H24="產"),"婚(產)假",IF(H24="補","補休",IF(H24="休","休假",IF(H24="喪","喪假",IF(AND(H24="/",OR($A24=日期輸入!$B$23,$A24=日期輸入!$C$23,$A24=日期輸入!$D$23,$A24=日期輸入!$E$23,$A24=日期輸入!$F$23)),"08-18水電科",IF(H24="大日","大隊值日(日)",IF(H24="大夜","大隊值日(夜)",IF(H24="值1","值1(早)",IF(H24="值1丙","值1(早) 丙案",IF(H24="值2","值2(中)",IF(H24="值2乙","值2(中) 乙案",IF(H24="夜值","夜值(晚)",IF(H24="甲夜","夜值(晚) 甲案",IF(H24="備","08-18",IF(OR(H24="支援秘書室",H24="支援出納室",H24="支援警務科",H24="支援事務股"),"支援總(大)隊",IF(H24="支援檢疫所","支援(其他)",IF(  H24="/","空班",  IF(  H24="丙",  "※ 丙案",  IF(  H24="丙常訓",  "※ 丙案 常訓",H24  )))))))))))))))))))))))))</f>
        <v/>
      </c>
      <c r="I64" s="271" t="str">
        <f>IF(I24="早","08-18",IF(I24="中","12-22",IF(I24="晚","22-08",IF(I24="X","輪休",IF(I24="公","公假",IF(OR(I24="病",I24="事"),"病(事)假",IF(OR(I24="婚",I24="產"),"婚(產)假",IF(I24="補","補休",IF(I24="休","休假",IF(I24="喪","喪假",IF(AND(I24="/",OR($A24=日期輸入!$B$23,$A24=日期輸入!$C$23,$A24=日期輸入!$D$23,$A24=日期輸入!$E$23,$A24=日期輸入!$F$23)),"08-18水電科",IF(I24="大日","大隊值日(日)",IF(I24="大夜","大隊值日(夜)",IF(I24="值1","值1(早)",IF(I24="值1丙","值1(早) 丙案",IF(I24="值2","值2(中)",IF(I24="值2乙","值2(中) 乙案",IF(I24="夜值","夜值(晚)",IF(I24="甲夜","夜值(晚) 甲案",IF(I24="備","08-18",IF(OR(I24="支援秘書室",I24="支援出納室",I24="支援警務科",I24="支援事務股"),"支援總(大)隊",IF(I24="支援檢疫所","支援(其他)",IF(  I24="/","空班",  IF(  I24="丙",  "※ 丙案",  IF(  I24="丙常訓",  "※ 丙案 常訓",I24  )))))))))))))))))))))))))</f>
        <v/>
      </c>
      <c r="J64" s="271" t="str">
        <f>IF(J24="早","08-18",IF(J24="中","12-22",IF(J24="晚","22-08",IF(J24="X","輪休",IF(J24="公","公假",IF(OR(J24="病",J24="事"),"病(事)假",IF(OR(J24="婚",J24="產"),"婚(產)假",IF(J24="補","補休",IF(J24="休","休假",IF(J24="喪","喪假",IF(AND(J24="/",OR($A24=日期輸入!$B$23,$A24=日期輸入!$C$23,$A24=日期輸入!$D$23,$A24=日期輸入!$E$23,$A24=日期輸入!$F$23)),"08-18水電科",IF(J24="大日","大隊值日(日)",IF(J24="大夜","大隊值日(夜)",IF(J24="值1","值1(早)",IF(J24="值1丙","值1(早) 丙案",IF(J24="值2","值2(中)",IF(J24="值2乙","值2(中) 乙案",IF(J24="夜值","夜值(晚)",IF(J24="甲夜","夜值(晚) 甲案",IF(J24="備","08-18",IF(OR(J24="支援秘書室",J24="支援出納室",J24="支援警務科",J24="支援事務股"),"支援總(大)隊",IF(J24="支援檢疫所","支援(其他)",IF(  J24="/","空班",  IF(  J24="丙",  "※ 丙案",  IF(  J24="丙常訓",  "※ 丙案 常訓",J24  )))))))))))))))))))))))))</f>
        <v/>
      </c>
      <c r="K64" s="271" t="str">
        <f>IF(K24="早","08-18",IF(K24="中","12-22",IF(K24="晚","22-08",IF(K24="X","輪休",IF(K24="公","公假",IF(OR(K24="病",K24="事"),"病(事)假",IF(OR(K24="婚",K24="產"),"婚(產)假",IF(K24="補","補休",IF(K24="休","休假",IF(K24="喪","喪假",IF(AND(K24="/",OR($A24=日期輸入!$B$23,$A24=日期輸入!$C$23,$A24=日期輸入!$D$23,$A24=日期輸入!$E$23,$A24=日期輸入!$F$23)),"08-18水電科",IF(K24="大日","大隊值日(日)",IF(K24="大夜","大隊值日(夜)",IF(K24="值1","值1(早)",IF(K24="值1丙","值1(早) 丙案",IF(K24="值2","值2(中)",IF(K24="值2乙","值2(中) 乙案",IF(K24="夜值","夜值(晚)",IF(K24="甲夜","夜值(晚) 甲案",IF(K24="備","08-18",IF(OR(K24="支援秘書室",K24="支援出納室",K24="支援警務科",K24="支援事務股"),"支援總(大)隊",IF(K24="支援檢疫所","支援(其他)",IF(  K24="/","空班",  IF(  K24="丙",  "※ 丙案",  IF(  K24="丙常訓",  "※ 丙案 常訓",K24  )))))))))))))))))))))))))</f>
        <v/>
      </c>
      <c r="L64" s="271" t="str">
        <f>IF(L24="早","08-18",IF(L24="中","12-22",IF(L24="晚","22-08",IF(L24="X","輪休",IF(L24="公","公假",IF(OR(L24="病",L24="事"),"病(事)假",IF(OR(L24="婚",L24="產"),"婚(產)假",IF(L24="補","補休",IF(L24="休","休假",IF(L24="喪","喪假",IF(AND(L24="/",OR($A24=日期輸入!$B$23,$A24=日期輸入!$C$23,$A24=日期輸入!$D$23,$A24=日期輸入!$E$23,$A24=日期輸入!$F$23)),"08-18水電科",IF(L24="大日","大隊值日(日)",IF(L24="大夜","大隊值日(夜)",IF(L24="值1","值1(早)",IF(L24="值1丙","值1(早) 丙案",IF(L24="值2","值2(中)",IF(L24="值2乙","值2(中) 乙案",IF(L24="夜值","夜值(晚)",IF(L24="甲夜","夜值(晚) 甲案",IF(L24="備","08-18",IF(OR(L24="支援秘書室",L24="支援出納室",L24="支援警務科",L24="支援事務股"),"支援總(大)隊",IF(L24="支援檢疫所","支援(其他)",IF(  L24="/","空班",  IF(  L24="丙",  "※ 丙案",  IF(  L24="丙常訓",  "※ 丙案 常訓",L24  )))))))))))))))))))))))))</f>
        <v/>
      </c>
      <c r="M64" s="271" t="str">
        <f>IF(M24="早","08-18",IF(M24="中","12-22",IF(M24="晚","22-08",IF(M24="X","輪休",IF(M24="公","公假",IF(OR(M24="病",M24="事"),"病(事)假",IF(OR(M24="婚",M24="產"),"婚(產)假",IF(M24="補","補休",IF(M24="休","休假",IF(M24="喪","喪假",IF(AND(M24="/",OR($A24=日期輸入!$B$23,$A24=日期輸入!$C$23,$A24=日期輸入!$D$23,$A24=日期輸入!$E$23,$A24=日期輸入!$F$23)),"08-18水電科",IF(M24="大日","大隊值日(日)",IF(M24="大夜","大隊值日(夜)",IF(M24="值1","值1(早)",IF(M24="值1丙","值1(早) 丙案",IF(M24="值2","值2(中)",IF(M24="值2乙","值2(中) 乙案",IF(M24="夜值","夜值(晚)",IF(M24="甲夜","夜值(晚) 甲案",IF(M24="備","08-18",IF(OR(M24="支援秘書室",M24="支援出納室",M24="支援警務科",M24="支援事務股"),"支援總(大)隊",IF(M24="支援檢疫所","支援(其他)",IF(  M24="/","空班",  IF(  M24="丙",  "※ 丙案",  IF(  M24="丙常訓",  "※ 丙案 常訓",M24  )))))))))))))))))))))))))</f>
        <v/>
      </c>
      <c r="N64" s="271" t="str">
        <f>IF(N24="早","08-18",IF(N24="中","12-22",IF(N24="晚","22-08",IF(N24="X","輪休",IF(N24="公","公假",IF(OR(N24="病",N24="事"),"病(事)假",IF(OR(N24="婚",N24="產"),"婚(產)假",IF(N24="補","補休",IF(N24="休","休假",IF(N24="喪","喪假",IF(AND(N24="/",OR($A24=日期輸入!$B$23,$A24=日期輸入!$C$23,$A24=日期輸入!$D$23,$A24=日期輸入!$E$23,$A24=日期輸入!$F$23)),"08-18水電科",IF(N24="大日","大隊值日(日)",IF(N24="大夜","大隊值日(夜)",IF(N24="值1","值1(早)",IF(N24="值1丙","值1(早) 丙案",IF(N24="值2","值2(中)",IF(N24="值2乙","值2(中) 乙案",IF(N24="夜值","夜值(晚)",IF(N24="甲夜","夜值(晚) 甲案",IF(N24="備","08-18",IF(OR(N24="支援秘書室",N24="支援出納室",N24="支援警務科",N24="支援事務股"),"支援總(大)隊",IF(N24="支援檢疫所","支援(其他)",IF(  N24="/","空班",  IF(  N24="丙",  "※ 丙案",  IF(  N24="丙常訓",  "※ 丙案 常訓",N24  )))))))))))))))))))))))))</f>
        <v/>
      </c>
      <c r="O64" s="271" t="str">
        <f>IF(O24="早","08-18",IF(O24="中","12-22",IF(O24="晚","22-08",IF(O24="X","輪休",IF(O24="公","公假",IF(OR(O24="病",O24="事"),"病(事)假",IF(OR(O24="婚",O24="產"),"婚(產)假",IF(O24="補","補休",IF(O24="休","休假",IF(O24="喪","喪假",IF(AND(O24="/",OR($A24=日期輸入!$B$23,$A24=日期輸入!$C$23,$A24=日期輸入!$D$23,$A24=日期輸入!$E$23,$A24=日期輸入!$F$23)),"08-18水電科",IF(O24="大日","大隊值日(日)",IF(O24="大夜","大隊值日(夜)",IF(O24="值1","值1(早)",IF(O24="值1丙","值1(早) 丙案",IF(O24="值2","值2(中)",IF(O24="值2乙","值2(中) 乙案",IF(O24="夜值","夜值(晚)",IF(O24="甲夜","夜值(晚) 甲案",IF(O24="備","08-18",IF(OR(O24="支援秘書室",O24="支援出納室",O24="支援警務科",O24="支援事務股"),"支援總(大)隊",IF(O24="支援檢疫所","支援(其他)",IF(  O24="/","空班",  IF(  O24="丙",  "※ 丙案",  IF(  O24="丙常訓",  "※ 丙案 常訓",O24  )))))))))))))))))))))))))</f>
        <v/>
      </c>
      <c r="P64" s="271" t="str">
        <f>IF(P24="早","08-18",IF(P24="中","12-22",IF(P24="晚","22-08",IF(P24="X","輪休",IF(P24="公","公假",IF(OR(P24="病",P24="事"),"病(事)假",IF(OR(P24="婚",P24="產"),"婚(產)假",IF(P24="補","補休",IF(P24="休","休假",IF(P24="喪","喪假",IF(AND(P24="/",OR($A24=日期輸入!$B$23,$A24=日期輸入!$C$23,$A24=日期輸入!$D$23,$A24=日期輸入!$E$23,$A24=日期輸入!$F$23)),"08-18水電科",IF(P24="大日","大隊值日(日)",IF(P24="大夜","大隊值日(夜)",IF(P24="值1","值1(早)",IF(P24="值1丙","值1(早) 丙案",IF(P24="值2","值2(中)",IF(P24="值2乙","值2(中) 乙案",IF(P24="夜值","夜值(晚)",IF(P24="甲夜","夜值(晚) 甲案",IF(P24="備","08-18",IF(OR(P24="支援秘書室",P24="支援出納室",P24="支援警務科",P24="支援事務股"),"支援總(大)隊",IF(P24="支援檢疫所","支援(其他)",IF(  P24="/","空班",  IF(  P24="丙",  "※ 丙案",  IF(  P24="丙常訓",  "※ 丙案 常訓",P24  )))))))))))))))))))))))))</f>
        <v/>
      </c>
      <c r="Q64" s="271" t="str">
        <f>IF(Q24="早","08-18",IF(Q24="中","12-22",IF(Q24="晚","22-08",IF(Q24="X","輪休",IF(Q24="公","公假",IF(OR(Q24="病",Q24="事"),"病(事)假",IF(OR(Q24="婚",Q24="產"),"婚(產)假",IF(Q24="補","補休",IF(Q24="休","休假",IF(Q24="喪","喪假",IF(AND(Q24="/",OR($A24=日期輸入!$B$23,$A24=日期輸入!$C$23,$A24=日期輸入!$D$23,$A24=日期輸入!$E$23,$A24=日期輸入!$F$23)),"08-18水電科",IF(Q24="大日","大隊值日(日)",IF(Q24="大夜","大隊值日(夜)",IF(Q24="值1","值1(早)",IF(Q24="值1丙","值1(早) 丙案",IF(Q24="值2","值2(中)",IF(Q24="值2乙","值2(中) 乙案",IF(Q24="夜值","夜值(晚)",IF(Q24="甲夜","夜值(晚) 甲案",IF(Q24="備","08-18",IF(OR(Q24="支援秘書室",Q24="支援出納室",Q24="支援警務科",Q24="支援事務股"),"支援總(大)隊",IF(Q24="支援檢疫所","支援(其他)",IF(  Q24="/","空班",  IF(  Q24="丙",  "※ 丙案",  IF(  Q24="丙常訓",  "※ 丙案 常訓",Q24  )))))))))))))))))))))))))</f>
        <v/>
      </c>
      <c r="R64" s="271" t="str">
        <f>IF(R24="早","08-18",IF(R24="中","12-22",IF(R24="晚","22-08",IF(R24="X","輪休",IF(R24="公","公假",IF(OR(R24="病",R24="事"),"病(事)假",IF(OR(R24="婚",R24="產"),"婚(產)假",IF(R24="補","補休",IF(R24="休","休假",IF(R24="喪","喪假",IF(AND(R24="/",OR($A24=日期輸入!$B$23,$A24=日期輸入!$C$23,$A24=日期輸入!$D$23,$A24=日期輸入!$E$23,$A24=日期輸入!$F$23)),"08-18水電科",IF(R24="大日","大隊值日(日)",IF(R24="大夜","大隊值日(夜)",IF(R24="值1","值1(早)",IF(R24="值1丙","值1(早) 丙案",IF(R24="值2","值2(中)",IF(R24="值2乙","值2(中) 乙案",IF(R24="夜值","夜值(晚)",IF(R24="甲夜","夜值(晚) 甲案",IF(R24="備","08-18",IF(OR(R24="支援秘書室",R24="支援出納室",R24="支援警務科",R24="支援事務股"),"支援總(大)隊",IF(R24="支援檢疫所","支援(其他)",IF(  R24="/","空班",  IF(  R24="丙",  "※ 丙案",  IF(  R24="丙常訓",  "※ 丙案 常訓",R24  )))))))))))))))))))))))))</f>
        <v/>
      </c>
      <c r="S64" s="271" t="str">
        <f>IF(S24="早","08-18",IF(S24="中","12-22",IF(S24="晚","22-08",IF(S24="X","輪休",IF(S24="公","公假",IF(OR(S24="病",S24="事"),"病(事)假",IF(OR(S24="婚",S24="產"),"婚(產)假",IF(S24="補","補休",IF(S24="休","休假",IF(S24="喪","喪假",IF(AND(S24="/",OR($A24=日期輸入!$B$23,$A24=日期輸入!$C$23,$A24=日期輸入!$D$23,$A24=日期輸入!$E$23,$A24=日期輸入!$F$23)),"08-18水電科",IF(S24="大日","大隊值日(日)",IF(S24="大夜","大隊值日(夜)",IF(S24="值1","值1(早)",IF(S24="值1丙","值1(早) 丙案",IF(S24="值2","值2(中)",IF(S24="值2乙","值2(中) 乙案",IF(S24="夜值","夜值(晚)",IF(S24="甲夜","夜值(晚) 甲案",IF(S24="備","08-18",IF(OR(S24="支援秘書室",S24="支援出納室",S24="支援警務科",S24="支援事務股"),"支援總(大)隊",IF(S24="支援檢疫所","支援(其他)",IF(  S24="/","空班",  IF(  S24="丙",  "※ 丙案",  IF(  S24="丙常訓",  "※ 丙案 常訓",S24  )))))))))))))))))))))))))</f>
        <v/>
      </c>
      <c r="T64" s="271" t="str">
        <f>IF(T24="早","08-18",IF(T24="中","12-22",IF(T24="晚","22-08",IF(T24="X","輪休",IF(T24="公","公假",IF(OR(T24="病",T24="事"),"病(事)假",IF(OR(T24="婚",T24="產"),"婚(產)假",IF(T24="補","補休",IF(T24="休","休假",IF(T24="喪","喪假",IF(AND(T24="/",OR($A24=日期輸入!$B$23,$A24=日期輸入!$C$23,$A24=日期輸入!$D$23,$A24=日期輸入!$E$23,$A24=日期輸入!$F$23)),"08-18水電科",IF(T24="大日","大隊值日(日)",IF(T24="大夜","大隊值日(夜)",IF(T24="值1","值1(早)",IF(T24="值1丙","值1(早) 丙案",IF(T24="值2","值2(中)",IF(T24="值2乙","值2(中) 乙案",IF(T24="夜值","夜值(晚)",IF(T24="甲夜","夜值(晚) 甲案",IF(T24="備","08-18",IF(OR(T24="支援秘書室",T24="支援出納室",T24="支援警務科",T24="支援事務股"),"支援總(大)隊",IF(T24="支援檢疫所","支援(其他)",IF(  T24="/","空班",  IF(  T24="丙",  "※ 丙案",  IF(  T24="丙常訓",  "※ 丙案 常訓",T24  )))))))))))))))))))))))))</f>
        <v/>
      </c>
      <c r="U64" s="271" t="str">
        <f>IF(U24="早","08-18",IF(U24="中","12-22",IF(U24="晚","22-08",IF(U24="X","輪休",IF(U24="公","公假",IF(OR(U24="病",U24="事"),"病(事)假",IF(OR(U24="婚",U24="產"),"婚(產)假",IF(U24="補","補休",IF(U24="休","休假",IF(U24="喪","喪假",IF(AND(U24="/",OR($A24=日期輸入!$B$23,$A24=日期輸入!$C$23,$A24=日期輸入!$D$23,$A24=日期輸入!$E$23,$A24=日期輸入!$F$23)),"08-18水電科",IF(U24="大日","大隊值日(日)",IF(U24="大夜","大隊值日(夜)",IF(U24="值1","值1(早)",IF(U24="值1丙","值1(早) 丙案",IF(U24="值2","值2(中)",IF(U24="值2乙","值2(中) 乙案",IF(U24="夜值","夜值(晚)",IF(U24="甲夜","夜值(晚) 甲案",IF(U24="備","08-18",IF(OR(U24="支援秘書室",U24="支援出納室",U24="支援警務科",U24="支援事務股"),"支援總(大)隊",IF(U24="支援檢疫所","支援(其他)",IF(  U24="/","空班",  IF(  U24="丙",  "※ 丙案",  IF(  U24="丙常訓",  "※ 丙案 常訓",U24  )))))))))))))))))))))))))</f>
        <v/>
      </c>
      <c r="V64" s="271" t="str">
        <f>IF(V24="早","08-18",IF(V24="中","12-22",IF(V24="晚","22-08",IF(V24="X","輪休",IF(V24="公","公假",IF(OR(V24="病",V24="事"),"病(事)假",IF(OR(V24="婚",V24="產"),"婚(產)假",IF(V24="補","補休",IF(V24="休","休假",IF(V24="喪","喪假",IF(AND(V24="/",OR($A24=日期輸入!$B$23,$A24=日期輸入!$C$23,$A24=日期輸入!$D$23,$A24=日期輸入!$E$23,$A24=日期輸入!$F$23)),"08-18水電科",IF(V24="大日","大隊值日(日)",IF(V24="大夜","大隊值日(夜)",IF(V24="值1","值1(早)",IF(V24="值1丙","值1(早) 丙案",IF(V24="值2","值2(中)",IF(V24="值2乙","值2(中) 乙案",IF(V24="夜值","夜值(晚)",IF(V24="甲夜","夜值(晚) 甲案",IF(V24="備","08-18",IF(OR(V24="支援秘書室",V24="支援出納室",V24="支援警務科",V24="支援事務股"),"支援總(大)隊",IF(V24="支援檢疫所","支援(其他)",IF(  V24="/","空班",  IF(  V24="丙",  "※ 丙案",  IF(  V24="丙常訓",  "※ 丙案 常訓",V24  )))))))))))))))))))))))))</f>
        <v/>
      </c>
      <c r="W64" s="271" t="str">
        <f>IF(W24="早","08-18",IF(W24="中","12-22",IF(W24="晚","22-08",IF(W24="X","輪休",IF(W24="公","公假",IF(OR(W24="病",W24="事"),"病(事)假",IF(OR(W24="婚",W24="產"),"婚(產)假",IF(W24="補","補休",IF(W24="休","休假",IF(W24="喪","喪假",IF(AND(W24="/",OR($A24=日期輸入!$B$23,$A24=日期輸入!$C$23,$A24=日期輸入!$D$23,$A24=日期輸入!$E$23,$A24=日期輸入!$F$23)),"08-18水電科",IF(W24="大日","大隊值日(日)",IF(W24="大夜","大隊值日(夜)",IF(W24="值1","值1(早)",IF(W24="值1丙","值1(早) 丙案",IF(W24="值2","值2(中)",IF(W24="值2乙","值2(中) 乙案",IF(W24="夜值","夜值(晚)",IF(W24="甲夜","夜值(晚) 甲案",IF(W24="備","08-18",IF(OR(W24="支援秘書室",W24="支援出納室",W24="支援警務科",W24="支援事務股"),"支援總(大)隊",IF(W24="支援檢疫所","支援(其他)",IF(  W24="/","空班",  IF(  W24="丙",  "※ 丙案",  IF(  W24="丙常訓",  "※ 丙案 常訓",W24  )))))))))))))))))))))))))</f>
        <v/>
      </c>
      <c r="X64" s="271" t="str">
        <f>IF(X24="早","08-18",IF(X24="中","12-22",IF(X24="晚","22-08",IF(X24="X","輪休",IF(X24="公","公假",IF(OR(X24="病",X24="事"),"病(事)假",IF(OR(X24="婚",X24="產"),"婚(產)假",IF(X24="補","補休",IF(X24="休","休假",IF(X24="喪","喪假",IF(AND(X24="/",OR($A24=日期輸入!$B$23,$A24=日期輸入!$C$23,$A24=日期輸入!$D$23,$A24=日期輸入!$E$23,$A24=日期輸入!$F$23)),"08-18水電科",IF(X24="大日","大隊值日(日)",IF(X24="大夜","大隊值日(夜)",IF(X24="值1","值1(早)",IF(X24="值1丙","值1(早) 丙案",IF(X24="值2","值2(中)",IF(X24="值2乙","值2(中) 乙案",IF(X24="夜值","夜值(晚)",IF(X24="甲夜","夜值(晚) 甲案",IF(X24="備","08-18",IF(OR(X24="支援秘書室",X24="支援出納室",X24="支援警務科",X24="支援事務股"),"支援總(大)隊",IF(X24="支援檢疫所","支援(其他)",IF(  X24="/","空班",  IF(  X24="丙",  "※ 丙案",  IF(  X24="丙常訓",  "※ 丙案 常訓",X24  )))))))))))))))))))))))))</f>
        <v/>
      </c>
      <c r="Y64" s="271" t="str">
        <f>IF(Y24="早","08-18",IF(Y24="中","12-22",IF(Y24="晚","22-08",IF(Y24="X","輪休",IF(Y24="公","公假",IF(OR(Y24="病",Y24="事"),"病(事)假",IF(OR(Y24="婚",Y24="產"),"婚(產)假",IF(Y24="補","補休",IF(Y24="休","休假",IF(Y24="喪","喪假",IF(AND(Y24="/",OR($A24=日期輸入!$B$23,$A24=日期輸入!$C$23,$A24=日期輸入!$D$23,$A24=日期輸入!$E$23,$A24=日期輸入!$F$23)),"08-18水電科",IF(Y24="大日","大隊值日(日)",IF(Y24="大夜","大隊值日(夜)",IF(Y24="值1","值1(早)",IF(Y24="值1丙","值1(早) 丙案",IF(Y24="值2","值2(中)",IF(Y24="值2乙","值2(中) 乙案",IF(Y24="夜值","夜值(晚)",IF(Y24="甲夜","夜值(晚) 甲案",IF(Y24="備","08-18",IF(OR(Y24="支援秘書室",Y24="支援出納室",Y24="支援警務科",Y24="支援事務股"),"支援總(大)隊",IF(Y24="支援檢疫所","支援(其他)",IF(  Y24="/","空班",  IF(  Y24="丙",  "※ 丙案",  IF(  Y24="丙常訓",  "※ 丙案 常訓",Y24  )))))))))))))))))))))))))</f>
        <v/>
      </c>
      <c r="Z64" s="271" t="str">
        <f>IF(Z24="早","08-18",IF(Z24="中","12-22",IF(Z24="晚","22-08",IF(Z24="X","輪休",IF(Z24="公","公假",IF(OR(Z24="病",Z24="事"),"病(事)假",IF(OR(Z24="婚",Z24="產"),"婚(產)假",IF(Z24="補","補休",IF(Z24="休","休假",IF(Z24="喪","喪假",IF(AND(Z24="/",OR($A24=日期輸入!$B$23,$A24=日期輸入!$C$23,$A24=日期輸入!$D$23,$A24=日期輸入!$E$23,$A24=日期輸入!$F$23)),"08-18水電科",IF(Z24="大日","大隊值日(日)",IF(Z24="大夜","大隊值日(夜)",IF(Z24="值1","值1(早)",IF(Z24="值1丙","值1(早) 丙案",IF(Z24="值2","值2(中)",IF(Z24="值2乙","值2(中) 乙案",IF(Z24="夜值","夜值(晚)",IF(Z24="甲夜","夜值(晚) 甲案",IF(Z24="備","08-18",IF(OR(Z24="支援秘書室",Z24="支援出納室",Z24="支援警務科",Z24="支援事務股"),"支援總(大)隊",IF(Z24="支援檢疫所","支援(其他)",IF(  Z24="/","空班",  IF(  Z24="丙",  "※ 丙案",  IF(  Z24="丙常訓",  "※ 丙案 常訓",Z24  )))))))))))))))))))))))))</f>
        <v/>
      </c>
      <c r="AA64" s="271" t="str">
        <f>IF(AA24="早","08-18",IF(AA24="中","12-22",IF(AA24="晚","22-08",IF(AA24="X","輪休",IF(AA24="公","公假",IF(OR(AA24="病",AA24="事"),"病(事)假",IF(OR(AA24="婚",AA24="產"),"婚(產)假",IF(AA24="補","補休",IF(AA24="休","休假",IF(AA24="喪","喪假",IF(AND(AA24="/",OR($A24=日期輸入!$B$23,$A24=日期輸入!$C$23,$A24=日期輸入!$D$23,$A24=日期輸入!$E$23,$A24=日期輸入!$F$23)),"08-18水電科",IF(AA24="大日","大隊值日(日)",IF(AA24="大夜","大隊值日(夜)",IF(AA24="值1","值1(早)",IF(AA24="值1丙","值1(早) 丙案",IF(AA24="值2","值2(中)",IF(AA24="值2乙","值2(中) 乙案",IF(AA24="夜值","夜值(晚)",IF(AA24="甲夜","夜值(晚) 甲案",IF(AA24="備","08-18",IF(OR(AA24="支援秘書室",AA24="支援出納室",AA24="支援警務科",AA24="支援事務股"),"支援總(大)隊",IF(AA24="支援檢疫所","支援(其他)",IF(  AA24="/","空班",  IF(  AA24="丙",  "※ 丙案",  IF(  AA24="丙常訓",  "※ 丙案 常訓",AA24  )))))))))))))))))))))))))</f>
        <v/>
      </c>
      <c r="AB64" s="271" t="str">
        <f>IF(AB24="早","08-18",IF(AB24="中","12-22",IF(AB24="晚","22-08",IF(AB24="X","輪休",IF(AB24="公","公假",IF(OR(AB24="病",AB24="事"),"病(事)假",IF(OR(AB24="婚",AB24="產"),"婚(產)假",IF(AB24="補","補休",IF(AB24="休","休假",IF(AB24="喪","喪假",IF(AND(AB24="/",OR($A24=日期輸入!$B$23,$A24=日期輸入!$C$23,$A24=日期輸入!$D$23,$A24=日期輸入!$E$23,$A24=日期輸入!$F$23)),"08-18水電科",IF(AB24="大日","大隊值日(日)",IF(AB24="大夜","大隊值日(夜)",IF(AB24="值1","值1(早)",IF(AB24="值1丙","值1(早) 丙案",IF(AB24="值2","值2(中)",IF(AB24="值2乙","值2(中) 乙案",IF(AB24="夜值","夜值(晚)",IF(AB24="甲夜","夜值(晚) 甲案",IF(AB24="備","08-18",IF(OR(AB24="支援秘書室",AB24="支援出納室",AB24="支援警務科",AB24="支援事務股"),"支援總(大)隊",IF(AB24="支援檢疫所","支援(其他)",IF(  AB24="/","空班",  IF(  AB24="丙",  "※ 丙案",  IF(  AB24="丙常訓",  "※ 丙案 常訓",AB24  )))))))))))))))))))))))))</f>
        <v/>
      </c>
      <c r="AC64" s="271" t="str">
        <f>IF(AC24="早","08-18",IF(AC24="中","12-22",IF(AC24="晚","22-08",IF(AC24="X","輪休",IF(AC24="公","公假",IF(OR(AC24="病",AC24="事"),"病(事)假",IF(OR(AC24="婚",AC24="產"),"婚(產)假",IF(AC24="補","補休",IF(AC24="休","休假",IF(AC24="喪","喪假",IF(AND(AC24="/",OR($A24=日期輸入!$B$23,$A24=日期輸入!$C$23,$A24=日期輸入!$D$23,$A24=日期輸入!$E$23,$A24=日期輸入!$F$23)),"08-18水電科",IF(AC24="大日","大隊值日(日)",IF(AC24="大夜","大隊值日(夜)",IF(AC24="值1","值1(早)",IF(AC24="值1丙","值1(早) 丙案",IF(AC24="值2","值2(中)",IF(AC24="值2乙","值2(中) 乙案",IF(AC24="夜值","夜值(晚)",IF(AC24="甲夜","夜值(晚) 甲案",IF(AC24="備","08-18",IF(OR(AC24="支援秘書室",AC24="支援出納室",AC24="支援警務科",AC24="支援事務股"),"支援總(大)隊",IF(AC24="支援檢疫所","支援(其他)",IF(  AC24="/","空班",  IF(  AC24="丙",  "※ 丙案",  IF(  AC24="丙常訓",  "※ 丙案 常訓",AC24  )))))))))))))))))))))))))</f>
        <v/>
      </c>
      <c r="AD64" s="271" t="str">
        <f>IF(AD24="早","08-18",IF(AD24="中","12-22",IF(AD24="晚","22-08",IF(AD24="X","輪休",IF(AD24="公","公假",IF(OR(AD24="病",AD24="事"),"病(事)假",IF(OR(AD24="婚",AD24="產"),"婚(產)假",IF(AD24="補","補休",IF(AD24="休","休假",IF(AD24="喪","喪假",IF(AND(AD24="/",OR($A24=日期輸入!$B$23,$A24=日期輸入!$C$23,$A24=日期輸入!$D$23,$A24=日期輸入!$E$23,$A24=日期輸入!$F$23)),"08-18水電科",IF(AD24="大日","大隊值日(日)",IF(AD24="大夜","大隊值日(夜)",IF(AD24="值1","值1(早)",IF(AD24="值1丙","值1(早) 丙案",IF(AD24="值2","值2(中)",IF(AD24="值2乙","值2(中) 乙案",IF(AD24="夜值","夜值(晚)",IF(AD24="甲夜","夜值(晚) 甲案",IF(AD24="備","08-18",IF(OR(AD24="支援秘書室",AD24="支援出納室",AD24="支援警務科",AD24="支援事務股"),"支援總(大)隊",IF(AD24="支援檢疫所","支援(其他)",IF(  AD24="/","空班",  IF(  AD24="丙",  "※ 丙案",  IF(  AD24="丙常訓",  "※ 丙案 常訓",AD24  )))))))))))))))))))))))))</f>
        <v/>
      </c>
      <c r="AE64" s="271" t="str">
        <f>IF(AE24="早","08-18",IF(AE24="中","12-22",IF(AE24="晚","22-08",IF(AE24="X","輪休",IF(AE24="公","公假",IF(OR(AE24="病",AE24="事"),"病(事)假",IF(OR(AE24="婚",AE24="產"),"婚(產)假",IF(AE24="補","補休",IF(AE24="休","休假",IF(AE24="喪","喪假",IF(AND(AE24="/",OR($A24=日期輸入!$B$23,$A24=日期輸入!$C$23,$A24=日期輸入!$D$23,$A24=日期輸入!$E$23,$A24=日期輸入!$F$23)),"08-18水電科",IF(AE24="大日","大隊值日(日)",IF(AE24="大夜","大隊值日(夜)",IF(AE24="值1","值1(早)",IF(AE24="值1丙","值1(早) 丙案",IF(AE24="值2","值2(中)",IF(AE24="值2乙","值2(中) 乙案",IF(AE24="夜值","夜值(晚)",IF(AE24="甲夜","夜值(晚) 甲案",IF(AE24="備","08-18",IF(OR(AE24="支援秘書室",AE24="支援出納室",AE24="支援警務科",AE24="支援事務股"),"支援總(大)隊",IF(AE24="支援檢疫所","支援(其他)",IF(  AE24="/","空班",  IF(  AE24="丙",  "※ 丙案",  IF(  AE24="丙常訓",  "※ 丙案 常訓",AE24  )))))))))))))))))))))))))</f>
        <v/>
      </c>
      <c r="AF64" s="271" t="str">
        <f>IF(AF24="早","08-18",IF(AF24="中","12-22",IF(AF24="晚","22-08",IF(AF24="X","輪休",IF(AF24="公","公假",IF(OR(AF24="病",AF24="事"),"病(事)假",IF(OR(AF24="婚",AF24="產"),"婚(產)假",IF(AF24="補","補休",IF(AF24="休","休假",IF(AF24="喪","喪假",IF(AND(AF24="/",OR($A24=日期輸入!$B$23,$A24=日期輸入!$C$23,$A24=日期輸入!$D$23,$A24=日期輸入!$E$23,$A24=日期輸入!$F$23)),"08-18水電科",IF(AF24="大日","大隊值日(日)",IF(AF24="大夜","大隊值日(夜)",IF(AF24="值1","值1(早)",IF(AF24="值1丙","值1(早) 丙案",IF(AF24="值2","值2(中)",IF(AF24="值2乙","值2(中) 乙案",IF(AF24="夜值","夜值(晚)",IF(AF24="甲夜","夜值(晚) 甲案",IF(AF24="備","08-18",IF(OR(AF24="支援秘書室",AF24="支援出納室",AF24="支援警務科",AF24="支援事務股"),"支援總(大)隊",IF(AF24="支援檢疫所","支援(其他)",IF(  AF24="/","空班",  IF(  AF24="丙",  "※ 丙案",  IF(  AF24="丙常訓",  "※ 丙案 常訓",AF24  )))))))))))))))))))))))))</f>
        <v/>
      </c>
      <c r="AG64" s="271" t="str">
        <f>IF(AG24="早","08-18",IF(AG24="中","12-22",IF(AG24="晚","22-08",IF(AG24="X","輪休",IF(AG24="公","公假",IF(OR(AG24="病",AG24="事"),"病(事)假",IF(OR(AG24="婚",AG24="產"),"婚(產)假",IF(AG24="補","補休",IF(AG24="休","休假",IF(AG24="喪","喪假",IF(AND(AG24="/",OR($A24=日期輸入!$B$23,$A24=日期輸入!$C$23,$A24=日期輸入!$D$23,$A24=日期輸入!$E$23,$A24=日期輸入!$F$23)),"08-18水電科",IF(AG24="大日","大隊值日(日)",IF(AG24="大夜","大隊值日(夜)",IF(AG24="值1","值1(早)",IF(AG24="值1丙","值1(早) 丙案",IF(AG24="值2","值2(中)",IF(AG24="值2乙","值2(中) 乙案",IF(AG24="夜值","夜值(晚)",IF(AG24="甲夜","夜值(晚) 甲案",IF(AG24="備","08-18",IF(OR(AG24="支援秘書室",AG24="支援出納室",AG24="支援警務科",AG24="支援事務股"),"支援總(大)隊",IF(AG24="支援檢疫所","支援(其他)",IF(  AG24="/","空班",  IF(  AG24="丙",  "※ 丙案",  IF(  AG24="丙常訓",  "※ 丙案 常訓",AG24  )))))))))))))))))))))))))</f>
        <v/>
      </c>
    </row>
    <row r="65" spans="1:33">
      <c r="A65" s="271" t="str">
        <f t="shared" ref="A65:B65" si="24">A25</f>
        <v/>
      </c>
      <c r="B65" s="271" t="str">
        <f t="shared" si="24"/>
        <v/>
      </c>
      <c r="C65" s="271" t="str">
        <f>IF(C25="早","08-18",IF(C25="中","12-22",IF(C25="晚","22-08",IF(C25="X","輪休",IF(C25="公","公假",IF(OR(C25="病",C25="事"),"病(事)假",IF(OR(C25="婚",C25="產"),"婚(產)假",IF(C25="補","補休",IF(C25="休","休假",IF(C25="喪","喪假",IF(AND(C25="/",OR($A25=日期輸入!$B$23,$A25=日期輸入!$C$23,$A25=日期輸入!$D$23,$A25=日期輸入!$E$23,$A25=日期輸入!$F$23)),"08-18水電科",IF(C25="大日","大隊值日(日)",IF(C25="大夜","大隊值日(夜)",IF(C25="值1","值1(早)",IF(C25="值1丙","值1(早) 丙案",IF(C25="值2","值2(中)",IF(C25="值2乙","值2(中) 乙案",IF(C25="夜值","夜值(晚)",IF(C25="甲夜","夜值(晚) 甲案",IF(C25="備","08-18",IF(OR(C25="支援秘書室",C25="支援出納室",C25="支援警務科",C25="支援事務股"),"支援總(大)隊",IF(C25="支援檢疫所","支援(其他)",IF(  C25="/","空班",  IF(  C25="丙",  "※ 丙案",  IF(  C25="丙常訓",  "※ 丙案 常訓",C25  )))))))))))))))))))))))))</f>
        <v/>
      </c>
      <c r="D65" s="271" t="str">
        <f>IF(D25="早","08-18",IF(D25="中","12-22",IF(D25="晚","22-08",IF(D25="X","輪休",IF(D25="公","公假",IF(OR(D25="病",D25="事"),"病(事)假",IF(OR(D25="婚",D25="產"),"婚(產)假",IF(D25="補","補休",IF(D25="休","休假",IF(D25="喪","喪假",IF(AND(D25="/",OR($A25=日期輸入!$B$23,$A25=日期輸入!$C$23,$A25=日期輸入!$D$23,$A25=日期輸入!$E$23,$A25=日期輸入!$F$23)),"08-18水電科",IF(D25="大日","大隊值日(日)",IF(D25="大夜","大隊值日(夜)",IF(D25="值1","值1(早)",IF(D25="值1丙","值1(早) 丙案",IF(D25="值2","值2(中)",IF(D25="值2乙","值2(中) 乙案",IF(D25="夜值","夜值(晚)",IF(D25="甲夜","夜值(晚) 甲案",IF(D25="備","08-18",IF(OR(D25="支援秘書室",D25="支援出納室",D25="支援警務科",D25="支援事務股"),"支援總(大)隊",IF(D25="支援檢疫所","支援(其他)",IF(  D25="/","空班",  IF(  D25="丙",  "※ 丙案",  IF(  D25="丙常訓",  "※ 丙案 常訓",D25  )))))))))))))))))))))))))</f>
        <v/>
      </c>
      <c r="E65" s="271" t="str">
        <f>IF(E25="早","08-18",IF(E25="中","12-22",IF(E25="晚","22-08",IF(E25="X","輪休",IF(E25="公","公假",IF(OR(E25="病",E25="事"),"病(事)假",IF(OR(E25="婚",E25="產"),"婚(產)假",IF(E25="補","補休",IF(E25="休","休假",IF(E25="喪","喪假",IF(AND(E25="/",OR($A25=日期輸入!$B$23,$A25=日期輸入!$C$23,$A25=日期輸入!$D$23,$A25=日期輸入!$E$23,$A25=日期輸入!$F$23)),"08-18水電科",IF(E25="大日","大隊值日(日)",IF(E25="大夜","大隊值日(夜)",IF(E25="值1","值1(早)",IF(E25="值1丙","值1(早) 丙案",IF(E25="值2","值2(中)",IF(E25="值2乙","值2(中) 乙案",IF(E25="夜值","夜值(晚)",IF(E25="甲夜","夜值(晚) 甲案",IF(E25="備","08-18",IF(OR(E25="支援秘書室",E25="支援出納室",E25="支援警務科",E25="支援事務股"),"支援總(大)隊",IF(E25="支援檢疫所","支援(其他)",IF(  E25="/","空班",  IF(  E25="丙",  "※ 丙案",  IF(  E25="丙常訓",  "※ 丙案 常訓",E25  )))))))))))))))))))))))))</f>
        <v/>
      </c>
      <c r="F65" s="271" t="str">
        <f>IF(F25="早","08-18",IF(F25="中","12-22",IF(F25="晚","22-08",IF(F25="X","輪休",IF(F25="公","公假",IF(OR(F25="病",F25="事"),"病(事)假",IF(OR(F25="婚",F25="產"),"婚(產)假",IF(F25="補","補休",IF(F25="休","休假",IF(F25="喪","喪假",IF(AND(F25="/",OR($A25=日期輸入!$B$23,$A25=日期輸入!$C$23,$A25=日期輸入!$D$23,$A25=日期輸入!$E$23,$A25=日期輸入!$F$23)),"08-18水電科",IF(F25="大日","大隊值日(日)",IF(F25="大夜","大隊值日(夜)",IF(F25="值1","值1(早)",IF(F25="值1丙","值1(早) 丙案",IF(F25="值2","值2(中)",IF(F25="值2乙","值2(中) 乙案",IF(F25="夜值","夜值(晚)",IF(F25="甲夜","夜值(晚) 甲案",IF(F25="備","08-18",IF(OR(F25="支援秘書室",F25="支援出納室",F25="支援警務科",F25="支援事務股"),"支援總(大)隊",IF(F25="支援檢疫所","支援(其他)",IF(  F25="/","空班",  IF(  F25="丙",  "※ 丙案",  IF(  F25="丙常訓",  "※ 丙案 常訓",F25  )))))))))))))))))))))))))</f>
        <v/>
      </c>
      <c r="G65" s="271" t="str">
        <f>IF(G25="早","08-18",IF(G25="中","12-22",IF(G25="晚","22-08",IF(G25="X","輪休",IF(G25="公","公假",IF(OR(G25="病",G25="事"),"病(事)假",IF(OR(G25="婚",G25="產"),"婚(產)假",IF(G25="補","補休",IF(G25="休","休假",IF(G25="喪","喪假",IF(AND(G25="/",OR($A25=日期輸入!$B$23,$A25=日期輸入!$C$23,$A25=日期輸入!$D$23,$A25=日期輸入!$E$23,$A25=日期輸入!$F$23)),"08-18水電科",IF(G25="大日","大隊值日(日)",IF(G25="大夜","大隊值日(夜)",IF(G25="值1","值1(早)",IF(G25="值1丙","值1(早) 丙案",IF(G25="值2","值2(中)",IF(G25="值2乙","值2(中) 乙案",IF(G25="夜值","夜值(晚)",IF(G25="甲夜","夜值(晚) 甲案",IF(G25="備","08-18",IF(OR(G25="支援秘書室",G25="支援出納室",G25="支援警務科",G25="支援事務股"),"支援總(大)隊",IF(G25="支援檢疫所","支援(其他)",IF(  G25="/","空班",  IF(  G25="丙",  "※ 丙案",  IF(  G25="丙常訓",  "※ 丙案 常訓",G25  )))))))))))))))))))))))))</f>
        <v/>
      </c>
      <c r="H65" s="271" t="str">
        <f>IF(H25="早","08-18",IF(H25="中","12-22",IF(H25="晚","22-08",IF(H25="X","輪休",IF(H25="公","公假",IF(OR(H25="病",H25="事"),"病(事)假",IF(OR(H25="婚",H25="產"),"婚(產)假",IF(H25="補","補休",IF(H25="休","休假",IF(H25="喪","喪假",IF(AND(H25="/",OR($A25=日期輸入!$B$23,$A25=日期輸入!$C$23,$A25=日期輸入!$D$23,$A25=日期輸入!$E$23,$A25=日期輸入!$F$23)),"08-18水電科",IF(H25="大日","大隊值日(日)",IF(H25="大夜","大隊值日(夜)",IF(H25="值1","值1(早)",IF(H25="值1丙","值1(早) 丙案",IF(H25="值2","值2(中)",IF(H25="值2乙","值2(中) 乙案",IF(H25="夜值","夜值(晚)",IF(H25="甲夜","夜值(晚) 甲案",IF(H25="備","08-18",IF(OR(H25="支援秘書室",H25="支援出納室",H25="支援警務科",H25="支援事務股"),"支援總(大)隊",IF(H25="支援檢疫所","支援(其他)",IF(  H25="/","空班",  IF(  H25="丙",  "※ 丙案",  IF(  H25="丙常訓",  "※ 丙案 常訓",H25  )))))))))))))))))))))))))</f>
        <v/>
      </c>
      <c r="I65" s="271" t="str">
        <f>IF(I25="早","08-18",IF(I25="中","12-22",IF(I25="晚","22-08",IF(I25="X","輪休",IF(I25="公","公假",IF(OR(I25="病",I25="事"),"病(事)假",IF(OR(I25="婚",I25="產"),"婚(產)假",IF(I25="補","補休",IF(I25="休","休假",IF(I25="喪","喪假",IF(AND(I25="/",OR($A25=日期輸入!$B$23,$A25=日期輸入!$C$23,$A25=日期輸入!$D$23,$A25=日期輸入!$E$23,$A25=日期輸入!$F$23)),"08-18水電科",IF(I25="大日","大隊值日(日)",IF(I25="大夜","大隊值日(夜)",IF(I25="值1","值1(早)",IF(I25="值1丙","值1(早) 丙案",IF(I25="值2","值2(中)",IF(I25="值2乙","值2(中) 乙案",IF(I25="夜值","夜值(晚)",IF(I25="甲夜","夜值(晚) 甲案",IF(I25="備","08-18",IF(OR(I25="支援秘書室",I25="支援出納室",I25="支援警務科",I25="支援事務股"),"支援總(大)隊",IF(I25="支援檢疫所","支援(其他)",IF(  I25="/","空班",  IF(  I25="丙",  "※ 丙案",  IF(  I25="丙常訓",  "※ 丙案 常訓",I25  )))))))))))))))))))))))))</f>
        <v/>
      </c>
      <c r="J65" s="271" t="str">
        <f>IF(J25="早","08-18",IF(J25="中","12-22",IF(J25="晚","22-08",IF(J25="X","輪休",IF(J25="公","公假",IF(OR(J25="病",J25="事"),"病(事)假",IF(OR(J25="婚",J25="產"),"婚(產)假",IF(J25="補","補休",IF(J25="休","休假",IF(J25="喪","喪假",IF(AND(J25="/",OR($A25=日期輸入!$B$23,$A25=日期輸入!$C$23,$A25=日期輸入!$D$23,$A25=日期輸入!$E$23,$A25=日期輸入!$F$23)),"08-18水電科",IF(J25="大日","大隊值日(日)",IF(J25="大夜","大隊值日(夜)",IF(J25="值1","值1(早)",IF(J25="值1丙","值1(早) 丙案",IF(J25="值2","值2(中)",IF(J25="值2乙","值2(中) 乙案",IF(J25="夜值","夜值(晚)",IF(J25="甲夜","夜值(晚) 甲案",IF(J25="備","08-18",IF(OR(J25="支援秘書室",J25="支援出納室",J25="支援警務科",J25="支援事務股"),"支援總(大)隊",IF(J25="支援檢疫所","支援(其他)",IF(  J25="/","空班",  IF(  J25="丙",  "※ 丙案",  IF(  J25="丙常訓",  "※ 丙案 常訓",J25  )))))))))))))))))))))))))</f>
        <v/>
      </c>
      <c r="K65" s="271" t="str">
        <f>IF(K25="早","08-18",IF(K25="中","12-22",IF(K25="晚","22-08",IF(K25="X","輪休",IF(K25="公","公假",IF(OR(K25="病",K25="事"),"病(事)假",IF(OR(K25="婚",K25="產"),"婚(產)假",IF(K25="補","補休",IF(K25="休","休假",IF(K25="喪","喪假",IF(AND(K25="/",OR($A25=日期輸入!$B$23,$A25=日期輸入!$C$23,$A25=日期輸入!$D$23,$A25=日期輸入!$E$23,$A25=日期輸入!$F$23)),"08-18水電科",IF(K25="大日","大隊值日(日)",IF(K25="大夜","大隊值日(夜)",IF(K25="值1","值1(早)",IF(K25="值1丙","值1(早) 丙案",IF(K25="值2","值2(中)",IF(K25="值2乙","值2(中) 乙案",IF(K25="夜值","夜值(晚)",IF(K25="甲夜","夜值(晚) 甲案",IF(K25="備","08-18",IF(OR(K25="支援秘書室",K25="支援出納室",K25="支援警務科",K25="支援事務股"),"支援總(大)隊",IF(K25="支援檢疫所","支援(其他)",IF(  K25="/","空班",  IF(  K25="丙",  "※ 丙案",  IF(  K25="丙常訓",  "※ 丙案 常訓",K25  )))))))))))))))))))))))))</f>
        <v/>
      </c>
      <c r="L65" s="271" t="str">
        <f>IF(L25="早","08-18",IF(L25="中","12-22",IF(L25="晚","22-08",IF(L25="X","輪休",IF(L25="公","公假",IF(OR(L25="病",L25="事"),"病(事)假",IF(OR(L25="婚",L25="產"),"婚(產)假",IF(L25="補","補休",IF(L25="休","休假",IF(L25="喪","喪假",IF(AND(L25="/",OR($A25=日期輸入!$B$23,$A25=日期輸入!$C$23,$A25=日期輸入!$D$23,$A25=日期輸入!$E$23,$A25=日期輸入!$F$23)),"08-18水電科",IF(L25="大日","大隊值日(日)",IF(L25="大夜","大隊值日(夜)",IF(L25="值1","值1(早)",IF(L25="值1丙","值1(早) 丙案",IF(L25="值2","值2(中)",IF(L25="值2乙","值2(中) 乙案",IF(L25="夜值","夜值(晚)",IF(L25="甲夜","夜值(晚) 甲案",IF(L25="備","08-18",IF(OR(L25="支援秘書室",L25="支援出納室",L25="支援警務科",L25="支援事務股"),"支援總(大)隊",IF(L25="支援檢疫所","支援(其他)",IF(  L25="/","空班",  IF(  L25="丙",  "※ 丙案",  IF(  L25="丙常訓",  "※ 丙案 常訓",L25  )))))))))))))))))))))))))</f>
        <v/>
      </c>
      <c r="M65" s="271" t="str">
        <f>IF(M25="早","08-18",IF(M25="中","12-22",IF(M25="晚","22-08",IF(M25="X","輪休",IF(M25="公","公假",IF(OR(M25="病",M25="事"),"病(事)假",IF(OR(M25="婚",M25="產"),"婚(產)假",IF(M25="補","補休",IF(M25="休","休假",IF(M25="喪","喪假",IF(AND(M25="/",OR($A25=日期輸入!$B$23,$A25=日期輸入!$C$23,$A25=日期輸入!$D$23,$A25=日期輸入!$E$23,$A25=日期輸入!$F$23)),"08-18水電科",IF(M25="大日","大隊值日(日)",IF(M25="大夜","大隊值日(夜)",IF(M25="值1","值1(早)",IF(M25="值1丙","值1(早) 丙案",IF(M25="值2","值2(中)",IF(M25="值2乙","值2(中) 乙案",IF(M25="夜值","夜值(晚)",IF(M25="甲夜","夜值(晚) 甲案",IF(M25="備","08-18",IF(OR(M25="支援秘書室",M25="支援出納室",M25="支援警務科",M25="支援事務股"),"支援總(大)隊",IF(M25="支援檢疫所","支援(其他)",IF(  M25="/","空班",  IF(  M25="丙",  "※ 丙案",  IF(  M25="丙常訓",  "※ 丙案 常訓",M25  )))))))))))))))))))))))))</f>
        <v/>
      </c>
      <c r="N65" s="271" t="str">
        <f>IF(N25="早","08-18",IF(N25="中","12-22",IF(N25="晚","22-08",IF(N25="X","輪休",IF(N25="公","公假",IF(OR(N25="病",N25="事"),"病(事)假",IF(OR(N25="婚",N25="產"),"婚(產)假",IF(N25="補","補休",IF(N25="休","休假",IF(N25="喪","喪假",IF(AND(N25="/",OR($A25=日期輸入!$B$23,$A25=日期輸入!$C$23,$A25=日期輸入!$D$23,$A25=日期輸入!$E$23,$A25=日期輸入!$F$23)),"08-18水電科",IF(N25="大日","大隊值日(日)",IF(N25="大夜","大隊值日(夜)",IF(N25="值1","值1(早)",IF(N25="值1丙","值1(早) 丙案",IF(N25="值2","值2(中)",IF(N25="值2乙","值2(中) 乙案",IF(N25="夜值","夜值(晚)",IF(N25="甲夜","夜值(晚) 甲案",IF(N25="備","08-18",IF(OR(N25="支援秘書室",N25="支援出納室",N25="支援警務科",N25="支援事務股"),"支援總(大)隊",IF(N25="支援檢疫所","支援(其他)",IF(  N25="/","空班",  IF(  N25="丙",  "※ 丙案",  IF(  N25="丙常訓",  "※ 丙案 常訓",N25  )))))))))))))))))))))))))</f>
        <v/>
      </c>
      <c r="O65" s="271" t="str">
        <f>IF(O25="早","08-18",IF(O25="中","12-22",IF(O25="晚","22-08",IF(O25="X","輪休",IF(O25="公","公假",IF(OR(O25="病",O25="事"),"病(事)假",IF(OR(O25="婚",O25="產"),"婚(產)假",IF(O25="補","補休",IF(O25="休","休假",IF(O25="喪","喪假",IF(AND(O25="/",OR($A25=日期輸入!$B$23,$A25=日期輸入!$C$23,$A25=日期輸入!$D$23,$A25=日期輸入!$E$23,$A25=日期輸入!$F$23)),"08-18水電科",IF(O25="大日","大隊值日(日)",IF(O25="大夜","大隊值日(夜)",IF(O25="值1","值1(早)",IF(O25="值1丙","值1(早) 丙案",IF(O25="值2","值2(中)",IF(O25="值2乙","值2(中) 乙案",IF(O25="夜值","夜值(晚)",IF(O25="甲夜","夜值(晚) 甲案",IF(O25="備","08-18",IF(OR(O25="支援秘書室",O25="支援出納室",O25="支援警務科",O25="支援事務股"),"支援總(大)隊",IF(O25="支援檢疫所","支援(其他)",IF(  O25="/","空班",  IF(  O25="丙",  "※ 丙案",  IF(  O25="丙常訓",  "※ 丙案 常訓",O25  )))))))))))))))))))))))))</f>
        <v/>
      </c>
      <c r="P65" s="271" t="str">
        <f>IF(P25="早","08-18",IF(P25="中","12-22",IF(P25="晚","22-08",IF(P25="X","輪休",IF(P25="公","公假",IF(OR(P25="病",P25="事"),"病(事)假",IF(OR(P25="婚",P25="產"),"婚(產)假",IF(P25="補","補休",IF(P25="休","休假",IF(P25="喪","喪假",IF(AND(P25="/",OR($A25=日期輸入!$B$23,$A25=日期輸入!$C$23,$A25=日期輸入!$D$23,$A25=日期輸入!$E$23,$A25=日期輸入!$F$23)),"08-18水電科",IF(P25="大日","大隊值日(日)",IF(P25="大夜","大隊值日(夜)",IF(P25="值1","值1(早)",IF(P25="值1丙","值1(早) 丙案",IF(P25="值2","值2(中)",IF(P25="值2乙","值2(中) 乙案",IF(P25="夜值","夜值(晚)",IF(P25="甲夜","夜值(晚) 甲案",IF(P25="備","08-18",IF(OR(P25="支援秘書室",P25="支援出納室",P25="支援警務科",P25="支援事務股"),"支援總(大)隊",IF(P25="支援檢疫所","支援(其他)",IF(  P25="/","空班",  IF(  P25="丙",  "※ 丙案",  IF(  P25="丙常訓",  "※ 丙案 常訓",P25  )))))))))))))))))))))))))</f>
        <v/>
      </c>
      <c r="Q65" s="271" t="str">
        <f>IF(Q25="早","08-18",IF(Q25="中","12-22",IF(Q25="晚","22-08",IF(Q25="X","輪休",IF(Q25="公","公假",IF(OR(Q25="病",Q25="事"),"病(事)假",IF(OR(Q25="婚",Q25="產"),"婚(產)假",IF(Q25="補","補休",IF(Q25="休","休假",IF(Q25="喪","喪假",IF(AND(Q25="/",OR($A25=日期輸入!$B$23,$A25=日期輸入!$C$23,$A25=日期輸入!$D$23,$A25=日期輸入!$E$23,$A25=日期輸入!$F$23)),"08-18水電科",IF(Q25="大日","大隊值日(日)",IF(Q25="大夜","大隊值日(夜)",IF(Q25="值1","值1(早)",IF(Q25="值1丙","值1(早) 丙案",IF(Q25="值2","值2(中)",IF(Q25="值2乙","值2(中) 乙案",IF(Q25="夜值","夜值(晚)",IF(Q25="甲夜","夜值(晚) 甲案",IF(Q25="備","08-18",IF(OR(Q25="支援秘書室",Q25="支援出納室",Q25="支援警務科",Q25="支援事務股"),"支援總(大)隊",IF(Q25="支援檢疫所","支援(其他)",IF(  Q25="/","空班",  IF(  Q25="丙",  "※ 丙案",  IF(  Q25="丙常訓",  "※ 丙案 常訓",Q25  )))))))))))))))))))))))))</f>
        <v/>
      </c>
      <c r="R65" s="271" t="str">
        <f>IF(R25="早","08-18",IF(R25="中","12-22",IF(R25="晚","22-08",IF(R25="X","輪休",IF(R25="公","公假",IF(OR(R25="病",R25="事"),"病(事)假",IF(OR(R25="婚",R25="產"),"婚(產)假",IF(R25="補","補休",IF(R25="休","休假",IF(R25="喪","喪假",IF(AND(R25="/",OR($A25=日期輸入!$B$23,$A25=日期輸入!$C$23,$A25=日期輸入!$D$23,$A25=日期輸入!$E$23,$A25=日期輸入!$F$23)),"08-18水電科",IF(R25="大日","大隊值日(日)",IF(R25="大夜","大隊值日(夜)",IF(R25="值1","值1(早)",IF(R25="值1丙","值1(早) 丙案",IF(R25="值2","值2(中)",IF(R25="值2乙","值2(中) 乙案",IF(R25="夜值","夜值(晚)",IF(R25="甲夜","夜值(晚) 甲案",IF(R25="備","08-18",IF(OR(R25="支援秘書室",R25="支援出納室",R25="支援警務科",R25="支援事務股"),"支援總(大)隊",IF(R25="支援檢疫所","支援(其他)",IF(  R25="/","空班",  IF(  R25="丙",  "※ 丙案",  IF(  R25="丙常訓",  "※ 丙案 常訓",R25  )))))))))))))))))))))))))</f>
        <v/>
      </c>
      <c r="S65" s="271" t="str">
        <f>IF(S25="早","08-18",IF(S25="中","12-22",IF(S25="晚","22-08",IF(S25="X","輪休",IF(S25="公","公假",IF(OR(S25="病",S25="事"),"病(事)假",IF(OR(S25="婚",S25="產"),"婚(產)假",IF(S25="補","補休",IF(S25="休","休假",IF(S25="喪","喪假",IF(AND(S25="/",OR($A25=日期輸入!$B$23,$A25=日期輸入!$C$23,$A25=日期輸入!$D$23,$A25=日期輸入!$E$23,$A25=日期輸入!$F$23)),"08-18水電科",IF(S25="大日","大隊值日(日)",IF(S25="大夜","大隊值日(夜)",IF(S25="值1","值1(早)",IF(S25="值1丙","值1(早) 丙案",IF(S25="值2","值2(中)",IF(S25="值2乙","值2(中) 乙案",IF(S25="夜值","夜值(晚)",IF(S25="甲夜","夜值(晚) 甲案",IF(S25="備","08-18",IF(OR(S25="支援秘書室",S25="支援出納室",S25="支援警務科",S25="支援事務股"),"支援總(大)隊",IF(S25="支援檢疫所","支援(其他)",IF(  S25="/","空班",  IF(  S25="丙",  "※ 丙案",  IF(  S25="丙常訓",  "※ 丙案 常訓",S25  )))))))))))))))))))))))))</f>
        <v/>
      </c>
      <c r="T65" s="271" t="str">
        <f>IF(T25="早","08-18",IF(T25="中","12-22",IF(T25="晚","22-08",IF(T25="X","輪休",IF(T25="公","公假",IF(OR(T25="病",T25="事"),"病(事)假",IF(OR(T25="婚",T25="產"),"婚(產)假",IF(T25="補","補休",IF(T25="休","休假",IF(T25="喪","喪假",IF(AND(T25="/",OR($A25=日期輸入!$B$23,$A25=日期輸入!$C$23,$A25=日期輸入!$D$23,$A25=日期輸入!$E$23,$A25=日期輸入!$F$23)),"08-18水電科",IF(T25="大日","大隊值日(日)",IF(T25="大夜","大隊值日(夜)",IF(T25="值1","值1(早)",IF(T25="值1丙","值1(早) 丙案",IF(T25="值2","值2(中)",IF(T25="值2乙","值2(中) 乙案",IF(T25="夜值","夜值(晚)",IF(T25="甲夜","夜值(晚) 甲案",IF(T25="備","08-18",IF(OR(T25="支援秘書室",T25="支援出納室",T25="支援警務科",T25="支援事務股"),"支援總(大)隊",IF(T25="支援檢疫所","支援(其他)",IF(  T25="/","空班",  IF(  T25="丙",  "※ 丙案",  IF(  T25="丙常訓",  "※ 丙案 常訓",T25  )))))))))))))))))))))))))</f>
        <v/>
      </c>
      <c r="U65" s="271" t="str">
        <f>IF(U25="早","08-18",IF(U25="中","12-22",IF(U25="晚","22-08",IF(U25="X","輪休",IF(U25="公","公假",IF(OR(U25="病",U25="事"),"病(事)假",IF(OR(U25="婚",U25="產"),"婚(產)假",IF(U25="補","補休",IF(U25="休","休假",IF(U25="喪","喪假",IF(AND(U25="/",OR($A25=日期輸入!$B$23,$A25=日期輸入!$C$23,$A25=日期輸入!$D$23,$A25=日期輸入!$E$23,$A25=日期輸入!$F$23)),"08-18水電科",IF(U25="大日","大隊值日(日)",IF(U25="大夜","大隊值日(夜)",IF(U25="值1","值1(早)",IF(U25="值1丙","值1(早) 丙案",IF(U25="值2","值2(中)",IF(U25="值2乙","值2(中) 乙案",IF(U25="夜值","夜值(晚)",IF(U25="甲夜","夜值(晚) 甲案",IF(U25="備","08-18",IF(OR(U25="支援秘書室",U25="支援出納室",U25="支援警務科",U25="支援事務股"),"支援總(大)隊",IF(U25="支援檢疫所","支援(其他)",IF(  U25="/","空班",  IF(  U25="丙",  "※ 丙案",  IF(  U25="丙常訓",  "※ 丙案 常訓",U25  )))))))))))))))))))))))))</f>
        <v/>
      </c>
      <c r="V65" s="271" t="str">
        <f>IF(V25="早","08-18",IF(V25="中","12-22",IF(V25="晚","22-08",IF(V25="X","輪休",IF(V25="公","公假",IF(OR(V25="病",V25="事"),"病(事)假",IF(OR(V25="婚",V25="產"),"婚(產)假",IF(V25="補","補休",IF(V25="休","休假",IF(V25="喪","喪假",IF(AND(V25="/",OR($A25=日期輸入!$B$23,$A25=日期輸入!$C$23,$A25=日期輸入!$D$23,$A25=日期輸入!$E$23,$A25=日期輸入!$F$23)),"08-18水電科",IF(V25="大日","大隊值日(日)",IF(V25="大夜","大隊值日(夜)",IF(V25="值1","值1(早)",IF(V25="值1丙","值1(早) 丙案",IF(V25="值2","值2(中)",IF(V25="值2乙","值2(中) 乙案",IF(V25="夜值","夜值(晚)",IF(V25="甲夜","夜值(晚) 甲案",IF(V25="備","08-18",IF(OR(V25="支援秘書室",V25="支援出納室",V25="支援警務科",V25="支援事務股"),"支援總(大)隊",IF(V25="支援檢疫所","支援(其他)",IF(  V25="/","空班",  IF(  V25="丙",  "※ 丙案",  IF(  V25="丙常訓",  "※ 丙案 常訓",V25  )))))))))))))))))))))))))</f>
        <v/>
      </c>
      <c r="W65" s="271" t="str">
        <f>IF(W25="早","08-18",IF(W25="中","12-22",IF(W25="晚","22-08",IF(W25="X","輪休",IF(W25="公","公假",IF(OR(W25="病",W25="事"),"病(事)假",IF(OR(W25="婚",W25="產"),"婚(產)假",IF(W25="補","補休",IF(W25="休","休假",IF(W25="喪","喪假",IF(AND(W25="/",OR($A25=日期輸入!$B$23,$A25=日期輸入!$C$23,$A25=日期輸入!$D$23,$A25=日期輸入!$E$23,$A25=日期輸入!$F$23)),"08-18水電科",IF(W25="大日","大隊值日(日)",IF(W25="大夜","大隊值日(夜)",IF(W25="值1","值1(早)",IF(W25="值1丙","值1(早) 丙案",IF(W25="值2","值2(中)",IF(W25="值2乙","值2(中) 乙案",IF(W25="夜值","夜值(晚)",IF(W25="甲夜","夜值(晚) 甲案",IF(W25="備","08-18",IF(OR(W25="支援秘書室",W25="支援出納室",W25="支援警務科",W25="支援事務股"),"支援總(大)隊",IF(W25="支援檢疫所","支援(其他)",IF(  W25="/","空班",  IF(  W25="丙",  "※ 丙案",  IF(  W25="丙常訓",  "※ 丙案 常訓",W25  )))))))))))))))))))))))))</f>
        <v/>
      </c>
      <c r="X65" s="271" t="str">
        <f>IF(X25="早","08-18",IF(X25="中","12-22",IF(X25="晚","22-08",IF(X25="X","輪休",IF(X25="公","公假",IF(OR(X25="病",X25="事"),"病(事)假",IF(OR(X25="婚",X25="產"),"婚(產)假",IF(X25="補","補休",IF(X25="休","休假",IF(X25="喪","喪假",IF(AND(X25="/",OR($A25=日期輸入!$B$23,$A25=日期輸入!$C$23,$A25=日期輸入!$D$23,$A25=日期輸入!$E$23,$A25=日期輸入!$F$23)),"08-18水電科",IF(X25="大日","大隊值日(日)",IF(X25="大夜","大隊值日(夜)",IF(X25="值1","值1(早)",IF(X25="值1丙","值1(早) 丙案",IF(X25="值2","值2(中)",IF(X25="值2乙","值2(中) 乙案",IF(X25="夜值","夜值(晚)",IF(X25="甲夜","夜值(晚) 甲案",IF(X25="備","08-18",IF(OR(X25="支援秘書室",X25="支援出納室",X25="支援警務科",X25="支援事務股"),"支援總(大)隊",IF(X25="支援檢疫所","支援(其他)",IF(  X25="/","空班",  IF(  X25="丙",  "※ 丙案",  IF(  X25="丙常訓",  "※ 丙案 常訓",X25  )))))))))))))))))))))))))</f>
        <v/>
      </c>
      <c r="Y65" s="271" t="str">
        <f>IF(Y25="早","08-18",IF(Y25="中","12-22",IF(Y25="晚","22-08",IF(Y25="X","輪休",IF(Y25="公","公假",IF(OR(Y25="病",Y25="事"),"病(事)假",IF(OR(Y25="婚",Y25="產"),"婚(產)假",IF(Y25="補","補休",IF(Y25="休","休假",IF(Y25="喪","喪假",IF(AND(Y25="/",OR($A25=日期輸入!$B$23,$A25=日期輸入!$C$23,$A25=日期輸入!$D$23,$A25=日期輸入!$E$23,$A25=日期輸入!$F$23)),"08-18水電科",IF(Y25="大日","大隊值日(日)",IF(Y25="大夜","大隊值日(夜)",IF(Y25="值1","值1(早)",IF(Y25="值1丙","值1(早) 丙案",IF(Y25="值2","值2(中)",IF(Y25="值2乙","值2(中) 乙案",IF(Y25="夜值","夜值(晚)",IF(Y25="甲夜","夜值(晚) 甲案",IF(Y25="備","08-18",IF(OR(Y25="支援秘書室",Y25="支援出納室",Y25="支援警務科",Y25="支援事務股"),"支援總(大)隊",IF(Y25="支援檢疫所","支援(其他)",IF(  Y25="/","空班",  IF(  Y25="丙",  "※ 丙案",  IF(  Y25="丙常訓",  "※ 丙案 常訓",Y25  )))))))))))))))))))))))))</f>
        <v/>
      </c>
      <c r="Z65" s="271" t="str">
        <f>IF(Z25="早","08-18",IF(Z25="中","12-22",IF(Z25="晚","22-08",IF(Z25="X","輪休",IF(Z25="公","公假",IF(OR(Z25="病",Z25="事"),"病(事)假",IF(OR(Z25="婚",Z25="產"),"婚(產)假",IF(Z25="補","補休",IF(Z25="休","休假",IF(Z25="喪","喪假",IF(AND(Z25="/",OR($A25=日期輸入!$B$23,$A25=日期輸入!$C$23,$A25=日期輸入!$D$23,$A25=日期輸入!$E$23,$A25=日期輸入!$F$23)),"08-18水電科",IF(Z25="大日","大隊值日(日)",IF(Z25="大夜","大隊值日(夜)",IF(Z25="值1","值1(早)",IF(Z25="值1丙","值1(早) 丙案",IF(Z25="值2","值2(中)",IF(Z25="值2乙","值2(中) 乙案",IF(Z25="夜值","夜值(晚)",IF(Z25="甲夜","夜值(晚) 甲案",IF(Z25="備","08-18",IF(OR(Z25="支援秘書室",Z25="支援出納室",Z25="支援警務科",Z25="支援事務股"),"支援總(大)隊",IF(Z25="支援檢疫所","支援(其他)",IF(  Z25="/","空班",  IF(  Z25="丙",  "※ 丙案",  IF(  Z25="丙常訓",  "※ 丙案 常訓",Z25  )))))))))))))))))))))))))</f>
        <v/>
      </c>
      <c r="AA65" s="271" t="str">
        <f>IF(AA25="早","08-18",IF(AA25="中","12-22",IF(AA25="晚","22-08",IF(AA25="X","輪休",IF(AA25="公","公假",IF(OR(AA25="病",AA25="事"),"病(事)假",IF(OR(AA25="婚",AA25="產"),"婚(產)假",IF(AA25="補","補休",IF(AA25="休","休假",IF(AA25="喪","喪假",IF(AND(AA25="/",OR($A25=日期輸入!$B$23,$A25=日期輸入!$C$23,$A25=日期輸入!$D$23,$A25=日期輸入!$E$23,$A25=日期輸入!$F$23)),"08-18水電科",IF(AA25="大日","大隊值日(日)",IF(AA25="大夜","大隊值日(夜)",IF(AA25="值1","值1(早)",IF(AA25="值1丙","值1(早) 丙案",IF(AA25="值2","值2(中)",IF(AA25="值2乙","值2(中) 乙案",IF(AA25="夜值","夜值(晚)",IF(AA25="甲夜","夜值(晚) 甲案",IF(AA25="備","08-18",IF(OR(AA25="支援秘書室",AA25="支援出納室",AA25="支援警務科",AA25="支援事務股"),"支援總(大)隊",IF(AA25="支援檢疫所","支援(其他)",IF(  AA25="/","空班",  IF(  AA25="丙",  "※ 丙案",  IF(  AA25="丙常訓",  "※ 丙案 常訓",AA25  )))))))))))))))))))))))))</f>
        <v/>
      </c>
      <c r="AB65" s="271" t="str">
        <f>IF(AB25="早","08-18",IF(AB25="中","12-22",IF(AB25="晚","22-08",IF(AB25="X","輪休",IF(AB25="公","公假",IF(OR(AB25="病",AB25="事"),"病(事)假",IF(OR(AB25="婚",AB25="產"),"婚(產)假",IF(AB25="補","補休",IF(AB25="休","休假",IF(AB25="喪","喪假",IF(AND(AB25="/",OR($A25=日期輸入!$B$23,$A25=日期輸入!$C$23,$A25=日期輸入!$D$23,$A25=日期輸入!$E$23,$A25=日期輸入!$F$23)),"08-18水電科",IF(AB25="大日","大隊值日(日)",IF(AB25="大夜","大隊值日(夜)",IF(AB25="值1","值1(早)",IF(AB25="值1丙","值1(早) 丙案",IF(AB25="值2","值2(中)",IF(AB25="值2乙","值2(中) 乙案",IF(AB25="夜值","夜值(晚)",IF(AB25="甲夜","夜值(晚) 甲案",IF(AB25="備","08-18",IF(OR(AB25="支援秘書室",AB25="支援出納室",AB25="支援警務科",AB25="支援事務股"),"支援總(大)隊",IF(AB25="支援檢疫所","支援(其他)",IF(  AB25="/","空班",  IF(  AB25="丙",  "※ 丙案",  IF(  AB25="丙常訓",  "※ 丙案 常訓",AB25  )))))))))))))))))))))))))</f>
        <v/>
      </c>
      <c r="AC65" s="271" t="str">
        <f>IF(AC25="早","08-18",IF(AC25="中","12-22",IF(AC25="晚","22-08",IF(AC25="X","輪休",IF(AC25="公","公假",IF(OR(AC25="病",AC25="事"),"病(事)假",IF(OR(AC25="婚",AC25="產"),"婚(產)假",IF(AC25="補","補休",IF(AC25="休","休假",IF(AC25="喪","喪假",IF(AND(AC25="/",OR($A25=日期輸入!$B$23,$A25=日期輸入!$C$23,$A25=日期輸入!$D$23,$A25=日期輸入!$E$23,$A25=日期輸入!$F$23)),"08-18水電科",IF(AC25="大日","大隊值日(日)",IF(AC25="大夜","大隊值日(夜)",IF(AC25="值1","值1(早)",IF(AC25="值1丙","值1(早) 丙案",IF(AC25="值2","值2(中)",IF(AC25="值2乙","值2(中) 乙案",IF(AC25="夜值","夜值(晚)",IF(AC25="甲夜","夜值(晚) 甲案",IF(AC25="備","08-18",IF(OR(AC25="支援秘書室",AC25="支援出納室",AC25="支援警務科",AC25="支援事務股"),"支援總(大)隊",IF(AC25="支援檢疫所","支援(其他)",IF(  AC25="/","空班",  IF(  AC25="丙",  "※ 丙案",  IF(  AC25="丙常訓",  "※ 丙案 常訓",AC25  )))))))))))))))))))))))))</f>
        <v/>
      </c>
      <c r="AD65" s="271" t="str">
        <f>IF(AD25="早","08-18",IF(AD25="中","12-22",IF(AD25="晚","22-08",IF(AD25="X","輪休",IF(AD25="公","公假",IF(OR(AD25="病",AD25="事"),"病(事)假",IF(OR(AD25="婚",AD25="產"),"婚(產)假",IF(AD25="補","補休",IF(AD25="休","休假",IF(AD25="喪","喪假",IF(AND(AD25="/",OR($A25=日期輸入!$B$23,$A25=日期輸入!$C$23,$A25=日期輸入!$D$23,$A25=日期輸入!$E$23,$A25=日期輸入!$F$23)),"08-18水電科",IF(AD25="大日","大隊值日(日)",IF(AD25="大夜","大隊值日(夜)",IF(AD25="值1","值1(早)",IF(AD25="值1丙","值1(早) 丙案",IF(AD25="值2","值2(中)",IF(AD25="值2乙","值2(中) 乙案",IF(AD25="夜值","夜值(晚)",IF(AD25="甲夜","夜值(晚) 甲案",IF(AD25="備","08-18",IF(OR(AD25="支援秘書室",AD25="支援出納室",AD25="支援警務科",AD25="支援事務股"),"支援總(大)隊",IF(AD25="支援檢疫所","支援(其他)",IF(  AD25="/","空班",  IF(  AD25="丙",  "※ 丙案",  IF(  AD25="丙常訓",  "※ 丙案 常訓",AD25  )))))))))))))))))))))))))</f>
        <v/>
      </c>
      <c r="AE65" s="271" t="str">
        <f>IF(AE25="早","08-18",IF(AE25="中","12-22",IF(AE25="晚","22-08",IF(AE25="X","輪休",IF(AE25="公","公假",IF(OR(AE25="病",AE25="事"),"病(事)假",IF(OR(AE25="婚",AE25="產"),"婚(產)假",IF(AE25="補","補休",IF(AE25="休","休假",IF(AE25="喪","喪假",IF(AND(AE25="/",OR($A25=日期輸入!$B$23,$A25=日期輸入!$C$23,$A25=日期輸入!$D$23,$A25=日期輸入!$E$23,$A25=日期輸入!$F$23)),"08-18水電科",IF(AE25="大日","大隊值日(日)",IF(AE25="大夜","大隊值日(夜)",IF(AE25="值1","值1(早)",IF(AE25="值1丙","值1(早) 丙案",IF(AE25="值2","值2(中)",IF(AE25="值2乙","值2(中) 乙案",IF(AE25="夜值","夜值(晚)",IF(AE25="甲夜","夜值(晚) 甲案",IF(AE25="備","08-18",IF(OR(AE25="支援秘書室",AE25="支援出納室",AE25="支援警務科",AE25="支援事務股"),"支援總(大)隊",IF(AE25="支援檢疫所","支援(其他)",IF(  AE25="/","空班",  IF(  AE25="丙",  "※ 丙案",  IF(  AE25="丙常訓",  "※ 丙案 常訓",AE25  )))))))))))))))))))))))))</f>
        <v/>
      </c>
      <c r="AF65" s="271" t="str">
        <f>IF(AF25="早","08-18",IF(AF25="中","12-22",IF(AF25="晚","22-08",IF(AF25="X","輪休",IF(AF25="公","公假",IF(OR(AF25="病",AF25="事"),"病(事)假",IF(OR(AF25="婚",AF25="產"),"婚(產)假",IF(AF25="補","補休",IF(AF25="休","休假",IF(AF25="喪","喪假",IF(AND(AF25="/",OR($A25=日期輸入!$B$23,$A25=日期輸入!$C$23,$A25=日期輸入!$D$23,$A25=日期輸入!$E$23,$A25=日期輸入!$F$23)),"08-18水電科",IF(AF25="大日","大隊值日(日)",IF(AF25="大夜","大隊值日(夜)",IF(AF25="值1","值1(早)",IF(AF25="值1丙","值1(早) 丙案",IF(AF25="值2","值2(中)",IF(AF25="值2乙","值2(中) 乙案",IF(AF25="夜值","夜值(晚)",IF(AF25="甲夜","夜值(晚) 甲案",IF(AF25="備","08-18",IF(OR(AF25="支援秘書室",AF25="支援出納室",AF25="支援警務科",AF25="支援事務股"),"支援總(大)隊",IF(AF25="支援檢疫所","支援(其他)",IF(  AF25="/","空班",  IF(  AF25="丙",  "※ 丙案",  IF(  AF25="丙常訓",  "※ 丙案 常訓",AF25  )))))))))))))))))))))))))</f>
        <v/>
      </c>
      <c r="AG65" s="271" t="str">
        <f>IF(AG25="早","08-18",IF(AG25="中","12-22",IF(AG25="晚","22-08",IF(AG25="X","輪休",IF(AG25="公","公假",IF(OR(AG25="病",AG25="事"),"病(事)假",IF(OR(AG25="婚",AG25="產"),"婚(產)假",IF(AG25="補","補休",IF(AG25="休","休假",IF(AG25="喪","喪假",IF(AND(AG25="/",OR($A25=日期輸入!$B$23,$A25=日期輸入!$C$23,$A25=日期輸入!$D$23,$A25=日期輸入!$E$23,$A25=日期輸入!$F$23)),"08-18水電科",IF(AG25="大日","大隊值日(日)",IF(AG25="大夜","大隊值日(夜)",IF(AG25="值1","值1(早)",IF(AG25="值1丙","值1(早) 丙案",IF(AG25="值2","值2(中)",IF(AG25="值2乙","值2(中) 乙案",IF(AG25="夜值","夜值(晚)",IF(AG25="甲夜","夜值(晚) 甲案",IF(AG25="備","08-18",IF(OR(AG25="支援秘書室",AG25="支援出納室",AG25="支援警務科",AG25="支援事務股"),"支援總(大)隊",IF(AG25="支援檢疫所","支援(其他)",IF(  AG25="/","空班",  IF(  AG25="丙",  "※ 丙案",  IF(  AG25="丙常訓",  "※ 丙案 常訓",AG25  )))))))))))))))))))))))))</f>
        <v/>
      </c>
    </row>
    <row r="66" spans="1:33">
      <c r="A66" s="271" t="str">
        <f t="shared" ref="A66:B66" si="25">A26</f>
        <v/>
      </c>
      <c r="B66" s="271" t="str">
        <f t="shared" si="25"/>
        <v/>
      </c>
      <c r="C66" s="271" t="str">
        <f>IF(C26="早","08-18",IF(C26="中","12-22",IF(C26="晚","22-08",IF(C26="X","輪休",IF(C26="公","公假",IF(OR(C26="病",C26="事"),"病(事)假",IF(OR(C26="婚",C26="產"),"婚(產)假",IF(C26="補","補休",IF(C26="休","休假",IF(C26="喪","喪假",IF(AND(C26="/",OR($A26=日期輸入!$B$23,$A26=日期輸入!$C$23,$A26=日期輸入!$D$23,$A26=日期輸入!$E$23,$A26=日期輸入!$F$23)),"08-18水電科",IF(C26="大日","大隊值日(日)",IF(C26="大夜","大隊值日(夜)",IF(C26="值1","值1(早)",IF(C26="值1丙","值1(早) 丙案",IF(C26="值2","值2(中)",IF(C26="值2乙","值2(中) 乙案",IF(C26="夜值","夜值(晚)",IF(C26="甲夜","夜值(晚) 甲案",IF(C26="備","08-18",IF(OR(C26="支援秘書室",C26="支援出納室",C26="支援警務科",C26="支援事務股"),"支援總(大)隊",IF(C26="支援檢疫所","支援(其他)",IF(  C26="/","空班",  IF(  C26="丙",  "※ 丙案",  IF(  C26="丙常訓",  "※ 丙案 常訓",C26  )))))))))))))))))))))))))</f>
        <v/>
      </c>
      <c r="D66" s="271" t="str">
        <f>IF(D26="早","08-18",IF(D26="中","12-22",IF(D26="晚","22-08",IF(D26="X","輪休",IF(D26="公","公假",IF(OR(D26="病",D26="事"),"病(事)假",IF(OR(D26="婚",D26="產"),"婚(產)假",IF(D26="補","補休",IF(D26="休","休假",IF(D26="喪","喪假",IF(AND(D26="/",OR($A26=日期輸入!$B$23,$A26=日期輸入!$C$23,$A26=日期輸入!$D$23,$A26=日期輸入!$E$23,$A26=日期輸入!$F$23)),"08-18水電科",IF(D26="大日","大隊值日(日)",IF(D26="大夜","大隊值日(夜)",IF(D26="值1","值1(早)",IF(D26="值1丙","值1(早) 丙案",IF(D26="值2","值2(中)",IF(D26="值2乙","值2(中) 乙案",IF(D26="夜值","夜值(晚)",IF(D26="甲夜","夜值(晚) 甲案",IF(D26="備","08-18",IF(OR(D26="支援秘書室",D26="支援出納室",D26="支援警務科",D26="支援事務股"),"支援總(大)隊",IF(D26="支援檢疫所","支援(其他)",IF(  D26="/","空班",  IF(  D26="丙",  "※ 丙案",  IF(  D26="丙常訓",  "※ 丙案 常訓",D26  )))))))))))))))))))))))))</f>
        <v/>
      </c>
      <c r="E66" s="271" t="str">
        <f>IF(E26="早","08-18",IF(E26="中","12-22",IF(E26="晚","22-08",IF(E26="X","輪休",IF(E26="公","公假",IF(OR(E26="病",E26="事"),"病(事)假",IF(OR(E26="婚",E26="產"),"婚(產)假",IF(E26="補","補休",IF(E26="休","休假",IF(E26="喪","喪假",IF(AND(E26="/",OR($A26=日期輸入!$B$23,$A26=日期輸入!$C$23,$A26=日期輸入!$D$23,$A26=日期輸入!$E$23,$A26=日期輸入!$F$23)),"08-18水電科",IF(E26="大日","大隊值日(日)",IF(E26="大夜","大隊值日(夜)",IF(E26="值1","值1(早)",IF(E26="值1丙","值1(早) 丙案",IF(E26="值2","值2(中)",IF(E26="值2乙","值2(中) 乙案",IF(E26="夜值","夜值(晚)",IF(E26="甲夜","夜值(晚) 甲案",IF(E26="備","08-18",IF(OR(E26="支援秘書室",E26="支援出納室",E26="支援警務科",E26="支援事務股"),"支援總(大)隊",IF(E26="支援檢疫所","支援(其他)",IF(  E26="/","空班",  IF(  E26="丙",  "※ 丙案",  IF(  E26="丙常訓",  "※ 丙案 常訓",E26  )))))))))))))))))))))))))</f>
        <v/>
      </c>
      <c r="F66" s="271" t="str">
        <f>IF(F26="早","08-18",IF(F26="中","12-22",IF(F26="晚","22-08",IF(F26="X","輪休",IF(F26="公","公假",IF(OR(F26="病",F26="事"),"病(事)假",IF(OR(F26="婚",F26="產"),"婚(產)假",IF(F26="補","補休",IF(F26="休","休假",IF(F26="喪","喪假",IF(AND(F26="/",OR($A26=日期輸入!$B$23,$A26=日期輸入!$C$23,$A26=日期輸入!$D$23,$A26=日期輸入!$E$23,$A26=日期輸入!$F$23)),"08-18水電科",IF(F26="大日","大隊值日(日)",IF(F26="大夜","大隊值日(夜)",IF(F26="值1","值1(早)",IF(F26="值1丙","值1(早) 丙案",IF(F26="值2","值2(中)",IF(F26="值2乙","值2(中) 乙案",IF(F26="夜值","夜值(晚)",IF(F26="甲夜","夜值(晚) 甲案",IF(F26="備","08-18",IF(OR(F26="支援秘書室",F26="支援出納室",F26="支援警務科",F26="支援事務股"),"支援總(大)隊",IF(F26="支援檢疫所","支援(其他)",IF(  F26="/","空班",  IF(  F26="丙",  "※ 丙案",  IF(  F26="丙常訓",  "※ 丙案 常訓",F26  )))))))))))))))))))))))))</f>
        <v/>
      </c>
      <c r="G66" s="271" t="str">
        <f>IF(G26="早","08-18",IF(G26="中","12-22",IF(G26="晚","22-08",IF(G26="X","輪休",IF(G26="公","公假",IF(OR(G26="病",G26="事"),"病(事)假",IF(OR(G26="婚",G26="產"),"婚(產)假",IF(G26="補","補休",IF(G26="休","休假",IF(G26="喪","喪假",IF(AND(G26="/",OR($A26=日期輸入!$B$23,$A26=日期輸入!$C$23,$A26=日期輸入!$D$23,$A26=日期輸入!$E$23,$A26=日期輸入!$F$23)),"08-18水電科",IF(G26="大日","大隊值日(日)",IF(G26="大夜","大隊值日(夜)",IF(G26="值1","值1(早)",IF(G26="值1丙","值1(早) 丙案",IF(G26="值2","值2(中)",IF(G26="值2乙","值2(中) 乙案",IF(G26="夜值","夜值(晚)",IF(G26="甲夜","夜值(晚) 甲案",IF(G26="備","08-18",IF(OR(G26="支援秘書室",G26="支援出納室",G26="支援警務科",G26="支援事務股"),"支援總(大)隊",IF(G26="支援檢疫所","支援(其他)",IF(  G26="/","空班",  IF(  G26="丙",  "※ 丙案",  IF(  G26="丙常訓",  "※ 丙案 常訓",G26  )))))))))))))))))))))))))</f>
        <v/>
      </c>
      <c r="H66" s="271" t="str">
        <f>IF(H26="早","08-18",IF(H26="中","12-22",IF(H26="晚","22-08",IF(H26="X","輪休",IF(H26="公","公假",IF(OR(H26="病",H26="事"),"病(事)假",IF(OR(H26="婚",H26="產"),"婚(產)假",IF(H26="補","補休",IF(H26="休","休假",IF(H26="喪","喪假",IF(AND(H26="/",OR($A26=日期輸入!$B$23,$A26=日期輸入!$C$23,$A26=日期輸入!$D$23,$A26=日期輸入!$E$23,$A26=日期輸入!$F$23)),"08-18水電科",IF(H26="大日","大隊值日(日)",IF(H26="大夜","大隊值日(夜)",IF(H26="值1","值1(早)",IF(H26="值1丙","值1(早) 丙案",IF(H26="值2","值2(中)",IF(H26="值2乙","值2(中) 乙案",IF(H26="夜值","夜值(晚)",IF(H26="甲夜","夜值(晚) 甲案",IF(H26="備","08-18",IF(OR(H26="支援秘書室",H26="支援出納室",H26="支援警務科",H26="支援事務股"),"支援總(大)隊",IF(H26="支援檢疫所","支援(其他)",IF(  H26="/","空班",  IF(  H26="丙",  "※ 丙案",  IF(  H26="丙常訓",  "※ 丙案 常訓",H26  )))))))))))))))))))))))))</f>
        <v/>
      </c>
      <c r="I66" s="271" t="str">
        <f>IF(I26="早","08-18",IF(I26="中","12-22",IF(I26="晚","22-08",IF(I26="X","輪休",IF(I26="公","公假",IF(OR(I26="病",I26="事"),"病(事)假",IF(OR(I26="婚",I26="產"),"婚(產)假",IF(I26="補","補休",IF(I26="休","休假",IF(I26="喪","喪假",IF(AND(I26="/",OR($A26=日期輸入!$B$23,$A26=日期輸入!$C$23,$A26=日期輸入!$D$23,$A26=日期輸入!$E$23,$A26=日期輸入!$F$23)),"08-18水電科",IF(I26="大日","大隊值日(日)",IF(I26="大夜","大隊值日(夜)",IF(I26="值1","值1(早)",IF(I26="值1丙","值1(早) 丙案",IF(I26="值2","值2(中)",IF(I26="值2乙","值2(中) 乙案",IF(I26="夜值","夜值(晚)",IF(I26="甲夜","夜值(晚) 甲案",IF(I26="備","08-18",IF(OR(I26="支援秘書室",I26="支援出納室",I26="支援警務科",I26="支援事務股"),"支援總(大)隊",IF(I26="支援檢疫所","支援(其他)",IF(  I26="/","空班",  IF(  I26="丙",  "※ 丙案",  IF(  I26="丙常訓",  "※ 丙案 常訓",I26  )))))))))))))))))))))))))</f>
        <v/>
      </c>
      <c r="J66" s="271" t="str">
        <f>IF(J26="早","08-18",IF(J26="中","12-22",IF(J26="晚","22-08",IF(J26="X","輪休",IF(J26="公","公假",IF(OR(J26="病",J26="事"),"病(事)假",IF(OR(J26="婚",J26="產"),"婚(產)假",IF(J26="補","補休",IF(J26="休","休假",IF(J26="喪","喪假",IF(AND(J26="/",OR($A26=日期輸入!$B$23,$A26=日期輸入!$C$23,$A26=日期輸入!$D$23,$A26=日期輸入!$E$23,$A26=日期輸入!$F$23)),"08-18水電科",IF(J26="大日","大隊值日(日)",IF(J26="大夜","大隊值日(夜)",IF(J26="值1","值1(早)",IF(J26="值1丙","值1(早) 丙案",IF(J26="值2","值2(中)",IF(J26="值2乙","值2(中) 乙案",IF(J26="夜值","夜值(晚)",IF(J26="甲夜","夜值(晚) 甲案",IF(J26="備","08-18",IF(OR(J26="支援秘書室",J26="支援出納室",J26="支援警務科",J26="支援事務股"),"支援總(大)隊",IF(J26="支援檢疫所","支援(其他)",IF(  J26="/","空班",  IF(  J26="丙",  "※ 丙案",  IF(  J26="丙常訓",  "※ 丙案 常訓",J26  )))))))))))))))))))))))))</f>
        <v/>
      </c>
      <c r="K66" s="271" t="str">
        <f>IF(K26="早","08-18",IF(K26="中","12-22",IF(K26="晚","22-08",IF(K26="X","輪休",IF(K26="公","公假",IF(OR(K26="病",K26="事"),"病(事)假",IF(OR(K26="婚",K26="產"),"婚(產)假",IF(K26="補","補休",IF(K26="休","休假",IF(K26="喪","喪假",IF(AND(K26="/",OR($A26=日期輸入!$B$23,$A26=日期輸入!$C$23,$A26=日期輸入!$D$23,$A26=日期輸入!$E$23,$A26=日期輸入!$F$23)),"08-18水電科",IF(K26="大日","大隊值日(日)",IF(K26="大夜","大隊值日(夜)",IF(K26="值1","值1(早)",IF(K26="值1丙","值1(早) 丙案",IF(K26="值2","值2(中)",IF(K26="值2乙","值2(中) 乙案",IF(K26="夜值","夜值(晚)",IF(K26="甲夜","夜值(晚) 甲案",IF(K26="備","08-18",IF(OR(K26="支援秘書室",K26="支援出納室",K26="支援警務科",K26="支援事務股"),"支援總(大)隊",IF(K26="支援檢疫所","支援(其他)",IF(  K26="/","空班",  IF(  K26="丙",  "※ 丙案",  IF(  K26="丙常訓",  "※ 丙案 常訓",K26  )))))))))))))))))))))))))</f>
        <v/>
      </c>
      <c r="L66" s="271" t="str">
        <f>IF(L26="早","08-18",IF(L26="中","12-22",IF(L26="晚","22-08",IF(L26="X","輪休",IF(L26="公","公假",IF(OR(L26="病",L26="事"),"病(事)假",IF(OR(L26="婚",L26="產"),"婚(產)假",IF(L26="補","補休",IF(L26="休","休假",IF(L26="喪","喪假",IF(AND(L26="/",OR($A26=日期輸入!$B$23,$A26=日期輸入!$C$23,$A26=日期輸入!$D$23,$A26=日期輸入!$E$23,$A26=日期輸入!$F$23)),"08-18水電科",IF(L26="大日","大隊值日(日)",IF(L26="大夜","大隊值日(夜)",IF(L26="值1","值1(早)",IF(L26="值1丙","值1(早) 丙案",IF(L26="值2","值2(中)",IF(L26="值2乙","值2(中) 乙案",IF(L26="夜值","夜值(晚)",IF(L26="甲夜","夜值(晚) 甲案",IF(L26="備","08-18",IF(OR(L26="支援秘書室",L26="支援出納室",L26="支援警務科",L26="支援事務股"),"支援總(大)隊",IF(L26="支援檢疫所","支援(其他)",IF(  L26="/","空班",  IF(  L26="丙",  "※ 丙案",  IF(  L26="丙常訓",  "※ 丙案 常訓",L26  )))))))))))))))))))))))))</f>
        <v/>
      </c>
      <c r="M66" s="271" t="str">
        <f>IF(M26="早","08-18",IF(M26="中","12-22",IF(M26="晚","22-08",IF(M26="X","輪休",IF(M26="公","公假",IF(OR(M26="病",M26="事"),"病(事)假",IF(OR(M26="婚",M26="產"),"婚(產)假",IF(M26="補","補休",IF(M26="休","休假",IF(M26="喪","喪假",IF(AND(M26="/",OR($A26=日期輸入!$B$23,$A26=日期輸入!$C$23,$A26=日期輸入!$D$23,$A26=日期輸入!$E$23,$A26=日期輸入!$F$23)),"08-18水電科",IF(M26="大日","大隊值日(日)",IF(M26="大夜","大隊值日(夜)",IF(M26="值1","值1(早)",IF(M26="值1丙","值1(早) 丙案",IF(M26="值2","值2(中)",IF(M26="值2乙","值2(中) 乙案",IF(M26="夜值","夜值(晚)",IF(M26="甲夜","夜值(晚) 甲案",IF(M26="備","08-18",IF(OR(M26="支援秘書室",M26="支援出納室",M26="支援警務科",M26="支援事務股"),"支援總(大)隊",IF(M26="支援檢疫所","支援(其他)",IF(  M26="/","空班",  IF(  M26="丙",  "※ 丙案",  IF(  M26="丙常訓",  "※ 丙案 常訓",M26  )))))))))))))))))))))))))</f>
        <v/>
      </c>
      <c r="N66" s="271" t="str">
        <f>IF(N26="早","08-18",IF(N26="中","12-22",IF(N26="晚","22-08",IF(N26="X","輪休",IF(N26="公","公假",IF(OR(N26="病",N26="事"),"病(事)假",IF(OR(N26="婚",N26="產"),"婚(產)假",IF(N26="補","補休",IF(N26="休","休假",IF(N26="喪","喪假",IF(AND(N26="/",OR($A26=日期輸入!$B$23,$A26=日期輸入!$C$23,$A26=日期輸入!$D$23,$A26=日期輸入!$E$23,$A26=日期輸入!$F$23)),"08-18水電科",IF(N26="大日","大隊值日(日)",IF(N26="大夜","大隊值日(夜)",IF(N26="值1","值1(早)",IF(N26="值1丙","值1(早) 丙案",IF(N26="值2","值2(中)",IF(N26="值2乙","值2(中) 乙案",IF(N26="夜值","夜值(晚)",IF(N26="甲夜","夜值(晚) 甲案",IF(N26="備","08-18",IF(OR(N26="支援秘書室",N26="支援出納室",N26="支援警務科",N26="支援事務股"),"支援總(大)隊",IF(N26="支援檢疫所","支援(其他)",IF(  N26="/","空班",  IF(  N26="丙",  "※ 丙案",  IF(  N26="丙常訓",  "※ 丙案 常訓",N26  )))))))))))))))))))))))))</f>
        <v/>
      </c>
      <c r="O66" s="271" t="str">
        <f>IF(O26="早","08-18",IF(O26="中","12-22",IF(O26="晚","22-08",IF(O26="X","輪休",IF(O26="公","公假",IF(OR(O26="病",O26="事"),"病(事)假",IF(OR(O26="婚",O26="產"),"婚(產)假",IF(O26="補","補休",IF(O26="休","休假",IF(O26="喪","喪假",IF(AND(O26="/",OR($A26=日期輸入!$B$23,$A26=日期輸入!$C$23,$A26=日期輸入!$D$23,$A26=日期輸入!$E$23,$A26=日期輸入!$F$23)),"08-18水電科",IF(O26="大日","大隊值日(日)",IF(O26="大夜","大隊值日(夜)",IF(O26="值1","值1(早)",IF(O26="值1丙","值1(早) 丙案",IF(O26="值2","值2(中)",IF(O26="值2乙","值2(中) 乙案",IF(O26="夜值","夜值(晚)",IF(O26="甲夜","夜值(晚) 甲案",IF(O26="備","08-18",IF(OR(O26="支援秘書室",O26="支援出納室",O26="支援警務科",O26="支援事務股"),"支援總(大)隊",IF(O26="支援檢疫所","支援(其他)",IF(  O26="/","空班",  IF(  O26="丙",  "※ 丙案",  IF(  O26="丙常訓",  "※ 丙案 常訓",O26  )))))))))))))))))))))))))</f>
        <v/>
      </c>
      <c r="P66" s="271" t="str">
        <f>IF(P26="早","08-18",IF(P26="中","12-22",IF(P26="晚","22-08",IF(P26="X","輪休",IF(P26="公","公假",IF(OR(P26="病",P26="事"),"病(事)假",IF(OR(P26="婚",P26="產"),"婚(產)假",IF(P26="補","補休",IF(P26="休","休假",IF(P26="喪","喪假",IF(AND(P26="/",OR($A26=日期輸入!$B$23,$A26=日期輸入!$C$23,$A26=日期輸入!$D$23,$A26=日期輸入!$E$23,$A26=日期輸入!$F$23)),"08-18水電科",IF(P26="大日","大隊值日(日)",IF(P26="大夜","大隊值日(夜)",IF(P26="值1","值1(早)",IF(P26="值1丙","值1(早) 丙案",IF(P26="值2","值2(中)",IF(P26="值2乙","值2(中) 乙案",IF(P26="夜值","夜值(晚)",IF(P26="甲夜","夜值(晚) 甲案",IF(P26="備","08-18",IF(OR(P26="支援秘書室",P26="支援出納室",P26="支援警務科",P26="支援事務股"),"支援總(大)隊",IF(P26="支援檢疫所","支援(其他)",IF(  P26="/","空班",  IF(  P26="丙",  "※ 丙案",  IF(  P26="丙常訓",  "※ 丙案 常訓",P26  )))))))))))))))))))))))))</f>
        <v/>
      </c>
      <c r="Q66" s="271" t="str">
        <f>IF(Q26="早","08-18",IF(Q26="中","12-22",IF(Q26="晚","22-08",IF(Q26="X","輪休",IF(Q26="公","公假",IF(OR(Q26="病",Q26="事"),"病(事)假",IF(OR(Q26="婚",Q26="產"),"婚(產)假",IF(Q26="補","補休",IF(Q26="休","休假",IF(Q26="喪","喪假",IF(AND(Q26="/",OR($A26=日期輸入!$B$23,$A26=日期輸入!$C$23,$A26=日期輸入!$D$23,$A26=日期輸入!$E$23,$A26=日期輸入!$F$23)),"08-18水電科",IF(Q26="大日","大隊值日(日)",IF(Q26="大夜","大隊值日(夜)",IF(Q26="值1","值1(早)",IF(Q26="值1丙","值1(早) 丙案",IF(Q26="值2","值2(中)",IF(Q26="值2乙","值2(中) 乙案",IF(Q26="夜值","夜值(晚)",IF(Q26="甲夜","夜值(晚) 甲案",IF(Q26="備","08-18",IF(OR(Q26="支援秘書室",Q26="支援出納室",Q26="支援警務科",Q26="支援事務股"),"支援總(大)隊",IF(Q26="支援檢疫所","支援(其他)",IF(  Q26="/","空班",  IF(  Q26="丙",  "※ 丙案",  IF(  Q26="丙常訓",  "※ 丙案 常訓",Q26  )))))))))))))))))))))))))</f>
        <v/>
      </c>
      <c r="R66" s="271" t="str">
        <f>IF(R26="早","08-18",IF(R26="中","12-22",IF(R26="晚","22-08",IF(R26="X","輪休",IF(R26="公","公假",IF(OR(R26="病",R26="事"),"病(事)假",IF(OR(R26="婚",R26="產"),"婚(產)假",IF(R26="補","補休",IF(R26="休","休假",IF(R26="喪","喪假",IF(AND(R26="/",OR($A26=日期輸入!$B$23,$A26=日期輸入!$C$23,$A26=日期輸入!$D$23,$A26=日期輸入!$E$23,$A26=日期輸入!$F$23)),"08-18水電科",IF(R26="大日","大隊值日(日)",IF(R26="大夜","大隊值日(夜)",IF(R26="值1","值1(早)",IF(R26="值1丙","值1(早) 丙案",IF(R26="值2","值2(中)",IF(R26="值2乙","值2(中) 乙案",IF(R26="夜值","夜值(晚)",IF(R26="甲夜","夜值(晚) 甲案",IF(R26="備","08-18",IF(OR(R26="支援秘書室",R26="支援出納室",R26="支援警務科",R26="支援事務股"),"支援總(大)隊",IF(R26="支援檢疫所","支援(其他)",IF(  R26="/","空班",  IF(  R26="丙",  "※ 丙案",  IF(  R26="丙常訓",  "※ 丙案 常訓",R26  )))))))))))))))))))))))))</f>
        <v/>
      </c>
      <c r="S66" s="271" t="str">
        <f>IF(S26="早","08-18",IF(S26="中","12-22",IF(S26="晚","22-08",IF(S26="X","輪休",IF(S26="公","公假",IF(OR(S26="病",S26="事"),"病(事)假",IF(OR(S26="婚",S26="產"),"婚(產)假",IF(S26="補","補休",IF(S26="休","休假",IF(S26="喪","喪假",IF(AND(S26="/",OR($A26=日期輸入!$B$23,$A26=日期輸入!$C$23,$A26=日期輸入!$D$23,$A26=日期輸入!$E$23,$A26=日期輸入!$F$23)),"08-18水電科",IF(S26="大日","大隊值日(日)",IF(S26="大夜","大隊值日(夜)",IF(S26="值1","值1(早)",IF(S26="值1丙","值1(早) 丙案",IF(S26="值2","值2(中)",IF(S26="值2乙","值2(中) 乙案",IF(S26="夜值","夜值(晚)",IF(S26="甲夜","夜值(晚) 甲案",IF(S26="備","08-18",IF(OR(S26="支援秘書室",S26="支援出納室",S26="支援警務科",S26="支援事務股"),"支援總(大)隊",IF(S26="支援檢疫所","支援(其他)",IF(  S26="/","空班",  IF(  S26="丙",  "※ 丙案",  IF(  S26="丙常訓",  "※ 丙案 常訓",S26  )))))))))))))))))))))))))</f>
        <v/>
      </c>
      <c r="T66" s="271" t="str">
        <f>IF(T26="早","08-18",IF(T26="中","12-22",IF(T26="晚","22-08",IF(T26="X","輪休",IF(T26="公","公假",IF(OR(T26="病",T26="事"),"病(事)假",IF(OR(T26="婚",T26="產"),"婚(產)假",IF(T26="補","補休",IF(T26="休","休假",IF(T26="喪","喪假",IF(AND(T26="/",OR($A26=日期輸入!$B$23,$A26=日期輸入!$C$23,$A26=日期輸入!$D$23,$A26=日期輸入!$E$23,$A26=日期輸入!$F$23)),"08-18水電科",IF(T26="大日","大隊值日(日)",IF(T26="大夜","大隊值日(夜)",IF(T26="值1","值1(早)",IF(T26="值1丙","值1(早) 丙案",IF(T26="值2","值2(中)",IF(T26="值2乙","值2(中) 乙案",IF(T26="夜值","夜值(晚)",IF(T26="甲夜","夜值(晚) 甲案",IF(T26="備","08-18",IF(OR(T26="支援秘書室",T26="支援出納室",T26="支援警務科",T26="支援事務股"),"支援總(大)隊",IF(T26="支援檢疫所","支援(其他)",IF(  T26="/","空班",  IF(  T26="丙",  "※ 丙案",  IF(  T26="丙常訓",  "※ 丙案 常訓",T26  )))))))))))))))))))))))))</f>
        <v/>
      </c>
      <c r="U66" s="271" t="str">
        <f>IF(U26="早","08-18",IF(U26="中","12-22",IF(U26="晚","22-08",IF(U26="X","輪休",IF(U26="公","公假",IF(OR(U26="病",U26="事"),"病(事)假",IF(OR(U26="婚",U26="產"),"婚(產)假",IF(U26="補","補休",IF(U26="休","休假",IF(U26="喪","喪假",IF(AND(U26="/",OR($A26=日期輸入!$B$23,$A26=日期輸入!$C$23,$A26=日期輸入!$D$23,$A26=日期輸入!$E$23,$A26=日期輸入!$F$23)),"08-18水電科",IF(U26="大日","大隊值日(日)",IF(U26="大夜","大隊值日(夜)",IF(U26="值1","值1(早)",IF(U26="值1丙","值1(早) 丙案",IF(U26="值2","值2(中)",IF(U26="值2乙","值2(中) 乙案",IF(U26="夜值","夜值(晚)",IF(U26="甲夜","夜值(晚) 甲案",IF(U26="備","08-18",IF(OR(U26="支援秘書室",U26="支援出納室",U26="支援警務科",U26="支援事務股"),"支援總(大)隊",IF(U26="支援檢疫所","支援(其他)",IF(  U26="/","空班",  IF(  U26="丙",  "※ 丙案",  IF(  U26="丙常訓",  "※ 丙案 常訓",U26  )))))))))))))))))))))))))</f>
        <v/>
      </c>
      <c r="V66" s="271" t="str">
        <f>IF(V26="早","08-18",IF(V26="中","12-22",IF(V26="晚","22-08",IF(V26="X","輪休",IF(V26="公","公假",IF(OR(V26="病",V26="事"),"病(事)假",IF(OR(V26="婚",V26="產"),"婚(產)假",IF(V26="補","補休",IF(V26="休","休假",IF(V26="喪","喪假",IF(AND(V26="/",OR($A26=日期輸入!$B$23,$A26=日期輸入!$C$23,$A26=日期輸入!$D$23,$A26=日期輸入!$E$23,$A26=日期輸入!$F$23)),"08-18水電科",IF(V26="大日","大隊值日(日)",IF(V26="大夜","大隊值日(夜)",IF(V26="值1","值1(早)",IF(V26="值1丙","值1(早) 丙案",IF(V26="值2","值2(中)",IF(V26="值2乙","值2(中) 乙案",IF(V26="夜值","夜值(晚)",IF(V26="甲夜","夜值(晚) 甲案",IF(V26="備","08-18",IF(OR(V26="支援秘書室",V26="支援出納室",V26="支援警務科",V26="支援事務股"),"支援總(大)隊",IF(V26="支援檢疫所","支援(其他)",IF(  V26="/","空班",  IF(  V26="丙",  "※ 丙案",  IF(  V26="丙常訓",  "※ 丙案 常訓",V26  )))))))))))))))))))))))))</f>
        <v/>
      </c>
      <c r="W66" s="271" t="str">
        <f>IF(W26="早","08-18",IF(W26="中","12-22",IF(W26="晚","22-08",IF(W26="X","輪休",IF(W26="公","公假",IF(OR(W26="病",W26="事"),"病(事)假",IF(OR(W26="婚",W26="產"),"婚(產)假",IF(W26="補","補休",IF(W26="休","休假",IF(W26="喪","喪假",IF(AND(W26="/",OR($A26=日期輸入!$B$23,$A26=日期輸入!$C$23,$A26=日期輸入!$D$23,$A26=日期輸入!$E$23,$A26=日期輸入!$F$23)),"08-18水電科",IF(W26="大日","大隊值日(日)",IF(W26="大夜","大隊值日(夜)",IF(W26="值1","值1(早)",IF(W26="值1丙","值1(早) 丙案",IF(W26="值2","值2(中)",IF(W26="值2乙","值2(中) 乙案",IF(W26="夜值","夜值(晚)",IF(W26="甲夜","夜值(晚) 甲案",IF(W26="備","08-18",IF(OR(W26="支援秘書室",W26="支援出納室",W26="支援警務科",W26="支援事務股"),"支援總(大)隊",IF(W26="支援檢疫所","支援(其他)",IF(  W26="/","空班",  IF(  W26="丙",  "※ 丙案",  IF(  W26="丙常訓",  "※ 丙案 常訓",W26  )))))))))))))))))))))))))</f>
        <v/>
      </c>
      <c r="X66" s="271" t="str">
        <f>IF(X26="早","08-18",IF(X26="中","12-22",IF(X26="晚","22-08",IF(X26="X","輪休",IF(X26="公","公假",IF(OR(X26="病",X26="事"),"病(事)假",IF(OR(X26="婚",X26="產"),"婚(產)假",IF(X26="補","補休",IF(X26="休","休假",IF(X26="喪","喪假",IF(AND(X26="/",OR($A26=日期輸入!$B$23,$A26=日期輸入!$C$23,$A26=日期輸入!$D$23,$A26=日期輸入!$E$23,$A26=日期輸入!$F$23)),"08-18水電科",IF(X26="大日","大隊值日(日)",IF(X26="大夜","大隊值日(夜)",IF(X26="值1","值1(早)",IF(X26="值1丙","值1(早) 丙案",IF(X26="值2","值2(中)",IF(X26="值2乙","值2(中) 乙案",IF(X26="夜值","夜值(晚)",IF(X26="甲夜","夜值(晚) 甲案",IF(X26="備","08-18",IF(OR(X26="支援秘書室",X26="支援出納室",X26="支援警務科",X26="支援事務股"),"支援總(大)隊",IF(X26="支援檢疫所","支援(其他)",IF(  X26="/","空班",  IF(  X26="丙",  "※ 丙案",  IF(  X26="丙常訓",  "※ 丙案 常訓",X26  )))))))))))))))))))))))))</f>
        <v/>
      </c>
      <c r="Y66" s="271" t="str">
        <f>IF(Y26="早","08-18",IF(Y26="中","12-22",IF(Y26="晚","22-08",IF(Y26="X","輪休",IF(Y26="公","公假",IF(OR(Y26="病",Y26="事"),"病(事)假",IF(OR(Y26="婚",Y26="產"),"婚(產)假",IF(Y26="補","補休",IF(Y26="休","休假",IF(Y26="喪","喪假",IF(AND(Y26="/",OR($A26=日期輸入!$B$23,$A26=日期輸入!$C$23,$A26=日期輸入!$D$23,$A26=日期輸入!$E$23,$A26=日期輸入!$F$23)),"08-18水電科",IF(Y26="大日","大隊值日(日)",IF(Y26="大夜","大隊值日(夜)",IF(Y26="值1","值1(早)",IF(Y26="值1丙","值1(早) 丙案",IF(Y26="值2","值2(中)",IF(Y26="值2乙","值2(中) 乙案",IF(Y26="夜值","夜值(晚)",IF(Y26="甲夜","夜值(晚) 甲案",IF(Y26="備","08-18",IF(OR(Y26="支援秘書室",Y26="支援出納室",Y26="支援警務科",Y26="支援事務股"),"支援總(大)隊",IF(Y26="支援檢疫所","支援(其他)",IF(  Y26="/","空班",  IF(  Y26="丙",  "※ 丙案",  IF(  Y26="丙常訓",  "※ 丙案 常訓",Y26  )))))))))))))))))))))))))</f>
        <v/>
      </c>
      <c r="Z66" s="271" t="str">
        <f>IF(Z26="早","08-18",IF(Z26="中","12-22",IF(Z26="晚","22-08",IF(Z26="X","輪休",IF(Z26="公","公假",IF(OR(Z26="病",Z26="事"),"病(事)假",IF(OR(Z26="婚",Z26="產"),"婚(產)假",IF(Z26="補","補休",IF(Z26="休","休假",IF(Z26="喪","喪假",IF(AND(Z26="/",OR($A26=日期輸入!$B$23,$A26=日期輸入!$C$23,$A26=日期輸入!$D$23,$A26=日期輸入!$E$23,$A26=日期輸入!$F$23)),"08-18水電科",IF(Z26="大日","大隊值日(日)",IF(Z26="大夜","大隊值日(夜)",IF(Z26="值1","值1(早)",IF(Z26="值1丙","值1(早) 丙案",IF(Z26="值2","值2(中)",IF(Z26="值2乙","值2(中) 乙案",IF(Z26="夜值","夜值(晚)",IF(Z26="甲夜","夜值(晚) 甲案",IF(Z26="備","08-18",IF(OR(Z26="支援秘書室",Z26="支援出納室",Z26="支援警務科",Z26="支援事務股"),"支援總(大)隊",IF(Z26="支援檢疫所","支援(其他)",IF(  Z26="/","空班",  IF(  Z26="丙",  "※ 丙案",  IF(  Z26="丙常訓",  "※ 丙案 常訓",Z26  )))))))))))))))))))))))))</f>
        <v/>
      </c>
      <c r="AA66" s="271" t="str">
        <f>IF(AA26="早","08-18",IF(AA26="中","12-22",IF(AA26="晚","22-08",IF(AA26="X","輪休",IF(AA26="公","公假",IF(OR(AA26="病",AA26="事"),"病(事)假",IF(OR(AA26="婚",AA26="產"),"婚(產)假",IF(AA26="補","補休",IF(AA26="休","休假",IF(AA26="喪","喪假",IF(AND(AA26="/",OR($A26=日期輸入!$B$23,$A26=日期輸入!$C$23,$A26=日期輸入!$D$23,$A26=日期輸入!$E$23,$A26=日期輸入!$F$23)),"08-18水電科",IF(AA26="大日","大隊值日(日)",IF(AA26="大夜","大隊值日(夜)",IF(AA26="值1","值1(早)",IF(AA26="值1丙","值1(早) 丙案",IF(AA26="值2","值2(中)",IF(AA26="值2乙","值2(中) 乙案",IF(AA26="夜值","夜值(晚)",IF(AA26="甲夜","夜值(晚) 甲案",IF(AA26="備","08-18",IF(OR(AA26="支援秘書室",AA26="支援出納室",AA26="支援警務科",AA26="支援事務股"),"支援總(大)隊",IF(AA26="支援檢疫所","支援(其他)",IF(  AA26="/","空班",  IF(  AA26="丙",  "※ 丙案",  IF(  AA26="丙常訓",  "※ 丙案 常訓",AA26  )))))))))))))))))))))))))</f>
        <v/>
      </c>
      <c r="AB66" s="271" t="str">
        <f>IF(AB26="早","08-18",IF(AB26="中","12-22",IF(AB26="晚","22-08",IF(AB26="X","輪休",IF(AB26="公","公假",IF(OR(AB26="病",AB26="事"),"病(事)假",IF(OR(AB26="婚",AB26="產"),"婚(產)假",IF(AB26="補","補休",IF(AB26="休","休假",IF(AB26="喪","喪假",IF(AND(AB26="/",OR($A26=日期輸入!$B$23,$A26=日期輸入!$C$23,$A26=日期輸入!$D$23,$A26=日期輸入!$E$23,$A26=日期輸入!$F$23)),"08-18水電科",IF(AB26="大日","大隊值日(日)",IF(AB26="大夜","大隊值日(夜)",IF(AB26="值1","值1(早)",IF(AB26="值1丙","值1(早) 丙案",IF(AB26="值2","值2(中)",IF(AB26="值2乙","值2(中) 乙案",IF(AB26="夜值","夜值(晚)",IF(AB26="甲夜","夜值(晚) 甲案",IF(AB26="備","08-18",IF(OR(AB26="支援秘書室",AB26="支援出納室",AB26="支援警務科",AB26="支援事務股"),"支援總(大)隊",IF(AB26="支援檢疫所","支援(其他)",IF(  AB26="/","空班",  IF(  AB26="丙",  "※ 丙案",  IF(  AB26="丙常訓",  "※ 丙案 常訓",AB26  )))))))))))))))))))))))))</f>
        <v/>
      </c>
      <c r="AC66" s="271" t="str">
        <f>IF(AC26="早","08-18",IF(AC26="中","12-22",IF(AC26="晚","22-08",IF(AC26="X","輪休",IF(AC26="公","公假",IF(OR(AC26="病",AC26="事"),"病(事)假",IF(OR(AC26="婚",AC26="產"),"婚(產)假",IF(AC26="補","補休",IF(AC26="休","休假",IF(AC26="喪","喪假",IF(AND(AC26="/",OR($A26=日期輸入!$B$23,$A26=日期輸入!$C$23,$A26=日期輸入!$D$23,$A26=日期輸入!$E$23,$A26=日期輸入!$F$23)),"08-18水電科",IF(AC26="大日","大隊值日(日)",IF(AC26="大夜","大隊值日(夜)",IF(AC26="值1","值1(早)",IF(AC26="值1丙","值1(早) 丙案",IF(AC26="值2","值2(中)",IF(AC26="值2乙","值2(中) 乙案",IF(AC26="夜值","夜值(晚)",IF(AC26="甲夜","夜值(晚) 甲案",IF(AC26="備","08-18",IF(OR(AC26="支援秘書室",AC26="支援出納室",AC26="支援警務科",AC26="支援事務股"),"支援總(大)隊",IF(AC26="支援檢疫所","支援(其他)",IF(  AC26="/","空班",  IF(  AC26="丙",  "※ 丙案",  IF(  AC26="丙常訓",  "※ 丙案 常訓",AC26  )))))))))))))))))))))))))</f>
        <v/>
      </c>
      <c r="AD66" s="271" t="str">
        <f>IF(AD26="早","08-18",IF(AD26="中","12-22",IF(AD26="晚","22-08",IF(AD26="X","輪休",IF(AD26="公","公假",IF(OR(AD26="病",AD26="事"),"病(事)假",IF(OR(AD26="婚",AD26="產"),"婚(產)假",IF(AD26="補","補休",IF(AD26="休","休假",IF(AD26="喪","喪假",IF(AND(AD26="/",OR($A26=日期輸入!$B$23,$A26=日期輸入!$C$23,$A26=日期輸入!$D$23,$A26=日期輸入!$E$23,$A26=日期輸入!$F$23)),"08-18水電科",IF(AD26="大日","大隊值日(日)",IF(AD26="大夜","大隊值日(夜)",IF(AD26="值1","值1(早)",IF(AD26="值1丙","值1(早) 丙案",IF(AD26="值2","值2(中)",IF(AD26="值2乙","值2(中) 乙案",IF(AD26="夜值","夜值(晚)",IF(AD26="甲夜","夜值(晚) 甲案",IF(AD26="備","08-18",IF(OR(AD26="支援秘書室",AD26="支援出納室",AD26="支援警務科",AD26="支援事務股"),"支援總(大)隊",IF(AD26="支援檢疫所","支援(其他)",IF(  AD26="/","空班",  IF(  AD26="丙",  "※ 丙案",  IF(  AD26="丙常訓",  "※ 丙案 常訓",AD26  )))))))))))))))))))))))))</f>
        <v/>
      </c>
      <c r="AE66" s="271" t="str">
        <f>IF(AE26="早","08-18",IF(AE26="中","12-22",IF(AE26="晚","22-08",IF(AE26="X","輪休",IF(AE26="公","公假",IF(OR(AE26="病",AE26="事"),"病(事)假",IF(OR(AE26="婚",AE26="產"),"婚(產)假",IF(AE26="補","補休",IF(AE26="休","休假",IF(AE26="喪","喪假",IF(AND(AE26="/",OR($A26=日期輸入!$B$23,$A26=日期輸入!$C$23,$A26=日期輸入!$D$23,$A26=日期輸入!$E$23,$A26=日期輸入!$F$23)),"08-18水電科",IF(AE26="大日","大隊值日(日)",IF(AE26="大夜","大隊值日(夜)",IF(AE26="值1","值1(早)",IF(AE26="值1丙","值1(早) 丙案",IF(AE26="值2","值2(中)",IF(AE26="值2乙","值2(中) 乙案",IF(AE26="夜值","夜值(晚)",IF(AE26="甲夜","夜值(晚) 甲案",IF(AE26="備","08-18",IF(OR(AE26="支援秘書室",AE26="支援出納室",AE26="支援警務科",AE26="支援事務股"),"支援總(大)隊",IF(AE26="支援檢疫所","支援(其他)",IF(  AE26="/","空班",  IF(  AE26="丙",  "※ 丙案",  IF(  AE26="丙常訓",  "※ 丙案 常訓",AE26  )))))))))))))))))))))))))</f>
        <v/>
      </c>
      <c r="AF66" s="271" t="str">
        <f>IF(AF26="早","08-18",IF(AF26="中","12-22",IF(AF26="晚","22-08",IF(AF26="X","輪休",IF(AF26="公","公假",IF(OR(AF26="病",AF26="事"),"病(事)假",IF(OR(AF26="婚",AF26="產"),"婚(產)假",IF(AF26="補","補休",IF(AF26="休","休假",IF(AF26="喪","喪假",IF(AND(AF26="/",OR($A26=日期輸入!$B$23,$A26=日期輸入!$C$23,$A26=日期輸入!$D$23,$A26=日期輸入!$E$23,$A26=日期輸入!$F$23)),"08-18水電科",IF(AF26="大日","大隊值日(日)",IF(AF26="大夜","大隊值日(夜)",IF(AF26="值1","值1(早)",IF(AF26="值1丙","值1(早) 丙案",IF(AF26="值2","值2(中)",IF(AF26="值2乙","值2(中) 乙案",IF(AF26="夜值","夜值(晚)",IF(AF26="甲夜","夜值(晚) 甲案",IF(AF26="備","08-18",IF(OR(AF26="支援秘書室",AF26="支援出納室",AF26="支援警務科",AF26="支援事務股"),"支援總(大)隊",IF(AF26="支援檢疫所","支援(其他)",IF(  AF26="/","空班",  IF(  AF26="丙",  "※ 丙案",  IF(  AF26="丙常訓",  "※ 丙案 常訓",AF26  )))))))))))))))))))))))))</f>
        <v/>
      </c>
      <c r="AG66" s="271" t="str">
        <f>IF(AG26="早","08-18",IF(AG26="中","12-22",IF(AG26="晚","22-08",IF(AG26="X","輪休",IF(AG26="公","公假",IF(OR(AG26="病",AG26="事"),"病(事)假",IF(OR(AG26="婚",AG26="產"),"婚(產)假",IF(AG26="補","補休",IF(AG26="休","休假",IF(AG26="喪","喪假",IF(AND(AG26="/",OR($A26=日期輸入!$B$23,$A26=日期輸入!$C$23,$A26=日期輸入!$D$23,$A26=日期輸入!$E$23,$A26=日期輸入!$F$23)),"08-18水電科",IF(AG26="大日","大隊值日(日)",IF(AG26="大夜","大隊值日(夜)",IF(AG26="值1","值1(早)",IF(AG26="值1丙","值1(早) 丙案",IF(AG26="值2","值2(中)",IF(AG26="值2乙","值2(中) 乙案",IF(AG26="夜值","夜值(晚)",IF(AG26="甲夜","夜值(晚) 甲案",IF(AG26="備","08-18",IF(OR(AG26="支援秘書室",AG26="支援出納室",AG26="支援警務科",AG26="支援事務股"),"支援總(大)隊",IF(AG26="支援檢疫所","支援(其他)",IF(  AG26="/","空班",  IF(  AG26="丙",  "※ 丙案",  IF(  AG26="丙常訓",  "※ 丙案 常訓",AG26  )))))))))))))))))))))))))</f>
        <v/>
      </c>
    </row>
    <row r="67" spans="1:33">
      <c r="A67" s="271" t="str">
        <f t="shared" ref="A67:B67" si="26">A27</f>
        <v/>
      </c>
      <c r="B67" s="271" t="str">
        <f t="shared" si="26"/>
        <v/>
      </c>
      <c r="C67" s="271" t="str">
        <f>IF(C27="早","08-18",IF(C27="中","12-22",IF(C27="晚","22-08",IF(C27="X","輪休",IF(C27="公","公假",IF(OR(C27="病",C27="事"),"病(事)假",IF(OR(C27="婚",C27="產"),"婚(產)假",IF(C27="補","補休",IF(C27="休","休假",IF(C27="喪","喪假",IF(AND(C27="/",OR($A27=日期輸入!$B$23,$A27=日期輸入!$C$23,$A27=日期輸入!$D$23,$A27=日期輸入!$E$23,$A27=日期輸入!$F$23)),"08-18水電科",IF(C27="大日","大隊值日(日)",IF(C27="大夜","大隊值日(夜)",IF(C27="值1","值1(早)",IF(C27="值1丙","值1(早) 丙案",IF(C27="值2","值2(中)",IF(C27="值2乙","值2(中) 乙案",IF(C27="夜值","夜值(晚)",IF(C27="甲夜","夜值(晚) 甲案",IF(C27="備","08-18",IF(OR(C27="支援秘書室",C27="支援出納室",C27="支援警務科",C27="支援事務股"),"支援總(大)隊",IF(C27="支援檢疫所","支援(其他)",IF(  C27="/","空班",  IF(  C27="丙",  "※ 丙案",  IF(  C27="丙常訓",  "※ 丙案 常訓",C27  )))))))))))))))))))))))))</f>
        <v/>
      </c>
      <c r="D67" s="271" t="str">
        <f>IF(D27="早","08-18",IF(D27="中","12-22",IF(D27="晚","22-08",IF(D27="X","輪休",IF(D27="公","公假",IF(OR(D27="病",D27="事"),"病(事)假",IF(OR(D27="婚",D27="產"),"婚(產)假",IF(D27="補","補休",IF(D27="休","休假",IF(D27="喪","喪假",IF(AND(D27="/",OR($A27=日期輸入!$B$23,$A27=日期輸入!$C$23,$A27=日期輸入!$D$23,$A27=日期輸入!$E$23,$A27=日期輸入!$F$23)),"08-18水電科",IF(D27="大日","大隊值日(日)",IF(D27="大夜","大隊值日(夜)",IF(D27="值1","值1(早)",IF(D27="值1丙","值1(早) 丙案",IF(D27="值2","值2(中)",IF(D27="值2乙","值2(中) 乙案",IF(D27="夜值","夜值(晚)",IF(D27="甲夜","夜值(晚) 甲案",IF(D27="備","08-18",IF(OR(D27="支援秘書室",D27="支援出納室",D27="支援警務科",D27="支援事務股"),"支援總(大)隊",IF(D27="支援檢疫所","支援(其他)",IF(  D27="/","空班",  IF(  D27="丙",  "※ 丙案",  IF(  D27="丙常訓",  "※ 丙案 常訓",D27  )))))))))))))))))))))))))</f>
        <v/>
      </c>
      <c r="E67" s="271" t="str">
        <f>IF(E27="早","08-18",IF(E27="中","12-22",IF(E27="晚","22-08",IF(E27="X","輪休",IF(E27="公","公假",IF(OR(E27="病",E27="事"),"病(事)假",IF(OR(E27="婚",E27="產"),"婚(產)假",IF(E27="補","補休",IF(E27="休","休假",IF(E27="喪","喪假",IF(AND(E27="/",OR($A27=日期輸入!$B$23,$A27=日期輸入!$C$23,$A27=日期輸入!$D$23,$A27=日期輸入!$E$23,$A27=日期輸入!$F$23)),"08-18水電科",IF(E27="大日","大隊值日(日)",IF(E27="大夜","大隊值日(夜)",IF(E27="值1","值1(早)",IF(E27="值1丙","值1(早) 丙案",IF(E27="值2","值2(中)",IF(E27="值2乙","值2(中) 乙案",IF(E27="夜值","夜值(晚)",IF(E27="甲夜","夜值(晚) 甲案",IF(E27="備","08-18",IF(OR(E27="支援秘書室",E27="支援出納室",E27="支援警務科",E27="支援事務股"),"支援總(大)隊",IF(E27="支援檢疫所","支援(其他)",IF(  E27="/","空班",  IF(  E27="丙",  "※ 丙案",  IF(  E27="丙常訓",  "※ 丙案 常訓",E27  )))))))))))))))))))))))))</f>
        <v/>
      </c>
      <c r="F67" s="271" t="str">
        <f>IF(F27="早","08-18",IF(F27="中","12-22",IF(F27="晚","22-08",IF(F27="X","輪休",IF(F27="公","公假",IF(OR(F27="病",F27="事"),"病(事)假",IF(OR(F27="婚",F27="產"),"婚(產)假",IF(F27="補","補休",IF(F27="休","休假",IF(F27="喪","喪假",IF(AND(F27="/",OR($A27=日期輸入!$B$23,$A27=日期輸入!$C$23,$A27=日期輸入!$D$23,$A27=日期輸入!$E$23,$A27=日期輸入!$F$23)),"08-18水電科",IF(F27="大日","大隊值日(日)",IF(F27="大夜","大隊值日(夜)",IF(F27="值1","值1(早)",IF(F27="值1丙","值1(早) 丙案",IF(F27="值2","值2(中)",IF(F27="值2乙","值2(中) 乙案",IF(F27="夜值","夜值(晚)",IF(F27="甲夜","夜值(晚) 甲案",IF(F27="備","08-18",IF(OR(F27="支援秘書室",F27="支援出納室",F27="支援警務科",F27="支援事務股"),"支援總(大)隊",IF(F27="支援檢疫所","支援(其他)",IF(  F27="/","空班",  IF(  F27="丙",  "※ 丙案",  IF(  F27="丙常訓",  "※ 丙案 常訓",F27  )))))))))))))))))))))))))</f>
        <v/>
      </c>
      <c r="G67" s="271" t="str">
        <f>IF(G27="早","08-18",IF(G27="中","12-22",IF(G27="晚","22-08",IF(G27="X","輪休",IF(G27="公","公假",IF(OR(G27="病",G27="事"),"病(事)假",IF(OR(G27="婚",G27="產"),"婚(產)假",IF(G27="補","補休",IF(G27="休","休假",IF(G27="喪","喪假",IF(AND(G27="/",OR($A27=日期輸入!$B$23,$A27=日期輸入!$C$23,$A27=日期輸入!$D$23,$A27=日期輸入!$E$23,$A27=日期輸入!$F$23)),"08-18水電科",IF(G27="大日","大隊值日(日)",IF(G27="大夜","大隊值日(夜)",IF(G27="值1","值1(早)",IF(G27="值1丙","值1(早) 丙案",IF(G27="值2","值2(中)",IF(G27="值2乙","值2(中) 乙案",IF(G27="夜值","夜值(晚)",IF(G27="甲夜","夜值(晚) 甲案",IF(G27="備","08-18",IF(OR(G27="支援秘書室",G27="支援出納室",G27="支援警務科",G27="支援事務股"),"支援總(大)隊",IF(G27="支援檢疫所","支援(其他)",IF(  G27="/","空班",  IF(  G27="丙",  "※ 丙案",  IF(  G27="丙常訓",  "※ 丙案 常訓",G27  )))))))))))))))))))))))))</f>
        <v/>
      </c>
      <c r="H67" s="271" t="str">
        <f>IF(H27="早","08-18",IF(H27="中","12-22",IF(H27="晚","22-08",IF(H27="X","輪休",IF(H27="公","公假",IF(OR(H27="病",H27="事"),"病(事)假",IF(OR(H27="婚",H27="產"),"婚(產)假",IF(H27="補","補休",IF(H27="休","休假",IF(H27="喪","喪假",IF(AND(H27="/",OR($A27=日期輸入!$B$23,$A27=日期輸入!$C$23,$A27=日期輸入!$D$23,$A27=日期輸入!$E$23,$A27=日期輸入!$F$23)),"08-18水電科",IF(H27="大日","大隊值日(日)",IF(H27="大夜","大隊值日(夜)",IF(H27="值1","值1(早)",IF(H27="值1丙","值1(早) 丙案",IF(H27="值2","值2(中)",IF(H27="值2乙","值2(中) 乙案",IF(H27="夜值","夜值(晚)",IF(H27="甲夜","夜值(晚) 甲案",IF(H27="備","08-18",IF(OR(H27="支援秘書室",H27="支援出納室",H27="支援警務科",H27="支援事務股"),"支援總(大)隊",IF(H27="支援檢疫所","支援(其他)",IF(  H27="/","空班",  IF(  H27="丙",  "※ 丙案",  IF(  H27="丙常訓",  "※ 丙案 常訓",H27  )))))))))))))))))))))))))</f>
        <v/>
      </c>
      <c r="I67" s="271" t="str">
        <f>IF(I27="早","08-18",IF(I27="中","12-22",IF(I27="晚","22-08",IF(I27="X","輪休",IF(I27="公","公假",IF(OR(I27="病",I27="事"),"病(事)假",IF(OR(I27="婚",I27="產"),"婚(產)假",IF(I27="補","補休",IF(I27="休","休假",IF(I27="喪","喪假",IF(AND(I27="/",OR($A27=日期輸入!$B$23,$A27=日期輸入!$C$23,$A27=日期輸入!$D$23,$A27=日期輸入!$E$23,$A27=日期輸入!$F$23)),"08-18水電科",IF(I27="大日","大隊值日(日)",IF(I27="大夜","大隊值日(夜)",IF(I27="值1","值1(早)",IF(I27="值1丙","值1(早) 丙案",IF(I27="值2","值2(中)",IF(I27="值2乙","值2(中) 乙案",IF(I27="夜值","夜值(晚)",IF(I27="甲夜","夜值(晚) 甲案",IF(I27="備","08-18",IF(OR(I27="支援秘書室",I27="支援出納室",I27="支援警務科",I27="支援事務股"),"支援總(大)隊",IF(I27="支援檢疫所","支援(其他)",IF(  I27="/","空班",  IF(  I27="丙",  "※ 丙案",  IF(  I27="丙常訓",  "※ 丙案 常訓",I27  )))))))))))))))))))))))))</f>
        <v/>
      </c>
      <c r="J67" s="271" t="str">
        <f>IF(J27="早","08-18",IF(J27="中","12-22",IF(J27="晚","22-08",IF(J27="X","輪休",IF(J27="公","公假",IF(OR(J27="病",J27="事"),"病(事)假",IF(OR(J27="婚",J27="產"),"婚(產)假",IF(J27="補","補休",IF(J27="休","休假",IF(J27="喪","喪假",IF(AND(J27="/",OR($A27=日期輸入!$B$23,$A27=日期輸入!$C$23,$A27=日期輸入!$D$23,$A27=日期輸入!$E$23,$A27=日期輸入!$F$23)),"08-18水電科",IF(J27="大日","大隊值日(日)",IF(J27="大夜","大隊值日(夜)",IF(J27="值1","值1(早)",IF(J27="值1丙","值1(早) 丙案",IF(J27="值2","值2(中)",IF(J27="值2乙","值2(中) 乙案",IF(J27="夜值","夜值(晚)",IF(J27="甲夜","夜值(晚) 甲案",IF(J27="備","08-18",IF(OR(J27="支援秘書室",J27="支援出納室",J27="支援警務科",J27="支援事務股"),"支援總(大)隊",IF(J27="支援檢疫所","支援(其他)",IF(  J27="/","空班",  IF(  J27="丙",  "※ 丙案",  IF(  J27="丙常訓",  "※ 丙案 常訓",J27  )))))))))))))))))))))))))</f>
        <v/>
      </c>
      <c r="K67" s="271" t="str">
        <f>IF(K27="早","08-18",IF(K27="中","12-22",IF(K27="晚","22-08",IF(K27="X","輪休",IF(K27="公","公假",IF(OR(K27="病",K27="事"),"病(事)假",IF(OR(K27="婚",K27="產"),"婚(產)假",IF(K27="補","補休",IF(K27="休","休假",IF(K27="喪","喪假",IF(AND(K27="/",OR($A27=日期輸入!$B$23,$A27=日期輸入!$C$23,$A27=日期輸入!$D$23,$A27=日期輸入!$E$23,$A27=日期輸入!$F$23)),"08-18水電科",IF(K27="大日","大隊值日(日)",IF(K27="大夜","大隊值日(夜)",IF(K27="值1","值1(早)",IF(K27="值1丙","值1(早) 丙案",IF(K27="值2","值2(中)",IF(K27="值2乙","值2(中) 乙案",IF(K27="夜值","夜值(晚)",IF(K27="甲夜","夜值(晚) 甲案",IF(K27="備","08-18",IF(OR(K27="支援秘書室",K27="支援出納室",K27="支援警務科",K27="支援事務股"),"支援總(大)隊",IF(K27="支援檢疫所","支援(其他)",IF(  K27="/","空班",  IF(  K27="丙",  "※ 丙案",  IF(  K27="丙常訓",  "※ 丙案 常訓",K27  )))))))))))))))))))))))))</f>
        <v/>
      </c>
      <c r="L67" s="271" t="str">
        <f>IF(L27="早","08-18",IF(L27="中","12-22",IF(L27="晚","22-08",IF(L27="X","輪休",IF(L27="公","公假",IF(OR(L27="病",L27="事"),"病(事)假",IF(OR(L27="婚",L27="產"),"婚(產)假",IF(L27="補","補休",IF(L27="休","休假",IF(L27="喪","喪假",IF(AND(L27="/",OR($A27=日期輸入!$B$23,$A27=日期輸入!$C$23,$A27=日期輸入!$D$23,$A27=日期輸入!$E$23,$A27=日期輸入!$F$23)),"08-18水電科",IF(L27="大日","大隊值日(日)",IF(L27="大夜","大隊值日(夜)",IF(L27="值1","值1(早)",IF(L27="值1丙","值1(早) 丙案",IF(L27="值2","值2(中)",IF(L27="值2乙","值2(中) 乙案",IF(L27="夜值","夜值(晚)",IF(L27="甲夜","夜值(晚) 甲案",IF(L27="備","08-18",IF(OR(L27="支援秘書室",L27="支援出納室",L27="支援警務科",L27="支援事務股"),"支援總(大)隊",IF(L27="支援檢疫所","支援(其他)",IF(  L27="/","空班",  IF(  L27="丙",  "※ 丙案",  IF(  L27="丙常訓",  "※ 丙案 常訓",L27  )))))))))))))))))))))))))</f>
        <v/>
      </c>
      <c r="M67" s="271" t="str">
        <f>IF(M27="早","08-18",IF(M27="中","12-22",IF(M27="晚","22-08",IF(M27="X","輪休",IF(M27="公","公假",IF(OR(M27="病",M27="事"),"病(事)假",IF(OR(M27="婚",M27="產"),"婚(產)假",IF(M27="補","補休",IF(M27="休","休假",IF(M27="喪","喪假",IF(AND(M27="/",OR($A27=日期輸入!$B$23,$A27=日期輸入!$C$23,$A27=日期輸入!$D$23,$A27=日期輸入!$E$23,$A27=日期輸入!$F$23)),"08-18水電科",IF(M27="大日","大隊值日(日)",IF(M27="大夜","大隊值日(夜)",IF(M27="值1","值1(早)",IF(M27="值1丙","值1(早) 丙案",IF(M27="值2","值2(中)",IF(M27="值2乙","值2(中) 乙案",IF(M27="夜值","夜值(晚)",IF(M27="甲夜","夜值(晚) 甲案",IF(M27="備","08-18",IF(OR(M27="支援秘書室",M27="支援出納室",M27="支援警務科",M27="支援事務股"),"支援總(大)隊",IF(M27="支援檢疫所","支援(其他)",IF(  M27="/","空班",  IF(  M27="丙",  "※ 丙案",  IF(  M27="丙常訓",  "※ 丙案 常訓",M27  )))))))))))))))))))))))))</f>
        <v/>
      </c>
      <c r="N67" s="271" t="str">
        <f>IF(N27="早","08-18",IF(N27="中","12-22",IF(N27="晚","22-08",IF(N27="X","輪休",IF(N27="公","公假",IF(OR(N27="病",N27="事"),"病(事)假",IF(OR(N27="婚",N27="產"),"婚(產)假",IF(N27="補","補休",IF(N27="休","休假",IF(N27="喪","喪假",IF(AND(N27="/",OR($A27=日期輸入!$B$23,$A27=日期輸入!$C$23,$A27=日期輸入!$D$23,$A27=日期輸入!$E$23,$A27=日期輸入!$F$23)),"08-18水電科",IF(N27="大日","大隊值日(日)",IF(N27="大夜","大隊值日(夜)",IF(N27="值1","值1(早)",IF(N27="值1丙","值1(早) 丙案",IF(N27="值2","值2(中)",IF(N27="值2乙","值2(中) 乙案",IF(N27="夜值","夜值(晚)",IF(N27="甲夜","夜值(晚) 甲案",IF(N27="備","08-18",IF(OR(N27="支援秘書室",N27="支援出納室",N27="支援警務科",N27="支援事務股"),"支援總(大)隊",IF(N27="支援檢疫所","支援(其他)",IF(  N27="/","空班",  IF(  N27="丙",  "※ 丙案",  IF(  N27="丙常訓",  "※ 丙案 常訓",N27  )))))))))))))))))))))))))</f>
        <v/>
      </c>
      <c r="O67" s="271" t="str">
        <f>IF(O27="早","08-18",IF(O27="中","12-22",IF(O27="晚","22-08",IF(O27="X","輪休",IF(O27="公","公假",IF(OR(O27="病",O27="事"),"病(事)假",IF(OR(O27="婚",O27="產"),"婚(產)假",IF(O27="補","補休",IF(O27="休","休假",IF(O27="喪","喪假",IF(AND(O27="/",OR($A27=日期輸入!$B$23,$A27=日期輸入!$C$23,$A27=日期輸入!$D$23,$A27=日期輸入!$E$23,$A27=日期輸入!$F$23)),"08-18水電科",IF(O27="大日","大隊值日(日)",IF(O27="大夜","大隊值日(夜)",IF(O27="值1","值1(早)",IF(O27="值1丙","值1(早) 丙案",IF(O27="值2","值2(中)",IF(O27="值2乙","值2(中) 乙案",IF(O27="夜值","夜值(晚)",IF(O27="甲夜","夜值(晚) 甲案",IF(O27="備","08-18",IF(OR(O27="支援秘書室",O27="支援出納室",O27="支援警務科",O27="支援事務股"),"支援總(大)隊",IF(O27="支援檢疫所","支援(其他)",IF(  O27="/","空班",  IF(  O27="丙",  "※ 丙案",  IF(  O27="丙常訓",  "※ 丙案 常訓",O27  )))))))))))))))))))))))))</f>
        <v/>
      </c>
      <c r="P67" s="271" t="str">
        <f>IF(P27="早","08-18",IF(P27="中","12-22",IF(P27="晚","22-08",IF(P27="X","輪休",IF(P27="公","公假",IF(OR(P27="病",P27="事"),"病(事)假",IF(OR(P27="婚",P27="產"),"婚(產)假",IF(P27="補","補休",IF(P27="休","休假",IF(P27="喪","喪假",IF(AND(P27="/",OR($A27=日期輸入!$B$23,$A27=日期輸入!$C$23,$A27=日期輸入!$D$23,$A27=日期輸入!$E$23,$A27=日期輸入!$F$23)),"08-18水電科",IF(P27="大日","大隊值日(日)",IF(P27="大夜","大隊值日(夜)",IF(P27="值1","值1(早)",IF(P27="值1丙","值1(早) 丙案",IF(P27="值2","值2(中)",IF(P27="值2乙","值2(中) 乙案",IF(P27="夜值","夜值(晚)",IF(P27="甲夜","夜值(晚) 甲案",IF(P27="備","08-18",IF(OR(P27="支援秘書室",P27="支援出納室",P27="支援警務科",P27="支援事務股"),"支援總(大)隊",IF(P27="支援檢疫所","支援(其他)",IF(  P27="/","空班",  IF(  P27="丙",  "※ 丙案",  IF(  P27="丙常訓",  "※ 丙案 常訓",P27  )))))))))))))))))))))))))</f>
        <v/>
      </c>
      <c r="Q67" s="271" t="str">
        <f>IF(Q27="早","08-18",IF(Q27="中","12-22",IF(Q27="晚","22-08",IF(Q27="X","輪休",IF(Q27="公","公假",IF(OR(Q27="病",Q27="事"),"病(事)假",IF(OR(Q27="婚",Q27="產"),"婚(產)假",IF(Q27="補","補休",IF(Q27="休","休假",IF(Q27="喪","喪假",IF(AND(Q27="/",OR($A27=日期輸入!$B$23,$A27=日期輸入!$C$23,$A27=日期輸入!$D$23,$A27=日期輸入!$E$23,$A27=日期輸入!$F$23)),"08-18水電科",IF(Q27="大日","大隊值日(日)",IF(Q27="大夜","大隊值日(夜)",IF(Q27="值1","值1(早)",IF(Q27="值1丙","值1(早) 丙案",IF(Q27="值2","值2(中)",IF(Q27="值2乙","值2(中) 乙案",IF(Q27="夜值","夜值(晚)",IF(Q27="甲夜","夜值(晚) 甲案",IF(Q27="備","08-18",IF(OR(Q27="支援秘書室",Q27="支援出納室",Q27="支援警務科",Q27="支援事務股"),"支援總(大)隊",IF(Q27="支援檢疫所","支援(其他)",IF(  Q27="/","空班",  IF(  Q27="丙",  "※ 丙案",  IF(  Q27="丙常訓",  "※ 丙案 常訓",Q27  )))))))))))))))))))))))))</f>
        <v/>
      </c>
      <c r="R67" s="271" t="str">
        <f>IF(R27="早","08-18",IF(R27="中","12-22",IF(R27="晚","22-08",IF(R27="X","輪休",IF(R27="公","公假",IF(OR(R27="病",R27="事"),"病(事)假",IF(OR(R27="婚",R27="產"),"婚(產)假",IF(R27="補","補休",IF(R27="休","休假",IF(R27="喪","喪假",IF(AND(R27="/",OR($A27=日期輸入!$B$23,$A27=日期輸入!$C$23,$A27=日期輸入!$D$23,$A27=日期輸入!$E$23,$A27=日期輸入!$F$23)),"08-18水電科",IF(R27="大日","大隊值日(日)",IF(R27="大夜","大隊值日(夜)",IF(R27="值1","值1(早)",IF(R27="值1丙","值1(早) 丙案",IF(R27="值2","值2(中)",IF(R27="值2乙","值2(中) 乙案",IF(R27="夜值","夜值(晚)",IF(R27="甲夜","夜值(晚) 甲案",IF(R27="備","08-18",IF(OR(R27="支援秘書室",R27="支援出納室",R27="支援警務科",R27="支援事務股"),"支援總(大)隊",IF(R27="支援檢疫所","支援(其他)",IF(  R27="/","空班",  IF(  R27="丙",  "※ 丙案",  IF(  R27="丙常訓",  "※ 丙案 常訓",R27  )))))))))))))))))))))))))</f>
        <v/>
      </c>
      <c r="S67" s="271" t="str">
        <f>IF(S27="早","08-18",IF(S27="中","12-22",IF(S27="晚","22-08",IF(S27="X","輪休",IF(S27="公","公假",IF(OR(S27="病",S27="事"),"病(事)假",IF(OR(S27="婚",S27="產"),"婚(產)假",IF(S27="補","補休",IF(S27="休","休假",IF(S27="喪","喪假",IF(AND(S27="/",OR($A27=日期輸入!$B$23,$A27=日期輸入!$C$23,$A27=日期輸入!$D$23,$A27=日期輸入!$E$23,$A27=日期輸入!$F$23)),"08-18水電科",IF(S27="大日","大隊值日(日)",IF(S27="大夜","大隊值日(夜)",IF(S27="值1","值1(早)",IF(S27="值1丙","值1(早) 丙案",IF(S27="值2","值2(中)",IF(S27="值2乙","值2(中) 乙案",IF(S27="夜值","夜值(晚)",IF(S27="甲夜","夜值(晚) 甲案",IF(S27="備","08-18",IF(OR(S27="支援秘書室",S27="支援出納室",S27="支援警務科",S27="支援事務股"),"支援總(大)隊",IF(S27="支援檢疫所","支援(其他)",IF(  S27="/","空班",  IF(  S27="丙",  "※ 丙案",  IF(  S27="丙常訓",  "※ 丙案 常訓",S27  )))))))))))))))))))))))))</f>
        <v/>
      </c>
      <c r="T67" s="271" t="str">
        <f>IF(T27="早","08-18",IF(T27="中","12-22",IF(T27="晚","22-08",IF(T27="X","輪休",IF(T27="公","公假",IF(OR(T27="病",T27="事"),"病(事)假",IF(OR(T27="婚",T27="產"),"婚(產)假",IF(T27="補","補休",IF(T27="休","休假",IF(T27="喪","喪假",IF(AND(T27="/",OR($A27=日期輸入!$B$23,$A27=日期輸入!$C$23,$A27=日期輸入!$D$23,$A27=日期輸入!$E$23,$A27=日期輸入!$F$23)),"08-18水電科",IF(T27="大日","大隊值日(日)",IF(T27="大夜","大隊值日(夜)",IF(T27="值1","值1(早)",IF(T27="值1丙","值1(早) 丙案",IF(T27="值2","值2(中)",IF(T27="值2乙","值2(中) 乙案",IF(T27="夜值","夜值(晚)",IF(T27="甲夜","夜值(晚) 甲案",IF(T27="備","08-18",IF(OR(T27="支援秘書室",T27="支援出納室",T27="支援警務科",T27="支援事務股"),"支援總(大)隊",IF(T27="支援檢疫所","支援(其他)",IF(  T27="/","空班",  IF(  T27="丙",  "※ 丙案",  IF(  T27="丙常訓",  "※ 丙案 常訓",T27  )))))))))))))))))))))))))</f>
        <v/>
      </c>
      <c r="U67" s="271" t="str">
        <f>IF(U27="早","08-18",IF(U27="中","12-22",IF(U27="晚","22-08",IF(U27="X","輪休",IF(U27="公","公假",IF(OR(U27="病",U27="事"),"病(事)假",IF(OR(U27="婚",U27="產"),"婚(產)假",IF(U27="補","補休",IF(U27="休","休假",IF(U27="喪","喪假",IF(AND(U27="/",OR($A27=日期輸入!$B$23,$A27=日期輸入!$C$23,$A27=日期輸入!$D$23,$A27=日期輸入!$E$23,$A27=日期輸入!$F$23)),"08-18水電科",IF(U27="大日","大隊值日(日)",IF(U27="大夜","大隊值日(夜)",IF(U27="值1","值1(早)",IF(U27="值1丙","值1(早) 丙案",IF(U27="值2","值2(中)",IF(U27="值2乙","值2(中) 乙案",IF(U27="夜值","夜值(晚)",IF(U27="甲夜","夜值(晚) 甲案",IF(U27="備","08-18",IF(OR(U27="支援秘書室",U27="支援出納室",U27="支援警務科",U27="支援事務股"),"支援總(大)隊",IF(U27="支援檢疫所","支援(其他)",IF(  U27="/","空班",  IF(  U27="丙",  "※ 丙案",  IF(  U27="丙常訓",  "※ 丙案 常訓",U27  )))))))))))))))))))))))))</f>
        <v/>
      </c>
      <c r="V67" s="271" t="str">
        <f>IF(V27="早","08-18",IF(V27="中","12-22",IF(V27="晚","22-08",IF(V27="X","輪休",IF(V27="公","公假",IF(OR(V27="病",V27="事"),"病(事)假",IF(OR(V27="婚",V27="產"),"婚(產)假",IF(V27="補","補休",IF(V27="休","休假",IF(V27="喪","喪假",IF(AND(V27="/",OR($A27=日期輸入!$B$23,$A27=日期輸入!$C$23,$A27=日期輸入!$D$23,$A27=日期輸入!$E$23,$A27=日期輸入!$F$23)),"08-18水電科",IF(V27="大日","大隊值日(日)",IF(V27="大夜","大隊值日(夜)",IF(V27="值1","值1(早)",IF(V27="值1丙","值1(早) 丙案",IF(V27="值2","值2(中)",IF(V27="值2乙","值2(中) 乙案",IF(V27="夜值","夜值(晚)",IF(V27="甲夜","夜值(晚) 甲案",IF(V27="備","08-18",IF(OR(V27="支援秘書室",V27="支援出納室",V27="支援警務科",V27="支援事務股"),"支援總(大)隊",IF(V27="支援檢疫所","支援(其他)",IF(  V27="/","空班",  IF(  V27="丙",  "※ 丙案",  IF(  V27="丙常訓",  "※ 丙案 常訓",V27  )))))))))))))))))))))))))</f>
        <v/>
      </c>
      <c r="W67" s="271" t="str">
        <f>IF(W27="早","08-18",IF(W27="中","12-22",IF(W27="晚","22-08",IF(W27="X","輪休",IF(W27="公","公假",IF(OR(W27="病",W27="事"),"病(事)假",IF(OR(W27="婚",W27="產"),"婚(產)假",IF(W27="補","補休",IF(W27="休","休假",IF(W27="喪","喪假",IF(AND(W27="/",OR($A27=日期輸入!$B$23,$A27=日期輸入!$C$23,$A27=日期輸入!$D$23,$A27=日期輸入!$E$23,$A27=日期輸入!$F$23)),"08-18水電科",IF(W27="大日","大隊值日(日)",IF(W27="大夜","大隊值日(夜)",IF(W27="值1","值1(早)",IF(W27="值1丙","值1(早) 丙案",IF(W27="值2","值2(中)",IF(W27="值2乙","值2(中) 乙案",IF(W27="夜值","夜值(晚)",IF(W27="甲夜","夜值(晚) 甲案",IF(W27="備","08-18",IF(OR(W27="支援秘書室",W27="支援出納室",W27="支援警務科",W27="支援事務股"),"支援總(大)隊",IF(W27="支援檢疫所","支援(其他)",IF(  W27="/","空班",  IF(  W27="丙",  "※ 丙案",  IF(  W27="丙常訓",  "※ 丙案 常訓",W27  )))))))))))))))))))))))))</f>
        <v/>
      </c>
      <c r="X67" s="271" t="str">
        <f>IF(X27="早","08-18",IF(X27="中","12-22",IF(X27="晚","22-08",IF(X27="X","輪休",IF(X27="公","公假",IF(OR(X27="病",X27="事"),"病(事)假",IF(OR(X27="婚",X27="產"),"婚(產)假",IF(X27="補","補休",IF(X27="休","休假",IF(X27="喪","喪假",IF(AND(X27="/",OR($A27=日期輸入!$B$23,$A27=日期輸入!$C$23,$A27=日期輸入!$D$23,$A27=日期輸入!$E$23,$A27=日期輸入!$F$23)),"08-18水電科",IF(X27="大日","大隊值日(日)",IF(X27="大夜","大隊值日(夜)",IF(X27="值1","值1(早)",IF(X27="值1丙","值1(早) 丙案",IF(X27="值2","值2(中)",IF(X27="值2乙","值2(中) 乙案",IF(X27="夜值","夜值(晚)",IF(X27="甲夜","夜值(晚) 甲案",IF(X27="備","08-18",IF(OR(X27="支援秘書室",X27="支援出納室",X27="支援警務科",X27="支援事務股"),"支援總(大)隊",IF(X27="支援檢疫所","支援(其他)",IF(  X27="/","空班",  IF(  X27="丙",  "※ 丙案",  IF(  X27="丙常訓",  "※ 丙案 常訓",X27  )))))))))))))))))))))))))</f>
        <v/>
      </c>
      <c r="Y67" s="271" t="str">
        <f>IF(Y27="早","08-18",IF(Y27="中","12-22",IF(Y27="晚","22-08",IF(Y27="X","輪休",IF(Y27="公","公假",IF(OR(Y27="病",Y27="事"),"病(事)假",IF(OR(Y27="婚",Y27="產"),"婚(產)假",IF(Y27="補","補休",IF(Y27="休","休假",IF(Y27="喪","喪假",IF(AND(Y27="/",OR($A27=日期輸入!$B$23,$A27=日期輸入!$C$23,$A27=日期輸入!$D$23,$A27=日期輸入!$E$23,$A27=日期輸入!$F$23)),"08-18水電科",IF(Y27="大日","大隊值日(日)",IF(Y27="大夜","大隊值日(夜)",IF(Y27="值1","值1(早)",IF(Y27="值1丙","值1(早) 丙案",IF(Y27="值2","值2(中)",IF(Y27="值2乙","值2(中) 乙案",IF(Y27="夜值","夜值(晚)",IF(Y27="甲夜","夜值(晚) 甲案",IF(Y27="備","08-18",IF(OR(Y27="支援秘書室",Y27="支援出納室",Y27="支援警務科",Y27="支援事務股"),"支援總(大)隊",IF(Y27="支援檢疫所","支援(其他)",IF(  Y27="/","空班",  IF(  Y27="丙",  "※ 丙案",  IF(  Y27="丙常訓",  "※ 丙案 常訓",Y27  )))))))))))))))))))))))))</f>
        <v/>
      </c>
      <c r="Z67" s="271" t="str">
        <f>IF(Z27="早","08-18",IF(Z27="中","12-22",IF(Z27="晚","22-08",IF(Z27="X","輪休",IF(Z27="公","公假",IF(OR(Z27="病",Z27="事"),"病(事)假",IF(OR(Z27="婚",Z27="產"),"婚(產)假",IF(Z27="補","補休",IF(Z27="休","休假",IF(Z27="喪","喪假",IF(AND(Z27="/",OR($A27=日期輸入!$B$23,$A27=日期輸入!$C$23,$A27=日期輸入!$D$23,$A27=日期輸入!$E$23,$A27=日期輸入!$F$23)),"08-18水電科",IF(Z27="大日","大隊值日(日)",IF(Z27="大夜","大隊值日(夜)",IF(Z27="值1","值1(早)",IF(Z27="值1丙","值1(早) 丙案",IF(Z27="值2","值2(中)",IF(Z27="值2乙","值2(中) 乙案",IF(Z27="夜值","夜值(晚)",IF(Z27="甲夜","夜值(晚) 甲案",IF(Z27="備","08-18",IF(OR(Z27="支援秘書室",Z27="支援出納室",Z27="支援警務科",Z27="支援事務股"),"支援總(大)隊",IF(Z27="支援檢疫所","支援(其他)",IF(  Z27="/","空班",  IF(  Z27="丙",  "※ 丙案",  IF(  Z27="丙常訓",  "※ 丙案 常訓",Z27  )))))))))))))))))))))))))</f>
        <v/>
      </c>
      <c r="AA67" s="271" t="str">
        <f>IF(AA27="早","08-18",IF(AA27="中","12-22",IF(AA27="晚","22-08",IF(AA27="X","輪休",IF(AA27="公","公假",IF(OR(AA27="病",AA27="事"),"病(事)假",IF(OR(AA27="婚",AA27="產"),"婚(產)假",IF(AA27="補","補休",IF(AA27="休","休假",IF(AA27="喪","喪假",IF(AND(AA27="/",OR($A27=日期輸入!$B$23,$A27=日期輸入!$C$23,$A27=日期輸入!$D$23,$A27=日期輸入!$E$23,$A27=日期輸入!$F$23)),"08-18水電科",IF(AA27="大日","大隊值日(日)",IF(AA27="大夜","大隊值日(夜)",IF(AA27="值1","值1(早)",IF(AA27="值1丙","值1(早) 丙案",IF(AA27="值2","值2(中)",IF(AA27="值2乙","值2(中) 乙案",IF(AA27="夜值","夜值(晚)",IF(AA27="甲夜","夜值(晚) 甲案",IF(AA27="備","08-18",IF(OR(AA27="支援秘書室",AA27="支援出納室",AA27="支援警務科",AA27="支援事務股"),"支援總(大)隊",IF(AA27="支援檢疫所","支援(其他)",IF(  AA27="/","空班",  IF(  AA27="丙",  "※ 丙案",  IF(  AA27="丙常訓",  "※ 丙案 常訓",AA27  )))))))))))))))))))))))))</f>
        <v/>
      </c>
      <c r="AB67" s="271" t="str">
        <f>IF(AB27="早","08-18",IF(AB27="中","12-22",IF(AB27="晚","22-08",IF(AB27="X","輪休",IF(AB27="公","公假",IF(OR(AB27="病",AB27="事"),"病(事)假",IF(OR(AB27="婚",AB27="產"),"婚(產)假",IF(AB27="補","補休",IF(AB27="休","休假",IF(AB27="喪","喪假",IF(AND(AB27="/",OR($A27=日期輸入!$B$23,$A27=日期輸入!$C$23,$A27=日期輸入!$D$23,$A27=日期輸入!$E$23,$A27=日期輸入!$F$23)),"08-18水電科",IF(AB27="大日","大隊值日(日)",IF(AB27="大夜","大隊值日(夜)",IF(AB27="值1","值1(早)",IF(AB27="值1丙","值1(早) 丙案",IF(AB27="值2","值2(中)",IF(AB27="值2乙","值2(中) 乙案",IF(AB27="夜值","夜值(晚)",IF(AB27="甲夜","夜值(晚) 甲案",IF(AB27="備","08-18",IF(OR(AB27="支援秘書室",AB27="支援出納室",AB27="支援警務科",AB27="支援事務股"),"支援總(大)隊",IF(AB27="支援檢疫所","支援(其他)",IF(  AB27="/","空班",  IF(  AB27="丙",  "※ 丙案",  IF(  AB27="丙常訓",  "※ 丙案 常訓",AB27  )))))))))))))))))))))))))</f>
        <v/>
      </c>
      <c r="AC67" s="271" t="str">
        <f>IF(AC27="早","08-18",IF(AC27="中","12-22",IF(AC27="晚","22-08",IF(AC27="X","輪休",IF(AC27="公","公假",IF(OR(AC27="病",AC27="事"),"病(事)假",IF(OR(AC27="婚",AC27="產"),"婚(產)假",IF(AC27="補","補休",IF(AC27="休","休假",IF(AC27="喪","喪假",IF(AND(AC27="/",OR($A27=日期輸入!$B$23,$A27=日期輸入!$C$23,$A27=日期輸入!$D$23,$A27=日期輸入!$E$23,$A27=日期輸入!$F$23)),"08-18水電科",IF(AC27="大日","大隊值日(日)",IF(AC27="大夜","大隊值日(夜)",IF(AC27="值1","值1(早)",IF(AC27="值1丙","值1(早) 丙案",IF(AC27="值2","值2(中)",IF(AC27="值2乙","值2(中) 乙案",IF(AC27="夜值","夜值(晚)",IF(AC27="甲夜","夜值(晚) 甲案",IF(AC27="備","08-18",IF(OR(AC27="支援秘書室",AC27="支援出納室",AC27="支援警務科",AC27="支援事務股"),"支援總(大)隊",IF(AC27="支援檢疫所","支援(其他)",IF(  AC27="/","空班",  IF(  AC27="丙",  "※ 丙案",  IF(  AC27="丙常訓",  "※ 丙案 常訓",AC27  )))))))))))))))))))))))))</f>
        <v/>
      </c>
      <c r="AD67" s="271" t="str">
        <f>IF(AD27="早","08-18",IF(AD27="中","12-22",IF(AD27="晚","22-08",IF(AD27="X","輪休",IF(AD27="公","公假",IF(OR(AD27="病",AD27="事"),"病(事)假",IF(OR(AD27="婚",AD27="產"),"婚(產)假",IF(AD27="補","補休",IF(AD27="休","休假",IF(AD27="喪","喪假",IF(AND(AD27="/",OR($A27=日期輸入!$B$23,$A27=日期輸入!$C$23,$A27=日期輸入!$D$23,$A27=日期輸入!$E$23,$A27=日期輸入!$F$23)),"08-18水電科",IF(AD27="大日","大隊值日(日)",IF(AD27="大夜","大隊值日(夜)",IF(AD27="值1","值1(早)",IF(AD27="值1丙","值1(早) 丙案",IF(AD27="值2","值2(中)",IF(AD27="值2乙","值2(中) 乙案",IF(AD27="夜值","夜值(晚)",IF(AD27="甲夜","夜值(晚) 甲案",IF(AD27="備","08-18",IF(OR(AD27="支援秘書室",AD27="支援出納室",AD27="支援警務科",AD27="支援事務股"),"支援總(大)隊",IF(AD27="支援檢疫所","支援(其他)",IF(  AD27="/","空班",  IF(  AD27="丙",  "※ 丙案",  IF(  AD27="丙常訓",  "※ 丙案 常訓",AD27  )))))))))))))))))))))))))</f>
        <v/>
      </c>
      <c r="AE67" s="271" t="str">
        <f>IF(AE27="早","08-18",IF(AE27="中","12-22",IF(AE27="晚","22-08",IF(AE27="X","輪休",IF(AE27="公","公假",IF(OR(AE27="病",AE27="事"),"病(事)假",IF(OR(AE27="婚",AE27="產"),"婚(產)假",IF(AE27="補","補休",IF(AE27="休","休假",IF(AE27="喪","喪假",IF(AND(AE27="/",OR($A27=日期輸入!$B$23,$A27=日期輸入!$C$23,$A27=日期輸入!$D$23,$A27=日期輸入!$E$23,$A27=日期輸入!$F$23)),"08-18水電科",IF(AE27="大日","大隊值日(日)",IF(AE27="大夜","大隊值日(夜)",IF(AE27="值1","值1(早)",IF(AE27="值1丙","值1(早) 丙案",IF(AE27="值2","值2(中)",IF(AE27="值2乙","值2(中) 乙案",IF(AE27="夜值","夜值(晚)",IF(AE27="甲夜","夜值(晚) 甲案",IF(AE27="備","08-18",IF(OR(AE27="支援秘書室",AE27="支援出納室",AE27="支援警務科",AE27="支援事務股"),"支援總(大)隊",IF(AE27="支援檢疫所","支援(其他)",IF(  AE27="/","空班",  IF(  AE27="丙",  "※ 丙案",  IF(  AE27="丙常訓",  "※ 丙案 常訓",AE27  )))))))))))))))))))))))))</f>
        <v/>
      </c>
      <c r="AF67" s="271" t="str">
        <f>IF(AF27="早","08-18",IF(AF27="中","12-22",IF(AF27="晚","22-08",IF(AF27="X","輪休",IF(AF27="公","公假",IF(OR(AF27="病",AF27="事"),"病(事)假",IF(OR(AF27="婚",AF27="產"),"婚(產)假",IF(AF27="補","補休",IF(AF27="休","休假",IF(AF27="喪","喪假",IF(AND(AF27="/",OR($A27=日期輸入!$B$23,$A27=日期輸入!$C$23,$A27=日期輸入!$D$23,$A27=日期輸入!$E$23,$A27=日期輸入!$F$23)),"08-18水電科",IF(AF27="大日","大隊值日(日)",IF(AF27="大夜","大隊值日(夜)",IF(AF27="值1","值1(早)",IF(AF27="值1丙","值1(早) 丙案",IF(AF27="值2","值2(中)",IF(AF27="值2乙","值2(中) 乙案",IF(AF27="夜值","夜值(晚)",IF(AF27="甲夜","夜值(晚) 甲案",IF(AF27="備","08-18",IF(OR(AF27="支援秘書室",AF27="支援出納室",AF27="支援警務科",AF27="支援事務股"),"支援總(大)隊",IF(AF27="支援檢疫所","支援(其他)",IF(  AF27="/","空班",  IF(  AF27="丙",  "※ 丙案",  IF(  AF27="丙常訓",  "※ 丙案 常訓",AF27  )))))))))))))))))))))))))</f>
        <v/>
      </c>
      <c r="AG67" s="271" t="str">
        <f>IF(AG27="早","08-18",IF(AG27="中","12-22",IF(AG27="晚","22-08",IF(AG27="X","輪休",IF(AG27="公","公假",IF(OR(AG27="病",AG27="事"),"病(事)假",IF(OR(AG27="婚",AG27="產"),"婚(產)假",IF(AG27="補","補休",IF(AG27="休","休假",IF(AG27="喪","喪假",IF(AND(AG27="/",OR($A27=日期輸入!$B$23,$A27=日期輸入!$C$23,$A27=日期輸入!$D$23,$A27=日期輸入!$E$23,$A27=日期輸入!$F$23)),"08-18水電科",IF(AG27="大日","大隊值日(日)",IF(AG27="大夜","大隊值日(夜)",IF(AG27="值1","值1(早)",IF(AG27="值1丙","值1(早) 丙案",IF(AG27="值2","值2(中)",IF(AG27="值2乙","值2(中) 乙案",IF(AG27="夜值","夜值(晚)",IF(AG27="甲夜","夜值(晚) 甲案",IF(AG27="備","08-18",IF(OR(AG27="支援秘書室",AG27="支援出納室",AG27="支援警務科",AG27="支援事務股"),"支援總(大)隊",IF(AG27="支援檢疫所","支援(其他)",IF(  AG27="/","空班",  IF(  AG27="丙",  "※ 丙案",  IF(  AG27="丙常訓",  "※ 丙案 常訓",AG27  )))))))))))))))))))))))))</f>
        <v/>
      </c>
    </row>
    <row r="68" spans="1:33">
      <c r="A68" s="271" t="str">
        <f t="shared" ref="A68:B68" si="27">A28</f>
        <v/>
      </c>
      <c r="B68" s="271" t="str">
        <f t="shared" si="27"/>
        <v/>
      </c>
      <c r="C68" s="271" t="str">
        <f>IF(C28="早","08-18",IF(C28="中","12-22",IF(C28="晚","22-08",IF(C28="X","輪休",IF(C28="公","公假",IF(OR(C28="病",C28="事"),"病(事)假",IF(OR(C28="婚",C28="產"),"婚(產)假",IF(C28="補","補休",IF(C28="休","休假",IF(C28="喪","喪假",IF(AND(C28="/",OR($A28=日期輸入!$B$23,$A28=日期輸入!$C$23,$A28=日期輸入!$D$23,$A28=日期輸入!$E$23,$A28=日期輸入!$F$23)),"08-18水電科",IF(C28="大日","大隊值日(日)",IF(C28="大夜","大隊值日(夜)",IF(C28="值1","值1(早)",IF(C28="值1丙","值1(早) 丙案",IF(C28="值2","值2(中)",IF(C28="值2乙","值2(中) 乙案",IF(C28="夜值","夜值(晚)",IF(C28="甲夜","夜值(晚) 甲案",IF(C28="備","08-18",IF(OR(C28="支援秘書室",C28="支援出納室",C28="支援警務科",C28="支援事務股"),"支援總(大)隊",IF(C28="支援檢疫所","支援(其他)",IF(  C28="/","空班",  IF(  C28="丙",  "※ 丙案",  IF(  C28="丙常訓",  "※ 丙案 常訓",C28  )))))))))))))))))))))))))</f>
        <v/>
      </c>
      <c r="D68" s="271" t="str">
        <f>IF(D28="早","08-18",IF(D28="中","12-22",IF(D28="晚","22-08",IF(D28="X","輪休",IF(D28="公","公假",IF(OR(D28="病",D28="事"),"病(事)假",IF(OR(D28="婚",D28="產"),"婚(產)假",IF(D28="補","補休",IF(D28="休","休假",IF(D28="喪","喪假",IF(AND(D28="/",OR($A28=日期輸入!$B$23,$A28=日期輸入!$C$23,$A28=日期輸入!$D$23,$A28=日期輸入!$E$23,$A28=日期輸入!$F$23)),"08-18水電科",IF(D28="大日","大隊值日(日)",IF(D28="大夜","大隊值日(夜)",IF(D28="值1","值1(早)",IF(D28="值1丙","值1(早) 丙案",IF(D28="值2","值2(中)",IF(D28="值2乙","值2(中) 乙案",IF(D28="夜值","夜值(晚)",IF(D28="甲夜","夜值(晚) 甲案",IF(D28="備","08-18",IF(OR(D28="支援秘書室",D28="支援出納室",D28="支援警務科",D28="支援事務股"),"支援總(大)隊",IF(D28="支援檢疫所","支援(其他)",IF(  D28="/","空班",  IF(  D28="丙",  "※ 丙案",  IF(  D28="丙常訓",  "※ 丙案 常訓",D28  )))))))))))))))))))))))))</f>
        <v/>
      </c>
      <c r="E68" s="271" t="str">
        <f>IF(E28="早","08-18",IF(E28="中","12-22",IF(E28="晚","22-08",IF(E28="X","輪休",IF(E28="公","公假",IF(OR(E28="病",E28="事"),"病(事)假",IF(OR(E28="婚",E28="產"),"婚(產)假",IF(E28="補","補休",IF(E28="休","休假",IF(E28="喪","喪假",IF(AND(E28="/",OR($A28=日期輸入!$B$23,$A28=日期輸入!$C$23,$A28=日期輸入!$D$23,$A28=日期輸入!$E$23,$A28=日期輸入!$F$23)),"08-18水電科",IF(E28="大日","大隊值日(日)",IF(E28="大夜","大隊值日(夜)",IF(E28="值1","值1(早)",IF(E28="值1丙","值1(早) 丙案",IF(E28="值2","值2(中)",IF(E28="值2乙","值2(中) 乙案",IF(E28="夜值","夜值(晚)",IF(E28="甲夜","夜值(晚) 甲案",IF(E28="備","08-18",IF(OR(E28="支援秘書室",E28="支援出納室",E28="支援警務科",E28="支援事務股"),"支援總(大)隊",IF(E28="支援檢疫所","支援(其他)",IF(  E28="/","空班",  IF(  E28="丙",  "※ 丙案",  IF(  E28="丙常訓",  "※ 丙案 常訓",E28  )))))))))))))))))))))))))</f>
        <v/>
      </c>
      <c r="F68" s="271" t="str">
        <f>IF(F28="早","08-18",IF(F28="中","12-22",IF(F28="晚","22-08",IF(F28="X","輪休",IF(F28="公","公假",IF(OR(F28="病",F28="事"),"病(事)假",IF(OR(F28="婚",F28="產"),"婚(產)假",IF(F28="補","補休",IF(F28="休","休假",IF(F28="喪","喪假",IF(AND(F28="/",OR($A28=日期輸入!$B$23,$A28=日期輸入!$C$23,$A28=日期輸入!$D$23,$A28=日期輸入!$E$23,$A28=日期輸入!$F$23)),"08-18水電科",IF(F28="大日","大隊值日(日)",IF(F28="大夜","大隊值日(夜)",IF(F28="值1","值1(早)",IF(F28="值1丙","值1(早) 丙案",IF(F28="值2","值2(中)",IF(F28="值2乙","值2(中) 乙案",IF(F28="夜值","夜值(晚)",IF(F28="甲夜","夜值(晚) 甲案",IF(F28="備","08-18",IF(OR(F28="支援秘書室",F28="支援出納室",F28="支援警務科",F28="支援事務股"),"支援總(大)隊",IF(F28="支援檢疫所","支援(其他)",IF(  F28="/","空班",  IF(  F28="丙",  "※ 丙案",  IF(  F28="丙常訓",  "※ 丙案 常訓",F28  )))))))))))))))))))))))))</f>
        <v/>
      </c>
      <c r="G68" s="271" t="str">
        <f>IF(G28="早","08-18",IF(G28="中","12-22",IF(G28="晚","22-08",IF(G28="X","輪休",IF(G28="公","公假",IF(OR(G28="病",G28="事"),"病(事)假",IF(OR(G28="婚",G28="產"),"婚(產)假",IF(G28="補","補休",IF(G28="休","休假",IF(G28="喪","喪假",IF(AND(G28="/",OR($A28=日期輸入!$B$23,$A28=日期輸入!$C$23,$A28=日期輸入!$D$23,$A28=日期輸入!$E$23,$A28=日期輸入!$F$23)),"08-18水電科",IF(G28="大日","大隊值日(日)",IF(G28="大夜","大隊值日(夜)",IF(G28="值1","值1(早)",IF(G28="值1丙","值1(早) 丙案",IF(G28="值2","值2(中)",IF(G28="值2乙","值2(中) 乙案",IF(G28="夜值","夜值(晚)",IF(G28="甲夜","夜值(晚) 甲案",IF(G28="備","08-18",IF(OR(G28="支援秘書室",G28="支援出納室",G28="支援警務科",G28="支援事務股"),"支援總(大)隊",IF(G28="支援檢疫所","支援(其他)",IF(  G28="/","空班",  IF(  G28="丙",  "※ 丙案",  IF(  G28="丙常訓",  "※ 丙案 常訓",G28  )))))))))))))))))))))))))</f>
        <v/>
      </c>
      <c r="H68" s="271" t="str">
        <f>IF(H28="早","08-18",IF(H28="中","12-22",IF(H28="晚","22-08",IF(H28="X","輪休",IF(H28="公","公假",IF(OR(H28="病",H28="事"),"病(事)假",IF(OR(H28="婚",H28="產"),"婚(產)假",IF(H28="補","補休",IF(H28="休","休假",IF(H28="喪","喪假",IF(AND(H28="/",OR($A28=日期輸入!$B$23,$A28=日期輸入!$C$23,$A28=日期輸入!$D$23,$A28=日期輸入!$E$23,$A28=日期輸入!$F$23)),"08-18水電科",IF(H28="大日","大隊值日(日)",IF(H28="大夜","大隊值日(夜)",IF(H28="值1","值1(早)",IF(H28="值1丙","值1(早) 丙案",IF(H28="值2","值2(中)",IF(H28="值2乙","值2(中) 乙案",IF(H28="夜值","夜值(晚)",IF(H28="甲夜","夜值(晚) 甲案",IF(H28="備","08-18",IF(OR(H28="支援秘書室",H28="支援出納室",H28="支援警務科",H28="支援事務股"),"支援總(大)隊",IF(H28="支援檢疫所","支援(其他)",IF(  H28="/","空班",  IF(  H28="丙",  "※ 丙案",  IF(  H28="丙常訓",  "※ 丙案 常訓",H28  )))))))))))))))))))))))))</f>
        <v/>
      </c>
      <c r="I68" s="271" t="str">
        <f>IF(I28="早","08-18",IF(I28="中","12-22",IF(I28="晚","22-08",IF(I28="X","輪休",IF(I28="公","公假",IF(OR(I28="病",I28="事"),"病(事)假",IF(OR(I28="婚",I28="產"),"婚(產)假",IF(I28="補","補休",IF(I28="休","休假",IF(I28="喪","喪假",IF(AND(I28="/",OR($A28=日期輸入!$B$23,$A28=日期輸入!$C$23,$A28=日期輸入!$D$23,$A28=日期輸入!$E$23,$A28=日期輸入!$F$23)),"08-18水電科",IF(I28="大日","大隊值日(日)",IF(I28="大夜","大隊值日(夜)",IF(I28="值1","值1(早)",IF(I28="值1丙","值1(早) 丙案",IF(I28="值2","值2(中)",IF(I28="值2乙","值2(中) 乙案",IF(I28="夜值","夜值(晚)",IF(I28="甲夜","夜值(晚) 甲案",IF(I28="備","08-18",IF(OR(I28="支援秘書室",I28="支援出納室",I28="支援警務科",I28="支援事務股"),"支援總(大)隊",IF(I28="支援檢疫所","支援(其他)",IF(  I28="/","空班",  IF(  I28="丙",  "※ 丙案",  IF(  I28="丙常訓",  "※ 丙案 常訓",I28  )))))))))))))))))))))))))</f>
        <v/>
      </c>
      <c r="J68" s="271" t="str">
        <f>IF(J28="早","08-18",IF(J28="中","12-22",IF(J28="晚","22-08",IF(J28="X","輪休",IF(J28="公","公假",IF(OR(J28="病",J28="事"),"病(事)假",IF(OR(J28="婚",J28="產"),"婚(產)假",IF(J28="補","補休",IF(J28="休","休假",IF(J28="喪","喪假",IF(AND(J28="/",OR($A28=日期輸入!$B$23,$A28=日期輸入!$C$23,$A28=日期輸入!$D$23,$A28=日期輸入!$E$23,$A28=日期輸入!$F$23)),"08-18水電科",IF(J28="大日","大隊值日(日)",IF(J28="大夜","大隊值日(夜)",IF(J28="值1","值1(早)",IF(J28="值1丙","值1(早) 丙案",IF(J28="值2","值2(中)",IF(J28="值2乙","值2(中) 乙案",IF(J28="夜值","夜值(晚)",IF(J28="甲夜","夜值(晚) 甲案",IF(J28="備","08-18",IF(OR(J28="支援秘書室",J28="支援出納室",J28="支援警務科",J28="支援事務股"),"支援總(大)隊",IF(J28="支援檢疫所","支援(其他)",IF(  J28="/","空班",  IF(  J28="丙",  "※ 丙案",  IF(  J28="丙常訓",  "※ 丙案 常訓",J28  )))))))))))))))))))))))))</f>
        <v/>
      </c>
      <c r="K68" s="271" t="str">
        <f>IF(K28="早","08-18",IF(K28="中","12-22",IF(K28="晚","22-08",IF(K28="X","輪休",IF(K28="公","公假",IF(OR(K28="病",K28="事"),"病(事)假",IF(OR(K28="婚",K28="產"),"婚(產)假",IF(K28="補","補休",IF(K28="休","休假",IF(K28="喪","喪假",IF(AND(K28="/",OR($A28=日期輸入!$B$23,$A28=日期輸入!$C$23,$A28=日期輸入!$D$23,$A28=日期輸入!$E$23,$A28=日期輸入!$F$23)),"08-18水電科",IF(K28="大日","大隊值日(日)",IF(K28="大夜","大隊值日(夜)",IF(K28="值1","值1(早)",IF(K28="值1丙","值1(早) 丙案",IF(K28="值2","值2(中)",IF(K28="值2乙","值2(中) 乙案",IF(K28="夜值","夜值(晚)",IF(K28="甲夜","夜值(晚) 甲案",IF(K28="備","08-18",IF(OR(K28="支援秘書室",K28="支援出納室",K28="支援警務科",K28="支援事務股"),"支援總(大)隊",IF(K28="支援檢疫所","支援(其他)",IF(  K28="/","空班",  IF(  K28="丙",  "※ 丙案",  IF(  K28="丙常訓",  "※ 丙案 常訓",K28  )))))))))))))))))))))))))</f>
        <v/>
      </c>
      <c r="L68" s="271" t="str">
        <f>IF(L28="早","08-18",IF(L28="中","12-22",IF(L28="晚","22-08",IF(L28="X","輪休",IF(L28="公","公假",IF(OR(L28="病",L28="事"),"病(事)假",IF(OR(L28="婚",L28="產"),"婚(產)假",IF(L28="補","補休",IF(L28="休","休假",IF(L28="喪","喪假",IF(AND(L28="/",OR($A28=日期輸入!$B$23,$A28=日期輸入!$C$23,$A28=日期輸入!$D$23,$A28=日期輸入!$E$23,$A28=日期輸入!$F$23)),"08-18水電科",IF(L28="大日","大隊值日(日)",IF(L28="大夜","大隊值日(夜)",IF(L28="值1","值1(早)",IF(L28="值1丙","值1(早) 丙案",IF(L28="值2","值2(中)",IF(L28="值2乙","值2(中) 乙案",IF(L28="夜值","夜值(晚)",IF(L28="甲夜","夜值(晚) 甲案",IF(L28="備","08-18",IF(OR(L28="支援秘書室",L28="支援出納室",L28="支援警務科",L28="支援事務股"),"支援總(大)隊",IF(L28="支援檢疫所","支援(其他)",IF(  L28="/","空班",  IF(  L28="丙",  "※ 丙案",  IF(  L28="丙常訓",  "※ 丙案 常訓",L28  )))))))))))))))))))))))))</f>
        <v/>
      </c>
      <c r="M68" s="271" t="str">
        <f>IF(M28="早","08-18",IF(M28="中","12-22",IF(M28="晚","22-08",IF(M28="X","輪休",IF(M28="公","公假",IF(OR(M28="病",M28="事"),"病(事)假",IF(OR(M28="婚",M28="產"),"婚(產)假",IF(M28="補","補休",IF(M28="休","休假",IF(M28="喪","喪假",IF(AND(M28="/",OR($A28=日期輸入!$B$23,$A28=日期輸入!$C$23,$A28=日期輸入!$D$23,$A28=日期輸入!$E$23,$A28=日期輸入!$F$23)),"08-18水電科",IF(M28="大日","大隊值日(日)",IF(M28="大夜","大隊值日(夜)",IF(M28="值1","值1(早)",IF(M28="值1丙","值1(早) 丙案",IF(M28="值2","值2(中)",IF(M28="值2乙","值2(中) 乙案",IF(M28="夜值","夜值(晚)",IF(M28="甲夜","夜值(晚) 甲案",IF(M28="備","08-18",IF(OR(M28="支援秘書室",M28="支援出納室",M28="支援警務科",M28="支援事務股"),"支援總(大)隊",IF(M28="支援檢疫所","支援(其他)",IF(  M28="/","空班",  IF(  M28="丙",  "※ 丙案",  IF(  M28="丙常訓",  "※ 丙案 常訓",M28  )))))))))))))))))))))))))</f>
        <v/>
      </c>
      <c r="N68" s="271" t="str">
        <f>IF(N28="早","08-18",IF(N28="中","12-22",IF(N28="晚","22-08",IF(N28="X","輪休",IF(N28="公","公假",IF(OR(N28="病",N28="事"),"病(事)假",IF(OR(N28="婚",N28="產"),"婚(產)假",IF(N28="補","補休",IF(N28="休","休假",IF(N28="喪","喪假",IF(AND(N28="/",OR($A28=日期輸入!$B$23,$A28=日期輸入!$C$23,$A28=日期輸入!$D$23,$A28=日期輸入!$E$23,$A28=日期輸入!$F$23)),"08-18水電科",IF(N28="大日","大隊值日(日)",IF(N28="大夜","大隊值日(夜)",IF(N28="值1","值1(早)",IF(N28="值1丙","值1(早) 丙案",IF(N28="值2","值2(中)",IF(N28="值2乙","值2(中) 乙案",IF(N28="夜值","夜值(晚)",IF(N28="甲夜","夜值(晚) 甲案",IF(N28="備","08-18",IF(OR(N28="支援秘書室",N28="支援出納室",N28="支援警務科",N28="支援事務股"),"支援總(大)隊",IF(N28="支援檢疫所","支援(其他)",IF(  N28="/","空班",  IF(  N28="丙",  "※ 丙案",  IF(  N28="丙常訓",  "※ 丙案 常訓",N28  )))))))))))))))))))))))))</f>
        <v/>
      </c>
      <c r="O68" s="271" t="str">
        <f>IF(O28="早","08-18",IF(O28="中","12-22",IF(O28="晚","22-08",IF(O28="X","輪休",IF(O28="公","公假",IF(OR(O28="病",O28="事"),"病(事)假",IF(OR(O28="婚",O28="產"),"婚(產)假",IF(O28="補","補休",IF(O28="休","休假",IF(O28="喪","喪假",IF(AND(O28="/",OR($A28=日期輸入!$B$23,$A28=日期輸入!$C$23,$A28=日期輸入!$D$23,$A28=日期輸入!$E$23,$A28=日期輸入!$F$23)),"08-18水電科",IF(O28="大日","大隊值日(日)",IF(O28="大夜","大隊值日(夜)",IF(O28="值1","值1(早)",IF(O28="值1丙","值1(早) 丙案",IF(O28="值2","值2(中)",IF(O28="值2乙","值2(中) 乙案",IF(O28="夜值","夜值(晚)",IF(O28="甲夜","夜值(晚) 甲案",IF(O28="備","08-18",IF(OR(O28="支援秘書室",O28="支援出納室",O28="支援警務科",O28="支援事務股"),"支援總(大)隊",IF(O28="支援檢疫所","支援(其他)",IF(  O28="/","空班",  IF(  O28="丙",  "※ 丙案",  IF(  O28="丙常訓",  "※ 丙案 常訓",O28  )))))))))))))))))))))))))</f>
        <v/>
      </c>
      <c r="P68" s="271" t="str">
        <f>IF(P28="早","08-18",IF(P28="中","12-22",IF(P28="晚","22-08",IF(P28="X","輪休",IF(P28="公","公假",IF(OR(P28="病",P28="事"),"病(事)假",IF(OR(P28="婚",P28="產"),"婚(產)假",IF(P28="補","補休",IF(P28="休","休假",IF(P28="喪","喪假",IF(AND(P28="/",OR($A28=日期輸入!$B$23,$A28=日期輸入!$C$23,$A28=日期輸入!$D$23,$A28=日期輸入!$E$23,$A28=日期輸入!$F$23)),"08-18水電科",IF(P28="大日","大隊值日(日)",IF(P28="大夜","大隊值日(夜)",IF(P28="值1","值1(早)",IF(P28="值1丙","值1(早) 丙案",IF(P28="值2","值2(中)",IF(P28="值2乙","值2(中) 乙案",IF(P28="夜值","夜值(晚)",IF(P28="甲夜","夜值(晚) 甲案",IF(P28="備","08-18",IF(OR(P28="支援秘書室",P28="支援出納室",P28="支援警務科",P28="支援事務股"),"支援總(大)隊",IF(P28="支援檢疫所","支援(其他)",IF(  P28="/","空班",  IF(  P28="丙",  "※ 丙案",  IF(  P28="丙常訓",  "※ 丙案 常訓",P28  )))))))))))))))))))))))))</f>
        <v/>
      </c>
      <c r="Q68" s="271" t="str">
        <f>IF(Q28="早","08-18",IF(Q28="中","12-22",IF(Q28="晚","22-08",IF(Q28="X","輪休",IF(Q28="公","公假",IF(OR(Q28="病",Q28="事"),"病(事)假",IF(OR(Q28="婚",Q28="產"),"婚(產)假",IF(Q28="補","補休",IF(Q28="休","休假",IF(Q28="喪","喪假",IF(AND(Q28="/",OR($A28=日期輸入!$B$23,$A28=日期輸入!$C$23,$A28=日期輸入!$D$23,$A28=日期輸入!$E$23,$A28=日期輸入!$F$23)),"08-18水電科",IF(Q28="大日","大隊值日(日)",IF(Q28="大夜","大隊值日(夜)",IF(Q28="值1","值1(早)",IF(Q28="值1丙","值1(早) 丙案",IF(Q28="值2","值2(中)",IF(Q28="值2乙","值2(中) 乙案",IF(Q28="夜值","夜值(晚)",IF(Q28="甲夜","夜值(晚) 甲案",IF(Q28="備","08-18",IF(OR(Q28="支援秘書室",Q28="支援出納室",Q28="支援警務科",Q28="支援事務股"),"支援總(大)隊",IF(Q28="支援檢疫所","支援(其他)",IF(  Q28="/","空班",  IF(  Q28="丙",  "※ 丙案",  IF(  Q28="丙常訓",  "※ 丙案 常訓",Q28  )))))))))))))))))))))))))</f>
        <v/>
      </c>
      <c r="R68" s="271" t="str">
        <f>IF(R28="早","08-18",IF(R28="中","12-22",IF(R28="晚","22-08",IF(R28="X","輪休",IF(R28="公","公假",IF(OR(R28="病",R28="事"),"病(事)假",IF(OR(R28="婚",R28="產"),"婚(產)假",IF(R28="補","補休",IF(R28="休","休假",IF(R28="喪","喪假",IF(AND(R28="/",OR($A28=日期輸入!$B$23,$A28=日期輸入!$C$23,$A28=日期輸入!$D$23,$A28=日期輸入!$E$23,$A28=日期輸入!$F$23)),"08-18水電科",IF(R28="大日","大隊值日(日)",IF(R28="大夜","大隊值日(夜)",IF(R28="值1","值1(早)",IF(R28="值1丙","值1(早) 丙案",IF(R28="值2","值2(中)",IF(R28="值2乙","值2(中) 乙案",IF(R28="夜值","夜值(晚)",IF(R28="甲夜","夜值(晚) 甲案",IF(R28="備","08-18",IF(OR(R28="支援秘書室",R28="支援出納室",R28="支援警務科",R28="支援事務股"),"支援總(大)隊",IF(R28="支援檢疫所","支援(其他)",IF(  R28="/","空班",  IF(  R28="丙",  "※ 丙案",  IF(  R28="丙常訓",  "※ 丙案 常訓",R28  )))))))))))))))))))))))))</f>
        <v/>
      </c>
      <c r="S68" s="271" t="str">
        <f>IF(S28="早","08-18",IF(S28="中","12-22",IF(S28="晚","22-08",IF(S28="X","輪休",IF(S28="公","公假",IF(OR(S28="病",S28="事"),"病(事)假",IF(OR(S28="婚",S28="產"),"婚(產)假",IF(S28="補","補休",IF(S28="休","休假",IF(S28="喪","喪假",IF(AND(S28="/",OR($A28=日期輸入!$B$23,$A28=日期輸入!$C$23,$A28=日期輸入!$D$23,$A28=日期輸入!$E$23,$A28=日期輸入!$F$23)),"08-18水電科",IF(S28="大日","大隊值日(日)",IF(S28="大夜","大隊值日(夜)",IF(S28="值1","值1(早)",IF(S28="值1丙","值1(早) 丙案",IF(S28="值2","值2(中)",IF(S28="值2乙","值2(中) 乙案",IF(S28="夜值","夜值(晚)",IF(S28="甲夜","夜值(晚) 甲案",IF(S28="備","08-18",IF(OR(S28="支援秘書室",S28="支援出納室",S28="支援警務科",S28="支援事務股"),"支援總(大)隊",IF(S28="支援檢疫所","支援(其他)",IF(  S28="/","空班",  IF(  S28="丙",  "※ 丙案",  IF(  S28="丙常訓",  "※ 丙案 常訓",S28  )))))))))))))))))))))))))</f>
        <v/>
      </c>
      <c r="T68" s="271" t="str">
        <f>IF(T28="早","08-18",IF(T28="中","12-22",IF(T28="晚","22-08",IF(T28="X","輪休",IF(T28="公","公假",IF(OR(T28="病",T28="事"),"病(事)假",IF(OR(T28="婚",T28="產"),"婚(產)假",IF(T28="補","補休",IF(T28="休","休假",IF(T28="喪","喪假",IF(AND(T28="/",OR($A28=日期輸入!$B$23,$A28=日期輸入!$C$23,$A28=日期輸入!$D$23,$A28=日期輸入!$E$23,$A28=日期輸入!$F$23)),"08-18水電科",IF(T28="大日","大隊值日(日)",IF(T28="大夜","大隊值日(夜)",IF(T28="值1","值1(早)",IF(T28="值1丙","值1(早) 丙案",IF(T28="值2","值2(中)",IF(T28="值2乙","值2(中) 乙案",IF(T28="夜值","夜值(晚)",IF(T28="甲夜","夜值(晚) 甲案",IF(T28="備","08-18",IF(OR(T28="支援秘書室",T28="支援出納室",T28="支援警務科",T28="支援事務股"),"支援總(大)隊",IF(T28="支援檢疫所","支援(其他)",IF(  T28="/","空班",  IF(  T28="丙",  "※ 丙案",  IF(  T28="丙常訓",  "※ 丙案 常訓",T28  )))))))))))))))))))))))))</f>
        <v/>
      </c>
      <c r="U68" s="271" t="str">
        <f>IF(U28="早","08-18",IF(U28="中","12-22",IF(U28="晚","22-08",IF(U28="X","輪休",IF(U28="公","公假",IF(OR(U28="病",U28="事"),"病(事)假",IF(OR(U28="婚",U28="產"),"婚(產)假",IF(U28="補","補休",IF(U28="休","休假",IF(U28="喪","喪假",IF(AND(U28="/",OR($A28=日期輸入!$B$23,$A28=日期輸入!$C$23,$A28=日期輸入!$D$23,$A28=日期輸入!$E$23,$A28=日期輸入!$F$23)),"08-18水電科",IF(U28="大日","大隊值日(日)",IF(U28="大夜","大隊值日(夜)",IF(U28="值1","值1(早)",IF(U28="值1丙","值1(早) 丙案",IF(U28="值2","值2(中)",IF(U28="值2乙","值2(中) 乙案",IF(U28="夜值","夜值(晚)",IF(U28="甲夜","夜值(晚) 甲案",IF(U28="備","08-18",IF(OR(U28="支援秘書室",U28="支援出納室",U28="支援警務科",U28="支援事務股"),"支援總(大)隊",IF(U28="支援檢疫所","支援(其他)",IF(  U28="/","空班",  IF(  U28="丙",  "※ 丙案",  IF(  U28="丙常訓",  "※ 丙案 常訓",U28  )))))))))))))))))))))))))</f>
        <v/>
      </c>
      <c r="V68" s="271" t="str">
        <f>IF(V28="早","08-18",IF(V28="中","12-22",IF(V28="晚","22-08",IF(V28="X","輪休",IF(V28="公","公假",IF(OR(V28="病",V28="事"),"病(事)假",IF(OR(V28="婚",V28="產"),"婚(產)假",IF(V28="補","補休",IF(V28="休","休假",IF(V28="喪","喪假",IF(AND(V28="/",OR($A28=日期輸入!$B$23,$A28=日期輸入!$C$23,$A28=日期輸入!$D$23,$A28=日期輸入!$E$23,$A28=日期輸入!$F$23)),"08-18水電科",IF(V28="大日","大隊值日(日)",IF(V28="大夜","大隊值日(夜)",IF(V28="值1","值1(早)",IF(V28="值1丙","值1(早) 丙案",IF(V28="值2","值2(中)",IF(V28="值2乙","值2(中) 乙案",IF(V28="夜值","夜值(晚)",IF(V28="甲夜","夜值(晚) 甲案",IF(V28="備","08-18",IF(OR(V28="支援秘書室",V28="支援出納室",V28="支援警務科",V28="支援事務股"),"支援總(大)隊",IF(V28="支援檢疫所","支援(其他)",IF(  V28="/","空班",  IF(  V28="丙",  "※ 丙案",  IF(  V28="丙常訓",  "※ 丙案 常訓",V28  )))))))))))))))))))))))))</f>
        <v/>
      </c>
      <c r="W68" s="271" t="str">
        <f>IF(W28="早","08-18",IF(W28="中","12-22",IF(W28="晚","22-08",IF(W28="X","輪休",IF(W28="公","公假",IF(OR(W28="病",W28="事"),"病(事)假",IF(OR(W28="婚",W28="產"),"婚(產)假",IF(W28="補","補休",IF(W28="休","休假",IF(W28="喪","喪假",IF(AND(W28="/",OR($A28=日期輸入!$B$23,$A28=日期輸入!$C$23,$A28=日期輸入!$D$23,$A28=日期輸入!$E$23,$A28=日期輸入!$F$23)),"08-18水電科",IF(W28="大日","大隊值日(日)",IF(W28="大夜","大隊值日(夜)",IF(W28="值1","值1(早)",IF(W28="值1丙","值1(早) 丙案",IF(W28="值2","值2(中)",IF(W28="值2乙","值2(中) 乙案",IF(W28="夜值","夜值(晚)",IF(W28="甲夜","夜值(晚) 甲案",IF(W28="備","08-18",IF(OR(W28="支援秘書室",W28="支援出納室",W28="支援警務科",W28="支援事務股"),"支援總(大)隊",IF(W28="支援檢疫所","支援(其他)",IF(  W28="/","空班",  IF(  W28="丙",  "※ 丙案",  IF(  W28="丙常訓",  "※ 丙案 常訓",W28  )))))))))))))))))))))))))</f>
        <v/>
      </c>
      <c r="X68" s="271" t="str">
        <f>IF(X28="早","08-18",IF(X28="中","12-22",IF(X28="晚","22-08",IF(X28="X","輪休",IF(X28="公","公假",IF(OR(X28="病",X28="事"),"病(事)假",IF(OR(X28="婚",X28="產"),"婚(產)假",IF(X28="補","補休",IF(X28="休","休假",IF(X28="喪","喪假",IF(AND(X28="/",OR($A28=日期輸入!$B$23,$A28=日期輸入!$C$23,$A28=日期輸入!$D$23,$A28=日期輸入!$E$23,$A28=日期輸入!$F$23)),"08-18水電科",IF(X28="大日","大隊值日(日)",IF(X28="大夜","大隊值日(夜)",IF(X28="值1","值1(早)",IF(X28="值1丙","值1(早) 丙案",IF(X28="值2","值2(中)",IF(X28="值2乙","值2(中) 乙案",IF(X28="夜值","夜值(晚)",IF(X28="甲夜","夜值(晚) 甲案",IF(X28="備","08-18",IF(OR(X28="支援秘書室",X28="支援出納室",X28="支援警務科",X28="支援事務股"),"支援總(大)隊",IF(X28="支援檢疫所","支援(其他)",IF(  X28="/","空班",  IF(  X28="丙",  "※ 丙案",  IF(  X28="丙常訓",  "※ 丙案 常訓",X28  )))))))))))))))))))))))))</f>
        <v/>
      </c>
      <c r="Y68" s="271" t="str">
        <f>IF(Y28="早","08-18",IF(Y28="中","12-22",IF(Y28="晚","22-08",IF(Y28="X","輪休",IF(Y28="公","公假",IF(OR(Y28="病",Y28="事"),"病(事)假",IF(OR(Y28="婚",Y28="產"),"婚(產)假",IF(Y28="補","補休",IF(Y28="休","休假",IF(Y28="喪","喪假",IF(AND(Y28="/",OR($A28=日期輸入!$B$23,$A28=日期輸入!$C$23,$A28=日期輸入!$D$23,$A28=日期輸入!$E$23,$A28=日期輸入!$F$23)),"08-18水電科",IF(Y28="大日","大隊值日(日)",IF(Y28="大夜","大隊值日(夜)",IF(Y28="值1","值1(早)",IF(Y28="值1丙","值1(早) 丙案",IF(Y28="值2","值2(中)",IF(Y28="值2乙","值2(中) 乙案",IF(Y28="夜值","夜值(晚)",IF(Y28="甲夜","夜值(晚) 甲案",IF(Y28="備","08-18",IF(OR(Y28="支援秘書室",Y28="支援出納室",Y28="支援警務科",Y28="支援事務股"),"支援總(大)隊",IF(Y28="支援檢疫所","支援(其他)",IF(  Y28="/","空班",  IF(  Y28="丙",  "※ 丙案",  IF(  Y28="丙常訓",  "※ 丙案 常訓",Y28  )))))))))))))))))))))))))</f>
        <v/>
      </c>
      <c r="Z68" s="271" t="str">
        <f>IF(Z28="早","08-18",IF(Z28="中","12-22",IF(Z28="晚","22-08",IF(Z28="X","輪休",IF(Z28="公","公假",IF(OR(Z28="病",Z28="事"),"病(事)假",IF(OR(Z28="婚",Z28="產"),"婚(產)假",IF(Z28="補","補休",IF(Z28="休","休假",IF(Z28="喪","喪假",IF(AND(Z28="/",OR($A28=日期輸入!$B$23,$A28=日期輸入!$C$23,$A28=日期輸入!$D$23,$A28=日期輸入!$E$23,$A28=日期輸入!$F$23)),"08-18水電科",IF(Z28="大日","大隊值日(日)",IF(Z28="大夜","大隊值日(夜)",IF(Z28="值1","值1(早)",IF(Z28="值1丙","值1(早) 丙案",IF(Z28="值2","值2(中)",IF(Z28="值2乙","值2(中) 乙案",IF(Z28="夜值","夜值(晚)",IF(Z28="甲夜","夜值(晚) 甲案",IF(Z28="備","08-18",IF(OR(Z28="支援秘書室",Z28="支援出納室",Z28="支援警務科",Z28="支援事務股"),"支援總(大)隊",IF(Z28="支援檢疫所","支援(其他)",IF(  Z28="/","空班",  IF(  Z28="丙",  "※ 丙案",  IF(  Z28="丙常訓",  "※ 丙案 常訓",Z28  )))))))))))))))))))))))))</f>
        <v/>
      </c>
      <c r="AA68" s="271" t="str">
        <f>IF(AA28="早","08-18",IF(AA28="中","12-22",IF(AA28="晚","22-08",IF(AA28="X","輪休",IF(AA28="公","公假",IF(OR(AA28="病",AA28="事"),"病(事)假",IF(OR(AA28="婚",AA28="產"),"婚(產)假",IF(AA28="補","補休",IF(AA28="休","休假",IF(AA28="喪","喪假",IF(AND(AA28="/",OR($A28=日期輸入!$B$23,$A28=日期輸入!$C$23,$A28=日期輸入!$D$23,$A28=日期輸入!$E$23,$A28=日期輸入!$F$23)),"08-18水電科",IF(AA28="大日","大隊值日(日)",IF(AA28="大夜","大隊值日(夜)",IF(AA28="值1","值1(早)",IF(AA28="值1丙","值1(早) 丙案",IF(AA28="值2","值2(中)",IF(AA28="值2乙","值2(中) 乙案",IF(AA28="夜值","夜值(晚)",IF(AA28="甲夜","夜值(晚) 甲案",IF(AA28="備","08-18",IF(OR(AA28="支援秘書室",AA28="支援出納室",AA28="支援警務科",AA28="支援事務股"),"支援總(大)隊",IF(AA28="支援檢疫所","支援(其他)",IF(  AA28="/","空班",  IF(  AA28="丙",  "※ 丙案",  IF(  AA28="丙常訓",  "※ 丙案 常訓",AA28  )))))))))))))))))))))))))</f>
        <v/>
      </c>
      <c r="AB68" s="271" t="str">
        <f>IF(AB28="早","08-18",IF(AB28="中","12-22",IF(AB28="晚","22-08",IF(AB28="X","輪休",IF(AB28="公","公假",IF(OR(AB28="病",AB28="事"),"病(事)假",IF(OR(AB28="婚",AB28="產"),"婚(產)假",IF(AB28="補","補休",IF(AB28="休","休假",IF(AB28="喪","喪假",IF(AND(AB28="/",OR($A28=日期輸入!$B$23,$A28=日期輸入!$C$23,$A28=日期輸入!$D$23,$A28=日期輸入!$E$23,$A28=日期輸入!$F$23)),"08-18水電科",IF(AB28="大日","大隊值日(日)",IF(AB28="大夜","大隊值日(夜)",IF(AB28="值1","值1(早)",IF(AB28="值1丙","值1(早) 丙案",IF(AB28="值2","值2(中)",IF(AB28="值2乙","值2(中) 乙案",IF(AB28="夜值","夜值(晚)",IF(AB28="甲夜","夜值(晚) 甲案",IF(AB28="備","08-18",IF(OR(AB28="支援秘書室",AB28="支援出納室",AB28="支援警務科",AB28="支援事務股"),"支援總(大)隊",IF(AB28="支援檢疫所","支援(其他)",IF(  AB28="/","空班",  IF(  AB28="丙",  "※ 丙案",  IF(  AB28="丙常訓",  "※ 丙案 常訓",AB28  )))))))))))))))))))))))))</f>
        <v/>
      </c>
      <c r="AC68" s="271" t="str">
        <f>IF(AC28="早","08-18",IF(AC28="中","12-22",IF(AC28="晚","22-08",IF(AC28="X","輪休",IF(AC28="公","公假",IF(OR(AC28="病",AC28="事"),"病(事)假",IF(OR(AC28="婚",AC28="產"),"婚(產)假",IF(AC28="補","補休",IF(AC28="休","休假",IF(AC28="喪","喪假",IF(AND(AC28="/",OR($A28=日期輸入!$B$23,$A28=日期輸入!$C$23,$A28=日期輸入!$D$23,$A28=日期輸入!$E$23,$A28=日期輸入!$F$23)),"08-18水電科",IF(AC28="大日","大隊值日(日)",IF(AC28="大夜","大隊值日(夜)",IF(AC28="值1","值1(早)",IF(AC28="值1丙","值1(早) 丙案",IF(AC28="值2","值2(中)",IF(AC28="值2乙","值2(中) 乙案",IF(AC28="夜值","夜值(晚)",IF(AC28="甲夜","夜值(晚) 甲案",IF(AC28="備","08-18",IF(OR(AC28="支援秘書室",AC28="支援出納室",AC28="支援警務科",AC28="支援事務股"),"支援總(大)隊",IF(AC28="支援檢疫所","支援(其他)",IF(  AC28="/","空班",  IF(  AC28="丙",  "※ 丙案",  IF(  AC28="丙常訓",  "※ 丙案 常訓",AC28  )))))))))))))))))))))))))</f>
        <v/>
      </c>
      <c r="AD68" s="271" t="str">
        <f>IF(AD28="早","08-18",IF(AD28="中","12-22",IF(AD28="晚","22-08",IF(AD28="X","輪休",IF(AD28="公","公假",IF(OR(AD28="病",AD28="事"),"病(事)假",IF(OR(AD28="婚",AD28="產"),"婚(產)假",IF(AD28="補","補休",IF(AD28="休","休假",IF(AD28="喪","喪假",IF(AND(AD28="/",OR($A28=日期輸入!$B$23,$A28=日期輸入!$C$23,$A28=日期輸入!$D$23,$A28=日期輸入!$E$23,$A28=日期輸入!$F$23)),"08-18水電科",IF(AD28="大日","大隊值日(日)",IF(AD28="大夜","大隊值日(夜)",IF(AD28="值1","值1(早)",IF(AD28="值1丙","值1(早) 丙案",IF(AD28="值2","值2(中)",IF(AD28="值2乙","值2(中) 乙案",IF(AD28="夜值","夜值(晚)",IF(AD28="甲夜","夜值(晚) 甲案",IF(AD28="備","08-18",IF(OR(AD28="支援秘書室",AD28="支援出納室",AD28="支援警務科",AD28="支援事務股"),"支援總(大)隊",IF(AD28="支援檢疫所","支援(其他)",IF(  AD28="/","空班",  IF(  AD28="丙",  "※ 丙案",  IF(  AD28="丙常訓",  "※ 丙案 常訓",AD28  )))))))))))))))))))))))))</f>
        <v/>
      </c>
      <c r="AE68" s="271" t="str">
        <f>IF(AE28="早","08-18",IF(AE28="中","12-22",IF(AE28="晚","22-08",IF(AE28="X","輪休",IF(AE28="公","公假",IF(OR(AE28="病",AE28="事"),"病(事)假",IF(OR(AE28="婚",AE28="產"),"婚(產)假",IF(AE28="補","補休",IF(AE28="休","休假",IF(AE28="喪","喪假",IF(AND(AE28="/",OR($A28=日期輸入!$B$23,$A28=日期輸入!$C$23,$A28=日期輸入!$D$23,$A28=日期輸入!$E$23,$A28=日期輸入!$F$23)),"08-18水電科",IF(AE28="大日","大隊值日(日)",IF(AE28="大夜","大隊值日(夜)",IF(AE28="值1","值1(早)",IF(AE28="值1丙","值1(早) 丙案",IF(AE28="值2","值2(中)",IF(AE28="值2乙","值2(中) 乙案",IF(AE28="夜值","夜值(晚)",IF(AE28="甲夜","夜值(晚) 甲案",IF(AE28="備","08-18",IF(OR(AE28="支援秘書室",AE28="支援出納室",AE28="支援警務科",AE28="支援事務股"),"支援總(大)隊",IF(AE28="支援檢疫所","支援(其他)",IF(  AE28="/","空班",  IF(  AE28="丙",  "※ 丙案",  IF(  AE28="丙常訓",  "※ 丙案 常訓",AE28  )))))))))))))))))))))))))</f>
        <v/>
      </c>
      <c r="AF68" s="271" t="str">
        <f>IF(AF28="早","08-18",IF(AF28="中","12-22",IF(AF28="晚","22-08",IF(AF28="X","輪休",IF(AF28="公","公假",IF(OR(AF28="病",AF28="事"),"病(事)假",IF(OR(AF28="婚",AF28="產"),"婚(產)假",IF(AF28="補","補休",IF(AF28="休","休假",IF(AF28="喪","喪假",IF(AND(AF28="/",OR($A28=日期輸入!$B$23,$A28=日期輸入!$C$23,$A28=日期輸入!$D$23,$A28=日期輸入!$E$23,$A28=日期輸入!$F$23)),"08-18水電科",IF(AF28="大日","大隊值日(日)",IF(AF28="大夜","大隊值日(夜)",IF(AF28="值1","值1(早)",IF(AF28="值1丙","值1(早) 丙案",IF(AF28="值2","值2(中)",IF(AF28="值2乙","值2(中) 乙案",IF(AF28="夜值","夜值(晚)",IF(AF28="甲夜","夜值(晚) 甲案",IF(AF28="備","08-18",IF(OR(AF28="支援秘書室",AF28="支援出納室",AF28="支援警務科",AF28="支援事務股"),"支援總(大)隊",IF(AF28="支援檢疫所","支援(其他)",IF(  AF28="/","空班",  IF(  AF28="丙",  "※ 丙案",  IF(  AF28="丙常訓",  "※ 丙案 常訓",AF28  )))))))))))))))))))))))))</f>
        <v/>
      </c>
      <c r="AG68" s="271" t="str">
        <f>IF(AG28="早","08-18",IF(AG28="中","12-22",IF(AG28="晚","22-08",IF(AG28="X","輪休",IF(AG28="公","公假",IF(OR(AG28="病",AG28="事"),"病(事)假",IF(OR(AG28="婚",AG28="產"),"婚(產)假",IF(AG28="補","補休",IF(AG28="休","休假",IF(AG28="喪","喪假",IF(AND(AG28="/",OR($A28=日期輸入!$B$23,$A28=日期輸入!$C$23,$A28=日期輸入!$D$23,$A28=日期輸入!$E$23,$A28=日期輸入!$F$23)),"08-18水電科",IF(AG28="大日","大隊值日(日)",IF(AG28="大夜","大隊值日(夜)",IF(AG28="值1","值1(早)",IF(AG28="值1丙","值1(早) 丙案",IF(AG28="值2","值2(中)",IF(AG28="值2乙","值2(中) 乙案",IF(AG28="夜值","夜值(晚)",IF(AG28="甲夜","夜值(晚) 甲案",IF(AG28="備","08-18",IF(OR(AG28="支援秘書室",AG28="支援出納室",AG28="支援警務科",AG28="支援事務股"),"支援總(大)隊",IF(AG28="支援檢疫所","支援(其他)",IF(  AG28="/","空班",  IF(  AG28="丙",  "※ 丙案",  IF(  AG28="丙常訓",  "※ 丙案 常訓",AG28  )))))))))))))))))))))))))</f>
        <v/>
      </c>
    </row>
    <row r="69" spans="1:33">
      <c r="A69" s="271" t="str">
        <f t="shared" ref="A69:B69" si="28">A29</f>
        <v/>
      </c>
      <c r="B69" s="271" t="str">
        <f t="shared" si="28"/>
        <v/>
      </c>
      <c r="C69" s="271" t="str">
        <f>IF(C29="早","08-18",IF(C29="中","12-22",IF(C29="晚","22-08",IF(C29="X","輪休",IF(C29="公","公假",IF(OR(C29="病",C29="事"),"病(事)假",IF(OR(C29="婚",C29="產"),"婚(產)假",IF(C29="補","補休",IF(C29="休","休假",IF(C29="喪","喪假",IF(AND(C29="/",OR($A29=日期輸入!$B$23,$A29=日期輸入!$C$23,$A29=日期輸入!$D$23,$A29=日期輸入!$E$23,$A29=日期輸入!$F$23)),"08-18水電科",IF(C29="大日","大隊值日(日)",IF(C29="大夜","大隊值日(夜)",IF(C29="值1","值1(早)",IF(C29="值1丙","值1(早) 丙案",IF(C29="值2","值2(中)",IF(C29="值2乙","值2(中) 乙案",IF(C29="夜值","夜值(晚)",IF(C29="甲夜","夜值(晚) 甲案",IF(C29="備","08-18",IF(OR(C29="支援秘書室",C29="支援出納室",C29="支援警務科",C29="支援事務股"),"支援總(大)隊",IF(C29="支援檢疫所","支援(其他)",IF(  C29="/","空班",  IF(  C29="丙",  "※ 丙案",  IF(  C29="丙常訓",  "※ 丙案 常訓",C29  )))))))))))))))))))))))))</f>
        <v/>
      </c>
      <c r="D69" s="271" t="str">
        <f>IF(D29="早","08-18",IF(D29="中","12-22",IF(D29="晚","22-08",IF(D29="X","輪休",IF(D29="公","公假",IF(OR(D29="病",D29="事"),"病(事)假",IF(OR(D29="婚",D29="產"),"婚(產)假",IF(D29="補","補休",IF(D29="休","休假",IF(D29="喪","喪假",IF(AND(D29="/",OR($A29=日期輸入!$B$23,$A29=日期輸入!$C$23,$A29=日期輸入!$D$23,$A29=日期輸入!$E$23,$A29=日期輸入!$F$23)),"08-18水電科",IF(D29="大日","大隊值日(日)",IF(D29="大夜","大隊值日(夜)",IF(D29="值1","值1(早)",IF(D29="值1丙","值1(早) 丙案",IF(D29="值2","值2(中)",IF(D29="值2乙","值2(中) 乙案",IF(D29="夜值","夜值(晚)",IF(D29="甲夜","夜值(晚) 甲案",IF(D29="備","08-18",IF(OR(D29="支援秘書室",D29="支援出納室",D29="支援警務科",D29="支援事務股"),"支援總(大)隊",IF(D29="支援檢疫所","支援(其他)",IF(  D29="/","空班",  IF(  D29="丙",  "※ 丙案",  IF(  D29="丙常訓",  "※ 丙案 常訓",D29  )))))))))))))))))))))))))</f>
        <v/>
      </c>
      <c r="E69" s="271" t="str">
        <f>IF(E29="早","08-18",IF(E29="中","12-22",IF(E29="晚","22-08",IF(E29="X","輪休",IF(E29="公","公假",IF(OR(E29="病",E29="事"),"病(事)假",IF(OR(E29="婚",E29="產"),"婚(產)假",IF(E29="補","補休",IF(E29="休","休假",IF(E29="喪","喪假",IF(AND(E29="/",OR($A29=日期輸入!$B$23,$A29=日期輸入!$C$23,$A29=日期輸入!$D$23,$A29=日期輸入!$E$23,$A29=日期輸入!$F$23)),"08-18水電科",IF(E29="大日","大隊值日(日)",IF(E29="大夜","大隊值日(夜)",IF(E29="值1","值1(早)",IF(E29="值1丙","值1(早) 丙案",IF(E29="值2","值2(中)",IF(E29="值2乙","值2(中) 乙案",IF(E29="夜值","夜值(晚)",IF(E29="甲夜","夜值(晚) 甲案",IF(E29="備","08-18",IF(OR(E29="支援秘書室",E29="支援出納室",E29="支援警務科",E29="支援事務股"),"支援總(大)隊",IF(E29="支援檢疫所","支援(其他)",IF(  E29="/","空班",  IF(  E29="丙",  "※ 丙案",  IF(  E29="丙常訓",  "※ 丙案 常訓",E29  )))))))))))))))))))))))))</f>
        <v/>
      </c>
      <c r="F69" s="271" t="str">
        <f>IF(F29="早","08-18",IF(F29="中","12-22",IF(F29="晚","22-08",IF(F29="X","輪休",IF(F29="公","公假",IF(OR(F29="病",F29="事"),"病(事)假",IF(OR(F29="婚",F29="產"),"婚(產)假",IF(F29="補","補休",IF(F29="休","休假",IF(F29="喪","喪假",IF(AND(F29="/",OR($A29=日期輸入!$B$23,$A29=日期輸入!$C$23,$A29=日期輸入!$D$23,$A29=日期輸入!$E$23,$A29=日期輸入!$F$23)),"08-18水電科",IF(F29="大日","大隊值日(日)",IF(F29="大夜","大隊值日(夜)",IF(F29="值1","值1(早)",IF(F29="值1丙","值1(早) 丙案",IF(F29="值2","值2(中)",IF(F29="值2乙","值2(中) 乙案",IF(F29="夜值","夜值(晚)",IF(F29="甲夜","夜值(晚) 甲案",IF(F29="備","08-18",IF(OR(F29="支援秘書室",F29="支援出納室",F29="支援警務科",F29="支援事務股"),"支援總(大)隊",IF(F29="支援檢疫所","支援(其他)",IF(  F29="/","空班",  IF(  F29="丙",  "※ 丙案",  IF(  F29="丙常訓",  "※ 丙案 常訓",F29  )))))))))))))))))))))))))</f>
        <v/>
      </c>
      <c r="G69" s="271" t="str">
        <f>IF(G29="早","08-18",IF(G29="中","12-22",IF(G29="晚","22-08",IF(G29="X","輪休",IF(G29="公","公假",IF(OR(G29="病",G29="事"),"病(事)假",IF(OR(G29="婚",G29="產"),"婚(產)假",IF(G29="補","補休",IF(G29="休","休假",IF(G29="喪","喪假",IF(AND(G29="/",OR($A29=日期輸入!$B$23,$A29=日期輸入!$C$23,$A29=日期輸入!$D$23,$A29=日期輸入!$E$23,$A29=日期輸入!$F$23)),"08-18水電科",IF(G29="大日","大隊值日(日)",IF(G29="大夜","大隊值日(夜)",IF(G29="值1","值1(早)",IF(G29="值1丙","值1(早) 丙案",IF(G29="值2","值2(中)",IF(G29="值2乙","值2(中) 乙案",IF(G29="夜值","夜值(晚)",IF(G29="甲夜","夜值(晚) 甲案",IF(G29="備","08-18",IF(OR(G29="支援秘書室",G29="支援出納室",G29="支援警務科",G29="支援事務股"),"支援總(大)隊",IF(G29="支援檢疫所","支援(其他)",IF(  G29="/","空班",  IF(  G29="丙",  "※ 丙案",  IF(  G29="丙常訓",  "※ 丙案 常訓",G29  )))))))))))))))))))))))))</f>
        <v/>
      </c>
      <c r="H69" s="271" t="str">
        <f>IF(H29="早","08-18",IF(H29="中","12-22",IF(H29="晚","22-08",IF(H29="X","輪休",IF(H29="公","公假",IF(OR(H29="病",H29="事"),"病(事)假",IF(OR(H29="婚",H29="產"),"婚(產)假",IF(H29="補","補休",IF(H29="休","休假",IF(H29="喪","喪假",IF(AND(H29="/",OR($A29=日期輸入!$B$23,$A29=日期輸入!$C$23,$A29=日期輸入!$D$23,$A29=日期輸入!$E$23,$A29=日期輸入!$F$23)),"08-18水電科",IF(H29="大日","大隊值日(日)",IF(H29="大夜","大隊值日(夜)",IF(H29="值1","值1(早)",IF(H29="值1丙","值1(早) 丙案",IF(H29="值2","值2(中)",IF(H29="值2乙","值2(中) 乙案",IF(H29="夜值","夜值(晚)",IF(H29="甲夜","夜值(晚) 甲案",IF(H29="備","08-18",IF(OR(H29="支援秘書室",H29="支援出納室",H29="支援警務科",H29="支援事務股"),"支援總(大)隊",IF(H29="支援檢疫所","支援(其他)",IF(  H29="/","空班",  IF(  H29="丙",  "※ 丙案",  IF(  H29="丙常訓",  "※ 丙案 常訓",H29  )))))))))))))))))))))))))</f>
        <v/>
      </c>
      <c r="I69" s="271" t="str">
        <f>IF(I29="早","08-18",IF(I29="中","12-22",IF(I29="晚","22-08",IF(I29="X","輪休",IF(I29="公","公假",IF(OR(I29="病",I29="事"),"病(事)假",IF(OR(I29="婚",I29="產"),"婚(產)假",IF(I29="補","補休",IF(I29="休","休假",IF(I29="喪","喪假",IF(AND(I29="/",OR($A29=日期輸入!$B$23,$A29=日期輸入!$C$23,$A29=日期輸入!$D$23,$A29=日期輸入!$E$23,$A29=日期輸入!$F$23)),"08-18水電科",IF(I29="大日","大隊值日(日)",IF(I29="大夜","大隊值日(夜)",IF(I29="值1","值1(早)",IF(I29="值1丙","值1(早) 丙案",IF(I29="值2","值2(中)",IF(I29="值2乙","值2(中) 乙案",IF(I29="夜值","夜值(晚)",IF(I29="甲夜","夜值(晚) 甲案",IF(I29="備","08-18",IF(OR(I29="支援秘書室",I29="支援出納室",I29="支援警務科",I29="支援事務股"),"支援總(大)隊",IF(I29="支援檢疫所","支援(其他)",IF(  I29="/","空班",  IF(  I29="丙",  "※ 丙案",  IF(  I29="丙常訓",  "※ 丙案 常訓",I29  )))))))))))))))))))))))))</f>
        <v/>
      </c>
      <c r="J69" s="271" t="str">
        <f>IF(J29="早","08-18",IF(J29="中","12-22",IF(J29="晚","22-08",IF(J29="X","輪休",IF(J29="公","公假",IF(OR(J29="病",J29="事"),"病(事)假",IF(OR(J29="婚",J29="產"),"婚(產)假",IF(J29="補","補休",IF(J29="休","休假",IF(J29="喪","喪假",IF(AND(J29="/",OR($A29=日期輸入!$B$23,$A29=日期輸入!$C$23,$A29=日期輸入!$D$23,$A29=日期輸入!$E$23,$A29=日期輸入!$F$23)),"08-18水電科",IF(J29="大日","大隊值日(日)",IF(J29="大夜","大隊值日(夜)",IF(J29="值1","值1(早)",IF(J29="值1丙","值1(早) 丙案",IF(J29="值2","值2(中)",IF(J29="值2乙","值2(中) 乙案",IF(J29="夜值","夜值(晚)",IF(J29="甲夜","夜值(晚) 甲案",IF(J29="備","08-18",IF(OR(J29="支援秘書室",J29="支援出納室",J29="支援警務科",J29="支援事務股"),"支援總(大)隊",IF(J29="支援檢疫所","支援(其他)",IF(  J29="/","空班",  IF(  J29="丙",  "※ 丙案",  IF(  J29="丙常訓",  "※ 丙案 常訓",J29  )))))))))))))))))))))))))</f>
        <v/>
      </c>
      <c r="K69" s="271" t="str">
        <f>IF(K29="早","08-18",IF(K29="中","12-22",IF(K29="晚","22-08",IF(K29="X","輪休",IF(K29="公","公假",IF(OR(K29="病",K29="事"),"病(事)假",IF(OR(K29="婚",K29="產"),"婚(產)假",IF(K29="補","補休",IF(K29="休","休假",IF(K29="喪","喪假",IF(AND(K29="/",OR($A29=日期輸入!$B$23,$A29=日期輸入!$C$23,$A29=日期輸入!$D$23,$A29=日期輸入!$E$23,$A29=日期輸入!$F$23)),"08-18水電科",IF(K29="大日","大隊值日(日)",IF(K29="大夜","大隊值日(夜)",IF(K29="值1","值1(早)",IF(K29="值1丙","值1(早) 丙案",IF(K29="值2","值2(中)",IF(K29="值2乙","值2(中) 乙案",IF(K29="夜值","夜值(晚)",IF(K29="甲夜","夜值(晚) 甲案",IF(K29="備","08-18",IF(OR(K29="支援秘書室",K29="支援出納室",K29="支援警務科",K29="支援事務股"),"支援總(大)隊",IF(K29="支援檢疫所","支援(其他)",IF(  K29="/","空班",  IF(  K29="丙",  "※ 丙案",  IF(  K29="丙常訓",  "※ 丙案 常訓",K29  )))))))))))))))))))))))))</f>
        <v/>
      </c>
      <c r="L69" s="271" t="str">
        <f>IF(L29="早","08-18",IF(L29="中","12-22",IF(L29="晚","22-08",IF(L29="X","輪休",IF(L29="公","公假",IF(OR(L29="病",L29="事"),"病(事)假",IF(OR(L29="婚",L29="產"),"婚(產)假",IF(L29="補","補休",IF(L29="休","休假",IF(L29="喪","喪假",IF(AND(L29="/",OR($A29=日期輸入!$B$23,$A29=日期輸入!$C$23,$A29=日期輸入!$D$23,$A29=日期輸入!$E$23,$A29=日期輸入!$F$23)),"08-18水電科",IF(L29="大日","大隊值日(日)",IF(L29="大夜","大隊值日(夜)",IF(L29="值1","值1(早)",IF(L29="值1丙","值1(早) 丙案",IF(L29="值2","值2(中)",IF(L29="值2乙","值2(中) 乙案",IF(L29="夜值","夜值(晚)",IF(L29="甲夜","夜值(晚) 甲案",IF(L29="備","08-18",IF(OR(L29="支援秘書室",L29="支援出納室",L29="支援警務科",L29="支援事務股"),"支援總(大)隊",IF(L29="支援檢疫所","支援(其他)",IF(  L29="/","空班",  IF(  L29="丙",  "※ 丙案",  IF(  L29="丙常訓",  "※ 丙案 常訓",L29  )))))))))))))))))))))))))</f>
        <v/>
      </c>
      <c r="M69" s="271" t="str">
        <f>IF(M29="早","08-18",IF(M29="中","12-22",IF(M29="晚","22-08",IF(M29="X","輪休",IF(M29="公","公假",IF(OR(M29="病",M29="事"),"病(事)假",IF(OR(M29="婚",M29="產"),"婚(產)假",IF(M29="補","補休",IF(M29="休","休假",IF(M29="喪","喪假",IF(AND(M29="/",OR($A29=日期輸入!$B$23,$A29=日期輸入!$C$23,$A29=日期輸入!$D$23,$A29=日期輸入!$E$23,$A29=日期輸入!$F$23)),"08-18水電科",IF(M29="大日","大隊值日(日)",IF(M29="大夜","大隊值日(夜)",IF(M29="值1","值1(早)",IF(M29="值1丙","值1(早) 丙案",IF(M29="值2","值2(中)",IF(M29="值2乙","值2(中) 乙案",IF(M29="夜值","夜值(晚)",IF(M29="甲夜","夜值(晚) 甲案",IF(M29="備","08-18",IF(OR(M29="支援秘書室",M29="支援出納室",M29="支援警務科",M29="支援事務股"),"支援總(大)隊",IF(M29="支援檢疫所","支援(其他)",IF(  M29="/","空班",  IF(  M29="丙",  "※ 丙案",  IF(  M29="丙常訓",  "※ 丙案 常訓",M29  )))))))))))))))))))))))))</f>
        <v/>
      </c>
      <c r="N69" s="271" t="str">
        <f>IF(N29="早","08-18",IF(N29="中","12-22",IF(N29="晚","22-08",IF(N29="X","輪休",IF(N29="公","公假",IF(OR(N29="病",N29="事"),"病(事)假",IF(OR(N29="婚",N29="產"),"婚(產)假",IF(N29="補","補休",IF(N29="休","休假",IF(N29="喪","喪假",IF(AND(N29="/",OR($A29=日期輸入!$B$23,$A29=日期輸入!$C$23,$A29=日期輸入!$D$23,$A29=日期輸入!$E$23,$A29=日期輸入!$F$23)),"08-18水電科",IF(N29="大日","大隊值日(日)",IF(N29="大夜","大隊值日(夜)",IF(N29="值1","值1(早)",IF(N29="值1丙","值1(早) 丙案",IF(N29="值2","值2(中)",IF(N29="值2乙","值2(中) 乙案",IF(N29="夜值","夜值(晚)",IF(N29="甲夜","夜值(晚) 甲案",IF(N29="備","08-18",IF(OR(N29="支援秘書室",N29="支援出納室",N29="支援警務科",N29="支援事務股"),"支援總(大)隊",IF(N29="支援檢疫所","支援(其他)",IF(  N29="/","空班",  IF(  N29="丙",  "※ 丙案",  IF(  N29="丙常訓",  "※ 丙案 常訓",N29  )))))))))))))))))))))))))</f>
        <v/>
      </c>
      <c r="O69" s="271" t="str">
        <f>IF(O29="早","08-18",IF(O29="中","12-22",IF(O29="晚","22-08",IF(O29="X","輪休",IF(O29="公","公假",IF(OR(O29="病",O29="事"),"病(事)假",IF(OR(O29="婚",O29="產"),"婚(產)假",IF(O29="補","補休",IF(O29="休","休假",IF(O29="喪","喪假",IF(AND(O29="/",OR($A29=日期輸入!$B$23,$A29=日期輸入!$C$23,$A29=日期輸入!$D$23,$A29=日期輸入!$E$23,$A29=日期輸入!$F$23)),"08-18水電科",IF(O29="大日","大隊值日(日)",IF(O29="大夜","大隊值日(夜)",IF(O29="值1","值1(早)",IF(O29="值1丙","值1(早) 丙案",IF(O29="值2","值2(中)",IF(O29="值2乙","值2(中) 乙案",IF(O29="夜值","夜值(晚)",IF(O29="甲夜","夜值(晚) 甲案",IF(O29="備","08-18",IF(OR(O29="支援秘書室",O29="支援出納室",O29="支援警務科",O29="支援事務股"),"支援總(大)隊",IF(O29="支援檢疫所","支援(其他)",IF(  O29="/","空班",  IF(  O29="丙",  "※ 丙案",  IF(  O29="丙常訓",  "※ 丙案 常訓",O29  )))))))))))))))))))))))))</f>
        <v/>
      </c>
      <c r="P69" s="271" t="str">
        <f>IF(P29="早","08-18",IF(P29="中","12-22",IF(P29="晚","22-08",IF(P29="X","輪休",IF(P29="公","公假",IF(OR(P29="病",P29="事"),"病(事)假",IF(OR(P29="婚",P29="產"),"婚(產)假",IF(P29="補","補休",IF(P29="休","休假",IF(P29="喪","喪假",IF(AND(P29="/",OR($A29=日期輸入!$B$23,$A29=日期輸入!$C$23,$A29=日期輸入!$D$23,$A29=日期輸入!$E$23,$A29=日期輸入!$F$23)),"08-18水電科",IF(P29="大日","大隊值日(日)",IF(P29="大夜","大隊值日(夜)",IF(P29="值1","值1(早)",IF(P29="值1丙","值1(早) 丙案",IF(P29="值2","值2(中)",IF(P29="值2乙","值2(中) 乙案",IF(P29="夜值","夜值(晚)",IF(P29="甲夜","夜值(晚) 甲案",IF(P29="備","08-18",IF(OR(P29="支援秘書室",P29="支援出納室",P29="支援警務科",P29="支援事務股"),"支援總(大)隊",IF(P29="支援檢疫所","支援(其他)",IF(  P29="/","空班",  IF(  P29="丙",  "※ 丙案",  IF(  P29="丙常訓",  "※ 丙案 常訓",P29  )))))))))))))))))))))))))</f>
        <v/>
      </c>
      <c r="Q69" s="271" t="str">
        <f>IF(Q29="早","08-18",IF(Q29="中","12-22",IF(Q29="晚","22-08",IF(Q29="X","輪休",IF(Q29="公","公假",IF(OR(Q29="病",Q29="事"),"病(事)假",IF(OR(Q29="婚",Q29="產"),"婚(產)假",IF(Q29="補","補休",IF(Q29="休","休假",IF(Q29="喪","喪假",IF(AND(Q29="/",OR($A29=日期輸入!$B$23,$A29=日期輸入!$C$23,$A29=日期輸入!$D$23,$A29=日期輸入!$E$23,$A29=日期輸入!$F$23)),"08-18水電科",IF(Q29="大日","大隊值日(日)",IF(Q29="大夜","大隊值日(夜)",IF(Q29="值1","值1(早)",IF(Q29="值1丙","值1(早) 丙案",IF(Q29="值2","值2(中)",IF(Q29="值2乙","值2(中) 乙案",IF(Q29="夜值","夜值(晚)",IF(Q29="甲夜","夜值(晚) 甲案",IF(Q29="備","08-18",IF(OR(Q29="支援秘書室",Q29="支援出納室",Q29="支援警務科",Q29="支援事務股"),"支援總(大)隊",IF(Q29="支援檢疫所","支援(其他)",IF(  Q29="/","空班",  IF(  Q29="丙",  "※ 丙案",  IF(  Q29="丙常訓",  "※ 丙案 常訓",Q29  )))))))))))))))))))))))))</f>
        <v/>
      </c>
      <c r="R69" s="271" t="str">
        <f>IF(R29="早","08-18",IF(R29="中","12-22",IF(R29="晚","22-08",IF(R29="X","輪休",IF(R29="公","公假",IF(OR(R29="病",R29="事"),"病(事)假",IF(OR(R29="婚",R29="產"),"婚(產)假",IF(R29="補","補休",IF(R29="休","休假",IF(R29="喪","喪假",IF(AND(R29="/",OR($A29=日期輸入!$B$23,$A29=日期輸入!$C$23,$A29=日期輸入!$D$23,$A29=日期輸入!$E$23,$A29=日期輸入!$F$23)),"08-18水電科",IF(R29="大日","大隊值日(日)",IF(R29="大夜","大隊值日(夜)",IF(R29="值1","值1(早)",IF(R29="值1丙","值1(早) 丙案",IF(R29="值2","值2(中)",IF(R29="值2乙","值2(中) 乙案",IF(R29="夜值","夜值(晚)",IF(R29="甲夜","夜值(晚) 甲案",IF(R29="備","08-18",IF(OR(R29="支援秘書室",R29="支援出納室",R29="支援警務科",R29="支援事務股"),"支援總(大)隊",IF(R29="支援檢疫所","支援(其他)",IF(  R29="/","空班",  IF(  R29="丙",  "※ 丙案",  IF(  R29="丙常訓",  "※ 丙案 常訓",R29  )))))))))))))))))))))))))</f>
        <v/>
      </c>
      <c r="S69" s="271" t="str">
        <f>IF(S29="早","08-18",IF(S29="中","12-22",IF(S29="晚","22-08",IF(S29="X","輪休",IF(S29="公","公假",IF(OR(S29="病",S29="事"),"病(事)假",IF(OR(S29="婚",S29="產"),"婚(產)假",IF(S29="補","補休",IF(S29="休","休假",IF(S29="喪","喪假",IF(AND(S29="/",OR($A29=日期輸入!$B$23,$A29=日期輸入!$C$23,$A29=日期輸入!$D$23,$A29=日期輸入!$E$23,$A29=日期輸入!$F$23)),"08-18水電科",IF(S29="大日","大隊值日(日)",IF(S29="大夜","大隊值日(夜)",IF(S29="值1","值1(早)",IF(S29="值1丙","值1(早) 丙案",IF(S29="值2","值2(中)",IF(S29="值2乙","值2(中) 乙案",IF(S29="夜值","夜值(晚)",IF(S29="甲夜","夜值(晚) 甲案",IF(S29="備","08-18",IF(OR(S29="支援秘書室",S29="支援出納室",S29="支援警務科",S29="支援事務股"),"支援總(大)隊",IF(S29="支援檢疫所","支援(其他)",IF(  S29="/","空班",  IF(  S29="丙",  "※ 丙案",  IF(  S29="丙常訓",  "※ 丙案 常訓",S29  )))))))))))))))))))))))))</f>
        <v/>
      </c>
      <c r="T69" s="271" t="str">
        <f>IF(T29="早","08-18",IF(T29="中","12-22",IF(T29="晚","22-08",IF(T29="X","輪休",IF(T29="公","公假",IF(OR(T29="病",T29="事"),"病(事)假",IF(OR(T29="婚",T29="產"),"婚(產)假",IF(T29="補","補休",IF(T29="休","休假",IF(T29="喪","喪假",IF(AND(T29="/",OR($A29=日期輸入!$B$23,$A29=日期輸入!$C$23,$A29=日期輸入!$D$23,$A29=日期輸入!$E$23,$A29=日期輸入!$F$23)),"08-18水電科",IF(T29="大日","大隊值日(日)",IF(T29="大夜","大隊值日(夜)",IF(T29="值1","值1(早)",IF(T29="值1丙","值1(早) 丙案",IF(T29="值2","值2(中)",IF(T29="值2乙","值2(中) 乙案",IF(T29="夜值","夜值(晚)",IF(T29="甲夜","夜值(晚) 甲案",IF(T29="備","08-18",IF(OR(T29="支援秘書室",T29="支援出納室",T29="支援警務科",T29="支援事務股"),"支援總(大)隊",IF(T29="支援檢疫所","支援(其他)",IF(  T29="/","空班",  IF(  T29="丙",  "※ 丙案",  IF(  T29="丙常訓",  "※ 丙案 常訓",T29  )))))))))))))))))))))))))</f>
        <v/>
      </c>
      <c r="U69" s="271" t="str">
        <f>IF(U29="早","08-18",IF(U29="中","12-22",IF(U29="晚","22-08",IF(U29="X","輪休",IF(U29="公","公假",IF(OR(U29="病",U29="事"),"病(事)假",IF(OR(U29="婚",U29="產"),"婚(產)假",IF(U29="補","補休",IF(U29="休","休假",IF(U29="喪","喪假",IF(AND(U29="/",OR($A29=日期輸入!$B$23,$A29=日期輸入!$C$23,$A29=日期輸入!$D$23,$A29=日期輸入!$E$23,$A29=日期輸入!$F$23)),"08-18水電科",IF(U29="大日","大隊值日(日)",IF(U29="大夜","大隊值日(夜)",IF(U29="值1","值1(早)",IF(U29="值1丙","值1(早) 丙案",IF(U29="值2","值2(中)",IF(U29="值2乙","值2(中) 乙案",IF(U29="夜值","夜值(晚)",IF(U29="甲夜","夜值(晚) 甲案",IF(U29="備","08-18",IF(OR(U29="支援秘書室",U29="支援出納室",U29="支援警務科",U29="支援事務股"),"支援總(大)隊",IF(U29="支援檢疫所","支援(其他)",IF(  U29="/","空班",  IF(  U29="丙",  "※ 丙案",  IF(  U29="丙常訓",  "※ 丙案 常訓",U29  )))))))))))))))))))))))))</f>
        <v/>
      </c>
      <c r="V69" s="271" t="str">
        <f>IF(V29="早","08-18",IF(V29="中","12-22",IF(V29="晚","22-08",IF(V29="X","輪休",IF(V29="公","公假",IF(OR(V29="病",V29="事"),"病(事)假",IF(OR(V29="婚",V29="產"),"婚(產)假",IF(V29="補","補休",IF(V29="休","休假",IF(V29="喪","喪假",IF(AND(V29="/",OR($A29=日期輸入!$B$23,$A29=日期輸入!$C$23,$A29=日期輸入!$D$23,$A29=日期輸入!$E$23,$A29=日期輸入!$F$23)),"08-18水電科",IF(V29="大日","大隊值日(日)",IF(V29="大夜","大隊值日(夜)",IF(V29="值1","值1(早)",IF(V29="值1丙","值1(早) 丙案",IF(V29="值2","值2(中)",IF(V29="值2乙","值2(中) 乙案",IF(V29="夜值","夜值(晚)",IF(V29="甲夜","夜值(晚) 甲案",IF(V29="備","08-18",IF(OR(V29="支援秘書室",V29="支援出納室",V29="支援警務科",V29="支援事務股"),"支援總(大)隊",IF(V29="支援檢疫所","支援(其他)",IF(  V29="/","空班",  IF(  V29="丙",  "※ 丙案",  IF(  V29="丙常訓",  "※ 丙案 常訓",V29  )))))))))))))))))))))))))</f>
        <v/>
      </c>
      <c r="W69" s="271" t="str">
        <f>IF(W29="早","08-18",IF(W29="中","12-22",IF(W29="晚","22-08",IF(W29="X","輪休",IF(W29="公","公假",IF(OR(W29="病",W29="事"),"病(事)假",IF(OR(W29="婚",W29="產"),"婚(產)假",IF(W29="補","補休",IF(W29="休","休假",IF(W29="喪","喪假",IF(AND(W29="/",OR($A29=日期輸入!$B$23,$A29=日期輸入!$C$23,$A29=日期輸入!$D$23,$A29=日期輸入!$E$23,$A29=日期輸入!$F$23)),"08-18水電科",IF(W29="大日","大隊值日(日)",IF(W29="大夜","大隊值日(夜)",IF(W29="值1","值1(早)",IF(W29="值1丙","值1(早) 丙案",IF(W29="值2","值2(中)",IF(W29="值2乙","值2(中) 乙案",IF(W29="夜值","夜值(晚)",IF(W29="甲夜","夜值(晚) 甲案",IF(W29="備","08-18",IF(OR(W29="支援秘書室",W29="支援出納室",W29="支援警務科",W29="支援事務股"),"支援總(大)隊",IF(W29="支援檢疫所","支援(其他)",IF(  W29="/","空班",  IF(  W29="丙",  "※ 丙案",  IF(  W29="丙常訓",  "※ 丙案 常訓",W29  )))))))))))))))))))))))))</f>
        <v/>
      </c>
      <c r="X69" s="271" t="str">
        <f>IF(X29="早","08-18",IF(X29="中","12-22",IF(X29="晚","22-08",IF(X29="X","輪休",IF(X29="公","公假",IF(OR(X29="病",X29="事"),"病(事)假",IF(OR(X29="婚",X29="產"),"婚(產)假",IF(X29="補","補休",IF(X29="休","休假",IF(X29="喪","喪假",IF(AND(X29="/",OR($A29=日期輸入!$B$23,$A29=日期輸入!$C$23,$A29=日期輸入!$D$23,$A29=日期輸入!$E$23,$A29=日期輸入!$F$23)),"08-18水電科",IF(X29="大日","大隊值日(日)",IF(X29="大夜","大隊值日(夜)",IF(X29="值1","值1(早)",IF(X29="值1丙","值1(早) 丙案",IF(X29="值2","值2(中)",IF(X29="值2乙","值2(中) 乙案",IF(X29="夜值","夜值(晚)",IF(X29="甲夜","夜值(晚) 甲案",IF(X29="備","08-18",IF(OR(X29="支援秘書室",X29="支援出納室",X29="支援警務科",X29="支援事務股"),"支援總(大)隊",IF(X29="支援檢疫所","支援(其他)",IF(  X29="/","空班",  IF(  X29="丙",  "※ 丙案",  IF(  X29="丙常訓",  "※ 丙案 常訓",X29  )))))))))))))))))))))))))</f>
        <v/>
      </c>
      <c r="Y69" s="271" t="str">
        <f>IF(Y29="早","08-18",IF(Y29="中","12-22",IF(Y29="晚","22-08",IF(Y29="X","輪休",IF(Y29="公","公假",IF(OR(Y29="病",Y29="事"),"病(事)假",IF(OR(Y29="婚",Y29="產"),"婚(產)假",IF(Y29="補","補休",IF(Y29="休","休假",IF(Y29="喪","喪假",IF(AND(Y29="/",OR($A29=日期輸入!$B$23,$A29=日期輸入!$C$23,$A29=日期輸入!$D$23,$A29=日期輸入!$E$23,$A29=日期輸入!$F$23)),"08-18水電科",IF(Y29="大日","大隊值日(日)",IF(Y29="大夜","大隊值日(夜)",IF(Y29="值1","值1(早)",IF(Y29="值1丙","值1(早) 丙案",IF(Y29="值2","值2(中)",IF(Y29="值2乙","值2(中) 乙案",IF(Y29="夜值","夜值(晚)",IF(Y29="甲夜","夜值(晚) 甲案",IF(Y29="備","08-18",IF(OR(Y29="支援秘書室",Y29="支援出納室",Y29="支援警務科",Y29="支援事務股"),"支援總(大)隊",IF(Y29="支援檢疫所","支援(其他)",IF(  Y29="/","空班",  IF(  Y29="丙",  "※ 丙案",  IF(  Y29="丙常訓",  "※ 丙案 常訓",Y29  )))))))))))))))))))))))))</f>
        <v/>
      </c>
      <c r="Z69" s="271" t="str">
        <f>IF(Z29="早","08-18",IF(Z29="中","12-22",IF(Z29="晚","22-08",IF(Z29="X","輪休",IF(Z29="公","公假",IF(OR(Z29="病",Z29="事"),"病(事)假",IF(OR(Z29="婚",Z29="產"),"婚(產)假",IF(Z29="補","補休",IF(Z29="休","休假",IF(Z29="喪","喪假",IF(AND(Z29="/",OR($A29=日期輸入!$B$23,$A29=日期輸入!$C$23,$A29=日期輸入!$D$23,$A29=日期輸入!$E$23,$A29=日期輸入!$F$23)),"08-18水電科",IF(Z29="大日","大隊值日(日)",IF(Z29="大夜","大隊值日(夜)",IF(Z29="值1","值1(早)",IF(Z29="值1丙","值1(早) 丙案",IF(Z29="值2","值2(中)",IF(Z29="值2乙","值2(中) 乙案",IF(Z29="夜值","夜值(晚)",IF(Z29="甲夜","夜值(晚) 甲案",IF(Z29="備","08-18",IF(OR(Z29="支援秘書室",Z29="支援出納室",Z29="支援警務科",Z29="支援事務股"),"支援總(大)隊",IF(Z29="支援檢疫所","支援(其他)",IF(  Z29="/","空班",  IF(  Z29="丙",  "※ 丙案",  IF(  Z29="丙常訓",  "※ 丙案 常訓",Z29  )))))))))))))))))))))))))</f>
        <v/>
      </c>
      <c r="AA69" s="271" t="str">
        <f>IF(AA29="早","08-18",IF(AA29="中","12-22",IF(AA29="晚","22-08",IF(AA29="X","輪休",IF(AA29="公","公假",IF(OR(AA29="病",AA29="事"),"病(事)假",IF(OR(AA29="婚",AA29="產"),"婚(產)假",IF(AA29="補","補休",IF(AA29="休","休假",IF(AA29="喪","喪假",IF(AND(AA29="/",OR($A29=日期輸入!$B$23,$A29=日期輸入!$C$23,$A29=日期輸入!$D$23,$A29=日期輸入!$E$23,$A29=日期輸入!$F$23)),"08-18水電科",IF(AA29="大日","大隊值日(日)",IF(AA29="大夜","大隊值日(夜)",IF(AA29="值1","值1(早)",IF(AA29="值1丙","值1(早) 丙案",IF(AA29="值2","值2(中)",IF(AA29="值2乙","值2(中) 乙案",IF(AA29="夜值","夜值(晚)",IF(AA29="甲夜","夜值(晚) 甲案",IF(AA29="備","08-18",IF(OR(AA29="支援秘書室",AA29="支援出納室",AA29="支援警務科",AA29="支援事務股"),"支援總(大)隊",IF(AA29="支援檢疫所","支援(其他)",IF(  AA29="/","空班",  IF(  AA29="丙",  "※ 丙案",  IF(  AA29="丙常訓",  "※ 丙案 常訓",AA29  )))))))))))))))))))))))))</f>
        <v/>
      </c>
      <c r="AB69" s="271" t="str">
        <f>IF(AB29="早","08-18",IF(AB29="中","12-22",IF(AB29="晚","22-08",IF(AB29="X","輪休",IF(AB29="公","公假",IF(OR(AB29="病",AB29="事"),"病(事)假",IF(OR(AB29="婚",AB29="產"),"婚(產)假",IF(AB29="補","補休",IF(AB29="休","休假",IF(AB29="喪","喪假",IF(AND(AB29="/",OR($A29=日期輸入!$B$23,$A29=日期輸入!$C$23,$A29=日期輸入!$D$23,$A29=日期輸入!$E$23,$A29=日期輸入!$F$23)),"08-18水電科",IF(AB29="大日","大隊值日(日)",IF(AB29="大夜","大隊值日(夜)",IF(AB29="值1","值1(早)",IF(AB29="值1丙","值1(早) 丙案",IF(AB29="值2","值2(中)",IF(AB29="值2乙","值2(中) 乙案",IF(AB29="夜值","夜值(晚)",IF(AB29="甲夜","夜值(晚) 甲案",IF(AB29="備","08-18",IF(OR(AB29="支援秘書室",AB29="支援出納室",AB29="支援警務科",AB29="支援事務股"),"支援總(大)隊",IF(AB29="支援檢疫所","支援(其他)",IF(  AB29="/","空班",  IF(  AB29="丙",  "※ 丙案",  IF(  AB29="丙常訓",  "※ 丙案 常訓",AB29  )))))))))))))))))))))))))</f>
        <v/>
      </c>
      <c r="AC69" s="271" t="str">
        <f>IF(AC29="早","08-18",IF(AC29="中","12-22",IF(AC29="晚","22-08",IF(AC29="X","輪休",IF(AC29="公","公假",IF(OR(AC29="病",AC29="事"),"病(事)假",IF(OR(AC29="婚",AC29="產"),"婚(產)假",IF(AC29="補","補休",IF(AC29="休","休假",IF(AC29="喪","喪假",IF(AND(AC29="/",OR($A29=日期輸入!$B$23,$A29=日期輸入!$C$23,$A29=日期輸入!$D$23,$A29=日期輸入!$E$23,$A29=日期輸入!$F$23)),"08-18水電科",IF(AC29="大日","大隊值日(日)",IF(AC29="大夜","大隊值日(夜)",IF(AC29="值1","值1(早)",IF(AC29="值1丙","值1(早) 丙案",IF(AC29="值2","值2(中)",IF(AC29="值2乙","值2(中) 乙案",IF(AC29="夜值","夜值(晚)",IF(AC29="甲夜","夜值(晚) 甲案",IF(AC29="備","08-18",IF(OR(AC29="支援秘書室",AC29="支援出納室",AC29="支援警務科",AC29="支援事務股"),"支援總(大)隊",IF(AC29="支援檢疫所","支援(其他)",IF(  AC29="/","空班",  IF(  AC29="丙",  "※ 丙案",  IF(  AC29="丙常訓",  "※ 丙案 常訓",AC29  )))))))))))))))))))))))))</f>
        <v/>
      </c>
      <c r="AD69" s="271" t="str">
        <f>IF(AD29="早","08-18",IF(AD29="中","12-22",IF(AD29="晚","22-08",IF(AD29="X","輪休",IF(AD29="公","公假",IF(OR(AD29="病",AD29="事"),"病(事)假",IF(OR(AD29="婚",AD29="產"),"婚(產)假",IF(AD29="補","補休",IF(AD29="休","休假",IF(AD29="喪","喪假",IF(AND(AD29="/",OR($A29=日期輸入!$B$23,$A29=日期輸入!$C$23,$A29=日期輸入!$D$23,$A29=日期輸入!$E$23,$A29=日期輸入!$F$23)),"08-18水電科",IF(AD29="大日","大隊值日(日)",IF(AD29="大夜","大隊值日(夜)",IF(AD29="值1","值1(早)",IF(AD29="值1丙","值1(早) 丙案",IF(AD29="值2","值2(中)",IF(AD29="值2乙","值2(中) 乙案",IF(AD29="夜值","夜值(晚)",IF(AD29="甲夜","夜值(晚) 甲案",IF(AD29="備","08-18",IF(OR(AD29="支援秘書室",AD29="支援出納室",AD29="支援警務科",AD29="支援事務股"),"支援總(大)隊",IF(AD29="支援檢疫所","支援(其他)",IF(  AD29="/","空班",  IF(  AD29="丙",  "※ 丙案",  IF(  AD29="丙常訓",  "※ 丙案 常訓",AD29  )))))))))))))))))))))))))</f>
        <v/>
      </c>
      <c r="AE69" s="271" t="str">
        <f>IF(AE29="早","08-18",IF(AE29="中","12-22",IF(AE29="晚","22-08",IF(AE29="X","輪休",IF(AE29="公","公假",IF(OR(AE29="病",AE29="事"),"病(事)假",IF(OR(AE29="婚",AE29="產"),"婚(產)假",IF(AE29="補","補休",IF(AE29="休","休假",IF(AE29="喪","喪假",IF(AND(AE29="/",OR($A29=日期輸入!$B$23,$A29=日期輸入!$C$23,$A29=日期輸入!$D$23,$A29=日期輸入!$E$23,$A29=日期輸入!$F$23)),"08-18水電科",IF(AE29="大日","大隊值日(日)",IF(AE29="大夜","大隊值日(夜)",IF(AE29="值1","值1(早)",IF(AE29="值1丙","值1(早) 丙案",IF(AE29="值2","值2(中)",IF(AE29="值2乙","值2(中) 乙案",IF(AE29="夜值","夜值(晚)",IF(AE29="甲夜","夜值(晚) 甲案",IF(AE29="備","08-18",IF(OR(AE29="支援秘書室",AE29="支援出納室",AE29="支援警務科",AE29="支援事務股"),"支援總(大)隊",IF(AE29="支援檢疫所","支援(其他)",IF(  AE29="/","空班",  IF(  AE29="丙",  "※ 丙案",  IF(  AE29="丙常訓",  "※ 丙案 常訓",AE29  )))))))))))))))))))))))))</f>
        <v/>
      </c>
      <c r="AF69" s="271" t="str">
        <f>IF(AF29="早","08-18",IF(AF29="中","12-22",IF(AF29="晚","22-08",IF(AF29="X","輪休",IF(AF29="公","公假",IF(OR(AF29="病",AF29="事"),"病(事)假",IF(OR(AF29="婚",AF29="產"),"婚(產)假",IF(AF29="補","補休",IF(AF29="休","休假",IF(AF29="喪","喪假",IF(AND(AF29="/",OR($A29=日期輸入!$B$23,$A29=日期輸入!$C$23,$A29=日期輸入!$D$23,$A29=日期輸入!$E$23,$A29=日期輸入!$F$23)),"08-18水電科",IF(AF29="大日","大隊值日(日)",IF(AF29="大夜","大隊值日(夜)",IF(AF29="值1","值1(早)",IF(AF29="值1丙","值1(早) 丙案",IF(AF29="值2","值2(中)",IF(AF29="值2乙","值2(中) 乙案",IF(AF29="夜值","夜值(晚)",IF(AF29="甲夜","夜值(晚) 甲案",IF(AF29="備","08-18",IF(OR(AF29="支援秘書室",AF29="支援出納室",AF29="支援警務科",AF29="支援事務股"),"支援總(大)隊",IF(AF29="支援檢疫所","支援(其他)",IF(  AF29="/","空班",  IF(  AF29="丙",  "※ 丙案",  IF(  AF29="丙常訓",  "※ 丙案 常訓",AF29  )))))))))))))))))))))))))</f>
        <v/>
      </c>
      <c r="AG69" s="271" t="str">
        <f>IF(AG29="早","08-18",IF(AG29="中","12-22",IF(AG29="晚","22-08",IF(AG29="X","輪休",IF(AG29="公","公假",IF(OR(AG29="病",AG29="事"),"病(事)假",IF(OR(AG29="婚",AG29="產"),"婚(產)假",IF(AG29="補","補休",IF(AG29="休","休假",IF(AG29="喪","喪假",IF(AND(AG29="/",OR($A29=日期輸入!$B$23,$A29=日期輸入!$C$23,$A29=日期輸入!$D$23,$A29=日期輸入!$E$23,$A29=日期輸入!$F$23)),"08-18水電科",IF(AG29="大日","大隊值日(日)",IF(AG29="大夜","大隊值日(夜)",IF(AG29="值1","值1(早)",IF(AG29="值1丙","值1(早) 丙案",IF(AG29="值2","值2(中)",IF(AG29="值2乙","值2(中) 乙案",IF(AG29="夜值","夜值(晚)",IF(AG29="甲夜","夜值(晚) 甲案",IF(AG29="備","08-18",IF(OR(AG29="支援秘書室",AG29="支援出納室",AG29="支援警務科",AG29="支援事務股"),"支援總(大)隊",IF(AG29="支援檢疫所","支援(其他)",IF(  AG29="/","空班",  IF(  AG29="丙",  "※ 丙案",  IF(  AG29="丙常訓",  "※ 丙案 常訓",AG29  )))))))))))))))))))))))))</f>
        <v/>
      </c>
    </row>
    <row r="70" spans="1:33">
      <c r="A70" s="271" t="str">
        <f t="shared" ref="A70:B70" si="29">A30</f>
        <v/>
      </c>
      <c r="B70" s="271" t="str">
        <f t="shared" si="29"/>
        <v/>
      </c>
      <c r="C70" s="271" t="str">
        <f>IF(C30="早","08-18",IF(C30="中","12-22",IF(C30="晚","22-08",IF(C30="X","輪休",IF(C30="公","公假",IF(OR(C30="病",C30="事"),"病(事)假",IF(OR(C30="婚",C30="產"),"婚(產)假",IF(C30="補","補休",IF(C30="休","休假",IF(C30="喪","喪假",IF(AND(C30="/",OR($A30=日期輸入!$B$23,$A30=日期輸入!$C$23,$A30=日期輸入!$D$23,$A30=日期輸入!$E$23,$A30=日期輸入!$F$23)),"08-18水電科",IF(C30="大日","大隊值日(日)",IF(C30="大夜","大隊值日(夜)",IF(C30="值1","值1(早)",IF(C30="值1丙","值1(早) 丙案",IF(C30="值2","值2(中)",IF(C30="值2乙","值2(中) 乙案",IF(C30="夜值","夜值(晚)",IF(C30="甲夜","夜值(晚) 甲案",IF(C30="備","08-18",IF(OR(C30="支援秘書室",C30="支援出納室",C30="支援警務科",C30="支援事務股"),"支援總(大)隊",IF(C30="支援檢疫所","支援(其他)",IF(  C30="/","空班",  IF(  C30="丙",  "※ 丙案",  IF(  C30="丙常訓",  "※ 丙案 常訓",C30  )))))))))))))))))))))))))</f>
        <v/>
      </c>
      <c r="D70" s="271" t="str">
        <f>IF(D30="早","08-18",IF(D30="中","12-22",IF(D30="晚","22-08",IF(D30="X","輪休",IF(D30="公","公假",IF(OR(D30="病",D30="事"),"病(事)假",IF(OR(D30="婚",D30="產"),"婚(產)假",IF(D30="補","補休",IF(D30="休","休假",IF(D30="喪","喪假",IF(AND(D30="/",OR($A30=日期輸入!$B$23,$A30=日期輸入!$C$23,$A30=日期輸入!$D$23,$A30=日期輸入!$E$23,$A30=日期輸入!$F$23)),"08-18水電科",IF(D30="大日","大隊值日(日)",IF(D30="大夜","大隊值日(夜)",IF(D30="值1","值1(早)",IF(D30="值1丙","值1(早) 丙案",IF(D30="值2","值2(中)",IF(D30="值2乙","值2(中) 乙案",IF(D30="夜值","夜值(晚)",IF(D30="甲夜","夜值(晚) 甲案",IF(D30="備","08-18",IF(OR(D30="支援秘書室",D30="支援出納室",D30="支援警務科",D30="支援事務股"),"支援總(大)隊",IF(D30="支援檢疫所","支援(其他)",IF(  D30="/","空班",  IF(  D30="丙",  "※ 丙案",  IF(  D30="丙常訓",  "※ 丙案 常訓",D30  )))))))))))))))))))))))))</f>
        <v/>
      </c>
      <c r="E70" s="271" t="str">
        <f>IF(E30="早","08-18",IF(E30="中","12-22",IF(E30="晚","22-08",IF(E30="X","輪休",IF(E30="公","公假",IF(OR(E30="病",E30="事"),"病(事)假",IF(OR(E30="婚",E30="產"),"婚(產)假",IF(E30="補","補休",IF(E30="休","休假",IF(E30="喪","喪假",IF(AND(E30="/",OR($A30=日期輸入!$B$23,$A30=日期輸入!$C$23,$A30=日期輸入!$D$23,$A30=日期輸入!$E$23,$A30=日期輸入!$F$23)),"08-18水電科",IF(E30="大日","大隊值日(日)",IF(E30="大夜","大隊值日(夜)",IF(E30="值1","值1(早)",IF(E30="值1丙","值1(早) 丙案",IF(E30="值2","值2(中)",IF(E30="值2乙","值2(中) 乙案",IF(E30="夜值","夜值(晚)",IF(E30="甲夜","夜值(晚) 甲案",IF(E30="備","08-18",IF(OR(E30="支援秘書室",E30="支援出納室",E30="支援警務科",E30="支援事務股"),"支援總(大)隊",IF(E30="支援檢疫所","支援(其他)",IF(  E30="/","空班",  IF(  E30="丙",  "※ 丙案",  IF(  E30="丙常訓",  "※ 丙案 常訓",E30  )))))))))))))))))))))))))</f>
        <v/>
      </c>
      <c r="F70" s="271" t="str">
        <f>IF(F30="早","08-18",IF(F30="中","12-22",IF(F30="晚","22-08",IF(F30="X","輪休",IF(F30="公","公假",IF(OR(F30="病",F30="事"),"病(事)假",IF(OR(F30="婚",F30="產"),"婚(產)假",IF(F30="補","補休",IF(F30="休","休假",IF(F30="喪","喪假",IF(AND(F30="/",OR($A30=日期輸入!$B$23,$A30=日期輸入!$C$23,$A30=日期輸入!$D$23,$A30=日期輸入!$E$23,$A30=日期輸入!$F$23)),"08-18水電科",IF(F30="大日","大隊值日(日)",IF(F30="大夜","大隊值日(夜)",IF(F30="值1","值1(早)",IF(F30="值1丙","值1(早) 丙案",IF(F30="值2","值2(中)",IF(F30="值2乙","值2(中) 乙案",IF(F30="夜值","夜值(晚)",IF(F30="甲夜","夜值(晚) 甲案",IF(F30="備","08-18",IF(OR(F30="支援秘書室",F30="支援出納室",F30="支援警務科",F30="支援事務股"),"支援總(大)隊",IF(F30="支援檢疫所","支援(其他)",IF(  F30="/","空班",  IF(  F30="丙",  "※ 丙案",  IF(  F30="丙常訓",  "※ 丙案 常訓",F30  )))))))))))))))))))))))))</f>
        <v/>
      </c>
      <c r="G70" s="271" t="str">
        <f>IF(G30="早","08-18",IF(G30="中","12-22",IF(G30="晚","22-08",IF(G30="X","輪休",IF(G30="公","公假",IF(OR(G30="病",G30="事"),"病(事)假",IF(OR(G30="婚",G30="產"),"婚(產)假",IF(G30="補","補休",IF(G30="休","休假",IF(G30="喪","喪假",IF(AND(G30="/",OR($A30=日期輸入!$B$23,$A30=日期輸入!$C$23,$A30=日期輸入!$D$23,$A30=日期輸入!$E$23,$A30=日期輸入!$F$23)),"08-18水電科",IF(G30="大日","大隊值日(日)",IF(G30="大夜","大隊值日(夜)",IF(G30="值1","值1(早)",IF(G30="值1丙","值1(早) 丙案",IF(G30="值2","值2(中)",IF(G30="值2乙","值2(中) 乙案",IF(G30="夜值","夜值(晚)",IF(G30="甲夜","夜值(晚) 甲案",IF(G30="備","08-18",IF(OR(G30="支援秘書室",G30="支援出納室",G30="支援警務科",G30="支援事務股"),"支援總(大)隊",IF(G30="支援檢疫所","支援(其他)",IF(  G30="/","空班",  IF(  G30="丙",  "※ 丙案",  IF(  G30="丙常訓",  "※ 丙案 常訓",G30  )))))))))))))))))))))))))</f>
        <v/>
      </c>
      <c r="H70" s="271" t="str">
        <f>IF(H30="早","08-18",IF(H30="中","12-22",IF(H30="晚","22-08",IF(H30="X","輪休",IF(H30="公","公假",IF(OR(H30="病",H30="事"),"病(事)假",IF(OR(H30="婚",H30="產"),"婚(產)假",IF(H30="補","補休",IF(H30="休","休假",IF(H30="喪","喪假",IF(AND(H30="/",OR($A30=日期輸入!$B$23,$A30=日期輸入!$C$23,$A30=日期輸入!$D$23,$A30=日期輸入!$E$23,$A30=日期輸入!$F$23)),"08-18水電科",IF(H30="大日","大隊值日(日)",IF(H30="大夜","大隊值日(夜)",IF(H30="值1","值1(早)",IF(H30="值1丙","值1(早) 丙案",IF(H30="值2","值2(中)",IF(H30="值2乙","值2(中) 乙案",IF(H30="夜值","夜值(晚)",IF(H30="甲夜","夜值(晚) 甲案",IF(H30="備","08-18",IF(OR(H30="支援秘書室",H30="支援出納室",H30="支援警務科",H30="支援事務股"),"支援總(大)隊",IF(H30="支援檢疫所","支援(其他)",IF(  H30="/","空班",  IF(  H30="丙",  "※ 丙案",  IF(  H30="丙常訓",  "※ 丙案 常訓",H30  )))))))))))))))))))))))))</f>
        <v/>
      </c>
      <c r="I70" s="271" t="str">
        <f>IF(I30="早","08-18",IF(I30="中","12-22",IF(I30="晚","22-08",IF(I30="X","輪休",IF(I30="公","公假",IF(OR(I30="病",I30="事"),"病(事)假",IF(OR(I30="婚",I30="產"),"婚(產)假",IF(I30="補","補休",IF(I30="休","休假",IF(I30="喪","喪假",IF(AND(I30="/",OR($A30=日期輸入!$B$23,$A30=日期輸入!$C$23,$A30=日期輸入!$D$23,$A30=日期輸入!$E$23,$A30=日期輸入!$F$23)),"08-18水電科",IF(I30="大日","大隊值日(日)",IF(I30="大夜","大隊值日(夜)",IF(I30="值1","值1(早)",IF(I30="值1丙","值1(早) 丙案",IF(I30="值2","值2(中)",IF(I30="值2乙","值2(中) 乙案",IF(I30="夜值","夜值(晚)",IF(I30="甲夜","夜值(晚) 甲案",IF(I30="備","08-18",IF(OR(I30="支援秘書室",I30="支援出納室",I30="支援警務科",I30="支援事務股"),"支援總(大)隊",IF(I30="支援檢疫所","支援(其他)",IF(  I30="/","空班",  IF(  I30="丙",  "※ 丙案",  IF(  I30="丙常訓",  "※ 丙案 常訓",I30  )))))))))))))))))))))))))</f>
        <v/>
      </c>
      <c r="J70" s="271" t="str">
        <f>IF(J30="早","08-18",IF(J30="中","12-22",IF(J30="晚","22-08",IF(J30="X","輪休",IF(J30="公","公假",IF(OR(J30="病",J30="事"),"病(事)假",IF(OR(J30="婚",J30="產"),"婚(產)假",IF(J30="補","補休",IF(J30="休","休假",IF(J30="喪","喪假",IF(AND(J30="/",OR($A30=日期輸入!$B$23,$A30=日期輸入!$C$23,$A30=日期輸入!$D$23,$A30=日期輸入!$E$23,$A30=日期輸入!$F$23)),"08-18水電科",IF(J30="大日","大隊值日(日)",IF(J30="大夜","大隊值日(夜)",IF(J30="值1","值1(早)",IF(J30="值1丙","值1(早) 丙案",IF(J30="值2","值2(中)",IF(J30="值2乙","值2(中) 乙案",IF(J30="夜值","夜值(晚)",IF(J30="甲夜","夜值(晚) 甲案",IF(J30="備","08-18",IF(OR(J30="支援秘書室",J30="支援出納室",J30="支援警務科",J30="支援事務股"),"支援總(大)隊",IF(J30="支援檢疫所","支援(其他)",IF(  J30="/","空班",  IF(  J30="丙",  "※ 丙案",  IF(  J30="丙常訓",  "※ 丙案 常訓",J30  )))))))))))))))))))))))))</f>
        <v/>
      </c>
      <c r="K70" s="271" t="str">
        <f>IF(K30="早","08-18",IF(K30="中","12-22",IF(K30="晚","22-08",IF(K30="X","輪休",IF(K30="公","公假",IF(OR(K30="病",K30="事"),"病(事)假",IF(OR(K30="婚",K30="產"),"婚(產)假",IF(K30="補","補休",IF(K30="休","休假",IF(K30="喪","喪假",IF(AND(K30="/",OR($A30=日期輸入!$B$23,$A30=日期輸入!$C$23,$A30=日期輸入!$D$23,$A30=日期輸入!$E$23,$A30=日期輸入!$F$23)),"08-18水電科",IF(K30="大日","大隊值日(日)",IF(K30="大夜","大隊值日(夜)",IF(K30="值1","值1(早)",IF(K30="值1丙","值1(早) 丙案",IF(K30="值2","值2(中)",IF(K30="值2乙","值2(中) 乙案",IF(K30="夜值","夜值(晚)",IF(K30="甲夜","夜值(晚) 甲案",IF(K30="備","08-18",IF(OR(K30="支援秘書室",K30="支援出納室",K30="支援警務科",K30="支援事務股"),"支援總(大)隊",IF(K30="支援檢疫所","支援(其他)",IF(  K30="/","空班",  IF(  K30="丙",  "※ 丙案",  IF(  K30="丙常訓",  "※ 丙案 常訓",K30  )))))))))))))))))))))))))</f>
        <v/>
      </c>
      <c r="L70" s="271" t="str">
        <f>IF(L30="早","08-18",IF(L30="中","12-22",IF(L30="晚","22-08",IF(L30="X","輪休",IF(L30="公","公假",IF(OR(L30="病",L30="事"),"病(事)假",IF(OR(L30="婚",L30="產"),"婚(產)假",IF(L30="補","補休",IF(L30="休","休假",IF(L30="喪","喪假",IF(AND(L30="/",OR($A30=日期輸入!$B$23,$A30=日期輸入!$C$23,$A30=日期輸入!$D$23,$A30=日期輸入!$E$23,$A30=日期輸入!$F$23)),"08-18水電科",IF(L30="大日","大隊值日(日)",IF(L30="大夜","大隊值日(夜)",IF(L30="值1","值1(早)",IF(L30="值1丙","值1(早) 丙案",IF(L30="值2","值2(中)",IF(L30="值2乙","值2(中) 乙案",IF(L30="夜值","夜值(晚)",IF(L30="甲夜","夜值(晚) 甲案",IF(L30="備","08-18",IF(OR(L30="支援秘書室",L30="支援出納室",L30="支援警務科",L30="支援事務股"),"支援總(大)隊",IF(L30="支援檢疫所","支援(其他)",IF(  L30="/","空班",  IF(  L30="丙",  "※ 丙案",  IF(  L30="丙常訓",  "※ 丙案 常訓",L30  )))))))))))))))))))))))))</f>
        <v/>
      </c>
      <c r="M70" s="271" t="str">
        <f>IF(M30="早","08-18",IF(M30="中","12-22",IF(M30="晚","22-08",IF(M30="X","輪休",IF(M30="公","公假",IF(OR(M30="病",M30="事"),"病(事)假",IF(OR(M30="婚",M30="產"),"婚(產)假",IF(M30="補","補休",IF(M30="休","休假",IF(M30="喪","喪假",IF(AND(M30="/",OR($A30=日期輸入!$B$23,$A30=日期輸入!$C$23,$A30=日期輸入!$D$23,$A30=日期輸入!$E$23,$A30=日期輸入!$F$23)),"08-18水電科",IF(M30="大日","大隊值日(日)",IF(M30="大夜","大隊值日(夜)",IF(M30="值1","值1(早)",IF(M30="值1丙","值1(早) 丙案",IF(M30="值2","值2(中)",IF(M30="值2乙","值2(中) 乙案",IF(M30="夜值","夜值(晚)",IF(M30="甲夜","夜值(晚) 甲案",IF(M30="備","08-18",IF(OR(M30="支援秘書室",M30="支援出納室",M30="支援警務科",M30="支援事務股"),"支援總(大)隊",IF(M30="支援檢疫所","支援(其他)",IF(  M30="/","空班",  IF(  M30="丙",  "※ 丙案",  IF(  M30="丙常訓",  "※ 丙案 常訓",M30  )))))))))))))))))))))))))</f>
        <v/>
      </c>
      <c r="N70" s="271" t="str">
        <f>IF(N30="早","08-18",IF(N30="中","12-22",IF(N30="晚","22-08",IF(N30="X","輪休",IF(N30="公","公假",IF(OR(N30="病",N30="事"),"病(事)假",IF(OR(N30="婚",N30="產"),"婚(產)假",IF(N30="補","補休",IF(N30="休","休假",IF(N30="喪","喪假",IF(AND(N30="/",OR($A30=日期輸入!$B$23,$A30=日期輸入!$C$23,$A30=日期輸入!$D$23,$A30=日期輸入!$E$23,$A30=日期輸入!$F$23)),"08-18水電科",IF(N30="大日","大隊值日(日)",IF(N30="大夜","大隊值日(夜)",IF(N30="值1","值1(早)",IF(N30="值1丙","值1(早) 丙案",IF(N30="值2","值2(中)",IF(N30="值2乙","值2(中) 乙案",IF(N30="夜值","夜值(晚)",IF(N30="甲夜","夜值(晚) 甲案",IF(N30="備","08-18",IF(OR(N30="支援秘書室",N30="支援出納室",N30="支援警務科",N30="支援事務股"),"支援總(大)隊",IF(N30="支援檢疫所","支援(其他)",IF(  N30="/","空班",  IF(  N30="丙",  "※ 丙案",  IF(  N30="丙常訓",  "※ 丙案 常訓",N30  )))))))))))))))))))))))))</f>
        <v/>
      </c>
      <c r="O70" s="271" t="str">
        <f>IF(O30="早","08-18",IF(O30="中","12-22",IF(O30="晚","22-08",IF(O30="X","輪休",IF(O30="公","公假",IF(OR(O30="病",O30="事"),"病(事)假",IF(OR(O30="婚",O30="產"),"婚(產)假",IF(O30="補","補休",IF(O30="休","休假",IF(O30="喪","喪假",IF(AND(O30="/",OR($A30=日期輸入!$B$23,$A30=日期輸入!$C$23,$A30=日期輸入!$D$23,$A30=日期輸入!$E$23,$A30=日期輸入!$F$23)),"08-18水電科",IF(O30="大日","大隊值日(日)",IF(O30="大夜","大隊值日(夜)",IF(O30="值1","值1(早)",IF(O30="值1丙","值1(早) 丙案",IF(O30="值2","值2(中)",IF(O30="值2乙","值2(中) 乙案",IF(O30="夜值","夜值(晚)",IF(O30="甲夜","夜值(晚) 甲案",IF(O30="備","08-18",IF(OR(O30="支援秘書室",O30="支援出納室",O30="支援警務科",O30="支援事務股"),"支援總(大)隊",IF(O30="支援檢疫所","支援(其他)",IF(  O30="/","空班",  IF(  O30="丙",  "※ 丙案",  IF(  O30="丙常訓",  "※ 丙案 常訓",O30  )))))))))))))))))))))))))</f>
        <v/>
      </c>
      <c r="P70" s="271" t="str">
        <f>IF(P30="早","08-18",IF(P30="中","12-22",IF(P30="晚","22-08",IF(P30="X","輪休",IF(P30="公","公假",IF(OR(P30="病",P30="事"),"病(事)假",IF(OR(P30="婚",P30="產"),"婚(產)假",IF(P30="補","補休",IF(P30="休","休假",IF(P30="喪","喪假",IF(AND(P30="/",OR($A30=日期輸入!$B$23,$A30=日期輸入!$C$23,$A30=日期輸入!$D$23,$A30=日期輸入!$E$23,$A30=日期輸入!$F$23)),"08-18水電科",IF(P30="大日","大隊值日(日)",IF(P30="大夜","大隊值日(夜)",IF(P30="值1","值1(早)",IF(P30="值1丙","值1(早) 丙案",IF(P30="值2","值2(中)",IF(P30="值2乙","值2(中) 乙案",IF(P30="夜值","夜值(晚)",IF(P30="甲夜","夜值(晚) 甲案",IF(P30="備","08-18",IF(OR(P30="支援秘書室",P30="支援出納室",P30="支援警務科",P30="支援事務股"),"支援總(大)隊",IF(P30="支援檢疫所","支援(其他)",IF(  P30="/","空班",  IF(  P30="丙",  "※ 丙案",  IF(  P30="丙常訓",  "※ 丙案 常訓",P30  )))))))))))))))))))))))))</f>
        <v/>
      </c>
      <c r="Q70" s="271" t="str">
        <f>IF(Q30="早","08-18",IF(Q30="中","12-22",IF(Q30="晚","22-08",IF(Q30="X","輪休",IF(Q30="公","公假",IF(OR(Q30="病",Q30="事"),"病(事)假",IF(OR(Q30="婚",Q30="產"),"婚(產)假",IF(Q30="補","補休",IF(Q30="休","休假",IF(Q30="喪","喪假",IF(AND(Q30="/",OR($A30=日期輸入!$B$23,$A30=日期輸入!$C$23,$A30=日期輸入!$D$23,$A30=日期輸入!$E$23,$A30=日期輸入!$F$23)),"08-18水電科",IF(Q30="大日","大隊值日(日)",IF(Q30="大夜","大隊值日(夜)",IF(Q30="值1","值1(早)",IF(Q30="值1丙","值1(早) 丙案",IF(Q30="值2","值2(中)",IF(Q30="值2乙","值2(中) 乙案",IF(Q30="夜值","夜值(晚)",IF(Q30="甲夜","夜值(晚) 甲案",IF(Q30="備","08-18",IF(OR(Q30="支援秘書室",Q30="支援出納室",Q30="支援警務科",Q30="支援事務股"),"支援總(大)隊",IF(Q30="支援檢疫所","支援(其他)",IF(  Q30="/","空班",  IF(  Q30="丙",  "※ 丙案",  IF(  Q30="丙常訓",  "※ 丙案 常訓",Q30  )))))))))))))))))))))))))</f>
        <v/>
      </c>
      <c r="R70" s="271" t="str">
        <f>IF(R30="早","08-18",IF(R30="中","12-22",IF(R30="晚","22-08",IF(R30="X","輪休",IF(R30="公","公假",IF(OR(R30="病",R30="事"),"病(事)假",IF(OR(R30="婚",R30="產"),"婚(產)假",IF(R30="補","補休",IF(R30="休","休假",IF(R30="喪","喪假",IF(AND(R30="/",OR($A30=日期輸入!$B$23,$A30=日期輸入!$C$23,$A30=日期輸入!$D$23,$A30=日期輸入!$E$23,$A30=日期輸入!$F$23)),"08-18水電科",IF(R30="大日","大隊值日(日)",IF(R30="大夜","大隊值日(夜)",IF(R30="值1","值1(早)",IF(R30="值1丙","值1(早) 丙案",IF(R30="值2","值2(中)",IF(R30="值2乙","值2(中) 乙案",IF(R30="夜值","夜值(晚)",IF(R30="甲夜","夜值(晚) 甲案",IF(R30="備","08-18",IF(OR(R30="支援秘書室",R30="支援出納室",R30="支援警務科",R30="支援事務股"),"支援總(大)隊",IF(R30="支援檢疫所","支援(其他)",IF(  R30="/","空班",  IF(  R30="丙",  "※ 丙案",  IF(  R30="丙常訓",  "※ 丙案 常訓",R30  )))))))))))))))))))))))))</f>
        <v/>
      </c>
      <c r="S70" s="271" t="str">
        <f>IF(S30="早","08-18",IF(S30="中","12-22",IF(S30="晚","22-08",IF(S30="X","輪休",IF(S30="公","公假",IF(OR(S30="病",S30="事"),"病(事)假",IF(OR(S30="婚",S30="產"),"婚(產)假",IF(S30="補","補休",IF(S30="休","休假",IF(S30="喪","喪假",IF(AND(S30="/",OR($A30=日期輸入!$B$23,$A30=日期輸入!$C$23,$A30=日期輸入!$D$23,$A30=日期輸入!$E$23,$A30=日期輸入!$F$23)),"08-18水電科",IF(S30="大日","大隊值日(日)",IF(S30="大夜","大隊值日(夜)",IF(S30="值1","值1(早)",IF(S30="值1丙","值1(早) 丙案",IF(S30="值2","值2(中)",IF(S30="值2乙","值2(中) 乙案",IF(S30="夜值","夜值(晚)",IF(S30="甲夜","夜值(晚) 甲案",IF(S30="備","08-18",IF(OR(S30="支援秘書室",S30="支援出納室",S30="支援警務科",S30="支援事務股"),"支援總(大)隊",IF(S30="支援檢疫所","支援(其他)",IF(  S30="/","空班",  IF(  S30="丙",  "※ 丙案",  IF(  S30="丙常訓",  "※ 丙案 常訓",S30  )))))))))))))))))))))))))</f>
        <v/>
      </c>
      <c r="T70" s="271" t="str">
        <f>IF(T30="早","08-18",IF(T30="中","12-22",IF(T30="晚","22-08",IF(T30="X","輪休",IF(T30="公","公假",IF(OR(T30="病",T30="事"),"病(事)假",IF(OR(T30="婚",T30="產"),"婚(產)假",IF(T30="補","補休",IF(T30="休","休假",IF(T30="喪","喪假",IF(AND(T30="/",OR($A30=日期輸入!$B$23,$A30=日期輸入!$C$23,$A30=日期輸入!$D$23,$A30=日期輸入!$E$23,$A30=日期輸入!$F$23)),"08-18水電科",IF(T30="大日","大隊值日(日)",IF(T30="大夜","大隊值日(夜)",IF(T30="值1","值1(早)",IF(T30="值1丙","值1(早) 丙案",IF(T30="值2","值2(中)",IF(T30="值2乙","值2(中) 乙案",IF(T30="夜值","夜值(晚)",IF(T30="甲夜","夜值(晚) 甲案",IF(T30="備","08-18",IF(OR(T30="支援秘書室",T30="支援出納室",T30="支援警務科",T30="支援事務股"),"支援總(大)隊",IF(T30="支援檢疫所","支援(其他)",IF(  T30="/","空班",  IF(  T30="丙",  "※ 丙案",  IF(  T30="丙常訓",  "※ 丙案 常訓",T30  )))))))))))))))))))))))))</f>
        <v/>
      </c>
      <c r="U70" s="271" t="str">
        <f>IF(U30="早","08-18",IF(U30="中","12-22",IF(U30="晚","22-08",IF(U30="X","輪休",IF(U30="公","公假",IF(OR(U30="病",U30="事"),"病(事)假",IF(OR(U30="婚",U30="產"),"婚(產)假",IF(U30="補","補休",IF(U30="休","休假",IF(U30="喪","喪假",IF(AND(U30="/",OR($A30=日期輸入!$B$23,$A30=日期輸入!$C$23,$A30=日期輸入!$D$23,$A30=日期輸入!$E$23,$A30=日期輸入!$F$23)),"08-18水電科",IF(U30="大日","大隊值日(日)",IF(U30="大夜","大隊值日(夜)",IF(U30="值1","值1(早)",IF(U30="值1丙","值1(早) 丙案",IF(U30="值2","值2(中)",IF(U30="值2乙","值2(中) 乙案",IF(U30="夜值","夜值(晚)",IF(U30="甲夜","夜值(晚) 甲案",IF(U30="備","08-18",IF(OR(U30="支援秘書室",U30="支援出納室",U30="支援警務科",U30="支援事務股"),"支援總(大)隊",IF(U30="支援檢疫所","支援(其他)",IF(  U30="/","空班",  IF(  U30="丙",  "※ 丙案",  IF(  U30="丙常訓",  "※ 丙案 常訓",U30  )))))))))))))))))))))))))</f>
        <v/>
      </c>
      <c r="V70" s="271" t="str">
        <f>IF(V30="早","08-18",IF(V30="中","12-22",IF(V30="晚","22-08",IF(V30="X","輪休",IF(V30="公","公假",IF(OR(V30="病",V30="事"),"病(事)假",IF(OR(V30="婚",V30="產"),"婚(產)假",IF(V30="補","補休",IF(V30="休","休假",IF(V30="喪","喪假",IF(AND(V30="/",OR($A30=日期輸入!$B$23,$A30=日期輸入!$C$23,$A30=日期輸入!$D$23,$A30=日期輸入!$E$23,$A30=日期輸入!$F$23)),"08-18水電科",IF(V30="大日","大隊值日(日)",IF(V30="大夜","大隊值日(夜)",IF(V30="值1","值1(早)",IF(V30="值1丙","值1(早) 丙案",IF(V30="值2","值2(中)",IF(V30="值2乙","值2(中) 乙案",IF(V30="夜值","夜值(晚)",IF(V30="甲夜","夜值(晚) 甲案",IF(V30="備","08-18",IF(OR(V30="支援秘書室",V30="支援出納室",V30="支援警務科",V30="支援事務股"),"支援總(大)隊",IF(V30="支援檢疫所","支援(其他)",IF(  V30="/","空班",  IF(  V30="丙",  "※ 丙案",  IF(  V30="丙常訓",  "※ 丙案 常訓",V30  )))))))))))))))))))))))))</f>
        <v/>
      </c>
      <c r="W70" s="271" t="str">
        <f>IF(W30="早","08-18",IF(W30="中","12-22",IF(W30="晚","22-08",IF(W30="X","輪休",IF(W30="公","公假",IF(OR(W30="病",W30="事"),"病(事)假",IF(OR(W30="婚",W30="產"),"婚(產)假",IF(W30="補","補休",IF(W30="休","休假",IF(W30="喪","喪假",IF(AND(W30="/",OR($A30=日期輸入!$B$23,$A30=日期輸入!$C$23,$A30=日期輸入!$D$23,$A30=日期輸入!$E$23,$A30=日期輸入!$F$23)),"08-18水電科",IF(W30="大日","大隊值日(日)",IF(W30="大夜","大隊值日(夜)",IF(W30="值1","值1(早)",IF(W30="值1丙","值1(早) 丙案",IF(W30="值2","值2(中)",IF(W30="值2乙","值2(中) 乙案",IF(W30="夜值","夜值(晚)",IF(W30="甲夜","夜值(晚) 甲案",IF(W30="備","08-18",IF(OR(W30="支援秘書室",W30="支援出納室",W30="支援警務科",W30="支援事務股"),"支援總(大)隊",IF(W30="支援檢疫所","支援(其他)",IF(  W30="/","空班",  IF(  W30="丙",  "※ 丙案",  IF(  W30="丙常訓",  "※ 丙案 常訓",W30  )))))))))))))))))))))))))</f>
        <v/>
      </c>
      <c r="X70" s="271" t="str">
        <f>IF(X30="早","08-18",IF(X30="中","12-22",IF(X30="晚","22-08",IF(X30="X","輪休",IF(X30="公","公假",IF(OR(X30="病",X30="事"),"病(事)假",IF(OR(X30="婚",X30="產"),"婚(產)假",IF(X30="補","補休",IF(X30="休","休假",IF(X30="喪","喪假",IF(AND(X30="/",OR($A30=日期輸入!$B$23,$A30=日期輸入!$C$23,$A30=日期輸入!$D$23,$A30=日期輸入!$E$23,$A30=日期輸入!$F$23)),"08-18水電科",IF(X30="大日","大隊值日(日)",IF(X30="大夜","大隊值日(夜)",IF(X30="值1","值1(早)",IF(X30="值1丙","值1(早) 丙案",IF(X30="值2","值2(中)",IF(X30="值2乙","值2(中) 乙案",IF(X30="夜值","夜值(晚)",IF(X30="甲夜","夜值(晚) 甲案",IF(X30="備","08-18",IF(OR(X30="支援秘書室",X30="支援出納室",X30="支援警務科",X30="支援事務股"),"支援總(大)隊",IF(X30="支援檢疫所","支援(其他)",IF(  X30="/","空班",  IF(  X30="丙",  "※ 丙案",  IF(  X30="丙常訓",  "※ 丙案 常訓",X30  )))))))))))))))))))))))))</f>
        <v/>
      </c>
      <c r="Y70" s="271" t="str">
        <f>IF(Y30="早","08-18",IF(Y30="中","12-22",IF(Y30="晚","22-08",IF(Y30="X","輪休",IF(Y30="公","公假",IF(OR(Y30="病",Y30="事"),"病(事)假",IF(OR(Y30="婚",Y30="產"),"婚(產)假",IF(Y30="補","補休",IF(Y30="休","休假",IF(Y30="喪","喪假",IF(AND(Y30="/",OR($A30=日期輸入!$B$23,$A30=日期輸入!$C$23,$A30=日期輸入!$D$23,$A30=日期輸入!$E$23,$A30=日期輸入!$F$23)),"08-18水電科",IF(Y30="大日","大隊值日(日)",IF(Y30="大夜","大隊值日(夜)",IF(Y30="值1","值1(早)",IF(Y30="值1丙","值1(早) 丙案",IF(Y30="值2","值2(中)",IF(Y30="值2乙","值2(中) 乙案",IF(Y30="夜值","夜值(晚)",IF(Y30="甲夜","夜值(晚) 甲案",IF(Y30="備","08-18",IF(OR(Y30="支援秘書室",Y30="支援出納室",Y30="支援警務科",Y30="支援事務股"),"支援總(大)隊",IF(Y30="支援檢疫所","支援(其他)",IF(  Y30="/","空班",  IF(  Y30="丙",  "※ 丙案",  IF(  Y30="丙常訓",  "※ 丙案 常訓",Y30  )))))))))))))))))))))))))</f>
        <v/>
      </c>
      <c r="Z70" s="271" t="str">
        <f>IF(Z30="早","08-18",IF(Z30="中","12-22",IF(Z30="晚","22-08",IF(Z30="X","輪休",IF(Z30="公","公假",IF(OR(Z30="病",Z30="事"),"病(事)假",IF(OR(Z30="婚",Z30="產"),"婚(產)假",IF(Z30="補","補休",IF(Z30="休","休假",IF(Z30="喪","喪假",IF(AND(Z30="/",OR($A30=日期輸入!$B$23,$A30=日期輸入!$C$23,$A30=日期輸入!$D$23,$A30=日期輸入!$E$23,$A30=日期輸入!$F$23)),"08-18水電科",IF(Z30="大日","大隊值日(日)",IF(Z30="大夜","大隊值日(夜)",IF(Z30="值1","值1(早)",IF(Z30="值1丙","值1(早) 丙案",IF(Z30="值2","值2(中)",IF(Z30="值2乙","值2(中) 乙案",IF(Z30="夜值","夜值(晚)",IF(Z30="甲夜","夜值(晚) 甲案",IF(Z30="備","08-18",IF(OR(Z30="支援秘書室",Z30="支援出納室",Z30="支援警務科",Z30="支援事務股"),"支援總(大)隊",IF(Z30="支援檢疫所","支援(其他)",IF(  Z30="/","空班",  IF(  Z30="丙",  "※ 丙案",  IF(  Z30="丙常訓",  "※ 丙案 常訓",Z30  )))))))))))))))))))))))))</f>
        <v/>
      </c>
      <c r="AA70" s="271" t="str">
        <f>IF(AA30="早","08-18",IF(AA30="中","12-22",IF(AA30="晚","22-08",IF(AA30="X","輪休",IF(AA30="公","公假",IF(OR(AA30="病",AA30="事"),"病(事)假",IF(OR(AA30="婚",AA30="產"),"婚(產)假",IF(AA30="補","補休",IF(AA30="休","休假",IF(AA30="喪","喪假",IF(AND(AA30="/",OR($A30=日期輸入!$B$23,$A30=日期輸入!$C$23,$A30=日期輸入!$D$23,$A30=日期輸入!$E$23,$A30=日期輸入!$F$23)),"08-18水電科",IF(AA30="大日","大隊值日(日)",IF(AA30="大夜","大隊值日(夜)",IF(AA30="值1","值1(早)",IF(AA30="值1丙","值1(早) 丙案",IF(AA30="值2","值2(中)",IF(AA30="值2乙","值2(中) 乙案",IF(AA30="夜值","夜值(晚)",IF(AA30="甲夜","夜值(晚) 甲案",IF(AA30="備","08-18",IF(OR(AA30="支援秘書室",AA30="支援出納室",AA30="支援警務科",AA30="支援事務股"),"支援總(大)隊",IF(AA30="支援檢疫所","支援(其他)",IF(  AA30="/","空班",  IF(  AA30="丙",  "※ 丙案",  IF(  AA30="丙常訓",  "※ 丙案 常訓",AA30  )))))))))))))))))))))))))</f>
        <v/>
      </c>
      <c r="AB70" s="271" t="str">
        <f>IF(AB30="早","08-18",IF(AB30="中","12-22",IF(AB30="晚","22-08",IF(AB30="X","輪休",IF(AB30="公","公假",IF(OR(AB30="病",AB30="事"),"病(事)假",IF(OR(AB30="婚",AB30="產"),"婚(產)假",IF(AB30="補","補休",IF(AB30="休","休假",IF(AB30="喪","喪假",IF(AND(AB30="/",OR($A30=日期輸入!$B$23,$A30=日期輸入!$C$23,$A30=日期輸入!$D$23,$A30=日期輸入!$E$23,$A30=日期輸入!$F$23)),"08-18水電科",IF(AB30="大日","大隊值日(日)",IF(AB30="大夜","大隊值日(夜)",IF(AB30="值1","值1(早)",IF(AB30="值1丙","值1(早) 丙案",IF(AB30="值2","值2(中)",IF(AB30="值2乙","值2(中) 乙案",IF(AB30="夜值","夜值(晚)",IF(AB30="甲夜","夜值(晚) 甲案",IF(AB30="備","08-18",IF(OR(AB30="支援秘書室",AB30="支援出納室",AB30="支援警務科",AB30="支援事務股"),"支援總(大)隊",IF(AB30="支援檢疫所","支援(其他)",IF(  AB30="/","空班",  IF(  AB30="丙",  "※ 丙案",  IF(  AB30="丙常訓",  "※ 丙案 常訓",AB30  )))))))))))))))))))))))))</f>
        <v/>
      </c>
      <c r="AC70" s="271" t="str">
        <f>IF(AC30="早","08-18",IF(AC30="中","12-22",IF(AC30="晚","22-08",IF(AC30="X","輪休",IF(AC30="公","公假",IF(OR(AC30="病",AC30="事"),"病(事)假",IF(OR(AC30="婚",AC30="產"),"婚(產)假",IF(AC30="補","補休",IF(AC30="休","休假",IF(AC30="喪","喪假",IF(AND(AC30="/",OR($A30=日期輸入!$B$23,$A30=日期輸入!$C$23,$A30=日期輸入!$D$23,$A30=日期輸入!$E$23,$A30=日期輸入!$F$23)),"08-18水電科",IF(AC30="大日","大隊值日(日)",IF(AC30="大夜","大隊值日(夜)",IF(AC30="值1","值1(早)",IF(AC30="值1丙","值1(早) 丙案",IF(AC30="值2","值2(中)",IF(AC30="值2乙","值2(中) 乙案",IF(AC30="夜值","夜值(晚)",IF(AC30="甲夜","夜值(晚) 甲案",IF(AC30="備","08-18",IF(OR(AC30="支援秘書室",AC30="支援出納室",AC30="支援警務科",AC30="支援事務股"),"支援總(大)隊",IF(AC30="支援檢疫所","支援(其他)",IF(  AC30="/","空班",  IF(  AC30="丙",  "※ 丙案",  IF(  AC30="丙常訓",  "※ 丙案 常訓",AC30  )))))))))))))))))))))))))</f>
        <v/>
      </c>
      <c r="AD70" s="271" t="str">
        <f>IF(AD30="早","08-18",IF(AD30="中","12-22",IF(AD30="晚","22-08",IF(AD30="X","輪休",IF(AD30="公","公假",IF(OR(AD30="病",AD30="事"),"病(事)假",IF(OR(AD30="婚",AD30="產"),"婚(產)假",IF(AD30="補","補休",IF(AD30="休","休假",IF(AD30="喪","喪假",IF(AND(AD30="/",OR($A30=日期輸入!$B$23,$A30=日期輸入!$C$23,$A30=日期輸入!$D$23,$A30=日期輸入!$E$23,$A30=日期輸入!$F$23)),"08-18水電科",IF(AD30="大日","大隊值日(日)",IF(AD30="大夜","大隊值日(夜)",IF(AD30="值1","值1(早)",IF(AD30="值1丙","值1(早) 丙案",IF(AD30="值2","值2(中)",IF(AD30="值2乙","值2(中) 乙案",IF(AD30="夜值","夜值(晚)",IF(AD30="甲夜","夜值(晚) 甲案",IF(AD30="備","08-18",IF(OR(AD30="支援秘書室",AD30="支援出納室",AD30="支援警務科",AD30="支援事務股"),"支援總(大)隊",IF(AD30="支援檢疫所","支援(其他)",IF(  AD30="/","空班",  IF(  AD30="丙",  "※ 丙案",  IF(  AD30="丙常訓",  "※ 丙案 常訓",AD30  )))))))))))))))))))))))))</f>
        <v/>
      </c>
      <c r="AE70" s="271" t="str">
        <f>IF(AE30="早","08-18",IF(AE30="中","12-22",IF(AE30="晚","22-08",IF(AE30="X","輪休",IF(AE30="公","公假",IF(OR(AE30="病",AE30="事"),"病(事)假",IF(OR(AE30="婚",AE30="產"),"婚(產)假",IF(AE30="補","補休",IF(AE30="休","休假",IF(AE30="喪","喪假",IF(AND(AE30="/",OR($A30=日期輸入!$B$23,$A30=日期輸入!$C$23,$A30=日期輸入!$D$23,$A30=日期輸入!$E$23,$A30=日期輸入!$F$23)),"08-18水電科",IF(AE30="大日","大隊值日(日)",IF(AE30="大夜","大隊值日(夜)",IF(AE30="值1","值1(早)",IF(AE30="值1丙","值1(早) 丙案",IF(AE30="值2","值2(中)",IF(AE30="值2乙","值2(中) 乙案",IF(AE30="夜值","夜值(晚)",IF(AE30="甲夜","夜值(晚) 甲案",IF(AE30="備","08-18",IF(OR(AE30="支援秘書室",AE30="支援出納室",AE30="支援警務科",AE30="支援事務股"),"支援總(大)隊",IF(AE30="支援檢疫所","支援(其他)",IF(  AE30="/","空班",  IF(  AE30="丙",  "※ 丙案",  IF(  AE30="丙常訓",  "※ 丙案 常訓",AE30  )))))))))))))))))))))))))</f>
        <v/>
      </c>
      <c r="AF70" s="271" t="str">
        <f>IF(AF30="早","08-18",IF(AF30="中","12-22",IF(AF30="晚","22-08",IF(AF30="X","輪休",IF(AF30="公","公假",IF(OR(AF30="病",AF30="事"),"病(事)假",IF(OR(AF30="婚",AF30="產"),"婚(產)假",IF(AF30="補","補休",IF(AF30="休","休假",IF(AF30="喪","喪假",IF(AND(AF30="/",OR($A30=日期輸入!$B$23,$A30=日期輸入!$C$23,$A30=日期輸入!$D$23,$A30=日期輸入!$E$23,$A30=日期輸入!$F$23)),"08-18水電科",IF(AF30="大日","大隊值日(日)",IF(AF30="大夜","大隊值日(夜)",IF(AF30="值1","值1(早)",IF(AF30="值1丙","值1(早) 丙案",IF(AF30="值2","值2(中)",IF(AF30="值2乙","值2(中) 乙案",IF(AF30="夜值","夜值(晚)",IF(AF30="甲夜","夜值(晚) 甲案",IF(AF30="備","08-18",IF(OR(AF30="支援秘書室",AF30="支援出納室",AF30="支援警務科",AF30="支援事務股"),"支援總(大)隊",IF(AF30="支援檢疫所","支援(其他)",IF(  AF30="/","空班",  IF(  AF30="丙",  "※ 丙案",  IF(  AF30="丙常訓",  "※ 丙案 常訓",AF30  )))))))))))))))))))))))))</f>
        <v/>
      </c>
      <c r="AG70" s="271" t="str">
        <f>IF(AG30="早","08-18",IF(AG30="中","12-22",IF(AG30="晚","22-08",IF(AG30="X","輪休",IF(AG30="公","公假",IF(OR(AG30="病",AG30="事"),"病(事)假",IF(OR(AG30="婚",AG30="產"),"婚(產)假",IF(AG30="補","補休",IF(AG30="休","休假",IF(AG30="喪","喪假",IF(AND(AG30="/",OR($A30=日期輸入!$B$23,$A30=日期輸入!$C$23,$A30=日期輸入!$D$23,$A30=日期輸入!$E$23,$A30=日期輸入!$F$23)),"08-18水電科",IF(AG30="大日","大隊值日(日)",IF(AG30="大夜","大隊值日(夜)",IF(AG30="值1","值1(早)",IF(AG30="值1丙","值1(早) 丙案",IF(AG30="值2","值2(中)",IF(AG30="值2乙","值2(中) 乙案",IF(AG30="夜值","夜值(晚)",IF(AG30="甲夜","夜值(晚) 甲案",IF(AG30="備","08-18",IF(OR(AG30="支援秘書室",AG30="支援出納室",AG30="支援警務科",AG30="支援事務股"),"支援總(大)隊",IF(AG30="支援檢疫所","支援(其他)",IF(  AG30="/","空班",  IF(  AG30="丙",  "※ 丙案",  IF(  AG30="丙常訓",  "※ 丙案 常訓",AG30  )))))))))))))))))))))))))</f>
        <v/>
      </c>
    </row>
    <row r="71" spans="1:33">
      <c r="A71" s="271" t="str">
        <f t="shared" ref="A71:B71" si="30">A31</f>
        <v/>
      </c>
      <c r="B71" s="271" t="str">
        <f t="shared" si="30"/>
        <v/>
      </c>
      <c r="C71" s="271" t="str">
        <f>IF(C31="早","08-18",IF(C31="中","12-22",IF(C31="晚","22-08",IF(C31="X","輪休",IF(C31="公","公假",IF(OR(C31="病",C31="事"),"病(事)假",IF(OR(C31="婚",C31="產"),"婚(產)假",IF(C31="補","補休",IF(C31="休","休假",IF(C31="喪","喪假",IF(AND(C31="/",OR($A31=日期輸入!$B$23,$A31=日期輸入!$C$23,$A31=日期輸入!$D$23,$A31=日期輸入!$E$23,$A31=日期輸入!$F$23)),"08-18水電科",IF(C31="大日","大隊值日(日)",IF(C31="大夜","大隊值日(夜)",IF(C31="值1","值1(早)",IF(C31="值1丙","值1(早) 丙案",IF(C31="值2","值2(中)",IF(C31="值2乙","值2(中) 乙案",IF(C31="夜值","夜值(晚)",IF(C31="甲夜","夜值(晚) 甲案",IF(C31="備","08-18",IF(OR(C31="支援秘書室",C31="支援出納室",C31="支援警務科",C31="支援事務股"),"支援總(大)隊",IF(C31="支援檢疫所","支援(其他)",IF(  C31="/","空班",  IF(  C31="丙",  "※ 丙案",  IF(  C31="丙常訓",  "※ 丙案 常訓",C31  )))))))))))))))))))))))))</f>
        <v/>
      </c>
      <c r="D71" s="271" t="str">
        <f>IF(D31="早","08-18",IF(D31="中","12-22",IF(D31="晚","22-08",IF(D31="X","輪休",IF(D31="公","公假",IF(OR(D31="病",D31="事"),"病(事)假",IF(OR(D31="婚",D31="產"),"婚(產)假",IF(D31="補","補休",IF(D31="休","休假",IF(D31="喪","喪假",IF(AND(D31="/",OR($A31=日期輸入!$B$23,$A31=日期輸入!$C$23,$A31=日期輸入!$D$23,$A31=日期輸入!$E$23,$A31=日期輸入!$F$23)),"08-18水電科",IF(D31="大日","大隊值日(日)",IF(D31="大夜","大隊值日(夜)",IF(D31="值1","值1(早)",IF(D31="值1丙","值1(早) 丙案",IF(D31="值2","值2(中)",IF(D31="值2乙","值2(中) 乙案",IF(D31="夜值","夜值(晚)",IF(D31="甲夜","夜值(晚) 甲案",IF(D31="備","08-18",IF(OR(D31="支援秘書室",D31="支援出納室",D31="支援警務科",D31="支援事務股"),"支援總(大)隊",IF(D31="支援檢疫所","支援(其他)",IF(  D31="/","空班",  IF(  D31="丙",  "※ 丙案",  IF(  D31="丙常訓",  "※ 丙案 常訓",D31  )))))))))))))))))))))))))</f>
        <v/>
      </c>
      <c r="E71" s="271" t="str">
        <f>IF(E31="早","08-18",IF(E31="中","12-22",IF(E31="晚","22-08",IF(E31="X","輪休",IF(E31="公","公假",IF(OR(E31="病",E31="事"),"病(事)假",IF(OR(E31="婚",E31="產"),"婚(產)假",IF(E31="補","補休",IF(E31="休","休假",IF(E31="喪","喪假",IF(AND(E31="/",OR($A31=日期輸入!$B$23,$A31=日期輸入!$C$23,$A31=日期輸入!$D$23,$A31=日期輸入!$E$23,$A31=日期輸入!$F$23)),"08-18水電科",IF(E31="大日","大隊值日(日)",IF(E31="大夜","大隊值日(夜)",IF(E31="值1","值1(早)",IF(E31="值1丙","值1(早) 丙案",IF(E31="值2","值2(中)",IF(E31="值2乙","值2(中) 乙案",IF(E31="夜值","夜值(晚)",IF(E31="甲夜","夜值(晚) 甲案",IF(E31="備","08-18",IF(OR(E31="支援秘書室",E31="支援出納室",E31="支援警務科",E31="支援事務股"),"支援總(大)隊",IF(E31="支援檢疫所","支援(其他)",IF(  E31="/","空班",  IF(  E31="丙",  "※ 丙案",  IF(  E31="丙常訓",  "※ 丙案 常訓",E31  )))))))))))))))))))))))))</f>
        <v/>
      </c>
      <c r="F71" s="271" t="str">
        <f>IF(F31="早","08-18",IF(F31="中","12-22",IF(F31="晚","22-08",IF(F31="X","輪休",IF(F31="公","公假",IF(OR(F31="病",F31="事"),"病(事)假",IF(OR(F31="婚",F31="產"),"婚(產)假",IF(F31="補","補休",IF(F31="休","休假",IF(F31="喪","喪假",IF(AND(F31="/",OR($A31=日期輸入!$B$23,$A31=日期輸入!$C$23,$A31=日期輸入!$D$23,$A31=日期輸入!$E$23,$A31=日期輸入!$F$23)),"08-18水電科",IF(F31="大日","大隊值日(日)",IF(F31="大夜","大隊值日(夜)",IF(F31="值1","值1(早)",IF(F31="值1丙","值1(早) 丙案",IF(F31="值2","值2(中)",IF(F31="值2乙","值2(中) 乙案",IF(F31="夜值","夜值(晚)",IF(F31="甲夜","夜值(晚) 甲案",IF(F31="備","08-18",IF(OR(F31="支援秘書室",F31="支援出納室",F31="支援警務科",F31="支援事務股"),"支援總(大)隊",IF(F31="支援檢疫所","支援(其他)",IF(  F31="/","空班",  IF(  F31="丙",  "※ 丙案",  IF(  F31="丙常訓",  "※ 丙案 常訓",F31  )))))))))))))))))))))))))</f>
        <v/>
      </c>
      <c r="G71" s="271" t="str">
        <f>IF(G31="早","08-18",IF(G31="中","12-22",IF(G31="晚","22-08",IF(G31="X","輪休",IF(G31="公","公假",IF(OR(G31="病",G31="事"),"病(事)假",IF(OR(G31="婚",G31="產"),"婚(產)假",IF(G31="補","補休",IF(G31="休","休假",IF(G31="喪","喪假",IF(AND(G31="/",OR($A31=日期輸入!$B$23,$A31=日期輸入!$C$23,$A31=日期輸入!$D$23,$A31=日期輸入!$E$23,$A31=日期輸入!$F$23)),"08-18水電科",IF(G31="大日","大隊值日(日)",IF(G31="大夜","大隊值日(夜)",IF(G31="值1","值1(早)",IF(G31="值1丙","值1(早) 丙案",IF(G31="值2","值2(中)",IF(G31="值2乙","值2(中) 乙案",IF(G31="夜值","夜值(晚)",IF(G31="甲夜","夜值(晚) 甲案",IF(G31="備","08-18",IF(OR(G31="支援秘書室",G31="支援出納室",G31="支援警務科",G31="支援事務股"),"支援總(大)隊",IF(G31="支援檢疫所","支援(其他)",IF(  G31="/","空班",  IF(  G31="丙",  "※ 丙案",  IF(  G31="丙常訓",  "※ 丙案 常訓",G31  )))))))))))))))))))))))))</f>
        <v/>
      </c>
      <c r="H71" s="271" t="str">
        <f>IF(H31="早","08-18",IF(H31="中","12-22",IF(H31="晚","22-08",IF(H31="X","輪休",IF(H31="公","公假",IF(OR(H31="病",H31="事"),"病(事)假",IF(OR(H31="婚",H31="產"),"婚(產)假",IF(H31="補","補休",IF(H31="休","休假",IF(H31="喪","喪假",IF(AND(H31="/",OR($A31=日期輸入!$B$23,$A31=日期輸入!$C$23,$A31=日期輸入!$D$23,$A31=日期輸入!$E$23,$A31=日期輸入!$F$23)),"08-18水電科",IF(H31="大日","大隊值日(日)",IF(H31="大夜","大隊值日(夜)",IF(H31="值1","值1(早)",IF(H31="值1丙","值1(早) 丙案",IF(H31="值2","值2(中)",IF(H31="值2乙","值2(中) 乙案",IF(H31="夜值","夜值(晚)",IF(H31="甲夜","夜值(晚) 甲案",IF(H31="備","08-18",IF(OR(H31="支援秘書室",H31="支援出納室",H31="支援警務科",H31="支援事務股"),"支援總(大)隊",IF(H31="支援檢疫所","支援(其他)",IF(  H31="/","空班",  IF(  H31="丙",  "※ 丙案",  IF(  H31="丙常訓",  "※ 丙案 常訓",H31  )))))))))))))))))))))))))</f>
        <v/>
      </c>
      <c r="I71" s="271" t="str">
        <f>IF(I31="早","08-18",IF(I31="中","12-22",IF(I31="晚","22-08",IF(I31="X","輪休",IF(I31="公","公假",IF(OR(I31="病",I31="事"),"病(事)假",IF(OR(I31="婚",I31="產"),"婚(產)假",IF(I31="補","補休",IF(I31="休","休假",IF(I31="喪","喪假",IF(AND(I31="/",OR($A31=日期輸入!$B$23,$A31=日期輸入!$C$23,$A31=日期輸入!$D$23,$A31=日期輸入!$E$23,$A31=日期輸入!$F$23)),"08-18水電科",IF(I31="大日","大隊值日(日)",IF(I31="大夜","大隊值日(夜)",IF(I31="值1","值1(早)",IF(I31="值1丙","值1(早) 丙案",IF(I31="值2","值2(中)",IF(I31="值2乙","值2(中) 乙案",IF(I31="夜值","夜值(晚)",IF(I31="甲夜","夜值(晚) 甲案",IF(I31="備","08-18",IF(OR(I31="支援秘書室",I31="支援出納室",I31="支援警務科",I31="支援事務股"),"支援總(大)隊",IF(I31="支援檢疫所","支援(其他)",IF(  I31="/","空班",  IF(  I31="丙",  "※ 丙案",  IF(  I31="丙常訓",  "※ 丙案 常訓",I31  )))))))))))))))))))))))))</f>
        <v/>
      </c>
      <c r="J71" s="271" t="str">
        <f>IF(J31="早","08-18",IF(J31="中","12-22",IF(J31="晚","22-08",IF(J31="X","輪休",IF(J31="公","公假",IF(OR(J31="病",J31="事"),"病(事)假",IF(OR(J31="婚",J31="產"),"婚(產)假",IF(J31="補","補休",IF(J31="休","休假",IF(J31="喪","喪假",IF(AND(J31="/",OR($A31=日期輸入!$B$23,$A31=日期輸入!$C$23,$A31=日期輸入!$D$23,$A31=日期輸入!$E$23,$A31=日期輸入!$F$23)),"08-18水電科",IF(J31="大日","大隊值日(日)",IF(J31="大夜","大隊值日(夜)",IF(J31="值1","值1(早)",IF(J31="值1丙","值1(早) 丙案",IF(J31="值2","值2(中)",IF(J31="值2乙","值2(中) 乙案",IF(J31="夜值","夜值(晚)",IF(J31="甲夜","夜值(晚) 甲案",IF(J31="備","08-18",IF(OR(J31="支援秘書室",J31="支援出納室",J31="支援警務科",J31="支援事務股"),"支援總(大)隊",IF(J31="支援檢疫所","支援(其他)",IF(  J31="/","空班",  IF(  J31="丙",  "※ 丙案",  IF(  J31="丙常訓",  "※ 丙案 常訓",J31  )))))))))))))))))))))))))</f>
        <v/>
      </c>
      <c r="K71" s="271" t="str">
        <f>IF(K31="早","08-18",IF(K31="中","12-22",IF(K31="晚","22-08",IF(K31="X","輪休",IF(K31="公","公假",IF(OR(K31="病",K31="事"),"病(事)假",IF(OR(K31="婚",K31="產"),"婚(產)假",IF(K31="補","補休",IF(K31="休","休假",IF(K31="喪","喪假",IF(AND(K31="/",OR($A31=日期輸入!$B$23,$A31=日期輸入!$C$23,$A31=日期輸入!$D$23,$A31=日期輸入!$E$23,$A31=日期輸入!$F$23)),"08-18水電科",IF(K31="大日","大隊值日(日)",IF(K31="大夜","大隊值日(夜)",IF(K31="值1","值1(早)",IF(K31="值1丙","值1(早) 丙案",IF(K31="值2","值2(中)",IF(K31="值2乙","值2(中) 乙案",IF(K31="夜值","夜值(晚)",IF(K31="甲夜","夜值(晚) 甲案",IF(K31="備","08-18",IF(OR(K31="支援秘書室",K31="支援出納室",K31="支援警務科",K31="支援事務股"),"支援總(大)隊",IF(K31="支援檢疫所","支援(其他)",IF(  K31="/","空班",  IF(  K31="丙",  "※ 丙案",  IF(  K31="丙常訓",  "※ 丙案 常訓",K31  )))))))))))))))))))))))))</f>
        <v/>
      </c>
      <c r="L71" s="271" t="str">
        <f>IF(L31="早","08-18",IF(L31="中","12-22",IF(L31="晚","22-08",IF(L31="X","輪休",IF(L31="公","公假",IF(OR(L31="病",L31="事"),"病(事)假",IF(OR(L31="婚",L31="產"),"婚(產)假",IF(L31="補","補休",IF(L31="休","休假",IF(L31="喪","喪假",IF(AND(L31="/",OR($A31=日期輸入!$B$23,$A31=日期輸入!$C$23,$A31=日期輸入!$D$23,$A31=日期輸入!$E$23,$A31=日期輸入!$F$23)),"08-18水電科",IF(L31="大日","大隊值日(日)",IF(L31="大夜","大隊值日(夜)",IF(L31="值1","值1(早)",IF(L31="值1丙","值1(早) 丙案",IF(L31="值2","值2(中)",IF(L31="值2乙","值2(中) 乙案",IF(L31="夜值","夜值(晚)",IF(L31="甲夜","夜值(晚) 甲案",IF(L31="備","08-18",IF(OR(L31="支援秘書室",L31="支援出納室",L31="支援警務科",L31="支援事務股"),"支援總(大)隊",IF(L31="支援檢疫所","支援(其他)",IF(  L31="/","空班",  IF(  L31="丙",  "※ 丙案",  IF(  L31="丙常訓",  "※ 丙案 常訓",L31  )))))))))))))))))))))))))</f>
        <v/>
      </c>
      <c r="M71" s="271" t="str">
        <f>IF(M31="早","08-18",IF(M31="中","12-22",IF(M31="晚","22-08",IF(M31="X","輪休",IF(M31="公","公假",IF(OR(M31="病",M31="事"),"病(事)假",IF(OR(M31="婚",M31="產"),"婚(產)假",IF(M31="補","補休",IF(M31="休","休假",IF(M31="喪","喪假",IF(AND(M31="/",OR($A31=日期輸入!$B$23,$A31=日期輸入!$C$23,$A31=日期輸入!$D$23,$A31=日期輸入!$E$23,$A31=日期輸入!$F$23)),"08-18水電科",IF(M31="大日","大隊值日(日)",IF(M31="大夜","大隊值日(夜)",IF(M31="值1","值1(早)",IF(M31="值1丙","值1(早) 丙案",IF(M31="值2","值2(中)",IF(M31="值2乙","值2(中) 乙案",IF(M31="夜值","夜值(晚)",IF(M31="甲夜","夜值(晚) 甲案",IF(M31="備","08-18",IF(OR(M31="支援秘書室",M31="支援出納室",M31="支援警務科",M31="支援事務股"),"支援總(大)隊",IF(M31="支援檢疫所","支援(其他)",IF(  M31="/","空班",  IF(  M31="丙",  "※ 丙案",  IF(  M31="丙常訓",  "※ 丙案 常訓",M31  )))))))))))))))))))))))))</f>
        <v/>
      </c>
      <c r="N71" s="271" t="str">
        <f>IF(N31="早","08-18",IF(N31="中","12-22",IF(N31="晚","22-08",IF(N31="X","輪休",IF(N31="公","公假",IF(OR(N31="病",N31="事"),"病(事)假",IF(OR(N31="婚",N31="產"),"婚(產)假",IF(N31="補","補休",IF(N31="休","休假",IF(N31="喪","喪假",IF(AND(N31="/",OR($A31=日期輸入!$B$23,$A31=日期輸入!$C$23,$A31=日期輸入!$D$23,$A31=日期輸入!$E$23,$A31=日期輸入!$F$23)),"08-18水電科",IF(N31="大日","大隊值日(日)",IF(N31="大夜","大隊值日(夜)",IF(N31="值1","值1(早)",IF(N31="值1丙","值1(早) 丙案",IF(N31="值2","值2(中)",IF(N31="值2乙","值2(中) 乙案",IF(N31="夜值","夜值(晚)",IF(N31="甲夜","夜值(晚) 甲案",IF(N31="備","08-18",IF(OR(N31="支援秘書室",N31="支援出納室",N31="支援警務科",N31="支援事務股"),"支援總(大)隊",IF(N31="支援檢疫所","支援(其他)",IF(  N31="/","空班",  IF(  N31="丙",  "※ 丙案",  IF(  N31="丙常訓",  "※ 丙案 常訓",N31  )))))))))))))))))))))))))</f>
        <v/>
      </c>
      <c r="O71" s="271" t="str">
        <f>IF(O31="早","08-18",IF(O31="中","12-22",IF(O31="晚","22-08",IF(O31="X","輪休",IF(O31="公","公假",IF(OR(O31="病",O31="事"),"病(事)假",IF(OR(O31="婚",O31="產"),"婚(產)假",IF(O31="補","補休",IF(O31="休","休假",IF(O31="喪","喪假",IF(AND(O31="/",OR($A31=日期輸入!$B$23,$A31=日期輸入!$C$23,$A31=日期輸入!$D$23,$A31=日期輸入!$E$23,$A31=日期輸入!$F$23)),"08-18水電科",IF(O31="大日","大隊值日(日)",IF(O31="大夜","大隊值日(夜)",IF(O31="值1","值1(早)",IF(O31="值1丙","值1(早) 丙案",IF(O31="值2","值2(中)",IF(O31="值2乙","值2(中) 乙案",IF(O31="夜值","夜值(晚)",IF(O31="甲夜","夜值(晚) 甲案",IF(O31="備","08-18",IF(OR(O31="支援秘書室",O31="支援出納室",O31="支援警務科",O31="支援事務股"),"支援總(大)隊",IF(O31="支援檢疫所","支援(其他)",IF(  O31="/","空班",  IF(  O31="丙",  "※ 丙案",  IF(  O31="丙常訓",  "※ 丙案 常訓",O31  )))))))))))))))))))))))))</f>
        <v/>
      </c>
      <c r="P71" s="271" t="str">
        <f>IF(P31="早","08-18",IF(P31="中","12-22",IF(P31="晚","22-08",IF(P31="X","輪休",IF(P31="公","公假",IF(OR(P31="病",P31="事"),"病(事)假",IF(OR(P31="婚",P31="產"),"婚(產)假",IF(P31="補","補休",IF(P31="休","休假",IF(P31="喪","喪假",IF(AND(P31="/",OR($A31=日期輸入!$B$23,$A31=日期輸入!$C$23,$A31=日期輸入!$D$23,$A31=日期輸入!$E$23,$A31=日期輸入!$F$23)),"08-18水電科",IF(P31="大日","大隊值日(日)",IF(P31="大夜","大隊值日(夜)",IF(P31="值1","值1(早)",IF(P31="值1丙","值1(早) 丙案",IF(P31="值2","值2(中)",IF(P31="值2乙","值2(中) 乙案",IF(P31="夜值","夜值(晚)",IF(P31="甲夜","夜值(晚) 甲案",IF(P31="備","08-18",IF(OR(P31="支援秘書室",P31="支援出納室",P31="支援警務科",P31="支援事務股"),"支援總(大)隊",IF(P31="支援檢疫所","支援(其他)",IF(  P31="/","空班",  IF(  P31="丙",  "※ 丙案",  IF(  P31="丙常訓",  "※ 丙案 常訓",P31  )))))))))))))))))))))))))</f>
        <v/>
      </c>
      <c r="Q71" s="271" t="str">
        <f>IF(Q31="早","08-18",IF(Q31="中","12-22",IF(Q31="晚","22-08",IF(Q31="X","輪休",IF(Q31="公","公假",IF(OR(Q31="病",Q31="事"),"病(事)假",IF(OR(Q31="婚",Q31="產"),"婚(產)假",IF(Q31="補","補休",IF(Q31="休","休假",IF(Q31="喪","喪假",IF(AND(Q31="/",OR($A31=日期輸入!$B$23,$A31=日期輸入!$C$23,$A31=日期輸入!$D$23,$A31=日期輸入!$E$23,$A31=日期輸入!$F$23)),"08-18水電科",IF(Q31="大日","大隊值日(日)",IF(Q31="大夜","大隊值日(夜)",IF(Q31="值1","值1(早)",IF(Q31="值1丙","值1(早) 丙案",IF(Q31="值2","值2(中)",IF(Q31="值2乙","值2(中) 乙案",IF(Q31="夜值","夜值(晚)",IF(Q31="甲夜","夜值(晚) 甲案",IF(Q31="備","08-18",IF(OR(Q31="支援秘書室",Q31="支援出納室",Q31="支援警務科",Q31="支援事務股"),"支援總(大)隊",IF(Q31="支援檢疫所","支援(其他)",IF(  Q31="/","空班",  IF(  Q31="丙",  "※ 丙案",  IF(  Q31="丙常訓",  "※ 丙案 常訓",Q31  )))))))))))))))))))))))))</f>
        <v/>
      </c>
      <c r="R71" s="271" t="str">
        <f>IF(R31="早","08-18",IF(R31="中","12-22",IF(R31="晚","22-08",IF(R31="X","輪休",IF(R31="公","公假",IF(OR(R31="病",R31="事"),"病(事)假",IF(OR(R31="婚",R31="產"),"婚(產)假",IF(R31="補","補休",IF(R31="休","休假",IF(R31="喪","喪假",IF(AND(R31="/",OR($A31=日期輸入!$B$23,$A31=日期輸入!$C$23,$A31=日期輸入!$D$23,$A31=日期輸入!$E$23,$A31=日期輸入!$F$23)),"08-18水電科",IF(R31="大日","大隊值日(日)",IF(R31="大夜","大隊值日(夜)",IF(R31="值1","值1(早)",IF(R31="值1丙","值1(早) 丙案",IF(R31="值2","值2(中)",IF(R31="值2乙","值2(中) 乙案",IF(R31="夜值","夜值(晚)",IF(R31="甲夜","夜值(晚) 甲案",IF(R31="備","08-18",IF(OR(R31="支援秘書室",R31="支援出納室",R31="支援警務科",R31="支援事務股"),"支援總(大)隊",IF(R31="支援檢疫所","支援(其他)",IF(  R31="/","空班",  IF(  R31="丙",  "※ 丙案",  IF(  R31="丙常訓",  "※ 丙案 常訓",R31  )))))))))))))))))))))))))</f>
        <v/>
      </c>
      <c r="S71" s="271" t="str">
        <f>IF(S31="早","08-18",IF(S31="中","12-22",IF(S31="晚","22-08",IF(S31="X","輪休",IF(S31="公","公假",IF(OR(S31="病",S31="事"),"病(事)假",IF(OR(S31="婚",S31="產"),"婚(產)假",IF(S31="補","補休",IF(S31="休","休假",IF(S31="喪","喪假",IF(AND(S31="/",OR($A31=日期輸入!$B$23,$A31=日期輸入!$C$23,$A31=日期輸入!$D$23,$A31=日期輸入!$E$23,$A31=日期輸入!$F$23)),"08-18水電科",IF(S31="大日","大隊值日(日)",IF(S31="大夜","大隊值日(夜)",IF(S31="值1","值1(早)",IF(S31="值1丙","值1(早) 丙案",IF(S31="值2","值2(中)",IF(S31="值2乙","值2(中) 乙案",IF(S31="夜值","夜值(晚)",IF(S31="甲夜","夜值(晚) 甲案",IF(S31="備","08-18",IF(OR(S31="支援秘書室",S31="支援出納室",S31="支援警務科",S31="支援事務股"),"支援總(大)隊",IF(S31="支援檢疫所","支援(其他)",IF(  S31="/","空班",  IF(  S31="丙",  "※ 丙案",  IF(  S31="丙常訓",  "※ 丙案 常訓",S31  )))))))))))))))))))))))))</f>
        <v/>
      </c>
      <c r="T71" s="271" t="str">
        <f>IF(T31="早","08-18",IF(T31="中","12-22",IF(T31="晚","22-08",IF(T31="X","輪休",IF(T31="公","公假",IF(OR(T31="病",T31="事"),"病(事)假",IF(OR(T31="婚",T31="產"),"婚(產)假",IF(T31="補","補休",IF(T31="休","休假",IF(T31="喪","喪假",IF(AND(T31="/",OR($A31=日期輸入!$B$23,$A31=日期輸入!$C$23,$A31=日期輸入!$D$23,$A31=日期輸入!$E$23,$A31=日期輸入!$F$23)),"08-18水電科",IF(T31="大日","大隊值日(日)",IF(T31="大夜","大隊值日(夜)",IF(T31="值1","值1(早)",IF(T31="值1丙","值1(早) 丙案",IF(T31="值2","值2(中)",IF(T31="值2乙","值2(中) 乙案",IF(T31="夜值","夜值(晚)",IF(T31="甲夜","夜值(晚) 甲案",IF(T31="備","08-18",IF(OR(T31="支援秘書室",T31="支援出納室",T31="支援警務科",T31="支援事務股"),"支援總(大)隊",IF(T31="支援檢疫所","支援(其他)",IF(  T31="/","空班",  IF(  T31="丙",  "※ 丙案",  IF(  T31="丙常訓",  "※ 丙案 常訓",T31  )))))))))))))))))))))))))</f>
        <v/>
      </c>
      <c r="U71" s="271" t="str">
        <f>IF(U31="早","08-18",IF(U31="中","12-22",IF(U31="晚","22-08",IF(U31="X","輪休",IF(U31="公","公假",IF(OR(U31="病",U31="事"),"病(事)假",IF(OR(U31="婚",U31="產"),"婚(產)假",IF(U31="補","補休",IF(U31="休","休假",IF(U31="喪","喪假",IF(AND(U31="/",OR($A31=日期輸入!$B$23,$A31=日期輸入!$C$23,$A31=日期輸入!$D$23,$A31=日期輸入!$E$23,$A31=日期輸入!$F$23)),"08-18水電科",IF(U31="大日","大隊值日(日)",IF(U31="大夜","大隊值日(夜)",IF(U31="值1","值1(早)",IF(U31="值1丙","值1(早) 丙案",IF(U31="值2","值2(中)",IF(U31="值2乙","值2(中) 乙案",IF(U31="夜值","夜值(晚)",IF(U31="甲夜","夜值(晚) 甲案",IF(U31="備","08-18",IF(OR(U31="支援秘書室",U31="支援出納室",U31="支援警務科",U31="支援事務股"),"支援總(大)隊",IF(U31="支援檢疫所","支援(其他)",IF(  U31="/","空班",  IF(  U31="丙",  "※ 丙案",  IF(  U31="丙常訓",  "※ 丙案 常訓",U31  )))))))))))))))))))))))))</f>
        <v/>
      </c>
      <c r="V71" s="271" t="str">
        <f>IF(V31="早","08-18",IF(V31="中","12-22",IF(V31="晚","22-08",IF(V31="X","輪休",IF(V31="公","公假",IF(OR(V31="病",V31="事"),"病(事)假",IF(OR(V31="婚",V31="產"),"婚(產)假",IF(V31="補","補休",IF(V31="休","休假",IF(V31="喪","喪假",IF(AND(V31="/",OR($A31=日期輸入!$B$23,$A31=日期輸入!$C$23,$A31=日期輸入!$D$23,$A31=日期輸入!$E$23,$A31=日期輸入!$F$23)),"08-18水電科",IF(V31="大日","大隊值日(日)",IF(V31="大夜","大隊值日(夜)",IF(V31="值1","值1(早)",IF(V31="值1丙","值1(早) 丙案",IF(V31="值2","值2(中)",IF(V31="值2乙","值2(中) 乙案",IF(V31="夜值","夜值(晚)",IF(V31="甲夜","夜值(晚) 甲案",IF(V31="備","08-18",IF(OR(V31="支援秘書室",V31="支援出納室",V31="支援警務科",V31="支援事務股"),"支援總(大)隊",IF(V31="支援檢疫所","支援(其他)",IF(  V31="/","空班",  IF(  V31="丙",  "※ 丙案",  IF(  V31="丙常訓",  "※ 丙案 常訓",V31  )))))))))))))))))))))))))</f>
        <v/>
      </c>
      <c r="W71" s="271" t="str">
        <f>IF(W31="早","08-18",IF(W31="中","12-22",IF(W31="晚","22-08",IF(W31="X","輪休",IF(W31="公","公假",IF(OR(W31="病",W31="事"),"病(事)假",IF(OR(W31="婚",W31="產"),"婚(產)假",IF(W31="補","補休",IF(W31="休","休假",IF(W31="喪","喪假",IF(AND(W31="/",OR($A31=日期輸入!$B$23,$A31=日期輸入!$C$23,$A31=日期輸入!$D$23,$A31=日期輸入!$E$23,$A31=日期輸入!$F$23)),"08-18水電科",IF(W31="大日","大隊值日(日)",IF(W31="大夜","大隊值日(夜)",IF(W31="值1","值1(早)",IF(W31="值1丙","值1(早) 丙案",IF(W31="值2","值2(中)",IF(W31="值2乙","值2(中) 乙案",IF(W31="夜值","夜值(晚)",IF(W31="甲夜","夜值(晚) 甲案",IF(W31="備","08-18",IF(OR(W31="支援秘書室",W31="支援出納室",W31="支援警務科",W31="支援事務股"),"支援總(大)隊",IF(W31="支援檢疫所","支援(其他)",IF(  W31="/","空班",  IF(  W31="丙",  "※ 丙案",  IF(  W31="丙常訓",  "※ 丙案 常訓",W31  )))))))))))))))))))))))))</f>
        <v/>
      </c>
      <c r="X71" s="271" t="str">
        <f>IF(X31="早","08-18",IF(X31="中","12-22",IF(X31="晚","22-08",IF(X31="X","輪休",IF(X31="公","公假",IF(OR(X31="病",X31="事"),"病(事)假",IF(OR(X31="婚",X31="產"),"婚(產)假",IF(X31="補","補休",IF(X31="休","休假",IF(X31="喪","喪假",IF(AND(X31="/",OR($A31=日期輸入!$B$23,$A31=日期輸入!$C$23,$A31=日期輸入!$D$23,$A31=日期輸入!$E$23,$A31=日期輸入!$F$23)),"08-18水電科",IF(X31="大日","大隊值日(日)",IF(X31="大夜","大隊值日(夜)",IF(X31="值1","值1(早)",IF(X31="值1丙","值1(早) 丙案",IF(X31="值2","值2(中)",IF(X31="值2乙","值2(中) 乙案",IF(X31="夜值","夜值(晚)",IF(X31="甲夜","夜值(晚) 甲案",IF(X31="備","08-18",IF(OR(X31="支援秘書室",X31="支援出納室",X31="支援警務科",X31="支援事務股"),"支援總(大)隊",IF(X31="支援檢疫所","支援(其他)",IF(  X31="/","空班",  IF(  X31="丙",  "※ 丙案",  IF(  X31="丙常訓",  "※ 丙案 常訓",X31  )))))))))))))))))))))))))</f>
        <v/>
      </c>
      <c r="Y71" s="271" t="str">
        <f>IF(Y31="早","08-18",IF(Y31="中","12-22",IF(Y31="晚","22-08",IF(Y31="X","輪休",IF(Y31="公","公假",IF(OR(Y31="病",Y31="事"),"病(事)假",IF(OR(Y31="婚",Y31="產"),"婚(產)假",IF(Y31="補","補休",IF(Y31="休","休假",IF(Y31="喪","喪假",IF(AND(Y31="/",OR($A31=日期輸入!$B$23,$A31=日期輸入!$C$23,$A31=日期輸入!$D$23,$A31=日期輸入!$E$23,$A31=日期輸入!$F$23)),"08-18水電科",IF(Y31="大日","大隊值日(日)",IF(Y31="大夜","大隊值日(夜)",IF(Y31="值1","值1(早)",IF(Y31="值1丙","值1(早) 丙案",IF(Y31="值2","值2(中)",IF(Y31="值2乙","值2(中) 乙案",IF(Y31="夜值","夜值(晚)",IF(Y31="甲夜","夜值(晚) 甲案",IF(Y31="備","08-18",IF(OR(Y31="支援秘書室",Y31="支援出納室",Y31="支援警務科",Y31="支援事務股"),"支援總(大)隊",IF(Y31="支援檢疫所","支援(其他)",IF(  Y31="/","空班",  IF(  Y31="丙",  "※ 丙案",  IF(  Y31="丙常訓",  "※ 丙案 常訓",Y31  )))))))))))))))))))))))))</f>
        <v/>
      </c>
      <c r="Z71" s="271" t="str">
        <f>IF(Z31="早","08-18",IF(Z31="中","12-22",IF(Z31="晚","22-08",IF(Z31="X","輪休",IF(Z31="公","公假",IF(OR(Z31="病",Z31="事"),"病(事)假",IF(OR(Z31="婚",Z31="產"),"婚(產)假",IF(Z31="補","補休",IF(Z31="休","休假",IF(Z31="喪","喪假",IF(AND(Z31="/",OR($A31=日期輸入!$B$23,$A31=日期輸入!$C$23,$A31=日期輸入!$D$23,$A31=日期輸入!$E$23,$A31=日期輸入!$F$23)),"08-18水電科",IF(Z31="大日","大隊值日(日)",IF(Z31="大夜","大隊值日(夜)",IF(Z31="值1","值1(早)",IF(Z31="值1丙","值1(早) 丙案",IF(Z31="值2","值2(中)",IF(Z31="值2乙","值2(中) 乙案",IF(Z31="夜值","夜值(晚)",IF(Z31="甲夜","夜值(晚) 甲案",IF(Z31="備","08-18",IF(OR(Z31="支援秘書室",Z31="支援出納室",Z31="支援警務科",Z31="支援事務股"),"支援總(大)隊",IF(Z31="支援檢疫所","支援(其他)",IF(  Z31="/","空班",  IF(  Z31="丙",  "※ 丙案",  IF(  Z31="丙常訓",  "※ 丙案 常訓",Z31  )))))))))))))))))))))))))</f>
        <v/>
      </c>
      <c r="AA71" s="271" t="str">
        <f>IF(AA31="早","08-18",IF(AA31="中","12-22",IF(AA31="晚","22-08",IF(AA31="X","輪休",IF(AA31="公","公假",IF(OR(AA31="病",AA31="事"),"病(事)假",IF(OR(AA31="婚",AA31="產"),"婚(產)假",IF(AA31="補","補休",IF(AA31="休","休假",IF(AA31="喪","喪假",IF(AND(AA31="/",OR($A31=日期輸入!$B$23,$A31=日期輸入!$C$23,$A31=日期輸入!$D$23,$A31=日期輸入!$E$23,$A31=日期輸入!$F$23)),"08-18水電科",IF(AA31="大日","大隊值日(日)",IF(AA31="大夜","大隊值日(夜)",IF(AA31="值1","值1(早)",IF(AA31="值1丙","值1(早) 丙案",IF(AA31="值2","值2(中)",IF(AA31="值2乙","值2(中) 乙案",IF(AA31="夜值","夜值(晚)",IF(AA31="甲夜","夜值(晚) 甲案",IF(AA31="備","08-18",IF(OR(AA31="支援秘書室",AA31="支援出納室",AA31="支援警務科",AA31="支援事務股"),"支援總(大)隊",IF(AA31="支援檢疫所","支援(其他)",IF(  AA31="/","空班",  IF(  AA31="丙",  "※ 丙案",  IF(  AA31="丙常訓",  "※ 丙案 常訓",AA31  )))))))))))))))))))))))))</f>
        <v/>
      </c>
      <c r="AB71" s="271" t="str">
        <f>IF(AB31="早","08-18",IF(AB31="中","12-22",IF(AB31="晚","22-08",IF(AB31="X","輪休",IF(AB31="公","公假",IF(OR(AB31="病",AB31="事"),"病(事)假",IF(OR(AB31="婚",AB31="產"),"婚(產)假",IF(AB31="補","補休",IF(AB31="休","休假",IF(AB31="喪","喪假",IF(AND(AB31="/",OR($A31=日期輸入!$B$23,$A31=日期輸入!$C$23,$A31=日期輸入!$D$23,$A31=日期輸入!$E$23,$A31=日期輸入!$F$23)),"08-18水電科",IF(AB31="大日","大隊值日(日)",IF(AB31="大夜","大隊值日(夜)",IF(AB31="值1","值1(早)",IF(AB31="值1丙","值1(早) 丙案",IF(AB31="值2","值2(中)",IF(AB31="值2乙","值2(中) 乙案",IF(AB31="夜值","夜值(晚)",IF(AB31="甲夜","夜值(晚) 甲案",IF(AB31="備","08-18",IF(OR(AB31="支援秘書室",AB31="支援出納室",AB31="支援警務科",AB31="支援事務股"),"支援總(大)隊",IF(AB31="支援檢疫所","支援(其他)",IF(  AB31="/","空班",  IF(  AB31="丙",  "※ 丙案",  IF(  AB31="丙常訓",  "※ 丙案 常訓",AB31  )))))))))))))))))))))))))</f>
        <v/>
      </c>
      <c r="AC71" s="271" t="str">
        <f>IF(AC31="早","08-18",IF(AC31="中","12-22",IF(AC31="晚","22-08",IF(AC31="X","輪休",IF(AC31="公","公假",IF(OR(AC31="病",AC31="事"),"病(事)假",IF(OR(AC31="婚",AC31="產"),"婚(產)假",IF(AC31="補","補休",IF(AC31="休","休假",IF(AC31="喪","喪假",IF(AND(AC31="/",OR($A31=日期輸入!$B$23,$A31=日期輸入!$C$23,$A31=日期輸入!$D$23,$A31=日期輸入!$E$23,$A31=日期輸入!$F$23)),"08-18水電科",IF(AC31="大日","大隊值日(日)",IF(AC31="大夜","大隊值日(夜)",IF(AC31="值1","值1(早)",IF(AC31="值1丙","值1(早) 丙案",IF(AC31="值2","值2(中)",IF(AC31="值2乙","值2(中) 乙案",IF(AC31="夜值","夜值(晚)",IF(AC31="甲夜","夜值(晚) 甲案",IF(AC31="備","08-18",IF(OR(AC31="支援秘書室",AC31="支援出納室",AC31="支援警務科",AC31="支援事務股"),"支援總(大)隊",IF(AC31="支援檢疫所","支援(其他)",IF(  AC31="/","空班",  IF(  AC31="丙",  "※ 丙案",  IF(  AC31="丙常訓",  "※ 丙案 常訓",AC31  )))))))))))))))))))))))))</f>
        <v/>
      </c>
      <c r="AD71" s="271" t="str">
        <f>IF(AD31="早","08-18",IF(AD31="中","12-22",IF(AD31="晚","22-08",IF(AD31="X","輪休",IF(AD31="公","公假",IF(OR(AD31="病",AD31="事"),"病(事)假",IF(OR(AD31="婚",AD31="產"),"婚(產)假",IF(AD31="補","補休",IF(AD31="休","休假",IF(AD31="喪","喪假",IF(AND(AD31="/",OR($A31=日期輸入!$B$23,$A31=日期輸入!$C$23,$A31=日期輸入!$D$23,$A31=日期輸入!$E$23,$A31=日期輸入!$F$23)),"08-18水電科",IF(AD31="大日","大隊值日(日)",IF(AD31="大夜","大隊值日(夜)",IF(AD31="值1","值1(早)",IF(AD31="值1丙","值1(早) 丙案",IF(AD31="值2","值2(中)",IF(AD31="值2乙","值2(中) 乙案",IF(AD31="夜值","夜值(晚)",IF(AD31="甲夜","夜值(晚) 甲案",IF(AD31="備","08-18",IF(OR(AD31="支援秘書室",AD31="支援出納室",AD31="支援警務科",AD31="支援事務股"),"支援總(大)隊",IF(AD31="支援檢疫所","支援(其他)",IF(  AD31="/","空班",  IF(  AD31="丙",  "※ 丙案",  IF(  AD31="丙常訓",  "※ 丙案 常訓",AD31  )))))))))))))))))))))))))</f>
        <v/>
      </c>
      <c r="AE71" s="271" t="str">
        <f>IF(AE31="早","08-18",IF(AE31="中","12-22",IF(AE31="晚","22-08",IF(AE31="X","輪休",IF(AE31="公","公假",IF(OR(AE31="病",AE31="事"),"病(事)假",IF(OR(AE31="婚",AE31="產"),"婚(產)假",IF(AE31="補","補休",IF(AE31="休","休假",IF(AE31="喪","喪假",IF(AND(AE31="/",OR($A31=日期輸入!$B$23,$A31=日期輸入!$C$23,$A31=日期輸入!$D$23,$A31=日期輸入!$E$23,$A31=日期輸入!$F$23)),"08-18水電科",IF(AE31="大日","大隊值日(日)",IF(AE31="大夜","大隊值日(夜)",IF(AE31="值1","值1(早)",IF(AE31="值1丙","值1(早) 丙案",IF(AE31="值2","值2(中)",IF(AE31="值2乙","值2(中) 乙案",IF(AE31="夜值","夜值(晚)",IF(AE31="甲夜","夜值(晚) 甲案",IF(AE31="備","08-18",IF(OR(AE31="支援秘書室",AE31="支援出納室",AE31="支援警務科",AE31="支援事務股"),"支援總(大)隊",IF(AE31="支援檢疫所","支援(其他)",IF(  AE31="/","空班",  IF(  AE31="丙",  "※ 丙案",  IF(  AE31="丙常訓",  "※ 丙案 常訓",AE31  )))))))))))))))))))))))))</f>
        <v/>
      </c>
      <c r="AF71" s="271" t="str">
        <f>IF(AF31="早","08-18",IF(AF31="中","12-22",IF(AF31="晚","22-08",IF(AF31="X","輪休",IF(AF31="公","公假",IF(OR(AF31="病",AF31="事"),"病(事)假",IF(OR(AF31="婚",AF31="產"),"婚(產)假",IF(AF31="補","補休",IF(AF31="休","休假",IF(AF31="喪","喪假",IF(AND(AF31="/",OR($A31=日期輸入!$B$23,$A31=日期輸入!$C$23,$A31=日期輸入!$D$23,$A31=日期輸入!$E$23,$A31=日期輸入!$F$23)),"08-18水電科",IF(AF31="大日","大隊值日(日)",IF(AF31="大夜","大隊值日(夜)",IF(AF31="值1","值1(早)",IF(AF31="值1丙","值1(早) 丙案",IF(AF31="值2","值2(中)",IF(AF31="值2乙","值2(中) 乙案",IF(AF31="夜值","夜值(晚)",IF(AF31="甲夜","夜值(晚) 甲案",IF(AF31="備","08-18",IF(OR(AF31="支援秘書室",AF31="支援出納室",AF31="支援警務科",AF31="支援事務股"),"支援總(大)隊",IF(AF31="支援檢疫所","支援(其他)",IF(  AF31="/","空班",  IF(  AF31="丙",  "※ 丙案",  IF(  AF31="丙常訓",  "※ 丙案 常訓",AF31  )))))))))))))))))))))))))</f>
        <v/>
      </c>
      <c r="AG71" s="271" t="str">
        <f>IF(AG31="早","08-18",IF(AG31="中","12-22",IF(AG31="晚","22-08",IF(AG31="X","輪休",IF(AG31="公","公假",IF(OR(AG31="病",AG31="事"),"病(事)假",IF(OR(AG31="婚",AG31="產"),"婚(產)假",IF(AG31="補","補休",IF(AG31="休","休假",IF(AG31="喪","喪假",IF(AND(AG31="/",OR($A31=日期輸入!$B$23,$A31=日期輸入!$C$23,$A31=日期輸入!$D$23,$A31=日期輸入!$E$23,$A31=日期輸入!$F$23)),"08-18水電科",IF(AG31="大日","大隊值日(日)",IF(AG31="大夜","大隊值日(夜)",IF(AG31="值1","值1(早)",IF(AG31="值1丙","值1(早) 丙案",IF(AG31="值2","值2(中)",IF(AG31="值2乙","值2(中) 乙案",IF(AG31="夜值","夜值(晚)",IF(AG31="甲夜","夜值(晚) 甲案",IF(AG31="備","08-18",IF(OR(AG31="支援秘書室",AG31="支援出納室",AG31="支援警務科",AG31="支援事務股"),"支援總(大)隊",IF(AG31="支援檢疫所","支援(其他)",IF(  AG31="/","空班",  IF(  AG31="丙",  "※ 丙案",  IF(  AG31="丙常訓",  "※ 丙案 常訓",AG31  )))))))))))))))))))))))))</f>
        <v/>
      </c>
    </row>
    <row r="72" spans="1:33">
      <c r="A72" s="271" t="str">
        <f t="shared" ref="A72:B72" si="31">A32</f>
        <v/>
      </c>
      <c r="B72" s="271" t="str">
        <f t="shared" si="31"/>
        <v/>
      </c>
      <c r="C72" s="271" t="str">
        <f>IF(C32="早","08-18",IF(C32="中","12-22",IF(C32="晚","22-08",IF(C32="X","輪休",IF(C32="公","公假",IF(OR(C32="病",C32="事"),"病(事)假",IF(OR(C32="婚",C32="產"),"婚(產)假",IF(C32="補","補休",IF(C32="休","休假",IF(C32="喪","喪假",IF(AND(C32="/",OR($A32=日期輸入!$B$23,$A32=日期輸入!$C$23,$A32=日期輸入!$D$23,$A32=日期輸入!$E$23,$A32=日期輸入!$F$23)),"08-18水電科",IF(C32="大日","大隊值日(日)",IF(C32="大夜","大隊值日(夜)",IF(C32="值1","值1(早)",IF(C32="值1丙","值1(早) 丙案",IF(C32="值2","值2(中)",IF(C32="值2乙","值2(中) 乙案",IF(C32="夜值","夜值(晚)",IF(C32="甲夜","夜值(晚) 甲案",IF(C32="備","08-18",IF(OR(C32="支援秘書室",C32="支援出納室",C32="支援警務科",C32="支援事務股"),"支援總(大)隊",IF(C32="支援檢疫所","支援(其他)",IF(  C32="/","空班",  IF(  C32="丙",  "※ 丙案",  IF(  C32="丙常訓",  "※ 丙案 常訓",C32  )))))))))))))))))))))))))</f>
        <v/>
      </c>
      <c r="D72" s="271" t="str">
        <f>IF(D32="早","08-18",IF(D32="中","12-22",IF(D32="晚","22-08",IF(D32="X","輪休",IF(D32="公","公假",IF(OR(D32="病",D32="事"),"病(事)假",IF(OR(D32="婚",D32="產"),"婚(產)假",IF(D32="補","補休",IF(D32="休","休假",IF(D32="喪","喪假",IF(AND(D32="/",OR($A32=日期輸入!$B$23,$A32=日期輸入!$C$23,$A32=日期輸入!$D$23,$A32=日期輸入!$E$23,$A32=日期輸入!$F$23)),"08-18水電科",IF(D32="大日","大隊值日(日)",IF(D32="大夜","大隊值日(夜)",IF(D32="值1","值1(早)",IF(D32="值1丙","值1(早) 丙案",IF(D32="值2","值2(中)",IF(D32="值2乙","值2(中) 乙案",IF(D32="夜值","夜值(晚)",IF(D32="甲夜","夜值(晚) 甲案",IF(D32="備","08-18",IF(OR(D32="支援秘書室",D32="支援出納室",D32="支援警務科",D32="支援事務股"),"支援總(大)隊",IF(D32="支援檢疫所","支援(其他)",IF(  D32="/","空班",  IF(  D32="丙",  "※ 丙案",  IF(  D32="丙常訓",  "※ 丙案 常訓",D32  )))))))))))))))))))))))))</f>
        <v/>
      </c>
      <c r="E72" s="271" t="str">
        <f>IF(E32="早","08-18",IF(E32="中","12-22",IF(E32="晚","22-08",IF(E32="X","輪休",IF(E32="公","公假",IF(OR(E32="病",E32="事"),"病(事)假",IF(OR(E32="婚",E32="產"),"婚(產)假",IF(E32="補","補休",IF(E32="休","休假",IF(E32="喪","喪假",IF(AND(E32="/",OR($A32=日期輸入!$B$23,$A32=日期輸入!$C$23,$A32=日期輸入!$D$23,$A32=日期輸入!$E$23,$A32=日期輸入!$F$23)),"08-18水電科",IF(E32="大日","大隊值日(日)",IF(E32="大夜","大隊值日(夜)",IF(E32="值1","值1(早)",IF(E32="值1丙","值1(早) 丙案",IF(E32="值2","值2(中)",IF(E32="值2乙","值2(中) 乙案",IF(E32="夜值","夜值(晚)",IF(E32="甲夜","夜值(晚) 甲案",IF(E32="備","08-18",IF(OR(E32="支援秘書室",E32="支援出納室",E32="支援警務科",E32="支援事務股"),"支援總(大)隊",IF(E32="支援檢疫所","支援(其他)",IF(  E32="/","空班",  IF(  E32="丙",  "※ 丙案",  IF(  E32="丙常訓",  "※ 丙案 常訓",E32  )))))))))))))))))))))))))</f>
        <v/>
      </c>
      <c r="F72" s="271" t="str">
        <f>IF(F32="早","08-18",IF(F32="中","12-22",IF(F32="晚","22-08",IF(F32="X","輪休",IF(F32="公","公假",IF(OR(F32="病",F32="事"),"病(事)假",IF(OR(F32="婚",F32="產"),"婚(產)假",IF(F32="補","補休",IF(F32="休","休假",IF(F32="喪","喪假",IF(AND(F32="/",OR($A32=日期輸入!$B$23,$A32=日期輸入!$C$23,$A32=日期輸入!$D$23,$A32=日期輸入!$E$23,$A32=日期輸入!$F$23)),"08-18水電科",IF(F32="大日","大隊值日(日)",IF(F32="大夜","大隊值日(夜)",IF(F32="值1","值1(早)",IF(F32="值1丙","值1(早) 丙案",IF(F32="值2","值2(中)",IF(F32="值2乙","值2(中) 乙案",IF(F32="夜值","夜值(晚)",IF(F32="甲夜","夜值(晚) 甲案",IF(F32="備","08-18",IF(OR(F32="支援秘書室",F32="支援出納室",F32="支援警務科",F32="支援事務股"),"支援總(大)隊",IF(F32="支援檢疫所","支援(其他)",IF(  F32="/","空班",  IF(  F32="丙",  "※ 丙案",  IF(  F32="丙常訓",  "※ 丙案 常訓",F32  )))))))))))))))))))))))))</f>
        <v/>
      </c>
      <c r="G72" s="271" t="str">
        <f>IF(G32="早","08-18",IF(G32="中","12-22",IF(G32="晚","22-08",IF(G32="X","輪休",IF(G32="公","公假",IF(OR(G32="病",G32="事"),"病(事)假",IF(OR(G32="婚",G32="產"),"婚(產)假",IF(G32="補","補休",IF(G32="休","休假",IF(G32="喪","喪假",IF(AND(G32="/",OR($A32=日期輸入!$B$23,$A32=日期輸入!$C$23,$A32=日期輸入!$D$23,$A32=日期輸入!$E$23,$A32=日期輸入!$F$23)),"08-18水電科",IF(G32="大日","大隊值日(日)",IF(G32="大夜","大隊值日(夜)",IF(G32="值1","值1(早)",IF(G32="值1丙","值1(早) 丙案",IF(G32="值2","值2(中)",IF(G32="值2乙","值2(中) 乙案",IF(G32="夜值","夜值(晚)",IF(G32="甲夜","夜值(晚) 甲案",IF(G32="備","08-18",IF(OR(G32="支援秘書室",G32="支援出納室",G32="支援警務科",G32="支援事務股"),"支援總(大)隊",IF(G32="支援檢疫所","支援(其他)",IF(  G32="/","空班",  IF(  G32="丙",  "※ 丙案",  IF(  G32="丙常訓",  "※ 丙案 常訓",G32  )))))))))))))))))))))))))</f>
        <v/>
      </c>
      <c r="H72" s="271" t="str">
        <f>IF(H32="早","08-18",IF(H32="中","12-22",IF(H32="晚","22-08",IF(H32="X","輪休",IF(H32="公","公假",IF(OR(H32="病",H32="事"),"病(事)假",IF(OR(H32="婚",H32="產"),"婚(產)假",IF(H32="補","補休",IF(H32="休","休假",IF(H32="喪","喪假",IF(AND(H32="/",OR($A32=日期輸入!$B$23,$A32=日期輸入!$C$23,$A32=日期輸入!$D$23,$A32=日期輸入!$E$23,$A32=日期輸入!$F$23)),"08-18水電科",IF(H32="大日","大隊值日(日)",IF(H32="大夜","大隊值日(夜)",IF(H32="值1","值1(早)",IF(H32="值1丙","值1(早) 丙案",IF(H32="值2","值2(中)",IF(H32="值2乙","值2(中) 乙案",IF(H32="夜值","夜值(晚)",IF(H32="甲夜","夜值(晚) 甲案",IF(H32="備","08-18",IF(OR(H32="支援秘書室",H32="支援出納室",H32="支援警務科",H32="支援事務股"),"支援總(大)隊",IF(H32="支援檢疫所","支援(其他)",IF(  H32="/","空班",  IF(  H32="丙",  "※ 丙案",  IF(  H32="丙常訓",  "※ 丙案 常訓",H32  )))))))))))))))))))))))))</f>
        <v/>
      </c>
      <c r="I72" s="271" t="str">
        <f>IF(I32="早","08-18",IF(I32="中","12-22",IF(I32="晚","22-08",IF(I32="X","輪休",IF(I32="公","公假",IF(OR(I32="病",I32="事"),"病(事)假",IF(OR(I32="婚",I32="產"),"婚(產)假",IF(I32="補","補休",IF(I32="休","休假",IF(I32="喪","喪假",IF(AND(I32="/",OR($A32=日期輸入!$B$23,$A32=日期輸入!$C$23,$A32=日期輸入!$D$23,$A32=日期輸入!$E$23,$A32=日期輸入!$F$23)),"08-18水電科",IF(I32="大日","大隊值日(日)",IF(I32="大夜","大隊值日(夜)",IF(I32="值1","值1(早)",IF(I32="值1丙","值1(早) 丙案",IF(I32="值2","值2(中)",IF(I32="值2乙","值2(中) 乙案",IF(I32="夜值","夜值(晚)",IF(I32="甲夜","夜值(晚) 甲案",IF(I32="備","08-18",IF(OR(I32="支援秘書室",I32="支援出納室",I32="支援警務科",I32="支援事務股"),"支援總(大)隊",IF(I32="支援檢疫所","支援(其他)",IF(  I32="/","空班",  IF(  I32="丙",  "※ 丙案",  IF(  I32="丙常訓",  "※ 丙案 常訓",I32  )))))))))))))))))))))))))</f>
        <v/>
      </c>
      <c r="J72" s="271" t="str">
        <f>IF(J32="早","08-18",IF(J32="中","12-22",IF(J32="晚","22-08",IF(J32="X","輪休",IF(J32="公","公假",IF(OR(J32="病",J32="事"),"病(事)假",IF(OR(J32="婚",J32="產"),"婚(產)假",IF(J32="補","補休",IF(J32="休","休假",IF(J32="喪","喪假",IF(AND(J32="/",OR($A32=日期輸入!$B$23,$A32=日期輸入!$C$23,$A32=日期輸入!$D$23,$A32=日期輸入!$E$23,$A32=日期輸入!$F$23)),"08-18水電科",IF(J32="大日","大隊值日(日)",IF(J32="大夜","大隊值日(夜)",IF(J32="值1","值1(早)",IF(J32="值1丙","值1(早) 丙案",IF(J32="值2","值2(中)",IF(J32="值2乙","值2(中) 乙案",IF(J32="夜值","夜值(晚)",IF(J32="甲夜","夜值(晚) 甲案",IF(J32="備","08-18",IF(OR(J32="支援秘書室",J32="支援出納室",J32="支援警務科",J32="支援事務股"),"支援總(大)隊",IF(J32="支援檢疫所","支援(其他)",IF(  J32="/","空班",  IF(  J32="丙",  "※ 丙案",  IF(  J32="丙常訓",  "※ 丙案 常訓",J32  )))))))))))))))))))))))))</f>
        <v/>
      </c>
      <c r="K72" s="271" t="str">
        <f>IF(K32="早","08-18",IF(K32="中","12-22",IF(K32="晚","22-08",IF(K32="X","輪休",IF(K32="公","公假",IF(OR(K32="病",K32="事"),"病(事)假",IF(OR(K32="婚",K32="產"),"婚(產)假",IF(K32="補","補休",IF(K32="休","休假",IF(K32="喪","喪假",IF(AND(K32="/",OR($A32=日期輸入!$B$23,$A32=日期輸入!$C$23,$A32=日期輸入!$D$23,$A32=日期輸入!$E$23,$A32=日期輸入!$F$23)),"08-18水電科",IF(K32="大日","大隊值日(日)",IF(K32="大夜","大隊值日(夜)",IF(K32="值1","值1(早)",IF(K32="值1丙","值1(早) 丙案",IF(K32="值2","值2(中)",IF(K32="值2乙","值2(中) 乙案",IF(K32="夜值","夜值(晚)",IF(K32="甲夜","夜值(晚) 甲案",IF(K32="備","08-18",IF(OR(K32="支援秘書室",K32="支援出納室",K32="支援警務科",K32="支援事務股"),"支援總(大)隊",IF(K32="支援檢疫所","支援(其他)",IF(  K32="/","空班",  IF(  K32="丙",  "※ 丙案",  IF(  K32="丙常訓",  "※ 丙案 常訓",K32  )))))))))))))))))))))))))</f>
        <v/>
      </c>
      <c r="L72" s="271" t="str">
        <f>IF(L32="早","08-18",IF(L32="中","12-22",IF(L32="晚","22-08",IF(L32="X","輪休",IF(L32="公","公假",IF(OR(L32="病",L32="事"),"病(事)假",IF(OR(L32="婚",L32="產"),"婚(產)假",IF(L32="補","補休",IF(L32="休","休假",IF(L32="喪","喪假",IF(AND(L32="/",OR($A32=日期輸入!$B$23,$A32=日期輸入!$C$23,$A32=日期輸入!$D$23,$A32=日期輸入!$E$23,$A32=日期輸入!$F$23)),"08-18水電科",IF(L32="大日","大隊值日(日)",IF(L32="大夜","大隊值日(夜)",IF(L32="值1","值1(早)",IF(L32="值1丙","值1(早) 丙案",IF(L32="值2","值2(中)",IF(L32="值2乙","值2(中) 乙案",IF(L32="夜值","夜值(晚)",IF(L32="甲夜","夜值(晚) 甲案",IF(L32="備","08-18",IF(OR(L32="支援秘書室",L32="支援出納室",L32="支援警務科",L32="支援事務股"),"支援總(大)隊",IF(L32="支援檢疫所","支援(其他)",IF(  L32="/","空班",  IF(  L32="丙",  "※ 丙案",  IF(  L32="丙常訓",  "※ 丙案 常訓",L32  )))))))))))))))))))))))))</f>
        <v/>
      </c>
      <c r="M72" s="271" t="str">
        <f>IF(M32="早","08-18",IF(M32="中","12-22",IF(M32="晚","22-08",IF(M32="X","輪休",IF(M32="公","公假",IF(OR(M32="病",M32="事"),"病(事)假",IF(OR(M32="婚",M32="產"),"婚(產)假",IF(M32="補","補休",IF(M32="休","休假",IF(M32="喪","喪假",IF(AND(M32="/",OR($A32=日期輸入!$B$23,$A32=日期輸入!$C$23,$A32=日期輸入!$D$23,$A32=日期輸入!$E$23,$A32=日期輸入!$F$23)),"08-18水電科",IF(M32="大日","大隊值日(日)",IF(M32="大夜","大隊值日(夜)",IF(M32="值1","值1(早)",IF(M32="值1丙","值1(早) 丙案",IF(M32="值2","值2(中)",IF(M32="值2乙","值2(中) 乙案",IF(M32="夜值","夜值(晚)",IF(M32="甲夜","夜值(晚) 甲案",IF(M32="備","08-18",IF(OR(M32="支援秘書室",M32="支援出納室",M32="支援警務科",M32="支援事務股"),"支援總(大)隊",IF(M32="支援檢疫所","支援(其他)",IF(  M32="/","空班",  IF(  M32="丙",  "※ 丙案",  IF(  M32="丙常訓",  "※ 丙案 常訓",M32  )))))))))))))))))))))))))</f>
        <v/>
      </c>
      <c r="N72" s="271" t="str">
        <f>IF(N32="早","08-18",IF(N32="中","12-22",IF(N32="晚","22-08",IF(N32="X","輪休",IF(N32="公","公假",IF(OR(N32="病",N32="事"),"病(事)假",IF(OR(N32="婚",N32="產"),"婚(產)假",IF(N32="補","補休",IF(N32="休","休假",IF(N32="喪","喪假",IF(AND(N32="/",OR($A32=日期輸入!$B$23,$A32=日期輸入!$C$23,$A32=日期輸入!$D$23,$A32=日期輸入!$E$23,$A32=日期輸入!$F$23)),"08-18水電科",IF(N32="大日","大隊值日(日)",IF(N32="大夜","大隊值日(夜)",IF(N32="值1","值1(早)",IF(N32="值1丙","值1(早) 丙案",IF(N32="值2","值2(中)",IF(N32="值2乙","值2(中) 乙案",IF(N32="夜值","夜值(晚)",IF(N32="甲夜","夜值(晚) 甲案",IF(N32="備","08-18",IF(OR(N32="支援秘書室",N32="支援出納室",N32="支援警務科",N32="支援事務股"),"支援總(大)隊",IF(N32="支援檢疫所","支援(其他)",IF(  N32="/","空班",  IF(  N32="丙",  "※ 丙案",  IF(  N32="丙常訓",  "※ 丙案 常訓",N32  )))))))))))))))))))))))))</f>
        <v/>
      </c>
      <c r="O72" s="271" t="str">
        <f>IF(O32="早","08-18",IF(O32="中","12-22",IF(O32="晚","22-08",IF(O32="X","輪休",IF(O32="公","公假",IF(OR(O32="病",O32="事"),"病(事)假",IF(OR(O32="婚",O32="產"),"婚(產)假",IF(O32="補","補休",IF(O32="休","休假",IF(O32="喪","喪假",IF(AND(O32="/",OR($A32=日期輸入!$B$23,$A32=日期輸入!$C$23,$A32=日期輸入!$D$23,$A32=日期輸入!$E$23,$A32=日期輸入!$F$23)),"08-18水電科",IF(O32="大日","大隊值日(日)",IF(O32="大夜","大隊值日(夜)",IF(O32="值1","值1(早)",IF(O32="值1丙","值1(早) 丙案",IF(O32="值2","值2(中)",IF(O32="值2乙","值2(中) 乙案",IF(O32="夜值","夜值(晚)",IF(O32="甲夜","夜值(晚) 甲案",IF(O32="備","08-18",IF(OR(O32="支援秘書室",O32="支援出納室",O32="支援警務科",O32="支援事務股"),"支援總(大)隊",IF(O32="支援檢疫所","支援(其他)",IF(  O32="/","空班",  IF(  O32="丙",  "※ 丙案",  IF(  O32="丙常訓",  "※ 丙案 常訓",O32  )))))))))))))))))))))))))</f>
        <v/>
      </c>
      <c r="P72" s="271" t="str">
        <f>IF(P32="早","08-18",IF(P32="中","12-22",IF(P32="晚","22-08",IF(P32="X","輪休",IF(P32="公","公假",IF(OR(P32="病",P32="事"),"病(事)假",IF(OR(P32="婚",P32="產"),"婚(產)假",IF(P32="補","補休",IF(P32="休","休假",IF(P32="喪","喪假",IF(AND(P32="/",OR($A32=日期輸入!$B$23,$A32=日期輸入!$C$23,$A32=日期輸入!$D$23,$A32=日期輸入!$E$23,$A32=日期輸入!$F$23)),"08-18水電科",IF(P32="大日","大隊值日(日)",IF(P32="大夜","大隊值日(夜)",IF(P32="值1","值1(早)",IF(P32="值1丙","值1(早) 丙案",IF(P32="值2","值2(中)",IF(P32="值2乙","值2(中) 乙案",IF(P32="夜值","夜值(晚)",IF(P32="甲夜","夜值(晚) 甲案",IF(P32="備","08-18",IF(OR(P32="支援秘書室",P32="支援出納室",P32="支援警務科",P32="支援事務股"),"支援總(大)隊",IF(P32="支援檢疫所","支援(其他)",IF(  P32="/","空班",  IF(  P32="丙",  "※ 丙案",  IF(  P32="丙常訓",  "※ 丙案 常訓",P32  )))))))))))))))))))))))))</f>
        <v/>
      </c>
      <c r="Q72" s="271" t="str">
        <f>IF(Q32="早","08-18",IF(Q32="中","12-22",IF(Q32="晚","22-08",IF(Q32="X","輪休",IF(Q32="公","公假",IF(OR(Q32="病",Q32="事"),"病(事)假",IF(OR(Q32="婚",Q32="產"),"婚(產)假",IF(Q32="補","補休",IF(Q32="休","休假",IF(Q32="喪","喪假",IF(AND(Q32="/",OR($A32=日期輸入!$B$23,$A32=日期輸入!$C$23,$A32=日期輸入!$D$23,$A32=日期輸入!$E$23,$A32=日期輸入!$F$23)),"08-18水電科",IF(Q32="大日","大隊值日(日)",IF(Q32="大夜","大隊值日(夜)",IF(Q32="值1","值1(早)",IF(Q32="值1丙","值1(早) 丙案",IF(Q32="值2","值2(中)",IF(Q32="值2乙","值2(中) 乙案",IF(Q32="夜值","夜值(晚)",IF(Q32="甲夜","夜值(晚) 甲案",IF(Q32="備","08-18",IF(OR(Q32="支援秘書室",Q32="支援出納室",Q32="支援警務科",Q32="支援事務股"),"支援總(大)隊",IF(Q32="支援檢疫所","支援(其他)",IF(  Q32="/","空班",  IF(  Q32="丙",  "※ 丙案",  IF(  Q32="丙常訓",  "※ 丙案 常訓",Q32  )))))))))))))))))))))))))</f>
        <v/>
      </c>
      <c r="R72" s="271" t="str">
        <f>IF(R32="早","08-18",IF(R32="中","12-22",IF(R32="晚","22-08",IF(R32="X","輪休",IF(R32="公","公假",IF(OR(R32="病",R32="事"),"病(事)假",IF(OR(R32="婚",R32="產"),"婚(產)假",IF(R32="補","補休",IF(R32="休","休假",IF(R32="喪","喪假",IF(AND(R32="/",OR($A32=日期輸入!$B$23,$A32=日期輸入!$C$23,$A32=日期輸入!$D$23,$A32=日期輸入!$E$23,$A32=日期輸入!$F$23)),"08-18水電科",IF(R32="大日","大隊值日(日)",IF(R32="大夜","大隊值日(夜)",IF(R32="值1","值1(早)",IF(R32="值1丙","值1(早) 丙案",IF(R32="值2","值2(中)",IF(R32="值2乙","值2(中) 乙案",IF(R32="夜值","夜值(晚)",IF(R32="甲夜","夜值(晚) 甲案",IF(R32="備","08-18",IF(OR(R32="支援秘書室",R32="支援出納室",R32="支援警務科",R32="支援事務股"),"支援總(大)隊",IF(R32="支援檢疫所","支援(其他)",IF(  R32="/","空班",  IF(  R32="丙",  "※ 丙案",  IF(  R32="丙常訓",  "※ 丙案 常訓",R32  )))))))))))))))))))))))))</f>
        <v/>
      </c>
      <c r="S72" s="271" t="str">
        <f>IF(S32="早","08-18",IF(S32="中","12-22",IF(S32="晚","22-08",IF(S32="X","輪休",IF(S32="公","公假",IF(OR(S32="病",S32="事"),"病(事)假",IF(OR(S32="婚",S32="產"),"婚(產)假",IF(S32="補","補休",IF(S32="休","休假",IF(S32="喪","喪假",IF(AND(S32="/",OR($A32=日期輸入!$B$23,$A32=日期輸入!$C$23,$A32=日期輸入!$D$23,$A32=日期輸入!$E$23,$A32=日期輸入!$F$23)),"08-18水電科",IF(S32="大日","大隊值日(日)",IF(S32="大夜","大隊值日(夜)",IF(S32="值1","值1(早)",IF(S32="值1丙","值1(早) 丙案",IF(S32="值2","值2(中)",IF(S32="值2乙","值2(中) 乙案",IF(S32="夜值","夜值(晚)",IF(S32="甲夜","夜值(晚) 甲案",IF(S32="備","08-18",IF(OR(S32="支援秘書室",S32="支援出納室",S32="支援警務科",S32="支援事務股"),"支援總(大)隊",IF(S32="支援檢疫所","支援(其他)",IF(  S32="/","空班",  IF(  S32="丙",  "※ 丙案",  IF(  S32="丙常訓",  "※ 丙案 常訓",S32  )))))))))))))))))))))))))</f>
        <v/>
      </c>
      <c r="T72" s="271" t="str">
        <f>IF(T32="早","08-18",IF(T32="中","12-22",IF(T32="晚","22-08",IF(T32="X","輪休",IF(T32="公","公假",IF(OR(T32="病",T32="事"),"病(事)假",IF(OR(T32="婚",T32="產"),"婚(產)假",IF(T32="補","補休",IF(T32="休","休假",IF(T32="喪","喪假",IF(AND(T32="/",OR($A32=日期輸入!$B$23,$A32=日期輸入!$C$23,$A32=日期輸入!$D$23,$A32=日期輸入!$E$23,$A32=日期輸入!$F$23)),"08-18水電科",IF(T32="大日","大隊值日(日)",IF(T32="大夜","大隊值日(夜)",IF(T32="值1","值1(早)",IF(T32="值1丙","值1(早) 丙案",IF(T32="值2","值2(中)",IF(T32="值2乙","值2(中) 乙案",IF(T32="夜值","夜值(晚)",IF(T32="甲夜","夜值(晚) 甲案",IF(T32="備","08-18",IF(OR(T32="支援秘書室",T32="支援出納室",T32="支援警務科",T32="支援事務股"),"支援總(大)隊",IF(T32="支援檢疫所","支援(其他)",IF(  T32="/","空班",  IF(  T32="丙",  "※ 丙案",  IF(  T32="丙常訓",  "※ 丙案 常訓",T32  )))))))))))))))))))))))))</f>
        <v/>
      </c>
      <c r="U72" s="271" t="str">
        <f>IF(U32="早","08-18",IF(U32="中","12-22",IF(U32="晚","22-08",IF(U32="X","輪休",IF(U32="公","公假",IF(OR(U32="病",U32="事"),"病(事)假",IF(OR(U32="婚",U32="產"),"婚(產)假",IF(U32="補","補休",IF(U32="休","休假",IF(U32="喪","喪假",IF(AND(U32="/",OR($A32=日期輸入!$B$23,$A32=日期輸入!$C$23,$A32=日期輸入!$D$23,$A32=日期輸入!$E$23,$A32=日期輸入!$F$23)),"08-18水電科",IF(U32="大日","大隊值日(日)",IF(U32="大夜","大隊值日(夜)",IF(U32="值1","值1(早)",IF(U32="值1丙","值1(早) 丙案",IF(U32="值2","值2(中)",IF(U32="值2乙","值2(中) 乙案",IF(U32="夜值","夜值(晚)",IF(U32="甲夜","夜值(晚) 甲案",IF(U32="備","08-18",IF(OR(U32="支援秘書室",U32="支援出納室",U32="支援警務科",U32="支援事務股"),"支援總(大)隊",IF(U32="支援檢疫所","支援(其他)",IF(  U32="/","空班",  IF(  U32="丙",  "※ 丙案",  IF(  U32="丙常訓",  "※ 丙案 常訓",U32  )))))))))))))))))))))))))</f>
        <v/>
      </c>
      <c r="V72" s="271" t="str">
        <f>IF(V32="早","08-18",IF(V32="中","12-22",IF(V32="晚","22-08",IF(V32="X","輪休",IF(V32="公","公假",IF(OR(V32="病",V32="事"),"病(事)假",IF(OR(V32="婚",V32="產"),"婚(產)假",IF(V32="補","補休",IF(V32="休","休假",IF(V32="喪","喪假",IF(AND(V32="/",OR($A32=日期輸入!$B$23,$A32=日期輸入!$C$23,$A32=日期輸入!$D$23,$A32=日期輸入!$E$23,$A32=日期輸入!$F$23)),"08-18水電科",IF(V32="大日","大隊值日(日)",IF(V32="大夜","大隊值日(夜)",IF(V32="值1","值1(早)",IF(V32="值1丙","值1(早) 丙案",IF(V32="值2","值2(中)",IF(V32="值2乙","值2(中) 乙案",IF(V32="夜值","夜值(晚)",IF(V32="甲夜","夜值(晚) 甲案",IF(V32="備","08-18",IF(OR(V32="支援秘書室",V32="支援出納室",V32="支援警務科",V32="支援事務股"),"支援總(大)隊",IF(V32="支援檢疫所","支援(其他)",IF(  V32="/","空班",  IF(  V32="丙",  "※ 丙案",  IF(  V32="丙常訓",  "※ 丙案 常訓",V32  )))))))))))))))))))))))))</f>
        <v/>
      </c>
      <c r="W72" s="271" t="str">
        <f>IF(W32="早","08-18",IF(W32="中","12-22",IF(W32="晚","22-08",IF(W32="X","輪休",IF(W32="公","公假",IF(OR(W32="病",W32="事"),"病(事)假",IF(OR(W32="婚",W32="產"),"婚(產)假",IF(W32="補","補休",IF(W32="休","休假",IF(W32="喪","喪假",IF(AND(W32="/",OR($A32=日期輸入!$B$23,$A32=日期輸入!$C$23,$A32=日期輸入!$D$23,$A32=日期輸入!$E$23,$A32=日期輸入!$F$23)),"08-18水電科",IF(W32="大日","大隊值日(日)",IF(W32="大夜","大隊值日(夜)",IF(W32="值1","值1(早)",IF(W32="值1丙","值1(早) 丙案",IF(W32="值2","值2(中)",IF(W32="值2乙","值2(中) 乙案",IF(W32="夜值","夜值(晚)",IF(W32="甲夜","夜值(晚) 甲案",IF(W32="備","08-18",IF(OR(W32="支援秘書室",W32="支援出納室",W32="支援警務科",W32="支援事務股"),"支援總(大)隊",IF(W32="支援檢疫所","支援(其他)",IF(  W32="/","空班",  IF(  W32="丙",  "※ 丙案",  IF(  W32="丙常訓",  "※ 丙案 常訓",W32  )))))))))))))))))))))))))</f>
        <v/>
      </c>
      <c r="X72" s="271" t="str">
        <f>IF(X32="早","08-18",IF(X32="中","12-22",IF(X32="晚","22-08",IF(X32="X","輪休",IF(X32="公","公假",IF(OR(X32="病",X32="事"),"病(事)假",IF(OR(X32="婚",X32="產"),"婚(產)假",IF(X32="補","補休",IF(X32="休","休假",IF(X32="喪","喪假",IF(AND(X32="/",OR($A32=日期輸入!$B$23,$A32=日期輸入!$C$23,$A32=日期輸入!$D$23,$A32=日期輸入!$E$23,$A32=日期輸入!$F$23)),"08-18水電科",IF(X32="大日","大隊值日(日)",IF(X32="大夜","大隊值日(夜)",IF(X32="值1","值1(早)",IF(X32="值1丙","值1(早) 丙案",IF(X32="值2","值2(中)",IF(X32="值2乙","值2(中) 乙案",IF(X32="夜值","夜值(晚)",IF(X32="甲夜","夜值(晚) 甲案",IF(X32="備","08-18",IF(OR(X32="支援秘書室",X32="支援出納室",X32="支援警務科",X32="支援事務股"),"支援總(大)隊",IF(X32="支援檢疫所","支援(其他)",IF(  X32="/","空班",  IF(  X32="丙",  "※ 丙案",  IF(  X32="丙常訓",  "※ 丙案 常訓",X32  )))))))))))))))))))))))))</f>
        <v/>
      </c>
      <c r="Y72" s="271" t="str">
        <f>IF(Y32="早","08-18",IF(Y32="中","12-22",IF(Y32="晚","22-08",IF(Y32="X","輪休",IF(Y32="公","公假",IF(OR(Y32="病",Y32="事"),"病(事)假",IF(OR(Y32="婚",Y32="產"),"婚(產)假",IF(Y32="補","補休",IF(Y32="休","休假",IF(Y32="喪","喪假",IF(AND(Y32="/",OR($A32=日期輸入!$B$23,$A32=日期輸入!$C$23,$A32=日期輸入!$D$23,$A32=日期輸入!$E$23,$A32=日期輸入!$F$23)),"08-18水電科",IF(Y32="大日","大隊值日(日)",IF(Y32="大夜","大隊值日(夜)",IF(Y32="值1","值1(早)",IF(Y32="值1丙","值1(早) 丙案",IF(Y32="值2","值2(中)",IF(Y32="值2乙","值2(中) 乙案",IF(Y32="夜值","夜值(晚)",IF(Y32="甲夜","夜值(晚) 甲案",IF(Y32="備","08-18",IF(OR(Y32="支援秘書室",Y32="支援出納室",Y32="支援警務科",Y32="支援事務股"),"支援總(大)隊",IF(Y32="支援檢疫所","支援(其他)",IF(  Y32="/","空班",  IF(  Y32="丙",  "※ 丙案",  IF(  Y32="丙常訓",  "※ 丙案 常訓",Y32  )))))))))))))))))))))))))</f>
        <v/>
      </c>
      <c r="Z72" s="271" t="str">
        <f>IF(Z32="早","08-18",IF(Z32="中","12-22",IF(Z32="晚","22-08",IF(Z32="X","輪休",IF(Z32="公","公假",IF(OR(Z32="病",Z32="事"),"病(事)假",IF(OR(Z32="婚",Z32="產"),"婚(產)假",IF(Z32="補","補休",IF(Z32="休","休假",IF(Z32="喪","喪假",IF(AND(Z32="/",OR($A32=日期輸入!$B$23,$A32=日期輸入!$C$23,$A32=日期輸入!$D$23,$A32=日期輸入!$E$23,$A32=日期輸入!$F$23)),"08-18水電科",IF(Z32="大日","大隊值日(日)",IF(Z32="大夜","大隊值日(夜)",IF(Z32="值1","值1(早)",IF(Z32="值1丙","值1(早) 丙案",IF(Z32="值2","值2(中)",IF(Z32="值2乙","值2(中) 乙案",IF(Z32="夜值","夜值(晚)",IF(Z32="甲夜","夜值(晚) 甲案",IF(Z32="備","08-18",IF(OR(Z32="支援秘書室",Z32="支援出納室",Z32="支援警務科",Z32="支援事務股"),"支援總(大)隊",IF(Z32="支援檢疫所","支援(其他)",IF(  Z32="/","空班",  IF(  Z32="丙",  "※ 丙案",  IF(  Z32="丙常訓",  "※ 丙案 常訓",Z32  )))))))))))))))))))))))))</f>
        <v/>
      </c>
      <c r="AA72" s="271" t="str">
        <f>IF(AA32="早","08-18",IF(AA32="中","12-22",IF(AA32="晚","22-08",IF(AA32="X","輪休",IF(AA32="公","公假",IF(OR(AA32="病",AA32="事"),"病(事)假",IF(OR(AA32="婚",AA32="產"),"婚(產)假",IF(AA32="補","補休",IF(AA32="休","休假",IF(AA32="喪","喪假",IF(AND(AA32="/",OR($A32=日期輸入!$B$23,$A32=日期輸入!$C$23,$A32=日期輸入!$D$23,$A32=日期輸入!$E$23,$A32=日期輸入!$F$23)),"08-18水電科",IF(AA32="大日","大隊值日(日)",IF(AA32="大夜","大隊值日(夜)",IF(AA32="值1","值1(早)",IF(AA32="值1丙","值1(早) 丙案",IF(AA32="值2","值2(中)",IF(AA32="值2乙","值2(中) 乙案",IF(AA32="夜值","夜值(晚)",IF(AA32="甲夜","夜值(晚) 甲案",IF(AA32="備","08-18",IF(OR(AA32="支援秘書室",AA32="支援出納室",AA32="支援警務科",AA32="支援事務股"),"支援總(大)隊",IF(AA32="支援檢疫所","支援(其他)",IF(  AA32="/","空班",  IF(  AA32="丙",  "※ 丙案",  IF(  AA32="丙常訓",  "※ 丙案 常訓",AA32  )))))))))))))))))))))))))</f>
        <v/>
      </c>
      <c r="AB72" s="271" t="str">
        <f>IF(AB32="早","08-18",IF(AB32="中","12-22",IF(AB32="晚","22-08",IF(AB32="X","輪休",IF(AB32="公","公假",IF(OR(AB32="病",AB32="事"),"病(事)假",IF(OR(AB32="婚",AB32="產"),"婚(產)假",IF(AB32="補","補休",IF(AB32="休","休假",IF(AB32="喪","喪假",IF(AND(AB32="/",OR($A32=日期輸入!$B$23,$A32=日期輸入!$C$23,$A32=日期輸入!$D$23,$A32=日期輸入!$E$23,$A32=日期輸入!$F$23)),"08-18水電科",IF(AB32="大日","大隊值日(日)",IF(AB32="大夜","大隊值日(夜)",IF(AB32="值1","值1(早)",IF(AB32="值1丙","值1(早) 丙案",IF(AB32="值2","值2(中)",IF(AB32="值2乙","值2(中) 乙案",IF(AB32="夜值","夜值(晚)",IF(AB32="甲夜","夜值(晚) 甲案",IF(AB32="備","08-18",IF(OR(AB32="支援秘書室",AB32="支援出納室",AB32="支援警務科",AB32="支援事務股"),"支援總(大)隊",IF(AB32="支援檢疫所","支援(其他)",IF(  AB32="/","空班",  IF(  AB32="丙",  "※ 丙案",  IF(  AB32="丙常訓",  "※ 丙案 常訓",AB32  )))))))))))))))))))))))))</f>
        <v/>
      </c>
      <c r="AC72" s="271" t="str">
        <f>IF(AC32="早","08-18",IF(AC32="中","12-22",IF(AC32="晚","22-08",IF(AC32="X","輪休",IF(AC32="公","公假",IF(OR(AC32="病",AC32="事"),"病(事)假",IF(OR(AC32="婚",AC32="產"),"婚(產)假",IF(AC32="補","補休",IF(AC32="休","休假",IF(AC32="喪","喪假",IF(AND(AC32="/",OR($A32=日期輸入!$B$23,$A32=日期輸入!$C$23,$A32=日期輸入!$D$23,$A32=日期輸入!$E$23,$A32=日期輸入!$F$23)),"08-18水電科",IF(AC32="大日","大隊值日(日)",IF(AC32="大夜","大隊值日(夜)",IF(AC32="值1","值1(早)",IF(AC32="值1丙","值1(早) 丙案",IF(AC32="值2","值2(中)",IF(AC32="值2乙","值2(中) 乙案",IF(AC32="夜值","夜值(晚)",IF(AC32="甲夜","夜值(晚) 甲案",IF(AC32="備","08-18",IF(OR(AC32="支援秘書室",AC32="支援出納室",AC32="支援警務科",AC32="支援事務股"),"支援總(大)隊",IF(AC32="支援檢疫所","支援(其他)",IF(  AC32="/","空班",  IF(  AC32="丙",  "※ 丙案",  IF(  AC32="丙常訓",  "※ 丙案 常訓",AC32  )))))))))))))))))))))))))</f>
        <v/>
      </c>
      <c r="AD72" s="271" t="str">
        <f>IF(AD32="早","08-18",IF(AD32="中","12-22",IF(AD32="晚","22-08",IF(AD32="X","輪休",IF(AD32="公","公假",IF(OR(AD32="病",AD32="事"),"病(事)假",IF(OR(AD32="婚",AD32="產"),"婚(產)假",IF(AD32="補","補休",IF(AD32="休","休假",IF(AD32="喪","喪假",IF(AND(AD32="/",OR($A32=日期輸入!$B$23,$A32=日期輸入!$C$23,$A32=日期輸入!$D$23,$A32=日期輸入!$E$23,$A32=日期輸入!$F$23)),"08-18水電科",IF(AD32="大日","大隊值日(日)",IF(AD32="大夜","大隊值日(夜)",IF(AD32="值1","值1(早)",IF(AD32="值1丙","值1(早) 丙案",IF(AD32="值2","值2(中)",IF(AD32="值2乙","值2(中) 乙案",IF(AD32="夜值","夜值(晚)",IF(AD32="甲夜","夜值(晚) 甲案",IF(AD32="備","08-18",IF(OR(AD32="支援秘書室",AD32="支援出納室",AD32="支援警務科",AD32="支援事務股"),"支援總(大)隊",IF(AD32="支援檢疫所","支援(其他)",IF(  AD32="/","空班",  IF(  AD32="丙",  "※ 丙案",  IF(  AD32="丙常訓",  "※ 丙案 常訓",AD32  )))))))))))))))))))))))))</f>
        <v/>
      </c>
      <c r="AE72" s="271" t="str">
        <f>IF(AE32="早","08-18",IF(AE32="中","12-22",IF(AE32="晚","22-08",IF(AE32="X","輪休",IF(AE32="公","公假",IF(OR(AE32="病",AE32="事"),"病(事)假",IF(OR(AE32="婚",AE32="產"),"婚(產)假",IF(AE32="補","補休",IF(AE32="休","休假",IF(AE32="喪","喪假",IF(AND(AE32="/",OR($A32=日期輸入!$B$23,$A32=日期輸入!$C$23,$A32=日期輸入!$D$23,$A32=日期輸入!$E$23,$A32=日期輸入!$F$23)),"08-18水電科",IF(AE32="大日","大隊值日(日)",IF(AE32="大夜","大隊值日(夜)",IF(AE32="值1","值1(早)",IF(AE32="值1丙","值1(早) 丙案",IF(AE32="值2","值2(中)",IF(AE32="值2乙","值2(中) 乙案",IF(AE32="夜值","夜值(晚)",IF(AE32="甲夜","夜值(晚) 甲案",IF(AE32="備","08-18",IF(OR(AE32="支援秘書室",AE32="支援出納室",AE32="支援警務科",AE32="支援事務股"),"支援總(大)隊",IF(AE32="支援檢疫所","支援(其他)",IF(  AE32="/","空班",  IF(  AE32="丙",  "※ 丙案",  IF(  AE32="丙常訓",  "※ 丙案 常訓",AE32  )))))))))))))))))))))))))</f>
        <v/>
      </c>
      <c r="AF72" s="271" t="str">
        <f>IF(AF32="早","08-18",IF(AF32="中","12-22",IF(AF32="晚","22-08",IF(AF32="X","輪休",IF(AF32="公","公假",IF(OR(AF32="病",AF32="事"),"病(事)假",IF(OR(AF32="婚",AF32="產"),"婚(產)假",IF(AF32="補","補休",IF(AF32="休","休假",IF(AF32="喪","喪假",IF(AND(AF32="/",OR($A32=日期輸入!$B$23,$A32=日期輸入!$C$23,$A32=日期輸入!$D$23,$A32=日期輸入!$E$23,$A32=日期輸入!$F$23)),"08-18水電科",IF(AF32="大日","大隊值日(日)",IF(AF32="大夜","大隊值日(夜)",IF(AF32="值1","值1(早)",IF(AF32="值1丙","值1(早) 丙案",IF(AF32="值2","值2(中)",IF(AF32="值2乙","值2(中) 乙案",IF(AF32="夜值","夜值(晚)",IF(AF32="甲夜","夜值(晚) 甲案",IF(AF32="備","08-18",IF(OR(AF32="支援秘書室",AF32="支援出納室",AF32="支援警務科",AF32="支援事務股"),"支援總(大)隊",IF(AF32="支援檢疫所","支援(其他)",IF(  AF32="/","空班",  IF(  AF32="丙",  "※ 丙案",  IF(  AF32="丙常訓",  "※ 丙案 常訓",AF32  )))))))))))))))))))))))))</f>
        <v/>
      </c>
      <c r="AG72" s="271" t="str">
        <f>IF(AG32="早","08-18",IF(AG32="中","12-22",IF(AG32="晚","22-08",IF(AG32="X","輪休",IF(AG32="公","公假",IF(OR(AG32="病",AG32="事"),"病(事)假",IF(OR(AG32="婚",AG32="產"),"婚(產)假",IF(AG32="補","補休",IF(AG32="休","休假",IF(AG32="喪","喪假",IF(AND(AG32="/",OR($A32=日期輸入!$B$23,$A32=日期輸入!$C$23,$A32=日期輸入!$D$23,$A32=日期輸入!$E$23,$A32=日期輸入!$F$23)),"08-18水電科",IF(AG32="大日","大隊值日(日)",IF(AG32="大夜","大隊值日(夜)",IF(AG32="值1","值1(早)",IF(AG32="值1丙","值1(早) 丙案",IF(AG32="值2","值2(中)",IF(AG32="值2乙","值2(中) 乙案",IF(AG32="夜值","夜值(晚)",IF(AG32="甲夜","夜值(晚) 甲案",IF(AG32="備","08-18",IF(OR(AG32="支援秘書室",AG32="支援出納室",AG32="支援警務科",AG32="支援事務股"),"支援總(大)隊",IF(AG32="支援檢疫所","支援(其他)",IF(  AG32="/","空班",  IF(  AG32="丙",  "※ 丙案",  IF(  AG32="丙常訓",  "※ 丙案 常訓",AG32  )))))))))))))))))))))))))</f>
        <v/>
      </c>
    </row>
    <row r="73" spans="1:33">
      <c r="A73" s="271" t="str">
        <f t="shared" ref="A73:B73" si="32">A33</f>
        <v/>
      </c>
      <c r="B73" s="271" t="str">
        <f t="shared" si="32"/>
        <v/>
      </c>
      <c r="C73" s="271" t="str">
        <f>IF(C33="早","08-18",IF(C33="中","12-22",IF(C33="晚","22-08",IF(C33="X","輪休",IF(C33="公","公假",IF(OR(C33="病",C33="事"),"病(事)假",IF(OR(C33="婚",C33="產"),"婚(產)假",IF(C33="補","補休",IF(C33="休","休假",IF(C33="喪","喪假",IF(AND(C33="/",OR($A33=日期輸入!$B$23,$A33=日期輸入!$C$23,$A33=日期輸入!$D$23,$A33=日期輸入!$E$23,$A33=日期輸入!$F$23)),"08-18水電科",IF(C33="大日","大隊值日(日)",IF(C33="大夜","大隊值日(夜)",IF(C33="值1","值1(早)",IF(C33="值1丙","值1(早) 丙案",IF(C33="值2","值2(中)",IF(C33="值2乙","值2(中) 乙案",IF(C33="夜值","夜值(晚)",IF(C33="甲夜","夜值(晚) 甲案",IF(C33="備","08-18",IF(OR(C33="支援秘書室",C33="支援出納室",C33="支援警務科",C33="支援事務股"),"支援總(大)隊",IF(C33="支援檢疫所","支援(其他)",IF(  C33="/","空班",  IF(  C33="丙",  "※ 丙案",  IF(  C33="丙常訓",  "※ 丙案 常訓",C33  )))))))))))))))))))))))))</f>
        <v/>
      </c>
      <c r="D73" s="271" t="str">
        <f>IF(D33="早","08-18",IF(D33="中","12-22",IF(D33="晚","22-08",IF(D33="X","輪休",IF(D33="公","公假",IF(OR(D33="病",D33="事"),"病(事)假",IF(OR(D33="婚",D33="產"),"婚(產)假",IF(D33="補","補休",IF(D33="休","休假",IF(D33="喪","喪假",IF(AND(D33="/",OR($A33=日期輸入!$B$23,$A33=日期輸入!$C$23,$A33=日期輸入!$D$23,$A33=日期輸入!$E$23,$A33=日期輸入!$F$23)),"08-18水電科",IF(D33="大日","大隊值日(日)",IF(D33="大夜","大隊值日(夜)",IF(D33="值1","值1(早)",IF(D33="值1丙","值1(早) 丙案",IF(D33="值2","值2(中)",IF(D33="值2乙","值2(中) 乙案",IF(D33="夜值","夜值(晚)",IF(D33="甲夜","夜值(晚) 甲案",IF(D33="備","08-18",IF(OR(D33="支援秘書室",D33="支援出納室",D33="支援警務科",D33="支援事務股"),"支援總(大)隊",IF(D33="支援檢疫所","支援(其他)",IF(  D33="/","空班",  IF(  D33="丙",  "※ 丙案",  IF(  D33="丙常訓",  "※ 丙案 常訓",D33  )))))))))))))))))))))))))</f>
        <v/>
      </c>
      <c r="E73" s="271" t="str">
        <f>IF(E33="早","08-18",IF(E33="中","12-22",IF(E33="晚","22-08",IF(E33="X","輪休",IF(E33="公","公假",IF(OR(E33="病",E33="事"),"病(事)假",IF(OR(E33="婚",E33="產"),"婚(產)假",IF(E33="補","補休",IF(E33="休","休假",IF(E33="喪","喪假",IF(AND(E33="/",OR($A33=日期輸入!$B$23,$A33=日期輸入!$C$23,$A33=日期輸入!$D$23,$A33=日期輸入!$E$23,$A33=日期輸入!$F$23)),"08-18水電科",IF(E33="大日","大隊值日(日)",IF(E33="大夜","大隊值日(夜)",IF(E33="值1","值1(早)",IF(E33="值1丙","值1(早) 丙案",IF(E33="值2","值2(中)",IF(E33="值2乙","值2(中) 乙案",IF(E33="夜值","夜值(晚)",IF(E33="甲夜","夜值(晚) 甲案",IF(E33="備","08-18",IF(OR(E33="支援秘書室",E33="支援出納室",E33="支援警務科",E33="支援事務股"),"支援總(大)隊",IF(E33="支援檢疫所","支援(其他)",IF(  E33="/","空班",  IF(  E33="丙",  "※ 丙案",  IF(  E33="丙常訓",  "※ 丙案 常訓",E33  )))))))))))))))))))))))))</f>
        <v/>
      </c>
      <c r="F73" s="271" t="str">
        <f>IF(F33="早","08-18",IF(F33="中","12-22",IF(F33="晚","22-08",IF(F33="X","輪休",IF(F33="公","公假",IF(OR(F33="病",F33="事"),"病(事)假",IF(OR(F33="婚",F33="產"),"婚(產)假",IF(F33="補","補休",IF(F33="休","休假",IF(F33="喪","喪假",IF(AND(F33="/",OR($A33=日期輸入!$B$23,$A33=日期輸入!$C$23,$A33=日期輸入!$D$23,$A33=日期輸入!$E$23,$A33=日期輸入!$F$23)),"08-18水電科",IF(F33="大日","大隊值日(日)",IF(F33="大夜","大隊值日(夜)",IF(F33="值1","值1(早)",IF(F33="值1丙","值1(早) 丙案",IF(F33="值2","值2(中)",IF(F33="值2乙","值2(中) 乙案",IF(F33="夜值","夜值(晚)",IF(F33="甲夜","夜值(晚) 甲案",IF(F33="備","08-18",IF(OR(F33="支援秘書室",F33="支援出納室",F33="支援警務科",F33="支援事務股"),"支援總(大)隊",IF(F33="支援檢疫所","支援(其他)",IF(  F33="/","空班",  IF(  F33="丙",  "※ 丙案",  IF(  F33="丙常訓",  "※ 丙案 常訓",F33  )))))))))))))))))))))))))</f>
        <v/>
      </c>
      <c r="G73" s="271" t="str">
        <f>IF(G33="早","08-18",IF(G33="中","12-22",IF(G33="晚","22-08",IF(G33="X","輪休",IF(G33="公","公假",IF(OR(G33="病",G33="事"),"病(事)假",IF(OR(G33="婚",G33="產"),"婚(產)假",IF(G33="補","補休",IF(G33="休","休假",IF(G33="喪","喪假",IF(AND(G33="/",OR($A33=日期輸入!$B$23,$A33=日期輸入!$C$23,$A33=日期輸入!$D$23,$A33=日期輸入!$E$23,$A33=日期輸入!$F$23)),"08-18水電科",IF(G33="大日","大隊值日(日)",IF(G33="大夜","大隊值日(夜)",IF(G33="值1","值1(早)",IF(G33="值1丙","值1(早) 丙案",IF(G33="值2","值2(中)",IF(G33="值2乙","值2(中) 乙案",IF(G33="夜值","夜值(晚)",IF(G33="甲夜","夜值(晚) 甲案",IF(G33="備","08-18",IF(OR(G33="支援秘書室",G33="支援出納室",G33="支援警務科",G33="支援事務股"),"支援總(大)隊",IF(G33="支援檢疫所","支援(其他)",IF(  G33="/","空班",  IF(  G33="丙",  "※ 丙案",  IF(  G33="丙常訓",  "※ 丙案 常訓",G33  )))))))))))))))))))))))))</f>
        <v/>
      </c>
      <c r="H73" s="271" t="str">
        <f>IF(H33="早","08-18",IF(H33="中","12-22",IF(H33="晚","22-08",IF(H33="X","輪休",IF(H33="公","公假",IF(OR(H33="病",H33="事"),"病(事)假",IF(OR(H33="婚",H33="產"),"婚(產)假",IF(H33="補","補休",IF(H33="休","休假",IF(H33="喪","喪假",IF(AND(H33="/",OR($A33=日期輸入!$B$23,$A33=日期輸入!$C$23,$A33=日期輸入!$D$23,$A33=日期輸入!$E$23,$A33=日期輸入!$F$23)),"08-18水電科",IF(H33="大日","大隊值日(日)",IF(H33="大夜","大隊值日(夜)",IF(H33="值1","值1(早)",IF(H33="值1丙","值1(早) 丙案",IF(H33="值2","值2(中)",IF(H33="值2乙","值2(中) 乙案",IF(H33="夜值","夜值(晚)",IF(H33="甲夜","夜值(晚) 甲案",IF(H33="備","08-18",IF(OR(H33="支援秘書室",H33="支援出納室",H33="支援警務科",H33="支援事務股"),"支援總(大)隊",IF(H33="支援檢疫所","支援(其他)",IF(  H33="/","空班",  IF(  H33="丙",  "※ 丙案",  IF(  H33="丙常訓",  "※ 丙案 常訓",H33  )))))))))))))))))))))))))</f>
        <v/>
      </c>
      <c r="I73" s="271" t="str">
        <f>IF(I33="早","08-18",IF(I33="中","12-22",IF(I33="晚","22-08",IF(I33="X","輪休",IF(I33="公","公假",IF(OR(I33="病",I33="事"),"病(事)假",IF(OR(I33="婚",I33="產"),"婚(產)假",IF(I33="補","補休",IF(I33="休","休假",IF(I33="喪","喪假",IF(AND(I33="/",OR($A33=日期輸入!$B$23,$A33=日期輸入!$C$23,$A33=日期輸入!$D$23,$A33=日期輸入!$E$23,$A33=日期輸入!$F$23)),"08-18水電科",IF(I33="大日","大隊值日(日)",IF(I33="大夜","大隊值日(夜)",IF(I33="值1","值1(早)",IF(I33="值1丙","值1(早) 丙案",IF(I33="值2","值2(中)",IF(I33="值2乙","值2(中) 乙案",IF(I33="夜值","夜值(晚)",IF(I33="甲夜","夜值(晚) 甲案",IF(I33="備","08-18",IF(OR(I33="支援秘書室",I33="支援出納室",I33="支援警務科",I33="支援事務股"),"支援總(大)隊",IF(I33="支援檢疫所","支援(其他)",IF(  I33="/","空班",  IF(  I33="丙",  "※ 丙案",  IF(  I33="丙常訓",  "※ 丙案 常訓",I33  )))))))))))))))))))))))))</f>
        <v/>
      </c>
      <c r="J73" s="271" t="str">
        <f>IF(J33="早","08-18",IF(J33="中","12-22",IF(J33="晚","22-08",IF(J33="X","輪休",IF(J33="公","公假",IF(OR(J33="病",J33="事"),"病(事)假",IF(OR(J33="婚",J33="產"),"婚(產)假",IF(J33="補","補休",IF(J33="休","休假",IF(J33="喪","喪假",IF(AND(J33="/",OR($A33=日期輸入!$B$23,$A33=日期輸入!$C$23,$A33=日期輸入!$D$23,$A33=日期輸入!$E$23,$A33=日期輸入!$F$23)),"08-18水電科",IF(J33="大日","大隊值日(日)",IF(J33="大夜","大隊值日(夜)",IF(J33="值1","值1(早)",IF(J33="值1丙","值1(早) 丙案",IF(J33="值2","值2(中)",IF(J33="值2乙","值2(中) 乙案",IF(J33="夜值","夜值(晚)",IF(J33="甲夜","夜值(晚) 甲案",IF(J33="備","08-18",IF(OR(J33="支援秘書室",J33="支援出納室",J33="支援警務科",J33="支援事務股"),"支援總(大)隊",IF(J33="支援檢疫所","支援(其他)",IF(  J33="/","空班",  IF(  J33="丙",  "※ 丙案",  IF(  J33="丙常訓",  "※ 丙案 常訓",J33  )))))))))))))))))))))))))</f>
        <v/>
      </c>
      <c r="K73" s="271" t="str">
        <f>IF(K33="早","08-18",IF(K33="中","12-22",IF(K33="晚","22-08",IF(K33="X","輪休",IF(K33="公","公假",IF(OR(K33="病",K33="事"),"病(事)假",IF(OR(K33="婚",K33="產"),"婚(產)假",IF(K33="補","補休",IF(K33="休","休假",IF(K33="喪","喪假",IF(AND(K33="/",OR($A33=日期輸入!$B$23,$A33=日期輸入!$C$23,$A33=日期輸入!$D$23,$A33=日期輸入!$E$23,$A33=日期輸入!$F$23)),"08-18水電科",IF(K33="大日","大隊值日(日)",IF(K33="大夜","大隊值日(夜)",IF(K33="值1","值1(早)",IF(K33="值1丙","值1(早) 丙案",IF(K33="值2","值2(中)",IF(K33="值2乙","值2(中) 乙案",IF(K33="夜值","夜值(晚)",IF(K33="甲夜","夜值(晚) 甲案",IF(K33="備","08-18",IF(OR(K33="支援秘書室",K33="支援出納室",K33="支援警務科",K33="支援事務股"),"支援總(大)隊",IF(K33="支援檢疫所","支援(其他)",IF(  K33="/","空班",  IF(  K33="丙",  "※ 丙案",  IF(  K33="丙常訓",  "※ 丙案 常訓",K33  )))))))))))))))))))))))))</f>
        <v/>
      </c>
      <c r="L73" s="271" t="str">
        <f>IF(L33="早","08-18",IF(L33="中","12-22",IF(L33="晚","22-08",IF(L33="X","輪休",IF(L33="公","公假",IF(OR(L33="病",L33="事"),"病(事)假",IF(OR(L33="婚",L33="產"),"婚(產)假",IF(L33="補","補休",IF(L33="休","休假",IF(L33="喪","喪假",IF(AND(L33="/",OR($A33=日期輸入!$B$23,$A33=日期輸入!$C$23,$A33=日期輸入!$D$23,$A33=日期輸入!$E$23,$A33=日期輸入!$F$23)),"08-18水電科",IF(L33="大日","大隊值日(日)",IF(L33="大夜","大隊值日(夜)",IF(L33="值1","值1(早)",IF(L33="值1丙","值1(早) 丙案",IF(L33="值2","值2(中)",IF(L33="值2乙","值2(中) 乙案",IF(L33="夜值","夜值(晚)",IF(L33="甲夜","夜值(晚) 甲案",IF(L33="備","08-18",IF(OR(L33="支援秘書室",L33="支援出納室",L33="支援警務科",L33="支援事務股"),"支援總(大)隊",IF(L33="支援檢疫所","支援(其他)",IF(  L33="/","空班",  IF(  L33="丙",  "※ 丙案",  IF(  L33="丙常訓",  "※ 丙案 常訓",L33  )))))))))))))))))))))))))</f>
        <v/>
      </c>
      <c r="M73" s="271" t="str">
        <f>IF(M33="早","08-18",IF(M33="中","12-22",IF(M33="晚","22-08",IF(M33="X","輪休",IF(M33="公","公假",IF(OR(M33="病",M33="事"),"病(事)假",IF(OR(M33="婚",M33="產"),"婚(產)假",IF(M33="補","補休",IF(M33="休","休假",IF(M33="喪","喪假",IF(AND(M33="/",OR($A33=日期輸入!$B$23,$A33=日期輸入!$C$23,$A33=日期輸入!$D$23,$A33=日期輸入!$E$23,$A33=日期輸入!$F$23)),"08-18水電科",IF(M33="大日","大隊值日(日)",IF(M33="大夜","大隊值日(夜)",IF(M33="值1","值1(早)",IF(M33="值1丙","值1(早) 丙案",IF(M33="值2","值2(中)",IF(M33="值2乙","值2(中) 乙案",IF(M33="夜值","夜值(晚)",IF(M33="甲夜","夜值(晚) 甲案",IF(M33="備","08-18",IF(OR(M33="支援秘書室",M33="支援出納室",M33="支援警務科",M33="支援事務股"),"支援總(大)隊",IF(M33="支援檢疫所","支援(其他)",IF(  M33="/","空班",  IF(  M33="丙",  "※ 丙案",  IF(  M33="丙常訓",  "※ 丙案 常訓",M33  )))))))))))))))))))))))))</f>
        <v/>
      </c>
      <c r="N73" s="271" t="str">
        <f>IF(N33="早","08-18",IF(N33="中","12-22",IF(N33="晚","22-08",IF(N33="X","輪休",IF(N33="公","公假",IF(OR(N33="病",N33="事"),"病(事)假",IF(OR(N33="婚",N33="產"),"婚(產)假",IF(N33="補","補休",IF(N33="休","休假",IF(N33="喪","喪假",IF(AND(N33="/",OR($A33=日期輸入!$B$23,$A33=日期輸入!$C$23,$A33=日期輸入!$D$23,$A33=日期輸入!$E$23,$A33=日期輸入!$F$23)),"08-18水電科",IF(N33="大日","大隊值日(日)",IF(N33="大夜","大隊值日(夜)",IF(N33="值1","值1(早)",IF(N33="值1丙","值1(早) 丙案",IF(N33="值2","值2(中)",IF(N33="值2乙","值2(中) 乙案",IF(N33="夜值","夜值(晚)",IF(N33="甲夜","夜值(晚) 甲案",IF(N33="備","08-18",IF(OR(N33="支援秘書室",N33="支援出納室",N33="支援警務科",N33="支援事務股"),"支援總(大)隊",IF(N33="支援檢疫所","支援(其他)",IF(  N33="/","空班",  IF(  N33="丙",  "※ 丙案",  IF(  N33="丙常訓",  "※ 丙案 常訓",N33  )))))))))))))))))))))))))</f>
        <v/>
      </c>
      <c r="O73" s="271" t="str">
        <f>IF(O33="早","08-18",IF(O33="中","12-22",IF(O33="晚","22-08",IF(O33="X","輪休",IF(O33="公","公假",IF(OR(O33="病",O33="事"),"病(事)假",IF(OR(O33="婚",O33="產"),"婚(產)假",IF(O33="補","補休",IF(O33="休","休假",IF(O33="喪","喪假",IF(AND(O33="/",OR($A33=日期輸入!$B$23,$A33=日期輸入!$C$23,$A33=日期輸入!$D$23,$A33=日期輸入!$E$23,$A33=日期輸入!$F$23)),"08-18水電科",IF(O33="大日","大隊值日(日)",IF(O33="大夜","大隊值日(夜)",IF(O33="值1","值1(早)",IF(O33="值1丙","值1(早) 丙案",IF(O33="值2","值2(中)",IF(O33="值2乙","值2(中) 乙案",IF(O33="夜值","夜值(晚)",IF(O33="甲夜","夜值(晚) 甲案",IF(O33="備","08-18",IF(OR(O33="支援秘書室",O33="支援出納室",O33="支援警務科",O33="支援事務股"),"支援總(大)隊",IF(O33="支援檢疫所","支援(其他)",IF(  O33="/","空班",  IF(  O33="丙",  "※ 丙案",  IF(  O33="丙常訓",  "※ 丙案 常訓",O33  )))))))))))))))))))))))))</f>
        <v/>
      </c>
      <c r="P73" s="271" t="str">
        <f>IF(P33="早","08-18",IF(P33="中","12-22",IF(P33="晚","22-08",IF(P33="X","輪休",IF(P33="公","公假",IF(OR(P33="病",P33="事"),"病(事)假",IF(OR(P33="婚",P33="產"),"婚(產)假",IF(P33="補","補休",IF(P33="休","休假",IF(P33="喪","喪假",IF(AND(P33="/",OR($A33=日期輸入!$B$23,$A33=日期輸入!$C$23,$A33=日期輸入!$D$23,$A33=日期輸入!$E$23,$A33=日期輸入!$F$23)),"08-18水電科",IF(P33="大日","大隊值日(日)",IF(P33="大夜","大隊值日(夜)",IF(P33="值1","值1(早)",IF(P33="值1丙","值1(早) 丙案",IF(P33="值2","值2(中)",IF(P33="值2乙","值2(中) 乙案",IF(P33="夜值","夜值(晚)",IF(P33="甲夜","夜值(晚) 甲案",IF(P33="備","08-18",IF(OR(P33="支援秘書室",P33="支援出納室",P33="支援警務科",P33="支援事務股"),"支援總(大)隊",IF(P33="支援檢疫所","支援(其他)",IF(  P33="/","空班",  IF(  P33="丙",  "※ 丙案",  IF(  P33="丙常訓",  "※ 丙案 常訓",P33  )))))))))))))))))))))))))</f>
        <v/>
      </c>
      <c r="Q73" s="271" t="str">
        <f>IF(Q33="早","08-18",IF(Q33="中","12-22",IF(Q33="晚","22-08",IF(Q33="X","輪休",IF(Q33="公","公假",IF(OR(Q33="病",Q33="事"),"病(事)假",IF(OR(Q33="婚",Q33="產"),"婚(產)假",IF(Q33="補","補休",IF(Q33="休","休假",IF(Q33="喪","喪假",IF(AND(Q33="/",OR($A33=日期輸入!$B$23,$A33=日期輸入!$C$23,$A33=日期輸入!$D$23,$A33=日期輸入!$E$23,$A33=日期輸入!$F$23)),"08-18水電科",IF(Q33="大日","大隊值日(日)",IF(Q33="大夜","大隊值日(夜)",IF(Q33="值1","值1(早)",IF(Q33="值1丙","值1(早) 丙案",IF(Q33="值2","值2(中)",IF(Q33="值2乙","值2(中) 乙案",IF(Q33="夜值","夜值(晚)",IF(Q33="甲夜","夜值(晚) 甲案",IF(Q33="備","08-18",IF(OR(Q33="支援秘書室",Q33="支援出納室",Q33="支援警務科",Q33="支援事務股"),"支援總(大)隊",IF(Q33="支援檢疫所","支援(其他)",IF(  Q33="/","空班",  IF(  Q33="丙",  "※ 丙案",  IF(  Q33="丙常訓",  "※ 丙案 常訓",Q33  )))))))))))))))))))))))))</f>
        <v/>
      </c>
      <c r="R73" s="271" t="str">
        <f>IF(R33="早","08-18",IF(R33="中","12-22",IF(R33="晚","22-08",IF(R33="X","輪休",IF(R33="公","公假",IF(OR(R33="病",R33="事"),"病(事)假",IF(OR(R33="婚",R33="產"),"婚(產)假",IF(R33="補","補休",IF(R33="休","休假",IF(R33="喪","喪假",IF(AND(R33="/",OR($A33=日期輸入!$B$23,$A33=日期輸入!$C$23,$A33=日期輸入!$D$23,$A33=日期輸入!$E$23,$A33=日期輸入!$F$23)),"08-18水電科",IF(R33="大日","大隊值日(日)",IF(R33="大夜","大隊值日(夜)",IF(R33="值1","值1(早)",IF(R33="值1丙","值1(早) 丙案",IF(R33="值2","值2(中)",IF(R33="值2乙","值2(中) 乙案",IF(R33="夜值","夜值(晚)",IF(R33="甲夜","夜值(晚) 甲案",IF(R33="備","08-18",IF(OR(R33="支援秘書室",R33="支援出納室",R33="支援警務科",R33="支援事務股"),"支援總(大)隊",IF(R33="支援檢疫所","支援(其他)",IF(  R33="/","空班",  IF(  R33="丙",  "※ 丙案",  IF(  R33="丙常訓",  "※ 丙案 常訓",R33  )))))))))))))))))))))))))</f>
        <v/>
      </c>
      <c r="S73" s="271" t="str">
        <f>IF(S33="早","08-18",IF(S33="中","12-22",IF(S33="晚","22-08",IF(S33="X","輪休",IF(S33="公","公假",IF(OR(S33="病",S33="事"),"病(事)假",IF(OR(S33="婚",S33="產"),"婚(產)假",IF(S33="補","補休",IF(S33="休","休假",IF(S33="喪","喪假",IF(AND(S33="/",OR($A33=日期輸入!$B$23,$A33=日期輸入!$C$23,$A33=日期輸入!$D$23,$A33=日期輸入!$E$23,$A33=日期輸入!$F$23)),"08-18水電科",IF(S33="大日","大隊值日(日)",IF(S33="大夜","大隊值日(夜)",IF(S33="值1","值1(早)",IF(S33="值1丙","值1(早) 丙案",IF(S33="值2","值2(中)",IF(S33="值2乙","值2(中) 乙案",IF(S33="夜值","夜值(晚)",IF(S33="甲夜","夜值(晚) 甲案",IF(S33="備","08-18",IF(OR(S33="支援秘書室",S33="支援出納室",S33="支援警務科",S33="支援事務股"),"支援總(大)隊",IF(S33="支援檢疫所","支援(其他)",IF(  S33="/","空班",  IF(  S33="丙",  "※ 丙案",  IF(  S33="丙常訓",  "※ 丙案 常訓",S33  )))))))))))))))))))))))))</f>
        <v/>
      </c>
      <c r="T73" s="271" t="str">
        <f>IF(T33="早","08-18",IF(T33="中","12-22",IF(T33="晚","22-08",IF(T33="X","輪休",IF(T33="公","公假",IF(OR(T33="病",T33="事"),"病(事)假",IF(OR(T33="婚",T33="產"),"婚(產)假",IF(T33="補","補休",IF(T33="休","休假",IF(T33="喪","喪假",IF(AND(T33="/",OR($A33=日期輸入!$B$23,$A33=日期輸入!$C$23,$A33=日期輸入!$D$23,$A33=日期輸入!$E$23,$A33=日期輸入!$F$23)),"08-18水電科",IF(T33="大日","大隊值日(日)",IF(T33="大夜","大隊值日(夜)",IF(T33="值1","值1(早)",IF(T33="值1丙","值1(早) 丙案",IF(T33="值2","值2(中)",IF(T33="值2乙","值2(中) 乙案",IF(T33="夜值","夜值(晚)",IF(T33="甲夜","夜值(晚) 甲案",IF(T33="備","08-18",IF(OR(T33="支援秘書室",T33="支援出納室",T33="支援警務科",T33="支援事務股"),"支援總(大)隊",IF(T33="支援檢疫所","支援(其他)",IF(  T33="/","空班",  IF(  T33="丙",  "※ 丙案",  IF(  T33="丙常訓",  "※ 丙案 常訓",T33  )))))))))))))))))))))))))</f>
        <v/>
      </c>
      <c r="U73" s="271" t="str">
        <f>IF(U33="早","08-18",IF(U33="中","12-22",IF(U33="晚","22-08",IF(U33="X","輪休",IF(U33="公","公假",IF(OR(U33="病",U33="事"),"病(事)假",IF(OR(U33="婚",U33="產"),"婚(產)假",IF(U33="補","補休",IF(U33="休","休假",IF(U33="喪","喪假",IF(AND(U33="/",OR($A33=日期輸入!$B$23,$A33=日期輸入!$C$23,$A33=日期輸入!$D$23,$A33=日期輸入!$E$23,$A33=日期輸入!$F$23)),"08-18水電科",IF(U33="大日","大隊值日(日)",IF(U33="大夜","大隊值日(夜)",IF(U33="值1","值1(早)",IF(U33="值1丙","值1(早) 丙案",IF(U33="值2","值2(中)",IF(U33="值2乙","值2(中) 乙案",IF(U33="夜值","夜值(晚)",IF(U33="甲夜","夜值(晚) 甲案",IF(U33="備","08-18",IF(OR(U33="支援秘書室",U33="支援出納室",U33="支援警務科",U33="支援事務股"),"支援總(大)隊",IF(U33="支援檢疫所","支援(其他)",IF(  U33="/","空班",  IF(  U33="丙",  "※ 丙案",  IF(  U33="丙常訓",  "※ 丙案 常訓",U33  )))))))))))))))))))))))))</f>
        <v/>
      </c>
      <c r="V73" s="271" t="str">
        <f>IF(V33="早","08-18",IF(V33="中","12-22",IF(V33="晚","22-08",IF(V33="X","輪休",IF(V33="公","公假",IF(OR(V33="病",V33="事"),"病(事)假",IF(OR(V33="婚",V33="產"),"婚(產)假",IF(V33="補","補休",IF(V33="休","休假",IF(V33="喪","喪假",IF(AND(V33="/",OR($A33=日期輸入!$B$23,$A33=日期輸入!$C$23,$A33=日期輸入!$D$23,$A33=日期輸入!$E$23,$A33=日期輸入!$F$23)),"08-18水電科",IF(V33="大日","大隊值日(日)",IF(V33="大夜","大隊值日(夜)",IF(V33="值1","值1(早)",IF(V33="值1丙","值1(早) 丙案",IF(V33="值2","值2(中)",IF(V33="值2乙","值2(中) 乙案",IF(V33="夜值","夜值(晚)",IF(V33="甲夜","夜值(晚) 甲案",IF(V33="備","08-18",IF(OR(V33="支援秘書室",V33="支援出納室",V33="支援警務科",V33="支援事務股"),"支援總(大)隊",IF(V33="支援檢疫所","支援(其他)",IF(  V33="/","空班",  IF(  V33="丙",  "※ 丙案",  IF(  V33="丙常訓",  "※ 丙案 常訓",V33  )))))))))))))))))))))))))</f>
        <v/>
      </c>
      <c r="W73" s="271" t="str">
        <f>IF(W33="早","08-18",IF(W33="中","12-22",IF(W33="晚","22-08",IF(W33="X","輪休",IF(W33="公","公假",IF(OR(W33="病",W33="事"),"病(事)假",IF(OR(W33="婚",W33="產"),"婚(產)假",IF(W33="補","補休",IF(W33="休","休假",IF(W33="喪","喪假",IF(AND(W33="/",OR($A33=日期輸入!$B$23,$A33=日期輸入!$C$23,$A33=日期輸入!$D$23,$A33=日期輸入!$E$23,$A33=日期輸入!$F$23)),"08-18水電科",IF(W33="大日","大隊值日(日)",IF(W33="大夜","大隊值日(夜)",IF(W33="值1","值1(早)",IF(W33="值1丙","值1(早) 丙案",IF(W33="值2","值2(中)",IF(W33="值2乙","值2(中) 乙案",IF(W33="夜值","夜值(晚)",IF(W33="甲夜","夜值(晚) 甲案",IF(W33="備","08-18",IF(OR(W33="支援秘書室",W33="支援出納室",W33="支援警務科",W33="支援事務股"),"支援總(大)隊",IF(W33="支援檢疫所","支援(其他)",IF(  W33="/","空班",  IF(  W33="丙",  "※ 丙案",  IF(  W33="丙常訓",  "※ 丙案 常訓",W33  )))))))))))))))))))))))))</f>
        <v/>
      </c>
      <c r="X73" s="271" t="str">
        <f>IF(X33="早","08-18",IF(X33="中","12-22",IF(X33="晚","22-08",IF(X33="X","輪休",IF(X33="公","公假",IF(OR(X33="病",X33="事"),"病(事)假",IF(OR(X33="婚",X33="產"),"婚(產)假",IF(X33="補","補休",IF(X33="休","休假",IF(X33="喪","喪假",IF(AND(X33="/",OR($A33=日期輸入!$B$23,$A33=日期輸入!$C$23,$A33=日期輸入!$D$23,$A33=日期輸入!$E$23,$A33=日期輸入!$F$23)),"08-18水電科",IF(X33="大日","大隊值日(日)",IF(X33="大夜","大隊值日(夜)",IF(X33="值1","值1(早)",IF(X33="值1丙","值1(早) 丙案",IF(X33="值2","值2(中)",IF(X33="值2乙","值2(中) 乙案",IF(X33="夜值","夜值(晚)",IF(X33="甲夜","夜值(晚) 甲案",IF(X33="備","08-18",IF(OR(X33="支援秘書室",X33="支援出納室",X33="支援警務科",X33="支援事務股"),"支援總(大)隊",IF(X33="支援檢疫所","支援(其他)",IF(  X33="/","空班",  IF(  X33="丙",  "※ 丙案",  IF(  X33="丙常訓",  "※ 丙案 常訓",X33  )))))))))))))))))))))))))</f>
        <v/>
      </c>
      <c r="Y73" s="271" t="str">
        <f>IF(Y33="早","08-18",IF(Y33="中","12-22",IF(Y33="晚","22-08",IF(Y33="X","輪休",IF(Y33="公","公假",IF(OR(Y33="病",Y33="事"),"病(事)假",IF(OR(Y33="婚",Y33="產"),"婚(產)假",IF(Y33="補","補休",IF(Y33="休","休假",IF(Y33="喪","喪假",IF(AND(Y33="/",OR($A33=日期輸入!$B$23,$A33=日期輸入!$C$23,$A33=日期輸入!$D$23,$A33=日期輸入!$E$23,$A33=日期輸入!$F$23)),"08-18水電科",IF(Y33="大日","大隊值日(日)",IF(Y33="大夜","大隊值日(夜)",IF(Y33="值1","值1(早)",IF(Y33="值1丙","值1(早) 丙案",IF(Y33="值2","值2(中)",IF(Y33="值2乙","值2(中) 乙案",IF(Y33="夜值","夜值(晚)",IF(Y33="甲夜","夜值(晚) 甲案",IF(Y33="備","08-18",IF(OR(Y33="支援秘書室",Y33="支援出納室",Y33="支援警務科",Y33="支援事務股"),"支援總(大)隊",IF(Y33="支援檢疫所","支援(其他)",IF(  Y33="/","空班",  IF(  Y33="丙",  "※ 丙案",  IF(  Y33="丙常訓",  "※ 丙案 常訓",Y33  )))))))))))))))))))))))))</f>
        <v/>
      </c>
      <c r="Z73" s="271" t="str">
        <f>IF(Z33="早","08-18",IF(Z33="中","12-22",IF(Z33="晚","22-08",IF(Z33="X","輪休",IF(Z33="公","公假",IF(OR(Z33="病",Z33="事"),"病(事)假",IF(OR(Z33="婚",Z33="產"),"婚(產)假",IF(Z33="補","補休",IF(Z33="休","休假",IF(Z33="喪","喪假",IF(AND(Z33="/",OR($A33=日期輸入!$B$23,$A33=日期輸入!$C$23,$A33=日期輸入!$D$23,$A33=日期輸入!$E$23,$A33=日期輸入!$F$23)),"08-18水電科",IF(Z33="大日","大隊值日(日)",IF(Z33="大夜","大隊值日(夜)",IF(Z33="值1","值1(早)",IF(Z33="值1丙","值1(早) 丙案",IF(Z33="值2","值2(中)",IF(Z33="值2乙","值2(中) 乙案",IF(Z33="夜值","夜值(晚)",IF(Z33="甲夜","夜值(晚) 甲案",IF(Z33="備","08-18",IF(OR(Z33="支援秘書室",Z33="支援出納室",Z33="支援警務科",Z33="支援事務股"),"支援總(大)隊",IF(Z33="支援檢疫所","支援(其他)",IF(  Z33="/","空班",  IF(  Z33="丙",  "※ 丙案",  IF(  Z33="丙常訓",  "※ 丙案 常訓",Z33  )))))))))))))))))))))))))</f>
        <v/>
      </c>
      <c r="AA73" s="271" t="str">
        <f>IF(AA33="早","08-18",IF(AA33="中","12-22",IF(AA33="晚","22-08",IF(AA33="X","輪休",IF(AA33="公","公假",IF(OR(AA33="病",AA33="事"),"病(事)假",IF(OR(AA33="婚",AA33="產"),"婚(產)假",IF(AA33="補","補休",IF(AA33="休","休假",IF(AA33="喪","喪假",IF(AND(AA33="/",OR($A33=日期輸入!$B$23,$A33=日期輸入!$C$23,$A33=日期輸入!$D$23,$A33=日期輸入!$E$23,$A33=日期輸入!$F$23)),"08-18水電科",IF(AA33="大日","大隊值日(日)",IF(AA33="大夜","大隊值日(夜)",IF(AA33="值1","值1(早)",IF(AA33="值1丙","值1(早) 丙案",IF(AA33="值2","值2(中)",IF(AA33="值2乙","值2(中) 乙案",IF(AA33="夜值","夜值(晚)",IF(AA33="甲夜","夜值(晚) 甲案",IF(AA33="備","08-18",IF(OR(AA33="支援秘書室",AA33="支援出納室",AA33="支援警務科",AA33="支援事務股"),"支援總(大)隊",IF(AA33="支援檢疫所","支援(其他)",IF(  AA33="/","空班",  IF(  AA33="丙",  "※ 丙案",  IF(  AA33="丙常訓",  "※ 丙案 常訓",AA33  )))))))))))))))))))))))))</f>
        <v/>
      </c>
      <c r="AB73" s="271" t="str">
        <f>IF(AB33="早","08-18",IF(AB33="中","12-22",IF(AB33="晚","22-08",IF(AB33="X","輪休",IF(AB33="公","公假",IF(OR(AB33="病",AB33="事"),"病(事)假",IF(OR(AB33="婚",AB33="產"),"婚(產)假",IF(AB33="補","補休",IF(AB33="休","休假",IF(AB33="喪","喪假",IF(AND(AB33="/",OR($A33=日期輸入!$B$23,$A33=日期輸入!$C$23,$A33=日期輸入!$D$23,$A33=日期輸入!$E$23,$A33=日期輸入!$F$23)),"08-18水電科",IF(AB33="大日","大隊值日(日)",IF(AB33="大夜","大隊值日(夜)",IF(AB33="值1","值1(早)",IF(AB33="值1丙","值1(早) 丙案",IF(AB33="值2","值2(中)",IF(AB33="值2乙","值2(中) 乙案",IF(AB33="夜值","夜值(晚)",IF(AB33="甲夜","夜值(晚) 甲案",IF(AB33="備","08-18",IF(OR(AB33="支援秘書室",AB33="支援出納室",AB33="支援警務科",AB33="支援事務股"),"支援總(大)隊",IF(AB33="支援檢疫所","支援(其他)",IF(  AB33="/","空班",  IF(  AB33="丙",  "※ 丙案",  IF(  AB33="丙常訓",  "※ 丙案 常訓",AB33  )))))))))))))))))))))))))</f>
        <v/>
      </c>
      <c r="AC73" s="271" t="str">
        <f>IF(AC33="早","08-18",IF(AC33="中","12-22",IF(AC33="晚","22-08",IF(AC33="X","輪休",IF(AC33="公","公假",IF(OR(AC33="病",AC33="事"),"病(事)假",IF(OR(AC33="婚",AC33="產"),"婚(產)假",IF(AC33="補","補休",IF(AC33="休","休假",IF(AC33="喪","喪假",IF(AND(AC33="/",OR($A33=日期輸入!$B$23,$A33=日期輸入!$C$23,$A33=日期輸入!$D$23,$A33=日期輸入!$E$23,$A33=日期輸入!$F$23)),"08-18水電科",IF(AC33="大日","大隊值日(日)",IF(AC33="大夜","大隊值日(夜)",IF(AC33="值1","值1(早)",IF(AC33="值1丙","值1(早) 丙案",IF(AC33="值2","值2(中)",IF(AC33="值2乙","值2(中) 乙案",IF(AC33="夜值","夜值(晚)",IF(AC33="甲夜","夜值(晚) 甲案",IF(AC33="備","08-18",IF(OR(AC33="支援秘書室",AC33="支援出納室",AC33="支援警務科",AC33="支援事務股"),"支援總(大)隊",IF(AC33="支援檢疫所","支援(其他)",IF(  AC33="/","空班",  IF(  AC33="丙",  "※ 丙案",  IF(  AC33="丙常訓",  "※ 丙案 常訓",AC33  )))))))))))))))))))))))))</f>
        <v/>
      </c>
      <c r="AD73" s="271" t="str">
        <f>IF(AD33="早","08-18",IF(AD33="中","12-22",IF(AD33="晚","22-08",IF(AD33="X","輪休",IF(AD33="公","公假",IF(OR(AD33="病",AD33="事"),"病(事)假",IF(OR(AD33="婚",AD33="產"),"婚(產)假",IF(AD33="補","補休",IF(AD33="休","休假",IF(AD33="喪","喪假",IF(AND(AD33="/",OR($A33=日期輸入!$B$23,$A33=日期輸入!$C$23,$A33=日期輸入!$D$23,$A33=日期輸入!$E$23,$A33=日期輸入!$F$23)),"08-18水電科",IF(AD33="大日","大隊值日(日)",IF(AD33="大夜","大隊值日(夜)",IF(AD33="值1","值1(早)",IF(AD33="值1丙","值1(早) 丙案",IF(AD33="值2","值2(中)",IF(AD33="值2乙","值2(中) 乙案",IF(AD33="夜值","夜值(晚)",IF(AD33="甲夜","夜值(晚) 甲案",IF(AD33="備","08-18",IF(OR(AD33="支援秘書室",AD33="支援出納室",AD33="支援警務科",AD33="支援事務股"),"支援總(大)隊",IF(AD33="支援檢疫所","支援(其他)",IF(  AD33="/","空班",  IF(  AD33="丙",  "※ 丙案",  IF(  AD33="丙常訓",  "※ 丙案 常訓",AD33  )))))))))))))))))))))))))</f>
        <v/>
      </c>
      <c r="AE73" s="271" t="str">
        <f>IF(AE33="早","08-18",IF(AE33="中","12-22",IF(AE33="晚","22-08",IF(AE33="X","輪休",IF(AE33="公","公假",IF(OR(AE33="病",AE33="事"),"病(事)假",IF(OR(AE33="婚",AE33="產"),"婚(產)假",IF(AE33="補","補休",IF(AE33="休","休假",IF(AE33="喪","喪假",IF(AND(AE33="/",OR($A33=日期輸入!$B$23,$A33=日期輸入!$C$23,$A33=日期輸入!$D$23,$A33=日期輸入!$E$23,$A33=日期輸入!$F$23)),"08-18水電科",IF(AE33="大日","大隊值日(日)",IF(AE33="大夜","大隊值日(夜)",IF(AE33="值1","值1(早)",IF(AE33="值1丙","值1(早) 丙案",IF(AE33="值2","值2(中)",IF(AE33="值2乙","值2(中) 乙案",IF(AE33="夜值","夜值(晚)",IF(AE33="甲夜","夜值(晚) 甲案",IF(AE33="備","08-18",IF(OR(AE33="支援秘書室",AE33="支援出納室",AE33="支援警務科",AE33="支援事務股"),"支援總(大)隊",IF(AE33="支援檢疫所","支援(其他)",IF(  AE33="/","空班",  IF(  AE33="丙",  "※ 丙案",  IF(  AE33="丙常訓",  "※ 丙案 常訓",AE33  )))))))))))))))))))))))))</f>
        <v/>
      </c>
      <c r="AF73" s="271" t="str">
        <f>IF(AF33="早","08-18",IF(AF33="中","12-22",IF(AF33="晚","22-08",IF(AF33="X","輪休",IF(AF33="公","公假",IF(OR(AF33="病",AF33="事"),"病(事)假",IF(OR(AF33="婚",AF33="產"),"婚(產)假",IF(AF33="補","補休",IF(AF33="休","休假",IF(AF33="喪","喪假",IF(AND(AF33="/",OR($A33=日期輸入!$B$23,$A33=日期輸入!$C$23,$A33=日期輸入!$D$23,$A33=日期輸入!$E$23,$A33=日期輸入!$F$23)),"08-18水電科",IF(AF33="大日","大隊值日(日)",IF(AF33="大夜","大隊值日(夜)",IF(AF33="值1","值1(早)",IF(AF33="值1丙","值1(早) 丙案",IF(AF33="值2","值2(中)",IF(AF33="值2乙","值2(中) 乙案",IF(AF33="夜值","夜值(晚)",IF(AF33="甲夜","夜值(晚) 甲案",IF(AF33="備","08-18",IF(OR(AF33="支援秘書室",AF33="支援出納室",AF33="支援警務科",AF33="支援事務股"),"支援總(大)隊",IF(AF33="支援檢疫所","支援(其他)",IF(  AF33="/","空班",  IF(  AF33="丙",  "※ 丙案",  IF(  AF33="丙常訓",  "※ 丙案 常訓",AF33  )))))))))))))))))))))))))</f>
        <v/>
      </c>
      <c r="AG73" s="271" t="str">
        <f>IF(AG33="早","08-18",IF(AG33="中","12-22",IF(AG33="晚","22-08",IF(AG33="X","輪休",IF(AG33="公","公假",IF(OR(AG33="病",AG33="事"),"病(事)假",IF(OR(AG33="婚",AG33="產"),"婚(產)假",IF(AG33="補","補休",IF(AG33="休","休假",IF(AG33="喪","喪假",IF(AND(AG33="/",OR($A33=日期輸入!$B$23,$A33=日期輸入!$C$23,$A33=日期輸入!$D$23,$A33=日期輸入!$E$23,$A33=日期輸入!$F$23)),"08-18水電科",IF(AG33="大日","大隊值日(日)",IF(AG33="大夜","大隊值日(夜)",IF(AG33="值1","值1(早)",IF(AG33="值1丙","值1(早) 丙案",IF(AG33="值2","值2(中)",IF(AG33="值2乙","值2(中) 乙案",IF(AG33="夜值","夜值(晚)",IF(AG33="甲夜","夜值(晚) 甲案",IF(AG33="備","08-18",IF(OR(AG33="支援秘書室",AG33="支援出納室",AG33="支援警務科",AG33="支援事務股"),"支援總(大)隊",IF(AG33="支援檢疫所","支援(其他)",IF(  AG33="/","空班",  IF(  AG33="丙",  "※ 丙案",  IF(  AG33="丙常訓",  "※ 丙案 常訓",AG33  )))))))))))))))))))))))))</f>
        <v/>
      </c>
    </row>
    <row r="74" spans="1:33">
      <c r="A74" s="271" t="str">
        <f t="shared" ref="A74:B74" si="33">A34</f>
        <v/>
      </c>
      <c r="B74" s="271" t="str">
        <f t="shared" si="33"/>
        <v/>
      </c>
      <c r="C74" s="271" t="str">
        <f>IF(C34="早","08-18",IF(C34="中","12-22",IF(C34="晚","22-08",IF(C34="X","輪休",IF(C34="公","公假",IF(OR(C34="病",C34="事"),"病(事)假",IF(OR(C34="婚",C34="產"),"婚(產)假",IF(C34="補","補休",IF(C34="休","休假",IF(C34="喪","喪假",IF(AND(C34="/",OR($A34=日期輸入!$B$23,$A34=日期輸入!$C$23,$A34=日期輸入!$D$23,$A34=日期輸入!$E$23,$A34=日期輸入!$F$23)),"08-18水電科",IF(C34="大日","大隊值日(日)",IF(C34="大夜","大隊值日(夜)",IF(C34="值1","值1(早)",IF(C34="值1丙","值1(早) 丙案",IF(C34="值2","值2(中)",IF(C34="值2乙","值2(中) 乙案",IF(C34="夜值","夜值(晚)",IF(C34="甲夜","夜值(晚) 甲案",IF(C34="備","08-18",IF(OR(C34="支援秘書室",C34="支援出納室",C34="支援警務科",C34="支援事務股"),"支援總(大)隊",IF(C34="支援檢疫所","支援(其他)",IF(  C34="/","空班",  IF(  C34="丙",  "※ 丙案",  IF(  C34="丙常訓",  "※ 丙案 常訓",C34  )))))))))))))))))))))))))</f>
        <v/>
      </c>
      <c r="D74" s="271" t="str">
        <f>IF(D34="早","08-18",IF(D34="中","12-22",IF(D34="晚","22-08",IF(D34="X","輪休",IF(D34="公","公假",IF(OR(D34="病",D34="事"),"病(事)假",IF(OR(D34="婚",D34="產"),"婚(產)假",IF(D34="補","補休",IF(D34="休","休假",IF(D34="喪","喪假",IF(AND(D34="/",OR($A34=日期輸入!$B$23,$A34=日期輸入!$C$23,$A34=日期輸入!$D$23,$A34=日期輸入!$E$23,$A34=日期輸入!$F$23)),"08-18水電科",IF(D34="大日","大隊值日(日)",IF(D34="大夜","大隊值日(夜)",IF(D34="值1","值1(早)",IF(D34="值1丙","值1(早) 丙案",IF(D34="值2","值2(中)",IF(D34="值2乙","值2(中) 乙案",IF(D34="夜值","夜值(晚)",IF(D34="甲夜","夜值(晚) 甲案",IF(D34="備","08-18",IF(OR(D34="支援秘書室",D34="支援出納室",D34="支援警務科",D34="支援事務股"),"支援總(大)隊",IF(D34="支援檢疫所","支援(其他)",IF(  D34="/","空班",  IF(  D34="丙",  "※ 丙案",  IF(  D34="丙常訓",  "※ 丙案 常訓",D34  )))))))))))))))))))))))))</f>
        <v/>
      </c>
      <c r="E74" s="271" t="str">
        <f>IF(E34="早","08-18",IF(E34="中","12-22",IF(E34="晚","22-08",IF(E34="X","輪休",IF(E34="公","公假",IF(OR(E34="病",E34="事"),"病(事)假",IF(OR(E34="婚",E34="產"),"婚(產)假",IF(E34="補","補休",IF(E34="休","休假",IF(E34="喪","喪假",IF(AND(E34="/",OR($A34=日期輸入!$B$23,$A34=日期輸入!$C$23,$A34=日期輸入!$D$23,$A34=日期輸入!$E$23,$A34=日期輸入!$F$23)),"08-18水電科",IF(E34="大日","大隊值日(日)",IF(E34="大夜","大隊值日(夜)",IF(E34="值1","值1(早)",IF(E34="值1丙","值1(早) 丙案",IF(E34="值2","值2(中)",IF(E34="值2乙","值2(中) 乙案",IF(E34="夜值","夜值(晚)",IF(E34="甲夜","夜值(晚) 甲案",IF(E34="備","08-18",IF(OR(E34="支援秘書室",E34="支援出納室",E34="支援警務科",E34="支援事務股"),"支援總(大)隊",IF(E34="支援檢疫所","支援(其他)",IF(  E34="/","空班",  IF(  E34="丙",  "※ 丙案",  IF(  E34="丙常訓",  "※ 丙案 常訓",E34  )))))))))))))))))))))))))</f>
        <v/>
      </c>
      <c r="F74" s="271" t="str">
        <f>IF(F34="早","08-18",IF(F34="中","12-22",IF(F34="晚","22-08",IF(F34="X","輪休",IF(F34="公","公假",IF(OR(F34="病",F34="事"),"病(事)假",IF(OR(F34="婚",F34="產"),"婚(產)假",IF(F34="補","補休",IF(F34="休","休假",IF(F34="喪","喪假",IF(AND(F34="/",OR($A34=日期輸入!$B$23,$A34=日期輸入!$C$23,$A34=日期輸入!$D$23,$A34=日期輸入!$E$23,$A34=日期輸入!$F$23)),"08-18水電科",IF(F34="大日","大隊值日(日)",IF(F34="大夜","大隊值日(夜)",IF(F34="值1","值1(早)",IF(F34="值1丙","值1(早) 丙案",IF(F34="值2","值2(中)",IF(F34="值2乙","值2(中) 乙案",IF(F34="夜值","夜值(晚)",IF(F34="甲夜","夜值(晚) 甲案",IF(F34="備","08-18",IF(OR(F34="支援秘書室",F34="支援出納室",F34="支援警務科",F34="支援事務股"),"支援總(大)隊",IF(F34="支援檢疫所","支援(其他)",IF(  F34="/","空班",  IF(  F34="丙",  "※ 丙案",  IF(  F34="丙常訓",  "※ 丙案 常訓",F34  )))))))))))))))))))))))))</f>
        <v/>
      </c>
      <c r="G74" s="271" t="str">
        <f>IF(G34="早","08-18",IF(G34="中","12-22",IF(G34="晚","22-08",IF(G34="X","輪休",IF(G34="公","公假",IF(OR(G34="病",G34="事"),"病(事)假",IF(OR(G34="婚",G34="產"),"婚(產)假",IF(G34="補","補休",IF(G34="休","休假",IF(G34="喪","喪假",IF(AND(G34="/",OR($A34=日期輸入!$B$23,$A34=日期輸入!$C$23,$A34=日期輸入!$D$23,$A34=日期輸入!$E$23,$A34=日期輸入!$F$23)),"08-18水電科",IF(G34="大日","大隊值日(日)",IF(G34="大夜","大隊值日(夜)",IF(G34="值1","值1(早)",IF(G34="值1丙","值1(早) 丙案",IF(G34="值2","值2(中)",IF(G34="值2乙","值2(中) 乙案",IF(G34="夜值","夜值(晚)",IF(G34="甲夜","夜值(晚) 甲案",IF(G34="備","08-18",IF(OR(G34="支援秘書室",G34="支援出納室",G34="支援警務科",G34="支援事務股"),"支援總(大)隊",IF(G34="支援檢疫所","支援(其他)",IF(  G34="/","空班",  IF(  G34="丙",  "※ 丙案",  IF(  G34="丙常訓",  "※ 丙案 常訓",G34  )))))))))))))))))))))))))</f>
        <v/>
      </c>
      <c r="H74" s="271" t="str">
        <f>IF(H34="早","08-18",IF(H34="中","12-22",IF(H34="晚","22-08",IF(H34="X","輪休",IF(H34="公","公假",IF(OR(H34="病",H34="事"),"病(事)假",IF(OR(H34="婚",H34="產"),"婚(產)假",IF(H34="補","補休",IF(H34="休","休假",IF(H34="喪","喪假",IF(AND(H34="/",OR($A34=日期輸入!$B$23,$A34=日期輸入!$C$23,$A34=日期輸入!$D$23,$A34=日期輸入!$E$23,$A34=日期輸入!$F$23)),"08-18水電科",IF(H34="大日","大隊值日(日)",IF(H34="大夜","大隊值日(夜)",IF(H34="值1","值1(早)",IF(H34="值1丙","值1(早) 丙案",IF(H34="值2","值2(中)",IF(H34="值2乙","值2(中) 乙案",IF(H34="夜值","夜值(晚)",IF(H34="甲夜","夜值(晚) 甲案",IF(H34="備","08-18",IF(OR(H34="支援秘書室",H34="支援出納室",H34="支援警務科",H34="支援事務股"),"支援總(大)隊",IF(H34="支援檢疫所","支援(其他)",IF(  H34="/","空班",  IF(  H34="丙",  "※ 丙案",  IF(  H34="丙常訓",  "※ 丙案 常訓",H34  )))))))))))))))))))))))))</f>
        <v/>
      </c>
      <c r="I74" s="271" t="str">
        <f>IF(I34="早","08-18",IF(I34="中","12-22",IF(I34="晚","22-08",IF(I34="X","輪休",IF(I34="公","公假",IF(OR(I34="病",I34="事"),"病(事)假",IF(OR(I34="婚",I34="產"),"婚(產)假",IF(I34="補","補休",IF(I34="休","休假",IF(I34="喪","喪假",IF(AND(I34="/",OR($A34=日期輸入!$B$23,$A34=日期輸入!$C$23,$A34=日期輸入!$D$23,$A34=日期輸入!$E$23,$A34=日期輸入!$F$23)),"08-18水電科",IF(I34="大日","大隊值日(日)",IF(I34="大夜","大隊值日(夜)",IF(I34="值1","值1(早)",IF(I34="值1丙","值1(早) 丙案",IF(I34="值2","值2(中)",IF(I34="值2乙","值2(中) 乙案",IF(I34="夜值","夜值(晚)",IF(I34="甲夜","夜值(晚) 甲案",IF(I34="備","08-18",IF(OR(I34="支援秘書室",I34="支援出納室",I34="支援警務科",I34="支援事務股"),"支援總(大)隊",IF(I34="支援檢疫所","支援(其他)",IF(  I34="/","空班",  IF(  I34="丙",  "※ 丙案",  IF(  I34="丙常訓",  "※ 丙案 常訓",I34  )))))))))))))))))))))))))</f>
        <v/>
      </c>
      <c r="J74" s="271" t="str">
        <f>IF(J34="早","08-18",IF(J34="中","12-22",IF(J34="晚","22-08",IF(J34="X","輪休",IF(J34="公","公假",IF(OR(J34="病",J34="事"),"病(事)假",IF(OR(J34="婚",J34="產"),"婚(產)假",IF(J34="補","補休",IF(J34="休","休假",IF(J34="喪","喪假",IF(AND(J34="/",OR($A34=日期輸入!$B$23,$A34=日期輸入!$C$23,$A34=日期輸入!$D$23,$A34=日期輸入!$E$23,$A34=日期輸入!$F$23)),"08-18水電科",IF(J34="大日","大隊值日(日)",IF(J34="大夜","大隊值日(夜)",IF(J34="值1","值1(早)",IF(J34="值1丙","值1(早) 丙案",IF(J34="值2","值2(中)",IF(J34="值2乙","值2(中) 乙案",IF(J34="夜值","夜值(晚)",IF(J34="甲夜","夜值(晚) 甲案",IF(J34="備","08-18",IF(OR(J34="支援秘書室",J34="支援出納室",J34="支援警務科",J34="支援事務股"),"支援總(大)隊",IF(J34="支援檢疫所","支援(其他)",IF(  J34="/","空班",  IF(  J34="丙",  "※ 丙案",  IF(  J34="丙常訓",  "※ 丙案 常訓",J34  )))))))))))))))))))))))))</f>
        <v/>
      </c>
      <c r="K74" s="271" t="str">
        <f>IF(K34="早","08-18",IF(K34="中","12-22",IF(K34="晚","22-08",IF(K34="X","輪休",IF(K34="公","公假",IF(OR(K34="病",K34="事"),"病(事)假",IF(OR(K34="婚",K34="產"),"婚(產)假",IF(K34="補","補休",IF(K34="休","休假",IF(K34="喪","喪假",IF(AND(K34="/",OR($A34=日期輸入!$B$23,$A34=日期輸入!$C$23,$A34=日期輸入!$D$23,$A34=日期輸入!$E$23,$A34=日期輸入!$F$23)),"08-18水電科",IF(K34="大日","大隊值日(日)",IF(K34="大夜","大隊值日(夜)",IF(K34="值1","值1(早)",IF(K34="值1丙","值1(早) 丙案",IF(K34="值2","值2(中)",IF(K34="值2乙","值2(中) 乙案",IF(K34="夜值","夜值(晚)",IF(K34="甲夜","夜值(晚) 甲案",IF(K34="備","08-18",IF(OR(K34="支援秘書室",K34="支援出納室",K34="支援警務科",K34="支援事務股"),"支援總(大)隊",IF(K34="支援檢疫所","支援(其他)",IF(  K34="/","空班",  IF(  K34="丙",  "※ 丙案",  IF(  K34="丙常訓",  "※ 丙案 常訓",K34  )))))))))))))))))))))))))</f>
        <v/>
      </c>
      <c r="L74" s="271" t="str">
        <f>IF(L34="早","08-18",IF(L34="中","12-22",IF(L34="晚","22-08",IF(L34="X","輪休",IF(L34="公","公假",IF(OR(L34="病",L34="事"),"病(事)假",IF(OR(L34="婚",L34="產"),"婚(產)假",IF(L34="補","補休",IF(L34="休","休假",IF(L34="喪","喪假",IF(AND(L34="/",OR($A34=日期輸入!$B$23,$A34=日期輸入!$C$23,$A34=日期輸入!$D$23,$A34=日期輸入!$E$23,$A34=日期輸入!$F$23)),"08-18水電科",IF(L34="大日","大隊值日(日)",IF(L34="大夜","大隊值日(夜)",IF(L34="值1","值1(早)",IF(L34="值1丙","值1(早) 丙案",IF(L34="值2","值2(中)",IF(L34="值2乙","值2(中) 乙案",IF(L34="夜值","夜值(晚)",IF(L34="甲夜","夜值(晚) 甲案",IF(L34="備","08-18",IF(OR(L34="支援秘書室",L34="支援出納室",L34="支援警務科",L34="支援事務股"),"支援總(大)隊",IF(L34="支援檢疫所","支援(其他)",IF(  L34="/","空班",  IF(  L34="丙",  "※ 丙案",  IF(  L34="丙常訓",  "※ 丙案 常訓",L34  )))))))))))))))))))))))))</f>
        <v/>
      </c>
      <c r="M74" s="271" t="str">
        <f>IF(M34="早","08-18",IF(M34="中","12-22",IF(M34="晚","22-08",IF(M34="X","輪休",IF(M34="公","公假",IF(OR(M34="病",M34="事"),"病(事)假",IF(OR(M34="婚",M34="產"),"婚(產)假",IF(M34="補","補休",IF(M34="休","休假",IF(M34="喪","喪假",IF(AND(M34="/",OR($A34=日期輸入!$B$23,$A34=日期輸入!$C$23,$A34=日期輸入!$D$23,$A34=日期輸入!$E$23,$A34=日期輸入!$F$23)),"08-18水電科",IF(M34="大日","大隊值日(日)",IF(M34="大夜","大隊值日(夜)",IF(M34="值1","值1(早)",IF(M34="值1丙","值1(早) 丙案",IF(M34="值2","值2(中)",IF(M34="值2乙","值2(中) 乙案",IF(M34="夜值","夜值(晚)",IF(M34="甲夜","夜值(晚) 甲案",IF(M34="備","08-18",IF(OR(M34="支援秘書室",M34="支援出納室",M34="支援警務科",M34="支援事務股"),"支援總(大)隊",IF(M34="支援檢疫所","支援(其他)",IF(  M34="/","空班",  IF(  M34="丙",  "※ 丙案",  IF(  M34="丙常訓",  "※ 丙案 常訓",M34  )))))))))))))))))))))))))</f>
        <v/>
      </c>
      <c r="N74" s="271" t="str">
        <f>IF(N34="早","08-18",IF(N34="中","12-22",IF(N34="晚","22-08",IF(N34="X","輪休",IF(N34="公","公假",IF(OR(N34="病",N34="事"),"病(事)假",IF(OR(N34="婚",N34="產"),"婚(產)假",IF(N34="補","補休",IF(N34="休","休假",IF(N34="喪","喪假",IF(AND(N34="/",OR($A34=日期輸入!$B$23,$A34=日期輸入!$C$23,$A34=日期輸入!$D$23,$A34=日期輸入!$E$23,$A34=日期輸入!$F$23)),"08-18水電科",IF(N34="大日","大隊值日(日)",IF(N34="大夜","大隊值日(夜)",IF(N34="值1","值1(早)",IF(N34="值1丙","值1(早) 丙案",IF(N34="值2","值2(中)",IF(N34="值2乙","值2(中) 乙案",IF(N34="夜值","夜值(晚)",IF(N34="甲夜","夜值(晚) 甲案",IF(N34="備","08-18",IF(OR(N34="支援秘書室",N34="支援出納室",N34="支援警務科",N34="支援事務股"),"支援總(大)隊",IF(N34="支援檢疫所","支援(其他)",IF(  N34="/","空班",  IF(  N34="丙",  "※ 丙案",  IF(  N34="丙常訓",  "※ 丙案 常訓",N34  )))))))))))))))))))))))))</f>
        <v/>
      </c>
      <c r="O74" s="271" t="str">
        <f>IF(O34="早","08-18",IF(O34="中","12-22",IF(O34="晚","22-08",IF(O34="X","輪休",IF(O34="公","公假",IF(OR(O34="病",O34="事"),"病(事)假",IF(OR(O34="婚",O34="產"),"婚(產)假",IF(O34="補","補休",IF(O34="休","休假",IF(O34="喪","喪假",IF(AND(O34="/",OR($A34=日期輸入!$B$23,$A34=日期輸入!$C$23,$A34=日期輸入!$D$23,$A34=日期輸入!$E$23,$A34=日期輸入!$F$23)),"08-18水電科",IF(O34="大日","大隊值日(日)",IF(O34="大夜","大隊值日(夜)",IF(O34="值1","值1(早)",IF(O34="值1丙","值1(早) 丙案",IF(O34="值2","值2(中)",IF(O34="值2乙","值2(中) 乙案",IF(O34="夜值","夜值(晚)",IF(O34="甲夜","夜值(晚) 甲案",IF(O34="備","08-18",IF(OR(O34="支援秘書室",O34="支援出納室",O34="支援警務科",O34="支援事務股"),"支援總(大)隊",IF(O34="支援檢疫所","支援(其他)",IF(  O34="/","空班",  IF(  O34="丙",  "※ 丙案",  IF(  O34="丙常訓",  "※ 丙案 常訓",O34  )))))))))))))))))))))))))</f>
        <v/>
      </c>
      <c r="P74" s="271" t="str">
        <f>IF(P34="早","08-18",IF(P34="中","12-22",IF(P34="晚","22-08",IF(P34="X","輪休",IF(P34="公","公假",IF(OR(P34="病",P34="事"),"病(事)假",IF(OR(P34="婚",P34="產"),"婚(產)假",IF(P34="補","補休",IF(P34="休","休假",IF(P34="喪","喪假",IF(AND(P34="/",OR($A34=日期輸入!$B$23,$A34=日期輸入!$C$23,$A34=日期輸入!$D$23,$A34=日期輸入!$E$23,$A34=日期輸入!$F$23)),"08-18水電科",IF(P34="大日","大隊值日(日)",IF(P34="大夜","大隊值日(夜)",IF(P34="值1","值1(早)",IF(P34="值1丙","值1(早) 丙案",IF(P34="值2","值2(中)",IF(P34="值2乙","值2(中) 乙案",IF(P34="夜值","夜值(晚)",IF(P34="甲夜","夜值(晚) 甲案",IF(P34="備","08-18",IF(OR(P34="支援秘書室",P34="支援出納室",P34="支援警務科",P34="支援事務股"),"支援總(大)隊",IF(P34="支援檢疫所","支援(其他)",IF(  P34="/","空班",  IF(  P34="丙",  "※ 丙案",  IF(  P34="丙常訓",  "※ 丙案 常訓",P34  )))))))))))))))))))))))))</f>
        <v/>
      </c>
      <c r="Q74" s="271" t="str">
        <f>IF(Q34="早","08-18",IF(Q34="中","12-22",IF(Q34="晚","22-08",IF(Q34="X","輪休",IF(Q34="公","公假",IF(OR(Q34="病",Q34="事"),"病(事)假",IF(OR(Q34="婚",Q34="產"),"婚(產)假",IF(Q34="補","補休",IF(Q34="休","休假",IF(Q34="喪","喪假",IF(AND(Q34="/",OR($A34=日期輸入!$B$23,$A34=日期輸入!$C$23,$A34=日期輸入!$D$23,$A34=日期輸入!$E$23,$A34=日期輸入!$F$23)),"08-18水電科",IF(Q34="大日","大隊值日(日)",IF(Q34="大夜","大隊值日(夜)",IF(Q34="值1","值1(早)",IF(Q34="值1丙","值1(早) 丙案",IF(Q34="值2","值2(中)",IF(Q34="值2乙","值2(中) 乙案",IF(Q34="夜值","夜值(晚)",IF(Q34="甲夜","夜值(晚) 甲案",IF(Q34="備","08-18",IF(OR(Q34="支援秘書室",Q34="支援出納室",Q34="支援警務科",Q34="支援事務股"),"支援總(大)隊",IF(Q34="支援檢疫所","支援(其他)",IF(  Q34="/","空班",  IF(  Q34="丙",  "※ 丙案",  IF(  Q34="丙常訓",  "※ 丙案 常訓",Q34  )))))))))))))))))))))))))</f>
        <v/>
      </c>
      <c r="R74" s="271" t="str">
        <f>IF(R34="早","08-18",IF(R34="中","12-22",IF(R34="晚","22-08",IF(R34="X","輪休",IF(R34="公","公假",IF(OR(R34="病",R34="事"),"病(事)假",IF(OR(R34="婚",R34="產"),"婚(產)假",IF(R34="補","補休",IF(R34="休","休假",IF(R34="喪","喪假",IF(AND(R34="/",OR($A34=日期輸入!$B$23,$A34=日期輸入!$C$23,$A34=日期輸入!$D$23,$A34=日期輸入!$E$23,$A34=日期輸入!$F$23)),"08-18水電科",IF(R34="大日","大隊值日(日)",IF(R34="大夜","大隊值日(夜)",IF(R34="值1","值1(早)",IF(R34="值1丙","值1(早) 丙案",IF(R34="值2","值2(中)",IF(R34="值2乙","值2(中) 乙案",IF(R34="夜值","夜值(晚)",IF(R34="甲夜","夜值(晚) 甲案",IF(R34="備","08-18",IF(OR(R34="支援秘書室",R34="支援出納室",R34="支援警務科",R34="支援事務股"),"支援總(大)隊",IF(R34="支援檢疫所","支援(其他)",IF(  R34="/","空班",  IF(  R34="丙",  "※ 丙案",  IF(  R34="丙常訓",  "※ 丙案 常訓",R34  )))))))))))))))))))))))))</f>
        <v/>
      </c>
      <c r="S74" s="271" t="str">
        <f>IF(S34="早","08-18",IF(S34="中","12-22",IF(S34="晚","22-08",IF(S34="X","輪休",IF(S34="公","公假",IF(OR(S34="病",S34="事"),"病(事)假",IF(OR(S34="婚",S34="產"),"婚(產)假",IF(S34="補","補休",IF(S34="休","休假",IF(S34="喪","喪假",IF(AND(S34="/",OR($A34=日期輸入!$B$23,$A34=日期輸入!$C$23,$A34=日期輸入!$D$23,$A34=日期輸入!$E$23,$A34=日期輸入!$F$23)),"08-18水電科",IF(S34="大日","大隊值日(日)",IF(S34="大夜","大隊值日(夜)",IF(S34="值1","值1(早)",IF(S34="值1丙","值1(早) 丙案",IF(S34="值2","值2(中)",IF(S34="值2乙","值2(中) 乙案",IF(S34="夜值","夜值(晚)",IF(S34="甲夜","夜值(晚) 甲案",IF(S34="備","08-18",IF(OR(S34="支援秘書室",S34="支援出納室",S34="支援警務科",S34="支援事務股"),"支援總(大)隊",IF(S34="支援檢疫所","支援(其他)",IF(  S34="/","空班",  IF(  S34="丙",  "※ 丙案",  IF(  S34="丙常訓",  "※ 丙案 常訓",S34  )))))))))))))))))))))))))</f>
        <v/>
      </c>
      <c r="T74" s="271" t="str">
        <f>IF(T34="早","08-18",IF(T34="中","12-22",IF(T34="晚","22-08",IF(T34="X","輪休",IF(T34="公","公假",IF(OR(T34="病",T34="事"),"病(事)假",IF(OR(T34="婚",T34="產"),"婚(產)假",IF(T34="補","補休",IF(T34="休","休假",IF(T34="喪","喪假",IF(AND(T34="/",OR($A34=日期輸入!$B$23,$A34=日期輸入!$C$23,$A34=日期輸入!$D$23,$A34=日期輸入!$E$23,$A34=日期輸入!$F$23)),"08-18水電科",IF(T34="大日","大隊值日(日)",IF(T34="大夜","大隊值日(夜)",IF(T34="值1","值1(早)",IF(T34="值1丙","值1(早) 丙案",IF(T34="值2","值2(中)",IF(T34="值2乙","值2(中) 乙案",IF(T34="夜值","夜值(晚)",IF(T34="甲夜","夜值(晚) 甲案",IF(T34="備","08-18",IF(OR(T34="支援秘書室",T34="支援出納室",T34="支援警務科",T34="支援事務股"),"支援總(大)隊",IF(T34="支援檢疫所","支援(其他)",IF(  T34="/","空班",  IF(  T34="丙",  "※ 丙案",  IF(  T34="丙常訓",  "※ 丙案 常訓",T34  )))))))))))))))))))))))))</f>
        <v/>
      </c>
      <c r="U74" s="271" t="str">
        <f>IF(U34="早","08-18",IF(U34="中","12-22",IF(U34="晚","22-08",IF(U34="X","輪休",IF(U34="公","公假",IF(OR(U34="病",U34="事"),"病(事)假",IF(OR(U34="婚",U34="產"),"婚(產)假",IF(U34="補","補休",IF(U34="休","休假",IF(U34="喪","喪假",IF(AND(U34="/",OR($A34=日期輸入!$B$23,$A34=日期輸入!$C$23,$A34=日期輸入!$D$23,$A34=日期輸入!$E$23,$A34=日期輸入!$F$23)),"08-18水電科",IF(U34="大日","大隊值日(日)",IF(U34="大夜","大隊值日(夜)",IF(U34="值1","值1(早)",IF(U34="值1丙","值1(早) 丙案",IF(U34="值2","值2(中)",IF(U34="值2乙","值2(中) 乙案",IF(U34="夜值","夜值(晚)",IF(U34="甲夜","夜值(晚) 甲案",IF(U34="備","08-18",IF(OR(U34="支援秘書室",U34="支援出納室",U34="支援警務科",U34="支援事務股"),"支援總(大)隊",IF(U34="支援檢疫所","支援(其他)",IF(  U34="/","空班",  IF(  U34="丙",  "※ 丙案",  IF(  U34="丙常訓",  "※ 丙案 常訓",U34  )))))))))))))))))))))))))</f>
        <v/>
      </c>
      <c r="V74" s="271" t="str">
        <f>IF(V34="早","08-18",IF(V34="中","12-22",IF(V34="晚","22-08",IF(V34="X","輪休",IF(V34="公","公假",IF(OR(V34="病",V34="事"),"病(事)假",IF(OR(V34="婚",V34="產"),"婚(產)假",IF(V34="補","補休",IF(V34="休","休假",IF(V34="喪","喪假",IF(AND(V34="/",OR($A34=日期輸入!$B$23,$A34=日期輸入!$C$23,$A34=日期輸入!$D$23,$A34=日期輸入!$E$23,$A34=日期輸入!$F$23)),"08-18水電科",IF(V34="大日","大隊值日(日)",IF(V34="大夜","大隊值日(夜)",IF(V34="值1","值1(早)",IF(V34="值1丙","值1(早) 丙案",IF(V34="值2","值2(中)",IF(V34="值2乙","值2(中) 乙案",IF(V34="夜值","夜值(晚)",IF(V34="甲夜","夜值(晚) 甲案",IF(V34="備","08-18",IF(OR(V34="支援秘書室",V34="支援出納室",V34="支援警務科",V34="支援事務股"),"支援總(大)隊",IF(V34="支援檢疫所","支援(其他)",IF(  V34="/","空班",  IF(  V34="丙",  "※ 丙案",  IF(  V34="丙常訓",  "※ 丙案 常訓",V34  )))))))))))))))))))))))))</f>
        <v/>
      </c>
      <c r="W74" s="271" t="str">
        <f>IF(W34="早","08-18",IF(W34="中","12-22",IF(W34="晚","22-08",IF(W34="X","輪休",IF(W34="公","公假",IF(OR(W34="病",W34="事"),"病(事)假",IF(OR(W34="婚",W34="產"),"婚(產)假",IF(W34="補","補休",IF(W34="休","休假",IF(W34="喪","喪假",IF(AND(W34="/",OR($A34=日期輸入!$B$23,$A34=日期輸入!$C$23,$A34=日期輸入!$D$23,$A34=日期輸入!$E$23,$A34=日期輸入!$F$23)),"08-18水電科",IF(W34="大日","大隊值日(日)",IF(W34="大夜","大隊值日(夜)",IF(W34="值1","值1(早)",IF(W34="值1丙","值1(早) 丙案",IF(W34="值2","值2(中)",IF(W34="值2乙","值2(中) 乙案",IF(W34="夜值","夜值(晚)",IF(W34="甲夜","夜值(晚) 甲案",IF(W34="備","08-18",IF(OR(W34="支援秘書室",W34="支援出納室",W34="支援警務科",W34="支援事務股"),"支援總(大)隊",IF(W34="支援檢疫所","支援(其他)",IF(  W34="/","空班",  IF(  W34="丙",  "※ 丙案",  IF(  W34="丙常訓",  "※ 丙案 常訓",W34  )))))))))))))))))))))))))</f>
        <v/>
      </c>
      <c r="X74" s="271" t="str">
        <f>IF(X34="早","08-18",IF(X34="中","12-22",IF(X34="晚","22-08",IF(X34="X","輪休",IF(X34="公","公假",IF(OR(X34="病",X34="事"),"病(事)假",IF(OR(X34="婚",X34="產"),"婚(產)假",IF(X34="補","補休",IF(X34="休","休假",IF(X34="喪","喪假",IF(AND(X34="/",OR($A34=日期輸入!$B$23,$A34=日期輸入!$C$23,$A34=日期輸入!$D$23,$A34=日期輸入!$E$23,$A34=日期輸入!$F$23)),"08-18水電科",IF(X34="大日","大隊值日(日)",IF(X34="大夜","大隊值日(夜)",IF(X34="值1","值1(早)",IF(X34="值1丙","值1(早) 丙案",IF(X34="值2","值2(中)",IF(X34="值2乙","值2(中) 乙案",IF(X34="夜值","夜值(晚)",IF(X34="甲夜","夜值(晚) 甲案",IF(X34="備","08-18",IF(OR(X34="支援秘書室",X34="支援出納室",X34="支援警務科",X34="支援事務股"),"支援總(大)隊",IF(X34="支援檢疫所","支援(其他)",IF(  X34="/","空班",  IF(  X34="丙",  "※ 丙案",  IF(  X34="丙常訓",  "※ 丙案 常訓",X34  )))))))))))))))))))))))))</f>
        <v/>
      </c>
      <c r="Y74" s="271" t="str">
        <f>IF(Y34="早","08-18",IF(Y34="中","12-22",IF(Y34="晚","22-08",IF(Y34="X","輪休",IF(Y34="公","公假",IF(OR(Y34="病",Y34="事"),"病(事)假",IF(OR(Y34="婚",Y34="產"),"婚(產)假",IF(Y34="補","補休",IF(Y34="休","休假",IF(Y34="喪","喪假",IF(AND(Y34="/",OR($A34=日期輸入!$B$23,$A34=日期輸入!$C$23,$A34=日期輸入!$D$23,$A34=日期輸入!$E$23,$A34=日期輸入!$F$23)),"08-18水電科",IF(Y34="大日","大隊值日(日)",IF(Y34="大夜","大隊值日(夜)",IF(Y34="值1","值1(早)",IF(Y34="值1丙","值1(早) 丙案",IF(Y34="值2","值2(中)",IF(Y34="值2乙","值2(中) 乙案",IF(Y34="夜值","夜值(晚)",IF(Y34="甲夜","夜值(晚) 甲案",IF(Y34="備","08-18",IF(OR(Y34="支援秘書室",Y34="支援出納室",Y34="支援警務科",Y34="支援事務股"),"支援總(大)隊",IF(Y34="支援檢疫所","支援(其他)",IF(  Y34="/","空班",  IF(  Y34="丙",  "※ 丙案",  IF(  Y34="丙常訓",  "※ 丙案 常訓",Y34  )))))))))))))))))))))))))</f>
        <v/>
      </c>
      <c r="Z74" s="271" t="str">
        <f>IF(Z34="早","08-18",IF(Z34="中","12-22",IF(Z34="晚","22-08",IF(Z34="X","輪休",IF(Z34="公","公假",IF(OR(Z34="病",Z34="事"),"病(事)假",IF(OR(Z34="婚",Z34="產"),"婚(產)假",IF(Z34="補","補休",IF(Z34="休","休假",IF(Z34="喪","喪假",IF(AND(Z34="/",OR($A34=日期輸入!$B$23,$A34=日期輸入!$C$23,$A34=日期輸入!$D$23,$A34=日期輸入!$E$23,$A34=日期輸入!$F$23)),"08-18水電科",IF(Z34="大日","大隊值日(日)",IF(Z34="大夜","大隊值日(夜)",IF(Z34="值1","值1(早)",IF(Z34="值1丙","值1(早) 丙案",IF(Z34="值2","值2(中)",IF(Z34="值2乙","值2(中) 乙案",IF(Z34="夜值","夜值(晚)",IF(Z34="甲夜","夜值(晚) 甲案",IF(Z34="備","08-18",IF(OR(Z34="支援秘書室",Z34="支援出納室",Z34="支援警務科",Z34="支援事務股"),"支援總(大)隊",IF(Z34="支援檢疫所","支援(其他)",IF(  Z34="/","空班",  IF(  Z34="丙",  "※ 丙案",  IF(  Z34="丙常訓",  "※ 丙案 常訓",Z34  )))))))))))))))))))))))))</f>
        <v/>
      </c>
      <c r="AA74" s="271" t="str">
        <f>IF(AA34="早","08-18",IF(AA34="中","12-22",IF(AA34="晚","22-08",IF(AA34="X","輪休",IF(AA34="公","公假",IF(OR(AA34="病",AA34="事"),"病(事)假",IF(OR(AA34="婚",AA34="產"),"婚(產)假",IF(AA34="補","補休",IF(AA34="休","休假",IF(AA34="喪","喪假",IF(AND(AA34="/",OR($A34=日期輸入!$B$23,$A34=日期輸入!$C$23,$A34=日期輸入!$D$23,$A34=日期輸入!$E$23,$A34=日期輸入!$F$23)),"08-18水電科",IF(AA34="大日","大隊值日(日)",IF(AA34="大夜","大隊值日(夜)",IF(AA34="值1","值1(早)",IF(AA34="值1丙","值1(早) 丙案",IF(AA34="值2","值2(中)",IF(AA34="值2乙","值2(中) 乙案",IF(AA34="夜值","夜值(晚)",IF(AA34="甲夜","夜值(晚) 甲案",IF(AA34="備","08-18",IF(OR(AA34="支援秘書室",AA34="支援出納室",AA34="支援警務科",AA34="支援事務股"),"支援總(大)隊",IF(AA34="支援檢疫所","支援(其他)",IF(  AA34="/","空班",  IF(  AA34="丙",  "※ 丙案",  IF(  AA34="丙常訓",  "※ 丙案 常訓",AA34  )))))))))))))))))))))))))</f>
        <v/>
      </c>
      <c r="AB74" s="271" t="str">
        <f>IF(AB34="早","08-18",IF(AB34="中","12-22",IF(AB34="晚","22-08",IF(AB34="X","輪休",IF(AB34="公","公假",IF(OR(AB34="病",AB34="事"),"病(事)假",IF(OR(AB34="婚",AB34="產"),"婚(產)假",IF(AB34="補","補休",IF(AB34="休","休假",IF(AB34="喪","喪假",IF(AND(AB34="/",OR($A34=日期輸入!$B$23,$A34=日期輸入!$C$23,$A34=日期輸入!$D$23,$A34=日期輸入!$E$23,$A34=日期輸入!$F$23)),"08-18水電科",IF(AB34="大日","大隊值日(日)",IF(AB34="大夜","大隊值日(夜)",IF(AB34="值1","值1(早)",IF(AB34="值1丙","值1(早) 丙案",IF(AB34="值2","值2(中)",IF(AB34="值2乙","值2(中) 乙案",IF(AB34="夜值","夜值(晚)",IF(AB34="甲夜","夜值(晚) 甲案",IF(AB34="備","08-18",IF(OR(AB34="支援秘書室",AB34="支援出納室",AB34="支援警務科",AB34="支援事務股"),"支援總(大)隊",IF(AB34="支援檢疫所","支援(其他)",IF(  AB34="/","空班",  IF(  AB34="丙",  "※ 丙案",  IF(  AB34="丙常訓",  "※ 丙案 常訓",AB34  )))))))))))))))))))))))))</f>
        <v/>
      </c>
      <c r="AC74" s="271" t="str">
        <f>IF(AC34="早","08-18",IF(AC34="中","12-22",IF(AC34="晚","22-08",IF(AC34="X","輪休",IF(AC34="公","公假",IF(OR(AC34="病",AC34="事"),"病(事)假",IF(OR(AC34="婚",AC34="產"),"婚(產)假",IF(AC34="補","補休",IF(AC34="休","休假",IF(AC34="喪","喪假",IF(AND(AC34="/",OR($A34=日期輸入!$B$23,$A34=日期輸入!$C$23,$A34=日期輸入!$D$23,$A34=日期輸入!$E$23,$A34=日期輸入!$F$23)),"08-18水電科",IF(AC34="大日","大隊值日(日)",IF(AC34="大夜","大隊值日(夜)",IF(AC34="值1","值1(早)",IF(AC34="值1丙","值1(早) 丙案",IF(AC34="值2","值2(中)",IF(AC34="值2乙","值2(中) 乙案",IF(AC34="夜值","夜值(晚)",IF(AC34="甲夜","夜值(晚) 甲案",IF(AC34="備","08-18",IF(OR(AC34="支援秘書室",AC34="支援出納室",AC34="支援警務科",AC34="支援事務股"),"支援總(大)隊",IF(AC34="支援檢疫所","支援(其他)",IF(  AC34="/","空班",  IF(  AC34="丙",  "※ 丙案",  IF(  AC34="丙常訓",  "※ 丙案 常訓",AC34  )))))))))))))))))))))))))</f>
        <v/>
      </c>
      <c r="AD74" s="271" t="str">
        <f>IF(AD34="早","08-18",IF(AD34="中","12-22",IF(AD34="晚","22-08",IF(AD34="X","輪休",IF(AD34="公","公假",IF(OR(AD34="病",AD34="事"),"病(事)假",IF(OR(AD34="婚",AD34="產"),"婚(產)假",IF(AD34="補","補休",IF(AD34="休","休假",IF(AD34="喪","喪假",IF(AND(AD34="/",OR($A34=日期輸入!$B$23,$A34=日期輸入!$C$23,$A34=日期輸入!$D$23,$A34=日期輸入!$E$23,$A34=日期輸入!$F$23)),"08-18水電科",IF(AD34="大日","大隊值日(日)",IF(AD34="大夜","大隊值日(夜)",IF(AD34="值1","值1(早)",IF(AD34="值1丙","值1(早) 丙案",IF(AD34="值2","值2(中)",IF(AD34="值2乙","值2(中) 乙案",IF(AD34="夜值","夜值(晚)",IF(AD34="甲夜","夜值(晚) 甲案",IF(AD34="備","08-18",IF(OR(AD34="支援秘書室",AD34="支援出納室",AD34="支援警務科",AD34="支援事務股"),"支援總(大)隊",IF(AD34="支援檢疫所","支援(其他)",IF(  AD34="/","空班",  IF(  AD34="丙",  "※ 丙案",  IF(  AD34="丙常訓",  "※ 丙案 常訓",AD34  )))))))))))))))))))))))))</f>
        <v/>
      </c>
      <c r="AE74" s="271" t="str">
        <f>IF(AE34="早","08-18",IF(AE34="中","12-22",IF(AE34="晚","22-08",IF(AE34="X","輪休",IF(AE34="公","公假",IF(OR(AE34="病",AE34="事"),"病(事)假",IF(OR(AE34="婚",AE34="產"),"婚(產)假",IF(AE34="補","補休",IF(AE34="休","休假",IF(AE34="喪","喪假",IF(AND(AE34="/",OR($A34=日期輸入!$B$23,$A34=日期輸入!$C$23,$A34=日期輸入!$D$23,$A34=日期輸入!$E$23,$A34=日期輸入!$F$23)),"08-18水電科",IF(AE34="大日","大隊值日(日)",IF(AE34="大夜","大隊值日(夜)",IF(AE34="值1","值1(早)",IF(AE34="值1丙","值1(早) 丙案",IF(AE34="值2","值2(中)",IF(AE34="值2乙","值2(中) 乙案",IF(AE34="夜值","夜值(晚)",IF(AE34="甲夜","夜值(晚) 甲案",IF(AE34="備","08-18",IF(OR(AE34="支援秘書室",AE34="支援出納室",AE34="支援警務科",AE34="支援事務股"),"支援總(大)隊",IF(AE34="支援檢疫所","支援(其他)",IF(  AE34="/","空班",  IF(  AE34="丙",  "※ 丙案",  IF(  AE34="丙常訓",  "※ 丙案 常訓",AE34  )))))))))))))))))))))))))</f>
        <v/>
      </c>
      <c r="AF74" s="271" t="str">
        <f>IF(AF34="早","08-18",IF(AF34="中","12-22",IF(AF34="晚","22-08",IF(AF34="X","輪休",IF(AF34="公","公假",IF(OR(AF34="病",AF34="事"),"病(事)假",IF(OR(AF34="婚",AF34="產"),"婚(產)假",IF(AF34="補","補休",IF(AF34="休","休假",IF(AF34="喪","喪假",IF(AND(AF34="/",OR($A34=日期輸入!$B$23,$A34=日期輸入!$C$23,$A34=日期輸入!$D$23,$A34=日期輸入!$E$23,$A34=日期輸入!$F$23)),"08-18水電科",IF(AF34="大日","大隊值日(日)",IF(AF34="大夜","大隊值日(夜)",IF(AF34="值1","值1(早)",IF(AF34="值1丙","值1(早) 丙案",IF(AF34="值2","值2(中)",IF(AF34="值2乙","值2(中) 乙案",IF(AF34="夜值","夜值(晚)",IF(AF34="甲夜","夜值(晚) 甲案",IF(AF34="備","08-18",IF(OR(AF34="支援秘書室",AF34="支援出納室",AF34="支援警務科",AF34="支援事務股"),"支援總(大)隊",IF(AF34="支援檢疫所","支援(其他)",IF(  AF34="/","空班",  IF(  AF34="丙",  "※ 丙案",  IF(  AF34="丙常訓",  "※ 丙案 常訓",AF34  )))))))))))))))))))))))))</f>
        <v/>
      </c>
      <c r="AG74" s="271" t="str">
        <f>IF(AG34="早","08-18",IF(AG34="中","12-22",IF(AG34="晚","22-08",IF(AG34="X","輪休",IF(AG34="公","公假",IF(OR(AG34="病",AG34="事"),"病(事)假",IF(OR(AG34="婚",AG34="產"),"婚(產)假",IF(AG34="補","補休",IF(AG34="休","休假",IF(AG34="喪","喪假",IF(AND(AG34="/",OR($A34=日期輸入!$B$23,$A34=日期輸入!$C$23,$A34=日期輸入!$D$23,$A34=日期輸入!$E$23,$A34=日期輸入!$F$23)),"08-18水電科",IF(AG34="大日","大隊值日(日)",IF(AG34="大夜","大隊值日(夜)",IF(AG34="值1","值1(早)",IF(AG34="值1丙","值1(早) 丙案",IF(AG34="值2","值2(中)",IF(AG34="值2乙","值2(中) 乙案",IF(AG34="夜值","夜值(晚)",IF(AG34="甲夜","夜值(晚) 甲案",IF(AG34="備","08-18",IF(OR(AG34="支援秘書室",AG34="支援出納室",AG34="支援警務科",AG34="支援事務股"),"支援總(大)隊",IF(AG34="支援檢疫所","支援(其他)",IF(  AG34="/","空班",  IF(  AG34="丙",  "※ 丙案",  IF(  AG34="丙常訓",  "※ 丙案 常訓",AG34  )))))))))))))))))))))))))</f>
        <v/>
      </c>
    </row>
    <row r="75" spans="1:33">
      <c r="A75" s="271" t="str">
        <f t="shared" ref="A75:B75" si="34">A35</f>
        <v/>
      </c>
      <c r="B75" s="271" t="str">
        <f t="shared" si="34"/>
        <v/>
      </c>
      <c r="C75" s="271" t="str">
        <f>IF(C35="早","08-18",IF(C35="中","12-22",IF(C35="晚","22-08",IF(C35="X","輪休",IF(C35="公","公假",IF(OR(C35="病",C35="事"),"病(事)假",IF(OR(C35="婚",C35="產"),"婚(產)假",IF(C35="補","補休",IF(C35="休","休假",IF(C35="喪","喪假",IF(AND(C35="/",OR($A35=日期輸入!$B$23,$A35=日期輸入!$C$23,$A35=日期輸入!$D$23,$A35=日期輸入!$E$23,$A35=日期輸入!$F$23)),"08-18水電科",IF(C35="大日","大隊值日(日)",IF(C35="大夜","大隊值日(夜)",IF(C35="值1","值1(早)",IF(C35="值1丙","值1(早) 丙案",IF(C35="值2","值2(中)",IF(C35="值2乙","值2(中) 乙案",IF(C35="夜值","夜值(晚)",IF(C35="甲夜","夜值(晚) 甲案",IF(C35="備","08-18",IF(OR(C35="支援秘書室",C35="支援出納室",C35="支援警務科",C35="支援事務股"),"支援總(大)隊",IF(C35="支援檢疫所","支援(其他)",IF(  C35="/","空班",  IF(  C35="丙",  "※ 丙案",  IF(  C35="丙常訓",  "※ 丙案 常訓",C35  )))))))))))))))))))))))))</f>
        <v/>
      </c>
      <c r="D75" s="271" t="str">
        <f>IF(D35="早","08-18",IF(D35="中","12-22",IF(D35="晚","22-08",IF(D35="X","輪休",IF(D35="公","公假",IF(OR(D35="病",D35="事"),"病(事)假",IF(OR(D35="婚",D35="產"),"婚(產)假",IF(D35="補","補休",IF(D35="休","休假",IF(D35="喪","喪假",IF(AND(D35="/",OR($A35=日期輸入!$B$23,$A35=日期輸入!$C$23,$A35=日期輸入!$D$23,$A35=日期輸入!$E$23,$A35=日期輸入!$F$23)),"08-18水電科",IF(D35="大日","大隊值日(日)",IF(D35="大夜","大隊值日(夜)",IF(D35="值1","值1(早)",IF(D35="值1丙","值1(早) 丙案",IF(D35="值2","值2(中)",IF(D35="值2乙","值2(中) 乙案",IF(D35="夜值","夜值(晚)",IF(D35="甲夜","夜值(晚) 甲案",IF(D35="備","08-18",IF(OR(D35="支援秘書室",D35="支援出納室",D35="支援警務科",D35="支援事務股"),"支援總(大)隊",IF(D35="支援檢疫所","支援(其他)",IF(  D35="/","空班",  IF(  D35="丙",  "※ 丙案",  IF(  D35="丙常訓",  "※ 丙案 常訓",D35  )))))))))))))))))))))))))</f>
        <v/>
      </c>
      <c r="E75" s="271" t="str">
        <f>IF(E35="早","08-18",IF(E35="中","12-22",IF(E35="晚","22-08",IF(E35="X","輪休",IF(E35="公","公假",IF(OR(E35="病",E35="事"),"病(事)假",IF(OR(E35="婚",E35="產"),"婚(產)假",IF(E35="補","補休",IF(E35="休","休假",IF(E35="喪","喪假",IF(AND(E35="/",OR($A35=日期輸入!$B$23,$A35=日期輸入!$C$23,$A35=日期輸入!$D$23,$A35=日期輸入!$E$23,$A35=日期輸入!$F$23)),"08-18水電科",IF(E35="大日","大隊值日(日)",IF(E35="大夜","大隊值日(夜)",IF(E35="值1","值1(早)",IF(E35="值1丙","值1(早) 丙案",IF(E35="值2","值2(中)",IF(E35="值2乙","值2(中) 乙案",IF(E35="夜值","夜值(晚)",IF(E35="甲夜","夜值(晚) 甲案",IF(E35="備","08-18",IF(OR(E35="支援秘書室",E35="支援出納室",E35="支援警務科",E35="支援事務股"),"支援總(大)隊",IF(E35="支援檢疫所","支援(其他)",IF(  E35="/","空班",  IF(  E35="丙",  "※ 丙案",  IF(  E35="丙常訓",  "※ 丙案 常訓",E35  )))))))))))))))))))))))))</f>
        <v/>
      </c>
      <c r="F75" s="271" t="str">
        <f>IF(F35="早","08-18",IF(F35="中","12-22",IF(F35="晚","22-08",IF(F35="X","輪休",IF(F35="公","公假",IF(OR(F35="病",F35="事"),"病(事)假",IF(OR(F35="婚",F35="產"),"婚(產)假",IF(F35="補","補休",IF(F35="休","休假",IF(F35="喪","喪假",IF(AND(F35="/",OR($A35=日期輸入!$B$23,$A35=日期輸入!$C$23,$A35=日期輸入!$D$23,$A35=日期輸入!$E$23,$A35=日期輸入!$F$23)),"08-18水電科",IF(F35="大日","大隊值日(日)",IF(F35="大夜","大隊值日(夜)",IF(F35="值1","值1(早)",IF(F35="值1丙","值1(早) 丙案",IF(F35="值2","值2(中)",IF(F35="值2乙","值2(中) 乙案",IF(F35="夜值","夜值(晚)",IF(F35="甲夜","夜值(晚) 甲案",IF(F35="備","08-18",IF(OR(F35="支援秘書室",F35="支援出納室",F35="支援警務科",F35="支援事務股"),"支援總(大)隊",IF(F35="支援檢疫所","支援(其他)",IF(  F35="/","空班",  IF(  F35="丙",  "※ 丙案",  IF(  F35="丙常訓",  "※ 丙案 常訓",F35  )))))))))))))))))))))))))</f>
        <v/>
      </c>
      <c r="G75" s="271" t="str">
        <f>IF(G35="早","08-18",IF(G35="中","12-22",IF(G35="晚","22-08",IF(G35="X","輪休",IF(G35="公","公假",IF(OR(G35="病",G35="事"),"病(事)假",IF(OR(G35="婚",G35="產"),"婚(產)假",IF(G35="補","補休",IF(G35="休","休假",IF(G35="喪","喪假",IF(AND(G35="/",OR($A35=日期輸入!$B$23,$A35=日期輸入!$C$23,$A35=日期輸入!$D$23,$A35=日期輸入!$E$23,$A35=日期輸入!$F$23)),"08-18水電科",IF(G35="大日","大隊值日(日)",IF(G35="大夜","大隊值日(夜)",IF(G35="值1","值1(早)",IF(G35="值1丙","值1(早) 丙案",IF(G35="值2","值2(中)",IF(G35="值2乙","值2(中) 乙案",IF(G35="夜值","夜值(晚)",IF(G35="甲夜","夜值(晚) 甲案",IF(G35="備","08-18",IF(OR(G35="支援秘書室",G35="支援出納室",G35="支援警務科",G35="支援事務股"),"支援總(大)隊",IF(G35="支援檢疫所","支援(其他)",IF(  G35="/","空班",  IF(  G35="丙",  "※ 丙案",  IF(  G35="丙常訓",  "※ 丙案 常訓",G35  )))))))))))))))))))))))))</f>
        <v/>
      </c>
      <c r="H75" s="271" t="str">
        <f>IF(H35="早","08-18",IF(H35="中","12-22",IF(H35="晚","22-08",IF(H35="X","輪休",IF(H35="公","公假",IF(OR(H35="病",H35="事"),"病(事)假",IF(OR(H35="婚",H35="產"),"婚(產)假",IF(H35="補","補休",IF(H35="休","休假",IF(H35="喪","喪假",IF(AND(H35="/",OR($A35=日期輸入!$B$23,$A35=日期輸入!$C$23,$A35=日期輸入!$D$23,$A35=日期輸入!$E$23,$A35=日期輸入!$F$23)),"08-18水電科",IF(H35="大日","大隊值日(日)",IF(H35="大夜","大隊值日(夜)",IF(H35="值1","值1(早)",IF(H35="值1丙","值1(早) 丙案",IF(H35="值2","值2(中)",IF(H35="值2乙","值2(中) 乙案",IF(H35="夜值","夜值(晚)",IF(H35="甲夜","夜值(晚) 甲案",IF(H35="備","08-18",IF(OR(H35="支援秘書室",H35="支援出納室",H35="支援警務科",H35="支援事務股"),"支援總(大)隊",IF(H35="支援檢疫所","支援(其他)",IF(  H35="/","空班",  IF(  H35="丙",  "※ 丙案",  IF(  H35="丙常訓",  "※ 丙案 常訓",H35  )))))))))))))))))))))))))</f>
        <v/>
      </c>
      <c r="I75" s="271" t="str">
        <f>IF(I35="早","08-18",IF(I35="中","12-22",IF(I35="晚","22-08",IF(I35="X","輪休",IF(I35="公","公假",IF(OR(I35="病",I35="事"),"病(事)假",IF(OR(I35="婚",I35="產"),"婚(產)假",IF(I35="補","補休",IF(I35="休","休假",IF(I35="喪","喪假",IF(AND(I35="/",OR($A35=日期輸入!$B$23,$A35=日期輸入!$C$23,$A35=日期輸入!$D$23,$A35=日期輸入!$E$23,$A35=日期輸入!$F$23)),"08-18水電科",IF(I35="大日","大隊值日(日)",IF(I35="大夜","大隊值日(夜)",IF(I35="值1","值1(早)",IF(I35="值1丙","值1(早) 丙案",IF(I35="值2","值2(中)",IF(I35="值2乙","值2(中) 乙案",IF(I35="夜值","夜值(晚)",IF(I35="甲夜","夜值(晚) 甲案",IF(I35="備","08-18",IF(OR(I35="支援秘書室",I35="支援出納室",I35="支援警務科",I35="支援事務股"),"支援總(大)隊",IF(I35="支援檢疫所","支援(其他)",IF(  I35="/","空班",  IF(  I35="丙",  "※ 丙案",  IF(  I35="丙常訓",  "※ 丙案 常訓",I35  )))))))))))))))))))))))))</f>
        <v/>
      </c>
      <c r="J75" s="271" t="str">
        <f>IF(J35="早","08-18",IF(J35="中","12-22",IF(J35="晚","22-08",IF(J35="X","輪休",IF(J35="公","公假",IF(OR(J35="病",J35="事"),"病(事)假",IF(OR(J35="婚",J35="產"),"婚(產)假",IF(J35="補","補休",IF(J35="休","休假",IF(J35="喪","喪假",IF(AND(J35="/",OR($A35=日期輸入!$B$23,$A35=日期輸入!$C$23,$A35=日期輸入!$D$23,$A35=日期輸入!$E$23,$A35=日期輸入!$F$23)),"08-18水電科",IF(J35="大日","大隊值日(日)",IF(J35="大夜","大隊值日(夜)",IF(J35="值1","值1(早)",IF(J35="值1丙","值1(早) 丙案",IF(J35="值2","值2(中)",IF(J35="值2乙","值2(中) 乙案",IF(J35="夜值","夜值(晚)",IF(J35="甲夜","夜值(晚) 甲案",IF(J35="備","08-18",IF(OR(J35="支援秘書室",J35="支援出納室",J35="支援警務科",J35="支援事務股"),"支援總(大)隊",IF(J35="支援檢疫所","支援(其他)",IF(  J35="/","空班",  IF(  J35="丙",  "※ 丙案",  IF(  J35="丙常訓",  "※ 丙案 常訓",J35  )))))))))))))))))))))))))</f>
        <v/>
      </c>
      <c r="K75" s="271" t="str">
        <f>IF(K35="早","08-18",IF(K35="中","12-22",IF(K35="晚","22-08",IF(K35="X","輪休",IF(K35="公","公假",IF(OR(K35="病",K35="事"),"病(事)假",IF(OR(K35="婚",K35="產"),"婚(產)假",IF(K35="補","補休",IF(K35="休","休假",IF(K35="喪","喪假",IF(AND(K35="/",OR($A35=日期輸入!$B$23,$A35=日期輸入!$C$23,$A35=日期輸入!$D$23,$A35=日期輸入!$E$23,$A35=日期輸入!$F$23)),"08-18水電科",IF(K35="大日","大隊值日(日)",IF(K35="大夜","大隊值日(夜)",IF(K35="值1","值1(早)",IF(K35="值1丙","值1(早) 丙案",IF(K35="值2","值2(中)",IF(K35="值2乙","值2(中) 乙案",IF(K35="夜值","夜值(晚)",IF(K35="甲夜","夜值(晚) 甲案",IF(K35="備","08-18",IF(OR(K35="支援秘書室",K35="支援出納室",K35="支援警務科",K35="支援事務股"),"支援總(大)隊",IF(K35="支援檢疫所","支援(其他)",IF(  K35="/","空班",  IF(  K35="丙",  "※ 丙案",  IF(  K35="丙常訓",  "※ 丙案 常訓",K35  )))))))))))))))))))))))))</f>
        <v/>
      </c>
      <c r="L75" s="271" t="str">
        <f>IF(L35="早","08-18",IF(L35="中","12-22",IF(L35="晚","22-08",IF(L35="X","輪休",IF(L35="公","公假",IF(OR(L35="病",L35="事"),"病(事)假",IF(OR(L35="婚",L35="產"),"婚(產)假",IF(L35="補","補休",IF(L35="休","休假",IF(L35="喪","喪假",IF(AND(L35="/",OR($A35=日期輸入!$B$23,$A35=日期輸入!$C$23,$A35=日期輸入!$D$23,$A35=日期輸入!$E$23,$A35=日期輸入!$F$23)),"08-18水電科",IF(L35="大日","大隊值日(日)",IF(L35="大夜","大隊值日(夜)",IF(L35="值1","值1(早)",IF(L35="值1丙","值1(早) 丙案",IF(L35="值2","值2(中)",IF(L35="值2乙","值2(中) 乙案",IF(L35="夜值","夜值(晚)",IF(L35="甲夜","夜值(晚) 甲案",IF(L35="備","08-18",IF(OR(L35="支援秘書室",L35="支援出納室",L35="支援警務科",L35="支援事務股"),"支援總(大)隊",IF(L35="支援檢疫所","支援(其他)",IF(  L35="/","空班",  IF(  L35="丙",  "※ 丙案",  IF(  L35="丙常訓",  "※ 丙案 常訓",L35  )))))))))))))))))))))))))</f>
        <v/>
      </c>
      <c r="M75" s="271" t="str">
        <f>IF(M35="早","08-18",IF(M35="中","12-22",IF(M35="晚","22-08",IF(M35="X","輪休",IF(M35="公","公假",IF(OR(M35="病",M35="事"),"病(事)假",IF(OR(M35="婚",M35="產"),"婚(產)假",IF(M35="補","補休",IF(M35="休","休假",IF(M35="喪","喪假",IF(AND(M35="/",OR($A35=日期輸入!$B$23,$A35=日期輸入!$C$23,$A35=日期輸入!$D$23,$A35=日期輸入!$E$23,$A35=日期輸入!$F$23)),"08-18水電科",IF(M35="大日","大隊值日(日)",IF(M35="大夜","大隊值日(夜)",IF(M35="值1","值1(早)",IF(M35="值1丙","值1(早) 丙案",IF(M35="值2","值2(中)",IF(M35="值2乙","值2(中) 乙案",IF(M35="夜值","夜值(晚)",IF(M35="甲夜","夜值(晚) 甲案",IF(M35="備","08-18",IF(OR(M35="支援秘書室",M35="支援出納室",M35="支援警務科",M35="支援事務股"),"支援總(大)隊",IF(M35="支援檢疫所","支援(其他)",IF(  M35="/","空班",  IF(  M35="丙",  "※ 丙案",  IF(  M35="丙常訓",  "※ 丙案 常訓",M35  )))))))))))))))))))))))))</f>
        <v/>
      </c>
      <c r="N75" s="271" t="str">
        <f>IF(N35="早","08-18",IF(N35="中","12-22",IF(N35="晚","22-08",IF(N35="X","輪休",IF(N35="公","公假",IF(OR(N35="病",N35="事"),"病(事)假",IF(OR(N35="婚",N35="產"),"婚(產)假",IF(N35="補","補休",IF(N35="休","休假",IF(N35="喪","喪假",IF(AND(N35="/",OR($A35=日期輸入!$B$23,$A35=日期輸入!$C$23,$A35=日期輸入!$D$23,$A35=日期輸入!$E$23,$A35=日期輸入!$F$23)),"08-18水電科",IF(N35="大日","大隊值日(日)",IF(N35="大夜","大隊值日(夜)",IF(N35="值1","值1(早)",IF(N35="值1丙","值1(早) 丙案",IF(N35="值2","值2(中)",IF(N35="值2乙","值2(中) 乙案",IF(N35="夜值","夜值(晚)",IF(N35="甲夜","夜值(晚) 甲案",IF(N35="備","08-18",IF(OR(N35="支援秘書室",N35="支援出納室",N35="支援警務科",N35="支援事務股"),"支援總(大)隊",IF(N35="支援檢疫所","支援(其他)",IF(  N35="/","空班",  IF(  N35="丙",  "※ 丙案",  IF(  N35="丙常訓",  "※ 丙案 常訓",N35  )))))))))))))))))))))))))</f>
        <v/>
      </c>
      <c r="O75" s="271" t="str">
        <f>IF(O35="早","08-18",IF(O35="中","12-22",IF(O35="晚","22-08",IF(O35="X","輪休",IF(O35="公","公假",IF(OR(O35="病",O35="事"),"病(事)假",IF(OR(O35="婚",O35="產"),"婚(產)假",IF(O35="補","補休",IF(O35="休","休假",IF(O35="喪","喪假",IF(AND(O35="/",OR($A35=日期輸入!$B$23,$A35=日期輸入!$C$23,$A35=日期輸入!$D$23,$A35=日期輸入!$E$23,$A35=日期輸入!$F$23)),"08-18水電科",IF(O35="大日","大隊值日(日)",IF(O35="大夜","大隊值日(夜)",IF(O35="值1","值1(早)",IF(O35="值1丙","值1(早) 丙案",IF(O35="值2","值2(中)",IF(O35="值2乙","值2(中) 乙案",IF(O35="夜值","夜值(晚)",IF(O35="甲夜","夜值(晚) 甲案",IF(O35="備","08-18",IF(OR(O35="支援秘書室",O35="支援出納室",O35="支援警務科",O35="支援事務股"),"支援總(大)隊",IF(O35="支援檢疫所","支援(其他)",IF(  O35="/","空班",  IF(  O35="丙",  "※ 丙案",  IF(  O35="丙常訓",  "※ 丙案 常訓",O35  )))))))))))))))))))))))))</f>
        <v/>
      </c>
      <c r="P75" s="271" t="str">
        <f>IF(P35="早","08-18",IF(P35="中","12-22",IF(P35="晚","22-08",IF(P35="X","輪休",IF(P35="公","公假",IF(OR(P35="病",P35="事"),"病(事)假",IF(OR(P35="婚",P35="產"),"婚(產)假",IF(P35="補","補休",IF(P35="休","休假",IF(P35="喪","喪假",IF(AND(P35="/",OR($A35=日期輸入!$B$23,$A35=日期輸入!$C$23,$A35=日期輸入!$D$23,$A35=日期輸入!$E$23,$A35=日期輸入!$F$23)),"08-18水電科",IF(P35="大日","大隊值日(日)",IF(P35="大夜","大隊值日(夜)",IF(P35="值1","值1(早)",IF(P35="值1丙","值1(早) 丙案",IF(P35="值2","值2(中)",IF(P35="值2乙","值2(中) 乙案",IF(P35="夜值","夜值(晚)",IF(P35="甲夜","夜值(晚) 甲案",IF(P35="備","08-18",IF(OR(P35="支援秘書室",P35="支援出納室",P35="支援警務科",P35="支援事務股"),"支援總(大)隊",IF(P35="支援檢疫所","支援(其他)",IF(  P35="/","空班",  IF(  P35="丙",  "※ 丙案",  IF(  P35="丙常訓",  "※ 丙案 常訓",P35  )))))))))))))))))))))))))</f>
        <v/>
      </c>
      <c r="Q75" s="271" t="str">
        <f>IF(Q35="早","08-18",IF(Q35="中","12-22",IF(Q35="晚","22-08",IF(Q35="X","輪休",IF(Q35="公","公假",IF(OR(Q35="病",Q35="事"),"病(事)假",IF(OR(Q35="婚",Q35="產"),"婚(產)假",IF(Q35="補","補休",IF(Q35="休","休假",IF(Q35="喪","喪假",IF(AND(Q35="/",OR($A35=日期輸入!$B$23,$A35=日期輸入!$C$23,$A35=日期輸入!$D$23,$A35=日期輸入!$E$23,$A35=日期輸入!$F$23)),"08-18水電科",IF(Q35="大日","大隊值日(日)",IF(Q35="大夜","大隊值日(夜)",IF(Q35="值1","值1(早)",IF(Q35="值1丙","值1(早) 丙案",IF(Q35="值2","值2(中)",IF(Q35="值2乙","值2(中) 乙案",IF(Q35="夜值","夜值(晚)",IF(Q35="甲夜","夜值(晚) 甲案",IF(Q35="備","08-18",IF(OR(Q35="支援秘書室",Q35="支援出納室",Q35="支援警務科",Q35="支援事務股"),"支援總(大)隊",IF(Q35="支援檢疫所","支援(其他)",IF(  Q35="/","空班",  IF(  Q35="丙",  "※ 丙案",  IF(  Q35="丙常訓",  "※ 丙案 常訓",Q35  )))))))))))))))))))))))))</f>
        <v/>
      </c>
      <c r="R75" s="271" t="str">
        <f>IF(R35="早","08-18",IF(R35="中","12-22",IF(R35="晚","22-08",IF(R35="X","輪休",IF(R35="公","公假",IF(OR(R35="病",R35="事"),"病(事)假",IF(OR(R35="婚",R35="產"),"婚(產)假",IF(R35="補","補休",IF(R35="休","休假",IF(R35="喪","喪假",IF(AND(R35="/",OR($A35=日期輸入!$B$23,$A35=日期輸入!$C$23,$A35=日期輸入!$D$23,$A35=日期輸入!$E$23,$A35=日期輸入!$F$23)),"08-18水電科",IF(R35="大日","大隊值日(日)",IF(R35="大夜","大隊值日(夜)",IF(R35="值1","值1(早)",IF(R35="值1丙","值1(早) 丙案",IF(R35="值2","值2(中)",IF(R35="值2乙","值2(中) 乙案",IF(R35="夜值","夜值(晚)",IF(R35="甲夜","夜值(晚) 甲案",IF(R35="備","08-18",IF(OR(R35="支援秘書室",R35="支援出納室",R35="支援警務科",R35="支援事務股"),"支援總(大)隊",IF(R35="支援檢疫所","支援(其他)",IF(  R35="/","空班",  IF(  R35="丙",  "※ 丙案",  IF(  R35="丙常訓",  "※ 丙案 常訓",R35  )))))))))))))))))))))))))</f>
        <v/>
      </c>
      <c r="S75" s="271" t="str">
        <f>IF(S35="早","08-18",IF(S35="中","12-22",IF(S35="晚","22-08",IF(S35="X","輪休",IF(S35="公","公假",IF(OR(S35="病",S35="事"),"病(事)假",IF(OR(S35="婚",S35="產"),"婚(產)假",IF(S35="補","補休",IF(S35="休","休假",IF(S35="喪","喪假",IF(AND(S35="/",OR($A35=日期輸入!$B$23,$A35=日期輸入!$C$23,$A35=日期輸入!$D$23,$A35=日期輸入!$E$23,$A35=日期輸入!$F$23)),"08-18水電科",IF(S35="大日","大隊值日(日)",IF(S35="大夜","大隊值日(夜)",IF(S35="值1","值1(早)",IF(S35="值1丙","值1(早) 丙案",IF(S35="值2","值2(中)",IF(S35="值2乙","值2(中) 乙案",IF(S35="夜值","夜值(晚)",IF(S35="甲夜","夜值(晚) 甲案",IF(S35="備","08-18",IF(OR(S35="支援秘書室",S35="支援出納室",S35="支援警務科",S35="支援事務股"),"支援總(大)隊",IF(S35="支援檢疫所","支援(其他)",IF(  S35="/","空班",  IF(  S35="丙",  "※ 丙案",  IF(  S35="丙常訓",  "※ 丙案 常訓",S35  )))))))))))))))))))))))))</f>
        <v/>
      </c>
      <c r="T75" s="271" t="str">
        <f>IF(T35="早","08-18",IF(T35="中","12-22",IF(T35="晚","22-08",IF(T35="X","輪休",IF(T35="公","公假",IF(OR(T35="病",T35="事"),"病(事)假",IF(OR(T35="婚",T35="產"),"婚(產)假",IF(T35="補","補休",IF(T35="休","休假",IF(T35="喪","喪假",IF(AND(T35="/",OR($A35=日期輸入!$B$23,$A35=日期輸入!$C$23,$A35=日期輸入!$D$23,$A35=日期輸入!$E$23,$A35=日期輸入!$F$23)),"08-18水電科",IF(T35="大日","大隊值日(日)",IF(T35="大夜","大隊值日(夜)",IF(T35="值1","值1(早)",IF(T35="值1丙","值1(早) 丙案",IF(T35="值2","值2(中)",IF(T35="值2乙","值2(中) 乙案",IF(T35="夜值","夜值(晚)",IF(T35="甲夜","夜值(晚) 甲案",IF(T35="備","08-18",IF(OR(T35="支援秘書室",T35="支援出納室",T35="支援警務科",T35="支援事務股"),"支援總(大)隊",IF(T35="支援檢疫所","支援(其他)",IF(  T35="/","空班",  IF(  T35="丙",  "※ 丙案",  IF(  T35="丙常訓",  "※ 丙案 常訓",T35  )))))))))))))))))))))))))</f>
        <v/>
      </c>
      <c r="U75" s="271" t="str">
        <f>IF(U35="早","08-18",IF(U35="中","12-22",IF(U35="晚","22-08",IF(U35="X","輪休",IF(U35="公","公假",IF(OR(U35="病",U35="事"),"病(事)假",IF(OR(U35="婚",U35="產"),"婚(產)假",IF(U35="補","補休",IF(U35="休","休假",IF(U35="喪","喪假",IF(AND(U35="/",OR($A35=日期輸入!$B$23,$A35=日期輸入!$C$23,$A35=日期輸入!$D$23,$A35=日期輸入!$E$23,$A35=日期輸入!$F$23)),"08-18水電科",IF(U35="大日","大隊值日(日)",IF(U35="大夜","大隊值日(夜)",IF(U35="值1","值1(早)",IF(U35="值1丙","值1(早) 丙案",IF(U35="值2","值2(中)",IF(U35="值2乙","值2(中) 乙案",IF(U35="夜值","夜值(晚)",IF(U35="甲夜","夜值(晚) 甲案",IF(U35="備","08-18",IF(OR(U35="支援秘書室",U35="支援出納室",U35="支援警務科",U35="支援事務股"),"支援總(大)隊",IF(U35="支援檢疫所","支援(其他)",IF(  U35="/","空班",  IF(  U35="丙",  "※ 丙案",  IF(  U35="丙常訓",  "※ 丙案 常訓",U35  )))))))))))))))))))))))))</f>
        <v/>
      </c>
      <c r="V75" s="271" t="str">
        <f>IF(V35="早","08-18",IF(V35="中","12-22",IF(V35="晚","22-08",IF(V35="X","輪休",IF(V35="公","公假",IF(OR(V35="病",V35="事"),"病(事)假",IF(OR(V35="婚",V35="產"),"婚(產)假",IF(V35="補","補休",IF(V35="休","休假",IF(V35="喪","喪假",IF(AND(V35="/",OR($A35=日期輸入!$B$23,$A35=日期輸入!$C$23,$A35=日期輸入!$D$23,$A35=日期輸入!$E$23,$A35=日期輸入!$F$23)),"08-18水電科",IF(V35="大日","大隊值日(日)",IF(V35="大夜","大隊值日(夜)",IF(V35="值1","值1(早)",IF(V35="值1丙","值1(早) 丙案",IF(V35="值2","值2(中)",IF(V35="值2乙","值2(中) 乙案",IF(V35="夜值","夜值(晚)",IF(V35="甲夜","夜值(晚) 甲案",IF(V35="備","08-18",IF(OR(V35="支援秘書室",V35="支援出納室",V35="支援警務科",V35="支援事務股"),"支援總(大)隊",IF(V35="支援檢疫所","支援(其他)",IF(  V35="/","空班",  IF(  V35="丙",  "※ 丙案",  IF(  V35="丙常訓",  "※ 丙案 常訓",V35  )))))))))))))))))))))))))</f>
        <v/>
      </c>
      <c r="W75" s="271" t="str">
        <f>IF(W35="早","08-18",IF(W35="中","12-22",IF(W35="晚","22-08",IF(W35="X","輪休",IF(W35="公","公假",IF(OR(W35="病",W35="事"),"病(事)假",IF(OR(W35="婚",W35="產"),"婚(產)假",IF(W35="補","補休",IF(W35="休","休假",IF(W35="喪","喪假",IF(AND(W35="/",OR($A35=日期輸入!$B$23,$A35=日期輸入!$C$23,$A35=日期輸入!$D$23,$A35=日期輸入!$E$23,$A35=日期輸入!$F$23)),"08-18水電科",IF(W35="大日","大隊值日(日)",IF(W35="大夜","大隊值日(夜)",IF(W35="值1","值1(早)",IF(W35="值1丙","值1(早) 丙案",IF(W35="值2","值2(中)",IF(W35="值2乙","值2(中) 乙案",IF(W35="夜值","夜值(晚)",IF(W35="甲夜","夜值(晚) 甲案",IF(W35="備","08-18",IF(OR(W35="支援秘書室",W35="支援出納室",W35="支援警務科",W35="支援事務股"),"支援總(大)隊",IF(W35="支援檢疫所","支援(其他)",IF(  W35="/","空班",  IF(  W35="丙",  "※ 丙案",  IF(  W35="丙常訓",  "※ 丙案 常訓",W35  )))))))))))))))))))))))))</f>
        <v/>
      </c>
      <c r="X75" s="271" t="str">
        <f>IF(X35="早","08-18",IF(X35="中","12-22",IF(X35="晚","22-08",IF(X35="X","輪休",IF(X35="公","公假",IF(OR(X35="病",X35="事"),"病(事)假",IF(OR(X35="婚",X35="產"),"婚(產)假",IF(X35="補","補休",IF(X35="休","休假",IF(X35="喪","喪假",IF(AND(X35="/",OR($A35=日期輸入!$B$23,$A35=日期輸入!$C$23,$A35=日期輸入!$D$23,$A35=日期輸入!$E$23,$A35=日期輸入!$F$23)),"08-18水電科",IF(X35="大日","大隊值日(日)",IF(X35="大夜","大隊值日(夜)",IF(X35="值1","值1(早)",IF(X35="值1丙","值1(早) 丙案",IF(X35="值2","值2(中)",IF(X35="值2乙","值2(中) 乙案",IF(X35="夜值","夜值(晚)",IF(X35="甲夜","夜值(晚) 甲案",IF(X35="備","08-18",IF(OR(X35="支援秘書室",X35="支援出納室",X35="支援警務科",X35="支援事務股"),"支援總(大)隊",IF(X35="支援檢疫所","支援(其他)",IF(  X35="/","空班",  IF(  X35="丙",  "※ 丙案",  IF(  X35="丙常訓",  "※ 丙案 常訓",X35  )))))))))))))))))))))))))</f>
        <v/>
      </c>
      <c r="Y75" s="271" t="str">
        <f>IF(Y35="早","08-18",IF(Y35="中","12-22",IF(Y35="晚","22-08",IF(Y35="X","輪休",IF(Y35="公","公假",IF(OR(Y35="病",Y35="事"),"病(事)假",IF(OR(Y35="婚",Y35="產"),"婚(產)假",IF(Y35="補","補休",IF(Y35="休","休假",IF(Y35="喪","喪假",IF(AND(Y35="/",OR($A35=日期輸入!$B$23,$A35=日期輸入!$C$23,$A35=日期輸入!$D$23,$A35=日期輸入!$E$23,$A35=日期輸入!$F$23)),"08-18水電科",IF(Y35="大日","大隊值日(日)",IF(Y35="大夜","大隊值日(夜)",IF(Y35="值1","值1(早)",IF(Y35="值1丙","值1(早) 丙案",IF(Y35="值2","值2(中)",IF(Y35="值2乙","值2(中) 乙案",IF(Y35="夜值","夜值(晚)",IF(Y35="甲夜","夜值(晚) 甲案",IF(Y35="備","08-18",IF(OR(Y35="支援秘書室",Y35="支援出納室",Y35="支援警務科",Y35="支援事務股"),"支援總(大)隊",IF(Y35="支援檢疫所","支援(其他)",IF(  Y35="/","空班",  IF(  Y35="丙",  "※ 丙案",  IF(  Y35="丙常訓",  "※ 丙案 常訓",Y35  )))))))))))))))))))))))))</f>
        <v/>
      </c>
      <c r="Z75" s="271" t="str">
        <f>IF(Z35="早","08-18",IF(Z35="中","12-22",IF(Z35="晚","22-08",IF(Z35="X","輪休",IF(Z35="公","公假",IF(OR(Z35="病",Z35="事"),"病(事)假",IF(OR(Z35="婚",Z35="產"),"婚(產)假",IF(Z35="補","補休",IF(Z35="休","休假",IF(Z35="喪","喪假",IF(AND(Z35="/",OR($A35=日期輸入!$B$23,$A35=日期輸入!$C$23,$A35=日期輸入!$D$23,$A35=日期輸入!$E$23,$A35=日期輸入!$F$23)),"08-18水電科",IF(Z35="大日","大隊值日(日)",IF(Z35="大夜","大隊值日(夜)",IF(Z35="值1","值1(早)",IF(Z35="值1丙","值1(早) 丙案",IF(Z35="值2","值2(中)",IF(Z35="值2乙","值2(中) 乙案",IF(Z35="夜值","夜值(晚)",IF(Z35="甲夜","夜值(晚) 甲案",IF(Z35="備","08-18",IF(OR(Z35="支援秘書室",Z35="支援出納室",Z35="支援警務科",Z35="支援事務股"),"支援總(大)隊",IF(Z35="支援檢疫所","支援(其他)",IF(  Z35="/","空班",  IF(  Z35="丙",  "※ 丙案",  IF(  Z35="丙常訓",  "※ 丙案 常訓",Z35  )))))))))))))))))))))))))</f>
        <v/>
      </c>
      <c r="AA75" s="271" t="str">
        <f>IF(AA35="早","08-18",IF(AA35="中","12-22",IF(AA35="晚","22-08",IF(AA35="X","輪休",IF(AA35="公","公假",IF(OR(AA35="病",AA35="事"),"病(事)假",IF(OR(AA35="婚",AA35="產"),"婚(產)假",IF(AA35="補","補休",IF(AA35="休","休假",IF(AA35="喪","喪假",IF(AND(AA35="/",OR($A35=日期輸入!$B$23,$A35=日期輸入!$C$23,$A35=日期輸入!$D$23,$A35=日期輸入!$E$23,$A35=日期輸入!$F$23)),"08-18水電科",IF(AA35="大日","大隊值日(日)",IF(AA35="大夜","大隊值日(夜)",IF(AA35="值1","值1(早)",IF(AA35="值1丙","值1(早) 丙案",IF(AA35="值2","值2(中)",IF(AA35="值2乙","值2(中) 乙案",IF(AA35="夜值","夜值(晚)",IF(AA35="甲夜","夜值(晚) 甲案",IF(AA35="備","08-18",IF(OR(AA35="支援秘書室",AA35="支援出納室",AA35="支援警務科",AA35="支援事務股"),"支援總(大)隊",IF(AA35="支援檢疫所","支援(其他)",IF(  AA35="/","空班",  IF(  AA35="丙",  "※ 丙案",  IF(  AA35="丙常訓",  "※ 丙案 常訓",AA35  )))))))))))))))))))))))))</f>
        <v/>
      </c>
      <c r="AB75" s="271" t="str">
        <f>IF(AB35="早","08-18",IF(AB35="中","12-22",IF(AB35="晚","22-08",IF(AB35="X","輪休",IF(AB35="公","公假",IF(OR(AB35="病",AB35="事"),"病(事)假",IF(OR(AB35="婚",AB35="產"),"婚(產)假",IF(AB35="補","補休",IF(AB35="休","休假",IF(AB35="喪","喪假",IF(AND(AB35="/",OR($A35=日期輸入!$B$23,$A35=日期輸入!$C$23,$A35=日期輸入!$D$23,$A35=日期輸入!$E$23,$A35=日期輸入!$F$23)),"08-18水電科",IF(AB35="大日","大隊值日(日)",IF(AB35="大夜","大隊值日(夜)",IF(AB35="值1","值1(早)",IF(AB35="值1丙","值1(早) 丙案",IF(AB35="值2","值2(中)",IF(AB35="值2乙","值2(中) 乙案",IF(AB35="夜值","夜值(晚)",IF(AB35="甲夜","夜值(晚) 甲案",IF(AB35="備","08-18",IF(OR(AB35="支援秘書室",AB35="支援出納室",AB35="支援警務科",AB35="支援事務股"),"支援總(大)隊",IF(AB35="支援檢疫所","支援(其他)",IF(  AB35="/","空班",  IF(  AB35="丙",  "※ 丙案",  IF(  AB35="丙常訓",  "※ 丙案 常訓",AB35  )))))))))))))))))))))))))</f>
        <v/>
      </c>
      <c r="AC75" s="271" t="str">
        <f>IF(AC35="早","08-18",IF(AC35="中","12-22",IF(AC35="晚","22-08",IF(AC35="X","輪休",IF(AC35="公","公假",IF(OR(AC35="病",AC35="事"),"病(事)假",IF(OR(AC35="婚",AC35="產"),"婚(產)假",IF(AC35="補","補休",IF(AC35="休","休假",IF(AC35="喪","喪假",IF(AND(AC35="/",OR($A35=日期輸入!$B$23,$A35=日期輸入!$C$23,$A35=日期輸入!$D$23,$A35=日期輸入!$E$23,$A35=日期輸入!$F$23)),"08-18水電科",IF(AC35="大日","大隊值日(日)",IF(AC35="大夜","大隊值日(夜)",IF(AC35="值1","值1(早)",IF(AC35="值1丙","值1(早) 丙案",IF(AC35="值2","值2(中)",IF(AC35="值2乙","值2(中) 乙案",IF(AC35="夜值","夜值(晚)",IF(AC35="甲夜","夜值(晚) 甲案",IF(AC35="備","08-18",IF(OR(AC35="支援秘書室",AC35="支援出納室",AC35="支援警務科",AC35="支援事務股"),"支援總(大)隊",IF(AC35="支援檢疫所","支援(其他)",IF(  AC35="/","空班",  IF(  AC35="丙",  "※ 丙案",  IF(  AC35="丙常訓",  "※ 丙案 常訓",AC35  )))))))))))))))))))))))))</f>
        <v/>
      </c>
      <c r="AD75" s="271" t="str">
        <f>IF(AD35="早","08-18",IF(AD35="中","12-22",IF(AD35="晚","22-08",IF(AD35="X","輪休",IF(AD35="公","公假",IF(OR(AD35="病",AD35="事"),"病(事)假",IF(OR(AD35="婚",AD35="產"),"婚(產)假",IF(AD35="補","補休",IF(AD35="休","休假",IF(AD35="喪","喪假",IF(AND(AD35="/",OR($A35=日期輸入!$B$23,$A35=日期輸入!$C$23,$A35=日期輸入!$D$23,$A35=日期輸入!$E$23,$A35=日期輸入!$F$23)),"08-18水電科",IF(AD35="大日","大隊值日(日)",IF(AD35="大夜","大隊值日(夜)",IF(AD35="值1","值1(早)",IF(AD35="值1丙","值1(早) 丙案",IF(AD35="值2","值2(中)",IF(AD35="值2乙","值2(中) 乙案",IF(AD35="夜值","夜值(晚)",IF(AD35="甲夜","夜值(晚) 甲案",IF(AD35="備","08-18",IF(OR(AD35="支援秘書室",AD35="支援出納室",AD35="支援警務科",AD35="支援事務股"),"支援總(大)隊",IF(AD35="支援檢疫所","支援(其他)",IF(  AD35="/","空班",  IF(  AD35="丙",  "※ 丙案",  IF(  AD35="丙常訓",  "※ 丙案 常訓",AD35  )))))))))))))))))))))))))</f>
        <v/>
      </c>
      <c r="AE75" s="271" t="str">
        <f>IF(AE35="早","08-18",IF(AE35="中","12-22",IF(AE35="晚","22-08",IF(AE35="X","輪休",IF(AE35="公","公假",IF(OR(AE35="病",AE35="事"),"病(事)假",IF(OR(AE35="婚",AE35="產"),"婚(產)假",IF(AE35="補","補休",IF(AE35="休","休假",IF(AE35="喪","喪假",IF(AND(AE35="/",OR($A35=日期輸入!$B$23,$A35=日期輸入!$C$23,$A35=日期輸入!$D$23,$A35=日期輸入!$E$23,$A35=日期輸入!$F$23)),"08-18水電科",IF(AE35="大日","大隊值日(日)",IF(AE35="大夜","大隊值日(夜)",IF(AE35="值1","值1(早)",IF(AE35="值1丙","值1(早) 丙案",IF(AE35="值2","值2(中)",IF(AE35="值2乙","值2(中) 乙案",IF(AE35="夜值","夜值(晚)",IF(AE35="甲夜","夜值(晚) 甲案",IF(AE35="備","08-18",IF(OR(AE35="支援秘書室",AE35="支援出納室",AE35="支援警務科",AE35="支援事務股"),"支援總(大)隊",IF(AE35="支援檢疫所","支援(其他)",IF(  AE35="/","空班",  IF(  AE35="丙",  "※ 丙案",  IF(  AE35="丙常訓",  "※ 丙案 常訓",AE35  )))))))))))))))))))))))))</f>
        <v/>
      </c>
      <c r="AF75" s="271" t="str">
        <f>IF(AF35="早","08-18",IF(AF35="中","12-22",IF(AF35="晚","22-08",IF(AF35="X","輪休",IF(AF35="公","公假",IF(OR(AF35="病",AF35="事"),"病(事)假",IF(OR(AF35="婚",AF35="產"),"婚(產)假",IF(AF35="補","補休",IF(AF35="休","休假",IF(AF35="喪","喪假",IF(AND(AF35="/",OR($A35=日期輸入!$B$23,$A35=日期輸入!$C$23,$A35=日期輸入!$D$23,$A35=日期輸入!$E$23,$A35=日期輸入!$F$23)),"08-18水電科",IF(AF35="大日","大隊值日(日)",IF(AF35="大夜","大隊值日(夜)",IF(AF35="值1","值1(早)",IF(AF35="值1丙","值1(早) 丙案",IF(AF35="值2","值2(中)",IF(AF35="值2乙","值2(中) 乙案",IF(AF35="夜值","夜值(晚)",IF(AF35="甲夜","夜值(晚) 甲案",IF(AF35="備","08-18",IF(OR(AF35="支援秘書室",AF35="支援出納室",AF35="支援警務科",AF35="支援事務股"),"支援總(大)隊",IF(AF35="支援檢疫所","支援(其他)",IF(  AF35="/","空班",  IF(  AF35="丙",  "※ 丙案",  IF(  AF35="丙常訓",  "※ 丙案 常訓",AF35  )))))))))))))))))))))))))</f>
        <v/>
      </c>
      <c r="AG75" s="271" t="str">
        <f>IF(AG35="早","08-18",IF(AG35="中","12-22",IF(AG35="晚","22-08",IF(AG35="X","輪休",IF(AG35="公","公假",IF(OR(AG35="病",AG35="事"),"病(事)假",IF(OR(AG35="婚",AG35="產"),"婚(產)假",IF(AG35="補","補休",IF(AG35="休","休假",IF(AG35="喪","喪假",IF(AND(AG35="/",OR($A35=日期輸入!$B$23,$A35=日期輸入!$C$23,$A35=日期輸入!$D$23,$A35=日期輸入!$E$23,$A35=日期輸入!$F$23)),"08-18水電科",IF(AG35="大日","大隊值日(日)",IF(AG35="大夜","大隊值日(夜)",IF(AG35="值1","值1(早)",IF(AG35="值1丙","值1(早) 丙案",IF(AG35="值2","值2(中)",IF(AG35="值2乙","值2(中) 乙案",IF(AG35="夜值","夜值(晚)",IF(AG35="甲夜","夜值(晚) 甲案",IF(AG35="備","08-18",IF(OR(AG35="支援秘書室",AG35="支援出納室",AG35="支援警務科",AG35="支援事務股"),"支援總(大)隊",IF(AG35="支援檢疫所","支援(其他)",IF(  AG35="/","空班",  IF(  AG35="丙",  "※ 丙案",  IF(  AG35="丙常訓",  "※ 丙案 常訓",AG35  )))))))))))))))))))))))))</f>
        <v/>
      </c>
    </row>
    <row r="76" spans="1:33">
      <c r="A76" s="271" t="str">
        <f t="shared" ref="A76:B76" si="35">A36</f>
        <v/>
      </c>
      <c r="B76" s="271" t="str">
        <f t="shared" si="35"/>
        <v/>
      </c>
      <c r="C76" s="271" t="str">
        <f>IF(C36="早","08-18",IF(C36="中","12-22",IF(C36="晚","22-08",IF(C36="X","輪休",IF(C36="公","公假",IF(OR(C36="病",C36="事"),"病(事)假",IF(OR(C36="婚",C36="產"),"婚(產)假",IF(C36="補","補休",IF(C36="休","休假",IF(C36="喪","喪假",IF(AND(C36="/",OR($A36=日期輸入!$B$23,$A36=日期輸入!$C$23,$A36=日期輸入!$D$23,$A36=日期輸入!$E$23,$A36=日期輸入!$F$23)),"08-18水電科",IF(C36="大日","大隊值日(日)",IF(C36="大夜","大隊值日(夜)",IF(C36="值1","值1(早)",IF(C36="值1丙","值1(早) 丙案",IF(C36="值2","值2(中)",IF(C36="值2乙","值2(中) 乙案",IF(C36="夜值","夜值(晚)",IF(C36="甲夜","夜值(晚) 甲案",IF(C36="備","08-18",IF(OR(C36="支援秘書室",C36="支援出納室",C36="支援警務科",C36="支援事務股"),"支援總(大)隊",IF(C36="支援檢疫所","支援(其他)",IF(  C36="/","空班",  IF(  C36="丙",  "※ 丙案",  IF(  C36="丙常訓",  "※ 丙案 常訓",C36  )))))))))))))))))))))))))</f>
        <v/>
      </c>
      <c r="D76" s="271" t="str">
        <f>IF(D36="早","08-18",IF(D36="中","12-22",IF(D36="晚","22-08",IF(D36="X","輪休",IF(D36="公","公假",IF(OR(D36="病",D36="事"),"病(事)假",IF(OR(D36="婚",D36="產"),"婚(產)假",IF(D36="補","補休",IF(D36="休","休假",IF(D36="喪","喪假",IF(AND(D36="/",OR($A36=日期輸入!$B$23,$A36=日期輸入!$C$23,$A36=日期輸入!$D$23,$A36=日期輸入!$E$23,$A36=日期輸入!$F$23)),"08-18水電科",IF(D36="大日","大隊值日(日)",IF(D36="大夜","大隊值日(夜)",IF(D36="值1","值1(早)",IF(D36="值1丙","值1(早) 丙案",IF(D36="值2","值2(中)",IF(D36="值2乙","值2(中) 乙案",IF(D36="夜值","夜值(晚)",IF(D36="甲夜","夜值(晚) 甲案",IF(D36="備","08-18",IF(OR(D36="支援秘書室",D36="支援出納室",D36="支援警務科",D36="支援事務股"),"支援總(大)隊",IF(D36="支援檢疫所","支援(其他)",IF(  D36="/","空班",  IF(  D36="丙",  "※ 丙案",  IF(  D36="丙常訓",  "※ 丙案 常訓",D36  )))))))))))))))))))))))))</f>
        <v/>
      </c>
      <c r="E76" s="271" t="str">
        <f>IF(E36="早","08-18",IF(E36="中","12-22",IF(E36="晚","22-08",IF(E36="X","輪休",IF(E36="公","公假",IF(OR(E36="病",E36="事"),"病(事)假",IF(OR(E36="婚",E36="產"),"婚(產)假",IF(E36="補","補休",IF(E36="休","休假",IF(E36="喪","喪假",IF(AND(E36="/",OR($A36=日期輸入!$B$23,$A36=日期輸入!$C$23,$A36=日期輸入!$D$23,$A36=日期輸入!$E$23,$A36=日期輸入!$F$23)),"08-18水電科",IF(E36="大日","大隊值日(日)",IF(E36="大夜","大隊值日(夜)",IF(E36="值1","值1(早)",IF(E36="值1丙","值1(早) 丙案",IF(E36="值2","值2(中)",IF(E36="值2乙","值2(中) 乙案",IF(E36="夜值","夜值(晚)",IF(E36="甲夜","夜值(晚) 甲案",IF(E36="備","08-18",IF(OR(E36="支援秘書室",E36="支援出納室",E36="支援警務科",E36="支援事務股"),"支援總(大)隊",IF(E36="支援檢疫所","支援(其他)",IF(  E36="/","空班",  IF(  E36="丙",  "※ 丙案",  IF(  E36="丙常訓",  "※ 丙案 常訓",E36  )))))))))))))))))))))))))</f>
        <v/>
      </c>
      <c r="F76" s="271" t="str">
        <f>IF(F36="早","08-18",IF(F36="中","12-22",IF(F36="晚","22-08",IF(F36="X","輪休",IF(F36="公","公假",IF(OR(F36="病",F36="事"),"病(事)假",IF(OR(F36="婚",F36="產"),"婚(產)假",IF(F36="補","補休",IF(F36="休","休假",IF(F36="喪","喪假",IF(AND(F36="/",OR($A36=日期輸入!$B$23,$A36=日期輸入!$C$23,$A36=日期輸入!$D$23,$A36=日期輸入!$E$23,$A36=日期輸入!$F$23)),"08-18水電科",IF(F36="大日","大隊值日(日)",IF(F36="大夜","大隊值日(夜)",IF(F36="值1","值1(早)",IF(F36="值1丙","值1(早) 丙案",IF(F36="值2","值2(中)",IF(F36="值2乙","值2(中) 乙案",IF(F36="夜值","夜值(晚)",IF(F36="甲夜","夜值(晚) 甲案",IF(F36="備","08-18",IF(OR(F36="支援秘書室",F36="支援出納室",F36="支援警務科",F36="支援事務股"),"支援總(大)隊",IF(F36="支援檢疫所","支援(其他)",IF(  F36="/","空班",  IF(  F36="丙",  "※ 丙案",  IF(  F36="丙常訓",  "※ 丙案 常訓",F36  )))))))))))))))))))))))))</f>
        <v/>
      </c>
      <c r="G76" s="271" t="str">
        <f>IF(G36="早","08-18",IF(G36="中","12-22",IF(G36="晚","22-08",IF(G36="X","輪休",IF(G36="公","公假",IF(OR(G36="病",G36="事"),"病(事)假",IF(OR(G36="婚",G36="產"),"婚(產)假",IF(G36="補","補休",IF(G36="休","休假",IF(G36="喪","喪假",IF(AND(G36="/",OR($A36=日期輸入!$B$23,$A36=日期輸入!$C$23,$A36=日期輸入!$D$23,$A36=日期輸入!$E$23,$A36=日期輸入!$F$23)),"08-18水電科",IF(G36="大日","大隊值日(日)",IF(G36="大夜","大隊值日(夜)",IF(G36="值1","值1(早)",IF(G36="值1丙","值1(早) 丙案",IF(G36="值2","值2(中)",IF(G36="值2乙","值2(中) 乙案",IF(G36="夜值","夜值(晚)",IF(G36="甲夜","夜值(晚) 甲案",IF(G36="備","08-18",IF(OR(G36="支援秘書室",G36="支援出納室",G36="支援警務科",G36="支援事務股"),"支援總(大)隊",IF(G36="支援檢疫所","支援(其他)",IF(  G36="/","空班",  IF(  G36="丙",  "※ 丙案",  IF(  G36="丙常訓",  "※ 丙案 常訓",G36  )))))))))))))))))))))))))</f>
        <v/>
      </c>
      <c r="H76" s="271" t="str">
        <f>IF(H36="早","08-18",IF(H36="中","12-22",IF(H36="晚","22-08",IF(H36="X","輪休",IF(H36="公","公假",IF(OR(H36="病",H36="事"),"病(事)假",IF(OR(H36="婚",H36="產"),"婚(產)假",IF(H36="補","補休",IF(H36="休","休假",IF(H36="喪","喪假",IF(AND(H36="/",OR($A36=日期輸入!$B$23,$A36=日期輸入!$C$23,$A36=日期輸入!$D$23,$A36=日期輸入!$E$23,$A36=日期輸入!$F$23)),"08-18水電科",IF(H36="大日","大隊值日(日)",IF(H36="大夜","大隊值日(夜)",IF(H36="值1","值1(早)",IF(H36="值1丙","值1(早) 丙案",IF(H36="值2","值2(中)",IF(H36="值2乙","值2(中) 乙案",IF(H36="夜值","夜值(晚)",IF(H36="甲夜","夜值(晚) 甲案",IF(H36="備","08-18",IF(OR(H36="支援秘書室",H36="支援出納室",H36="支援警務科",H36="支援事務股"),"支援總(大)隊",IF(H36="支援檢疫所","支援(其他)",IF(  H36="/","空班",  IF(  H36="丙",  "※ 丙案",  IF(  H36="丙常訓",  "※ 丙案 常訓",H36  )))))))))))))))))))))))))</f>
        <v/>
      </c>
      <c r="I76" s="271" t="str">
        <f>IF(I36="早","08-18",IF(I36="中","12-22",IF(I36="晚","22-08",IF(I36="X","輪休",IF(I36="公","公假",IF(OR(I36="病",I36="事"),"病(事)假",IF(OR(I36="婚",I36="產"),"婚(產)假",IF(I36="補","補休",IF(I36="休","休假",IF(I36="喪","喪假",IF(AND(I36="/",OR($A36=日期輸入!$B$23,$A36=日期輸入!$C$23,$A36=日期輸入!$D$23,$A36=日期輸入!$E$23,$A36=日期輸入!$F$23)),"08-18水電科",IF(I36="大日","大隊值日(日)",IF(I36="大夜","大隊值日(夜)",IF(I36="值1","值1(早)",IF(I36="值1丙","值1(早) 丙案",IF(I36="值2","值2(中)",IF(I36="值2乙","值2(中) 乙案",IF(I36="夜值","夜值(晚)",IF(I36="甲夜","夜值(晚) 甲案",IF(I36="備","08-18",IF(OR(I36="支援秘書室",I36="支援出納室",I36="支援警務科",I36="支援事務股"),"支援總(大)隊",IF(I36="支援檢疫所","支援(其他)",IF(  I36="/","空班",  IF(  I36="丙",  "※ 丙案",  IF(  I36="丙常訓",  "※ 丙案 常訓",I36  )))))))))))))))))))))))))</f>
        <v/>
      </c>
      <c r="J76" s="271" t="str">
        <f>IF(J36="早","08-18",IF(J36="中","12-22",IF(J36="晚","22-08",IF(J36="X","輪休",IF(J36="公","公假",IF(OR(J36="病",J36="事"),"病(事)假",IF(OR(J36="婚",J36="產"),"婚(產)假",IF(J36="補","補休",IF(J36="休","休假",IF(J36="喪","喪假",IF(AND(J36="/",OR($A36=日期輸入!$B$23,$A36=日期輸入!$C$23,$A36=日期輸入!$D$23,$A36=日期輸入!$E$23,$A36=日期輸入!$F$23)),"08-18水電科",IF(J36="大日","大隊值日(日)",IF(J36="大夜","大隊值日(夜)",IF(J36="值1","值1(早)",IF(J36="值1丙","值1(早) 丙案",IF(J36="值2","值2(中)",IF(J36="值2乙","值2(中) 乙案",IF(J36="夜值","夜值(晚)",IF(J36="甲夜","夜值(晚) 甲案",IF(J36="備","08-18",IF(OR(J36="支援秘書室",J36="支援出納室",J36="支援警務科",J36="支援事務股"),"支援總(大)隊",IF(J36="支援檢疫所","支援(其他)",IF(  J36="/","空班",  IF(  J36="丙",  "※ 丙案",  IF(  J36="丙常訓",  "※ 丙案 常訓",J36  )))))))))))))))))))))))))</f>
        <v/>
      </c>
      <c r="K76" s="271" t="str">
        <f>IF(K36="早","08-18",IF(K36="中","12-22",IF(K36="晚","22-08",IF(K36="X","輪休",IF(K36="公","公假",IF(OR(K36="病",K36="事"),"病(事)假",IF(OR(K36="婚",K36="產"),"婚(產)假",IF(K36="補","補休",IF(K36="休","休假",IF(K36="喪","喪假",IF(AND(K36="/",OR($A36=日期輸入!$B$23,$A36=日期輸入!$C$23,$A36=日期輸入!$D$23,$A36=日期輸入!$E$23,$A36=日期輸入!$F$23)),"08-18水電科",IF(K36="大日","大隊值日(日)",IF(K36="大夜","大隊值日(夜)",IF(K36="值1","值1(早)",IF(K36="值1丙","值1(早) 丙案",IF(K36="值2","值2(中)",IF(K36="值2乙","值2(中) 乙案",IF(K36="夜值","夜值(晚)",IF(K36="甲夜","夜值(晚) 甲案",IF(K36="備","08-18",IF(OR(K36="支援秘書室",K36="支援出納室",K36="支援警務科",K36="支援事務股"),"支援總(大)隊",IF(K36="支援檢疫所","支援(其他)",IF(  K36="/","空班",  IF(  K36="丙",  "※ 丙案",  IF(  K36="丙常訓",  "※ 丙案 常訓",K36  )))))))))))))))))))))))))</f>
        <v/>
      </c>
      <c r="L76" s="271" t="str">
        <f>IF(L36="早","08-18",IF(L36="中","12-22",IF(L36="晚","22-08",IF(L36="X","輪休",IF(L36="公","公假",IF(OR(L36="病",L36="事"),"病(事)假",IF(OR(L36="婚",L36="產"),"婚(產)假",IF(L36="補","補休",IF(L36="休","休假",IF(L36="喪","喪假",IF(AND(L36="/",OR($A36=日期輸入!$B$23,$A36=日期輸入!$C$23,$A36=日期輸入!$D$23,$A36=日期輸入!$E$23,$A36=日期輸入!$F$23)),"08-18水電科",IF(L36="大日","大隊值日(日)",IF(L36="大夜","大隊值日(夜)",IF(L36="值1","值1(早)",IF(L36="值1丙","值1(早) 丙案",IF(L36="值2","值2(中)",IF(L36="值2乙","值2(中) 乙案",IF(L36="夜值","夜值(晚)",IF(L36="甲夜","夜值(晚) 甲案",IF(L36="備","08-18",IF(OR(L36="支援秘書室",L36="支援出納室",L36="支援警務科",L36="支援事務股"),"支援總(大)隊",IF(L36="支援檢疫所","支援(其他)",IF(  L36="/","空班",  IF(  L36="丙",  "※ 丙案",  IF(  L36="丙常訓",  "※ 丙案 常訓",L36  )))))))))))))))))))))))))</f>
        <v/>
      </c>
      <c r="M76" s="271" t="str">
        <f>IF(M36="早","08-18",IF(M36="中","12-22",IF(M36="晚","22-08",IF(M36="X","輪休",IF(M36="公","公假",IF(OR(M36="病",M36="事"),"病(事)假",IF(OR(M36="婚",M36="產"),"婚(產)假",IF(M36="補","補休",IF(M36="休","休假",IF(M36="喪","喪假",IF(AND(M36="/",OR($A36=日期輸入!$B$23,$A36=日期輸入!$C$23,$A36=日期輸入!$D$23,$A36=日期輸入!$E$23,$A36=日期輸入!$F$23)),"08-18水電科",IF(M36="大日","大隊值日(日)",IF(M36="大夜","大隊值日(夜)",IF(M36="值1","值1(早)",IF(M36="值1丙","值1(早) 丙案",IF(M36="值2","值2(中)",IF(M36="值2乙","值2(中) 乙案",IF(M36="夜值","夜值(晚)",IF(M36="甲夜","夜值(晚) 甲案",IF(M36="備","08-18",IF(OR(M36="支援秘書室",M36="支援出納室",M36="支援警務科",M36="支援事務股"),"支援總(大)隊",IF(M36="支援檢疫所","支援(其他)",IF(  M36="/","空班",  IF(  M36="丙",  "※ 丙案",  IF(  M36="丙常訓",  "※ 丙案 常訓",M36  )))))))))))))))))))))))))</f>
        <v/>
      </c>
      <c r="N76" s="271" t="str">
        <f>IF(N36="早","08-18",IF(N36="中","12-22",IF(N36="晚","22-08",IF(N36="X","輪休",IF(N36="公","公假",IF(OR(N36="病",N36="事"),"病(事)假",IF(OR(N36="婚",N36="產"),"婚(產)假",IF(N36="補","補休",IF(N36="休","休假",IF(N36="喪","喪假",IF(AND(N36="/",OR($A36=日期輸入!$B$23,$A36=日期輸入!$C$23,$A36=日期輸入!$D$23,$A36=日期輸入!$E$23,$A36=日期輸入!$F$23)),"08-18水電科",IF(N36="大日","大隊值日(日)",IF(N36="大夜","大隊值日(夜)",IF(N36="值1","值1(早)",IF(N36="值1丙","值1(早) 丙案",IF(N36="值2","值2(中)",IF(N36="值2乙","值2(中) 乙案",IF(N36="夜值","夜值(晚)",IF(N36="甲夜","夜值(晚) 甲案",IF(N36="備","08-18",IF(OR(N36="支援秘書室",N36="支援出納室",N36="支援警務科",N36="支援事務股"),"支援總(大)隊",IF(N36="支援檢疫所","支援(其他)",IF(  N36="/","空班",  IF(  N36="丙",  "※ 丙案",  IF(  N36="丙常訓",  "※ 丙案 常訓",N36  )))))))))))))))))))))))))</f>
        <v/>
      </c>
      <c r="O76" s="271" t="str">
        <f>IF(O36="早","08-18",IF(O36="中","12-22",IF(O36="晚","22-08",IF(O36="X","輪休",IF(O36="公","公假",IF(OR(O36="病",O36="事"),"病(事)假",IF(OR(O36="婚",O36="產"),"婚(產)假",IF(O36="補","補休",IF(O36="休","休假",IF(O36="喪","喪假",IF(AND(O36="/",OR($A36=日期輸入!$B$23,$A36=日期輸入!$C$23,$A36=日期輸入!$D$23,$A36=日期輸入!$E$23,$A36=日期輸入!$F$23)),"08-18水電科",IF(O36="大日","大隊值日(日)",IF(O36="大夜","大隊值日(夜)",IF(O36="值1","值1(早)",IF(O36="值1丙","值1(早) 丙案",IF(O36="值2","值2(中)",IF(O36="值2乙","值2(中) 乙案",IF(O36="夜值","夜值(晚)",IF(O36="甲夜","夜值(晚) 甲案",IF(O36="備","08-18",IF(OR(O36="支援秘書室",O36="支援出納室",O36="支援警務科",O36="支援事務股"),"支援總(大)隊",IF(O36="支援檢疫所","支援(其他)",IF(  O36="/","空班",  IF(  O36="丙",  "※ 丙案",  IF(  O36="丙常訓",  "※ 丙案 常訓",O36  )))))))))))))))))))))))))</f>
        <v/>
      </c>
      <c r="P76" s="271" t="str">
        <f>IF(P36="早","08-18",IF(P36="中","12-22",IF(P36="晚","22-08",IF(P36="X","輪休",IF(P36="公","公假",IF(OR(P36="病",P36="事"),"病(事)假",IF(OR(P36="婚",P36="產"),"婚(產)假",IF(P36="補","補休",IF(P36="休","休假",IF(P36="喪","喪假",IF(AND(P36="/",OR($A36=日期輸入!$B$23,$A36=日期輸入!$C$23,$A36=日期輸入!$D$23,$A36=日期輸入!$E$23,$A36=日期輸入!$F$23)),"08-18水電科",IF(P36="大日","大隊值日(日)",IF(P36="大夜","大隊值日(夜)",IF(P36="值1","值1(早)",IF(P36="值1丙","值1(早) 丙案",IF(P36="值2","值2(中)",IF(P36="值2乙","值2(中) 乙案",IF(P36="夜值","夜值(晚)",IF(P36="甲夜","夜值(晚) 甲案",IF(P36="備","08-18",IF(OR(P36="支援秘書室",P36="支援出納室",P36="支援警務科",P36="支援事務股"),"支援總(大)隊",IF(P36="支援檢疫所","支援(其他)",IF(  P36="/","空班",  IF(  P36="丙",  "※ 丙案",  IF(  P36="丙常訓",  "※ 丙案 常訓",P36  )))))))))))))))))))))))))</f>
        <v/>
      </c>
      <c r="Q76" s="271" t="str">
        <f>IF(Q36="早","08-18",IF(Q36="中","12-22",IF(Q36="晚","22-08",IF(Q36="X","輪休",IF(Q36="公","公假",IF(OR(Q36="病",Q36="事"),"病(事)假",IF(OR(Q36="婚",Q36="產"),"婚(產)假",IF(Q36="補","補休",IF(Q36="休","休假",IF(Q36="喪","喪假",IF(AND(Q36="/",OR($A36=日期輸入!$B$23,$A36=日期輸入!$C$23,$A36=日期輸入!$D$23,$A36=日期輸入!$E$23,$A36=日期輸入!$F$23)),"08-18水電科",IF(Q36="大日","大隊值日(日)",IF(Q36="大夜","大隊值日(夜)",IF(Q36="值1","值1(早)",IF(Q36="值1丙","值1(早) 丙案",IF(Q36="值2","值2(中)",IF(Q36="值2乙","值2(中) 乙案",IF(Q36="夜值","夜值(晚)",IF(Q36="甲夜","夜值(晚) 甲案",IF(Q36="備","08-18",IF(OR(Q36="支援秘書室",Q36="支援出納室",Q36="支援警務科",Q36="支援事務股"),"支援總(大)隊",IF(Q36="支援檢疫所","支援(其他)",IF(  Q36="/","空班",  IF(  Q36="丙",  "※ 丙案",  IF(  Q36="丙常訓",  "※ 丙案 常訓",Q36  )))))))))))))))))))))))))</f>
        <v/>
      </c>
      <c r="R76" s="271" t="str">
        <f>IF(R36="早","08-18",IF(R36="中","12-22",IF(R36="晚","22-08",IF(R36="X","輪休",IF(R36="公","公假",IF(OR(R36="病",R36="事"),"病(事)假",IF(OR(R36="婚",R36="產"),"婚(產)假",IF(R36="補","補休",IF(R36="休","休假",IF(R36="喪","喪假",IF(AND(R36="/",OR($A36=日期輸入!$B$23,$A36=日期輸入!$C$23,$A36=日期輸入!$D$23,$A36=日期輸入!$E$23,$A36=日期輸入!$F$23)),"08-18水電科",IF(R36="大日","大隊值日(日)",IF(R36="大夜","大隊值日(夜)",IF(R36="值1","值1(早)",IF(R36="值1丙","值1(早) 丙案",IF(R36="值2","值2(中)",IF(R36="值2乙","值2(中) 乙案",IF(R36="夜值","夜值(晚)",IF(R36="甲夜","夜值(晚) 甲案",IF(R36="備","08-18",IF(OR(R36="支援秘書室",R36="支援出納室",R36="支援警務科",R36="支援事務股"),"支援總(大)隊",IF(R36="支援檢疫所","支援(其他)",IF(  R36="/","空班",  IF(  R36="丙",  "※ 丙案",  IF(  R36="丙常訓",  "※ 丙案 常訓",R36  )))))))))))))))))))))))))</f>
        <v/>
      </c>
      <c r="S76" s="271" t="str">
        <f>IF(S36="早","08-18",IF(S36="中","12-22",IF(S36="晚","22-08",IF(S36="X","輪休",IF(S36="公","公假",IF(OR(S36="病",S36="事"),"病(事)假",IF(OR(S36="婚",S36="產"),"婚(產)假",IF(S36="補","補休",IF(S36="休","休假",IF(S36="喪","喪假",IF(AND(S36="/",OR($A36=日期輸入!$B$23,$A36=日期輸入!$C$23,$A36=日期輸入!$D$23,$A36=日期輸入!$E$23,$A36=日期輸入!$F$23)),"08-18水電科",IF(S36="大日","大隊值日(日)",IF(S36="大夜","大隊值日(夜)",IF(S36="值1","值1(早)",IF(S36="值1丙","值1(早) 丙案",IF(S36="值2","值2(中)",IF(S36="值2乙","值2(中) 乙案",IF(S36="夜值","夜值(晚)",IF(S36="甲夜","夜值(晚) 甲案",IF(S36="備","08-18",IF(OR(S36="支援秘書室",S36="支援出納室",S36="支援警務科",S36="支援事務股"),"支援總(大)隊",IF(S36="支援檢疫所","支援(其他)",IF(  S36="/","空班",  IF(  S36="丙",  "※ 丙案",  IF(  S36="丙常訓",  "※ 丙案 常訓",S36  )))))))))))))))))))))))))</f>
        <v/>
      </c>
      <c r="T76" s="271" t="str">
        <f>IF(T36="早","08-18",IF(T36="中","12-22",IF(T36="晚","22-08",IF(T36="X","輪休",IF(T36="公","公假",IF(OR(T36="病",T36="事"),"病(事)假",IF(OR(T36="婚",T36="產"),"婚(產)假",IF(T36="補","補休",IF(T36="休","休假",IF(T36="喪","喪假",IF(AND(T36="/",OR($A36=日期輸入!$B$23,$A36=日期輸入!$C$23,$A36=日期輸入!$D$23,$A36=日期輸入!$E$23,$A36=日期輸入!$F$23)),"08-18水電科",IF(T36="大日","大隊值日(日)",IF(T36="大夜","大隊值日(夜)",IF(T36="值1","值1(早)",IF(T36="值1丙","值1(早) 丙案",IF(T36="值2","值2(中)",IF(T36="值2乙","值2(中) 乙案",IF(T36="夜值","夜值(晚)",IF(T36="甲夜","夜值(晚) 甲案",IF(T36="備","08-18",IF(OR(T36="支援秘書室",T36="支援出納室",T36="支援警務科",T36="支援事務股"),"支援總(大)隊",IF(T36="支援檢疫所","支援(其他)",IF(  T36="/","空班",  IF(  T36="丙",  "※ 丙案",  IF(  T36="丙常訓",  "※ 丙案 常訓",T36  )))))))))))))))))))))))))</f>
        <v/>
      </c>
      <c r="U76" s="271" t="str">
        <f>IF(U36="早","08-18",IF(U36="中","12-22",IF(U36="晚","22-08",IF(U36="X","輪休",IF(U36="公","公假",IF(OR(U36="病",U36="事"),"病(事)假",IF(OR(U36="婚",U36="產"),"婚(產)假",IF(U36="補","補休",IF(U36="休","休假",IF(U36="喪","喪假",IF(AND(U36="/",OR($A36=日期輸入!$B$23,$A36=日期輸入!$C$23,$A36=日期輸入!$D$23,$A36=日期輸入!$E$23,$A36=日期輸入!$F$23)),"08-18水電科",IF(U36="大日","大隊值日(日)",IF(U36="大夜","大隊值日(夜)",IF(U36="值1","值1(早)",IF(U36="值1丙","值1(早) 丙案",IF(U36="值2","值2(中)",IF(U36="值2乙","值2(中) 乙案",IF(U36="夜值","夜值(晚)",IF(U36="甲夜","夜值(晚) 甲案",IF(U36="備","08-18",IF(OR(U36="支援秘書室",U36="支援出納室",U36="支援警務科",U36="支援事務股"),"支援總(大)隊",IF(U36="支援檢疫所","支援(其他)",IF(  U36="/","空班",  IF(  U36="丙",  "※ 丙案",  IF(  U36="丙常訓",  "※ 丙案 常訓",U36  )))))))))))))))))))))))))</f>
        <v/>
      </c>
      <c r="V76" s="271" t="str">
        <f>IF(V36="早","08-18",IF(V36="中","12-22",IF(V36="晚","22-08",IF(V36="X","輪休",IF(V36="公","公假",IF(OR(V36="病",V36="事"),"病(事)假",IF(OR(V36="婚",V36="產"),"婚(產)假",IF(V36="補","補休",IF(V36="休","休假",IF(V36="喪","喪假",IF(AND(V36="/",OR($A36=日期輸入!$B$23,$A36=日期輸入!$C$23,$A36=日期輸入!$D$23,$A36=日期輸入!$E$23,$A36=日期輸入!$F$23)),"08-18水電科",IF(V36="大日","大隊值日(日)",IF(V36="大夜","大隊值日(夜)",IF(V36="值1","值1(早)",IF(V36="值1丙","值1(早) 丙案",IF(V36="值2","值2(中)",IF(V36="值2乙","值2(中) 乙案",IF(V36="夜值","夜值(晚)",IF(V36="甲夜","夜值(晚) 甲案",IF(V36="備","08-18",IF(OR(V36="支援秘書室",V36="支援出納室",V36="支援警務科",V36="支援事務股"),"支援總(大)隊",IF(V36="支援檢疫所","支援(其他)",IF(  V36="/","空班",  IF(  V36="丙",  "※ 丙案",  IF(  V36="丙常訓",  "※ 丙案 常訓",V36  )))))))))))))))))))))))))</f>
        <v/>
      </c>
      <c r="W76" s="271" t="str">
        <f>IF(W36="早","08-18",IF(W36="中","12-22",IF(W36="晚","22-08",IF(W36="X","輪休",IF(W36="公","公假",IF(OR(W36="病",W36="事"),"病(事)假",IF(OR(W36="婚",W36="產"),"婚(產)假",IF(W36="補","補休",IF(W36="休","休假",IF(W36="喪","喪假",IF(AND(W36="/",OR($A36=日期輸入!$B$23,$A36=日期輸入!$C$23,$A36=日期輸入!$D$23,$A36=日期輸入!$E$23,$A36=日期輸入!$F$23)),"08-18水電科",IF(W36="大日","大隊值日(日)",IF(W36="大夜","大隊值日(夜)",IF(W36="值1","值1(早)",IF(W36="值1丙","值1(早) 丙案",IF(W36="值2","值2(中)",IF(W36="值2乙","值2(中) 乙案",IF(W36="夜值","夜值(晚)",IF(W36="甲夜","夜值(晚) 甲案",IF(W36="備","08-18",IF(OR(W36="支援秘書室",W36="支援出納室",W36="支援警務科",W36="支援事務股"),"支援總(大)隊",IF(W36="支援檢疫所","支援(其他)",IF(  W36="/","空班",  IF(  W36="丙",  "※ 丙案",  IF(  W36="丙常訓",  "※ 丙案 常訓",W36  )))))))))))))))))))))))))</f>
        <v/>
      </c>
      <c r="X76" s="271" t="str">
        <f>IF(X36="早","08-18",IF(X36="中","12-22",IF(X36="晚","22-08",IF(X36="X","輪休",IF(X36="公","公假",IF(OR(X36="病",X36="事"),"病(事)假",IF(OR(X36="婚",X36="產"),"婚(產)假",IF(X36="補","補休",IF(X36="休","休假",IF(X36="喪","喪假",IF(AND(X36="/",OR($A36=日期輸入!$B$23,$A36=日期輸入!$C$23,$A36=日期輸入!$D$23,$A36=日期輸入!$E$23,$A36=日期輸入!$F$23)),"08-18水電科",IF(X36="大日","大隊值日(日)",IF(X36="大夜","大隊值日(夜)",IF(X36="值1","值1(早)",IF(X36="值1丙","值1(早) 丙案",IF(X36="值2","值2(中)",IF(X36="值2乙","值2(中) 乙案",IF(X36="夜值","夜值(晚)",IF(X36="甲夜","夜值(晚) 甲案",IF(X36="備","08-18",IF(OR(X36="支援秘書室",X36="支援出納室",X36="支援警務科",X36="支援事務股"),"支援總(大)隊",IF(X36="支援檢疫所","支援(其他)",IF(  X36="/","空班",  IF(  X36="丙",  "※ 丙案",  IF(  X36="丙常訓",  "※ 丙案 常訓",X36  )))))))))))))))))))))))))</f>
        <v/>
      </c>
      <c r="Y76" s="271" t="str">
        <f>IF(Y36="早","08-18",IF(Y36="中","12-22",IF(Y36="晚","22-08",IF(Y36="X","輪休",IF(Y36="公","公假",IF(OR(Y36="病",Y36="事"),"病(事)假",IF(OR(Y36="婚",Y36="產"),"婚(產)假",IF(Y36="補","補休",IF(Y36="休","休假",IF(Y36="喪","喪假",IF(AND(Y36="/",OR($A36=日期輸入!$B$23,$A36=日期輸入!$C$23,$A36=日期輸入!$D$23,$A36=日期輸入!$E$23,$A36=日期輸入!$F$23)),"08-18水電科",IF(Y36="大日","大隊值日(日)",IF(Y36="大夜","大隊值日(夜)",IF(Y36="值1","值1(早)",IF(Y36="值1丙","值1(早) 丙案",IF(Y36="值2","值2(中)",IF(Y36="值2乙","值2(中) 乙案",IF(Y36="夜值","夜值(晚)",IF(Y36="甲夜","夜值(晚) 甲案",IF(Y36="備","08-18",IF(OR(Y36="支援秘書室",Y36="支援出納室",Y36="支援警務科",Y36="支援事務股"),"支援總(大)隊",IF(Y36="支援檢疫所","支援(其他)",IF(  Y36="/","空班",  IF(  Y36="丙",  "※ 丙案",  IF(  Y36="丙常訓",  "※ 丙案 常訓",Y36  )))))))))))))))))))))))))</f>
        <v/>
      </c>
      <c r="Z76" s="271" t="str">
        <f>IF(Z36="早","08-18",IF(Z36="中","12-22",IF(Z36="晚","22-08",IF(Z36="X","輪休",IF(Z36="公","公假",IF(OR(Z36="病",Z36="事"),"病(事)假",IF(OR(Z36="婚",Z36="產"),"婚(產)假",IF(Z36="補","補休",IF(Z36="休","休假",IF(Z36="喪","喪假",IF(AND(Z36="/",OR($A36=日期輸入!$B$23,$A36=日期輸入!$C$23,$A36=日期輸入!$D$23,$A36=日期輸入!$E$23,$A36=日期輸入!$F$23)),"08-18水電科",IF(Z36="大日","大隊值日(日)",IF(Z36="大夜","大隊值日(夜)",IF(Z36="值1","值1(早)",IF(Z36="值1丙","值1(早) 丙案",IF(Z36="值2","值2(中)",IF(Z36="值2乙","值2(中) 乙案",IF(Z36="夜值","夜值(晚)",IF(Z36="甲夜","夜值(晚) 甲案",IF(Z36="備","08-18",IF(OR(Z36="支援秘書室",Z36="支援出納室",Z36="支援警務科",Z36="支援事務股"),"支援總(大)隊",IF(Z36="支援檢疫所","支援(其他)",IF(  Z36="/","空班",  IF(  Z36="丙",  "※ 丙案",  IF(  Z36="丙常訓",  "※ 丙案 常訓",Z36  )))))))))))))))))))))))))</f>
        <v/>
      </c>
      <c r="AA76" s="271" t="str">
        <f>IF(AA36="早","08-18",IF(AA36="中","12-22",IF(AA36="晚","22-08",IF(AA36="X","輪休",IF(AA36="公","公假",IF(OR(AA36="病",AA36="事"),"病(事)假",IF(OR(AA36="婚",AA36="產"),"婚(產)假",IF(AA36="補","補休",IF(AA36="休","休假",IF(AA36="喪","喪假",IF(AND(AA36="/",OR($A36=日期輸入!$B$23,$A36=日期輸入!$C$23,$A36=日期輸入!$D$23,$A36=日期輸入!$E$23,$A36=日期輸入!$F$23)),"08-18水電科",IF(AA36="大日","大隊值日(日)",IF(AA36="大夜","大隊值日(夜)",IF(AA36="值1","值1(早)",IF(AA36="值1丙","值1(早) 丙案",IF(AA36="值2","值2(中)",IF(AA36="值2乙","值2(中) 乙案",IF(AA36="夜值","夜值(晚)",IF(AA36="甲夜","夜值(晚) 甲案",IF(AA36="備","08-18",IF(OR(AA36="支援秘書室",AA36="支援出納室",AA36="支援警務科",AA36="支援事務股"),"支援總(大)隊",IF(AA36="支援檢疫所","支援(其他)",IF(  AA36="/","空班",  IF(  AA36="丙",  "※ 丙案",  IF(  AA36="丙常訓",  "※ 丙案 常訓",AA36  )))))))))))))))))))))))))</f>
        <v/>
      </c>
      <c r="AB76" s="271" t="str">
        <f>IF(AB36="早","08-18",IF(AB36="中","12-22",IF(AB36="晚","22-08",IF(AB36="X","輪休",IF(AB36="公","公假",IF(OR(AB36="病",AB36="事"),"病(事)假",IF(OR(AB36="婚",AB36="產"),"婚(產)假",IF(AB36="補","補休",IF(AB36="休","休假",IF(AB36="喪","喪假",IF(AND(AB36="/",OR($A36=日期輸入!$B$23,$A36=日期輸入!$C$23,$A36=日期輸入!$D$23,$A36=日期輸入!$E$23,$A36=日期輸入!$F$23)),"08-18水電科",IF(AB36="大日","大隊值日(日)",IF(AB36="大夜","大隊值日(夜)",IF(AB36="值1","值1(早)",IF(AB36="值1丙","值1(早) 丙案",IF(AB36="值2","值2(中)",IF(AB36="值2乙","值2(中) 乙案",IF(AB36="夜值","夜值(晚)",IF(AB36="甲夜","夜值(晚) 甲案",IF(AB36="備","08-18",IF(OR(AB36="支援秘書室",AB36="支援出納室",AB36="支援警務科",AB36="支援事務股"),"支援總(大)隊",IF(AB36="支援檢疫所","支援(其他)",IF(  AB36="/","空班",  IF(  AB36="丙",  "※ 丙案",  IF(  AB36="丙常訓",  "※ 丙案 常訓",AB36  )))))))))))))))))))))))))</f>
        <v/>
      </c>
      <c r="AC76" s="271" t="str">
        <f>IF(AC36="早","08-18",IF(AC36="中","12-22",IF(AC36="晚","22-08",IF(AC36="X","輪休",IF(AC36="公","公假",IF(OR(AC36="病",AC36="事"),"病(事)假",IF(OR(AC36="婚",AC36="產"),"婚(產)假",IF(AC36="補","補休",IF(AC36="休","休假",IF(AC36="喪","喪假",IF(AND(AC36="/",OR($A36=日期輸入!$B$23,$A36=日期輸入!$C$23,$A36=日期輸入!$D$23,$A36=日期輸入!$E$23,$A36=日期輸入!$F$23)),"08-18水電科",IF(AC36="大日","大隊值日(日)",IF(AC36="大夜","大隊值日(夜)",IF(AC36="值1","值1(早)",IF(AC36="值1丙","值1(早) 丙案",IF(AC36="值2","值2(中)",IF(AC36="值2乙","值2(中) 乙案",IF(AC36="夜值","夜值(晚)",IF(AC36="甲夜","夜值(晚) 甲案",IF(AC36="備","08-18",IF(OR(AC36="支援秘書室",AC36="支援出納室",AC36="支援警務科",AC36="支援事務股"),"支援總(大)隊",IF(AC36="支援檢疫所","支援(其他)",IF(  AC36="/","空班",  IF(  AC36="丙",  "※ 丙案",  IF(  AC36="丙常訓",  "※ 丙案 常訓",AC36  )))))))))))))))))))))))))</f>
        <v/>
      </c>
      <c r="AD76" s="271" t="str">
        <f>IF(AD36="早","08-18",IF(AD36="中","12-22",IF(AD36="晚","22-08",IF(AD36="X","輪休",IF(AD36="公","公假",IF(OR(AD36="病",AD36="事"),"病(事)假",IF(OR(AD36="婚",AD36="產"),"婚(產)假",IF(AD36="補","補休",IF(AD36="休","休假",IF(AD36="喪","喪假",IF(AND(AD36="/",OR($A36=日期輸入!$B$23,$A36=日期輸入!$C$23,$A36=日期輸入!$D$23,$A36=日期輸入!$E$23,$A36=日期輸入!$F$23)),"08-18水電科",IF(AD36="大日","大隊值日(日)",IF(AD36="大夜","大隊值日(夜)",IF(AD36="值1","值1(早)",IF(AD36="值1丙","值1(早) 丙案",IF(AD36="值2","值2(中)",IF(AD36="值2乙","值2(中) 乙案",IF(AD36="夜值","夜值(晚)",IF(AD36="甲夜","夜值(晚) 甲案",IF(AD36="備","08-18",IF(OR(AD36="支援秘書室",AD36="支援出納室",AD36="支援警務科",AD36="支援事務股"),"支援總(大)隊",IF(AD36="支援檢疫所","支援(其他)",IF(  AD36="/","空班",  IF(  AD36="丙",  "※ 丙案",  IF(  AD36="丙常訓",  "※ 丙案 常訓",AD36  )))))))))))))))))))))))))</f>
        <v/>
      </c>
      <c r="AE76" s="271" t="str">
        <f>IF(AE36="早","08-18",IF(AE36="中","12-22",IF(AE36="晚","22-08",IF(AE36="X","輪休",IF(AE36="公","公假",IF(OR(AE36="病",AE36="事"),"病(事)假",IF(OR(AE36="婚",AE36="產"),"婚(產)假",IF(AE36="補","補休",IF(AE36="休","休假",IF(AE36="喪","喪假",IF(AND(AE36="/",OR($A36=日期輸入!$B$23,$A36=日期輸入!$C$23,$A36=日期輸入!$D$23,$A36=日期輸入!$E$23,$A36=日期輸入!$F$23)),"08-18水電科",IF(AE36="大日","大隊值日(日)",IF(AE36="大夜","大隊值日(夜)",IF(AE36="值1","值1(早)",IF(AE36="值1丙","值1(早) 丙案",IF(AE36="值2","值2(中)",IF(AE36="值2乙","值2(中) 乙案",IF(AE36="夜值","夜值(晚)",IF(AE36="甲夜","夜值(晚) 甲案",IF(AE36="備","08-18",IF(OR(AE36="支援秘書室",AE36="支援出納室",AE36="支援警務科",AE36="支援事務股"),"支援總(大)隊",IF(AE36="支援檢疫所","支援(其他)",IF(  AE36="/","空班",  IF(  AE36="丙",  "※ 丙案",  IF(  AE36="丙常訓",  "※ 丙案 常訓",AE36  )))))))))))))))))))))))))</f>
        <v/>
      </c>
      <c r="AF76" s="271" t="str">
        <f>IF(AF36="早","08-18",IF(AF36="中","12-22",IF(AF36="晚","22-08",IF(AF36="X","輪休",IF(AF36="公","公假",IF(OR(AF36="病",AF36="事"),"病(事)假",IF(OR(AF36="婚",AF36="產"),"婚(產)假",IF(AF36="補","補休",IF(AF36="休","休假",IF(AF36="喪","喪假",IF(AND(AF36="/",OR($A36=日期輸入!$B$23,$A36=日期輸入!$C$23,$A36=日期輸入!$D$23,$A36=日期輸入!$E$23,$A36=日期輸入!$F$23)),"08-18水電科",IF(AF36="大日","大隊值日(日)",IF(AF36="大夜","大隊值日(夜)",IF(AF36="值1","值1(早)",IF(AF36="值1丙","值1(早) 丙案",IF(AF36="值2","值2(中)",IF(AF36="值2乙","值2(中) 乙案",IF(AF36="夜值","夜值(晚)",IF(AF36="甲夜","夜值(晚) 甲案",IF(AF36="備","08-18",IF(OR(AF36="支援秘書室",AF36="支援出納室",AF36="支援警務科",AF36="支援事務股"),"支援總(大)隊",IF(AF36="支援檢疫所","支援(其他)",IF(  AF36="/","空班",  IF(  AF36="丙",  "※ 丙案",  IF(  AF36="丙常訓",  "※ 丙案 常訓",AF36  )))))))))))))))))))))))))</f>
        <v/>
      </c>
      <c r="AG76" s="271" t="str">
        <f>IF(AG36="早","08-18",IF(AG36="中","12-22",IF(AG36="晚","22-08",IF(AG36="X","輪休",IF(AG36="公","公假",IF(OR(AG36="病",AG36="事"),"病(事)假",IF(OR(AG36="婚",AG36="產"),"婚(產)假",IF(AG36="補","補休",IF(AG36="休","休假",IF(AG36="喪","喪假",IF(AND(AG36="/",OR($A36=日期輸入!$B$23,$A36=日期輸入!$C$23,$A36=日期輸入!$D$23,$A36=日期輸入!$E$23,$A36=日期輸入!$F$23)),"08-18水電科",IF(AG36="大日","大隊值日(日)",IF(AG36="大夜","大隊值日(夜)",IF(AG36="值1","值1(早)",IF(AG36="值1丙","值1(早) 丙案",IF(AG36="值2","值2(中)",IF(AG36="值2乙","值2(中) 乙案",IF(AG36="夜值","夜值(晚)",IF(AG36="甲夜","夜值(晚) 甲案",IF(AG36="備","08-18",IF(OR(AG36="支援秘書室",AG36="支援出納室",AG36="支援警務科",AG36="支援事務股"),"支援總(大)隊",IF(AG36="支援檢疫所","支援(其他)",IF(  AG36="/","空班",  IF(  AG36="丙",  "※ 丙案",  IF(  AG36="丙常訓",  "※ 丙案 常訓",AG36  )))))))))))))))))))))))))</f>
        <v/>
      </c>
    </row>
    <row r="77" spans="1:33">
      <c r="A77" s="271" t="str">
        <f t="shared" ref="A77:B77" si="36">A37</f>
        <v/>
      </c>
      <c r="B77" s="271" t="str">
        <f t="shared" si="36"/>
        <v/>
      </c>
      <c r="C77" s="271" t="str">
        <f>IF(C37="早","08-18",IF(C37="中","12-22",IF(C37="晚","22-08",IF(C37="X","輪休",IF(C37="公","公假",IF(OR(C37="病",C37="事"),"病(事)假",IF(OR(C37="婚",C37="產"),"婚(產)假",IF(C37="補","補休",IF(C37="休","休假",IF(C37="喪","喪假",IF(AND(C37="/",OR($A37=日期輸入!$B$23,$A37=日期輸入!$C$23,$A37=日期輸入!$D$23,$A37=日期輸入!$E$23,$A37=日期輸入!$F$23)),"08-18水電科",IF(C37="大日","大隊值日(日)",IF(C37="大夜","大隊值日(夜)",IF(C37="值1","值1(早)",IF(C37="值1丙","值1(早) 丙案",IF(C37="值2","值2(中)",IF(C37="值2乙","值2(中) 乙案",IF(C37="夜值","夜值(晚)",IF(C37="甲夜","夜值(晚) 甲案",IF(C37="備","08-18",IF(OR(C37="支援秘書室",C37="支援出納室",C37="支援警務科",C37="支援事務股"),"支援總(大)隊",IF(C37="支援檢疫所","支援(其他)",IF(  C37="/","空班",  IF(  C37="丙",  "※ 丙案",  IF(  C37="丙常訓",  "※ 丙案 常訓",C37  )))))))))))))))))))))))))</f>
        <v/>
      </c>
      <c r="D77" s="271" t="str">
        <f>IF(D37="早","08-18",IF(D37="中","12-22",IF(D37="晚","22-08",IF(D37="X","輪休",IF(D37="公","公假",IF(OR(D37="病",D37="事"),"病(事)假",IF(OR(D37="婚",D37="產"),"婚(產)假",IF(D37="補","補休",IF(D37="休","休假",IF(D37="喪","喪假",IF(AND(D37="/",OR($A37=日期輸入!$B$23,$A37=日期輸入!$C$23,$A37=日期輸入!$D$23,$A37=日期輸入!$E$23,$A37=日期輸入!$F$23)),"08-18水電科",IF(D37="大日","大隊值日(日)",IF(D37="大夜","大隊值日(夜)",IF(D37="值1","值1(早)",IF(D37="值1丙","值1(早) 丙案",IF(D37="值2","值2(中)",IF(D37="值2乙","值2(中) 乙案",IF(D37="夜值","夜值(晚)",IF(D37="甲夜","夜值(晚) 甲案",IF(D37="備","08-18",IF(OR(D37="支援秘書室",D37="支援出納室",D37="支援警務科",D37="支援事務股"),"支援總(大)隊",IF(D37="支援檢疫所","支援(其他)",IF(  D37="/","空班",  IF(  D37="丙",  "※ 丙案",  IF(  D37="丙常訓",  "※ 丙案 常訓",D37  )))))))))))))))))))))))))</f>
        <v/>
      </c>
      <c r="E77" s="271" t="str">
        <f>IF(E37="早","08-18",IF(E37="中","12-22",IF(E37="晚","22-08",IF(E37="X","輪休",IF(E37="公","公假",IF(OR(E37="病",E37="事"),"病(事)假",IF(OR(E37="婚",E37="產"),"婚(產)假",IF(E37="補","補休",IF(E37="休","休假",IF(E37="喪","喪假",IF(AND(E37="/",OR($A37=日期輸入!$B$23,$A37=日期輸入!$C$23,$A37=日期輸入!$D$23,$A37=日期輸入!$E$23,$A37=日期輸入!$F$23)),"08-18水電科",IF(E37="大日","大隊值日(日)",IF(E37="大夜","大隊值日(夜)",IF(E37="值1","值1(早)",IF(E37="值1丙","值1(早) 丙案",IF(E37="值2","值2(中)",IF(E37="值2乙","值2(中) 乙案",IF(E37="夜值","夜值(晚)",IF(E37="甲夜","夜值(晚) 甲案",IF(E37="備","08-18",IF(OR(E37="支援秘書室",E37="支援出納室",E37="支援警務科",E37="支援事務股"),"支援總(大)隊",IF(E37="支援檢疫所","支援(其他)",IF(  E37="/","空班",  IF(  E37="丙",  "※ 丙案",  IF(  E37="丙常訓",  "※ 丙案 常訓",E37  )))))))))))))))))))))))))</f>
        <v/>
      </c>
      <c r="F77" s="271" t="str">
        <f>IF(F37="早","08-18",IF(F37="中","12-22",IF(F37="晚","22-08",IF(F37="X","輪休",IF(F37="公","公假",IF(OR(F37="病",F37="事"),"病(事)假",IF(OR(F37="婚",F37="產"),"婚(產)假",IF(F37="補","補休",IF(F37="休","休假",IF(F37="喪","喪假",IF(AND(F37="/",OR($A37=日期輸入!$B$23,$A37=日期輸入!$C$23,$A37=日期輸入!$D$23,$A37=日期輸入!$E$23,$A37=日期輸入!$F$23)),"08-18水電科",IF(F37="大日","大隊值日(日)",IF(F37="大夜","大隊值日(夜)",IF(F37="值1","值1(早)",IF(F37="值1丙","值1(早) 丙案",IF(F37="值2","值2(中)",IF(F37="值2乙","值2(中) 乙案",IF(F37="夜值","夜值(晚)",IF(F37="甲夜","夜值(晚) 甲案",IF(F37="備","08-18",IF(OR(F37="支援秘書室",F37="支援出納室",F37="支援警務科",F37="支援事務股"),"支援總(大)隊",IF(F37="支援檢疫所","支援(其他)",IF(  F37="/","空班",  IF(  F37="丙",  "※ 丙案",  IF(  F37="丙常訓",  "※ 丙案 常訓",F37  )))))))))))))))))))))))))</f>
        <v/>
      </c>
      <c r="G77" s="271" t="str">
        <f>IF(G37="早","08-18",IF(G37="中","12-22",IF(G37="晚","22-08",IF(G37="X","輪休",IF(G37="公","公假",IF(OR(G37="病",G37="事"),"病(事)假",IF(OR(G37="婚",G37="產"),"婚(產)假",IF(G37="補","補休",IF(G37="休","休假",IF(G37="喪","喪假",IF(AND(G37="/",OR($A37=日期輸入!$B$23,$A37=日期輸入!$C$23,$A37=日期輸入!$D$23,$A37=日期輸入!$E$23,$A37=日期輸入!$F$23)),"08-18水電科",IF(G37="大日","大隊值日(日)",IF(G37="大夜","大隊值日(夜)",IF(G37="值1","值1(早)",IF(G37="值1丙","值1(早) 丙案",IF(G37="值2","值2(中)",IF(G37="值2乙","值2(中) 乙案",IF(G37="夜值","夜值(晚)",IF(G37="甲夜","夜值(晚) 甲案",IF(G37="備","08-18",IF(OR(G37="支援秘書室",G37="支援出納室",G37="支援警務科",G37="支援事務股"),"支援總(大)隊",IF(G37="支援檢疫所","支援(其他)",IF(  G37="/","空班",  IF(  G37="丙",  "※ 丙案",  IF(  G37="丙常訓",  "※ 丙案 常訓",G37  )))))))))))))))))))))))))</f>
        <v/>
      </c>
      <c r="H77" s="271" t="str">
        <f>IF(H37="早","08-18",IF(H37="中","12-22",IF(H37="晚","22-08",IF(H37="X","輪休",IF(H37="公","公假",IF(OR(H37="病",H37="事"),"病(事)假",IF(OR(H37="婚",H37="產"),"婚(產)假",IF(H37="補","補休",IF(H37="休","休假",IF(H37="喪","喪假",IF(AND(H37="/",OR($A37=日期輸入!$B$23,$A37=日期輸入!$C$23,$A37=日期輸入!$D$23,$A37=日期輸入!$E$23,$A37=日期輸入!$F$23)),"08-18水電科",IF(H37="大日","大隊值日(日)",IF(H37="大夜","大隊值日(夜)",IF(H37="值1","值1(早)",IF(H37="值1丙","值1(早) 丙案",IF(H37="值2","值2(中)",IF(H37="值2乙","值2(中) 乙案",IF(H37="夜值","夜值(晚)",IF(H37="甲夜","夜值(晚) 甲案",IF(H37="備","08-18",IF(OR(H37="支援秘書室",H37="支援出納室",H37="支援警務科",H37="支援事務股"),"支援總(大)隊",IF(H37="支援檢疫所","支援(其他)",IF(  H37="/","空班",  IF(  H37="丙",  "※ 丙案",  IF(  H37="丙常訓",  "※ 丙案 常訓",H37  )))))))))))))))))))))))))</f>
        <v/>
      </c>
      <c r="I77" s="271" t="str">
        <f>IF(I37="早","08-18",IF(I37="中","12-22",IF(I37="晚","22-08",IF(I37="X","輪休",IF(I37="公","公假",IF(OR(I37="病",I37="事"),"病(事)假",IF(OR(I37="婚",I37="產"),"婚(產)假",IF(I37="補","補休",IF(I37="休","休假",IF(I37="喪","喪假",IF(AND(I37="/",OR($A37=日期輸入!$B$23,$A37=日期輸入!$C$23,$A37=日期輸入!$D$23,$A37=日期輸入!$E$23,$A37=日期輸入!$F$23)),"08-18水電科",IF(I37="大日","大隊值日(日)",IF(I37="大夜","大隊值日(夜)",IF(I37="值1","值1(早)",IF(I37="值1丙","值1(早) 丙案",IF(I37="值2","值2(中)",IF(I37="值2乙","值2(中) 乙案",IF(I37="夜值","夜值(晚)",IF(I37="甲夜","夜值(晚) 甲案",IF(I37="備","08-18",IF(OR(I37="支援秘書室",I37="支援出納室",I37="支援警務科",I37="支援事務股"),"支援總(大)隊",IF(I37="支援檢疫所","支援(其他)",IF(  I37="/","空班",  IF(  I37="丙",  "※ 丙案",  IF(  I37="丙常訓",  "※ 丙案 常訓",I37  )))))))))))))))))))))))))</f>
        <v/>
      </c>
      <c r="J77" s="271" t="str">
        <f>IF(J37="早","08-18",IF(J37="中","12-22",IF(J37="晚","22-08",IF(J37="X","輪休",IF(J37="公","公假",IF(OR(J37="病",J37="事"),"病(事)假",IF(OR(J37="婚",J37="產"),"婚(產)假",IF(J37="補","補休",IF(J37="休","休假",IF(J37="喪","喪假",IF(AND(J37="/",OR($A37=日期輸入!$B$23,$A37=日期輸入!$C$23,$A37=日期輸入!$D$23,$A37=日期輸入!$E$23,$A37=日期輸入!$F$23)),"08-18水電科",IF(J37="大日","大隊值日(日)",IF(J37="大夜","大隊值日(夜)",IF(J37="值1","值1(早)",IF(J37="值1丙","值1(早) 丙案",IF(J37="值2","值2(中)",IF(J37="值2乙","值2(中) 乙案",IF(J37="夜值","夜值(晚)",IF(J37="甲夜","夜值(晚) 甲案",IF(J37="備","08-18",IF(OR(J37="支援秘書室",J37="支援出納室",J37="支援警務科",J37="支援事務股"),"支援總(大)隊",IF(J37="支援檢疫所","支援(其他)",IF(  J37="/","空班",  IF(  J37="丙",  "※ 丙案",  IF(  J37="丙常訓",  "※ 丙案 常訓",J37  )))))))))))))))))))))))))</f>
        <v/>
      </c>
      <c r="K77" s="271" t="str">
        <f>IF(K37="早","08-18",IF(K37="中","12-22",IF(K37="晚","22-08",IF(K37="X","輪休",IF(K37="公","公假",IF(OR(K37="病",K37="事"),"病(事)假",IF(OR(K37="婚",K37="產"),"婚(產)假",IF(K37="補","補休",IF(K37="休","休假",IF(K37="喪","喪假",IF(AND(K37="/",OR($A37=日期輸入!$B$23,$A37=日期輸入!$C$23,$A37=日期輸入!$D$23,$A37=日期輸入!$E$23,$A37=日期輸入!$F$23)),"08-18水電科",IF(K37="大日","大隊值日(日)",IF(K37="大夜","大隊值日(夜)",IF(K37="值1","值1(早)",IF(K37="值1丙","值1(早) 丙案",IF(K37="值2","值2(中)",IF(K37="值2乙","值2(中) 乙案",IF(K37="夜值","夜值(晚)",IF(K37="甲夜","夜值(晚) 甲案",IF(K37="備","08-18",IF(OR(K37="支援秘書室",K37="支援出納室",K37="支援警務科",K37="支援事務股"),"支援總(大)隊",IF(K37="支援檢疫所","支援(其他)",IF(  K37="/","空班",  IF(  K37="丙",  "※ 丙案",  IF(  K37="丙常訓",  "※ 丙案 常訓",K37  )))))))))))))))))))))))))</f>
        <v/>
      </c>
      <c r="L77" s="271" t="str">
        <f>IF(L37="早","08-18",IF(L37="中","12-22",IF(L37="晚","22-08",IF(L37="X","輪休",IF(L37="公","公假",IF(OR(L37="病",L37="事"),"病(事)假",IF(OR(L37="婚",L37="產"),"婚(產)假",IF(L37="補","補休",IF(L37="休","休假",IF(L37="喪","喪假",IF(AND(L37="/",OR($A37=日期輸入!$B$23,$A37=日期輸入!$C$23,$A37=日期輸入!$D$23,$A37=日期輸入!$E$23,$A37=日期輸入!$F$23)),"08-18水電科",IF(L37="大日","大隊值日(日)",IF(L37="大夜","大隊值日(夜)",IF(L37="值1","值1(早)",IF(L37="值1丙","值1(早) 丙案",IF(L37="值2","值2(中)",IF(L37="值2乙","值2(中) 乙案",IF(L37="夜值","夜值(晚)",IF(L37="甲夜","夜值(晚) 甲案",IF(L37="備","08-18",IF(OR(L37="支援秘書室",L37="支援出納室",L37="支援警務科",L37="支援事務股"),"支援總(大)隊",IF(L37="支援檢疫所","支援(其他)",IF(  L37="/","空班",  IF(  L37="丙",  "※ 丙案",  IF(  L37="丙常訓",  "※ 丙案 常訓",L37  )))))))))))))))))))))))))</f>
        <v/>
      </c>
      <c r="M77" s="271" t="str">
        <f>IF(M37="早","08-18",IF(M37="中","12-22",IF(M37="晚","22-08",IF(M37="X","輪休",IF(M37="公","公假",IF(OR(M37="病",M37="事"),"病(事)假",IF(OR(M37="婚",M37="產"),"婚(產)假",IF(M37="補","補休",IF(M37="休","休假",IF(M37="喪","喪假",IF(AND(M37="/",OR($A37=日期輸入!$B$23,$A37=日期輸入!$C$23,$A37=日期輸入!$D$23,$A37=日期輸入!$E$23,$A37=日期輸入!$F$23)),"08-18水電科",IF(M37="大日","大隊值日(日)",IF(M37="大夜","大隊值日(夜)",IF(M37="值1","值1(早)",IF(M37="值1丙","值1(早) 丙案",IF(M37="值2","值2(中)",IF(M37="值2乙","值2(中) 乙案",IF(M37="夜值","夜值(晚)",IF(M37="甲夜","夜值(晚) 甲案",IF(M37="備","08-18",IF(OR(M37="支援秘書室",M37="支援出納室",M37="支援警務科",M37="支援事務股"),"支援總(大)隊",IF(M37="支援檢疫所","支援(其他)",IF(  M37="/","空班",  IF(  M37="丙",  "※ 丙案",  IF(  M37="丙常訓",  "※ 丙案 常訓",M37  )))))))))))))))))))))))))</f>
        <v/>
      </c>
      <c r="N77" s="271" t="str">
        <f>IF(N37="早","08-18",IF(N37="中","12-22",IF(N37="晚","22-08",IF(N37="X","輪休",IF(N37="公","公假",IF(OR(N37="病",N37="事"),"病(事)假",IF(OR(N37="婚",N37="產"),"婚(產)假",IF(N37="補","補休",IF(N37="休","休假",IF(N37="喪","喪假",IF(AND(N37="/",OR($A37=日期輸入!$B$23,$A37=日期輸入!$C$23,$A37=日期輸入!$D$23,$A37=日期輸入!$E$23,$A37=日期輸入!$F$23)),"08-18水電科",IF(N37="大日","大隊值日(日)",IF(N37="大夜","大隊值日(夜)",IF(N37="值1","值1(早)",IF(N37="值1丙","值1(早) 丙案",IF(N37="值2","值2(中)",IF(N37="值2乙","值2(中) 乙案",IF(N37="夜值","夜值(晚)",IF(N37="甲夜","夜值(晚) 甲案",IF(N37="備","08-18",IF(OR(N37="支援秘書室",N37="支援出納室",N37="支援警務科",N37="支援事務股"),"支援總(大)隊",IF(N37="支援檢疫所","支援(其他)",IF(  N37="/","空班",  IF(  N37="丙",  "※ 丙案",  IF(  N37="丙常訓",  "※ 丙案 常訓",N37  )))))))))))))))))))))))))</f>
        <v/>
      </c>
      <c r="O77" s="271" t="str">
        <f>IF(O37="早","08-18",IF(O37="中","12-22",IF(O37="晚","22-08",IF(O37="X","輪休",IF(O37="公","公假",IF(OR(O37="病",O37="事"),"病(事)假",IF(OR(O37="婚",O37="產"),"婚(產)假",IF(O37="補","補休",IF(O37="休","休假",IF(O37="喪","喪假",IF(AND(O37="/",OR($A37=日期輸入!$B$23,$A37=日期輸入!$C$23,$A37=日期輸入!$D$23,$A37=日期輸入!$E$23,$A37=日期輸入!$F$23)),"08-18水電科",IF(O37="大日","大隊值日(日)",IF(O37="大夜","大隊值日(夜)",IF(O37="值1","值1(早)",IF(O37="值1丙","值1(早) 丙案",IF(O37="值2","值2(中)",IF(O37="值2乙","值2(中) 乙案",IF(O37="夜值","夜值(晚)",IF(O37="甲夜","夜值(晚) 甲案",IF(O37="備","08-18",IF(OR(O37="支援秘書室",O37="支援出納室",O37="支援警務科",O37="支援事務股"),"支援總(大)隊",IF(O37="支援檢疫所","支援(其他)",IF(  O37="/","空班",  IF(  O37="丙",  "※ 丙案",  IF(  O37="丙常訓",  "※ 丙案 常訓",O37  )))))))))))))))))))))))))</f>
        <v/>
      </c>
      <c r="P77" s="271" t="str">
        <f>IF(P37="早","08-18",IF(P37="中","12-22",IF(P37="晚","22-08",IF(P37="X","輪休",IF(P37="公","公假",IF(OR(P37="病",P37="事"),"病(事)假",IF(OR(P37="婚",P37="產"),"婚(產)假",IF(P37="補","補休",IF(P37="休","休假",IF(P37="喪","喪假",IF(AND(P37="/",OR($A37=日期輸入!$B$23,$A37=日期輸入!$C$23,$A37=日期輸入!$D$23,$A37=日期輸入!$E$23,$A37=日期輸入!$F$23)),"08-18水電科",IF(P37="大日","大隊值日(日)",IF(P37="大夜","大隊值日(夜)",IF(P37="值1","值1(早)",IF(P37="值1丙","值1(早) 丙案",IF(P37="值2","值2(中)",IF(P37="值2乙","值2(中) 乙案",IF(P37="夜值","夜值(晚)",IF(P37="甲夜","夜值(晚) 甲案",IF(P37="備","08-18",IF(OR(P37="支援秘書室",P37="支援出納室",P37="支援警務科",P37="支援事務股"),"支援總(大)隊",IF(P37="支援檢疫所","支援(其他)",IF(  P37="/","空班",  IF(  P37="丙",  "※ 丙案",  IF(  P37="丙常訓",  "※ 丙案 常訓",P37  )))))))))))))))))))))))))</f>
        <v/>
      </c>
      <c r="Q77" s="271" t="str">
        <f>IF(Q37="早","08-18",IF(Q37="中","12-22",IF(Q37="晚","22-08",IF(Q37="X","輪休",IF(Q37="公","公假",IF(OR(Q37="病",Q37="事"),"病(事)假",IF(OR(Q37="婚",Q37="產"),"婚(產)假",IF(Q37="補","補休",IF(Q37="休","休假",IF(Q37="喪","喪假",IF(AND(Q37="/",OR($A37=日期輸入!$B$23,$A37=日期輸入!$C$23,$A37=日期輸入!$D$23,$A37=日期輸入!$E$23,$A37=日期輸入!$F$23)),"08-18水電科",IF(Q37="大日","大隊值日(日)",IF(Q37="大夜","大隊值日(夜)",IF(Q37="值1","值1(早)",IF(Q37="值1丙","值1(早) 丙案",IF(Q37="值2","值2(中)",IF(Q37="值2乙","值2(中) 乙案",IF(Q37="夜值","夜值(晚)",IF(Q37="甲夜","夜值(晚) 甲案",IF(Q37="備","08-18",IF(OR(Q37="支援秘書室",Q37="支援出納室",Q37="支援警務科",Q37="支援事務股"),"支援總(大)隊",IF(Q37="支援檢疫所","支援(其他)",IF(  Q37="/","空班",  IF(  Q37="丙",  "※ 丙案",  IF(  Q37="丙常訓",  "※ 丙案 常訓",Q37  )))))))))))))))))))))))))</f>
        <v/>
      </c>
      <c r="R77" s="271" t="str">
        <f>IF(R37="早","08-18",IF(R37="中","12-22",IF(R37="晚","22-08",IF(R37="X","輪休",IF(R37="公","公假",IF(OR(R37="病",R37="事"),"病(事)假",IF(OR(R37="婚",R37="產"),"婚(產)假",IF(R37="補","補休",IF(R37="休","休假",IF(R37="喪","喪假",IF(AND(R37="/",OR($A37=日期輸入!$B$23,$A37=日期輸入!$C$23,$A37=日期輸入!$D$23,$A37=日期輸入!$E$23,$A37=日期輸入!$F$23)),"08-18水電科",IF(R37="大日","大隊值日(日)",IF(R37="大夜","大隊值日(夜)",IF(R37="值1","值1(早)",IF(R37="值1丙","值1(早) 丙案",IF(R37="值2","值2(中)",IF(R37="值2乙","值2(中) 乙案",IF(R37="夜值","夜值(晚)",IF(R37="甲夜","夜值(晚) 甲案",IF(R37="備","08-18",IF(OR(R37="支援秘書室",R37="支援出納室",R37="支援警務科",R37="支援事務股"),"支援總(大)隊",IF(R37="支援檢疫所","支援(其他)",IF(  R37="/","空班",  IF(  R37="丙",  "※ 丙案",  IF(  R37="丙常訓",  "※ 丙案 常訓",R37  )))))))))))))))))))))))))</f>
        <v/>
      </c>
      <c r="S77" s="271" t="str">
        <f>IF(S37="早","08-18",IF(S37="中","12-22",IF(S37="晚","22-08",IF(S37="X","輪休",IF(S37="公","公假",IF(OR(S37="病",S37="事"),"病(事)假",IF(OR(S37="婚",S37="產"),"婚(產)假",IF(S37="補","補休",IF(S37="休","休假",IF(S37="喪","喪假",IF(AND(S37="/",OR($A37=日期輸入!$B$23,$A37=日期輸入!$C$23,$A37=日期輸入!$D$23,$A37=日期輸入!$E$23,$A37=日期輸入!$F$23)),"08-18水電科",IF(S37="大日","大隊值日(日)",IF(S37="大夜","大隊值日(夜)",IF(S37="值1","值1(早)",IF(S37="值1丙","值1(早) 丙案",IF(S37="值2","值2(中)",IF(S37="值2乙","值2(中) 乙案",IF(S37="夜值","夜值(晚)",IF(S37="甲夜","夜值(晚) 甲案",IF(S37="備","08-18",IF(OR(S37="支援秘書室",S37="支援出納室",S37="支援警務科",S37="支援事務股"),"支援總(大)隊",IF(S37="支援檢疫所","支援(其他)",IF(  S37="/","空班",  IF(  S37="丙",  "※ 丙案",  IF(  S37="丙常訓",  "※ 丙案 常訓",S37  )))))))))))))))))))))))))</f>
        <v/>
      </c>
      <c r="T77" s="271" t="str">
        <f>IF(T37="早","08-18",IF(T37="中","12-22",IF(T37="晚","22-08",IF(T37="X","輪休",IF(T37="公","公假",IF(OR(T37="病",T37="事"),"病(事)假",IF(OR(T37="婚",T37="產"),"婚(產)假",IF(T37="補","補休",IF(T37="休","休假",IF(T37="喪","喪假",IF(AND(T37="/",OR($A37=日期輸入!$B$23,$A37=日期輸入!$C$23,$A37=日期輸入!$D$23,$A37=日期輸入!$E$23,$A37=日期輸入!$F$23)),"08-18水電科",IF(T37="大日","大隊值日(日)",IF(T37="大夜","大隊值日(夜)",IF(T37="值1","值1(早)",IF(T37="值1丙","值1(早) 丙案",IF(T37="值2","值2(中)",IF(T37="值2乙","值2(中) 乙案",IF(T37="夜值","夜值(晚)",IF(T37="甲夜","夜值(晚) 甲案",IF(T37="備","08-18",IF(OR(T37="支援秘書室",T37="支援出納室",T37="支援警務科",T37="支援事務股"),"支援總(大)隊",IF(T37="支援檢疫所","支援(其他)",IF(  T37="/","空班",  IF(  T37="丙",  "※ 丙案",  IF(  T37="丙常訓",  "※ 丙案 常訓",T37  )))))))))))))))))))))))))</f>
        <v/>
      </c>
      <c r="U77" s="271" t="str">
        <f>IF(U37="早","08-18",IF(U37="中","12-22",IF(U37="晚","22-08",IF(U37="X","輪休",IF(U37="公","公假",IF(OR(U37="病",U37="事"),"病(事)假",IF(OR(U37="婚",U37="產"),"婚(產)假",IF(U37="補","補休",IF(U37="休","休假",IF(U37="喪","喪假",IF(AND(U37="/",OR($A37=日期輸入!$B$23,$A37=日期輸入!$C$23,$A37=日期輸入!$D$23,$A37=日期輸入!$E$23,$A37=日期輸入!$F$23)),"08-18水電科",IF(U37="大日","大隊值日(日)",IF(U37="大夜","大隊值日(夜)",IF(U37="值1","值1(早)",IF(U37="值1丙","值1(早) 丙案",IF(U37="值2","值2(中)",IF(U37="值2乙","值2(中) 乙案",IF(U37="夜值","夜值(晚)",IF(U37="甲夜","夜值(晚) 甲案",IF(U37="備","08-18",IF(OR(U37="支援秘書室",U37="支援出納室",U37="支援警務科",U37="支援事務股"),"支援總(大)隊",IF(U37="支援檢疫所","支援(其他)",IF(  U37="/","空班",  IF(  U37="丙",  "※ 丙案",  IF(  U37="丙常訓",  "※ 丙案 常訓",U37  )))))))))))))))))))))))))</f>
        <v/>
      </c>
      <c r="V77" s="271" t="str">
        <f>IF(V37="早","08-18",IF(V37="中","12-22",IF(V37="晚","22-08",IF(V37="X","輪休",IF(V37="公","公假",IF(OR(V37="病",V37="事"),"病(事)假",IF(OR(V37="婚",V37="產"),"婚(產)假",IF(V37="補","補休",IF(V37="休","休假",IF(V37="喪","喪假",IF(AND(V37="/",OR($A37=日期輸入!$B$23,$A37=日期輸入!$C$23,$A37=日期輸入!$D$23,$A37=日期輸入!$E$23,$A37=日期輸入!$F$23)),"08-18水電科",IF(V37="大日","大隊值日(日)",IF(V37="大夜","大隊值日(夜)",IF(V37="值1","值1(早)",IF(V37="值1丙","值1(早) 丙案",IF(V37="值2","值2(中)",IF(V37="值2乙","值2(中) 乙案",IF(V37="夜值","夜值(晚)",IF(V37="甲夜","夜值(晚) 甲案",IF(V37="備","08-18",IF(OR(V37="支援秘書室",V37="支援出納室",V37="支援警務科",V37="支援事務股"),"支援總(大)隊",IF(V37="支援檢疫所","支援(其他)",IF(  V37="/","空班",  IF(  V37="丙",  "※ 丙案",  IF(  V37="丙常訓",  "※ 丙案 常訓",V37  )))))))))))))))))))))))))</f>
        <v/>
      </c>
      <c r="W77" s="271" t="str">
        <f>IF(W37="早","08-18",IF(W37="中","12-22",IF(W37="晚","22-08",IF(W37="X","輪休",IF(W37="公","公假",IF(OR(W37="病",W37="事"),"病(事)假",IF(OR(W37="婚",W37="產"),"婚(產)假",IF(W37="補","補休",IF(W37="休","休假",IF(W37="喪","喪假",IF(AND(W37="/",OR($A37=日期輸入!$B$23,$A37=日期輸入!$C$23,$A37=日期輸入!$D$23,$A37=日期輸入!$E$23,$A37=日期輸入!$F$23)),"08-18水電科",IF(W37="大日","大隊值日(日)",IF(W37="大夜","大隊值日(夜)",IF(W37="值1","值1(早)",IF(W37="值1丙","值1(早) 丙案",IF(W37="值2","值2(中)",IF(W37="值2乙","值2(中) 乙案",IF(W37="夜值","夜值(晚)",IF(W37="甲夜","夜值(晚) 甲案",IF(W37="備","08-18",IF(OR(W37="支援秘書室",W37="支援出納室",W37="支援警務科",W37="支援事務股"),"支援總(大)隊",IF(W37="支援檢疫所","支援(其他)",IF(  W37="/","空班",  IF(  W37="丙",  "※ 丙案",  IF(  W37="丙常訓",  "※ 丙案 常訓",W37  )))))))))))))))))))))))))</f>
        <v/>
      </c>
      <c r="X77" s="271" t="str">
        <f>IF(X37="早","08-18",IF(X37="中","12-22",IF(X37="晚","22-08",IF(X37="X","輪休",IF(X37="公","公假",IF(OR(X37="病",X37="事"),"病(事)假",IF(OR(X37="婚",X37="產"),"婚(產)假",IF(X37="補","補休",IF(X37="休","休假",IF(X37="喪","喪假",IF(AND(X37="/",OR($A37=日期輸入!$B$23,$A37=日期輸入!$C$23,$A37=日期輸入!$D$23,$A37=日期輸入!$E$23,$A37=日期輸入!$F$23)),"08-18水電科",IF(X37="大日","大隊值日(日)",IF(X37="大夜","大隊值日(夜)",IF(X37="值1","值1(早)",IF(X37="值1丙","值1(早) 丙案",IF(X37="值2","值2(中)",IF(X37="值2乙","值2(中) 乙案",IF(X37="夜值","夜值(晚)",IF(X37="甲夜","夜值(晚) 甲案",IF(X37="備","08-18",IF(OR(X37="支援秘書室",X37="支援出納室",X37="支援警務科",X37="支援事務股"),"支援總(大)隊",IF(X37="支援檢疫所","支援(其他)",IF(  X37="/","空班",  IF(  X37="丙",  "※ 丙案",  IF(  X37="丙常訓",  "※ 丙案 常訓",X37  )))))))))))))))))))))))))</f>
        <v/>
      </c>
      <c r="Y77" s="271" t="str">
        <f>IF(Y37="早","08-18",IF(Y37="中","12-22",IF(Y37="晚","22-08",IF(Y37="X","輪休",IF(Y37="公","公假",IF(OR(Y37="病",Y37="事"),"病(事)假",IF(OR(Y37="婚",Y37="產"),"婚(產)假",IF(Y37="補","補休",IF(Y37="休","休假",IF(Y37="喪","喪假",IF(AND(Y37="/",OR($A37=日期輸入!$B$23,$A37=日期輸入!$C$23,$A37=日期輸入!$D$23,$A37=日期輸入!$E$23,$A37=日期輸入!$F$23)),"08-18水電科",IF(Y37="大日","大隊值日(日)",IF(Y37="大夜","大隊值日(夜)",IF(Y37="值1","值1(早)",IF(Y37="值1丙","值1(早) 丙案",IF(Y37="值2","值2(中)",IF(Y37="值2乙","值2(中) 乙案",IF(Y37="夜值","夜值(晚)",IF(Y37="甲夜","夜值(晚) 甲案",IF(Y37="備","08-18",IF(OR(Y37="支援秘書室",Y37="支援出納室",Y37="支援警務科",Y37="支援事務股"),"支援總(大)隊",IF(Y37="支援檢疫所","支援(其他)",IF(  Y37="/","空班",  IF(  Y37="丙",  "※ 丙案",  IF(  Y37="丙常訓",  "※ 丙案 常訓",Y37  )))))))))))))))))))))))))</f>
        <v/>
      </c>
      <c r="Z77" s="271" t="str">
        <f>IF(Z37="早","08-18",IF(Z37="中","12-22",IF(Z37="晚","22-08",IF(Z37="X","輪休",IF(Z37="公","公假",IF(OR(Z37="病",Z37="事"),"病(事)假",IF(OR(Z37="婚",Z37="產"),"婚(產)假",IF(Z37="補","補休",IF(Z37="休","休假",IF(Z37="喪","喪假",IF(AND(Z37="/",OR($A37=日期輸入!$B$23,$A37=日期輸入!$C$23,$A37=日期輸入!$D$23,$A37=日期輸入!$E$23,$A37=日期輸入!$F$23)),"08-18水電科",IF(Z37="大日","大隊值日(日)",IF(Z37="大夜","大隊值日(夜)",IF(Z37="值1","值1(早)",IF(Z37="值1丙","值1(早) 丙案",IF(Z37="值2","值2(中)",IF(Z37="值2乙","值2(中) 乙案",IF(Z37="夜值","夜值(晚)",IF(Z37="甲夜","夜值(晚) 甲案",IF(Z37="備","08-18",IF(OR(Z37="支援秘書室",Z37="支援出納室",Z37="支援警務科",Z37="支援事務股"),"支援總(大)隊",IF(Z37="支援檢疫所","支援(其他)",IF(  Z37="/","空班",  IF(  Z37="丙",  "※ 丙案",  IF(  Z37="丙常訓",  "※ 丙案 常訓",Z37  )))))))))))))))))))))))))</f>
        <v/>
      </c>
      <c r="AA77" s="271" t="str">
        <f>IF(AA37="早","08-18",IF(AA37="中","12-22",IF(AA37="晚","22-08",IF(AA37="X","輪休",IF(AA37="公","公假",IF(OR(AA37="病",AA37="事"),"病(事)假",IF(OR(AA37="婚",AA37="產"),"婚(產)假",IF(AA37="補","補休",IF(AA37="休","休假",IF(AA37="喪","喪假",IF(AND(AA37="/",OR($A37=日期輸入!$B$23,$A37=日期輸入!$C$23,$A37=日期輸入!$D$23,$A37=日期輸入!$E$23,$A37=日期輸入!$F$23)),"08-18水電科",IF(AA37="大日","大隊值日(日)",IF(AA37="大夜","大隊值日(夜)",IF(AA37="值1","值1(早)",IF(AA37="值1丙","值1(早) 丙案",IF(AA37="值2","值2(中)",IF(AA37="值2乙","值2(中) 乙案",IF(AA37="夜值","夜值(晚)",IF(AA37="甲夜","夜值(晚) 甲案",IF(AA37="備","08-18",IF(OR(AA37="支援秘書室",AA37="支援出納室",AA37="支援警務科",AA37="支援事務股"),"支援總(大)隊",IF(AA37="支援檢疫所","支援(其他)",IF(  AA37="/","空班",  IF(  AA37="丙",  "※ 丙案",  IF(  AA37="丙常訓",  "※ 丙案 常訓",AA37  )))))))))))))))))))))))))</f>
        <v/>
      </c>
      <c r="AB77" s="271" t="str">
        <f>IF(AB37="早","08-18",IF(AB37="中","12-22",IF(AB37="晚","22-08",IF(AB37="X","輪休",IF(AB37="公","公假",IF(OR(AB37="病",AB37="事"),"病(事)假",IF(OR(AB37="婚",AB37="產"),"婚(產)假",IF(AB37="補","補休",IF(AB37="休","休假",IF(AB37="喪","喪假",IF(AND(AB37="/",OR($A37=日期輸入!$B$23,$A37=日期輸入!$C$23,$A37=日期輸入!$D$23,$A37=日期輸入!$E$23,$A37=日期輸入!$F$23)),"08-18水電科",IF(AB37="大日","大隊值日(日)",IF(AB37="大夜","大隊值日(夜)",IF(AB37="值1","值1(早)",IF(AB37="值1丙","值1(早) 丙案",IF(AB37="值2","值2(中)",IF(AB37="值2乙","值2(中) 乙案",IF(AB37="夜值","夜值(晚)",IF(AB37="甲夜","夜值(晚) 甲案",IF(AB37="備","08-18",IF(OR(AB37="支援秘書室",AB37="支援出納室",AB37="支援警務科",AB37="支援事務股"),"支援總(大)隊",IF(AB37="支援檢疫所","支援(其他)",IF(  AB37="/","空班",  IF(  AB37="丙",  "※ 丙案",  IF(  AB37="丙常訓",  "※ 丙案 常訓",AB37  )))))))))))))))))))))))))</f>
        <v/>
      </c>
      <c r="AC77" s="271" t="str">
        <f>IF(AC37="早","08-18",IF(AC37="中","12-22",IF(AC37="晚","22-08",IF(AC37="X","輪休",IF(AC37="公","公假",IF(OR(AC37="病",AC37="事"),"病(事)假",IF(OR(AC37="婚",AC37="產"),"婚(產)假",IF(AC37="補","補休",IF(AC37="休","休假",IF(AC37="喪","喪假",IF(AND(AC37="/",OR($A37=日期輸入!$B$23,$A37=日期輸入!$C$23,$A37=日期輸入!$D$23,$A37=日期輸入!$E$23,$A37=日期輸入!$F$23)),"08-18水電科",IF(AC37="大日","大隊值日(日)",IF(AC37="大夜","大隊值日(夜)",IF(AC37="值1","值1(早)",IF(AC37="值1丙","值1(早) 丙案",IF(AC37="值2","值2(中)",IF(AC37="值2乙","值2(中) 乙案",IF(AC37="夜值","夜值(晚)",IF(AC37="甲夜","夜值(晚) 甲案",IF(AC37="備","08-18",IF(OR(AC37="支援秘書室",AC37="支援出納室",AC37="支援警務科",AC37="支援事務股"),"支援總(大)隊",IF(AC37="支援檢疫所","支援(其他)",IF(  AC37="/","空班",  IF(  AC37="丙",  "※ 丙案",  IF(  AC37="丙常訓",  "※ 丙案 常訓",AC37  )))))))))))))))))))))))))</f>
        <v/>
      </c>
      <c r="AD77" s="271" t="str">
        <f>IF(AD37="早","08-18",IF(AD37="中","12-22",IF(AD37="晚","22-08",IF(AD37="X","輪休",IF(AD37="公","公假",IF(OR(AD37="病",AD37="事"),"病(事)假",IF(OR(AD37="婚",AD37="產"),"婚(產)假",IF(AD37="補","補休",IF(AD37="休","休假",IF(AD37="喪","喪假",IF(AND(AD37="/",OR($A37=日期輸入!$B$23,$A37=日期輸入!$C$23,$A37=日期輸入!$D$23,$A37=日期輸入!$E$23,$A37=日期輸入!$F$23)),"08-18水電科",IF(AD37="大日","大隊值日(日)",IF(AD37="大夜","大隊值日(夜)",IF(AD37="值1","值1(早)",IF(AD37="值1丙","值1(早) 丙案",IF(AD37="值2","值2(中)",IF(AD37="值2乙","值2(中) 乙案",IF(AD37="夜值","夜值(晚)",IF(AD37="甲夜","夜值(晚) 甲案",IF(AD37="備","08-18",IF(OR(AD37="支援秘書室",AD37="支援出納室",AD37="支援警務科",AD37="支援事務股"),"支援總(大)隊",IF(AD37="支援檢疫所","支援(其他)",IF(  AD37="/","空班",  IF(  AD37="丙",  "※ 丙案",  IF(  AD37="丙常訓",  "※ 丙案 常訓",AD37  )))))))))))))))))))))))))</f>
        <v/>
      </c>
      <c r="AE77" s="271" t="str">
        <f>IF(AE37="早","08-18",IF(AE37="中","12-22",IF(AE37="晚","22-08",IF(AE37="X","輪休",IF(AE37="公","公假",IF(OR(AE37="病",AE37="事"),"病(事)假",IF(OR(AE37="婚",AE37="產"),"婚(產)假",IF(AE37="補","補休",IF(AE37="休","休假",IF(AE37="喪","喪假",IF(AND(AE37="/",OR($A37=日期輸入!$B$23,$A37=日期輸入!$C$23,$A37=日期輸入!$D$23,$A37=日期輸入!$E$23,$A37=日期輸入!$F$23)),"08-18水電科",IF(AE37="大日","大隊值日(日)",IF(AE37="大夜","大隊值日(夜)",IF(AE37="值1","值1(早)",IF(AE37="值1丙","值1(早) 丙案",IF(AE37="值2","值2(中)",IF(AE37="值2乙","值2(中) 乙案",IF(AE37="夜值","夜值(晚)",IF(AE37="甲夜","夜值(晚) 甲案",IF(AE37="備","08-18",IF(OR(AE37="支援秘書室",AE37="支援出納室",AE37="支援警務科",AE37="支援事務股"),"支援總(大)隊",IF(AE37="支援檢疫所","支援(其他)",IF(  AE37="/","空班",  IF(  AE37="丙",  "※ 丙案",  IF(  AE37="丙常訓",  "※ 丙案 常訓",AE37  )))))))))))))))))))))))))</f>
        <v/>
      </c>
      <c r="AF77" s="271" t="str">
        <f>IF(AF37="早","08-18",IF(AF37="中","12-22",IF(AF37="晚","22-08",IF(AF37="X","輪休",IF(AF37="公","公假",IF(OR(AF37="病",AF37="事"),"病(事)假",IF(OR(AF37="婚",AF37="產"),"婚(產)假",IF(AF37="補","補休",IF(AF37="休","休假",IF(AF37="喪","喪假",IF(AND(AF37="/",OR($A37=日期輸入!$B$23,$A37=日期輸入!$C$23,$A37=日期輸入!$D$23,$A37=日期輸入!$E$23,$A37=日期輸入!$F$23)),"08-18水電科",IF(AF37="大日","大隊值日(日)",IF(AF37="大夜","大隊值日(夜)",IF(AF37="值1","值1(早)",IF(AF37="值1丙","值1(早) 丙案",IF(AF37="值2","值2(中)",IF(AF37="值2乙","值2(中) 乙案",IF(AF37="夜值","夜值(晚)",IF(AF37="甲夜","夜值(晚) 甲案",IF(AF37="備","08-18",IF(OR(AF37="支援秘書室",AF37="支援出納室",AF37="支援警務科",AF37="支援事務股"),"支援總(大)隊",IF(AF37="支援檢疫所","支援(其他)",IF(  AF37="/","空班",  IF(  AF37="丙",  "※ 丙案",  IF(  AF37="丙常訓",  "※ 丙案 常訓",AF37  )))))))))))))))))))))))))</f>
        <v/>
      </c>
      <c r="AG77" s="271" t="str">
        <f>IF(AG37="早","08-18",IF(AG37="中","12-22",IF(AG37="晚","22-08",IF(AG37="X","輪休",IF(AG37="公","公假",IF(OR(AG37="病",AG37="事"),"病(事)假",IF(OR(AG37="婚",AG37="產"),"婚(產)假",IF(AG37="補","補休",IF(AG37="休","休假",IF(AG37="喪","喪假",IF(AND(AG37="/",OR($A37=日期輸入!$B$23,$A37=日期輸入!$C$23,$A37=日期輸入!$D$23,$A37=日期輸入!$E$23,$A37=日期輸入!$F$23)),"08-18水電科",IF(AG37="大日","大隊值日(日)",IF(AG37="大夜","大隊值日(夜)",IF(AG37="值1","值1(早)",IF(AG37="值1丙","值1(早) 丙案",IF(AG37="值2","值2(中)",IF(AG37="值2乙","值2(中) 乙案",IF(AG37="夜值","夜值(晚)",IF(AG37="甲夜","夜值(晚) 甲案",IF(AG37="備","08-18",IF(OR(AG37="支援秘書室",AG37="支援出納室",AG37="支援警務科",AG37="支援事務股"),"支援總(大)隊",IF(AG37="支援檢疫所","支援(其他)",IF(  AG37="/","空班",  IF(  AG37="丙",  "※ 丙案",  IF(  AG37="丙常訓",  "※ 丙案 常訓",AG37  )))))))))))))))))))))))))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0000"/>
  </sheetPr>
  <dimension ref="A1:BH558"/>
  <sheetViews>
    <sheetView topLeftCell="A114" zoomScale="55" zoomScaleNormal="55" workbookViewId="0">
      <selection activeCell="Y38" sqref="Y38"/>
    </sheetView>
  </sheetViews>
  <sheetFormatPr defaultColWidth="9" defaultRowHeight="25.5"/>
  <cols>
    <col min="1" max="1" width="10.625" style="289" customWidth="1"/>
    <col min="2" max="2" width="12.625" style="289" customWidth="1"/>
    <col min="3" max="8" width="10.625" style="289" customWidth="1"/>
    <col min="9" max="9" width="17" style="289" customWidth="1"/>
    <col min="10" max="33" width="10.625" style="289" customWidth="1"/>
    <col min="34" max="36" width="20.625" style="289" customWidth="1"/>
    <col min="37" max="37" width="10.625" style="63" bestFit="1" customWidth="1"/>
    <col min="38" max="38" width="9" style="63"/>
    <col min="39" max="39" width="11.75" style="63" customWidth="1"/>
    <col min="40" max="40" width="14" style="63" customWidth="1"/>
    <col min="41" max="41" width="33.625" style="63" customWidth="1"/>
    <col min="42" max="42" width="19.875" style="68" customWidth="1"/>
    <col min="43" max="43" width="22.625" style="63" customWidth="1"/>
    <col min="44" max="44" width="20.125" style="63" customWidth="1"/>
    <col min="45" max="45" width="20.875" style="63" customWidth="1"/>
    <col min="46" max="46" width="44.5" style="63" customWidth="1"/>
    <col min="47" max="47" width="43.25" style="68" customWidth="1"/>
    <col min="48" max="48" width="31.125" style="68" customWidth="1"/>
    <col min="49" max="49" width="15.375" style="63" customWidth="1"/>
    <col min="50" max="50" width="12.875" style="63" customWidth="1"/>
    <col min="51" max="53" width="12.875" style="68" customWidth="1"/>
    <col min="54" max="54" width="19.5" style="68" customWidth="1"/>
    <col min="55" max="55" width="24.25" style="68" customWidth="1"/>
    <col min="56" max="58" width="12.875" style="63" customWidth="1"/>
    <col min="59" max="60" width="150.625" style="63" customWidth="1"/>
    <col min="61" max="16384" width="9" style="63"/>
  </cols>
  <sheetData>
    <row r="1" spans="1:60" ht="25.5" customHeight="1">
      <c r="A1" s="65" t="s">
        <v>260</v>
      </c>
      <c r="B1" s="65" t="s">
        <v>261</v>
      </c>
      <c r="C1" s="65">
        <f>COLUMN(C1)-2</f>
        <v>1</v>
      </c>
      <c r="D1" s="65">
        <f t="shared" ref="D1:AJ1" si="0">COLUMN(D1)-2</f>
        <v>2</v>
      </c>
      <c r="E1" s="65">
        <f t="shared" si="0"/>
        <v>3</v>
      </c>
      <c r="F1" s="65">
        <f t="shared" si="0"/>
        <v>4</v>
      </c>
      <c r="G1" s="65">
        <f t="shared" si="0"/>
        <v>5</v>
      </c>
      <c r="H1" s="65">
        <f t="shared" si="0"/>
        <v>6</v>
      </c>
      <c r="I1" s="65">
        <f t="shared" si="0"/>
        <v>7</v>
      </c>
      <c r="J1" s="65">
        <f t="shared" si="0"/>
        <v>8</v>
      </c>
      <c r="K1" s="65">
        <f t="shared" si="0"/>
        <v>9</v>
      </c>
      <c r="L1" s="65">
        <f t="shared" si="0"/>
        <v>10</v>
      </c>
      <c r="M1" s="65">
        <f t="shared" si="0"/>
        <v>11</v>
      </c>
      <c r="N1" s="65">
        <f t="shared" si="0"/>
        <v>12</v>
      </c>
      <c r="O1" s="65">
        <f t="shared" si="0"/>
        <v>13</v>
      </c>
      <c r="P1" s="65">
        <f t="shared" si="0"/>
        <v>14</v>
      </c>
      <c r="Q1" s="65">
        <f t="shared" si="0"/>
        <v>15</v>
      </c>
      <c r="R1" s="65">
        <f t="shared" si="0"/>
        <v>16</v>
      </c>
      <c r="S1" s="65">
        <f t="shared" si="0"/>
        <v>17</v>
      </c>
      <c r="T1" s="65">
        <f t="shared" si="0"/>
        <v>18</v>
      </c>
      <c r="U1" s="65">
        <f t="shared" si="0"/>
        <v>19</v>
      </c>
      <c r="V1" s="65">
        <f t="shared" si="0"/>
        <v>20</v>
      </c>
      <c r="W1" s="65">
        <f t="shared" si="0"/>
        <v>21</v>
      </c>
      <c r="X1" s="65">
        <f t="shared" si="0"/>
        <v>22</v>
      </c>
      <c r="Y1" s="65">
        <f t="shared" si="0"/>
        <v>23</v>
      </c>
      <c r="Z1" s="65">
        <f t="shared" si="0"/>
        <v>24</v>
      </c>
      <c r="AA1" s="65">
        <f t="shared" si="0"/>
        <v>25</v>
      </c>
      <c r="AB1" s="65">
        <f t="shared" si="0"/>
        <v>26</v>
      </c>
      <c r="AC1" s="65">
        <f t="shared" si="0"/>
        <v>27</v>
      </c>
      <c r="AD1" s="65">
        <f t="shared" si="0"/>
        <v>28</v>
      </c>
      <c r="AE1" s="65">
        <f t="shared" si="0"/>
        <v>29</v>
      </c>
      <c r="AF1" s="65">
        <f t="shared" si="0"/>
        <v>30</v>
      </c>
      <c r="AG1" s="65">
        <f t="shared" si="0"/>
        <v>31</v>
      </c>
      <c r="AH1" s="65">
        <f t="shared" si="0"/>
        <v>32</v>
      </c>
      <c r="AI1" s="65">
        <f t="shared" si="0"/>
        <v>33</v>
      </c>
      <c r="AJ1" s="65">
        <f t="shared" si="0"/>
        <v>34</v>
      </c>
      <c r="AM1" s="66" t="s">
        <v>257</v>
      </c>
      <c r="AN1" s="66" t="s">
        <v>258</v>
      </c>
      <c r="AO1" s="66" t="str">
        <f>CONCATENATE(AQ1+1,"號","勤務狀態")</f>
        <v>31號勤務狀態</v>
      </c>
      <c r="AP1" s="66" t="s">
        <v>262</v>
      </c>
      <c r="AQ1" s="100">
        <f>日期輸入!$C$3-1</f>
        <v>30</v>
      </c>
      <c r="AR1" s="100">
        <f>日期輸入!$C$3</f>
        <v>31</v>
      </c>
      <c r="AS1" s="100">
        <f>日期輸入!$C$3+1</f>
        <v>32</v>
      </c>
      <c r="AT1" s="67" t="s">
        <v>263</v>
      </c>
      <c r="AU1" s="66" t="s">
        <v>264</v>
      </c>
      <c r="AV1" s="66" t="s">
        <v>448</v>
      </c>
      <c r="AX1" s="66" t="s">
        <v>265</v>
      </c>
      <c r="AY1" s="66" t="s">
        <v>266</v>
      </c>
      <c r="AZ1" s="66" t="s">
        <v>267</v>
      </c>
      <c r="BA1" s="66" t="s">
        <v>268</v>
      </c>
      <c r="BB1" s="69" t="s">
        <v>432</v>
      </c>
      <c r="BC1" s="69" t="s">
        <v>294</v>
      </c>
      <c r="BG1" s="70" t="s">
        <v>265</v>
      </c>
      <c r="BH1" s="63" t="str">
        <f>CONCATENATE(' 役男公式'!BG1,"：",' 役男公式'!BG2)</f>
        <v>全日休：</v>
      </c>
    </row>
    <row r="2" spans="1:60" ht="25.5" customHeight="1" thickBot="1">
      <c r="A2" s="278">
        <v>1</v>
      </c>
      <c r="B2" s="278" t="str">
        <f>_xlfn.IFNA(  INDEX(役男大表!$A$1:$BF$95,MATCH(A2,役男大表!$A$1:$A$97,0),2),"")</f>
        <v>葉家豪</v>
      </c>
      <c r="C2" s="278" t="str">
        <f>_xlfn.IFNA(  SUBSTITUTE(     IF(  INDEX(役男大表!$A$1:$BF$95,MATCH($A2,役男大表!$A$1:$A$97,0),   MATCH(C$1,役男大表!$A$3:$BF$3,0)  )=0,"",  IF(  INDEX(役男大表!$A$1:$BF$95,MATCH($A2,役男大表!$A$1:$A$97,0),   MATCH(C$1,役男大表!$A$3:$BF$3,0)  )="榮","x",  IF(  INDEX(役男大表!$A$1:$BF$95,MATCH($A2,役男大表!$A$1:$A$97,0),   MATCH(C$1,役男大表!$A$3:$BF$3,0)  )="榮-22",  "x榮18-22",               INDEX(役男大表!$A$1:$BF$95,MATCH($A2,役男大表!$A$1:$A$97,0),   MATCH(C$1,役男大表!$A$3:$BF$3,0)  )                  )  )  )," ",""),"")</f>
        <v/>
      </c>
      <c r="D2" s="278" t="str">
        <f>_xlfn.IFNA(  SUBSTITUTE(     IF(  INDEX(役男大表!$A$1:$BF$95,MATCH($A2,役男大表!$A$1:$A$97,0),   MATCH(D$1,役男大表!$A$3:$BF$3,0)  )=0,"",  IF(  INDEX(役男大表!$A$1:$BF$95,MATCH($A2,役男大表!$A$1:$A$97,0),   MATCH(D$1,役男大表!$A$3:$BF$3,0)  )="榮","x",  IF(  INDEX(役男大表!$A$1:$BF$95,MATCH($A2,役男大表!$A$1:$A$97,0),   MATCH(D$1,役男大表!$A$3:$BF$3,0)  )="榮-22",  "x榮18-22",               INDEX(役男大表!$A$1:$BF$95,MATCH($A2,役男大表!$A$1:$A$97,0),   MATCH(D$1,役男大表!$A$3:$BF$3,0)  )                  )  )  )," ",""),"")</f>
        <v/>
      </c>
      <c r="E2" s="278" t="str">
        <f>_xlfn.IFNA(  SUBSTITUTE(     IF(  INDEX(役男大表!$A$1:$BF$95,MATCH($A2,役男大表!$A$1:$A$97,0),   MATCH(E$1,役男大表!$A$3:$BF$3,0)  )=0,"",  IF(  INDEX(役男大表!$A$1:$BF$95,MATCH($A2,役男大表!$A$1:$A$97,0),   MATCH(E$1,役男大表!$A$3:$BF$3,0)  )="榮","x",  IF(  INDEX(役男大表!$A$1:$BF$95,MATCH($A2,役男大表!$A$1:$A$97,0),   MATCH(E$1,役男大表!$A$3:$BF$3,0)  )="榮-22",  "x榮18-22",               INDEX(役男大表!$A$1:$BF$95,MATCH($A2,役男大表!$A$1:$A$97,0),   MATCH(E$1,役男大表!$A$3:$BF$3,0)  )                  )  )  )," ",""),"")</f>
        <v/>
      </c>
      <c r="F2" s="278" t="str">
        <f>_xlfn.IFNA(  SUBSTITUTE(     IF(  INDEX(役男大表!$A$1:$BF$95,MATCH($A2,役男大表!$A$1:$A$97,0),   MATCH(F$1,役男大表!$A$3:$BF$3,0)  )=0,"",  IF(  INDEX(役男大表!$A$1:$BF$95,MATCH($A2,役男大表!$A$1:$A$97,0),   MATCH(F$1,役男大表!$A$3:$BF$3,0)  )="榮","x",  IF(  INDEX(役男大表!$A$1:$BF$95,MATCH($A2,役男大表!$A$1:$A$97,0),   MATCH(F$1,役男大表!$A$3:$BF$3,0)  )="榮-22",  "x榮18-22",               INDEX(役男大表!$A$1:$BF$95,MATCH($A2,役男大表!$A$1:$A$97,0),   MATCH(F$1,役男大表!$A$3:$BF$3,0)  )                  )  )  )," ",""),"")</f>
        <v/>
      </c>
      <c r="G2" s="278" t="str">
        <f>_xlfn.IFNA(  SUBSTITUTE(     IF(  INDEX(役男大表!$A$1:$BF$95,MATCH($A2,役男大表!$A$1:$A$97,0),   MATCH(G$1,役男大表!$A$3:$BF$3,0)  )=0,"",  IF(  INDEX(役男大表!$A$1:$BF$95,MATCH($A2,役男大表!$A$1:$A$97,0),   MATCH(G$1,役男大表!$A$3:$BF$3,0)  )="榮","x",  IF(  INDEX(役男大表!$A$1:$BF$95,MATCH($A2,役男大表!$A$1:$A$97,0),   MATCH(G$1,役男大表!$A$3:$BF$3,0)  )="榮-22",  "x榮18-22",               INDEX(役男大表!$A$1:$BF$95,MATCH($A2,役男大表!$A$1:$A$97,0),   MATCH(G$1,役男大表!$A$3:$BF$3,0)  )                  )  )  )," ",""),"")</f>
        <v/>
      </c>
      <c r="H2" s="278" t="str">
        <f>_xlfn.IFNA(  SUBSTITUTE(     IF(  INDEX(役男大表!$A$1:$BF$95,MATCH($A2,役男大表!$A$1:$A$97,0),   MATCH(H$1,役男大表!$A$3:$BF$3,0)  )=0,"",  IF(  INDEX(役男大表!$A$1:$BF$95,MATCH($A2,役男大表!$A$1:$A$97,0),   MATCH(H$1,役男大表!$A$3:$BF$3,0)  )="榮","x",  IF(  INDEX(役男大表!$A$1:$BF$95,MATCH($A2,役男大表!$A$1:$A$97,0),   MATCH(H$1,役男大表!$A$3:$BF$3,0)  )="榮-22",  "x榮18-22",               INDEX(役男大表!$A$1:$BF$95,MATCH($A2,役男大表!$A$1:$A$97,0),   MATCH(H$1,役男大表!$A$3:$BF$3,0)  )                  )  )  )," ",""),"")</f>
        <v/>
      </c>
      <c r="I2" s="278" t="str">
        <f>_xlfn.IFNA(  SUBSTITUTE(     IF(  INDEX(役男大表!$A$1:$BF$95,MATCH($A2,役男大表!$A$1:$A$97,0),   MATCH(I$1,役男大表!$A$3:$BF$3,0)  )=0,"",  IF(  INDEX(役男大表!$A$1:$BF$95,MATCH($A2,役男大表!$A$1:$A$97,0),   MATCH(I$1,役男大表!$A$3:$BF$3,0)  )="榮","x",  IF(  INDEX(役男大表!$A$1:$BF$95,MATCH($A2,役男大表!$A$1:$A$97,0),   MATCH(I$1,役男大表!$A$3:$BF$3,0)  )="榮-22",  "x榮18-22",               INDEX(役男大表!$A$1:$BF$95,MATCH($A2,役男大表!$A$1:$A$97,0),   MATCH(I$1,役男大表!$A$3:$BF$3,0)  )                  )  )  )," ",""),"")</f>
        <v/>
      </c>
      <c r="J2" s="278" t="str">
        <f>_xlfn.IFNA(  SUBSTITUTE(     IF(  INDEX(役男大表!$A$1:$BF$95,MATCH($A2,役男大表!$A$1:$A$97,0),   MATCH(J$1,役男大表!$A$3:$BF$3,0)  )=0,"",  IF(  INDEX(役男大表!$A$1:$BF$95,MATCH($A2,役男大表!$A$1:$A$97,0),   MATCH(J$1,役男大表!$A$3:$BF$3,0)  )="榮","x",  IF(  INDEX(役男大表!$A$1:$BF$95,MATCH($A2,役男大表!$A$1:$A$97,0),   MATCH(J$1,役男大表!$A$3:$BF$3,0)  )="榮-22",  "x榮18-22",               INDEX(役男大表!$A$1:$BF$95,MATCH($A2,役男大表!$A$1:$A$97,0),   MATCH(J$1,役男大表!$A$3:$BF$3,0)  )                  )  )  )," ",""),"")</f>
        <v/>
      </c>
      <c r="K2" s="278" t="str">
        <f>_xlfn.IFNA(  SUBSTITUTE(     IF(  INDEX(役男大表!$A$1:$BF$95,MATCH($A2,役男大表!$A$1:$A$97,0),   MATCH(K$1,役男大表!$A$3:$BF$3,0)  )=0,"",  IF(  INDEX(役男大表!$A$1:$BF$95,MATCH($A2,役男大表!$A$1:$A$97,0),   MATCH(K$1,役男大表!$A$3:$BF$3,0)  )="榮","x",  IF(  INDEX(役男大表!$A$1:$BF$95,MATCH($A2,役男大表!$A$1:$A$97,0),   MATCH(K$1,役男大表!$A$3:$BF$3,0)  )="榮-22",  "x榮18-22",               INDEX(役男大表!$A$1:$BF$95,MATCH($A2,役男大表!$A$1:$A$97,0),   MATCH(K$1,役男大表!$A$3:$BF$3,0)  )                  )  )  )," ",""),"")</f>
        <v/>
      </c>
      <c r="L2" s="278" t="str">
        <f>_xlfn.IFNA(  SUBSTITUTE(     IF(  INDEX(役男大表!$A$1:$BF$95,MATCH($A2,役男大表!$A$1:$A$97,0),   MATCH(L$1,役男大表!$A$3:$BF$3,0)  )=0,"",  IF(  INDEX(役男大表!$A$1:$BF$95,MATCH($A2,役男大表!$A$1:$A$97,0),   MATCH(L$1,役男大表!$A$3:$BF$3,0)  )="榮","x",  IF(  INDEX(役男大表!$A$1:$BF$95,MATCH($A2,役男大表!$A$1:$A$97,0),   MATCH(L$1,役男大表!$A$3:$BF$3,0)  )="榮-22",  "x榮18-22",               INDEX(役男大表!$A$1:$BF$95,MATCH($A2,役男大表!$A$1:$A$97,0),   MATCH(L$1,役男大表!$A$3:$BF$3,0)  )                  )  )  )," ",""),"")</f>
        <v/>
      </c>
      <c r="M2" s="278" t="str">
        <f>_xlfn.IFNA(  SUBSTITUTE(     IF(  INDEX(役男大表!$A$1:$BF$95,MATCH($A2,役男大表!$A$1:$A$97,0),   MATCH(M$1,役男大表!$A$3:$BF$3,0)  )=0,"",  IF(  INDEX(役男大表!$A$1:$BF$95,MATCH($A2,役男大表!$A$1:$A$97,0),   MATCH(M$1,役男大表!$A$3:$BF$3,0)  )="榮","x",  IF(  INDEX(役男大表!$A$1:$BF$95,MATCH($A2,役男大表!$A$1:$A$97,0),   MATCH(M$1,役男大表!$A$3:$BF$3,0)  )="榮-22",  "x榮18-22",               INDEX(役男大表!$A$1:$BF$95,MATCH($A2,役男大表!$A$1:$A$97,0),   MATCH(M$1,役男大表!$A$3:$BF$3,0)  )                  )  )  )," ",""),"")</f>
        <v/>
      </c>
      <c r="N2" s="278" t="str">
        <f>_xlfn.IFNA(  SUBSTITUTE(     IF(  INDEX(役男大表!$A$1:$BF$95,MATCH($A2,役男大表!$A$1:$A$97,0),   MATCH(N$1,役男大表!$A$3:$BF$3,0)  )=0,"",  IF(  INDEX(役男大表!$A$1:$BF$95,MATCH($A2,役男大表!$A$1:$A$97,0),   MATCH(N$1,役男大表!$A$3:$BF$3,0)  )="榮","x",  IF(  INDEX(役男大表!$A$1:$BF$95,MATCH($A2,役男大表!$A$1:$A$97,0),   MATCH(N$1,役男大表!$A$3:$BF$3,0)  )="榮-22",  "x榮18-22",               INDEX(役男大表!$A$1:$BF$95,MATCH($A2,役男大表!$A$1:$A$97,0),   MATCH(N$1,役男大表!$A$3:$BF$3,0)  )                  )  )  )," ",""),"")</f>
        <v/>
      </c>
      <c r="O2" s="278" t="str">
        <f>_xlfn.IFNA(  SUBSTITUTE(     IF(  INDEX(役男大表!$A$1:$BF$95,MATCH($A2,役男大表!$A$1:$A$97,0),   MATCH(O$1,役男大表!$A$3:$BF$3,0)  )=0,"",  IF(  INDEX(役男大表!$A$1:$BF$95,MATCH($A2,役男大表!$A$1:$A$97,0),   MATCH(O$1,役男大表!$A$3:$BF$3,0)  )="榮","x",  IF(  INDEX(役男大表!$A$1:$BF$95,MATCH($A2,役男大表!$A$1:$A$97,0),   MATCH(O$1,役男大表!$A$3:$BF$3,0)  )="榮-22",  "x榮18-22",               INDEX(役男大表!$A$1:$BF$95,MATCH($A2,役男大表!$A$1:$A$97,0),   MATCH(O$1,役男大表!$A$3:$BF$3,0)  )                  )  )  )," ",""),"")</f>
        <v/>
      </c>
      <c r="P2" s="278" t="str">
        <f>_xlfn.IFNA(  SUBSTITUTE(     IF(  INDEX(役男大表!$A$1:$BF$95,MATCH($A2,役男大表!$A$1:$A$97,0),   MATCH(P$1,役男大表!$A$3:$BF$3,0)  )=0,"",  IF(  INDEX(役男大表!$A$1:$BF$95,MATCH($A2,役男大表!$A$1:$A$97,0),   MATCH(P$1,役男大表!$A$3:$BF$3,0)  )="榮","x",  IF(  INDEX(役男大表!$A$1:$BF$95,MATCH($A2,役男大表!$A$1:$A$97,0),   MATCH(P$1,役男大表!$A$3:$BF$3,0)  )="榮-22",  "x榮18-22",               INDEX(役男大表!$A$1:$BF$95,MATCH($A2,役男大表!$A$1:$A$97,0),   MATCH(P$1,役男大表!$A$3:$BF$3,0)  )                  )  )  )," ",""),"")</f>
        <v/>
      </c>
      <c r="Q2" s="278" t="str">
        <f>_xlfn.IFNA(  SUBSTITUTE(     IF(  INDEX(役男大表!$A$1:$BF$95,MATCH($A2,役男大表!$A$1:$A$97,0),   MATCH(Q$1,役男大表!$A$3:$BF$3,0)  )=0,"",  IF(  INDEX(役男大表!$A$1:$BF$95,MATCH($A2,役男大表!$A$1:$A$97,0),   MATCH(Q$1,役男大表!$A$3:$BF$3,0)  )="榮","x",  IF(  INDEX(役男大表!$A$1:$BF$95,MATCH($A2,役男大表!$A$1:$A$97,0),   MATCH(Q$1,役男大表!$A$3:$BF$3,0)  )="榮-22",  "x榮18-22",               INDEX(役男大表!$A$1:$BF$95,MATCH($A2,役男大表!$A$1:$A$97,0),   MATCH(Q$1,役男大表!$A$3:$BF$3,0)  )                  )  )  )," ",""),"")</f>
        <v/>
      </c>
      <c r="R2" s="278" t="str">
        <f>_xlfn.IFNA(  SUBSTITUTE(     IF(  INDEX(役男大表!$A$1:$BF$95,MATCH($A2,役男大表!$A$1:$A$97,0),   MATCH(R$1,役男大表!$A$3:$BF$3,0)  )=0,"",  IF(  INDEX(役男大表!$A$1:$BF$95,MATCH($A2,役男大表!$A$1:$A$97,0),   MATCH(R$1,役男大表!$A$3:$BF$3,0)  )="榮","x",  IF(  INDEX(役男大表!$A$1:$BF$95,MATCH($A2,役男大表!$A$1:$A$97,0),   MATCH(R$1,役男大表!$A$3:$BF$3,0)  )="榮-22",  "x榮18-22",               INDEX(役男大表!$A$1:$BF$95,MATCH($A2,役男大表!$A$1:$A$97,0),   MATCH(R$1,役男大表!$A$3:$BF$3,0)  )                  )  )  )," ",""),"")</f>
        <v/>
      </c>
      <c r="S2" s="278" t="str">
        <f>_xlfn.IFNA(  SUBSTITUTE(     IF(  INDEX(役男大表!$A$1:$BF$95,MATCH($A2,役男大表!$A$1:$A$97,0),   MATCH(S$1,役男大表!$A$3:$BF$3,0)  )=0,"",  IF(  INDEX(役男大表!$A$1:$BF$95,MATCH($A2,役男大表!$A$1:$A$97,0),   MATCH(S$1,役男大表!$A$3:$BF$3,0)  )="榮","x",  IF(  INDEX(役男大表!$A$1:$BF$95,MATCH($A2,役男大表!$A$1:$A$97,0),   MATCH(S$1,役男大表!$A$3:$BF$3,0)  )="榮-22",  "x榮18-22",               INDEX(役男大表!$A$1:$BF$95,MATCH($A2,役男大表!$A$1:$A$97,0),   MATCH(S$1,役男大表!$A$3:$BF$3,0)  )                  )  )  )," ",""),"")</f>
        <v/>
      </c>
      <c r="T2" s="278" t="str">
        <f>_xlfn.IFNA(  SUBSTITUTE(     IF(  INDEX(役男大表!$A$1:$BF$95,MATCH($A2,役男大表!$A$1:$A$97,0),   MATCH(T$1,役男大表!$A$3:$BF$3,0)  )=0,"",  IF(  INDEX(役男大表!$A$1:$BF$95,MATCH($A2,役男大表!$A$1:$A$97,0),   MATCH(T$1,役男大表!$A$3:$BF$3,0)  )="榮","x",  IF(  INDEX(役男大表!$A$1:$BF$95,MATCH($A2,役男大表!$A$1:$A$97,0),   MATCH(T$1,役男大表!$A$3:$BF$3,0)  )="榮-22",  "x榮18-22",               INDEX(役男大表!$A$1:$BF$95,MATCH($A2,役男大表!$A$1:$A$97,0),   MATCH(T$1,役男大表!$A$3:$BF$3,0)  )                  )  )  )," ",""),"")</f>
        <v/>
      </c>
      <c r="U2" s="278" t="str">
        <f>_xlfn.IFNA(  SUBSTITUTE(     IF(  INDEX(役男大表!$A$1:$BF$95,MATCH($A2,役男大表!$A$1:$A$97,0),   MATCH(U$1,役男大表!$A$3:$BF$3,0)  )=0,"",  IF(  INDEX(役男大表!$A$1:$BF$95,MATCH($A2,役男大表!$A$1:$A$97,0),   MATCH(U$1,役男大表!$A$3:$BF$3,0)  )="榮","x",  IF(  INDEX(役男大表!$A$1:$BF$95,MATCH($A2,役男大表!$A$1:$A$97,0),   MATCH(U$1,役男大表!$A$3:$BF$3,0)  )="榮-22",  "x榮18-22",               INDEX(役男大表!$A$1:$BF$95,MATCH($A2,役男大表!$A$1:$A$97,0),   MATCH(U$1,役男大表!$A$3:$BF$3,0)  )                  )  )  )," ",""),"")</f>
        <v/>
      </c>
      <c r="V2" s="278" t="str">
        <f>_xlfn.IFNA(  SUBSTITUTE(     IF(  INDEX(役男大表!$A$1:$BF$95,MATCH($A2,役男大表!$A$1:$A$97,0),   MATCH(V$1,役男大表!$A$3:$BF$3,0)  )=0,"",  IF(  INDEX(役男大表!$A$1:$BF$95,MATCH($A2,役男大表!$A$1:$A$97,0),   MATCH(V$1,役男大表!$A$3:$BF$3,0)  )="榮","x",  IF(  INDEX(役男大表!$A$1:$BF$95,MATCH($A2,役男大表!$A$1:$A$97,0),   MATCH(V$1,役男大表!$A$3:$BF$3,0)  )="榮-22",  "x榮18-22",               INDEX(役男大表!$A$1:$BF$95,MATCH($A2,役男大表!$A$1:$A$97,0),   MATCH(V$1,役男大表!$A$3:$BF$3,0)  )                  )  )  )," ",""),"")</f>
        <v/>
      </c>
      <c r="W2" s="278" t="str">
        <f>_xlfn.IFNA(  SUBSTITUTE(     IF(  INDEX(役男大表!$A$1:$BF$95,MATCH($A2,役男大表!$A$1:$A$97,0),   MATCH(W$1,役男大表!$A$3:$BF$3,0)  )=0,"",  IF(  INDEX(役男大表!$A$1:$BF$95,MATCH($A2,役男大表!$A$1:$A$97,0),   MATCH(W$1,役男大表!$A$3:$BF$3,0)  )="榮","x",  IF(  INDEX(役男大表!$A$1:$BF$95,MATCH($A2,役男大表!$A$1:$A$97,0),   MATCH(W$1,役男大表!$A$3:$BF$3,0)  )="榮-22",  "x榮18-22",               INDEX(役男大表!$A$1:$BF$95,MATCH($A2,役男大表!$A$1:$A$97,0),   MATCH(W$1,役男大表!$A$3:$BF$3,0)  )                  )  )  )," ",""),"")</f>
        <v/>
      </c>
      <c r="X2" s="278" t="str">
        <f>_xlfn.IFNA(  SUBSTITUTE(     IF(  INDEX(役男大表!$A$1:$BF$95,MATCH($A2,役男大表!$A$1:$A$97,0),   MATCH(X$1,役男大表!$A$3:$BF$3,0)  )=0,"",  IF(  INDEX(役男大表!$A$1:$BF$95,MATCH($A2,役男大表!$A$1:$A$97,0),   MATCH(X$1,役男大表!$A$3:$BF$3,0)  )="榮","x",  IF(  INDEX(役男大表!$A$1:$BF$95,MATCH($A2,役男大表!$A$1:$A$97,0),   MATCH(X$1,役男大表!$A$3:$BF$3,0)  )="榮-22",  "x榮18-22",               INDEX(役男大表!$A$1:$BF$95,MATCH($A2,役男大表!$A$1:$A$97,0),   MATCH(X$1,役男大表!$A$3:$BF$3,0)  )                  )  )  )," ",""),"")</f>
        <v/>
      </c>
      <c r="Y2" s="278" t="str">
        <f>_xlfn.IFNA(  SUBSTITUTE(     IF(  INDEX(役男大表!$A$1:$BF$95,MATCH($A2,役男大表!$A$1:$A$97,0),   MATCH(Y$1,役男大表!$A$3:$BF$3,0)  )=0,"",  IF(  INDEX(役男大表!$A$1:$BF$95,MATCH($A2,役男大表!$A$1:$A$97,0),   MATCH(Y$1,役男大表!$A$3:$BF$3,0)  )="榮","x",  IF(  INDEX(役男大表!$A$1:$BF$95,MATCH($A2,役男大表!$A$1:$A$97,0),   MATCH(Y$1,役男大表!$A$3:$BF$3,0)  )="榮-22",  "x榮18-22",               INDEX(役男大表!$A$1:$BF$95,MATCH($A2,役男大表!$A$1:$A$97,0),   MATCH(Y$1,役男大表!$A$3:$BF$3,0)  )                  )  )  )," ",""),"")</f>
        <v/>
      </c>
      <c r="Z2" s="278" t="str">
        <f>_xlfn.IFNA(  SUBSTITUTE(     IF(  INDEX(役男大表!$A$1:$BF$95,MATCH($A2,役男大表!$A$1:$A$97,0),   MATCH(Z$1,役男大表!$A$3:$BF$3,0)  )=0,"",  IF(  INDEX(役男大表!$A$1:$BF$95,MATCH($A2,役男大表!$A$1:$A$97,0),   MATCH(Z$1,役男大表!$A$3:$BF$3,0)  )="榮","x",  IF(  INDEX(役男大表!$A$1:$BF$95,MATCH($A2,役男大表!$A$1:$A$97,0),   MATCH(Z$1,役男大表!$A$3:$BF$3,0)  )="榮-22",  "x榮18-22",               INDEX(役男大表!$A$1:$BF$95,MATCH($A2,役男大表!$A$1:$A$97,0),   MATCH(Z$1,役男大表!$A$3:$BF$3,0)  )                  )  )  )," ",""),"")</f>
        <v/>
      </c>
      <c r="AA2" s="278" t="str">
        <f>_xlfn.IFNA(  SUBSTITUTE(     IF(  INDEX(役男大表!$A$1:$BF$95,MATCH($A2,役男大表!$A$1:$A$97,0),   MATCH(AA$1,役男大表!$A$3:$BF$3,0)  )=0,"",  IF(  INDEX(役男大表!$A$1:$BF$95,MATCH($A2,役男大表!$A$1:$A$97,0),   MATCH(AA$1,役男大表!$A$3:$BF$3,0)  )="榮","x",  IF(  INDEX(役男大表!$A$1:$BF$95,MATCH($A2,役男大表!$A$1:$A$97,0),   MATCH(AA$1,役男大表!$A$3:$BF$3,0)  )="榮-22",  "x榮18-22",               INDEX(役男大表!$A$1:$BF$95,MATCH($A2,役男大表!$A$1:$A$97,0),   MATCH(AA$1,役男大表!$A$3:$BF$3,0)  )                  )  )  )," ",""),"")</f>
        <v/>
      </c>
      <c r="AB2" s="278" t="str">
        <f>_xlfn.IFNA(  SUBSTITUTE(     IF(  INDEX(役男大表!$A$1:$BF$95,MATCH($A2,役男大表!$A$1:$A$97,0),   MATCH(AB$1,役男大表!$A$3:$BF$3,0)  )=0,"",  IF(  INDEX(役男大表!$A$1:$BF$95,MATCH($A2,役男大表!$A$1:$A$97,0),   MATCH(AB$1,役男大表!$A$3:$BF$3,0)  )="榮","x",  IF(  INDEX(役男大表!$A$1:$BF$95,MATCH($A2,役男大表!$A$1:$A$97,0),   MATCH(AB$1,役男大表!$A$3:$BF$3,0)  )="榮-22",  "x榮18-22",               INDEX(役男大表!$A$1:$BF$95,MATCH($A2,役男大表!$A$1:$A$97,0),   MATCH(AB$1,役男大表!$A$3:$BF$3,0)  )                  )  )  )," ",""),"")</f>
        <v/>
      </c>
      <c r="AC2" s="278" t="str">
        <f>_xlfn.IFNA(  SUBSTITUTE(     IF(  INDEX(役男大表!$A$1:$BF$95,MATCH($A2,役男大表!$A$1:$A$97,0),   MATCH(AC$1,役男大表!$A$3:$BF$3,0)  )=0,"",  IF(  INDEX(役男大表!$A$1:$BF$95,MATCH($A2,役男大表!$A$1:$A$97,0),   MATCH(AC$1,役男大表!$A$3:$BF$3,0)  )="榮","x",  IF(  INDEX(役男大表!$A$1:$BF$95,MATCH($A2,役男大表!$A$1:$A$97,0),   MATCH(AC$1,役男大表!$A$3:$BF$3,0)  )="榮-22",  "x榮18-22",               INDEX(役男大表!$A$1:$BF$95,MATCH($A2,役男大表!$A$1:$A$97,0),   MATCH(AC$1,役男大表!$A$3:$BF$3,0)  )                  )  )  )," ",""),"")</f>
        <v/>
      </c>
      <c r="AD2" s="278" t="str">
        <f>_xlfn.IFNA(  SUBSTITUTE(     IF(  INDEX(役男大表!$A$1:$BF$95,MATCH($A2,役男大表!$A$1:$A$97,0),   MATCH(AD$1,役男大表!$A$3:$BF$3,0)  )=0,"",  IF(  INDEX(役男大表!$A$1:$BF$95,MATCH($A2,役男大表!$A$1:$A$97,0),   MATCH(AD$1,役男大表!$A$3:$BF$3,0)  )="榮","x",  IF(  INDEX(役男大表!$A$1:$BF$95,MATCH($A2,役男大表!$A$1:$A$97,0),   MATCH(AD$1,役男大表!$A$3:$BF$3,0)  )="榮-22",  "x榮18-22",               INDEX(役男大表!$A$1:$BF$95,MATCH($A2,役男大表!$A$1:$A$97,0),   MATCH(AD$1,役男大表!$A$3:$BF$3,0)  )                  )  )  )," ",""),"")</f>
        <v/>
      </c>
      <c r="AE2" s="278" t="str">
        <f>_xlfn.IFNA(  SUBSTITUTE(     IF(  INDEX(役男大表!$A$1:$BF$95,MATCH($A2,役男大表!$A$1:$A$97,0),   MATCH(AE$1,役男大表!$A$3:$BF$3,0)  )=0,"",  IF(  INDEX(役男大表!$A$1:$BF$95,MATCH($A2,役男大表!$A$1:$A$97,0),   MATCH(AE$1,役男大表!$A$3:$BF$3,0)  )="榮","x",  IF(  INDEX(役男大表!$A$1:$BF$95,MATCH($A2,役男大表!$A$1:$A$97,0),   MATCH(AE$1,役男大表!$A$3:$BF$3,0)  )="榮-22",  "x榮18-22",               INDEX(役男大表!$A$1:$BF$95,MATCH($A2,役男大表!$A$1:$A$97,0),   MATCH(AE$1,役男大表!$A$3:$BF$3,0)  )                  )  )  )," ",""),"")</f>
        <v/>
      </c>
      <c r="AF2" s="278" t="str">
        <f>_xlfn.IFNA(  SUBSTITUTE(     IF(  INDEX(役男大表!$A$1:$BF$95,MATCH($A2,役男大表!$A$1:$A$97,0),   MATCH(AF$1,役男大表!$A$3:$BF$3,0)  )=0,"",  IF(  INDEX(役男大表!$A$1:$BF$95,MATCH($A2,役男大表!$A$1:$A$97,0),   MATCH(AF$1,役男大表!$A$3:$BF$3,0)  )="榮","x",  IF(  INDEX(役男大表!$A$1:$BF$95,MATCH($A2,役男大表!$A$1:$A$97,0),   MATCH(AF$1,役男大表!$A$3:$BF$3,0)  )="榮-22",  "x榮18-22",               INDEX(役男大表!$A$1:$BF$95,MATCH($A2,役男大表!$A$1:$A$97,0),   MATCH(AF$1,役男大表!$A$3:$BF$3,0)  )                  )  )  )," ",""),"")</f>
        <v/>
      </c>
      <c r="AG2" s="278" t="str">
        <f>_xlfn.IFNA(  SUBSTITUTE(     IF(  INDEX(役男大表!$A$1:$BF$95,MATCH($A2,役男大表!$A$1:$A$97,0),   MATCH(AG$1,役男大表!$A$3:$BF$3,0)  )=0,"",  IF(  INDEX(役男大表!$A$1:$BF$95,MATCH($A2,役男大表!$A$1:$A$97,0),   MATCH(AG$1,役男大表!$A$3:$BF$3,0)  )="榮","x",  IF(  INDEX(役男大表!$A$1:$BF$95,MATCH($A2,役男大表!$A$1:$A$97,0),   MATCH(AG$1,役男大表!$A$3:$BF$3,0)  )="榮-22",  "x榮18-22",               INDEX(役男大表!$A$1:$BF$95,MATCH($A2,役男大表!$A$1:$A$97,0),   MATCH(AG$1,役男大表!$A$3:$BF$3,0)  )                  )  )  )," ",""),"")</f>
        <v>x</v>
      </c>
      <c r="AH2" s="278" t="str">
        <f>_xlfn.IFNA(  SUBSTITUTE(     IF(  INDEX(役男大表!$A$1:$BF$95,MATCH($A2,役男大表!$A$1:$A$97,0),   MATCH(AH$1,役男大表!$A$3:$BF$3,0)  )=0,"",  IF(  INDEX(役男大表!$A$1:$BF$95,MATCH($A2,役男大表!$A$1:$A$97,0),   MATCH(AH$1,役男大表!$A$3:$BF$3,0)  )="榮","x",  IF(  INDEX(役男大表!$A$1:$BF$95,MATCH($A2,役男大表!$A$1:$A$97,0),   MATCH(AH$1,役男大表!$A$3:$BF$3,0)  )="榮-22",  "x榮18-22",               INDEX(役男大表!$A$1:$BF$95,MATCH($A2,役男大表!$A$1:$A$97,0),   MATCH(AH$1,役男大表!$A$3:$BF$3,0)  )                  )  )  )," ",""),"")</f>
        <v/>
      </c>
      <c r="AI2" s="278" t="str">
        <f>_xlfn.IFNA(  SUBSTITUTE(     IF(  INDEX(役男大表!$A$1:$BF$95,MATCH($A2,役男大表!$A$1:$A$97,0),   MATCH(AI$1,役男大表!$A$3:$BF$3,0)  )=0,"",  IF(  INDEX(役男大表!$A$1:$BF$95,MATCH($A2,役男大表!$A$1:$A$97,0),   MATCH(AI$1,役男大表!$A$3:$BF$3,0)  )="榮","x",  IF(  INDEX(役男大表!$A$1:$BF$95,MATCH($A2,役男大表!$A$1:$A$97,0),   MATCH(AI$1,役男大表!$A$3:$BF$3,0)  )="榮-22",  "x榮18-22",               INDEX(役男大表!$A$1:$BF$95,MATCH($A2,役男大表!$A$1:$A$97,0),   MATCH(AI$1,役男大表!$A$3:$BF$3,0)  )                  )  )  )," ",""),"")</f>
        <v/>
      </c>
      <c r="AJ2" s="278" t="str">
        <f>_xlfn.IFNA(  SUBSTITUTE(     IF(  INDEX(役男大表!$A$1:$BF$95,MATCH($A2,役男大表!$A$1:$A$97,0),   MATCH(AJ$1,役男大表!$A$3:$BF$3,0)  )=0,"",  IF(  INDEX(役男大表!$A$1:$BF$95,MATCH($A2,役男大表!$A$1:$A$97,0),   MATCH(AJ$1,役男大表!$A$3:$BF$3,0)  )="榮","x",  IF(  INDEX(役男大表!$A$1:$BF$95,MATCH($A2,役男大表!$A$1:$A$97,0),   MATCH(AJ$1,役男大表!$A$3:$BF$3,0)  )="榮-22",  "x榮18-22",               INDEX(役男大表!$A$1:$BF$95,MATCH($A2,役男大表!$A$1:$A$97,0),   MATCH(AJ$1,役男大表!$A$3:$BF$3,0)  )                  )  )  )," ",""),"")</f>
        <v/>
      </c>
      <c r="AM2" s="66">
        <f t="shared" ref="AM2:AM38" si="1">A2</f>
        <v>1</v>
      </c>
      <c r="AN2" s="66" t="str">
        <f t="shared" ref="AN2:AN38" si="2">B2</f>
        <v>葉家豪</v>
      </c>
      <c r="AO2" s="71" t="str">
        <f>IF(  AND(  INDEX(   $A$42:$AJ$79, MATCH(AM2,$A$42:$A$79,0),MATCH(  日期輸入!$C$3,$A$42:$AL$42,0  )  )="全日勤",  AV2="免"  ),  "全日勤免勤教",  IF(  AND(  INDEX(   $A$42:$AJ$79, MATCH(AM2,$A$42:$A$79,0),MATCH(  日期輸入!$C$3,$A$42:$AL$42,0  )  )="18放",  AV2="免"  ),  "18放早走",  INDEX(   $A$42:$AJ$79, MATCH(AM2,$A$42:$A$79,0),MATCH(  日期輸入!$C$3,$A$42:$AL$42,0  )  )  )  )</f>
        <v>18收</v>
      </c>
      <c r="AP2" s="66" t="str">
        <f>_xlfn.IFNA(IF((ROW(AP2)-1)&lt;=暫1!$B$2,IF(VALUE($AM2)=暫1!B$3,"家因",IF(VALUE($AM2)=暫1!C$3,"家因",IF(VALUE($AM2)=暫1!D$3,"家因",IF(VALUE($AM2)=暫1!E$3,"家因",IF(VALUE($AM2)=暫1!F$3,"家因",IF(VALUE($AM2)=暫1!G$3,"家因",IF(VALUE($AM2)=暫1!H$3,"家因",IF(VALUE($AM2)=暫1!I$3,"家因",IF(VALUE($AM2)=暫1!J$3,"家因",IF(VALUE($AM2)=暫1!K$3,"家因",IF(VALUE($AM2)=暫1!L$3,"家因",IF(VALUE($AM2)=暫1!M$3,"家因",IF(VALUE($AM2)=暫1!N$3,"家因",IF(VALUE($AM2)=暫1!O$3,"家因",IF(VALUE($AM2)=暫1!P$3,"家因",IF(VALUE($AM2)=暫1!Q$3,"家因",IF(VALUE($AM2)=暫1!R$3,"家因",IF(VALUE($AM2)=暫1!S$3,"家因",IF(VALUE($AM2)=暫1!T$3,"家因",IF(VALUE($AM2)=暫1!U$3,"家因","")))))))))))))))))))),""),"")</f>
        <v/>
      </c>
      <c r="AQ2" s="66" t="str">
        <f>IF((ROW(AQ2)-1)&lt;=暫1!$B$2,_xlfn.IFNA(IF(INDEX($A$1:$AJ$41,MATCH($AN2,$B$1:$B$101,0),VALUE($AQ$1+3))="成","補",INDEX($A$1:$AJ$41,MATCH($AN2,$B$1:$B$101,0),VALUE($AQ$1+3))),""),"")</f>
        <v>x</v>
      </c>
      <c r="AR2" s="66" t="str">
        <f>IF((ROW(AR2)-1)&lt;=暫1!$B$2,_xlfn.IFNA(IF(INDEX($A$1:$AJ$41,MATCH($AN2,$B$1:$B$101,0),VALUE($AR$1+3))="成","補",INDEX($A$1:$AJ$41,MATCH($AN2,$B$1:$B$101,0),VALUE($AR$1+3))),""),"")</f>
        <v/>
      </c>
      <c r="AS2" s="66" t="str">
        <f>IF((ROW(AS2)-1)&lt;=暫1!$B$2,_xlfn.IFNA(IF(INDEX($A$1:$AJ$41,MATCH($AN2,$B$1:$B$101,0),VALUE($AS$1+3))="成","補",INDEX($A$1:$AJ$41,MATCH($AN2,$B$1:$B$101,0),VALUE($AS$1+3))),""),"")</f>
        <v/>
      </c>
      <c r="AT2" s="66" t="str">
        <f>IF(  OR(  LEN(  INDEX(   $A$1:$AJ$39, MATCH(AM2,$A$1:$A$39,0),MATCH(  日期輸入!$C$3,$A$1:$AP$1,0  )  )  )&gt;LEN(  SUBSTITUTE(  INDEX(   $A$1:$AJ$39, MATCH(AM2,$A$1:$A$39,0),MATCH(  日期輸入!$C$3,$A$1:$AP$1,0  )  ),"榮","")  )  ),   SUBSTITUTE(  SUBSTITUTE(  INDEX(   $A$1:$AJ$39, MATCH(AM2,$A$1:$A$39,0),MATCH(  日期輸入!$C$3,$A$1:$AP$1,0  )  ),"榮",""),"x",""), "")</f>
        <v/>
      </c>
      <c r="AU2" s="66" t="str">
        <f>IF(NOT(AT2=""),                CONCATENATE(AM2,"(",SUBSTITUTE(SUBSTITUTE(AT2," ",""),"榮",""),"時",")"   ),"")</f>
        <v/>
      </c>
      <c r="AV2" s="66" t="str">
        <f>INDEX(   $A$482:$AJ$519, MATCH(AM2,$A$482:$A$519,0),MATCH(  日期輸入!$C$3,$A$482:$AL$482,0  )  )</f>
        <v/>
      </c>
      <c r="AX2" s="66" t="str">
        <f>IFERROR(IF((ROW(AX2)-1)&lt;=暫1!$B$2,SUBSTITUTE(IF($AO2=$AX$1,$AM2,"")," ",""),""),"")</f>
        <v/>
      </c>
      <c r="AY2" s="66" t="str">
        <f>IFERROR(IF((ROW(AY2)-1)&lt;=暫1!$B$2,SUBSTITUTE(IF($AO2=$AY$1,$AM2,"")," ",""),""),"")</f>
        <v/>
      </c>
      <c r="AZ2" s="66" t="str">
        <f>IFERROR(IF((ROW(AZ2)-1)&lt;=暫1!$B$2,SUBSTITUTE(IF($AO2=$AZ$1,$AM2,"")," ",""),""),"")</f>
        <v/>
      </c>
      <c r="BA2" s="66" t="str">
        <f>IFERROR(IF((ROW(BA2)-1)&lt;=暫1!$B$2,SUBSTITUTE(IF($AO2=$BA$1,$AM2,"")," ",""),""),"")</f>
        <v>1</v>
      </c>
      <c r="BB2" s="69" t="str">
        <f>IFERROR(IF((ROW(BB2)-1)&lt;=暫1!$B$2,SUBSTITUTE(IF(OR($AO2=$BB$1,$AO2=$AY$1,$AO2=$AZ$1),$AM2,IF($AO2=$AY$1,$AM2,"")),"",""),""),"")</f>
        <v/>
      </c>
      <c r="BC2" s="69" t="str">
        <f>IF(    AND(LEN(BC1)&gt;=2,IF(OR(役男人力!$J$2:$J$84="是"),役男人力!$B3,"")&lt;&gt;"" ),        "" &amp;  IF(OR(役男人力!$J$2:$J$84="是"),役男人力!$B2,""),  IF(OR(役男人力!$E2="全日勤",役男人力!$E2="家因退勤"),役男人力!$B2,"")  )</f>
        <v/>
      </c>
      <c r="BG2" s="72" t="str">
        <f>INDEX(   A242:AJ279, 38,MATCH(  日期輸入!$C$3,A242:AP242,0  )  )</f>
        <v/>
      </c>
    </row>
    <row r="3" spans="1:60" ht="25.5" customHeight="1">
      <c r="A3" s="278">
        <v>2</v>
      </c>
      <c r="B3" s="278" t="str">
        <f>_xlfn.IFNA(  INDEX(役男大表!$A$1:$BF$95,MATCH(A3,役男大表!$A$1:$A$97,0),2),"")</f>
        <v>鄭智謙</v>
      </c>
      <c r="C3" s="278" t="str">
        <f>_xlfn.IFNA(  SUBSTITUTE(     IF(  INDEX(役男大表!$A$1:$BF$95,MATCH($A3,役男大表!$A$1:$A$97,0),   MATCH(C$1,役男大表!$A$3:$BF$3,0)  )=0,"",  IF(  INDEX(役男大表!$A$1:$BF$95,MATCH($A3,役男大表!$A$1:$A$97,0),   MATCH(C$1,役男大表!$A$3:$BF$3,0)  )="榮","x",  IF(  INDEX(役男大表!$A$1:$BF$95,MATCH($A3,役男大表!$A$1:$A$97,0),   MATCH(C$1,役男大表!$A$3:$BF$3,0)  )="榮-22",  "x榮18-22",               INDEX(役男大表!$A$1:$BF$95,MATCH($A3,役男大表!$A$1:$A$97,0),   MATCH(C$1,役男大表!$A$3:$BF$3,0)  )                  )  )  )," ",""),"")</f>
        <v/>
      </c>
      <c r="D3" s="278" t="str">
        <f>_xlfn.IFNA(  SUBSTITUTE(     IF(  INDEX(役男大表!$A$1:$BF$95,MATCH($A3,役男大表!$A$1:$A$97,0),   MATCH(D$1,役男大表!$A$3:$BF$3,0)  )=0,"",  IF(  INDEX(役男大表!$A$1:$BF$95,MATCH($A3,役男大表!$A$1:$A$97,0),   MATCH(D$1,役男大表!$A$3:$BF$3,0)  )="榮","x",  IF(  INDEX(役男大表!$A$1:$BF$95,MATCH($A3,役男大表!$A$1:$A$97,0),   MATCH(D$1,役男大表!$A$3:$BF$3,0)  )="榮-22",  "x榮18-22",               INDEX(役男大表!$A$1:$BF$95,MATCH($A3,役男大表!$A$1:$A$97,0),   MATCH(D$1,役男大表!$A$3:$BF$3,0)  )                  )  )  )," ",""),"")</f>
        <v/>
      </c>
      <c r="E3" s="278" t="str">
        <f>_xlfn.IFNA(  SUBSTITUTE(     IF(  INDEX(役男大表!$A$1:$BF$95,MATCH($A3,役男大表!$A$1:$A$97,0),   MATCH(E$1,役男大表!$A$3:$BF$3,0)  )=0,"",  IF(  INDEX(役男大表!$A$1:$BF$95,MATCH($A3,役男大表!$A$1:$A$97,0),   MATCH(E$1,役男大表!$A$3:$BF$3,0)  )="榮","x",  IF(  INDEX(役男大表!$A$1:$BF$95,MATCH($A3,役男大表!$A$1:$A$97,0),   MATCH(E$1,役男大表!$A$3:$BF$3,0)  )="榮-22",  "x榮18-22",               INDEX(役男大表!$A$1:$BF$95,MATCH($A3,役男大表!$A$1:$A$97,0),   MATCH(E$1,役男大表!$A$3:$BF$3,0)  )                  )  )  )," ",""),"")</f>
        <v/>
      </c>
      <c r="F3" s="278" t="str">
        <f>_xlfn.IFNA(  SUBSTITUTE(     IF(  INDEX(役男大表!$A$1:$BF$95,MATCH($A3,役男大表!$A$1:$A$97,0),   MATCH(F$1,役男大表!$A$3:$BF$3,0)  )=0,"",  IF(  INDEX(役男大表!$A$1:$BF$95,MATCH($A3,役男大表!$A$1:$A$97,0),   MATCH(F$1,役男大表!$A$3:$BF$3,0)  )="榮","x",  IF(  INDEX(役男大表!$A$1:$BF$95,MATCH($A3,役男大表!$A$1:$A$97,0),   MATCH(F$1,役男大表!$A$3:$BF$3,0)  )="榮-22",  "x榮18-22",               INDEX(役男大表!$A$1:$BF$95,MATCH($A3,役男大表!$A$1:$A$97,0),   MATCH(F$1,役男大表!$A$3:$BF$3,0)  )                  )  )  )," ",""),"")</f>
        <v/>
      </c>
      <c r="G3" s="278" t="str">
        <f>_xlfn.IFNA(  SUBSTITUTE(     IF(  INDEX(役男大表!$A$1:$BF$95,MATCH($A3,役男大表!$A$1:$A$97,0),   MATCH(G$1,役男大表!$A$3:$BF$3,0)  )=0,"",  IF(  INDEX(役男大表!$A$1:$BF$95,MATCH($A3,役男大表!$A$1:$A$97,0),   MATCH(G$1,役男大表!$A$3:$BF$3,0)  )="榮","x",  IF(  INDEX(役男大表!$A$1:$BF$95,MATCH($A3,役男大表!$A$1:$A$97,0),   MATCH(G$1,役男大表!$A$3:$BF$3,0)  )="榮-22",  "x榮18-22",               INDEX(役男大表!$A$1:$BF$95,MATCH($A3,役男大表!$A$1:$A$97,0),   MATCH(G$1,役男大表!$A$3:$BF$3,0)  )                  )  )  )," ",""),"")</f>
        <v/>
      </c>
      <c r="H3" s="278" t="str">
        <f>_xlfn.IFNA(  SUBSTITUTE(     IF(  INDEX(役男大表!$A$1:$BF$95,MATCH($A3,役男大表!$A$1:$A$97,0),   MATCH(H$1,役男大表!$A$3:$BF$3,0)  )=0,"",  IF(  INDEX(役男大表!$A$1:$BF$95,MATCH($A3,役男大表!$A$1:$A$97,0),   MATCH(H$1,役男大表!$A$3:$BF$3,0)  )="榮","x",  IF(  INDEX(役男大表!$A$1:$BF$95,MATCH($A3,役男大表!$A$1:$A$97,0),   MATCH(H$1,役男大表!$A$3:$BF$3,0)  )="榮-22",  "x榮18-22",               INDEX(役男大表!$A$1:$BF$95,MATCH($A3,役男大表!$A$1:$A$97,0),   MATCH(H$1,役男大表!$A$3:$BF$3,0)  )                  )  )  )," ",""),"")</f>
        <v/>
      </c>
      <c r="I3" s="278" t="str">
        <f>_xlfn.IFNA(  SUBSTITUTE(     IF(  INDEX(役男大表!$A$1:$BF$95,MATCH($A3,役男大表!$A$1:$A$97,0),   MATCH(I$1,役男大表!$A$3:$BF$3,0)  )=0,"",  IF(  INDEX(役男大表!$A$1:$BF$95,MATCH($A3,役男大表!$A$1:$A$97,0),   MATCH(I$1,役男大表!$A$3:$BF$3,0)  )="榮","x",  IF(  INDEX(役男大表!$A$1:$BF$95,MATCH($A3,役男大表!$A$1:$A$97,0),   MATCH(I$1,役男大表!$A$3:$BF$3,0)  )="榮-22",  "x榮18-22",               INDEX(役男大表!$A$1:$BF$95,MATCH($A3,役男大表!$A$1:$A$97,0),   MATCH(I$1,役男大表!$A$3:$BF$3,0)  )                  )  )  )," ",""),"")</f>
        <v/>
      </c>
      <c r="J3" s="278" t="str">
        <f>_xlfn.IFNA(  SUBSTITUTE(     IF(  INDEX(役男大表!$A$1:$BF$95,MATCH($A3,役男大表!$A$1:$A$97,0),   MATCH(J$1,役男大表!$A$3:$BF$3,0)  )=0,"",  IF(  INDEX(役男大表!$A$1:$BF$95,MATCH($A3,役男大表!$A$1:$A$97,0),   MATCH(J$1,役男大表!$A$3:$BF$3,0)  )="榮","x",  IF(  INDEX(役男大表!$A$1:$BF$95,MATCH($A3,役男大表!$A$1:$A$97,0),   MATCH(J$1,役男大表!$A$3:$BF$3,0)  )="榮-22",  "x榮18-22",               INDEX(役男大表!$A$1:$BF$95,MATCH($A3,役男大表!$A$1:$A$97,0),   MATCH(J$1,役男大表!$A$3:$BF$3,0)  )                  )  )  )," ",""),"")</f>
        <v/>
      </c>
      <c r="K3" s="278" t="str">
        <f>_xlfn.IFNA(  SUBSTITUTE(     IF(  INDEX(役男大表!$A$1:$BF$95,MATCH($A3,役男大表!$A$1:$A$97,0),   MATCH(K$1,役男大表!$A$3:$BF$3,0)  )=0,"",  IF(  INDEX(役男大表!$A$1:$BF$95,MATCH($A3,役男大表!$A$1:$A$97,0),   MATCH(K$1,役男大表!$A$3:$BF$3,0)  )="榮","x",  IF(  INDEX(役男大表!$A$1:$BF$95,MATCH($A3,役男大表!$A$1:$A$97,0),   MATCH(K$1,役男大表!$A$3:$BF$3,0)  )="榮-22",  "x榮18-22",               INDEX(役男大表!$A$1:$BF$95,MATCH($A3,役男大表!$A$1:$A$97,0),   MATCH(K$1,役男大表!$A$3:$BF$3,0)  )                  )  )  )," ",""),"")</f>
        <v/>
      </c>
      <c r="L3" s="278" t="str">
        <f>_xlfn.IFNA(  SUBSTITUTE(     IF(  INDEX(役男大表!$A$1:$BF$95,MATCH($A3,役男大表!$A$1:$A$97,0),   MATCH(L$1,役男大表!$A$3:$BF$3,0)  )=0,"",  IF(  INDEX(役男大表!$A$1:$BF$95,MATCH($A3,役男大表!$A$1:$A$97,0),   MATCH(L$1,役男大表!$A$3:$BF$3,0)  )="榮","x",  IF(  INDEX(役男大表!$A$1:$BF$95,MATCH($A3,役男大表!$A$1:$A$97,0),   MATCH(L$1,役男大表!$A$3:$BF$3,0)  )="榮-22",  "x榮18-22",               INDEX(役男大表!$A$1:$BF$95,MATCH($A3,役男大表!$A$1:$A$97,0),   MATCH(L$1,役男大表!$A$3:$BF$3,0)  )                  )  )  )," ",""),"")</f>
        <v/>
      </c>
      <c r="M3" s="278" t="str">
        <f>_xlfn.IFNA(  SUBSTITUTE(     IF(  INDEX(役男大表!$A$1:$BF$95,MATCH($A3,役男大表!$A$1:$A$97,0),   MATCH(M$1,役男大表!$A$3:$BF$3,0)  )=0,"",  IF(  INDEX(役男大表!$A$1:$BF$95,MATCH($A3,役男大表!$A$1:$A$97,0),   MATCH(M$1,役男大表!$A$3:$BF$3,0)  )="榮","x",  IF(  INDEX(役男大表!$A$1:$BF$95,MATCH($A3,役男大表!$A$1:$A$97,0),   MATCH(M$1,役男大表!$A$3:$BF$3,0)  )="榮-22",  "x榮18-22",               INDEX(役男大表!$A$1:$BF$95,MATCH($A3,役男大表!$A$1:$A$97,0),   MATCH(M$1,役男大表!$A$3:$BF$3,0)  )                  )  )  )," ",""),"")</f>
        <v/>
      </c>
      <c r="N3" s="278" t="str">
        <f>_xlfn.IFNA(  SUBSTITUTE(     IF(  INDEX(役男大表!$A$1:$BF$95,MATCH($A3,役男大表!$A$1:$A$97,0),   MATCH(N$1,役男大表!$A$3:$BF$3,0)  )=0,"",  IF(  INDEX(役男大表!$A$1:$BF$95,MATCH($A3,役男大表!$A$1:$A$97,0),   MATCH(N$1,役男大表!$A$3:$BF$3,0)  )="榮","x",  IF(  INDEX(役男大表!$A$1:$BF$95,MATCH($A3,役男大表!$A$1:$A$97,0),   MATCH(N$1,役男大表!$A$3:$BF$3,0)  )="榮-22",  "x榮18-22",               INDEX(役男大表!$A$1:$BF$95,MATCH($A3,役男大表!$A$1:$A$97,0),   MATCH(N$1,役男大表!$A$3:$BF$3,0)  )                  )  )  )," ",""),"")</f>
        <v/>
      </c>
      <c r="O3" s="278" t="str">
        <f>_xlfn.IFNA(  SUBSTITUTE(     IF(  INDEX(役男大表!$A$1:$BF$95,MATCH($A3,役男大表!$A$1:$A$97,0),   MATCH(O$1,役男大表!$A$3:$BF$3,0)  )=0,"",  IF(  INDEX(役男大表!$A$1:$BF$95,MATCH($A3,役男大表!$A$1:$A$97,0),   MATCH(O$1,役男大表!$A$3:$BF$3,0)  )="榮","x",  IF(  INDEX(役男大表!$A$1:$BF$95,MATCH($A3,役男大表!$A$1:$A$97,0),   MATCH(O$1,役男大表!$A$3:$BF$3,0)  )="榮-22",  "x榮18-22",               INDEX(役男大表!$A$1:$BF$95,MATCH($A3,役男大表!$A$1:$A$97,0),   MATCH(O$1,役男大表!$A$3:$BF$3,0)  )                  )  )  )," ",""),"")</f>
        <v/>
      </c>
      <c r="P3" s="278" t="str">
        <f>_xlfn.IFNA(  SUBSTITUTE(     IF(  INDEX(役男大表!$A$1:$BF$95,MATCH($A3,役男大表!$A$1:$A$97,0),   MATCH(P$1,役男大表!$A$3:$BF$3,0)  )=0,"",  IF(  INDEX(役男大表!$A$1:$BF$95,MATCH($A3,役男大表!$A$1:$A$97,0),   MATCH(P$1,役男大表!$A$3:$BF$3,0)  )="榮","x",  IF(  INDEX(役男大表!$A$1:$BF$95,MATCH($A3,役男大表!$A$1:$A$97,0),   MATCH(P$1,役男大表!$A$3:$BF$3,0)  )="榮-22",  "x榮18-22",               INDEX(役男大表!$A$1:$BF$95,MATCH($A3,役男大表!$A$1:$A$97,0),   MATCH(P$1,役男大表!$A$3:$BF$3,0)  )                  )  )  )," ",""),"")</f>
        <v/>
      </c>
      <c r="Q3" s="278" t="str">
        <f>_xlfn.IFNA(  SUBSTITUTE(     IF(  INDEX(役男大表!$A$1:$BF$95,MATCH($A3,役男大表!$A$1:$A$97,0),   MATCH(Q$1,役男大表!$A$3:$BF$3,0)  )=0,"",  IF(  INDEX(役男大表!$A$1:$BF$95,MATCH($A3,役男大表!$A$1:$A$97,0),   MATCH(Q$1,役男大表!$A$3:$BF$3,0)  )="榮","x",  IF(  INDEX(役男大表!$A$1:$BF$95,MATCH($A3,役男大表!$A$1:$A$97,0),   MATCH(Q$1,役男大表!$A$3:$BF$3,0)  )="榮-22",  "x榮18-22",               INDEX(役男大表!$A$1:$BF$95,MATCH($A3,役男大表!$A$1:$A$97,0),   MATCH(Q$1,役男大表!$A$3:$BF$3,0)  )                  )  )  )," ",""),"")</f>
        <v/>
      </c>
      <c r="R3" s="278" t="str">
        <f>_xlfn.IFNA(  SUBSTITUTE(     IF(  INDEX(役男大表!$A$1:$BF$95,MATCH($A3,役男大表!$A$1:$A$97,0),   MATCH(R$1,役男大表!$A$3:$BF$3,0)  )=0,"",  IF(  INDEX(役男大表!$A$1:$BF$95,MATCH($A3,役男大表!$A$1:$A$97,0),   MATCH(R$1,役男大表!$A$3:$BF$3,0)  )="榮","x",  IF(  INDEX(役男大表!$A$1:$BF$95,MATCH($A3,役男大表!$A$1:$A$97,0),   MATCH(R$1,役男大表!$A$3:$BF$3,0)  )="榮-22",  "x榮18-22",               INDEX(役男大表!$A$1:$BF$95,MATCH($A3,役男大表!$A$1:$A$97,0),   MATCH(R$1,役男大表!$A$3:$BF$3,0)  )                  )  )  )," ",""),"")</f>
        <v/>
      </c>
      <c r="S3" s="278" t="str">
        <f>_xlfn.IFNA(  SUBSTITUTE(     IF(  INDEX(役男大表!$A$1:$BF$95,MATCH($A3,役男大表!$A$1:$A$97,0),   MATCH(S$1,役男大表!$A$3:$BF$3,0)  )=0,"",  IF(  INDEX(役男大表!$A$1:$BF$95,MATCH($A3,役男大表!$A$1:$A$97,0),   MATCH(S$1,役男大表!$A$3:$BF$3,0)  )="榮","x",  IF(  INDEX(役男大表!$A$1:$BF$95,MATCH($A3,役男大表!$A$1:$A$97,0),   MATCH(S$1,役男大表!$A$3:$BF$3,0)  )="榮-22",  "x榮18-22",               INDEX(役男大表!$A$1:$BF$95,MATCH($A3,役男大表!$A$1:$A$97,0),   MATCH(S$1,役男大表!$A$3:$BF$3,0)  )                  )  )  )," ",""),"")</f>
        <v/>
      </c>
      <c r="T3" s="278" t="str">
        <f>_xlfn.IFNA(  SUBSTITUTE(     IF(  INDEX(役男大表!$A$1:$BF$95,MATCH($A3,役男大表!$A$1:$A$97,0),   MATCH(T$1,役男大表!$A$3:$BF$3,0)  )=0,"",  IF(  INDEX(役男大表!$A$1:$BF$95,MATCH($A3,役男大表!$A$1:$A$97,0),   MATCH(T$1,役男大表!$A$3:$BF$3,0)  )="榮","x",  IF(  INDEX(役男大表!$A$1:$BF$95,MATCH($A3,役男大表!$A$1:$A$97,0),   MATCH(T$1,役男大表!$A$3:$BF$3,0)  )="榮-22",  "x榮18-22",               INDEX(役男大表!$A$1:$BF$95,MATCH($A3,役男大表!$A$1:$A$97,0),   MATCH(T$1,役男大表!$A$3:$BF$3,0)  )                  )  )  )," ",""),"")</f>
        <v/>
      </c>
      <c r="U3" s="278" t="str">
        <f>_xlfn.IFNA(  SUBSTITUTE(     IF(  INDEX(役男大表!$A$1:$BF$95,MATCH($A3,役男大表!$A$1:$A$97,0),   MATCH(U$1,役男大表!$A$3:$BF$3,0)  )=0,"",  IF(  INDEX(役男大表!$A$1:$BF$95,MATCH($A3,役男大表!$A$1:$A$97,0),   MATCH(U$1,役男大表!$A$3:$BF$3,0)  )="榮","x",  IF(  INDEX(役男大表!$A$1:$BF$95,MATCH($A3,役男大表!$A$1:$A$97,0),   MATCH(U$1,役男大表!$A$3:$BF$3,0)  )="榮-22",  "x榮18-22",               INDEX(役男大表!$A$1:$BF$95,MATCH($A3,役男大表!$A$1:$A$97,0),   MATCH(U$1,役男大表!$A$3:$BF$3,0)  )                  )  )  )," ",""),"")</f>
        <v/>
      </c>
      <c r="V3" s="278" t="str">
        <f>_xlfn.IFNA(  SUBSTITUTE(     IF(  INDEX(役男大表!$A$1:$BF$95,MATCH($A3,役男大表!$A$1:$A$97,0),   MATCH(V$1,役男大表!$A$3:$BF$3,0)  )=0,"",  IF(  INDEX(役男大表!$A$1:$BF$95,MATCH($A3,役男大表!$A$1:$A$97,0),   MATCH(V$1,役男大表!$A$3:$BF$3,0)  )="榮","x",  IF(  INDEX(役男大表!$A$1:$BF$95,MATCH($A3,役男大表!$A$1:$A$97,0),   MATCH(V$1,役男大表!$A$3:$BF$3,0)  )="榮-22",  "x榮18-22",               INDEX(役男大表!$A$1:$BF$95,MATCH($A3,役男大表!$A$1:$A$97,0),   MATCH(V$1,役男大表!$A$3:$BF$3,0)  )                  )  )  )," ",""),"")</f>
        <v/>
      </c>
      <c r="W3" s="278" t="str">
        <f>_xlfn.IFNA(  SUBSTITUTE(     IF(  INDEX(役男大表!$A$1:$BF$95,MATCH($A3,役男大表!$A$1:$A$97,0),   MATCH(W$1,役男大表!$A$3:$BF$3,0)  )=0,"",  IF(  INDEX(役男大表!$A$1:$BF$95,MATCH($A3,役男大表!$A$1:$A$97,0),   MATCH(W$1,役男大表!$A$3:$BF$3,0)  )="榮","x",  IF(  INDEX(役男大表!$A$1:$BF$95,MATCH($A3,役男大表!$A$1:$A$97,0),   MATCH(W$1,役男大表!$A$3:$BF$3,0)  )="榮-22",  "x榮18-22",               INDEX(役男大表!$A$1:$BF$95,MATCH($A3,役男大表!$A$1:$A$97,0),   MATCH(W$1,役男大表!$A$3:$BF$3,0)  )                  )  )  )," ",""),"")</f>
        <v/>
      </c>
      <c r="X3" s="278" t="str">
        <f>_xlfn.IFNA(  SUBSTITUTE(     IF(  INDEX(役男大表!$A$1:$BF$95,MATCH($A3,役男大表!$A$1:$A$97,0),   MATCH(X$1,役男大表!$A$3:$BF$3,0)  )=0,"",  IF(  INDEX(役男大表!$A$1:$BF$95,MATCH($A3,役男大表!$A$1:$A$97,0),   MATCH(X$1,役男大表!$A$3:$BF$3,0)  )="榮","x",  IF(  INDEX(役男大表!$A$1:$BF$95,MATCH($A3,役男大表!$A$1:$A$97,0),   MATCH(X$1,役男大表!$A$3:$BF$3,0)  )="榮-22",  "x榮18-22",               INDEX(役男大表!$A$1:$BF$95,MATCH($A3,役男大表!$A$1:$A$97,0),   MATCH(X$1,役男大表!$A$3:$BF$3,0)  )                  )  )  )," ",""),"")</f>
        <v/>
      </c>
      <c r="Y3" s="278" t="str">
        <f>_xlfn.IFNA(  SUBSTITUTE(     IF(  INDEX(役男大表!$A$1:$BF$95,MATCH($A3,役男大表!$A$1:$A$97,0),   MATCH(Y$1,役男大表!$A$3:$BF$3,0)  )=0,"",  IF(  INDEX(役男大表!$A$1:$BF$95,MATCH($A3,役男大表!$A$1:$A$97,0),   MATCH(Y$1,役男大表!$A$3:$BF$3,0)  )="榮","x",  IF(  INDEX(役男大表!$A$1:$BF$95,MATCH($A3,役男大表!$A$1:$A$97,0),   MATCH(Y$1,役男大表!$A$3:$BF$3,0)  )="榮-22",  "x榮18-22",               INDEX(役男大表!$A$1:$BF$95,MATCH($A3,役男大表!$A$1:$A$97,0),   MATCH(Y$1,役男大表!$A$3:$BF$3,0)  )                  )  )  )," ",""),"")</f>
        <v/>
      </c>
      <c r="Z3" s="278" t="str">
        <f>_xlfn.IFNA(  SUBSTITUTE(     IF(  INDEX(役男大表!$A$1:$BF$95,MATCH($A3,役男大表!$A$1:$A$97,0),   MATCH(Z$1,役男大表!$A$3:$BF$3,0)  )=0,"",  IF(  INDEX(役男大表!$A$1:$BF$95,MATCH($A3,役男大表!$A$1:$A$97,0),   MATCH(Z$1,役男大表!$A$3:$BF$3,0)  )="榮","x",  IF(  INDEX(役男大表!$A$1:$BF$95,MATCH($A3,役男大表!$A$1:$A$97,0),   MATCH(Z$1,役男大表!$A$3:$BF$3,0)  )="榮-22",  "x榮18-22",               INDEX(役男大表!$A$1:$BF$95,MATCH($A3,役男大表!$A$1:$A$97,0),   MATCH(Z$1,役男大表!$A$3:$BF$3,0)  )                  )  )  )," ",""),"")</f>
        <v/>
      </c>
      <c r="AA3" s="278" t="str">
        <f>_xlfn.IFNA(  SUBSTITUTE(     IF(  INDEX(役男大表!$A$1:$BF$95,MATCH($A3,役男大表!$A$1:$A$97,0),   MATCH(AA$1,役男大表!$A$3:$BF$3,0)  )=0,"",  IF(  INDEX(役男大表!$A$1:$BF$95,MATCH($A3,役男大表!$A$1:$A$97,0),   MATCH(AA$1,役男大表!$A$3:$BF$3,0)  )="榮","x",  IF(  INDEX(役男大表!$A$1:$BF$95,MATCH($A3,役男大表!$A$1:$A$97,0),   MATCH(AA$1,役男大表!$A$3:$BF$3,0)  )="榮-22",  "x榮18-22",               INDEX(役男大表!$A$1:$BF$95,MATCH($A3,役男大表!$A$1:$A$97,0),   MATCH(AA$1,役男大表!$A$3:$BF$3,0)  )                  )  )  )," ",""),"")</f>
        <v/>
      </c>
      <c r="AB3" s="278" t="str">
        <f>_xlfn.IFNA(  SUBSTITUTE(     IF(  INDEX(役男大表!$A$1:$BF$95,MATCH($A3,役男大表!$A$1:$A$97,0),   MATCH(AB$1,役男大表!$A$3:$BF$3,0)  )=0,"",  IF(  INDEX(役男大表!$A$1:$BF$95,MATCH($A3,役男大表!$A$1:$A$97,0),   MATCH(AB$1,役男大表!$A$3:$BF$3,0)  )="榮","x",  IF(  INDEX(役男大表!$A$1:$BF$95,MATCH($A3,役男大表!$A$1:$A$97,0),   MATCH(AB$1,役男大表!$A$3:$BF$3,0)  )="榮-22",  "x榮18-22",               INDEX(役男大表!$A$1:$BF$95,MATCH($A3,役男大表!$A$1:$A$97,0),   MATCH(AB$1,役男大表!$A$3:$BF$3,0)  )                  )  )  )," ",""),"")</f>
        <v/>
      </c>
      <c r="AC3" s="278" t="str">
        <f>_xlfn.IFNA(  SUBSTITUTE(     IF(  INDEX(役男大表!$A$1:$BF$95,MATCH($A3,役男大表!$A$1:$A$97,0),   MATCH(AC$1,役男大表!$A$3:$BF$3,0)  )=0,"",  IF(  INDEX(役男大表!$A$1:$BF$95,MATCH($A3,役男大表!$A$1:$A$97,0),   MATCH(AC$1,役男大表!$A$3:$BF$3,0)  )="榮","x",  IF(  INDEX(役男大表!$A$1:$BF$95,MATCH($A3,役男大表!$A$1:$A$97,0),   MATCH(AC$1,役男大表!$A$3:$BF$3,0)  )="榮-22",  "x榮18-22",               INDEX(役男大表!$A$1:$BF$95,MATCH($A3,役男大表!$A$1:$A$97,0),   MATCH(AC$1,役男大表!$A$3:$BF$3,0)  )                  )  )  )," ",""),"")</f>
        <v/>
      </c>
      <c r="AD3" s="278" t="str">
        <f>_xlfn.IFNA(  SUBSTITUTE(     IF(  INDEX(役男大表!$A$1:$BF$95,MATCH($A3,役男大表!$A$1:$A$97,0),   MATCH(AD$1,役男大表!$A$3:$BF$3,0)  )=0,"",  IF(  INDEX(役男大表!$A$1:$BF$95,MATCH($A3,役男大表!$A$1:$A$97,0),   MATCH(AD$1,役男大表!$A$3:$BF$3,0)  )="榮","x",  IF(  INDEX(役男大表!$A$1:$BF$95,MATCH($A3,役男大表!$A$1:$A$97,0),   MATCH(AD$1,役男大表!$A$3:$BF$3,0)  )="榮-22",  "x榮18-22",               INDEX(役男大表!$A$1:$BF$95,MATCH($A3,役男大表!$A$1:$A$97,0),   MATCH(AD$1,役男大表!$A$3:$BF$3,0)  )                  )  )  )," ",""),"")</f>
        <v/>
      </c>
      <c r="AE3" s="278" t="str">
        <f>_xlfn.IFNA(  SUBSTITUTE(     IF(  INDEX(役男大表!$A$1:$BF$95,MATCH($A3,役男大表!$A$1:$A$97,0),   MATCH(AE$1,役男大表!$A$3:$BF$3,0)  )=0,"",  IF(  INDEX(役男大表!$A$1:$BF$95,MATCH($A3,役男大表!$A$1:$A$97,0),   MATCH(AE$1,役男大表!$A$3:$BF$3,0)  )="榮","x",  IF(  INDEX(役男大表!$A$1:$BF$95,MATCH($A3,役男大表!$A$1:$A$97,0),   MATCH(AE$1,役男大表!$A$3:$BF$3,0)  )="榮-22",  "x榮18-22",               INDEX(役男大表!$A$1:$BF$95,MATCH($A3,役男大表!$A$1:$A$97,0),   MATCH(AE$1,役男大表!$A$3:$BF$3,0)  )                  )  )  )," ",""),"")</f>
        <v/>
      </c>
      <c r="AF3" s="278" t="str">
        <f>_xlfn.IFNA(  SUBSTITUTE(     IF(  INDEX(役男大表!$A$1:$BF$95,MATCH($A3,役男大表!$A$1:$A$97,0),   MATCH(AF$1,役男大表!$A$3:$BF$3,0)  )=0,"",  IF(  INDEX(役男大表!$A$1:$BF$95,MATCH($A3,役男大表!$A$1:$A$97,0),   MATCH(AF$1,役男大表!$A$3:$BF$3,0)  )="榮","x",  IF(  INDEX(役男大表!$A$1:$BF$95,MATCH($A3,役男大表!$A$1:$A$97,0),   MATCH(AF$1,役男大表!$A$3:$BF$3,0)  )="榮-22",  "x榮18-22",               INDEX(役男大表!$A$1:$BF$95,MATCH($A3,役男大表!$A$1:$A$97,0),   MATCH(AF$1,役男大表!$A$3:$BF$3,0)  )                  )  )  )," ",""),"")</f>
        <v/>
      </c>
      <c r="AG3" s="278" t="str">
        <f>_xlfn.IFNA(  SUBSTITUTE(     IF(  INDEX(役男大表!$A$1:$BF$95,MATCH($A3,役男大表!$A$1:$A$97,0),   MATCH(AG$1,役男大表!$A$3:$BF$3,0)  )=0,"",  IF(  INDEX(役男大表!$A$1:$BF$95,MATCH($A3,役男大表!$A$1:$A$97,0),   MATCH(AG$1,役男大表!$A$3:$BF$3,0)  )="榮","x",  IF(  INDEX(役男大表!$A$1:$BF$95,MATCH($A3,役男大表!$A$1:$A$97,0),   MATCH(AG$1,役男大表!$A$3:$BF$3,0)  )="榮-22",  "x榮18-22",               INDEX(役男大表!$A$1:$BF$95,MATCH($A3,役男大表!$A$1:$A$97,0),   MATCH(AG$1,役男大表!$A$3:$BF$3,0)  )                  )  )  )," ",""),"")</f>
        <v/>
      </c>
      <c r="AH3" s="278" t="str">
        <f>_xlfn.IFNA(  SUBSTITUTE(     IF(  INDEX(役男大表!$A$1:$BF$95,MATCH($A3,役男大表!$A$1:$A$97,0),   MATCH(AH$1,役男大表!$A$3:$BF$3,0)  )=0,"",  IF(  INDEX(役男大表!$A$1:$BF$95,MATCH($A3,役男大表!$A$1:$A$97,0),   MATCH(AH$1,役男大表!$A$3:$BF$3,0)  )="榮","x",  IF(  INDEX(役男大表!$A$1:$BF$95,MATCH($A3,役男大表!$A$1:$A$97,0),   MATCH(AH$1,役男大表!$A$3:$BF$3,0)  )="榮-22",  "x榮18-22",               INDEX(役男大表!$A$1:$BF$95,MATCH($A3,役男大表!$A$1:$A$97,0),   MATCH(AH$1,役男大表!$A$3:$BF$3,0)  )                  )  )  )," ",""),"")</f>
        <v/>
      </c>
      <c r="AI3" s="278" t="str">
        <f>_xlfn.IFNA(  SUBSTITUTE(     IF(  INDEX(役男大表!$A$1:$BF$95,MATCH($A3,役男大表!$A$1:$A$97,0),   MATCH(AI$1,役男大表!$A$3:$BF$3,0)  )=0,"",  IF(  INDEX(役男大表!$A$1:$BF$95,MATCH($A3,役男大表!$A$1:$A$97,0),   MATCH(AI$1,役男大表!$A$3:$BF$3,0)  )="榮","x",  IF(  INDEX(役男大表!$A$1:$BF$95,MATCH($A3,役男大表!$A$1:$A$97,0),   MATCH(AI$1,役男大表!$A$3:$BF$3,0)  )="榮-22",  "x榮18-22",               INDEX(役男大表!$A$1:$BF$95,MATCH($A3,役男大表!$A$1:$A$97,0),   MATCH(AI$1,役男大表!$A$3:$BF$3,0)  )                  )  )  )," ",""),"")</f>
        <v/>
      </c>
      <c r="AJ3" s="278" t="str">
        <f>_xlfn.IFNA(  SUBSTITUTE(     IF(  INDEX(役男大表!$A$1:$BF$95,MATCH($A3,役男大表!$A$1:$A$97,0),   MATCH(AJ$1,役男大表!$A$3:$BF$3,0)  )=0,"",  IF(  INDEX(役男大表!$A$1:$BF$95,MATCH($A3,役男大表!$A$1:$A$97,0),   MATCH(AJ$1,役男大表!$A$3:$BF$3,0)  )="榮","x",  IF(  INDEX(役男大表!$A$1:$BF$95,MATCH($A3,役男大表!$A$1:$A$97,0),   MATCH(AJ$1,役男大表!$A$3:$BF$3,0)  )="榮-22",  "x榮18-22",               INDEX(役男大表!$A$1:$BF$95,MATCH($A3,役男大表!$A$1:$A$97,0),   MATCH(AJ$1,役男大表!$A$3:$BF$3,0)  )                  )  )  )," ",""),"")</f>
        <v/>
      </c>
      <c r="AM3" s="66">
        <f t="shared" si="1"/>
        <v>2</v>
      </c>
      <c r="AN3" s="66" t="str">
        <f t="shared" si="2"/>
        <v>鄭智謙</v>
      </c>
      <c r="AO3" s="71" t="str">
        <f>IF(  AND(  INDEX(   $A$42:$AJ$79, MATCH(AM3,$A$42:$A$79,0),MATCH(  日期輸入!$C$3,$A$42:$AL$42,0  )  )="全日勤",  AV3="免"  ),  "全日勤免勤教",  IF(  AND(  INDEX(   $A$42:$AJ$79, MATCH(AM3,$A$42:$A$79,0),MATCH(  日期輸入!$C$3,$A$42:$AL$42,0  )  )="18放",  AV3="免"  ),  "18放早走",  INDEX(   $A$42:$AJ$79, MATCH(AM3,$A$42:$A$79,0),MATCH(  日期輸入!$C$3,$A$42:$AL$42,0  )  )  )  )</f>
        <v>全日勤</v>
      </c>
      <c r="AP3" s="66" t="str">
        <f>_xlfn.IFNA(IF((ROW(AP3)-1)&lt;=暫1!$B$2,IF(VALUE($AM3)=暫1!B$3,"家因",IF(VALUE($AM3)=暫1!C$3,"家因",IF(VALUE($AM3)=暫1!D$3,"家因",IF(VALUE($AM3)=暫1!E$3,"家因",IF(VALUE($AM3)=暫1!F$3,"家因",IF(VALUE($AM3)=暫1!G$3,"家因",IF(VALUE($AM3)=暫1!H$3,"家因",IF(VALUE($AM3)=暫1!I$3,"家因",IF(VALUE($AM3)=暫1!J$3,"家因",IF(VALUE($AM3)=暫1!K$3,"家因",IF(VALUE($AM3)=暫1!L$3,"家因",IF(VALUE($AM3)=暫1!M$3,"家因",IF(VALUE($AM3)=暫1!N$3,"家因",IF(VALUE($AM3)=暫1!O$3,"家因",IF(VALUE($AM3)=暫1!P$3,"家因",IF(VALUE($AM3)=暫1!Q$3,"家因",IF(VALUE($AM3)=暫1!R$3,"家因",IF(VALUE($AM3)=暫1!S$3,"家因",IF(VALUE($AM3)=暫1!T$3,"家因",IF(VALUE($AM3)=暫1!U$3,"家因","")))))))))))))))))))),""),"")</f>
        <v/>
      </c>
      <c r="AQ3" s="66" t="str">
        <f>IF((ROW(AQ3)-1)&lt;=暫1!$B$2,_xlfn.IFNA(IF(INDEX($A$1:$AJ$41,MATCH($AN3,$B$1:$B$101,0),VALUE($AQ$1+3))="成","補",INDEX($A$1:$AJ$41,MATCH($AN3,$B$1:$B$101,0),VALUE($AQ$1+3))),""),"")</f>
        <v/>
      </c>
      <c r="AR3" s="66" t="str">
        <f>IF((ROW(AR3)-1)&lt;=暫1!$B$2,_xlfn.IFNA(IF(INDEX($A$1:$AJ$41,MATCH($AN3,$B$1:$B$101,0),VALUE($AR$1+3))="成","補",INDEX($A$1:$AJ$41,MATCH($AN3,$B$1:$B$101,0),VALUE($AR$1+3))),""),"")</f>
        <v/>
      </c>
      <c r="AS3" s="66" t="str">
        <f>IF((ROW(AS3)-1)&lt;=暫1!$B$2,_xlfn.IFNA(IF(INDEX($A$1:$AJ$41,MATCH($AN3,$B$1:$B$101,0),VALUE($AS$1+3))="成","補",INDEX($A$1:$AJ$41,MATCH($AN3,$B$1:$B$101,0),VALUE($AS$1+3))),""),"")</f>
        <v/>
      </c>
      <c r="AT3" s="66" t="str">
        <f>IF(  OR(  LEN(  INDEX(   $A$1:$AJ$39, MATCH(AM3,$A$1:$A$39,0),MATCH(  日期輸入!$C$3,$A$1:$AP$1,0  )  )  )&gt;LEN(  SUBSTITUTE(  INDEX(   $A$1:$AJ$39, MATCH(AM3,$A$1:$A$39,0),MATCH(  日期輸入!$C$3,$A$1:$AP$1,0  )  ),"榮","")  )  ),   SUBSTITUTE(  SUBSTITUTE(  INDEX(   $A$1:$AJ$39, MATCH(AM3,$A$1:$A$39,0),MATCH(  日期輸入!$C$3,$A$1:$AP$1,0  )  ),"榮",""),"x",""), "")</f>
        <v/>
      </c>
      <c r="AU3" s="66" t="str">
        <f t="shared" ref="AU3:AU38" si="3">IF(NOT(AT3=""),                CONCATENATE(AM3,"(",SUBSTITUTE(SUBSTITUTE(AT3," ",""),"榮",""),"時",")"   ),"")</f>
        <v/>
      </c>
      <c r="AV3" s="66" t="str">
        <f>INDEX(   $A$482:$AJ$519, MATCH(AM3,$A$482:$A$519,0),MATCH(  日期輸入!$C$3,$A$482:$AL$482,0  )  )</f>
        <v/>
      </c>
      <c r="AX3" s="66" t="str">
        <f>IFERROR(IF((ROW(AX3)-1)&lt;=暫1!$B$2,SUBSTITUTE(IF($AO3=$AX$1,$AM3,"")," ",""),""),"")</f>
        <v/>
      </c>
      <c r="AY3" s="66" t="str">
        <f>IFERROR(IF((ROW(AY3)-1)&lt;=暫1!$B$2,SUBSTITUTE(IF($AO3=$AY$1,$AM3,"")," ",""),""),"")</f>
        <v/>
      </c>
      <c r="AZ3" s="66" t="str">
        <f>IFERROR(IF((ROW(AZ3)-1)&lt;=暫1!$B$2,SUBSTITUTE(IF($AO3=$AZ$1,$AM3,"")," ",""),""),"")</f>
        <v/>
      </c>
      <c r="BA3" s="66" t="str">
        <f>IFERROR(IF((ROW(BA3)-1)&lt;=暫1!$B$2,SUBSTITUTE(IF($AO3=$BA$1,$AM3,"")," ",""),""),"")</f>
        <v/>
      </c>
      <c r="BB3" s="69" t="str">
        <f>IFERROR(IF((ROW(BB3)-1)&lt;=暫1!$B$2,SUBSTITUTE(IF(OR($AO3=$BB$1,$AO3=$AY$1,$AO3=$AZ$1),$AM3,IF($AO3=$AY$1,$AM3,"")),"",""),""),"")</f>
        <v>2</v>
      </c>
      <c r="BC3" s="69" t="str">
        <f>IF(    AND(LEN(BC2)&gt;=2 ),        "、" &amp;  IF(OR(役男人力!$J$2:$J$84="是"),役男人力!$B3,""),  IF(OR(役男人力!$J$2:$J$84="是"),役男人力!$B3,"")  )</f>
        <v>鄭智謙</v>
      </c>
      <c r="BG3" s="70" t="s">
        <v>266</v>
      </c>
      <c r="BH3" s="63" t="str">
        <f>CONCATENATE(' 役男公式'!BG3,"：",' 役男公式'!BG4)</f>
        <v>17放：</v>
      </c>
    </row>
    <row r="4" spans="1:60" ht="25.5" customHeight="1" thickBot="1">
      <c r="A4" s="278">
        <v>3</v>
      </c>
      <c r="B4" s="278" t="str">
        <f>_xlfn.IFNA(  INDEX(役男大表!$A$1:$BF$95,MATCH(A4,役男大表!$A$1:$A$97,0),2),"")</f>
        <v>王敍安</v>
      </c>
      <c r="C4" s="278" t="str">
        <f>_xlfn.IFNA(  SUBSTITUTE(     IF(  INDEX(役男大表!$A$1:$BF$95,MATCH($A4,役男大表!$A$1:$A$97,0),   MATCH(C$1,役男大表!$A$3:$BF$3,0)  )=0,"",  IF(  INDEX(役男大表!$A$1:$BF$95,MATCH($A4,役男大表!$A$1:$A$97,0),   MATCH(C$1,役男大表!$A$3:$BF$3,0)  )="榮","x",  IF(  INDEX(役男大表!$A$1:$BF$95,MATCH($A4,役男大表!$A$1:$A$97,0),   MATCH(C$1,役男大表!$A$3:$BF$3,0)  )="榮-22",  "x榮18-22",               INDEX(役男大表!$A$1:$BF$95,MATCH($A4,役男大表!$A$1:$A$97,0),   MATCH(C$1,役男大表!$A$3:$BF$3,0)  )                  )  )  )," ",""),"")</f>
        <v/>
      </c>
      <c r="D4" s="278" t="str">
        <f>_xlfn.IFNA(  SUBSTITUTE(     IF(  INDEX(役男大表!$A$1:$BF$95,MATCH($A4,役男大表!$A$1:$A$97,0),   MATCH(D$1,役男大表!$A$3:$BF$3,0)  )=0,"",  IF(  INDEX(役男大表!$A$1:$BF$95,MATCH($A4,役男大表!$A$1:$A$97,0),   MATCH(D$1,役男大表!$A$3:$BF$3,0)  )="榮","x",  IF(  INDEX(役男大表!$A$1:$BF$95,MATCH($A4,役男大表!$A$1:$A$97,0),   MATCH(D$1,役男大表!$A$3:$BF$3,0)  )="榮-22",  "x榮18-22",               INDEX(役男大表!$A$1:$BF$95,MATCH($A4,役男大表!$A$1:$A$97,0),   MATCH(D$1,役男大表!$A$3:$BF$3,0)  )                  )  )  )," ",""),"")</f>
        <v/>
      </c>
      <c r="E4" s="278" t="str">
        <f>_xlfn.IFNA(  SUBSTITUTE(     IF(  INDEX(役男大表!$A$1:$BF$95,MATCH($A4,役男大表!$A$1:$A$97,0),   MATCH(E$1,役男大表!$A$3:$BF$3,0)  )=0,"",  IF(  INDEX(役男大表!$A$1:$BF$95,MATCH($A4,役男大表!$A$1:$A$97,0),   MATCH(E$1,役男大表!$A$3:$BF$3,0)  )="榮","x",  IF(  INDEX(役男大表!$A$1:$BF$95,MATCH($A4,役男大表!$A$1:$A$97,0),   MATCH(E$1,役男大表!$A$3:$BF$3,0)  )="榮-22",  "x榮18-22",               INDEX(役男大表!$A$1:$BF$95,MATCH($A4,役男大表!$A$1:$A$97,0),   MATCH(E$1,役男大表!$A$3:$BF$3,0)  )                  )  )  )," ",""),"")</f>
        <v/>
      </c>
      <c r="F4" s="278" t="str">
        <f>_xlfn.IFNA(  SUBSTITUTE(     IF(  INDEX(役男大表!$A$1:$BF$95,MATCH($A4,役男大表!$A$1:$A$97,0),   MATCH(F$1,役男大表!$A$3:$BF$3,0)  )=0,"",  IF(  INDEX(役男大表!$A$1:$BF$95,MATCH($A4,役男大表!$A$1:$A$97,0),   MATCH(F$1,役男大表!$A$3:$BF$3,0)  )="榮","x",  IF(  INDEX(役男大表!$A$1:$BF$95,MATCH($A4,役男大表!$A$1:$A$97,0),   MATCH(F$1,役男大表!$A$3:$BF$3,0)  )="榮-22",  "x榮18-22",               INDEX(役男大表!$A$1:$BF$95,MATCH($A4,役男大表!$A$1:$A$97,0),   MATCH(F$1,役男大表!$A$3:$BF$3,0)  )                  )  )  )," ",""),"")</f>
        <v/>
      </c>
      <c r="G4" s="278" t="str">
        <f>_xlfn.IFNA(  SUBSTITUTE(     IF(  INDEX(役男大表!$A$1:$BF$95,MATCH($A4,役男大表!$A$1:$A$97,0),   MATCH(G$1,役男大表!$A$3:$BF$3,0)  )=0,"",  IF(  INDEX(役男大表!$A$1:$BF$95,MATCH($A4,役男大表!$A$1:$A$97,0),   MATCH(G$1,役男大表!$A$3:$BF$3,0)  )="榮","x",  IF(  INDEX(役男大表!$A$1:$BF$95,MATCH($A4,役男大表!$A$1:$A$97,0),   MATCH(G$1,役男大表!$A$3:$BF$3,0)  )="榮-22",  "x榮18-22",               INDEX(役男大表!$A$1:$BF$95,MATCH($A4,役男大表!$A$1:$A$97,0),   MATCH(G$1,役男大表!$A$3:$BF$3,0)  )                  )  )  )," ",""),"")</f>
        <v/>
      </c>
      <c r="H4" s="278" t="str">
        <f>_xlfn.IFNA(  SUBSTITUTE(     IF(  INDEX(役男大表!$A$1:$BF$95,MATCH($A4,役男大表!$A$1:$A$97,0),   MATCH(H$1,役男大表!$A$3:$BF$3,0)  )=0,"",  IF(  INDEX(役男大表!$A$1:$BF$95,MATCH($A4,役男大表!$A$1:$A$97,0),   MATCH(H$1,役男大表!$A$3:$BF$3,0)  )="榮","x",  IF(  INDEX(役男大表!$A$1:$BF$95,MATCH($A4,役男大表!$A$1:$A$97,0),   MATCH(H$1,役男大表!$A$3:$BF$3,0)  )="榮-22",  "x榮18-22",               INDEX(役男大表!$A$1:$BF$95,MATCH($A4,役男大表!$A$1:$A$97,0),   MATCH(H$1,役男大表!$A$3:$BF$3,0)  )                  )  )  )," ",""),"")</f>
        <v/>
      </c>
      <c r="I4" s="278" t="str">
        <f>_xlfn.IFNA(  SUBSTITUTE(     IF(  INDEX(役男大表!$A$1:$BF$95,MATCH($A4,役男大表!$A$1:$A$97,0),   MATCH(I$1,役男大表!$A$3:$BF$3,0)  )=0,"",  IF(  INDEX(役男大表!$A$1:$BF$95,MATCH($A4,役男大表!$A$1:$A$97,0),   MATCH(I$1,役男大表!$A$3:$BF$3,0)  )="榮","x",  IF(  INDEX(役男大表!$A$1:$BF$95,MATCH($A4,役男大表!$A$1:$A$97,0),   MATCH(I$1,役男大表!$A$3:$BF$3,0)  )="榮-22",  "x榮18-22",               INDEX(役男大表!$A$1:$BF$95,MATCH($A4,役男大表!$A$1:$A$97,0),   MATCH(I$1,役男大表!$A$3:$BF$3,0)  )                  )  )  )," ",""),"")</f>
        <v/>
      </c>
      <c r="J4" s="278" t="str">
        <f>_xlfn.IFNA(  SUBSTITUTE(     IF(  INDEX(役男大表!$A$1:$BF$95,MATCH($A4,役男大表!$A$1:$A$97,0),   MATCH(J$1,役男大表!$A$3:$BF$3,0)  )=0,"",  IF(  INDEX(役男大表!$A$1:$BF$95,MATCH($A4,役男大表!$A$1:$A$97,0),   MATCH(J$1,役男大表!$A$3:$BF$3,0)  )="榮","x",  IF(  INDEX(役男大表!$A$1:$BF$95,MATCH($A4,役男大表!$A$1:$A$97,0),   MATCH(J$1,役男大表!$A$3:$BF$3,0)  )="榮-22",  "x榮18-22",               INDEX(役男大表!$A$1:$BF$95,MATCH($A4,役男大表!$A$1:$A$97,0),   MATCH(J$1,役男大表!$A$3:$BF$3,0)  )                  )  )  )," ",""),"")</f>
        <v/>
      </c>
      <c r="K4" s="278" t="str">
        <f>_xlfn.IFNA(  SUBSTITUTE(     IF(  INDEX(役男大表!$A$1:$BF$95,MATCH($A4,役男大表!$A$1:$A$97,0),   MATCH(K$1,役男大表!$A$3:$BF$3,0)  )=0,"",  IF(  INDEX(役男大表!$A$1:$BF$95,MATCH($A4,役男大表!$A$1:$A$97,0),   MATCH(K$1,役男大表!$A$3:$BF$3,0)  )="榮","x",  IF(  INDEX(役男大表!$A$1:$BF$95,MATCH($A4,役男大表!$A$1:$A$97,0),   MATCH(K$1,役男大表!$A$3:$BF$3,0)  )="榮-22",  "x榮18-22",               INDEX(役男大表!$A$1:$BF$95,MATCH($A4,役男大表!$A$1:$A$97,0),   MATCH(K$1,役男大表!$A$3:$BF$3,0)  )                  )  )  )," ",""),"")</f>
        <v/>
      </c>
      <c r="L4" s="278" t="str">
        <f>_xlfn.IFNA(  SUBSTITUTE(     IF(  INDEX(役男大表!$A$1:$BF$95,MATCH($A4,役男大表!$A$1:$A$97,0),   MATCH(L$1,役男大表!$A$3:$BF$3,0)  )=0,"",  IF(  INDEX(役男大表!$A$1:$BF$95,MATCH($A4,役男大表!$A$1:$A$97,0),   MATCH(L$1,役男大表!$A$3:$BF$3,0)  )="榮","x",  IF(  INDEX(役男大表!$A$1:$BF$95,MATCH($A4,役男大表!$A$1:$A$97,0),   MATCH(L$1,役男大表!$A$3:$BF$3,0)  )="榮-22",  "x榮18-22",               INDEX(役男大表!$A$1:$BF$95,MATCH($A4,役男大表!$A$1:$A$97,0),   MATCH(L$1,役男大表!$A$3:$BF$3,0)  )                  )  )  )," ",""),"")</f>
        <v/>
      </c>
      <c r="M4" s="278" t="str">
        <f>_xlfn.IFNA(  SUBSTITUTE(     IF(  INDEX(役男大表!$A$1:$BF$95,MATCH($A4,役男大表!$A$1:$A$97,0),   MATCH(M$1,役男大表!$A$3:$BF$3,0)  )=0,"",  IF(  INDEX(役男大表!$A$1:$BF$95,MATCH($A4,役男大表!$A$1:$A$97,0),   MATCH(M$1,役男大表!$A$3:$BF$3,0)  )="榮","x",  IF(  INDEX(役男大表!$A$1:$BF$95,MATCH($A4,役男大表!$A$1:$A$97,0),   MATCH(M$1,役男大表!$A$3:$BF$3,0)  )="榮-22",  "x榮18-22",               INDEX(役男大表!$A$1:$BF$95,MATCH($A4,役男大表!$A$1:$A$97,0),   MATCH(M$1,役男大表!$A$3:$BF$3,0)  )                  )  )  )," ",""),"")</f>
        <v/>
      </c>
      <c r="N4" s="278" t="str">
        <f>_xlfn.IFNA(  SUBSTITUTE(     IF(  INDEX(役男大表!$A$1:$BF$95,MATCH($A4,役男大表!$A$1:$A$97,0),   MATCH(N$1,役男大表!$A$3:$BF$3,0)  )=0,"",  IF(  INDEX(役男大表!$A$1:$BF$95,MATCH($A4,役男大表!$A$1:$A$97,0),   MATCH(N$1,役男大表!$A$3:$BF$3,0)  )="榮","x",  IF(  INDEX(役男大表!$A$1:$BF$95,MATCH($A4,役男大表!$A$1:$A$97,0),   MATCH(N$1,役男大表!$A$3:$BF$3,0)  )="榮-22",  "x榮18-22",               INDEX(役男大表!$A$1:$BF$95,MATCH($A4,役男大表!$A$1:$A$97,0),   MATCH(N$1,役男大表!$A$3:$BF$3,0)  )                  )  )  )," ",""),"")</f>
        <v/>
      </c>
      <c r="O4" s="278" t="str">
        <f>_xlfn.IFNA(  SUBSTITUTE(     IF(  INDEX(役男大表!$A$1:$BF$95,MATCH($A4,役男大表!$A$1:$A$97,0),   MATCH(O$1,役男大表!$A$3:$BF$3,0)  )=0,"",  IF(  INDEX(役男大表!$A$1:$BF$95,MATCH($A4,役男大表!$A$1:$A$97,0),   MATCH(O$1,役男大表!$A$3:$BF$3,0)  )="榮","x",  IF(  INDEX(役男大表!$A$1:$BF$95,MATCH($A4,役男大表!$A$1:$A$97,0),   MATCH(O$1,役男大表!$A$3:$BF$3,0)  )="榮-22",  "x榮18-22",               INDEX(役男大表!$A$1:$BF$95,MATCH($A4,役男大表!$A$1:$A$97,0),   MATCH(O$1,役男大表!$A$3:$BF$3,0)  )                  )  )  )," ",""),"")</f>
        <v/>
      </c>
      <c r="P4" s="278" t="str">
        <f>_xlfn.IFNA(  SUBSTITUTE(     IF(  INDEX(役男大表!$A$1:$BF$95,MATCH($A4,役男大表!$A$1:$A$97,0),   MATCH(P$1,役男大表!$A$3:$BF$3,0)  )=0,"",  IF(  INDEX(役男大表!$A$1:$BF$95,MATCH($A4,役男大表!$A$1:$A$97,0),   MATCH(P$1,役男大表!$A$3:$BF$3,0)  )="榮","x",  IF(  INDEX(役男大表!$A$1:$BF$95,MATCH($A4,役男大表!$A$1:$A$97,0),   MATCH(P$1,役男大表!$A$3:$BF$3,0)  )="榮-22",  "x榮18-22",               INDEX(役男大表!$A$1:$BF$95,MATCH($A4,役男大表!$A$1:$A$97,0),   MATCH(P$1,役男大表!$A$3:$BF$3,0)  )                  )  )  )," ",""),"")</f>
        <v/>
      </c>
      <c r="Q4" s="278" t="str">
        <f>_xlfn.IFNA(  SUBSTITUTE(     IF(  INDEX(役男大表!$A$1:$BF$95,MATCH($A4,役男大表!$A$1:$A$97,0),   MATCH(Q$1,役男大表!$A$3:$BF$3,0)  )=0,"",  IF(  INDEX(役男大表!$A$1:$BF$95,MATCH($A4,役男大表!$A$1:$A$97,0),   MATCH(Q$1,役男大表!$A$3:$BF$3,0)  )="榮","x",  IF(  INDEX(役男大表!$A$1:$BF$95,MATCH($A4,役男大表!$A$1:$A$97,0),   MATCH(Q$1,役男大表!$A$3:$BF$3,0)  )="榮-22",  "x榮18-22",               INDEX(役男大表!$A$1:$BF$95,MATCH($A4,役男大表!$A$1:$A$97,0),   MATCH(Q$1,役男大表!$A$3:$BF$3,0)  )                  )  )  )," ",""),"")</f>
        <v/>
      </c>
      <c r="R4" s="278" t="str">
        <f>_xlfn.IFNA(  SUBSTITUTE(     IF(  INDEX(役男大表!$A$1:$BF$95,MATCH($A4,役男大表!$A$1:$A$97,0),   MATCH(R$1,役男大表!$A$3:$BF$3,0)  )=0,"",  IF(  INDEX(役男大表!$A$1:$BF$95,MATCH($A4,役男大表!$A$1:$A$97,0),   MATCH(R$1,役男大表!$A$3:$BF$3,0)  )="榮","x",  IF(  INDEX(役男大表!$A$1:$BF$95,MATCH($A4,役男大表!$A$1:$A$97,0),   MATCH(R$1,役男大表!$A$3:$BF$3,0)  )="榮-22",  "x榮18-22",               INDEX(役男大表!$A$1:$BF$95,MATCH($A4,役男大表!$A$1:$A$97,0),   MATCH(R$1,役男大表!$A$3:$BF$3,0)  )                  )  )  )," ",""),"")</f>
        <v/>
      </c>
      <c r="S4" s="278" t="str">
        <f>_xlfn.IFNA(  SUBSTITUTE(     IF(  INDEX(役男大表!$A$1:$BF$95,MATCH($A4,役男大表!$A$1:$A$97,0),   MATCH(S$1,役男大表!$A$3:$BF$3,0)  )=0,"",  IF(  INDEX(役男大表!$A$1:$BF$95,MATCH($A4,役男大表!$A$1:$A$97,0),   MATCH(S$1,役男大表!$A$3:$BF$3,0)  )="榮","x",  IF(  INDEX(役男大表!$A$1:$BF$95,MATCH($A4,役男大表!$A$1:$A$97,0),   MATCH(S$1,役男大表!$A$3:$BF$3,0)  )="榮-22",  "x榮18-22",               INDEX(役男大表!$A$1:$BF$95,MATCH($A4,役男大表!$A$1:$A$97,0),   MATCH(S$1,役男大表!$A$3:$BF$3,0)  )                  )  )  )," ",""),"")</f>
        <v/>
      </c>
      <c r="T4" s="278" t="str">
        <f>_xlfn.IFNA(  SUBSTITUTE(     IF(  INDEX(役男大表!$A$1:$BF$95,MATCH($A4,役男大表!$A$1:$A$97,0),   MATCH(T$1,役男大表!$A$3:$BF$3,0)  )=0,"",  IF(  INDEX(役男大表!$A$1:$BF$95,MATCH($A4,役男大表!$A$1:$A$97,0),   MATCH(T$1,役男大表!$A$3:$BF$3,0)  )="榮","x",  IF(  INDEX(役男大表!$A$1:$BF$95,MATCH($A4,役男大表!$A$1:$A$97,0),   MATCH(T$1,役男大表!$A$3:$BF$3,0)  )="榮-22",  "x榮18-22",               INDEX(役男大表!$A$1:$BF$95,MATCH($A4,役男大表!$A$1:$A$97,0),   MATCH(T$1,役男大表!$A$3:$BF$3,0)  )                  )  )  )," ",""),"")</f>
        <v/>
      </c>
      <c r="U4" s="278" t="str">
        <f>_xlfn.IFNA(  SUBSTITUTE(     IF(  INDEX(役男大表!$A$1:$BF$95,MATCH($A4,役男大表!$A$1:$A$97,0),   MATCH(U$1,役男大表!$A$3:$BF$3,0)  )=0,"",  IF(  INDEX(役男大表!$A$1:$BF$95,MATCH($A4,役男大表!$A$1:$A$97,0),   MATCH(U$1,役男大表!$A$3:$BF$3,0)  )="榮","x",  IF(  INDEX(役男大表!$A$1:$BF$95,MATCH($A4,役男大表!$A$1:$A$97,0),   MATCH(U$1,役男大表!$A$3:$BF$3,0)  )="榮-22",  "x榮18-22",               INDEX(役男大表!$A$1:$BF$95,MATCH($A4,役男大表!$A$1:$A$97,0),   MATCH(U$1,役男大表!$A$3:$BF$3,0)  )                  )  )  )," ",""),"")</f>
        <v/>
      </c>
      <c r="V4" s="278" t="str">
        <f>_xlfn.IFNA(  SUBSTITUTE(     IF(  INDEX(役男大表!$A$1:$BF$95,MATCH($A4,役男大表!$A$1:$A$97,0),   MATCH(V$1,役男大表!$A$3:$BF$3,0)  )=0,"",  IF(  INDEX(役男大表!$A$1:$BF$95,MATCH($A4,役男大表!$A$1:$A$97,0),   MATCH(V$1,役男大表!$A$3:$BF$3,0)  )="榮","x",  IF(  INDEX(役男大表!$A$1:$BF$95,MATCH($A4,役男大表!$A$1:$A$97,0),   MATCH(V$1,役男大表!$A$3:$BF$3,0)  )="榮-22",  "x榮18-22",               INDEX(役男大表!$A$1:$BF$95,MATCH($A4,役男大表!$A$1:$A$97,0),   MATCH(V$1,役男大表!$A$3:$BF$3,0)  )                  )  )  )," ",""),"")</f>
        <v/>
      </c>
      <c r="W4" s="278" t="str">
        <f>_xlfn.IFNA(  SUBSTITUTE(     IF(  INDEX(役男大表!$A$1:$BF$95,MATCH($A4,役男大表!$A$1:$A$97,0),   MATCH(W$1,役男大表!$A$3:$BF$3,0)  )=0,"",  IF(  INDEX(役男大表!$A$1:$BF$95,MATCH($A4,役男大表!$A$1:$A$97,0),   MATCH(W$1,役男大表!$A$3:$BF$3,0)  )="榮","x",  IF(  INDEX(役男大表!$A$1:$BF$95,MATCH($A4,役男大表!$A$1:$A$97,0),   MATCH(W$1,役男大表!$A$3:$BF$3,0)  )="榮-22",  "x榮18-22",               INDEX(役男大表!$A$1:$BF$95,MATCH($A4,役男大表!$A$1:$A$97,0),   MATCH(W$1,役男大表!$A$3:$BF$3,0)  )                  )  )  )," ",""),"")</f>
        <v/>
      </c>
      <c r="X4" s="278" t="str">
        <f>_xlfn.IFNA(  SUBSTITUTE(     IF(  INDEX(役男大表!$A$1:$BF$95,MATCH($A4,役男大表!$A$1:$A$97,0),   MATCH(X$1,役男大表!$A$3:$BF$3,0)  )=0,"",  IF(  INDEX(役男大表!$A$1:$BF$95,MATCH($A4,役男大表!$A$1:$A$97,0),   MATCH(X$1,役男大表!$A$3:$BF$3,0)  )="榮","x",  IF(  INDEX(役男大表!$A$1:$BF$95,MATCH($A4,役男大表!$A$1:$A$97,0),   MATCH(X$1,役男大表!$A$3:$BF$3,0)  )="榮-22",  "x榮18-22",               INDEX(役男大表!$A$1:$BF$95,MATCH($A4,役男大表!$A$1:$A$97,0),   MATCH(X$1,役男大表!$A$3:$BF$3,0)  )                  )  )  )," ",""),"")</f>
        <v/>
      </c>
      <c r="Y4" s="278" t="str">
        <f>_xlfn.IFNA(  SUBSTITUTE(     IF(  INDEX(役男大表!$A$1:$BF$95,MATCH($A4,役男大表!$A$1:$A$97,0),   MATCH(Y$1,役男大表!$A$3:$BF$3,0)  )=0,"",  IF(  INDEX(役男大表!$A$1:$BF$95,MATCH($A4,役男大表!$A$1:$A$97,0),   MATCH(Y$1,役男大表!$A$3:$BF$3,0)  )="榮","x",  IF(  INDEX(役男大表!$A$1:$BF$95,MATCH($A4,役男大表!$A$1:$A$97,0),   MATCH(Y$1,役男大表!$A$3:$BF$3,0)  )="榮-22",  "x榮18-22",               INDEX(役男大表!$A$1:$BF$95,MATCH($A4,役男大表!$A$1:$A$97,0),   MATCH(Y$1,役男大表!$A$3:$BF$3,0)  )                  )  )  )," ",""),"")</f>
        <v/>
      </c>
      <c r="Z4" s="278" t="str">
        <f>_xlfn.IFNA(  SUBSTITUTE(     IF(  INDEX(役男大表!$A$1:$BF$95,MATCH($A4,役男大表!$A$1:$A$97,0),   MATCH(Z$1,役男大表!$A$3:$BF$3,0)  )=0,"",  IF(  INDEX(役男大表!$A$1:$BF$95,MATCH($A4,役男大表!$A$1:$A$97,0),   MATCH(Z$1,役男大表!$A$3:$BF$3,0)  )="榮","x",  IF(  INDEX(役男大表!$A$1:$BF$95,MATCH($A4,役男大表!$A$1:$A$97,0),   MATCH(Z$1,役男大表!$A$3:$BF$3,0)  )="榮-22",  "x榮18-22",               INDEX(役男大表!$A$1:$BF$95,MATCH($A4,役男大表!$A$1:$A$97,0),   MATCH(Z$1,役男大表!$A$3:$BF$3,0)  )                  )  )  )," ",""),"")</f>
        <v/>
      </c>
      <c r="AA4" s="278" t="str">
        <f>_xlfn.IFNA(  SUBSTITUTE(     IF(  INDEX(役男大表!$A$1:$BF$95,MATCH($A4,役男大表!$A$1:$A$97,0),   MATCH(AA$1,役男大表!$A$3:$BF$3,0)  )=0,"",  IF(  INDEX(役男大表!$A$1:$BF$95,MATCH($A4,役男大表!$A$1:$A$97,0),   MATCH(AA$1,役男大表!$A$3:$BF$3,0)  )="榮","x",  IF(  INDEX(役男大表!$A$1:$BF$95,MATCH($A4,役男大表!$A$1:$A$97,0),   MATCH(AA$1,役男大表!$A$3:$BF$3,0)  )="榮-22",  "x榮18-22",               INDEX(役男大表!$A$1:$BF$95,MATCH($A4,役男大表!$A$1:$A$97,0),   MATCH(AA$1,役男大表!$A$3:$BF$3,0)  )                  )  )  )," ",""),"")</f>
        <v/>
      </c>
      <c r="AB4" s="278" t="str">
        <f>_xlfn.IFNA(  SUBSTITUTE(     IF(  INDEX(役男大表!$A$1:$BF$95,MATCH($A4,役男大表!$A$1:$A$97,0),   MATCH(AB$1,役男大表!$A$3:$BF$3,0)  )=0,"",  IF(  INDEX(役男大表!$A$1:$BF$95,MATCH($A4,役男大表!$A$1:$A$97,0),   MATCH(AB$1,役男大表!$A$3:$BF$3,0)  )="榮","x",  IF(  INDEX(役男大表!$A$1:$BF$95,MATCH($A4,役男大表!$A$1:$A$97,0),   MATCH(AB$1,役男大表!$A$3:$BF$3,0)  )="榮-22",  "x榮18-22",               INDEX(役男大表!$A$1:$BF$95,MATCH($A4,役男大表!$A$1:$A$97,0),   MATCH(AB$1,役男大表!$A$3:$BF$3,0)  )                  )  )  )," ",""),"")</f>
        <v/>
      </c>
      <c r="AC4" s="278" t="str">
        <f>_xlfn.IFNA(  SUBSTITUTE(     IF(  INDEX(役男大表!$A$1:$BF$95,MATCH($A4,役男大表!$A$1:$A$97,0),   MATCH(AC$1,役男大表!$A$3:$BF$3,0)  )=0,"",  IF(  INDEX(役男大表!$A$1:$BF$95,MATCH($A4,役男大表!$A$1:$A$97,0),   MATCH(AC$1,役男大表!$A$3:$BF$3,0)  )="榮","x",  IF(  INDEX(役男大表!$A$1:$BF$95,MATCH($A4,役男大表!$A$1:$A$97,0),   MATCH(AC$1,役男大表!$A$3:$BF$3,0)  )="榮-22",  "x榮18-22",               INDEX(役男大表!$A$1:$BF$95,MATCH($A4,役男大表!$A$1:$A$97,0),   MATCH(AC$1,役男大表!$A$3:$BF$3,0)  )                  )  )  )," ",""),"")</f>
        <v/>
      </c>
      <c r="AD4" s="278" t="str">
        <f>_xlfn.IFNA(  SUBSTITUTE(     IF(  INDEX(役男大表!$A$1:$BF$95,MATCH($A4,役男大表!$A$1:$A$97,0),   MATCH(AD$1,役男大表!$A$3:$BF$3,0)  )=0,"",  IF(  INDEX(役男大表!$A$1:$BF$95,MATCH($A4,役男大表!$A$1:$A$97,0),   MATCH(AD$1,役男大表!$A$3:$BF$3,0)  )="榮","x",  IF(  INDEX(役男大表!$A$1:$BF$95,MATCH($A4,役男大表!$A$1:$A$97,0),   MATCH(AD$1,役男大表!$A$3:$BF$3,0)  )="榮-22",  "x榮18-22",               INDEX(役男大表!$A$1:$BF$95,MATCH($A4,役男大表!$A$1:$A$97,0),   MATCH(AD$1,役男大表!$A$3:$BF$3,0)  )                  )  )  )," ",""),"")</f>
        <v/>
      </c>
      <c r="AE4" s="278" t="str">
        <f>_xlfn.IFNA(  SUBSTITUTE(     IF(  INDEX(役男大表!$A$1:$BF$95,MATCH($A4,役男大表!$A$1:$A$97,0),   MATCH(AE$1,役男大表!$A$3:$BF$3,0)  )=0,"",  IF(  INDEX(役男大表!$A$1:$BF$95,MATCH($A4,役男大表!$A$1:$A$97,0),   MATCH(AE$1,役男大表!$A$3:$BF$3,0)  )="榮","x",  IF(  INDEX(役男大表!$A$1:$BF$95,MATCH($A4,役男大表!$A$1:$A$97,0),   MATCH(AE$1,役男大表!$A$3:$BF$3,0)  )="榮-22",  "x榮18-22",               INDEX(役男大表!$A$1:$BF$95,MATCH($A4,役男大表!$A$1:$A$97,0),   MATCH(AE$1,役男大表!$A$3:$BF$3,0)  )                  )  )  )," ",""),"")</f>
        <v/>
      </c>
      <c r="AF4" s="278" t="str">
        <f>_xlfn.IFNA(  SUBSTITUTE(     IF(  INDEX(役男大表!$A$1:$BF$95,MATCH($A4,役男大表!$A$1:$A$97,0),   MATCH(AF$1,役男大表!$A$3:$BF$3,0)  )=0,"",  IF(  INDEX(役男大表!$A$1:$BF$95,MATCH($A4,役男大表!$A$1:$A$97,0),   MATCH(AF$1,役男大表!$A$3:$BF$3,0)  )="榮","x",  IF(  INDEX(役男大表!$A$1:$BF$95,MATCH($A4,役男大表!$A$1:$A$97,0),   MATCH(AF$1,役男大表!$A$3:$BF$3,0)  )="榮-22",  "x榮18-22",               INDEX(役男大表!$A$1:$BF$95,MATCH($A4,役男大表!$A$1:$A$97,0),   MATCH(AF$1,役男大表!$A$3:$BF$3,0)  )                  )  )  )," ",""),"")</f>
        <v/>
      </c>
      <c r="AG4" s="278" t="str">
        <f>_xlfn.IFNA(  SUBSTITUTE(     IF(  INDEX(役男大表!$A$1:$BF$95,MATCH($A4,役男大表!$A$1:$A$97,0),   MATCH(AG$1,役男大表!$A$3:$BF$3,0)  )=0,"",  IF(  INDEX(役男大表!$A$1:$BF$95,MATCH($A4,役男大表!$A$1:$A$97,0),   MATCH(AG$1,役男大表!$A$3:$BF$3,0)  )="榮","x",  IF(  INDEX(役男大表!$A$1:$BF$95,MATCH($A4,役男大表!$A$1:$A$97,0),   MATCH(AG$1,役男大表!$A$3:$BF$3,0)  )="榮-22",  "x榮18-22",               INDEX(役男大表!$A$1:$BF$95,MATCH($A4,役男大表!$A$1:$A$97,0),   MATCH(AG$1,役男大表!$A$3:$BF$3,0)  )                  )  )  )," ",""),"")</f>
        <v>x</v>
      </c>
      <c r="AH4" s="278" t="str">
        <f>_xlfn.IFNA(  SUBSTITUTE(     IF(  INDEX(役男大表!$A$1:$BF$95,MATCH($A4,役男大表!$A$1:$A$97,0),   MATCH(AH$1,役男大表!$A$3:$BF$3,0)  )=0,"",  IF(  INDEX(役男大表!$A$1:$BF$95,MATCH($A4,役男大表!$A$1:$A$97,0),   MATCH(AH$1,役男大表!$A$3:$BF$3,0)  )="榮","x",  IF(  INDEX(役男大表!$A$1:$BF$95,MATCH($A4,役男大表!$A$1:$A$97,0),   MATCH(AH$1,役男大表!$A$3:$BF$3,0)  )="榮-22",  "x榮18-22",               INDEX(役男大表!$A$1:$BF$95,MATCH($A4,役男大表!$A$1:$A$97,0),   MATCH(AH$1,役男大表!$A$3:$BF$3,0)  )                  )  )  )," ",""),"")</f>
        <v/>
      </c>
      <c r="AI4" s="278" t="str">
        <f>_xlfn.IFNA(  SUBSTITUTE(     IF(  INDEX(役男大表!$A$1:$BF$95,MATCH($A4,役男大表!$A$1:$A$97,0),   MATCH(AI$1,役男大表!$A$3:$BF$3,0)  )=0,"",  IF(  INDEX(役男大表!$A$1:$BF$95,MATCH($A4,役男大表!$A$1:$A$97,0),   MATCH(AI$1,役男大表!$A$3:$BF$3,0)  )="榮","x",  IF(  INDEX(役男大表!$A$1:$BF$95,MATCH($A4,役男大表!$A$1:$A$97,0),   MATCH(AI$1,役男大表!$A$3:$BF$3,0)  )="榮-22",  "x榮18-22",               INDEX(役男大表!$A$1:$BF$95,MATCH($A4,役男大表!$A$1:$A$97,0),   MATCH(AI$1,役男大表!$A$3:$BF$3,0)  )                  )  )  )," ",""),"")</f>
        <v/>
      </c>
      <c r="AJ4" s="278" t="str">
        <f>_xlfn.IFNA(  SUBSTITUTE(     IF(  INDEX(役男大表!$A$1:$BF$95,MATCH($A4,役男大表!$A$1:$A$97,0),   MATCH(AJ$1,役男大表!$A$3:$BF$3,0)  )=0,"",  IF(  INDEX(役男大表!$A$1:$BF$95,MATCH($A4,役男大表!$A$1:$A$97,0),   MATCH(AJ$1,役男大表!$A$3:$BF$3,0)  )="榮","x",  IF(  INDEX(役男大表!$A$1:$BF$95,MATCH($A4,役男大表!$A$1:$A$97,0),   MATCH(AJ$1,役男大表!$A$3:$BF$3,0)  )="榮-22",  "x榮18-22",               INDEX(役男大表!$A$1:$BF$95,MATCH($A4,役男大表!$A$1:$A$97,0),   MATCH(AJ$1,役男大表!$A$3:$BF$3,0)  )                  )  )  )," ",""),"")</f>
        <v/>
      </c>
      <c r="AM4" s="66">
        <f t="shared" si="1"/>
        <v>3</v>
      </c>
      <c r="AN4" s="66" t="str">
        <f t="shared" si="2"/>
        <v>王敍安</v>
      </c>
      <c r="AO4" s="71" t="str">
        <f>IF(  AND(  INDEX(   $A$42:$AJ$79, MATCH(AM4,$A$42:$A$79,0),MATCH(  日期輸入!$C$3,$A$42:$AL$42,0  )  )="全日勤",  AV4="免"  ),  "全日勤免勤教",  IF(  AND(  INDEX(   $A$42:$AJ$79, MATCH(AM4,$A$42:$A$79,0),MATCH(  日期輸入!$C$3,$A$42:$AL$42,0  )  )="18放",  AV4="免"  ),  "18放早走",  INDEX(   $A$42:$AJ$79, MATCH(AM4,$A$42:$A$79,0),MATCH(  日期輸入!$C$3,$A$42:$AL$42,0  )  )  )  )</f>
        <v>18收</v>
      </c>
      <c r="AP4" s="66" t="str">
        <f>_xlfn.IFNA(IF((ROW(AP4)-1)&lt;=暫1!$B$2,IF(VALUE($AM4)=暫1!B$3,"家因",IF(VALUE($AM4)=暫1!C$3,"家因",IF(VALUE($AM4)=暫1!D$3,"家因",IF(VALUE($AM4)=暫1!E$3,"家因",IF(VALUE($AM4)=暫1!F$3,"家因",IF(VALUE($AM4)=暫1!G$3,"家因",IF(VALUE($AM4)=暫1!H$3,"家因",IF(VALUE($AM4)=暫1!I$3,"家因",IF(VALUE($AM4)=暫1!J$3,"家因",IF(VALUE($AM4)=暫1!K$3,"家因",IF(VALUE($AM4)=暫1!L$3,"家因",IF(VALUE($AM4)=暫1!M$3,"家因",IF(VALUE($AM4)=暫1!N$3,"家因",IF(VALUE($AM4)=暫1!O$3,"家因",IF(VALUE($AM4)=暫1!P$3,"家因",IF(VALUE($AM4)=暫1!Q$3,"家因",IF(VALUE($AM4)=暫1!R$3,"家因",IF(VALUE($AM4)=暫1!S$3,"家因",IF(VALUE($AM4)=暫1!T$3,"家因",IF(VALUE($AM4)=暫1!U$3,"家因","")))))))))))))))))))),""),"")</f>
        <v/>
      </c>
      <c r="AQ4" s="66" t="str">
        <f>IF((ROW(AQ4)-1)&lt;=暫1!$B$2,_xlfn.IFNA(IF(INDEX($A$1:$AJ$41,MATCH($AN4,$B$1:$B$101,0),VALUE($AQ$1+3))="成","補",INDEX($A$1:$AJ$41,MATCH($AN4,$B$1:$B$101,0),VALUE($AQ$1+3))),""),"")</f>
        <v>x</v>
      </c>
      <c r="AR4" s="66" t="str">
        <f>IF((ROW(AR4)-1)&lt;=暫1!$B$2,_xlfn.IFNA(IF(INDEX($A$1:$AJ$41,MATCH($AN4,$B$1:$B$101,0),VALUE($AR$1+3))="成","補",INDEX($A$1:$AJ$41,MATCH($AN4,$B$1:$B$101,0),VALUE($AR$1+3))),""),"")</f>
        <v/>
      </c>
      <c r="AS4" s="66" t="str">
        <f>IF((ROW(AS4)-1)&lt;=暫1!$B$2,_xlfn.IFNA(IF(INDEX($A$1:$AJ$41,MATCH($AN4,$B$1:$B$101,0),VALUE($AS$1+3))="成","補",INDEX($A$1:$AJ$41,MATCH($AN4,$B$1:$B$101,0),VALUE($AS$1+3))),""),"")</f>
        <v/>
      </c>
      <c r="AT4" s="66" t="str">
        <f>IF(  OR(  LEN(  INDEX(   $A$1:$AJ$39, MATCH(AM4,$A$1:$A$39,0),MATCH(  日期輸入!$C$3,$A$1:$AP$1,0  )  )  )&gt;LEN(  SUBSTITUTE(  INDEX(   $A$1:$AJ$39, MATCH(AM4,$A$1:$A$39,0),MATCH(  日期輸入!$C$3,$A$1:$AP$1,0  )  ),"榮","")  )  ),   SUBSTITUTE(  SUBSTITUTE(  INDEX(   $A$1:$AJ$39, MATCH(AM4,$A$1:$A$39,0),MATCH(  日期輸入!$C$3,$A$1:$AP$1,0  )  ),"榮",""),"x",""), "")</f>
        <v/>
      </c>
      <c r="AU4" s="66" t="str">
        <f t="shared" si="3"/>
        <v/>
      </c>
      <c r="AV4" s="66" t="str">
        <f>INDEX(   $A$482:$AJ$519, MATCH(AM4,$A$482:$A$519,0),MATCH(  日期輸入!$C$3,$A$482:$AL$482,0  )  )</f>
        <v/>
      </c>
      <c r="AX4" s="66" t="str">
        <f>IFERROR(IF((ROW(AX4)-1)&lt;=暫1!$B$2,SUBSTITUTE(IF($AO4=$AX$1,$AM4,"")," ",""),""),"")</f>
        <v/>
      </c>
      <c r="AY4" s="66" t="str">
        <f>IFERROR(IF((ROW(AY4)-1)&lt;=暫1!$B$2,SUBSTITUTE(IF($AO4=$AY$1,$AM4,"")," ",""),""),"")</f>
        <v/>
      </c>
      <c r="AZ4" s="66" t="str">
        <f>IFERROR(IF((ROW(AZ4)-1)&lt;=暫1!$B$2,SUBSTITUTE(IF($AO4=$AZ$1,$AM4,"")," ",""),""),"")</f>
        <v/>
      </c>
      <c r="BA4" s="66" t="str">
        <f>IFERROR(IF((ROW(BA4)-1)&lt;=暫1!$B$2,SUBSTITUTE(IF($AO4=$BA$1,$AM4,"")," ",""),""),"")</f>
        <v>3</v>
      </c>
      <c r="BB4" s="69" t="str">
        <f>IFERROR(IF((ROW(BB4)-1)&lt;=暫1!$B$2,SUBSTITUTE(IF(OR($AO4=$BB$1,$AO4=$AY$1,$AO4=$AZ$1),$AM4,IF($AO4=$AY$1,$AM4,"")),"",""),""),"")</f>
        <v/>
      </c>
      <c r="BC4" s="69" t="str">
        <f>IF(    AND(LEN(BC3)&gt;=2 ),        "、" &amp;  IF(OR(役男人力!$J$2:$J$84="是"),役男人力!$B4,""),  IF(OR(役男人力!$J$2:$J$84="是"),役男人力!$B4,"")  )</f>
        <v>、</v>
      </c>
      <c r="BG4" s="72" t="str">
        <f>INDEX(   A202:AJ239, 38,MATCH(  日期輸入!$C$3,A202:AP202,0  )  )</f>
        <v/>
      </c>
    </row>
    <row r="5" spans="1:60" ht="25.5" customHeight="1">
      <c r="A5" s="278">
        <v>4</v>
      </c>
      <c r="B5" s="278" t="str">
        <f>_xlfn.IFNA(  INDEX(役男大表!$A$1:$BF$95,MATCH(A5,役男大表!$A$1:$A$97,0),2),"")</f>
        <v>鄭凱文</v>
      </c>
      <c r="C5" s="278" t="str">
        <f>_xlfn.IFNA(  SUBSTITUTE(     IF(  INDEX(役男大表!$A$1:$BF$95,MATCH($A5,役男大表!$A$1:$A$97,0),   MATCH(C$1,役男大表!$A$3:$BF$3,0)  )=0,"",  IF(  INDEX(役男大表!$A$1:$BF$95,MATCH($A5,役男大表!$A$1:$A$97,0),   MATCH(C$1,役男大表!$A$3:$BF$3,0)  )="榮","x",  IF(  INDEX(役男大表!$A$1:$BF$95,MATCH($A5,役男大表!$A$1:$A$97,0),   MATCH(C$1,役男大表!$A$3:$BF$3,0)  )="榮-22",  "x榮18-22",               INDEX(役男大表!$A$1:$BF$95,MATCH($A5,役男大表!$A$1:$A$97,0),   MATCH(C$1,役男大表!$A$3:$BF$3,0)  )                  )  )  )," ",""),"")</f>
        <v/>
      </c>
      <c r="D5" s="278" t="str">
        <f>_xlfn.IFNA(  SUBSTITUTE(     IF(  INDEX(役男大表!$A$1:$BF$95,MATCH($A5,役男大表!$A$1:$A$97,0),   MATCH(D$1,役男大表!$A$3:$BF$3,0)  )=0,"",  IF(  INDEX(役男大表!$A$1:$BF$95,MATCH($A5,役男大表!$A$1:$A$97,0),   MATCH(D$1,役男大表!$A$3:$BF$3,0)  )="榮","x",  IF(  INDEX(役男大表!$A$1:$BF$95,MATCH($A5,役男大表!$A$1:$A$97,0),   MATCH(D$1,役男大表!$A$3:$BF$3,0)  )="榮-22",  "x榮18-22",               INDEX(役男大表!$A$1:$BF$95,MATCH($A5,役男大表!$A$1:$A$97,0),   MATCH(D$1,役男大表!$A$3:$BF$3,0)  )                  )  )  )," ",""),"")</f>
        <v/>
      </c>
      <c r="E5" s="278" t="str">
        <f>_xlfn.IFNA(  SUBSTITUTE(     IF(  INDEX(役男大表!$A$1:$BF$95,MATCH($A5,役男大表!$A$1:$A$97,0),   MATCH(E$1,役男大表!$A$3:$BF$3,0)  )=0,"",  IF(  INDEX(役男大表!$A$1:$BF$95,MATCH($A5,役男大表!$A$1:$A$97,0),   MATCH(E$1,役男大表!$A$3:$BF$3,0)  )="榮","x",  IF(  INDEX(役男大表!$A$1:$BF$95,MATCH($A5,役男大表!$A$1:$A$97,0),   MATCH(E$1,役男大表!$A$3:$BF$3,0)  )="榮-22",  "x榮18-22",               INDEX(役男大表!$A$1:$BF$95,MATCH($A5,役男大表!$A$1:$A$97,0),   MATCH(E$1,役男大表!$A$3:$BF$3,0)  )                  )  )  )," ",""),"")</f>
        <v/>
      </c>
      <c r="F5" s="278" t="str">
        <f>_xlfn.IFNA(  SUBSTITUTE(     IF(  INDEX(役男大表!$A$1:$BF$95,MATCH($A5,役男大表!$A$1:$A$97,0),   MATCH(F$1,役男大表!$A$3:$BF$3,0)  )=0,"",  IF(  INDEX(役男大表!$A$1:$BF$95,MATCH($A5,役男大表!$A$1:$A$97,0),   MATCH(F$1,役男大表!$A$3:$BF$3,0)  )="榮","x",  IF(  INDEX(役男大表!$A$1:$BF$95,MATCH($A5,役男大表!$A$1:$A$97,0),   MATCH(F$1,役男大表!$A$3:$BF$3,0)  )="榮-22",  "x榮18-22",               INDEX(役男大表!$A$1:$BF$95,MATCH($A5,役男大表!$A$1:$A$97,0),   MATCH(F$1,役男大表!$A$3:$BF$3,0)  )                  )  )  )," ",""),"")</f>
        <v/>
      </c>
      <c r="G5" s="278" t="str">
        <f>_xlfn.IFNA(  SUBSTITUTE(     IF(  INDEX(役男大表!$A$1:$BF$95,MATCH($A5,役男大表!$A$1:$A$97,0),   MATCH(G$1,役男大表!$A$3:$BF$3,0)  )=0,"",  IF(  INDEX(役男大表!$A$1:$BF$95,MATCH($A5,役男大表!$A$1:$A$97,0),   MATCH(G$1,役男大表!$A$3:$BF$3,0)  )="榮","x",  IF(  INDEX(役男大表!$A$1:$BF$95,MATCH($A5,役男大表!$A$1:$A$97,0),   MATCH(G$1,役男大表!$A$3:$BF$3,0)  )="榮-22",  "x榮18-22",               INDEX(役男大表!$A$1:$BF$95,MATCH($A5,役男大表!$A$1:$A$97,0),   MATCH(G$1,役男大表!$A$3:$BF$3,0)  )                  )  )  )," ",""),"")</f>
        <v/>
      </c>
      <c r="H5" s="278" t="str">
        <f>_xlfn.IFNA(  SUBSTITUTE(     IF(  INDEX(役男大表!$A$1:$BF$95,MATCH($A5,役男大表!$A$1:$A$97,0),   MATCH(H$1,役男大表!$A$3:$BF$3,0)  )=0,"",  IF(  INDEX(役男大表!$A$1:$BF$95,MATCH($A5,役男大表!$A$1:$A$97,0),   MATCH(H$1,役男大表!$A$3:$BF$3,0)  )="榮","x",  IF(  INDEX(役男大表!$A$1:$BF$95,MATCH($A5,役男大表!$A$1:$A$97,0),   MATCH(H$1,役男大表!$A$3:$BF$3,0)  )="榮-22",  "x榮18-22",               INDEX(役男大表!$A$1:$BF$95,MATCH($A5,役男大表!$A$1:$A$97,0),   MATCH(H$1,役男大表!$A$3:$BF$3,0)  )                  )  )  )," ",""),"")</f>
        <v/>
      </c>
      <c r="I5" s="278" t="str">
        <f>_xlfn.IFNA(  SUBSTITUTE(     IF(  INDEX(役男大表!$A$1:$BF$95,MATCH($A5,役男大表!$A$1:$A$97,0),   MATCH(I$1,役男大表!$A$3:$BF$3,0)  )=0,"",  IF(  INDEX(役男大表!$A$1:$BF$95,MATCH($A5,役男大表!$A$1:$A$97,0),   MATCH(I$1,役男大表!$A$3:$BF$3,0)  )="榮","x",  IF(  INDEX(役男大表!$A$1:$BF$95,MATCH($A5,役男大表!$A$1:$A$97,0),   MATCH(I$1,役男大表!$A$3:$BF$3,0)  )="榮-22",  "x榮18-22",               INDEX(役男大表!$A$1:$BF$95,MATCH($A5,役男大表!$A$1:$A$97,0),   MATCH(I$1,役男大表!$A$3:$BF$3,0)  )                  )  )  )," ",""),"")</f>
        <v/>
      </c>
      <c r="J5" s="278" t="str">
        <f>_xlfn.IFNA(  SUBSTITUTE(     IF(  INDEX(役男大表!$A$1:$BF$95,MATCH($A5,役男大表!$A$1:$A$97,0),   MATCH(J$1,役男大表!$A$3:$BF$3,0)  )=0,"",  IF(  INDEX(役男大表!$A$1:$BF$95,MATCH($A5,役男大表!$A$1:$A$97,0),   MATCH(J$1,役男大表!$A$3:$BF$3,0)  )="榮","x",  IF(  INDEX(役男大表!$A$1:$BF$95,MATCH($A5,役男大表!$A$1:$A$97,0),   MATCH(J$1,役男大表!$A$3:$BF$3,0)  )="榮-22",  "x榮18-22",               INDEX(役男大表!$A$1:$BF$95,MATCH($A5,役男大表!$A$1:$A$97,0),   MATCH(J$1,役男大表!$A$3:$BF$3,0)  )                  )  )  )," ",""),"")</f>
        <v/>
      </c>
      <c r="K5" s="278" t="str">
        <f>_xlfn.IFNA(  SUBSTITUTE(     IF(  INDEX(役男大表!$A$1:$BF$95,MATCH($A5,役男大表!$A$1:$A$97,0),   MATCH(K$1,役男大表!$A$3:$BF$3,0)  )=0,"",  IF(  INDEX(役男大表!$A$1:$BF$95,MATCH($A5,役男大表!$A$1:$A$97,0),   MATCH(K$1,役男大表!$A$3:$BF$3,0)  )="榮","x",  IF(  INDEX(役男大表!$A$1:$BF$95,MATCH($A5,役男大表!$A$1:$A$97,0),   MATCH(K$1,役男大表!$A$3:$BF$3,0)  )="榮-22",  "x榮18-22",               INDEX(役男大表!$A$1:$BF$95,MATCH($A5,役男大表!$A$1:$A$97,0),   MATCH(K$1,役男大表!$A$3:$BF$3,0)  )                  )  )  )," ",""),"")</f>
        <v/>
      </c>
      <c r="L5" s="278" t="str">
        <f>_xlfn.IFNA(  SUBSTITUTE(     IF(  INDEX(役男大表!$A$1:$BF$95,MATCH($A5,役男大表!$A$1:$A$97,0),   MATCH(L$1,役男大表!$A$3:$BF$3,0)  )=0,"",  IF(  INDEX(役男大表!$A$1:$BF$95,MATCH($A5,役男大表!$A$1:$A$97,0),   MATCH(L$1,役男大表!$A$3:$BF$3,0)  )="榮","x",  IF(  INDEX(役男大表!$A$1:$BF$95,MATCH($A5,役男大表!$A$1:$A$97,0),   MATCH(L$1,役男大表!$A$3:$BF$3,0)  )="榮-22",  "x榮18-22",               INDEX(役男大表!$A$1:$BF$95,MATCH($A5,役男大表!$A$1:$A$97,0),   MATCH(L$1,役男大表!$A$3:$BF$3,0)  )                  )  )  )," ",""),"")</f>
        <v/>
      </c>
      <c r="M5" s="278" t="str">
        <f>_xlfn.IFNA(  SUBSTITUTE(     IF(  INDEX(役男大表!$A$1:$BF$95,MATCH($A5,役男大表!$A$1:$A$97,0),   MATCH(M$1,役男大表!$A$3:$BF$3,0)  )=0,"",  IF(  INDEX(役男大表!$A$1:$BF$95,MATCH($A5,役男大表!$A$1:$A$97,0),   MATCH(M$1,役男大表!$A$3:$BF$3,0)  )="榮","x",  IF(  INDEX(役男大表!$A$1:$BF$95,MATCH($A5,役男大表!$A$1:$A$97,0),   MATCH(M$1,役男大表!$A$3:$BF$3,0)  )="榮-22",  "x榮18-22",               INDEX(役男大表!$A$1:$BF$95,MATCH($A5,役男大表!$A$1:$A$97,0),   MATCH(M$1,役男大表!$A$3:$BF$3,0)  )                  )  )  )," ",""),"")</f>
        <v/>
      </c>
      <c r="N5" s="278" t="str">
        <f>_xlfn.IFNA(  SUBSTITUTE(     IF(  INDEX(役男大表!$A$1:$BF$95,MATCH($A5,役男大表!$A$1:$A$97,0),   MATCH(N$1,役男大表!$A$3:$BF$3,0)  )=0,"",  IF(  INDEX(役男大表!$A$1:$BF$95,MATCH($A5,役男大表!$A$1:$A$97,0),   MATCH(N$1,役男大表!$A$3:$BF$3,0)  )="榮","x",  IF(  INDEX(役男大表!$A$1:$BF$95,MATCH($A5,役男大表!$A$1:$A$97,0),   MATCH(N$1,役男大表!$A$3:$BF$3,0)  )="榮-22",  "x榮18-22",               INDEX(役男大表!$A$1:$BF$95,MATCH($A5,役男大表!$A$1:$A$97,0),   MATCH(N$1,役男大表!$A$3:$BF$3,0)  )                  )  )  )," ",""),"")</f>
        <v/>
      </c>
      <c r="O5" s="278" t="str">
        <f>_xlfn.IFNA(  SUBSTITUTE(     IF(  INDEX(役男大表!$A$1:$BF$95,MATCH($A5,役男大表!$A$1:$A$97,0),   MATCH(O$1,役男大表!$A$3:$BF$3,0)  )=0,"",  IF(  INDEX(役男大表!$A$1:$BF$95,MATCH($A5,役男大表!$A$1:$A$97,0),   MATCH(O$1,役男大表!$A$3:$BF$3,0)  )="榮","x",  IF(  INDEX(役男大表!$A$1:$BF$95,MATCH($A5,役男大表!$A$1:$A$97,0),   MATCH(O$1,役男大表!$A$3:$BF$3,0)  )="榮-22",  "x榮18-22",               INDEX(役男大表!$A$1:$BF$95,MATCH($A5,役男大表!$A$1:$A$97,0),   MATCH(O$1,役男大表!$A$3:$BF$3,0)  )                  )  )  )," ",""),"")</f>
        <v/>
      </c>
      <c r="P5" s="278" t="str">
        <f>_xlfn.IFNA(  SUBSTITUTE(     IF(  INDEX(役男大表!$A$1:$BF$95,MATCH($A5,役男大表!$A$1:$A$97,0),   MATCH(P$1,役男大表!$A$3:$BF$3,0)  )=0,"",  IF(  INDEX(役男大表!$A$1:$BF$95,MATCH($A5,役男大表!$A$1:$A$97,0),   MATCH(P$1,役男大表!$A$3:$BF$3,0)  )="榮","x",  IF(  INDEX(役男大表!$A$1:$BF$95,MATCH($A5,役男大表!$A$1:$A$97,0),   MATCH(P$1,役男大表!$A$3:$BF$3,0)  )="榮-22",  "x榮18-22",               INDEX(役男大表!$A$1:$BF$95,MATCH($A5,役男大表!$A$1:$A$97,0),   MATCH(P$1,役男大表!$A$3:$BF$3,0)  )                  )  )  )," ",""),"")</f>
        <v/>
      </c>
      <c r="Q5" s="278" t="str">
        <f>_xlfn.IFNA(  SUBSTITUTE(     IF(  INDEX(役男大表!$A$1:$BF$95,MATCH($A5,役男大表!$A$1:$A$97,0),   MATCH(Q$1,役男大表!$A$3:$BF$3,0)  )=0,"",  IF(  INDEX(役男大表!$A$1:$BF$95,MATCH($A5,役男大表!$A$1:$A$97,0),   MATCH(Q$1,役男大表!$A$3:$BF$3,0)  )="榮","x",  IF(  INDEX(役男大表!$A$1:$BF$95,MATCH($A5,役男大表!$A$1:$A$97,0),   MATCH(Q$1,役男大表!$A$3:$BF$3,0)  )="榮-22",  "x榮18-22",               INDEX(役男大表!$A$1:$BF$95,MATCH($A5,役男大表!$A$1:$A$97,0),   MATCH(Q$1,役男大表!$A$3:$BF$3,0)  )                  )  )  )," ",""),"")</f>
        <v/>
      </c>
      <c r="R5" s="278" t="str">
        <f>_xlfn.IFNA(  SUBSTITUTE(     IF(  INDEX(役男大表!$A$1:$BF$95,MATCH($A5,役男大表!$A$1:$A$97,0),   MATCH(R$1,役男大表!$A$3:$BF$3,0)  )=0,"",  IF(  INDEX(役男大表!$A$1:$BF$95,MATCH($A5,役男大表!$A$1:$A$97,0),   MATCH(R$1,役男大表!$A$3:$BF$3,0)  )="榮","x",  IF(  INDEX(役男大表!$A$1:$BF$95,MATCH($A5,役男大表!$A$1:$A$97,0),   MATCH(R$1,役男大表!$A$3:$BF$3,0)  )="榮-22",  "x榮18-22",               INDEX(役男大表!$A$1:$BF$95,MATCH($A5,役男大表!$A$1:$A$97,0),   MATCH(R$1,役男大表!$A$3:$BF$3,0)  )                  )  )  )," ",""),"")</f>
        <v/>
      </c>
      <c r="S5" s="278" t="str">
        <f>_xlfn.IFNA(  SUBSTITUTE(     IF(  INDEX(役男大表!$A$1:$BF$95,MATCH($A5,役男大表!$A$1:$A$97,0),   MATCH(S$1,役男大表!$A$3:$BF$3,0)  )=0,"",  IF(  INDEX(役男大表!$A$1:$BF$95,MATCH($A5,役男大表!$A$1:$A$97,0),   MATCH(S$1,役男大表!$A$3:$BF$3,0)  )="榮","x",  IF(  INDEX(役男大表!$A$1:$BF$95,MATCH($A5,役男大表!$A$1:$A$97,0),   MATCH(S$1,役男大表!$A$3:$BF$3,0)  )="榮-22",  "x榮18-22",               INDEX(役男大表!$A$1:$BF$95,MATCH($A5,役男大表!$A$1:$A$97,0),   MATCH(S$1,役男大表!$A$3:$BF$3,0)  )                  )  )  )," ",""),"")</f>
        <v/>
      </c>
      <c r="T5" s="278" t="str">
        <f>_xlfn.IFNA(  SUBSTITUTE(     IF(  INDEX(役男大表!$A$1:$BF$95,MATCH($A5,役男大表!$A$1:$A$97,0),   MATCH(T$1,役男大表!$A$3:$BF$3,0)  )=0,"",  IF(  INDEX(役男大表!$A$1:$BF$95,MATCH($A5,役男大表!$A$1:$A$97,0),   MATCH(T$1,役男大表!$A$3:$BF$3,0)  )="榮","x",  IF(  INDEX(役男大表!$A$1:$BF$95,MATCH($A5,役男大表!$A$1:$A$97,0),   MATCH(T$1,役男大表!$A$3:$BF$3,0)  )="榮-22",  "x榮18-22",               INDEX(役男大表!$A$1:$BF$95,MATCH($A5,役男大表!$A$1:$A$97,0),   MATCH(T$1,役男大表!$A$3:$BF$3,0)  )                  )  )  )," ",""),"")</f>
        <v/>
      </c>
      <c r="U5" s="278" t="str">
        <f>_xlfn.IFNA(  SUBSTITUTE(     IF(  INDEX(役男大表!$A$1:$BF$95,MATCH($A5,役男大表!$A$1:$A$97,0),   MATCH(U$1,役男大表!$A$3:$BF$3,0)  )=0,"",  IF(  INDEX(役男大表!$A$1:$BF$95,MATCH($A5,役男大表!$A$1:$A$97,0),   MATCH(U$1,役男大表!$A$3:$BF$3,0)  )="榮","x",  IF(  INDEX(役男大表!$A$1:$BF$95,MATCH($A5,役男大表!$A$1:$A$97,0),   MATCH(U$1,役男大表!$A$3:$BF$3,0)  )="榮-22",  "x榮18-22",               INDEX(役男大表!$A$1:$BF$95,MATCH($A5,役男大表!$A$1:$A$97,0),   MATCH(U$1,役男大表!$A$3:$BF$3,0)  )                  )  )  )," ",""),"")</f>
        <v/>
      </c>
      <c r="V5" s="278" t="str">
        <f>_xlfn.IFNA(  SUBSTITUTE(     IF(  INDEX(役男大表!$A$1:$BF$95,MATCH($A5,役男大表!$A$1:$A$97,0),   MATCH(V$1,役男大表!$A$3:$BF$3,0)  )=0,"",  IF(  INDEX(役男大表!$A$1:$BF$95,MATCH($A5,役男大表!$A$1:$A$97,0),   MATCH(V$1,役男大表!$A$3:$BF$3,0)  )="榮","x",  IF(  INDEX(役男大表!$A$1:$BF$95,MATCH($A5,役男大表!$A$1:$A$97,0),   MATCH(V$1,役男大表!$A$3:$BF$3,0)  )="榮-22",  "x榮18-22",               INDEX(役男大表!$A$1:$BF$95,MATCH($A5,役男大表!$A$1:$A$97,0),   MATCH(V$1,役男大表!$A$3:$BF$3,0)  )                  )  )  )," ",""),"")</f>
        <v/>
      </c>
      <c r="W5" s="278" t="str">
        <f>_xlfn.IFNA(  SUBSTITUTE(     IF(  INDEX(役男大表!$A$1:$BF$95,MATCH($A5,役男大表!$A$1:$A$97,0),   MATCH(W$1,役男大表!$A$3:$BF$3,0)  )=0,"",  IF(  INDEX(役男大表!$A$1:$BF$95,MATCH($A5,役男大表!$A$1:$A$97,0),   MATCH(W$1,役男大表!$A$3:$BF$3,0)  )="榮","x",  IF(  INDEX(役男大表!$A$1:$BF$95,MATCH($A5,役男大表!$A$1:$A$97,0),   MATCH(W$1,役男大表!$A$3:$BF$3,0)  )="榮-22",  "x榮18-22",               INDEX(役男大表!$A$1:$BF$95,MATCH($A5,役男大表!$A$1:$A$97,0),   MATCH(W$1,役男大表!$A$3:$BF$3,0)  )                  )  )  )," ",""),"")</f>
        <v/>
      </c>
      <c r="X5" s="278" t="str">
        <f>_xlfn.IFNA(  SUBSTITUTE(     IF(  INDEX(役男大表!$A$1:$BF$95,MATCH($A5,役男大表!$A$1:$A$97,0),   MATCH(X$1,役男大表!$A$3:$BF$3,0)  )=0,"",  IF(  INDEX(役男大表!$A$1:$BF$95,MATCH($A5,役男大表!$A$1:$A$97,0),   MATCH(X$1,役男大表!$A$3:$BF$3,0)  )="榮","x",  IF(  INDEX(役男大表!$A$1:$BF$95,MATCH($A5,役男大表!$A$1:$A$97,0),   MATCH(X$1,役男大表!$A$3:$BF$3,0)  )="榮-22",  "x榮18-22",               INDEX(役男大表!$A$1:$BF$95,MATCH($A5,役男大表!$A$1:$A$97,0),   MATCH(X$1,役男大表!$A$3:$BF$3,0)  )                  )  )  )," ",""),"")</f>
        <v/>
      </c>
      <c r="Y5" s="278" t="str">
        <f>_xlfn.IFNA(  SUBSTITUTE(     IF(  INDEX(役男大表!$A$1:$BF$95,MATCH($A5,役男大表!$A$1:$A$97,0),   MATCH(Y$1,役男大表!$A$3:$BF$3,0)  )=0,"",  IF(  INDEX(役男大表!$A$1:$BF$95,MATCH($A5,役男大表!$A$1:$A$97,0),   MATCH(Y$1,役男大表!$A$3:$BF$3,0)  )="榮","x",  IF(  INDEX(役男大表!$A$1:$BF$95,MATCH($A5,役男大表!$A$1:$A$97,0),   MATCH(Y$1,役男大表!$A$3:$BF$3,0)  )="榮-22",  "x榮18-22",               INDEX(役男大表!$A$1:$BF$95,MATCH($A5,役男大表!$A$1:$A$97,0),   MATCH(Y$1,役男大表!$A$3:$BF$3,0)  )                  )  )  )," ",""),"")</f>
        <v/>
      </c>
      <c r="Z5" s="278" t="str">
        <f>_xlfn.IFNA(  SUBSTITUTE(     IF(  INDEX(役男大表!$A$1:$BF$95,MATCH($A5,役男大表!$A$1:$A$97,0),   MATCH(Z$1,役男大表!$A$3:$BF$3,0)  )=0,"",  IF(  INDEX(役男大表!$A$1:$BF$95,MATCH($A5,役男大表!$A$1:$A$97,0),   MATCH(Z$1,役男大表!$A$3:$BF$3,0)  )="榮","x",  IF(  INDEX(役男大表!$A$1:$BF$95,MATCH($A5,役男大表!$A$1:$A$97,0),   MATCH(Z$1,役男大表!$A$3:$BF$3,0)  )="榮-22",  "x榮18-22",               INDEX(役男大表!$A$1:$BF$95,MATCH($A5,役男大表!$A$1:$A$97,0),   MATCH(Z$1,役男大表!$A$3:$BF$3,0)  )                  )  )  )," ",""),"")</f>
        <v/>
      </c>
      <c r="AA5" s="278" t="str">
        <f>_xlfn.IFNA(  SUBSTITUTE(     IF(  INDEX(役男大表!$A$1:$BF$95,MATCH($A5,役男大表!$A$1:$A$97,0),   MATCH(AA$1,役男大表!$A$3:$BF$3,0)  )=0,"",  IF(  INDEX(役男大表!$A$1:$BF$95,MATCH($A5,役男大表!$A$1:$A$97,0),   MATCH(AA$1,役男大表!$A$3:$BF$3,0)  )="榮","x",  IF(  INDEX(役男大表!$A$1:$BF$95,MATCH($A5,役男大表!$A$1:$A$97,0),   MATCH(AA$1,役男大表!$A$3:$BF$3,0)  )="榮-22",  "x榮18-22",               INDEX(役男大表!$A$1:$BF$95,MATCH($A5,役男大表!$A$1:$A$97,0),   MATCH(AA$1,役男大表!$A$3:$BF$3,0)  )                  )  )  )," ",""),"")</f>
        <v/>
      </c>
      <c r="AB5" s="278" t="str">
        <f>_xlfn.IFNA(  SUBSTITUTE(     IF(  INDEX(役男大表!$A$1:$BF$95,MATCH($A5,役男大表!$A$1:$A$97,0),   MATCH(AB$1,役男大表!$A$3:$BF$3,0)  )=0,"",  IF(  INDEX(役男大表!$A$1:$BF$95,MATCH($A5,役男大表!$A$1:$A$97,0),   MATCH(AB$1,役男大表!$A$3:$BF$3,0)  )="榮","x",  IF(  INDEX(役男大表!$A$1:$BF$95,MATCH($A5,役男大表!$A$1:$A$97,0),   MATCH(AB$1,役男大表!$A$3:$BF$3,0)  )="榮-22",  "x榮18-22",               INDEX(役男大表!$A$1:$BF$95,MATCH($A5,役男大表!$A$1:$A$97,0),   MATCH(AB$1,役男大表!$A$3:$BF$3,0)  )                  )  )  )," ",""),"")</f>
        <v/>
      </c>
      <c r="AC5" s="278" t="str">
        <f>_xlfn.IFNA(  SUBSTITUTE(     IF(  INDEX(役男大表!$A$1:$BF$95,MATCH($A5,役男大表!$A$1:$A$97,0),   MATCH(AC$1,役男大表!$A$3:$BF$3,0)  )=0,"",  IF(  INDEX(役男大表!$A$1:$BF$95,MATCH($A5,役男大表!$A$1:$A$97,0),   MATCH(AC$1,役男大表!$A$3:$BF$3,0)  )="榮","x",  IF(  INDEX(役男大表!$A$1:$BF$95,MATCH($A5,役男大表!$A$1:$A$97,0),   MATCH(AC$1,役男大表!$A$3:$BF$3,0)  )="榮-22",  "x榮18-22",               INDEX(役男大表!$A$1:$BF$95,MATCH($A5,役男大表!$A$1:$A$97,0),   MATCH(AC$1,役男大表!$A$3:$BF$3,0)  )                  )  )  )," ",""),"")</f>
        <v/>
      </c>
      <c r="AD5" s="278" t="str">
        <f>_xlfn.IFNA(  SUBSTITUTE(     IF(  INDEX(役男大表!$A$1:$BF$95,MATCH($A5,役男大表!$A$1:$A$97,0),   MATCH(AD$1,役男大表!$A$3:$BF$3,0)  )=0,"",  IF(  INDEX(役男大表!$A$1:$BF$95,MATCH($A5,役男大表!$A$1:$A$97,0),   MATCH(AD$1,役男大表!$A$3:$BF$3,0)  )="榮","x",  IF(  INDEX(役男大表!$A$1:$BF$95,MATCH($A5,役男大表!$A$1:$A$97,0),   MATCH(AD$1,役男大表!$A$3:$BF$3,0)  )="榮-22",  "x榮18-22",               INDEX(役男大表!$A$1:$BF$95,MATCH($A5,役男大表!$A$1:$A$97,0),   MATCH(AD$1,役男大表!$A$3:$BF$3,0)  )                  )  )  )," ",""),"")</f>
        <v/>
      </c>
      <c r="AE5" s="278" t="str">
        <f>_xlfn.IFNA(  SUBSTITUTE(     IF(  INDEX(役男大表!$A$1:$BF$95,MATCH($A5,役男大表!$A$1:$A$97,0),   MATCH(AE$1,役男大表!$A$3:$BF$3,0)  )=0,"",  IF(  INDEX(役男大表!$A$1:$BF$95,MATCH($A5,役男大表!$A$1:$A$97,0),   MATCH(AE$1,役男大表!$A$3:$BF$3,0)  )="榮","x",  IF(  INDEX(役男大表!$A$1:$BF$95,MATCH($A5,役男大表!$A$1:$A$97,0),   MATCH(AE$1,役男大表!$A$3:$BF$3,0)  )="榮-22",  "x榮18-22",               INDEX(役男大表!$A$1:$BF$95,MATCH($A5,役男大表!$A$1:$A$97,0),   MATCH(AE$1,役男大表!$A$3:$BF$3,0)  )                  )  )  )," ",""),"")</f>
        <v/>
      </c>
      <c r="AF5" s="278" t="str">
        <f>_xlfn.IFNA(  SUBSTITUTE(     IF(  INDEX(役男大表!$A$1:$BF$95,MATCH($A5,役男大表!$A$1:$A$97,0),   MATCH(AF$1,役男大表!$A$3:$BF$3,0)  )=0,"",  IF(  INDEX(役男大表!$A$1:$BF$95,MATCH($A5,役男大表!$A$1:$A$97,0),   MATCH(AF$1,役男大表!$A$3:$BF$3,0)  )="榮","x",  IF(  INDEX(役男大表!$A$1:$BF$95,MATCH($A5,役男大表!$A$1:$A$97,0),   MATCH(AF$1,役男大表!$A$3:$BF$3,0)  )="榮-22",  "x榮18-22",               INDEX(役男大表!$A$1:$BF$95,MATCH($A5,役男大表!$A$1:$A$97,0),   MATCH(AF$1,役男大表!$A$3:$BF$3,0)  )                  )  )  )," ",""),"")</f>
        <v/>
      </c>
      <c r="AG5" s="278" t="str">
        <f>_xlfn.IFNA(  SUBSTITUTE(     IF(  INDEX(役男大表!$A$1:$BF$95,MATCH($A5,役男大表!$A$1:$A$97,0),   MATCH(AG$1,役男大表!$A$3:$BF$3,0)  )=0,"",  IF(  INDEX(役男大表!$A$1:$BF$95,MATCH($A5,役男大表!$A$1:$A$97,0),   MATCH(AG$1,役男大表!$A$3:$BF$3,0)  )="榮","x",  IF(  INDEX(役男大表!$A$1:$BF$95,MATCH($A5,役男大表!$A$1:$A$97,0),   MATCH(AG$1,役男大表!$A$3:$BF$3,0)  )="榮-22",  "x榮18-22",               INDEX(役男大表!$A$1:$BF$95,MATCH($A5,役男大表!$A$1:$A$97,0),   MATCH(AG$1,役男大表!$A$3:$BF$3,0)  )                  )  )  )," ",""),"")</f>
        <v/>
      </c>
      <c r="AH5" s="278" t="str">
        <f>_xlfn.IFNA(  SUBSTITUTE(     IF(  INDEX(役男大表!$A$1:$BF$95,MATCH($A5,役男大表!$A$1:$A$97,0),   MATCH(AH$1,役男大表!$A$3:$BF$3,0)  )=0,"",  IF(  INDEX(役男大表!$A$1:$BF$95,MATCH($A5,役男大表!$A$1:$A$97,0),   MATCH(AH$1,役男大表!$A$3:$BF$3,0)  )="榮","x",  IF(  INDEX(役男大表!$A$1:$BF$95,MATCH($A5,役男大表!$A$1:$A$97,0),   MATCH(AH$1,役男大表!$A$3:$BF$3,0)  )="榮-22",  "x榮18-22",               INDEX(役男大表!$A$1:$BF$95,MATCH($A5,役男大表!$A$1:$A$97,0),   MATCH(AH$1,役男大表!$A$3:$BF$3,0)  )                  )  )  )," ",""),"")</f>
        <v/>
      </c>
      <c r="AI5" s="278" t="str">
        <f>_xlfn.IFNA(  SUBSTITUTE(     IF(  INDEX(役男大表!$A$1:$BF$95,MATCH($A5,役男大表!$A$1:$A$97,0),   MATCH(AI$1,役男大表!$A$3:$BF$3,0)  )=0,"",  IF(  INDEX(役男大表!$A$1:$BF$95,MATCH($A5,役男大表!$A$1:$A$97,0),   MATCH(AI$1,役男大表!$A$3:$BF$3,0)  )="榮","x",  IF(  INDEX(役男大表!$A$1:$BF$95,MATCH($A5,役男大表!$A$1:$A$97,0),   MATCH(AI$1,役男大表!$A$3:$BF$3,0)  )="榮-22",  "x榮18-22",               INDEX(役男大表!$A$1:$BF$95,MATCH($A5,役男大表!$A$1:$A$97,0),   MATCH(AI$1,役男大表!$A$3:$BF$3,0)  )                  )  )  )," ",""),"")</f>
        <v/>
      </c>
      <c r="AJ5" s="278" t="str">
        <f>_xlfn.IFNA(  SUBSTITUTE(     IF(  INDEX(役男大表!$A$1:$BF$95,MATCH($A5,役男大表!$A$1:$A$97,0),   MATCH(AJ$1,役男大表!$A$3:$BF$3,0)  )=0,"",  IF(  INDEX(役男大表!$A$1:$BF$95,MATCH($A5,役男大表!$A$1:$A$97,0),   MATCH(AJ$1,役男大表!$A$3:$BF$3,0)  )="榮","x",  IF(  INDEX(役男大表!$A$1:$BF$95,MATCH($A5,役男大表!$A$1:$A$97,0),   MATCH(AJ$1,役男大表!$A$3:$BF$3,0)  )="榮-22",  "x榮18-22",               INDEX(役男大表!$A$1:$BF$95,MATCH($A5,役男大表!$A$1:$A$97,0),   MATCH(AJ$1,役男大表!$A$3:$BF$3,0)  )                  )  )  )," ",""),"")</f>
        <v/>
      </c>
      <c r="AM5" s="66">
        <f t="shared" si="1"/>
        <v>4</v>
      </c>
      <c r="AN5" s="66" t="str">
        <f t="shared" si="2"/>
        <v>鄭凱文</v>
      </c>
      <c r="AO5" s="71" t="str">
        <f>IF(  AND(  INDEX(   $A$42:$AJ$79, MATCH(AM5,$A$42:$A$79,0),MATCH(  日期輸入!$C$3,$A$42:$AL$42,0  )  )="全日勤",  AV5="免"  ),  "全日勤免勤教",  IF(  AND(  INDEX(   $A$42:$AJ$79, MATCH(AM5,$A$42:$A$79,0),MATCH(  日期輸入!$C$3,$A$42:$AL$42,0  )  )="18放",  AV5="免"  ),  "18放早走",  INDEX(   $A$42:$AJ$79, MATCH(AM5,$A$42:$A$79,0),MATCH(  日期輸入!$C$3,$A$42:$AL$42,0  )  )  )  )</f>
        <v>全日勤</v>
      </c>
      <c r="AP5" s="66" t="str">
        <f>_xlfn.IFNA(IF((ROW(AP5)-1)&lt;=暫1!$B$2,IF(VALUE($AM5)=暫1!B$3,"家因",IF(VALUE($AM5)=暫1!C$3,"家因",IF(VALUE($AM5)=暫1!D$3,"家因",IF(VALUE($AM5)=暫1!E$3,"家因",IF(VALUE($AM5)=暫1!F$3,"家因",IF(VALUE($AM5)=暫1!G$3,"家因",IF(VALUE($AM5)=暫1!H$3,"家因",IF(VALUE($AM5)=暫1!I$3,"家因",IF(VALUE($AM5)=暫1!J$3,"家因",IF(VALUE($AM5)=暫1!K$3,"家因",IF(VALUE($AM5)=暫1!L$3,"家因",IF(VALUE($AM5)=暫1!M$3,"家因",IF(VALUE($AM5)=暫1!N$3,"家因",IF(VALUE($AM5)=暫1!O$3,"家因",IF(VALUE($AM5)=暫1!P$3,"家因",IF(VALUE($AM5)=暫1!Q$3,"家因",IF(VALUE($AM5)=暫1!R$3,"家因",IF(VALUE($AM5)=暫1!S$3,"家因",IF(VALUE($AM5)=暫1!T$3,"家因",IF(VALUE($AM5)=暫1!U$3,"家因","")))))))))))))))))))),""),"")</f>
        <v/>
      </c>
      <c r="AQ5" s="66" t="str">
        <f>IF((ROW(AQ5)-1)&lt;=暫1!$B$2,_xlfn.IFNA(IF(INDEX($A$1:$AJ$41,MATCH($AN5,$B$1:$B$101,0),VALUE($AQ$1+3))="成","補",INDEX($A$1:$AJ$41,MATCH($AN5,$B$1:$B$101,0),VALUE($AQ$1+3))),""),"")</f>
        <v/>
      </c>
      <c r="AR5" s="66" t="str">
        <f>IF((ROW(AR5)-1)&lt;=暫1!$B$2,_xlfn.IFNA(IF(INDEX($A$1:$AJ$41,MATCH($AN5,$B$1:$B$101,0),VALUE($AR$1+3))="成","補",INDEX($A$1:$AJ$41,MATCH($AN5,$B$1:$B$101,0),VALUE($AR$1+3))),""),"")</f>
        <v/>
      </c>
      <c r="AS5" s="66" t="str">
        <f>IF((ROW(AS5)-1)&lt;=暫1!$B$2,_xlfn.IFNA(IF(INDEX($A$1:$AJ$41,MATCH($AN5,$B$1:$B$101,0),VALUE($AS$1+3))="成","補",INDEX($A$1:$AJ$41,MATCH($AN5,$B$1:$B$101,0),VALUE($AS$1+3))),""),"")</f>
        <v/>
      </c>
      <c r="AT5" s="66" t="str">
        <f>IF(  OR(  LEN(  INDEX(   $A$1:$AJ$39, MATCH(AM5,$A$1:$A$39,0),MATCH(  日期輸入!$C$3,$A$1:$AP$1,0  )  )  )&gt;LEN(  SUBSTITUTE(  INDEX(   $A$1:$AJ$39, MATCH(AM5,$A$1:$A$39,0),MATCH(  日期輸入!$C$3,$A$1:$AP$1,0  )  ),"榮","")  )  ),   SUBSTITUTE(  SUBSTITUTE(  INDEX(   $A$1:$AJ$39, MATCH(AM5,$A$1:$A$39,0),MATCH(  日期輸入!$C$3,$A$1:$AP$1,0  )  ),"榮",""),"x",""), "")</f>
        <v/>
      </c>
      <c r="AU5" s="66" t="str">
        <f t="shared" si="3"/>
        <v/>
      </c>
      <c r="AV5" s="66" t="str">
        <f>INDEX(   $A$482:$AJ$519, MATCH(AM5,$A$482:$A$519,0),MATCH(  日期輸入!$C$3,$A$482:$AL$482,0  )  )</f>
        <v/>
      </c>
      <c r="AX5" s="66" t="str">
        <f>IFERROR(IF((ROW(AX5)-1)&lt;=暫1!$B$2,SUBSTITUTE(IF($AO5=$AX$1,$AM5,"")," ",""),""),"")</f>
        <v/>
      </c>
      <c r="AY5" s="66" t="str">
        <f>IFERROR(IF((ROW(AY5)-1)&lt;=暫1!$B$2,SUBSTITUTE(IF($AO5=$AY$1,$AM5,"")," ",""),""),"")</f>
        <v/>
      </c>
      <c r="AZ5" s="66" t="str">
        <f>IFERROR(IF((ROW(AZ5)-1)&lt;=暫1!$B$2,SUBSTITUTE(IF($AO5=$AZ$1,$AM5,"")," ",""),""),"")</f>
        <v/>
      </c>
      <c r="BA5" s="66" t="str">
        <f>IFERROR(IF((ROW(BA5)-1)&lt;=暫1!$B$2,SUBSTITUTE(IF($AO5=$BA$1,$AM5,"")," ",""),""),"")</f>
        <v/>
      </c>
      <c r="BB5" s="69" t="str">
        <f>IFERROR(IF((ROW(BB5)-1)&lt;=暫1!$B$2,SUBSTITUTE(IF(OR($AO5=$BB$1,$AO5=$AY$1,$AO5=$AZ$1),$AM5,IF($AO5=$AY$1,$AM5,"")),"",""),""),"")</f>
        <v>4</v>
      </c>
      <c r="BC5" s="69" t="str">
        <f>IF(    AND(LEN(BC4)&gt;=2 ),        "、" &amp;  IF(OR(役男人力!$J$2:$J$84="是"),役男人力!$B5,""),  IF(OR(役男人力!$J$2:$J$84="是"),役男人力!$B5,"")  )</f>
        <v>鄭凱文</v>
      </c>
      <c r="BG5" s="70" t="s">
        <v>267</v>
      </c>
      <c r="BH5" s="63" t="str">
        <f>CONCATENATE(' 役男公式'!BG5,"：",' 役男公式'!BG6)</f>
        <v>18放：</v>
      </c>
    </row>
    <row r="6" spans="1:60" ht="25.5" customHeight="1" thickBot="1">
      <c r="A6" s="278">
        <v>5</v>
      </c>
      <c r="B6" s="278" t="str">
        <f>_xlfn.IFNA(  INDEX(役男大表!$A$1:$BF$95,MATCH(A6,役男大表!$A$1:$A$97,0),2),"")</f>
        <v>蔡政倫</v>
      </c>
      <c r="C6" s="278" t="str">
        <f>_xlfn.IFNA(  SUBSTITUTE(     IF(  INDEX(役男大表!$A$1:$BF$95,MATCH($A6,役男大表!$A$1:$A$97,0),   MATCH(C$1,役男大表!$A$3:$BF$3,0)  )=0,"",  IF(  INDEX(役男大表!$A$1:$BF$95,MATCH($A6,役男大表!$A$1:$A$97,0),   MATCH(C$1,役男大表!$A$3:$BF$3,0)  )="榮","x",  IF(  INDEX(役男大表!$A$1:$BF$95,MATCH($A6,役男大表!$A$1:$A$97,0),   MATCH(C$1,役男大表!$A$3:$BF$3,0)  )="榮-22",  "x榮18-22",               INDEX(役男大表!$A$1:$BF$95,MATCH($A6,役男大表!$A$1:$A$97,0),   MATCH(C$1,役男大表!$A$3:$BF$3,0)  )                  )  )  )," ",""),"")</f>
        <v/>
      </c>
      <c r="D6" s="278" t="str">
        <f>_xlfn.IFNA(  SUBSTITUTE(     IF(  INDEX(役男大表!$A$1:$BF$95,MATCH($A6,役男大表!$A$1:$A$97,0),   MATCH(D$1,役男大表!$A$3:$BF$3,0)  )=0,"",  IF(  INDEX(役男大表!$A$1:$BF$95,MATCH($A6,役男大表!$A$1:$A$97,0),   MATCH(D$1,役男大表!$A$3:$BF$3,0)  )="榮","x",  IF(  INDEX(役男大表!$A$1:$BF$95,MATCH($A6,役男大表!$A$1:$A$97,0),   MATCH(D$1,役男大表!$A$3:$BF$3,0)  )="榮-22",  "x榮18-22",               INDEX(役男大表!$A$1:$BF$95,MATCH($A6,役男大表!$A$1:$A$97,0),   MATCH(D$1,役男大表!$A$3:$BF$3,0)  )                  )  )  )," ",""),"")</f>
        <v/>
      </c>
      <c r="E6" s="278" t="str">
        <f>_xlfn.IFNA(  SUBSTITUTE(     IF(  INDEX(役男大表!$A$1:$BF$95,MATCH($A6,役男大表!$A$1:$A$97,0),   MATCH(E$1,役男大表!$A$3:$BF$3,0)  )=0,"",  IF(  INDEX(役男大表!$A$1:$BF$95,MATCH($A6,役男大表!$A$1:$A$97,0),   MATCH(E$1,役男大表!$A$3:$BF$3,0)  )="榮","x",  IF(  INDEX(役男大表!$A$1:$BF$95,MATCH($A6,役男大表!$A$1:$A$97,0),   MATCH(E$1,役男大表!$A$3:$BF$3,0)  )="榮-22",  "x榮18-22",               INDEX(役男大表!$A$1:$BF$95,MATCH($A6,役男大表!$A$1:$A$97,0),   MATCH(E$1,役男大表!$A$3:$BF$3,0)  )                  )  )  )," ",""),"")</f>
        <v/>
      </c>
      <c r="F6" s="278" t="str">
        <f>_xlfn.IFNA(  SUBSTITUTE(     IF(  INDEX(役男大表!$A$1:$BF$95,MATCH($A6,役男大表!$A$1:$A$97,0),   MATCH(F$1,役男大表!$A$3:$BF$3,0)  )=0,"",  IF(  INDEX(役男大表!$A$1:$BF$95,MATCH($A6,役男大表!$A$1:$A$97,0),   MATCH(F$1,役男大表!$A$3:$BF$3,0)  )="榮","x",  IF(  INDEX(役男大表!$A$1:$BF$95,MATCH($A6,役男大表!$A$1:$A$97,0),   MATCH(F$1,役男大表!$A$3:$BF$3,0)  )="榮-22",  "x榮18-22",               INDEX(役男大表!$A$1:$BF$95,MATCH($A6,役男大表!$A$1:$A$97,0),   MATCH(F$1,役男大表!$A$3:$BF$3,0)  )                  )  )  )," ",""),"")</f>
        <v/>
      </c>
      <c r="G6" s="278" t="str">
        <f>_xlfn.IFNA(  SUBSTITUTE(     IF(  INDEX(役男大表!$A$1:$BF$95,MATCH($A6,役男大表!$A$1:$A$97,0),   MATCH(G$1,役男大表!$A$3:$BF$3,0)  )=0,"",  IF(  INDEX(役男大表!$A$1:$BF$95,MATCH($A6,役男大表!$A$1:$A$97,0),   MATCH(G$1,役男大表!$A$3:$BF$3,0)  )="榮","x",  IF(  INDEX(役男大表!$A$1:$BF$95,MATCH($A6,役男大表!$A$1:$A$97,0),   MATCH(G$1,役男大表!$A$3:$BF$3,0)  )="榮-22",  "x榮18-22",               INDEX(役男大表!$A$1:$BF$95,MATCH($A6,役男大表!$A$1:$A$97,0),   MATCH(G$1,役男大表!$A$3:$BF$3,0)  )                  )  )  )," ",""),"")</f>
        <v/>
      </c>
      <c r="H6" s="278" t="str">
        <f>_xlfn.IFNA(  SUBSTITUTE(     IF(  INDEX(役男大表!$A$1:$BF$95,MATCH($A6,役男大表!$A$1:$A$97,0),   MATCH(H$1,役男大表!$A$3:$BF$3,0)  )=0,"",  IF(  INDEX(役男大表!$A$1:$BF$95,MATCH($A6,役男大表!$A$1:$A$97,0),   MATCH(H$1,役男大表!$A$3:$BF$3,0)  )="榮","x",  IF(  INDEX(役男大表!$A$1:$BF$95,MATCH($A6,役男大表!$A$1:$A$97,0),   MATCH(H$1,役男大表!$A$3:$BF$3,0)  )="榮-22",  "x榮18-22",               INDEX(役男大表!$A$1:$BF$95,MATCH($A6,役男大表!$A$1:$A$97,0),   MATCH(H$1,役男大表!$A$3:$BF$3,0)  )                  )  )  )," ",""),"")</f>
        <v/>
      </c>
      <c r="I6" s="278" t="str">
        <f>_xlfn.IFNA(  SUBSTITUTE(     IF(  INDEX(役男大表!$A$1:$BF$95,MATCH($A6,役男大表!$A$1:$A$97,0),   MATCH(I$1,役男大表!$A$3:$BF$3,0)  )=0,"",  IF(  INDEX(役男大表!$A$1:$BF$95,MATCH($A6,役男大表!$A$1:$A$97,0),   MATCH(I$1,役男大表!$A$3:$BF$3,0)  )="榮","x",  IF(  INDEX(役男大表!$A$1:$BF$95,MATCH($A6,役男大表!$A$1:$A$97,0),   MATCH(I$1,役男大表!$A$3:$BF$3,0)  )="榮-22",  "x榮18-22",               INDEX(役男大表!$A$1:$BF$95,MATCH($A6,役男大表!$A$1:$A$97,0),   MATCH(I$1,役男大表!$A$3:$BF$3,0)  )                  )  )  )," ",""),"")</f>
        <v/>
      </c>
      <c r="J6" s="278" t="str">
        <f>_xlfn.IFNA(  SUBSTITUTE(     IF(  INDEX(役男大表!$A$1:$BF$95,MATCH($A6,役男大表!$A$1:$A$97,0),   MATCH(J$1,役男大表!$A$3:$BF$3,0)  )=0,"",  IF(  INDEX(役男大表!$A$1:$BF$95,MATCH($A6,役男大表!$A$1:$A$97,0),   MATCH(J$1,役男大表!$A$3:$BF$3,0)  )="榮","x",  IF(  INDEX(役男大表!$A$1:$BF$95,MATCH($A6,役男大表!$A$1:$A$97,0),   MATCH(J$1,役男大表!$A$3:$BF$3,0)  )="榮-22",  "x榮18-22",               INDEX(役男大表!$A$1:$BF$95,MATCH($A6,役男大表!$A$1:$A$97,0),   MATCH(J$1,役男大表!$A$3:$BF$3,0)  )                  )  )  )," ",""),"")</f>
        <v/>
      </c>
      <c r="K6" s="278" t="str">
        <f>_xlfn.IFNA(  SUBSTITUTE(     IF(  INDEX(役男大表!$A$1:$BF$95,MATCH($A6,役男大表!$A$1:$A$97,0),   MATCH(K$1,役男大表!$A$3:$BF$3,0)  )=0,"",  IF(  INDEX(役男大表!$A$1:$BF$95,MATCH($A6,役男大表!$A$1:$A$97,0),   MATCH(K$1,役男大表!$A$3:$BF$3,0)  )="榮","x",  IF(  INDEX(役男大表!$A$1:$BF$95,MATCH($A6,役男大表!$A$1:$A$97,0),   MATCH(K$1,役男大表!$A$3:$BF$3,0)  )="榮-22",  "x榮18-22",               INDEX(役男大表!$A$1:$BF$95,MATCH($A6,役男大表!$A$1:$A$97,0),   MATCH(K$1,役男大表!$A$3:$BF$3,0)  )                  )  )  )," ",""),"")</f>
        <v/>
      </c>
      <c r="L6" s="278" t="str">
        <f>_xlfn.IFNA(  SUBSTITUTE(     IF(  INDEX(役男大表!$A$1:$BF$95,MATCH($A6,役男大表!$A$1:$A$97,0),   MATCH(L$1,役男大表!$A$3:$BF$3,0)  )=0,"",  IF(  INDEX(役男大表!$A$1:$BF$95,MATCH($A6,役男大表!$A$1:$A$97,0),   MATCH(L$1,役男大表!$A$3:$BF$3,0)  )="榮","x",  IF(  INDEX(役男大表!$A$1:$BF$95,MATCH($A6,役男大表!$A$1:$A$97,0),   MATCH(L$1,役男大表!$A$3:$BF$3,0)  )="榮-22",  "x榮18-22",               INDEX(役男大表!$A$1:$BF$95,MATCH($A6,役男大表!$A$1:$A$97,0),   MATCH(L$1,役男大表!$A$3:$BF$3,0)  )                  )  )  )," ",""),"")</f>
        <v/>
      </c>
      <c r="M6" s="278" t="str">
        <f>_xlfn.IFNA(  SUBSTITUTE(     IF(  INDEX(役男大表!$A$1:$BF$95,MATCH($A6,役男大表!$A$1:$A$97,0),   MATCH(M$1,役男大表!$A$3:$BF$3,0)  )=0,"",  IF(  INDEX(役男大表!$A$1:$BF$95,MATCH($A6,役男大表!$A$1:$A$97,0),   MATCH(M$1,役男大表!$A$3:$BF$3,0)  )="榮","x",  IF(  INDEX(役男大表!$A$1:$BF$95,MATCH($A6,役男大表!$A$1:$A$97,0),   MATCH(M$1,役男大表!$A$3:$BF$3,0)  )="榮-22",  "x榮18-22",               INDEX(役男大表!$A$1:$BF$95,MATCH($A6,役男大表!$A$1:$A$97,0),   MATCH(M$1,役男大表!$A$3:$BF$3,0)  )                  )  )  )," ",""),"")</f>
        <v/>
      </c>
      <c r="N6" s="278" t="str">
        <f>_xlfn.IFNA(  SUBSTITUTE(     IF(  INDEX(役男大表!$A$1:$BF$95,MATCH($A6,役男大表!$A$1:$A$97,0),   MATCH(N$1,役男大表!$A$3:$BF$3,0)  )=0,"",  IF(  INDEX(役男大表!$A$1:$BF$95,MATCH($A6,役男大表!$A$1:$A$97,0),   MATCH(N$1,役男大表!$A$3:$BF$3,0)  )="榮","x",  IF(  INDEX(役男大表!$A$1:$BF$95,MATCH($A6,役男大表!$A$1:$A$97,0),   MATCH(N$1,役男大表!$A$3:$BF$3,0)  )="榮-22",  "x榮18-22",               INDEX(役男大表!$A$1:$BF$95,MATCH($A6,役男大表!$A$1:$A$97,0),   MATCH(N$1,役男大表!$A$3:$BF$3,0)  )                  )  )  )," ",""),"")</f>
        <v/>
      </c>
      <c r="O6" s="278" t="str">
        <f>_xlfn.IFNA(  SUBSTITUTE(     IF(  INDEX(役男大表!$A$1:$BF$95,MATCH($A6,役男大表!$A$1:$A$97,0),   MATCH(O$1,役男大表!$A$3:$BF$3,0)  )=0,"",  IF(  INDEX(役男大表!$A$1:$BF$95,MATCH($A6,役男大表!$A$1:$A$97,0),   MATCH(O$1,役男大表!$A$3:$BF$3,0)  )="榮","x",  IF(  INDEX(役男大表!$A$1:$BF$95,MATCH($A6,役男大表!$A$1:$A$97,0),   MATCH(O$1,役男大表!$A$3:$BF$3,0)  )="榮-22",  "x榮18-22",               INDEX(役男大表!$A$1:$BF$95,MATCH($A6,役男大表!$A$1:$A$97,0),   MATCH(O$1,役男大表!$A$3:$BF$3,0)  )                  )  )  )," ",""),"")</f>
        <v/>
      </c>
      <c r="P6" s="278" t="str">
        <f>_xlfn.IFNA(  SUBSTITUTE(     IF(  INDEX(役男大表!$A$1:$BF$95,MATCH($A6,役男大表!$A$1:$A$97,0),   MATCH(P$1,役男大表!$A$3:$BF$3,0)  )=0,"",  IF(  INDEX(役男大表!$A$1:$BF$95,MATCH($A6,役男大表!$A$1:$A$97,0),   MATCH(P$1,役男大表!$A$3:$BF$3,0)  )="榮","x",  IF(  INDEX(役男大表!$A$1:$BF$95,MATCH($A6,役男大表!$A$1:$A$97,0),   MATCH(P$1,役男大表!$A$3:$BF$3,0)  )="榮-22",  "x榮18-22",               INDEX(役男大表!$A$1:$BF$95,MATCH($A6,役男大表!$A$1:$A$97,0),   MATCH(P$1,役男大表!$A$3:$BF$3,0)  )                  )  )  )," ",""),"")</f>
        <v/>
      </c>
      <c r="Q6" s="278" t="str">
        <f>_xlfn.IFNA(  SUBSTITUTE(     IF(  INDEX(役男大表!$A$1:$BF$95,MATCH($A6,役男大表!$A$1:$A$97,0),   MATCH(Q$1,役男大表!$A$3:$BF$3,0)  )=0,"",  IF(  INDEX(役男大表!$A$1:$BF$95,MATCH($A6,役男大表!$A$1:$A$97,0),   MATCH(Q$1,役男大表!$A$3:$BF$3,0)  )="榮","x",  IF(  INDEX(役男大表!$A$1:$BF$95,MATCH($A6,役男大表!$A$1:$A$97,0),   MATCH(Q$1,役男大表!$A$3:$BF$3,0)  )="榮-22",  "x榮18-22",               INDEX(役男大表!$A$1:$BF$95,MATCH($A6,役男大表!$A$1:$A$97,0),   MATCH(Q$1,役男大表!$A$3:$BF$3,0)  )                  )  )  )," ",""),"")</f>
        <v/>
      </c>
      <c r="R6" s="278" t="str">
        <f>_xlfn.IFNA(  SUBSTITUTE(     IF(  INDEX(役男大表!$A$1:$BF$95,MATCH($A6,役男大表!$A$1:$A$97,0),   MATCH(R$1,役男大表!$A$3:$BF$3,0)  )=0,"",  IF(  INDEX(役男大表!$A$1:$BF$95,MATCH($A6,役男大表!$A$1:$A$97,0),   MATCH(R$1,役男大表!$A$3:$BF$3,0)  )="榮","x",  IF(  INDEX(役男大表!$A$1:$BF$95,MATCH($A6,役男大表!$A$1:$A$97,0),   MATCH(R$1,役男大表!$A$3:$BF$3,0)  )="榮-22",  "x榮18-22",               INDEX(役男大表!$A$1:$BF$95,MATCH($A6,役男大表!$A$1:$A$97,0),   MATCH(R$1,役男大表!$A$3:$BF$3,0)  )                  )  )  )," ",""),"")</f>
        <v/>
      </c>
      <c r="S6" s="278" t="str">
        <f>_xlfn.IFNA(  SUBSTITUTE(     IF(  INDEX(役男大表!$A$1:$BF$95,MATCH($A6,役男大表!$A$1:$A$97,0),   MATCH(S$1,役男大表!$A$3:$BF$3,0)  )=0,"",  IF(  INDEX(役男大表!$A$1:$BF$95,MATCH($A6,役男大表!$A$1:$A$97,0),   MATCH(S$1,役男大表!$A$3:$BF$3,0)  )="榮","x",  IF(  INDEX(役男大表!$A$1:$BF$95,MATCH($A6,役男大表!$A$1:$A$97,0),   MATCH(S$1,役男大表!$A$3:$BF$3,0)  )="榮-22",  "x榮18-22",               INDEX(役男大表!$A$1:$BF$95,MATCH($A6,役男大表!$A$1:$A$97,0),   MATCH(S$1,役男大表!$A$3:$BF$3,0)  )                  )  )  )," ",""),"")</f>
        <v/>
      </c>
      <c r="T6" s="278" t="str">
        <f>_xlfn.IFNA(  SUBSTITUTE(     IF(  INDEX(役男大表!$A$1:$BF$95,MATCH($A6,役男大表!$A$1:$A$97,0),   MATCH(T$1,役男大表!$A$3:$BF$3,0)  )=0,"",  IF(  INDEX(役男大表!$A$1:$BF$95,MATCH($A6,役男大表!$A$1:$A$97,0),   MATCH(T$1,役男大表!$A$3:$BF$3,0)  )="榮","x",  IF(  INDEX(役男大表!$A$1:$BF$95,MATCH($A6,役男大表!$A$1:$A$97,0),   MATCH(T$1,役男大表!$A$3:$BF$3,0)  )="榮-22",  "x榮18-22",               INDEX(役男大表!$A$1:$BF$95,MATCH($A6,役男大表!$A$1:$A$97,0),   MATCH(T$1,役男大表!$A$3:$BF$3,0)  )                  )  )  )," ",""),"")</f>
        <v/>
      </c>
      <c r="U6" s="278" t="str">
        <f>_xlfn.IFNA(  SUBSTITUTE(     IF(  INDEX(役男大表!$A$1:$BF$95,MATCH($A6,役男大表!$A$1:$A$97,0),   MATCH(U$1,役男大表!$A$3:$BF$3,0)  )=0,"",  IF(  INDEX(役男大表!$A$1:$BF$95,MATCH($A6,役男大表!$A$1:$A$97,0),   MATCH(U$1,役男大表!$A$3:$BF$3,0)  )="榮","x",  IF(  INDEX(役男大表!$A$1:$BF$95,MATCH($A6,役男大表!$A$1:$A$97,0),   MATCH(U$1,役男大表!$A$3:$BF$3,0)  )="榮-22",  "x榮18-22",               INDEX(役男大表!$A$1:$BF$95,MATCH($A6,役男大表!$A$1:$A$97,0),   MATCH(U$1,役男大表!$A$3:$BF$3,0)  )                  )  )  )," ",""),"")</f>
        <v/>
      </c>
      <c r="V6" s="278" t="str">
        <f>_xlfn.IFNA(  SUBSTITUTE(     IF(  INDEX(役男大表!$A$1:$BF$95,MATCH($A6,役男大表!$A$1:$A$97,0),   MATCH(V$1,役男大表!$A$3:$BF$3,0)  )=0,"",  IF(  INDEX(役男大表!$A$1:$BF$95,MATCH($A6,役男大表!$A$1:$A$97,0),   MATCH(V$1,役男大表!$A$3:$BF$3,0)  )="榮","x",  IF(  INDEX(役男大表!$A$1:$BF$95,MATCH($A6,役男大表!$A$1:$A$97,0),   MATCH(V$1,役男大表!$A$3:$BF$3,0)  )="榮-22",  "x榮18-22",               INDEX(役男大表!$A$1:$BF$95,MATCH($A6,役男大表!$A$1:$A$97,0),   MATCH(V$1,役男大表!$A$3:$BF$3,0)  )                  )  )  )," ",""),"")</f>
        <v/>
      </c>
      <c r="W6" s="278" t="str">
        <f>_xlfn.IFNA(  SUBSTITUTE(     IF(  INDEX(役男大表!$A$1:$BF$95,MATCH($A6,役男大表!$A$1:$A$97,0),   MATCH(W$1,役男大表!$A$3:$BF$3,0)  )=0,"",  IF(  INDEX(役男大表!$A$1:$BF$95,MATCH($A6,役男大表!$A$1:$A$97,0),   MATCH(W$1,役男大表!$A$3:$BF$3,0)  )="榮","x",  IF(  INDEX(役男大表!$A$1:$BF$95,MATCH($A6,役男大表!$A$1:$A$97,0),   MATCH(W$1,役男大表!$A$3:$BF$3,0)  )="榮-22",  "x榮18-22",               INDEX(役男大表!$A$1:$BF$95,MATCH($A6,役男大表!$A$1:$A$97,0),   MATCH(W$1,役男大表!$A$3:$BF$3,0)  )                  )  )  )," ",""),"")</f>
        <v/>
      </c>
      <c r="X6" s="278" t="str">
        <f>_xlfn.IFNA(  SUBSTITUTE(     IF(  INDEX(役男大表!$A$1:$BF$95,MATCH($A6,役男大表!$A$1:$A$97,0),   MATCH(X$1,役男大表!$A$3:$BF$3,0)  )=0,"",  IF(  INDEX(役男大表!$A$1:$BF$95,MATCH($A6,役男大表!$A$1:$A$97,0),   MATCH(X$1,役男大表!$A$3:$BF$3,0)  )="榮","x",  IF(  INDEX(役男大表!$A$1:$BF$95,MATCH($A6,役男大表!$A$1:$A$97,0),   MATCH(X$1,役男大表!$A$3:$BF$3,0)  )="榮-22",  "x榮18-22",               INDEX(役男大表!$A$1:$BF$95,MATCH($A6,役男大表!$A$1:$A$97,0),   MATCH(X$1,役男大表!$A$3:$BF$3,0)  )                  )  )  )," ",""),"")</f>
        <v/>
      </c>
      <c r="Y6" s="278" t="str">
        <f>_xlfn.IFNA(  SUBSTITUTE(     IF(  INDEX(役男大表!$A$1:$BF$95,MATCH($A6,役男大表!$A$1:$A$97,0),   MATCH(Y$1,役男大表!$A$3:$BF$3,0)  )=0,"",  IF(  INDEX(役男大表!$A$1:$BF$95,MATCH($A6,役男大表!$A$1:$A$97,0),   MATCH(Y$1,役男大表!$A$3:$BF$3,0)  )="榮","x",  IF(  INDEX(役男大表!$A$1:$BF$95,MATCH($A6,役男大表!$A$1:$A$97,0),   MATCH(Y$1,役男大表!$A$3:$BF$3,0)  )="榮-22",  "x榮18-22",               INDEX(役男大表!$A$1:$BF$95,MATCH($A6,役男大表!$A$1:$A$97,0),   MATCH(Y$1,役男大表!$A$3:$BF$3,0)  )                  )  )  )," ",""),"")</f>
        <v/>
      </c>
      <c r="Z6" s="278" t="str">
        <f>_xlfn.IFNA(  SUBSTITUTE(     IF(  INDEX(役男大表!$A$1:$BF$95,MATCH($A6,役男大表!$A$1:$A$97,0),   MATCH(Z$1,役男大表!$A$3:$BF$3,0)  )=0,"",  IF(  INDEX(役男大表!$A$1:$BF$95,MATCH($A6,役男大表!$A$1:$A$97,0),   MATCH(Z$1,役男大表!$A$3:$BF$3,0)  )="榮","x",  IF(  INDEX(役男大表!$A$1:$BF$95,MATCH($A6,役男大表!$A$1:$A$97,0),   MATCH(Z$1,役男大表!$A$3:$BF$3,0)  )="榮-22",  "x榮18-22",               INDEX(役男大表!$A$1:$BF$95,MATCH($A6,役男大表!$A$1:$A$97,0),   MATCH(Z$1,役男大表!$A$3:$BF$3,0)  )                  )  )  )," ",""),"")</f>
        <v/>
      </c>
      <c r="AA6" s="278" t="str">
        <f>_xlfn.IFNA(  SUBSTITUTE(     IF(  INDEX(役男大表!$A$1:$BF$95,MATCH($A6,役男大表!$A$1:$A$97,0),   MATCH(AA$1,役男大表!$A$3:$BF$3,0)  )=0,"",  IF(  INDEX(役男大表!$A$1:$BF$95,MATCH($A6,役男大表!$A$1:$A$97,0),   MATCH(AA$1,役男大表!$A$3:$BF$3,0)  )="榮","x",  IF(  INDEX(役男大表!$A$1:$BF$95,MATCH($A6,役男大表!$A$1:$A$97,0),   MATCH(AA$1,役男大表!$A$3:$BF$3,0)  )="榮-22",  "x榮18-22",               INDEX(役男大表!$A$1:$BF$95,MATCH($A6,役男大表!$A$1:$A$97,0),   MATCH(AA$1,役男大表!$A$3:$BF$3,0)  )                  )  )  )," ",""),"")</f>
        <v/>
      </c>
      <c r="AB6" s="278" t="str">
        <f>_xlfn.IFNA(  SUBSTITUTE(     IF(  INDEX(役男大表!$A$1:$BF$95,MATCH($A6,役男大表!$A$1:$A$97,0),   MATCH(AB$1,役男大表!$A$3:$BF$3,0)  )=0,"",  IF(  INDEX(役男大表!$A$1:$BF$95,MATCH($A6,役男大表!$A$1:$A$97,0),   MATCH(AB$1,役男大表!$A$3:$BF$3,0)  )="榮","x",  IF(  INDEX(役男大表!$A$1:$BF$95,MATCH($A6,役男大表!$A$1:$A$97,0),   MATCH(AB$1,役男大表!$A$3:$BF$3,0)  )="榮-22",  "x榮18-22",               INDEX(役男大表!$A$1:$BF$95,MATCH($A6,役男大表!$A$1:$A$97,0),   MATCH(AB$1,役男大表!$A$3:$BF$3,0)  )                  )  )  )," ",""),"")</f>
        <v/>
      </c>
      <c r="AC6" s="278" t="str">
        <f>_xlfn.IFNA(  SUBSTITUTE(     IF(  INDEX(役男大表!$A$1:$BF$95,MATCH($A6,役男大表!$A$1:$A$97,0),   MATCH(AC$1,役男大表!$A$3:$BF$3,0)  )=0,"",  IF(  INDEX(役男大表!$A$1:$BF$95,MATCH($A6,役男大表!$A$1:$A$97,0),   MATCH(AC$1,役男大表!$A$3:$BF$3,0)  )="榮","x",  IF(  INDEX(役男大表!$A$1:$BF$95,MATCH($A6,役男大表!$A$1:$A$97,0),   MATCH(AC$1,役男大表!$A$3:$BF$3,0)  )="榮-22",  "x榮18-22",               INDEX(役男大表!$A$1:$BF$95,MATCH($A6,役男大表!$A$1:$A$97,0),   MATCH(AC$1,役男大表!$A$3:$BF$3,0)  )                  )  )  )," ",""),"")</f>
        <v/>
      </c>
      <c r="AD6" s="278" t="str">
        <f>_xlfn.IFNA(  SUBSTITUTE(     IF(  INDEX(役男大表!$A$1:$BF$95,MATCH($A6,役男大表!$A$1:$A$97,0),   MATCH(AD$1,役男大表!$A$3:$BF$3,0)  )=0,"",  IF(  INDEX(役男大表!$A$1:$BF$95,MATCH($A6,役男大表!$A$1:$A$97,0),   MATCH(AD$1,役男大表!$A$3:$BF$3,0)  )="榮","x",  IF(  INDEX(役男大表!$A$1:$BF$95,MATCH($A6,役男大表!$A$1:$A$97,0),   MATCH(AD$1,役男大表!$A$3:$BF$3,0)  )="榮-22",  "x榮18-22",               INDEX(役男大表!$A$1:$BF$95,MATCH($A6,役男大表!$A$1:$A$97,0),   MATCH(AD$1,役男大表!$A$3:$BF$3,0)  )                  )  )  )," ",""),"")</f>
        <v/>
      </c>
      <c r="AE6" s="278" t="str">
        <f>_xlfn.IFNA(  SUBSTITUTE(     IF(  INDEX(役男大表!$A$1:$BF$95,MATCH($A6,役男大表!$A$1:$A$97,0),   MATCH(AE$1,役男大表!$A$3:$BF$3,0)  )=0,"",  IF(  INDEX(役男大表!$A$1:$BF$95,MATCH($A6,役男大表!$A$1:$A$97,0),   MATCH(AE$1,役男大表!$A$3:$BF$3,0)  )="榮","x",  IF(  INDEX(役男大表!$A$1:$BF$95,MATCH($A6,役男大表!$A$1:$A$97,0),   MATCH(AE$1,役男大表!$A$3:$BF$3,0)  )="榮-22",  "x榮18-22",               INDEX(役男大表!$A$1:$BF$95,MATCH($A6,役男大表!$A$1:$A$97,0),   MATCH(AE$1,役男大表!$A$3:$BF$3,0)  )                  )  )  )," ",""),"")</f>
        <v/>
      </c>
      <c r="AF6" s="278" t="str">
        <f>_xlfn.IFNA(  SUBSTITUTE(     IF(  INDEX(役男大表!$A$1:$BF$95,MATCH($A6,役男大表!$A$1:$A$97,0),   MATCH(AF$1,役男大表!$A$3:$BF$3,0)  )=0,"",  IF(  INDEX(役男大表!$A$1:$BF$95,MATCH($A6,役男大表!$A$1:$A$97,0),   MATCH(AF$1,役男大表!$A$3:$BF$3,0)  )="榮","x",  IF(  INDEX(役男大表!$A$1:$BF$95,MATCH($A6,役男大表!$A$1:$A$97,0),   MATCH(AF$1,役男大表!$A$3:$BF$3,0)  )="榮-22",  "x榮18-22",               INDEX(役男大表!$A$1:$BF$95,MATCH($A6,役男大表!$A$1:$A$97,0),   MATCH(AF$1,役男大表!$A$3:$BF$3,0)  )                  )  )  )," ",""),"")</f>
        <v>病06-22</v>
      </c>
      <c r="AG6" s="278" t="str">
        <f>_xlfn.IFNA(  SUBSTITUTE(     IF(  INDEX(役男大表!$A$1:$BF$95,MATCH($A6,役男大表!$A$1:$A$97,0),   MATCH(AG$1,役男大表!$A$3:$BF$3,0)  )=0,"",  IF(  INDEX(役男大表!$A$1:$BF$95,MATCH($A6,役男大表!$A$1:$A$97,0),   MATCH(AG$1,役男大表!$A$3:$BF$3,0)  )="榮","x",  IF(  INDEX(役男大表!$A$1:$BF$95,MATCH($A6,役男大表!$A$1:$A$97,0),   MATCH(AG$1,役男大表!$A$3:$BF$3,0)  )="榮-22",  "x榮18-22",               INDEX(役男大表!$A$1:$BF$95,MATCH($A6,役男大表!$A$1:$A$97,0),   MATCH(AG$1,役男大表!$A$3:$BF$3,0)  )                  )  )  )," ",""),"")</f>
        <v>病06-22</v>
      </c>
      <c r="AH6" s="278" t="str">
        <f>_xlfn.IFNA(  SUBSTITUTE(     IF(  INDEX(役男大表!$A$1:$BF$95,MATCH($A6,役男大表!$A$1:$A$97,0),   MATCH(AH$1,役男大表!$A$3:$BF$3,0)  )=0,"",  IF(  INDEX(役男大表!$A$1:$BF$95,MATCH($A6,役男大表!$A$1:$A$97,0),   MATCH(AH$1,役男大表!$A$3:$BF$3,0)  )="榮","x",  IF(  INDEX(役男大表!$A$1:$BF$95,MATCH($A6,役男大表!$A$1:$A$97,0),   MATCH(AH$1,役男大表!$A$3:$BF$3,0)  )="榮-22",  "x榮18-22",               INDEX(役男大表!$A$1:$BF$95,MATCH($A6,役男大表!$A$1:$A$97,0),   MATCH(AH$1,役男大表!$A$3:$BF$3,0)  )                  )  )  )," ",""),"")</f>
        <v/>
      </c>
      <c r="AI6" s="278" t="str">
        <f>_xlfn.IFNA(  SUBSTITUTE(     IF(  INDEX(役男大表!$A$1:$BF$95,MATCH($A6,役男大表!$A$1:$A$97,0),   MATCH(AI$1,役男大表!$A$3:$BF$3,0)  )=0,"",  IF(  INDEX(役男大表!$A$1:$BF$95,MATCH($A6,役男大表!$A$1:$A$97,0),   MATCH(AI$1,役男大表!$A$3:$BF$3,0)  )="榮","x",  IF(  INDEX(役男大表!$A$1:$BF$95,MATCH($A6,役男大表!$A$1:$A$97,0),   MATCH(AI$1,役男大表!$A$3:$BF$3,0)  )="榮-22",  "x榮18-22",               INDEX(役男大表!$A$1:$BF$95,MATCH($A6,役男大表!$A$1:$A$97,0),   MATCH(AI$1,役男大表!$A$3:$BF$3,0)  )                  )  )  )," ",""),"")</f>
        <v/>
      </c>
      <c r="AJ6" s="278" t="str">
        <f>_xlfn.IFNA(  SUBSTITUTE(     IF(  INDEX(役男大表!$A$1:$BF$95,MATCH($A6,役男大表!$A$1:$A$97,0),   MATCH(AJ$1,役男大表!$A$3:$BF$3,0)  )=0,"",  IF(  INDEX(役男大表!$A$1:$BF$95,MATCH($A6,役男大表!$A$1:$A$97,0),   MATCH(AJ$1,役男大表!$A$3:$BF$3,0)  )="榮","x",  IF(  INDEX(役男大表!$A$1:$BF$95,MATCH($A6,役男大表!$A$1:$A$97,0),   MATCH(AJ$1,役男大表!$A$3:$BF$3,0)  )="榮-22",  "x榮18-22",               INDEX(役男大表!$A$1:$BF$95,MATCH($A6,役男大表!$A$1:$A$97,0),   MATCH(AJ$1,役男大表!$A$3:$BF$3,0)  )                  )  )  )," ",""),"")</f>
        <v/>
      </c>
      <c r="AM6" s="66">
        <f t="shared" si="1"/>
        <v>5</v>
      </c>
      <c r="AN6" s="66" t="str">
        <f t="shared" si="2"/>
        <v>蔡政倫</v>
      </c>
      <c r="AO6" s="71" t="str">
        <f>IF(  AND(  INDEX(   $A$42:$AJ$79, MATCH(AM6,$A$42:$A$79,0),MATCH(  日期輸入!$C$3,$A$42:$AL$42,0  )  )="全日勤",  AV6="免"  ),  "全日勤免勤教",  IF(  AND(  INDEX(   $A$42:$AJ$79, MATCH(AM6,$A$42:$A$79,0),MATCH(  日期輸入!$C$3,$A$42:$AL$42,0  )  )="18放",  AV6="免"  ),  "18放早走",  INDEX(   $A$42:$AJ$79, MATCH(AM6,$A$42:$A$79,0),MATCH(  日期輸入!$C$3,$A$42:$AL$42,0  )  )  )  )</f>
        <v>全日勤免勤教</v>
      </c>
      <c r="AP6" s="66" t="str">
        <f>_xlfn.IFNA(IF((ROW(AP6)-1)&lt;=暫1!$B$2,IF(VALUE($AM6)=暫1!B$3,"家因",IF(VALUE($AM6)=暫1!C$3,"家因",IF(VALUE($AM6)=暫1!D$3,"家因",IF(VALUE($AM6)=暫1!E$3,"家因",IF(VALUE($AM6)=暫1!F$3,"家因",IF(VALUE($AM6)=暫1!G$3,"家因",IF(VALUE($AM6)=暫1!H$3,"家因",IF(VALUE($AM6)=暫1!I$3,"家因",IF(VALUE($AM6)=暫1!J$3,"家因",IF(VALUE($AM6)=暫1!K$3,"家因",IF(VALUE($AM6)=暫1!L$3,"家因",IF(VALUE($AM6)=暫1!M$3,"家因",IF(VALUE($AM6)=暫1!N$3,"家因",IF(VALUE($AM6)=暫1!O$3,"家因",IF(VALUE($AM6)=暫1!P$3,"家因",IF(VALUE($AM6)=暫1!Q$3,"家因",IF(VALUE($AM6)=暫1!R$3,"家因",IF(VALUE($AM6)=暫1!S$3,"家因",IF(VALUE($AM6)=暫1!T$3,"家因",IF(VALUE($AM6)=暫1!U$3,"家因","")))))))))))))))))))),""),"")</f>
        <v/>
      </c>
      <c r="AQ6" s="66" t="str">
        <f>IF((ROW(AQ6)-1)&lt;=暫1!$B$2,_xlfn.IFNA(IF(INDEX($A$1:$AJ$41,MATCH($AN6,$B$1:$B$101,0),VALUE($AQ$1+3))="成","補",INDEX($A$1:$AJ$41,MATCH($AN6,$B$1:$B$101,0),VALUE($AQ$1+3))),""),"")</f>
        <v>病06-22</v>
      </c>
      <c r="AR6" s="66" t="str">
        <f>IF((ROW(AR6)-1)&lt;=暫1!$B$2,_xlfn.IFNA(IF(INDEX($A$1:$AJ$41,MATCH($AN6,$B$1:$B$101,0),VALUE($AR$1+3))="成","補",INDEX($A$1:$AJ$41,MATCH($AN6,$B$1:$B$101,0),VALUE($AR$1+3))),""),"")</f>
        <v/>
      </c>
      <c r="AS6" s="66" t="str">
        <f>IF((ROW(AS6)-1)&lt;=暫1!$B$2,_xlfn.IFNA(IF(INDEX($A$1:$AJ$41,MATCH($AN6,$B$1:$B$101,0),VALUE($AS$1+3))="成","補",INDEX($A$1:$AJ$41,MATCH($AN6,$B$1:$B$101,0),VALUE($AS$1+3))),""),"")</f>
        <v/>
      </c>
      <c r="AT6" s="66" t="str">
        <f>IF(  OR(  LEN(  INDEX(   $A$1:$AJ$39, MATCH(AM6,$A$1:$A$39,0),MATCH(  日期輸入!$C$3,$A$1:$AP$1,0  )  )  )&gt;LEN(  SUBSTITUTE(  INDEX(   $A$1:$AJ$39, MATCH(AM6,$A$1:$A$39,0),MATCH(  日期輸入!$C$3,$A$1:$AP$1,0  )  ),"榮","")  )  ),   SUBSTITUTE(  SUBSTITUTE(  INDEX(   $A$1:$AJ$39, MATCH(AM6,$A$1:$A$39,0),MATCH(  日期輸入!$C$3,$A$1:$AP$1,0  )  ),"榮",""),"x",""), "")</f>
        <v/>
      </c>
      <c r="AU6" s="66" t="str">
        <f t="shared" si="3"/>
        <v/>
      </c>
      <c r="AV6" s="66" t="str">
        <f>INDEX(   $A$482:$AJ$519, MATCH(AM6,$A$482:$A$519,0),MATCH(  日期輸入!$C$3,$A$482:$AL$482,0  )  )</f>
        <v>免</v>
      </c>
      <c r="AX6" s="66" t="str">
        <f>IFERROR(IF((ROW(AX6)-1)&lt;=暫1!$B$2,SUBSTITUTE(IF($AO6=$AX$1,$AM6,"")," ",""),""),"")</f>
        <v/>
      </c>
      <c r="AY6" s="66" t="str">
        <f>IFERROR(IF((ROW(AY6)-1)&lt;=暫1!$B$2,SUBSTITUTE(IF($AO6=$AY$1,$AM6,"")," ",""),""),"")</f>
        <v/>
      </c>
      <c r="AZ6" s="66" t="str">
        <f>IFERROR(IF((ROW(AZ6)-1)&lt;=暫1!$B$2,SUBSTITUTE(IF($AO6=$AZ$1,$AM6,"")," ",""),""),"")</f>
        <v/>
      </c>
      <c r="BA6" s="66" t="str">
        <f>IFERROR(IF((ROW(BA6)-1)&lt;=暫1!$B$2,SUBSTITUTE(IF($AO6=$BA$1,$AM6,"")," ",""),""),"")</f>
        <v/>
      </c>
      <c r="BB6" s="69" t="str">
        <f>IFERROR(IF((ROW(BB6)-1)&lt;=暫1!$B$2,SUBSTITUTE(IF(OR($AO6=$BB$1,$AO6=$AY$1,$AO6=$AZ$1),$AM6,IF($AO6=$AY$1,$AM6,"")),"",""),""),"")</f>
        <v/>
      </c>
      <c r="BC6" s="69" t="str">
        <f>IF(    AND(LEN(BC5)&gt;=2 ),        "、" &amp;  IF(OR(役男人力!$J$2:$J$84="是"),役男人力!$B6,""),  IF(OR(役男人力!$J$2:$J$84="是"),役男人力!$B6,"")  )</f>
        <v>、</v>
      </c>
      <c r="BG6" s="72" t="str">
        <f>INDEX(   A162:AJ199, 38,MATCH(  日期輸入!$C$3,A162:AP162,0  )  )</f>
        <v/>
      </c>
    </row>
    <row r="7" spans="1:60" ht="25.5" customHeight="1">
      <c r="A7" s="278">
        <v>6</v>
      </c>
      <c r="B7" s="278" t="str">
        <f>_xlfn.IFNA(  INDEX(役男大表!$A$1:$BF$95,MATCH(A7,役男大表!$A$1:$A$97,0),2),"")</f>
        <v>邱昱銘</v>
      </c>
      <c r="C7" s="278" t="str">
        <f>_xlfn.IFNA(  SUBSTITUTE(     IF(  INDEX(役男大表!$A$1:$BF$95,MATCH($A7,役男大表!$A$1:$A$97,0),   MATCH(C$1,役男大表!$A$3:$BF$3,0)  )=0,"",  IF(  INDEX(役男大表!$A$1:$BF$95,MATCH($A7,役男大表!$A$1:$A$97,0),   MATCH(C$1,役男大表!$A$3:$BF$3,0)  )="榮","x",  IF(  INDEX(役男大表!$A$1:$BF$95,MATCH($A7,役男大表!$A$1:$A$97,0),   MATCH(C$1,役男大表!$A$3:$BF$3,0)  )="榮-22",  "x榮18-22",               INDEX(役男大表!$A$1:$BF$95,MATCH($A7,役男大表!$A$1:$A$97,0),   MATCH(C$1,役男大表!$A$3:$BF$3,0)  )                  )  )  )," ",""),"")</f>
        <v/>
      </c>
      <c r="D7" s="278" t="str">
        <f>_xlfn.IFNA(  SUBSTITUTE(     IF(  INDEX(役男大表!$A$1:$BF$95,MATCH($A7,役男大表!$A$1:$A$97,0),   MATCH(D$1,役男大表!$A$3:$BF$3,0)  )=0,"",  IF(  INDEX(役男大表!$A$1:$BF$95,MATCH($A7,役男大表!$A$1:$A$97,0),   MATCH(D$1,役男大表!$A$3:$BF$3,0)  )="榮","x",  IF(  INDEX(役男大表!$A$1:$BF$95,MATCH($A7,役男大表!$A$1:$A$97,0),   MATCH(D$1,役男大表!$A$3:$BF$3,0)  )="榮-22",  "x榮18-22",               INDEX(役男大表!$A$1:$BF$95,MATCH($A7,役男大表!$A$1:$A$97,0),   MATCH(D$1,役男大表!$A$3:$BF$3,0)  )                  )  )  )," ",""),"")</f>
        <v/>
      </c>
      <c r="E7" s="278" t="str">
        <f>_xlfn.IFNA(  SUBSTITUTE(     IF(  INDEX(役男大表!$A$1:$BF$95,MATCH($A7,役男大表!$A$1:$A$97,0),   MATCH(E$1,役男大表!$A$3:$BF$3,0)  )=0,"",  IF(  INDEX(役男大表!$A$1:$BF$95,MATCH($A7,役男大表!$A$1:$A$97,0),   MATCH(E$1,役男大表!$A$3:$BF$3,0)  )="榮","x",  IF(  INDEX(役男大表!$A$1:$BF$95,MATCH($A7,役男大表!$A$1:$A$97,0),   MATCH(E$1,役男大表!$A$3:$BF$3,0)  )="榮-22",  "x榮18-22",               INDEX(役男大表!$A$1:$BF$95,MATCH($A7,役男大表!$A$1:$A$97,0),   MATCH(E$1,役男大表!$A$3:$BF$3,0)  )                  )  )  )," ",""),"")</f>
        <v/>
      </c>
      <c r="F7" s="278" t="str">
        <f>_xlfn.IFNA(  SUBSTITUTE(     IF(  INDEX(役男大表!$A$1:$BF$95,MATCH($A7,役男大表!$A$1:$A$97,0),   MATCH(F$1,役男大表!$A$3:$BF$3,0)  )=0,"",  IF(  INDEX(役男大表!$A$1:$BF$95,MATCH($A7,役男大表!$A$1:$A$97,0),   MATCH(F$1,役男大表!$A$3:$BF$3,0)  )="榮","x",  IF(  INDEX(役男大表!$A$1:$BF$95,MATCH($A7,役男大表!$A$1:$A$97,0),   MATCH(F$1,役男大表!$A$3:$BF$3,0)  )="榮-22",  "x榮18-22",               INDEX(役男大表!$A$1:$BF$95,MATCH($A7,役男大表!$A$1:$A$97,0),   MATCH(F$1,役男大表!$A$3:$BF$3,0)  )                  )  )  )," ",""),"")</f>
        <v/>
      </c>
      <c r="G7" s="278" t="str">
        <f>_xlfn.IFNA(  SUBSTITUTE(     IF(  INDEX(役男大表!$A$1:$BF$95,MATCH($A7,役男大表!$A$1:$A$97,0),   MATCH(G$1,役男大表!$A$3:$BF$3,0)  )=0,"",  IF(  INDEX(役男大表!$A$1:$BF$95,MATCH($A7,役男大表!$A$1:$A$97,0),   MATCH(G$1,役男大表!$A$3:$BF$3,0)  )="榮","x",  IF(  INDEX(役男大表!$A$1:$BF$95,MATCH($A7,役男大表!$A$1:$A$97,0),   MATCH(G$1,役男大表!$A$3:$BF$3,0)  )="榮-22",  "x榮18-22",               INDEX(役男大表!$A$1:$BF$95,MATCH($A7,役男大表!$A$1:$A$97,0),   MATCH(G$1,役男大表!$A$3:$BF$3,0)  )                  )  )  )," ",""),"")</f>
        <v/>
      </c>
      <c r="H7" s="278" t="str">
        <f>_xlfn.IFNA(  SUBSTITUTE(     IF(  INDEX(役男大表!$A$1:$BF$95,MATCH($A7,役男大表!$A$1:$A$97,0),   MATCH(H$1,役男大表!$A$3:$BF$3,0)  )=0,"",  IF(  INDEX(役男大表!$A$1:$BF$95,MATCH($A7,役男大表!$A$1:$A$97,0),   MATCH(H$1,役男大表!$A$3:$BF$3,0)  )="榮","x",  IF(  INDEX(役男大表!$A$1:$BF$95,MATCH($A7,役男大表!$A$1:$A$97,0),   MATCH(H$1,役男大表!$A$3:$BF$3,0)  )="榮-22",  "x榮18-22",               INDEX(役男大表!$A$1:$BF$95,MATCH($A7,役男大表!$A$1:$A$97,0),   MATCH(H$1,役男大表!$A$3:$BF$3,0)  )                  )  )  )," ",""),"")</f>
        <v/>
      </c>
      <c r="I7" s="278" t="str">
        <f>_xlfn.IFNA(  SUBSTITUTE(     IF(  INDEX(役男大表!$A$1:$BF$95,MATCH($A7,役男大表!$A$1:$A$97,0),   MATCH(I$1,役男大表!$A$3:$BF$3,0)  )=0,"",  IF(  INDEX(役男大表!$A$1:$BF$95,MATCH($A7,役男大表!$A$1:$A$97,0),   MATCH(I$1,役男大表!$A$3:$BF$3,0)  )="榮","x",  IF(  INDEX(役男大表!$A$1:$BF$95,MATCH($A7,役男大表!$A$1:$A$97,0),   MATCH(I$1,役男大表!$A$3:$BF$3,0)  )="榮-22",  "x榮18-22",               INDEX(役男大表!$A$1:$BF$95,MATCH($A7,役男大表!$A$1:$A$97,0),   MATCH(I$1,役男大表!$A$3:$BF$3,0)  )                  )  )  )," ",""),"")</f>
        <v/>
      </c>
      <c r="J7" s="278" t="str">
        <f>_xlfn.IFNA(  SUBSTITUTE(     IF(  INDEX(役男大表!$A$1:$BF$95,MATCH($A7,役男大表!$A$1:$A$97,0),   MATCH(J$1,役男大表!$A$3:$BF$3,0)  )=0,"",  IF(  INDEX(役男大表!$A$1:$BF$95,MATCH($A7,役男大表!$A$1:$A$97,0),   MATCH(J$1,役男大表!$A$3:$BF$3,0)  )="榮","x",  IF(  INDEX(役男大表!$A$1:$BF$95,MATCH($A7,役男大表!$A$1:$A$97,0),   MATCH(J$1,役男大表!$A$3:$BF$3,0)  )="榮-22",  "x榮18-22",               INDEX(役男大表!$A$1:$BF$95,MATCH($A7,役男大表!$A$1:$A$97,0),   MATCH(J$1,役男大表!$A$3:$BF$3,0)  )                  )  )  )," ",""),"")</f>
        <v/>
      </c>
      <c r="K7" s="278" t="str">
        <f>_xlfn.IFNA(  SUBSTITUTE(     IF(  INDEX(役男大表!$A$1:$BF$95,MATCH($A7,役男大表!$A$1:$A$97,0),   MATCH(K$1,役男大表!$A$3:$BF$3,0)  )=0,"",  IF(  INDEX(役男大表!$A$1:$BF$95,MATCH($A7,役男大表!$A$1:$A$97,0),   MATCH(K$1,役男大表!$A$3:$BF$3,0)  )="榮","x",  IF(  INDEX(役男大表!$A$1:$BF$95,MATCH($A7,役男大表!$A$1:$A$97,0),   MATCH(K$1,役男大表!$A$3:$BF$3,0)  )="榮-22",  "x榮18-22",               INDEX(役男大表!$A$1:$BF$95,MATCH($A7,役男大表!$A$1:$A$97,0),   MATCH(K$1,役男大表!$A$3:$BF$3,0)  )                  )  )  )," ",""),"")</f>
        <v/>
      </c>
      <c r="L7" s="278" t="str">
        <f>_xlfn.IFNA(  SUBSTITUTE(     IF(  INDEX(役男大表!$A$1:$BF$95,MATCH($A7,役男大表!$A$1:$A$97,0),   MATCH(L$1,役男大表!$A$3:$BF$3,0)  )=0,"",  IF(  INDEX(役男大表!$A$1:$BF$95,MATCH($A7,役男大表!$A$1:$A$97,0),   MATCH(L$1,役男大表!$A$3:$BF$3,0)  )="榮","x",  IF(  INDEX(役男大表!$A$1:$BF$95,MATCH($A7,役男大表!$A$1:$A$97,0),   MATCH(L$1,役男大表!$A$3:$BF$3,0)  )="榮-22",  "x榮18-22",               INDEX(役男大表!$A$1:$BF$95,MATCH($A7,役男大表!$A$1:$A$97,0),   MATCH(L$1,役男大表!$A$3:$BF$3,0)  )                  )  )  )," ",""),"")</f>
        <v/>
      </c>
      <c r="M7" s="278" t="str">
        <f>_xlfn.IFNA(  SUBSTITUTE(     IF(  INDEX(役男大表!$A$1:$BF$95,MATCH($A7,役男大表!$A$1:$A$97,0),   MATCH(M$1,役男大表!$A$3:$BF$3,0)  )=0,"",  IF(  INDEX(役男大表!$A$1:$BF$95,MATCH($A7,役男大表!$A$1:$A$97,0),   MATCH(M$1,役男大表!$A$3:$BF$3,0)  )="榮","x",  IF(  INDEX(役男大表!$A$1:$BF$95,MATCH($A7,役男大表!$A$1:$A$97,0),   MATCH(M$1,役男大表!$A$3:$BF$3,0)  )="榮-22",  "x榮18-22",               INDEX(役男大表!$A$1:$BF$95,MATCH($A7,役男大表!$A$1:$A$97,0),   MATCH(M$1,役男大表!$A$3:$BF$3,0)  )                  )  )  )," ",""),"")</f>
        <v/>
      </c>
      <c r="N7" s="278" t="str">
        <f>_xlfn.IFNA(  SUBSTITUTE(     IF(  INDEX(役男大表!$A$1:$BF$95,MATCH($A7,役男大表!$A$1:$A$97,0),   MATCH(N$1,役男大表!$A$3:$BF$3,0)  )=0,"",  IF(  INDEX(役男大表!$A$1:$BF$95,MATCH($A7,役男大表!$A$1:$A$97,0),   MATCH(N$1,役男大表!$A$3:$BF$3,0)  )="榮","x",  IF(  INDEX(役男大表!$A$1:$BF$95,MATCH($A7,役男大表!$A$1:$A$97,0),   MATCH(N$1,役男大表!$A$3:$BF$3,0)  )="榮-22",  "x榮18-22",               INDEX(役男大表!$A$1:$BF$95,MATCH($A7,役男大表!$A$1:$A$97,0),   MATCH(N$1,役男大表!$A$3:$BF$3,0)  )                  )  )  )," ",""),"")</f>
        <v/>
      </c>
      <c r="O7" s="278" t="str">
        <f>_xlfn.IFNA(  SUBSTITUTE(     IF(  INDEX(役男大表!$A$1:$BF$95,MATCH($A7,役男大表!$A$1:$A$97,0),   MATCH(O$1,役男大表!$A$3:$BF$3,0)  )=0,"",  IF(  INDEX(役男大表!$A$1:$BF$95,MATCH($A7,役男大表!$A$1:$A$97,0),   MATCH(O$1,役男大表!$A$3:$BF$3,0)  )="榮","x",  IF(  INDEX(役男大表!$A$1:$BF$95,MATCH($A7,役男大表!$A$1:$A$97,0),   MATCH(O$1,役男大表!$A$3:$BF$3,0)  )="榮-22",  "x榮18-22",               INDEX(役男大表!$A$1:$BF$95,MATCH($A7,役男大表!$A$1:$A$97,0),   MATCH(O$1,役男大表!$A$3:$BF$3,0)  )                  )  )  )," ",""),"")</f>
        <v/>
      </c>
      <c r="P7" s="278" t="str">
        <f>_xlfn.IFNA(  SUBSTITUTE(     IF(  INDEX(役男大表!$A$1:$BF$95,MATCH($A7,役男大表!$A$1:$A$97,0),   MATCH(P$1,役男大表!$A$3:$BF$3,0)  )=0,"",  IF(  INDEX(役男大表!$A$1:$BF$95,MATCH($A7,役男大表!$A$1:$A$97,0),   MATCH(P$1,役男大表!$A$3:$BF$3,0)  )="榮","x",  IF(  INDEX(役男大表!$A$1:$BF$95,MATCH($A7,役男大表!$A$1:$A$97,0),   MATCH(P$1,役男大表!$A$3:$BF$3,0)  )="榮-22",  "x榮18-22",               INDEX(役男大表!$A$1:$BF$95,MATCH($A7,役男大表!$A$1:$A$97,0),   MATCH(P$1,役男大表!$A$3:$BF$3,0)  )                  )  )  )," ",""),"")</f>
        <v/>
      </c>
      <c r="Q7" s="278" t="str">
        <f>_xlfn.IFNA(  SUBSTITUTE(     IF(  INDEX(役男大表!$A$1:$BF$95,MATCH($A7,役男大表!$A$1:$A$97,0),   MATCH(Q$1,役男大表!$A$3:$BF$3,0)  )=0,"",  IF(  INDEX(役男大表!$A$1:$BF$95,MATCH($A7,役男大表!$A$1:$A$97,0),   MATCH(Q$1,役男大表!$A$3:$BF$3,0)  )="榮","x",  IF(  INDEX(役男大表!$A$1:$BF$95,MATCH($A7,役男大表!$A$1:$A$97,0),   MATCH(Q$1,役男大表!$A$3:$BF$3,0)  )="榮-22",  "x榮18-22",               INDEX(役男大表!$A$1:$BF$95,MATCH($A7,役男大表!$A$1:$A$97,0),   MATCH(Q$1,役男大表!$A$3:$BF$3,0)  )                  )  )  )," ",""),"")</f>
        <v/>
      </c>
      <c r="R7" s="278" t="str">
        <f>_xlfn.IFNA(  SUBSTITUTE(     IF(  INDEX(役男大表!$A$1:$BF$95,MATCH($A7,役男大表!$A$1:$A$97,0),   MATCH(R$1,役男大表!$A$3:$BF$3,0)  )=0,"",  IF(  INDEX(役男大表!$A$1:$BF$95,MATCH($A7,役男大表!$A$1:$A$97,0),   MATCH(R$1,役男大表!$A$3:$BF$3,0)  )="榮","x",  IF(  INDEX(役男大表!$A$1:$BF$95,MATCH($A7,役男大表!$A$1:$A$97,0),   MATCH(R$1,役男大表!$A$3:$BF$3,0)  )="榮-22",  "x榮18-22",               INDEX(役男大表!$A$1:$BF$95,MATCH($A7,役男大表!$A$1:$A$97,0),   MATCH(R$1,役男大表!$A$3:$BF$3,0)  )                  )  )  )," ",""),"")</f>
        <v/>
      </c>
      <c r="S7" s="278" t="str">
        <f>_xlfn.IFNA(  SUBSTITUTE(     IF(  INDEX(役男大表!$A$1:$BF$95,MATCH($A7,役男大表!$A$1:$A$97,0),   MATCH(S$1,役男大表!$A$3:$BF$3,0)  )=0,"",  IF(  INDEX(役男大表!$A$1:$BF$95,MATCH($A7,役男大表!$A$1:$A$97,0),   MATCH(S$1,役男大表!$A$3:$BF$3,0)  )="榮","x",  IF(  INDEX(役男大表!$A$1:$BF$95,MATCH($A7,役男大表!$A$1:$A$97,0),   MATCH(S$1,役男大表!$A$3:$BF$3,0)  )="榮-22",  "x榮18-22",               INDEX(役男大表!$A$1:$BF$95,MATCH($A7,役男大表!$A$1:$A$97,0),   MATCH(S$1,役男大表!$A$3:$BF$3,0)  )                  )  )  )," ",""),"")</f>
        <v/>
      </c>
      <c r="T7" s="278" t="str">
        <f>_xlfn.IFNA(  SUBSTITUTE(     IF(  INDEX(役男大表!$A$1:$BF$95,MATCH($A7,役男大表!$A$1:$A$97,0),   MATCH(T$1,役男大表!$A$3:$BF$3,0)  )=0,"",  IF(  INDEX(役男大表!$A$1:$BF$95,MATCH($A7,役男大表!$A$1:$A$97,0),   MATCH(T$1,役男大表!$A$3:$BF$3,0)  )="榮","x",  IF(  INDEX(役男大表!$A$1:$BF$95,MATCH($A7,役男大表!$A$1:$A$97,0),   MATCH(T$1,役男大表!$A$3:$BF$3,0)  )="榮-22",  "x榮18-22",               INDEX(役男大表!$A$1:$BF$95,MATCH($A7,役男大表!$A$1:$A$97,0),   MATCH(T$1,役男大表!$A$3:$BF$3,0)  )                  )  )  )," ",""),"")</f>
        <v/>
      </c>
      <c r="U7" s="278" t="str">
        <f>_xlfn.IFNA(  SUBSTITUTE(     IF(  INDEX(役男大表!$A$1:$BF$95,MATCH($A7,役男大表!$A$1:$A$97,0),   MATCH(U$1,役男大表!$A$3:$BF$3,0)  )=0,"",  IF(  INDEX(役男大表!$A$1:$BF$95,MATCH($A7,役男大表!$A$1:$A$97,0),   MATCH(U$1,役男大表!$A$3:$BF$3,0)  )="榮","x",  IF(  INDEX(役男大表!$A$1:$BF$95,MATCH($A7,役男大表!$A$1:$A$97,0),   MATCH(U$1,役男大表!$A$3:$BF$3,0)  )="榮-22",  "x榮18-22",               INDEX(役男大表!$A$1:$BF$95,MATCH($A7,役男大表!$A$1:$A$97,0),   MATCH(U$1,役男大表!$A$3:$BF$3,0)  )                  )  )  )," ",""),"")</f>
        <v/>
      </c>
      <c r="V7" s="278" t="str">
        <f>_xlfn.IFNA(  SUBSTITUTE(     IF(  INDEX(役男大表!$A$1:$BF$95,MATCH($A7,役男大表!$A$1:$A$97,0),   MATCH(V$1,役男大表!$A$3:$BF$3,0)  )=0,"",  IF(  INDEX(役男大表!$A$1:$BF$95,MATCH($A7,役男大表!$A$1:$A$97,0),   MATCH(V$1,役男大表!$A$3:$BF$3,0)  )="榮","x",  IF(  INDEX(役男大表!$A$1:$BF$95,MATCH($A7,役男大表!$A$1:$A$97,0),   MATCH(V$1,役男大表!$A$3:$BF$3,0)  )="榮-22",  "x榮18-22",               INDEX(役男大表!$A$1:$BF$95,MATCH($A7,役男大表!$A$1:$A$97,0),   MATCH(V$1,役男大表!$A$3:$BF$3,0)  )                  )  )  )," ",""),"")</f>
        <v/>
      </c>
      <c r="W7" s="278" t="str">
        <f>_xlfn.IFNA(  SUBSTITUTE(     IF(  INDEX(役男大表!$A$1:$BF$95,MATCH($A7,役男大表!$A$1:$A$97,0),   MATCH(W$1,役男大表!$A$3:$BF$3,0)  )=0,"",  IF(  INDEX(役男大表!$A$1:$BF$95,MATCH($A7,役男大表!$A$1:$A$97,0),   MATCH(W$1,役男大表!$A$3:$BF$3,0)  )="榮","x",  IF(  INDEX(役男大表!$A$1:$BF$95,MATCH($A7,役男大表!$A$1:$A$97,0),   MATCH(W$1,役男大表!$A$3:$BF$3,0)  )="榮-22",  "x榮18-22",               INDEX(役男大表!$A$1:$BF$95,MATCH($A7,役男大表!$A$1:$A$97,0),   MATCH(W$1,役男大表!$A$3:$BF$3,0)  )                  )  )  )," ",""),"")</f>
        <v/>
      </c>
      <c r="X7" s="278" t="str">
        <f>_xlfn.IFNA(  SUBSTITUTE(     IF(  INDEX(役男大表!$A$1:$BF$95,MATCH($A7,役男大表!$A$1:$A$97,0),   MATCH(X$1,役男大表!$A$3:$BF$3,0)  )=0,"",  IF(  INDEX(役男大表!$A$1:$BF$95,MATCH($A7,役男大表!$A$1:$A$97,0),   MATCH(X$1,役男大表!$A$3:$BF$3,0)  )="榮","x",  IF(  INDEX(役男大表!$A$1:$BF$95,MATCH($A7,役男大表!$A$1:$A$97,0),   MATCH(X$1,役男大表!$A$3:$BF$3,0)  )="榮-22",  "x榮18-22",               INDEX(役男大表!$A$1:$BF$95,MATCH($A7,役男大表!$A$1:$A$97,0),   MATCH(X$1,役男大表!$A$3:$BF$3,0)  )                  )  )  )," ",""),"")</f>
        <v/>
      </c>
      <c r="Y7" s="278" t="str">
        <f>_xlfn.IFNA(  SUBSTITUTE(     IF(  INDEX(役男大表!$A$1:$BF$95,MATCH($A7,役男大表!$A$1:$A$97,0),   MATCH(Y$1,役男大表!$A$3:$BF$3,0)  )=0,"",  IF(  INDEX(役男大表!$A$1:$BF$95,MATCH($A7,役男大表!$A$1:$A$97,0),   MATCH(Y$1,役男大表!$A$3:$BF$3,0)  )="榮","x",  IF(  INDEX(役男大表!$A$1:$BF$95,MATCH($A7,役男大表!$A$1:$A$97,0),   MATCH(Y$1,役男大表!$A$3:$BF$3,0)  )="榮-22",  "x榮18-22",               INDEX(役男大表!$A$1:$BF$95,MATCH($A7,役男大表!$A$1:$A$97,0),   MATCH(Y$1,役男大表!$A$3:$BF$3,0)  )                  )  )  )," ",""),"")</f>
        <v/>
      </c>
      <c r="Z7" s="278" t="str">
        <f>_xlfn.IFNA(  SUBSTITUTE(     IF(  INDEX(役男大表!$A$1:$BF$95,MATCH($A7,役男大表!$A$1:$A$97,0),   MATCH(Z$1,役男大表!$A$3:$BF$3,0)  )=0,"",  IF(  INDEX(役男大表!$A$1:$BF$95,MATCH($A7,役男大表!$A$1:$A$97,0),   MATCH(Z$1,役男大表!$A$3:$BF$3,0)  )="榮","x",  IF(  INDEX(役男大表!$A$1:$BF$95,MATCH($A7,役男大表!$A$1:$A$97,0),   MATCH(Z$1,役男大表!$A$3:$BF$3,0)  )="榮-22",  "x榮18-22",               INDEX(役男大表!$A$1:$BF$95,MATCH($A7,役男大表!$A$1:$A$97,0),   MATCH(Z$1,役男大表!$A$3:$BF$3,0)  )                  )  )  )," ",""),"")</f>
        <v/>
      </c>
      <c r="AA7" s="278" t="str">
        <f>_xlfn.IFNA(  SUBSTITUTE(     IF(  INDEX(役男大表!$A$1:$BF$95,MATCH($A7,役男大表!$A$1:$A$97,0),   MATCH(AA$1,役男大表!$A$3:$BF$3,0)  )=0,"",  IF(  INDEX(役男大表!$A$1:$BF$95,MATCH($A7,役男大表!$A$1:$A$97,0),   MATCH(AA$1,役男大表!$A$3:$BF$3,0)  )="榮","x",  IF(  INDEX(役男大表!$A$1:$BF$95,MATCH($A7,役男大表!$A$1:$A$97,0),   MATCH(AA$1,役男大表!$A$3:$BF$3,0)  )="榮-22",  "x榮18-22",               INDEX(役男大表!$A$1:$BF$95,MATCH($A7,役男大表!$A$1:$A$97,0),   MATCH(AA$1,役男大表!$A$3:$BF$3,0)  )                  )  )  )," ",""),"")</f>
        <v/>
      </c>
      <c r="AB7" s="278" t="str">
        <f>_xlfn.IFNA(  SUBSTITUTE(     IF(  INDEX(役男大表!$A$1:$BF$95,MATCH($A7,役男大表!$A$1:$A$97,0),   MATCH(AB$1,役男大表!$A$3:$BF$3,0)  )=0,"",  IF(  INDEX(役男大表!$A$1:$BF$95,MATCH($A7,役男大表!$A$1:$A$97,0),   MATCH(AB$1,役男大表!$A$3:$BF$3,0)  )="榮","x",  IF(  INDEX(役男大表!$A$1:$BF$95,MATCH($A7,役男大表!$A$1:$A$97,0),   MATCH(AB$1,役男大表!$A$3:$BF$3,0)  )="榮-22",  "x榮18-22",               INDEX(役男大表!$A$1:$BF$95,MATCH($A7,役男大表!$A$1:$A$97,0),   MATCH(AB$1,役男大表!$A$3:$BF$3,0)  )                  )  )  )," ",""),"")</f>
        <v/>
      </c>
      <c r="AC7" s="278" t="str">
        <f>_xlfn.IFNA(  SUBSTITUTE(     IF(  INDEX(役男大表!$A$1:$BF$95,MATCH($A7,役男大表!$A$1:$A$97,0),   MATCH(AC$1,役男大表!$A$3:$BF$3,0)  )=0,"",  IF(  INDEX(役男大表!$A$1:$BF$95,MATCH($A7,役男大表!$A$1:$A$97,0),   MATCH(AC$1,役男大表!$A$3:$BF$3,0)  )="榮","x",  IF(  INDEX(役男大表!$A$1:$BF$95,MATCH($A7,役男大表!$A$1:$A$97,0),   MATCH(AC$1,役男大表!$A$3:$BF$3,0)  )="榮-22",  "x榮18-22",               INDEX(役男大表!$A$1:$BF$95,MATCH($A7,役男大表!$A$1:$A$97,0),   MATCH(AC$1,役男大表!$A$3:$BF$3,0)  )                  )  )  )," ",""),"")</f>
        <v/>
      </c>
      <c r="AD7" s="278" t="str">
        <f>_xlfn.IFNA(  SUBSTITUTE(     IF(  INDEX(役男大表!$A$1:$BF$95,MATCH($A7,役男大表!$A$1:$A$97,0),   MATCH(AD$1,役男大表!$A$3:$BF$3,0)  )=0,"",  IF(  INDEX(役男大表!$A$1:$BF$95,MATCH($A7,役男大表!$A$1:$A$97,0),   MATCH(AD$1,役男大表!$A$3:$BF$3,0)  )="榮","x",  IF(  INDEX(役男大表!$A$1:$BF$95,MATCH($A7,役男大表!$A$1:$A$97,0),   MATCH(AD$1,役男大表!$A$3:$BF$3,0)  )="榮-22",  "x榮18-22",               INDEX(役男大表!$A$1:$BF$95,MATCH($A7,役男大表!$A$1:$A$97,0),   MATCH(AD$1,役男大表!$A$3:$BF$3,0)  )                  )  )  )," ",""),"")</f>
        <v/>
      </c>
      <c r="AE7" s="278" t="str">
        <f>_xlfn.IFNA(  SUBSTITUTE(     IF(  INDEX(役男大表!$A$1:$BF$95,MATCH($A7,役男大表!$A$1:$A$97,0),   MATCH(AE$1,役男大表!$A$3:$BF$3,0)  )=0,"",  IF(  INDEX(役男大表!$A$1:$BF$95,MATCH($A7,役男大表!$A$1:$A$97,0),   MATCH(AE$1,役男大表!$A$3:$BF$3,0)  )="榮","x",  IF(  INDEX(役男大表!$A$1:$BF$95,MATCH($A7,役男大表!$A$1:$A$97,0),   MATCH(AE$1,役男大表!$A$3:$BF$3,0)  )="榮-22",  "x榮18-22",               INDEX(役男大表!$A$1:$BF$95,MATCH($A7,役男大表!$A$1:$A$97,0),   MATCH(AE$1,役男大表!$A$3:$BF$3,0)  )                  )  )  )," ",""),"")</f>
        <v/>
      </c>
      <c r="AF7" s="278" t="str">
        <f>_xlfn.IFNA(  SUBSTITUTE(     IF(  INDEX(役男大表!$A$1:$BF$95,MATCH($A7,役男大表!$A$1:$A$97,0),   MATCH(AF$1,役男大表!$A$3:$BF$3,0)  )=0,"",  IF(  INDEX(役男大表!$A$1:$BF$95,MATCH($A7,役男大表!$A$1:$A$97,0),   MATCH(AF$1,役男大表!$A$3:$BF$3,0)  )="榮","x",  IF(  INDEX(役男大表!$A$1:$BF$95,MATCH($A7,役男大表!$A$1:$A$97,0),   MATCH(AF$1,役男大表!$A$3:$BF$3,0)  )="榮-22",  "x榮18-22",               INDEX(役男大表!$A$1:$BF$95,MATCH($A7,役男大表!$A$1:$A$97,0),   MATCH(AF$1,役男大表!$A$3:$BF$3,0)  )                  )  )  )," ",""),"")</f>
        <v/>
      </c>
      <c r="AG7" s="278" t="str">
        <f>_xlfn.IFNA(  SUBSTITUTE(     IF(  INDEX(役男大表!$A$1:$BF$95,MATCH($A7,役男大表!$A$1:$A$97,0),   MATCH(AG$1,役男大表!$A$3:$BF$3,0)  )=0,"",  IF(  INDEX(役男大表!$A$1:$BF$95,MATCH($A7,役男大表!$A$1:$A$97,0),   MATCH(AG$1,役男大表!$A$3:$BF$3,0)  )="榮","x",  IF(  INDEX(役男大表!$A$1:$BF$95,MATCH($A7,役男大表!$A$1:$A$97,0),   MATCH(AG$1,役男大表!$A$3:$BF$3,0)  )="榮-22",  "x榮18-22",               INDEX(役男大表!$A$1:$BF$95,MATCH($A7,役男大表!$A$1:$A$97,0),   MATCH(AG$1,役男大表!$A$3:$BF$3,0)  )                  )  )  )," ",""),"")</f>
        <v/>
      </c>
      <c r="AH7" s="278" t="str">
        <f>_xlfn.IFNA(  SUBSTITUTE(     IF(  INDEX(役男大表!$A$1:$BF$95,MATCH($A7,役男大表!$A$1:$A$97,0),   MATCH(AH$1,役男大表!$A$3:$BF$3,0)  )=0,"",  IF(  INDEX(役男大表!$A$1:$BF$95,MATCH($A7,役男大表!$A$1:$A$97,0),   MATCH(AH$1,役男大表!$A$3:$BF$3,0)  )="榮","x",  IF(  INDEX(役男大表!$A$1:$BF$95,MATCH($A7,役男大表!$A$1:$A$97,0),   MATCH(AH$1,役男大表!$A$3:$BF$3,0)  )="榮-22",  "x榮18-22",               INDEX(役男大表!$A$1:$BF$95,MATCH($A7,役男大表!$A$1:$A$97,0),   MATCH(AH$1,役男大表!$A$3:$BF$3,0)  )                  )  )  )," ",""),"")</f>
        <v/>
      </c>
      <c r="AI7" s="278" t="str">
        <f>_xlfn.IFNA(  SUBSTITUTE(     IF(  INDEX(役男大表!$A$1:$BF$95,MATCH($A7,役男大表!$A$1:$A$97,0),   MATCH(AI$1,役男大表!$A$3:$BF$3,0)  )=0,"",  IF(  INDEX(役男大表!$A$1:$BF$95,MATCH($A7,役男大表!$A$1:$A$97,0),   MATCH(AI$1,役男大表!$A$3:$BF$3,0)  )="榮","x",  IF(  INDEX(役男大表!$A$1:$BF$95,MATCH($A7,役男大表!$A$1:$A$97,0),   MATCH(AI$1,役男大表!$A$3:$BF$3,0)  )="榮-22",  "x榮18-22",               INDEX(役男大表!$A$1:$BF$95,MATCH($A7,役男大表!$A$1:$A$97,0),   MATCH(AI$1,役男大表!$A$3:$BF$3,0)  )                  )  )  )," ",""),"")</f>
        <v/>
      </c>
      <c r="AJ7" s="278" t="str">
        <f>_xlfn.IFNA(  SUBSTITUTE(     IF(  INDEX(役男大表!$A$1:$BF$95,MATCH($A7,役男大表!$A$1:$A$97,0),   MATCH(AJ$1,役男大表!$A$3:$BF$3,0)  )=0,"",  IF(  INDEX(役男大表!$A$1:$BF$95,MATCH($A7,役男大表!$A$1:$A$97,0),   MATCH(AJ$1,役男大表!$A$3:$BF$3,0)  )="榮","x",  IF(  INDEX(役男大表!$A$1:$BF$95,MATCH($A7,役男大表!$A$1:$A$97,0),   MATCH(AJ$1,役男大表!$A$3:$BF$3,0)  )="榮-22",  "x榮18-22",               INDEX(役男大表!$A$1:$BF$95,MATCH($A7,役男大表!$A$1:$A$97,0),   MATCH(AJ$1,役男大表!$A$3:$BF$3,0)  )                  )  )  )," ",""),"")</f>
        <v/>
      </c>
      <c r="AM7" s="66">
        <f t="shared" si="1"/>
        <v>6</v>
      </c>
      <c r="AN7" s="66" t="str">
        <f t="shared" si="2"/>
        <v>邱昱銘</v>
      </c>
      <c r="AO7" s="71" t="str">
        <f>IF(  AND(  INDEX(   $A$42:$AJ$79, MATCH(AM7,$A$42:$A$79,0),MATCH(  日期輸入!$C$3,$A$42:$AL$42,0  )  )="全日勤",  AV7="免"  ),  "全日勤免勤教",  IF(  AND(  INDEX(   $A$42:$AJ$79, MATCH(AM7,$A$42:$A$79,0),MATCH(  日期輸入!$C$3,$A$42:$AL$42,0  )  )="18放",  AV7="免"  ),  "18放早走",  INDEX(   $A$42:$AJ$79, MATCH(AM7,$A$42:$A$79,0),MATCH(  日期輸入!$C$3,$A$42:$AL$42,0  )  )  )  )</f>
        <v>全日勤</v>
      </c>
      <c r="AP7" s="66" t="str">
        <f>_xlfn.IFNA(IF((ROW(AP7)-1)&lt;=暫1!$B$2,IF(VALUE($AM7)=暫1!B$3,"家因",IF(VALUE($AM7)=暫1!C$3,"家因",IF(VALUE($AM7)=暫1!D$3,"家因",IF(VALUE($AM7)=暫1!E$3,"家因",IF(VALUE($AM7)=暫1!F$3,"家因",IF(VALUE($AM7)=暫1!G$3,"家因",IF(VALUE($AM7)=暫1!H$3,"家因",IF(VALUE($AM7)=暫1!I$3,"家因",IF(VALUE($AM7)=暫1!J$3,"家因",IF(VALUE($AM7)=暫1!K$3,"家因",IF(VALUE($AM7)=暫1!L$3,"家因",IF(VALUE($AM7)=暫1!M$3,"家因",IF(VALUE($AM7)=暫1!N$3,"家因",IF(VALUE($AM7)=暫1!O$3,"家因",IF(VALUE($AM7)=暫1!P$3,"家因",IF(VALUE($AM7)=暫1!Q$3,"家因",IF(VALUE($AM7)=暫1!R$3,"家因",IF(VALUE($AM7)=暫1!S$3,"家因",IF(VALUE($AM7)=暫1!T$3,"家因",IF(VALUE($AM7)=暫1!U$3,"家因","")))))))))))))))))))),""),"")</f>
        <v/>
      </c>
      <c r="AQ7" s="66" t="str">
        <f>IF((ROW(AQ7)-1)&lt;=暫1!$B$2,_xlfn.IFNA(IF(INDEX($A$1:$AJ$41,MATCH($AN7,$B$1:$B$101,0),VALUE($AQ$1+3))="成","補",INDEX($A$1:$AJ$41,MATCH($AN7,$B$1:$B$101,0),VALUE($AQ$1+3))),""),"")</f>
        <v/>
      </c>
      <c r="AR7" s="66" t="str">
        <f>IF((ROW(AR7)-1)&lt;=暫1!$B$2,_xlfn.IFNA(IF(INDEX($A$1:$AJ$41,MATCH($AN7,$B$1:$B$101,0),VALUE($AR$1+3))="成","補",INDEX($A$1:$AJ$41,MATCH($AN7,$B$1:$B$101,0),VALUE($AR$1+3))),""),"")</f>
        <v/>
      </c>
      <c r="AS7" s="66" t="str">
        <f>IF((ROW(AS7)-1)&lt;=暫1!$B$2,_xlfn.IFNA(IF(INDEX($A$1:$AJ$41,MATCH($AN7,$B$1:$B$101,0),VALUE($AS$1+3))="成","補",INDEX($A$1:$AJ$41,MATCH($AN7,$B$1:$B$101,0),VALUE($AS$1+3))),""),"")</f>
        <v/>
      </c>
      <c r="AT7" s="66" t="str">
        <f>IF(  OR(  LEN(  INDEX(   $A$1:$AJ$39, MATCH(AM7,$A$1:$A$39,0),MATCH(  日期輸入!$C$3,$A$1:$AP$1,0  )  )  )&gt;LEN(  SUBSTITUTE(  INDEX(   $A$1:$AJ$39, MATCH(AM7,$A$1:$A$39,0),MATCH(  日期輸入!$C$3,$A$1:$AP$1,0  )  ),"榮","")  )  ),   SUBSTITUTE(  SUBSTITUTE(  INDEX(   $A$1:$AJ$39, MATCH(AM7,$A$1:$A$39,0),MATCH(  日期輸入!$C$3,$A$1:$AP$1,0  )  ),"榮",""),"x",""), "")</f>
        <v/>
      </c>
      <c r="AU7" s="66" t="str">
        <f t="shared" si="3"/>
        <v/>
      </c>
      <c r="AV7" s="66" t="str">
        <f>INDEX(   $A$482:$AJ$519, MATCH(AM7,$A$482:$A$519,0),MATCH(  日期輸入!$C$3,$A$482:$AL$482,0  )  )</f>
        <v/>
      </c>
      <c r="AX7" s="66" t="str">
        <f>IFERROR(IF((ROW(AX7)-1)&lt;=暫1!$B$2,SUBSTITUTE(IF($AO7=$AX$1,$AM7,"")," ",""),""),"")</f>
        <v/>
      </c>
      <c r="AY7" s="66" t="str">
        <f>IFERROR(IF((ROW(AY7)-1)&lt;=暫1!$B$2,SUBSTITUTE(IF($AO7=$AY$1,$AM7,"")," ",""),""),"")</f>
        <v/>
      </c>
      <c r="AZ7" s="66" t="str">
        <f>IFERROR(IF((ROW(AZ7)-1)&lt;=暫1!$B$2,SUBSTITUTE(IF($AO7=$AZ$1,$AM7,"")," ",""),""),"")</f>
        <v/>
      </c>
      <c r="BA7" s="66" t="str">
        <f>IFERROR(IF((ROW(BA7)-1)&lt;=暫1!$B$2,SUBSTITUTE(IF($AO7=$BA$1,$AM7,"")," ",""),""),"")</f>
        <v/>
      </c>
      <c r="BB7" s="69" t="str">
        <f>IFERROR(IF((ROW(BB7)-1)&lt;=暫1!$B$2,SUBSTITUTE(IF(OR($AO7=$BB$1,$AO7=$AY$1,$AO7=$AZ$1),$AM7,IF($AO7=$AY$1,$AM7,"")),"",""),""),"")</f>
        <v>6</v>
      </c>
      <c r="BC7" s="69" t="str">
        <f>IF(    AND(LEN(BC6)&gt;=2 ),        "、" &amp;  IF(OR(役男人力!$J$2:$J$84="是"),役男人力!$B7,""),  IF(OR(役男人力!$J$2:$J$84="是"),役男人力!$B7,"")  )</f>
        <v>邱昱銘</v>
      </c>
      <c r="BG7" s="70" t="s">
        <v>268</v>
      </c>
      <c r="BH7" s="63" t="str">
        <f>CONCATENATE(' 役男公式'!BG7,"：",' 役男公式'!BG8)</f>
        <v>18收：137810.13.15.20.21.23.24.25.27.28.30.31.32</v>
      </c>
    </row>
    <row r="8" spans="1:60" ht="25.5" customHeight="1" thickBot="1">
      <c r="A8" s="278">
        <v>7</v>
      </c>
      <c r="B8" s="278" t="str">
        <f>_xlfn.IFNA(  INDEX(役男大表!$A$1:$BF$95,MATCH(A8,役男大表!$A$1:$A$97,0),2),"")</f>
        <v>洪長昇</v>
      </c>
      <c r="C8" s="278" t="str">
        <f>_xlfn.IFNA(  SUBSTITUTE(     IF(  INDEX(役男大表!$A$1:$BF$95,MATCH($A8,役男大表!$A$1:$A$97,0),   MATCH(C$1,役男大表!$A$3:$BF$3,0)  )=0,"",  IF(  INDEX(役男大表!$A$1:$BF$95,MATCH($A8,役男大表!$A$1:$A$97,0),   MATCH(C$1,役男大表!$A$3:$BF$3,0)  )="榮","x",  IF(  INDEX(役男大表!$A$1:$BF$95,MATCH($A8,役男大表!$A$1:$A$97,0),   MATCH(C$1,役男大表!$A$3:$BF$3,0)  )="榮-22",  "x榮18-22",               INDEX(役男大表!$A$1:$BF$95,MATCH($A8,役男大表!$A$1:$A$97,0),   MATCH(C$1,役男大表!$A$3:$BF$3,0)  )                  )  )  )," ",""),"")</f>
        <v/>
      </c>
      <c r="D8" s="278" t="str">
        <f>_xlfn.IFNA(  SUBSTITUTE(     IF(  INDEX(役男大表!$A$1:$BF$95,MATCH($A8,役男大表!$A$1:$A$97,0),   MATCH(D$1,役男大表!$A$3:$BF$3,0)  )=0,"",  IF(  INDEX(役男大表!$A$1:$BF$95,MATCH($A8,役男大表!$A$1:$A$97,0),   MATCH(D$1,役男大表!$A$3:$BF$3,0)  )="榮","x",  IF(  INDEX(役男大表!$A$1:$BF$95,MATCH($A8,役男大表!$A$1:$A$97,0),   MATCH(D$1,役男大表!$A$3:$BF$3,0)  )="榮-22",  "x榮18-22",               INDEX(役男大表!$A$1:$BF$95,MATCH($A8,役男大表!$A$1:$A$97,0),   MATCH(D$1,役男大表!$A$3:$BF$3,0)  )                  )  )  )," ",""),"")</f>
        <v/>
      </c>
      <c r="E8" s="278" t="str">
        <f>_xlfn.IFNA(  SUBSTITUTE(     IF(  INDEX(役男大表!$A$1:$BF$95,MATCH($A8,役男大表!$A$1:$A$97,0),   MATCH(E$1,役男大表!$A$3:$BF$3,0)  )=0,"",  IF(  INDEX(役男大表!$A$1:$BF$95,MATCH($A8,役男大表!$A$1:$A$97,0),   MATCH(E$1,役男大表!$A$3:$BF$3,0)  )="榮","x",  IF(  INDEX(役男大表!$A$1:$BF$95,MATCH($A8,役男大表!$A$1:$A$97,0),   MATCH(E$1,役男大表!$A$3:$BF$3,0)  )="榮-22",  "x榮18-22",               INDEX(役男大表!$A$1:$BF$95,MATCH($A8,役男大表!$A$1:$A$97,0),   MATCH(E$1,役男大表!$A$3:$BF$3,0)  )                  )  )  )," ",""),"")</f>
        <v/>
      </c>
      <c r="F8" s="278" t="str">
        <f>_xlfn.IFNA(  SUBSTITUTE(     IF(  INDEX(役男大表!$A$1:$BF$95,MATCH($A8,役男大表!$A$1:$A$97,0),   MATCH(F$1,役男大表!$A$3:$BF$3,0)  )=0,"",  IF(  INDEX(役男大表!$A$1:$BF$95,MATCH($A8,役男大表!$A$1:$A$97,0),   MATCH(F$1,役男大表!$A$3:$BF$3,0)  )="榮","x",  IF(  INDEX(役男大表!$A$1:$BF$95,MATCH($A8,役男大表!$A$1:$A$97,0),   MATCH(F$1,役男大表!$A$3:$BF$3,0)  )="榮-22",  "x榮18-22",               INDEX(役男大表!$A$1:$BF$95,MATCH($A8,役男大表!$A$1:$A$97,0),   MATCH(F$1,役男大表!$A$3:$BF$3,0)  )                  )  )  )," ",""),"")</f>
        <v/>
      </c>
      <c r="G8" s="278" t="str">
        <f>_xlfn.IFNA(  SUBSTITUTE(     IF(  INDEX(役男大表!$A$1:$BF$95,MATCH($A8,役男大表!$A$1:$A$97,0),   MATCH(G$1,役男大表!$A$3:$BF$3,0)  )=0,"",  IF(  INDEX(役男大表!$A$1:$BF$95,MATCH($A8,役男大表!$A$1:$A$97,0),   MATCH(G$1,役男大表!$A$3:$BF$3,0)  )="榮","x",  IF(  INDEX(役男大表!$A$1:$BF$95,MATCH($A8,役男大表!$A$1:$A$97,0),   MATCH(G$1,役男大表!$A$3:$BF$3,0)  )="榮-22",  "x榮18-22",               INDEX(役男大表!$A$1:$BF$95,MATCH($A8,役男大表!$A$1:$A$97,0),   MATCH(G$1,役男大表!$A$3:$BF$3,0)  )                  )  )  )," ",""),"")</f>
        <v/>
      </c>
      <c r="H8" s="278" t="str">
        <f>_xlfn.IFNA(  SUBSTITUTE(     IF(  INDEX(役男大表!$A$1:$BF$95,MATCH($A8,役男大表!$A$1:$A$97,0),   MATCH(H$1,役男大表!$A$3:$BF$3,0)  )=0,"",  IF(  INDEX(役男大表!$A$1:$BF$95,MATCH($A8,役男大表!$A$1:$A$97,0),   MATCH(H$1,役男大表!$A$3:$BF$3,0)  )="榮","x",  IF(  INDEX(役男大表!$A$1:$BF$95,MATCH($A8,役男大表!$A$1:$A$97,0),   MATCH(H$1,役男大表!$A$3:$BF$3,0)  )="榮-22",  "x榮18-22",               INDEX(役男大表!$A$1:$BF$95,MATCH($A8,役男大表!$A$1:$A$97,0),   MATCH(H$1,役男大表!$A$3:$BF$3,0)  )                  )  )  )," ",""),"")</f>
        <v/>
      </c>
      <c r="I8" s="278" t="str">
        <f>_xlfn.IFNA(  SUBSTITUTE(     IF(  INDEX(役男大表!$A$1:$BF$95,MATCH($A8,役男大表!$A$1:$A$97,0),   MATCH(I$1,役男大表!$A$3:$BF$3,0)  )=0,"",  IF(  INDEX(役男大表!$A$1:$BF$95,MATCH($A8,役男大表!$A$1:$A$97,0),   MATCH(I$1,役男大表!$A$3:$BF$3,0)  )="榮","x",  IF(  INDEX(役男大表!$A$1:$BF$95,MATCH($A8,役男大表!$A$1:$A$97,0),   MATCH(I$1,役男大表!$A$3:$BF$3,0)  )="榮-22",  "x榮18-22",               INDEX(役男大表!$A$1:$BF$95,MATCH($A8,役男大表!$A$1:$A$97,0),   MATCH(I$1,役男大表!$A$3:$BF$3,0)  )                  )  )  )," ",""),"")</f>
        <v/>
      </c>
      <c r="J8" s="278" t="str">
        <f>_xlfn.IFNA(  SUBSTITUTE(     IF(  INDEX(役男大表!$A$1:$BF$95,MATCH($A8,役男大表!$A$1:$A$97,0),   MATCH(J$1,役男大表!$A$3:$BF$3,0)  )=0,"",  IF(  INDEX(役男大表!$A$1:$BF$95,MATCH($A8,役男大表!$A$1:$A$97,0),   MATCH(J$1,役男大表!$A$3:$BF$3,0)  )="榮","x",  IF(  INDEX(役男大表!$A$1:$BF$95,MATCH($A8,役男大表!$A$1:$A$97,0),   MATCH(J$1,役男大表!$A$3:$BF$3,0)  )="榮-22",  "x榮18-22",               INDEX(役男大表!$A$1:$BF$95,MATCH($A8,役男大表!$A$1:$A$97,0),   MATCH(J$1,役男大表!$A$3:$BF$3,0)  )                  )  )  )," ",""),"")</f>
        <v/>
      </c>
      <c r="K8" s="278" t="str">
        <f>_xlfn.IFNA(  SUBSTITUTE(     IF(  INDEX(役男大表!$A$1:$BF$95,MATCH($A8,役男大表!$A$1:$A$97,0),   MATCH(K$1,役男大表!$A$3:$BF$3,0)  )=0,"",  IF(  INDEX(役男大表!$A$1:$BF$95,MATCH($A8,役男大表!$A$1:$A$97,0),   MATCH(K$1,役男大表!$A$3:$BF$3,0)  )="榮","x",  IF(  INDEX(役男大表!$A$1:$BF$95,MATCH($A8,役男大表!$A$1:$A$97,0),   MATCH(K$1,役男大表!$A$3:$BF$3,0)  )="榮-22",  "x榮18-22",               INDEX(役男大表!$A$1:$BF$95,MATCH($A8,役男大表!$A$1:$A$97,0),   MATCH(K$1,役男大表!$A$3:$BF$3,0)  )                  )  )  )," ",""),"")</f>
        <v/>
      </c>
      <c r="L8" s="278" t="str">
        <f>_xlfn.IFNA(  SUBSTITUTE(     IF(  INDEX(役男大表!$A$1:$BF$95,MATCH($A8,役男大表!$A$1:$A$97,0),   MATCH(L$1,役男大表!$A$3:$BF$3,0)  )=0,"",  IF(  INDEX(役男大表!$A$1:$BF$95,MATCH($A8,役男大表!$A$1:$A$97,0),   MATCH(L$1,役男大表!$A$3:$BF$3,0)  )="榮","x",  IF(  INDEX(役男大表!$A$1:$BF$95,MATCH($A8,役男大表!$A$1:$A$97,0),   MATCH(L$1,役男大表!$A$3:$BF$3,0)  )="榮-22",  "x榮18-22",               INDEX(役男大表!$A$1:$BF$95,MATCH($A8,役男大表!$A$1:$A$97,0),   MATCH(L$1,役男大表!$A$3:$BF$3,0)  )                  )  )  )," ",""),"")</f>
        <v/>
      </c>
      <c r="M8" s="278" t="str">
        <f>_xlfn.IFNA(  SUBSTITUTE(     IF(  INDEX(役男大表!$A$1:$BF$95,MATCH($A8,役男大表!$A$1:$A$97,0),   MATCH(M$1,役男大表!$A$3:$BF$3,0)  )=0,"",  IF(  INDEX(役男大表!$A$1:$BF$95,MATCH($A8,役男大表!$A$1:$A$97,0),   MATCH(M$1,役男大表!$A$3:$BF$3,0)  )="榮","x",  IF(  INDEX(役男大表!$A$1:$BF$95,MATCH($A8,役男大表!$A$1:$A$97,0),   MATCH(M$1,役男大表!$A$3:$BF$3,0)  )="榮-22",  "x榮18-22",               INDEX(役男大表!$A$1:$BF$95,MATCH($A8,役男大表!$A$1:$A$97,0),   MATCH(M$1,役男大表!$A$3:$BF$3,0)  )                  )  )  )," ",""),"")</f>
        <v/>
      </c>
      <c r="N8" s="278" t="str">
        <f>_xlfn.IFNA(  SUBSTITUTE(     IF(  INDEX(役男大表!$A$1:$BF$95,MATCH($A8,役男大表!$A$1:$A$97,0),   MATCH(N$1,役男大表!$A$3:$BF$3,0)  )=0,"",  IF(  INDEX(役男大表!$A$1:$BF$95,MATCH($A8,役男大表!$A$1:$A$97,0),   MATCH(N$1,役男大表!$A$3:$BF$3,0)  )="榮","x",  IF(  INDEX(役男大表!$A$1:$BF$95,MATCH($A8,役男大表!$A$1:$A$97,0),   MATCH(N$1,役男大表!$A$3:$BF$3,0)  )="榮-22",  "x榮18-22",               INDEX(役男大表!$A$1:$BF$95,MATCH($A8,役男大表!$A$1:$A$97,0),   MATCH(N$1,役男大表!$A$3:$BF$3,0)  )                  )  )  )," ",""),"")</f>
        <v/>
      </c>
      <c r="O8" s="278" t="str">
        <f>_xlfn.IFNA(  SUBSTITUTE(     IF(  INDEX(役男大表!$A$1:$BF$95,MATCH($A8,役男大表!$A$1:$A$97,0),   MATCH(O$1,役男大表!$A$3:$BF$3,0)  )=0,"",  IF(  INDEX(役男大表!$A$1:$BF$95,MATCH($A8,役男大表!$A$1:$A$97,0),   MATCH(O$1,役男大表!$A$3:$BF$3,0)  )="榮","x",  IF(  INDEX(役男大表!$A$1:$BF$95,MATCH($A8,役男大表!$A$1:$A$97,0),   MATCH(O$1,役男大表!$A$3:$BF$3,0)  )="榮-22",  "x榮18-22",               INDEX(役男大表!$A$1:$BF$95,MATCH($A8,役男大表!$A$1:$A$97,0),   MATCH(O$1,役男大表!$A$3:$BF$3,0)  )                  )  )  )," ",""),"")</f>
        <v/>
      </c>
      <c r="P8" s="278" t="str">
        <f>_xlfn.IFNA(  SUBSTITUTE(     IF(  INDEX(役男大表!$A$1:$BF$95,MATCH($A8,役男大表!$A$1:$A$97,0),   MATCH(P$1,役男大表!$A$3:$BF$3,0)  )=0,"",  IF(  INDEX(役男大表!$A$1:$BF$95,MATCH($A8,役男大表!$A$1:$A$97,0),   MATCH(P$1,役男大表!$A$3:$BF$3,0)  )="榮","x",  IF(  INDEX(役男大表!$A$1:$BF$95,MATCH($A8,役男大表!$A$1:$A$97,0),   MATCH(P$1,役男大表!$A$3:$BF$3,0)  )="榮-22",  "x榮18-22",               INDEX(役男大表!$A$1:$BF$95,MATCH($A8,役男大表!$A$1:$A$97,0),   MATCH(P$1,役男大表!$A$3:$BF$3,0)  )                  )  )  )," ",""),"")</f>
        <v/>
      </c>
      <c r="Q8" s="278" t="str">
        <f>_xlfn.IFNA(  SUBSTITUTE(     IF(  INDEX(役男大表!$A$1:$BF$95,MATCH($A8,役男大表!$A$1:$A$97,0),   MATCH(Q$1,役男大表!$A$3:$BF$3,0)  )=0,"",  IF(  INDEX(役男大表!$A$1:$BF$95,MATCH($A8,役男大表!$A$1:$A$97,0),   MATCH(Q$1,役男大表!$A$3:$BF$3,0)  )="榮","x",  IF(  INDEX(役男大表!$A$1:$BF$95,MATCH($A8,役男大表!$A$1:$A$97,0),   MATCH(Q$1,役男大表!$A$3:$BF$3,0)  )="榮-22",  "x榮18-22",               INDEX(役男大表!$A$1:$BF$95,MATCH($A8,役男大表!$A$1:$A$97,0),   MATCH(Q$1,役男大表!$A$3:$BF$3,0)  )                  )  )  )," ",""),"")</f>
        <v/>
      </c>
      <c r="R8" s="278" t="str">
        <f>_xlfn.IFNA(  SUBSTITUTE(     IF(  INDEX(役男大表!$A$1:$BF$95,MATCH($A8,役男大表!$A$1:$A$97,0),   MATCH(R$1,役男大表!$A$3:$BF$3,0)  )=0,"",  IF(  INDEX(役男大表!$A$1:$BF$95,MATCH($A8,役男大表!$A$1:$A$97,0),   MATCH(R$1,役男大表!$A$3:$BF$3,0)  )="榮","x",  IF(  INDEX(役男大表!$A$1:$BF$95,MATCH($A8,役男大表!$A$1:$A$97,0),   MATCH(R$1,役男大表!$A$3:$BF$3,0)  )="榮-22",  "x榮18-22",               INDEX(役男大表!$A$1:$BF$95,MATCH($A8,役男大表!$A$1:$A$97,0),   MATCH(R$1,役男大表!$A$3:$BF$3,0)  )                  )  )  )," ",""),"")</f>
        <v/>
      </c>
      <c r="S8" s="278" t="str">
        <f>_xlfn.IFNA(  SUBSTITUTE(     IF(  INDEX(役男大表!$A$1:$BF$95,MATCH($A8,役男大表!$A$1:$A$97,0),   MATCH(S$1,役男大表!$A$3:$BF$3,0)  )=0,"",  IF(  INDEX(役男大表!$A$1:$BF$95,MATCH($A8,役男大表!$A$1:$A$97,0),   MATCH(S$1,役男大表!$A$3:$BF$3,0)  )="榮","x",  IF(  INDEX(役男大表!$A$1:$BF$95,MATCH($A8,役男大表!$A$1:$A$97,0),   MATCH(S$1,役男大表!$A$3:$BF$3,0)  )="榮-22",  "x榮18-22",               INDEX(役男大表!$A$1:$BF$95,MATCH($A8,役男大表!$A$1:$A$97,0),   MATCH(S$1,役男大表!$A$3:$BF$3,0)  )                  )  )  )," ",""),"")</f>
        <v/>
      </c>
      <c r="T8" s="278" t="str">
        <f>_xlfn.IFNA(  SUBSTITUTE(     IF(  INDEX(役男大表!$A$1:$BF$95,MATCH($A8,役男大表!$A$1:$A$97,0),   MATCH(T$1,役男大表!$A$3:$BF$3,0)  )=0,"",  IF(  INDEX(役男大表!$A$1:$BF$95,MATCH($A8,役男大表!$A$1:$A$97,0),   MATCH(T$1,役男大表!$A$3:$BF$3,0)  )="榮","x",  IF(  INDEX(役男大表!$A$1:$BF$95,MATCH($A8,役男大表!$A$1:$A$97,0),   MATCH(T$1,役男大表!$A$3:$BF$3,0)  )="榮-22",  "x榮18-22",               INDEX(役男大表!$A$1:$BF$95,MATCH($A8,役男大表!$A$1:$A$97,0),   MATCH(T$1,役男大表!$A$3:$BF$3,0)  )                  )  )  )," ",""),"")</f>
        <v/>
      </c>
      <c r="U8" s="278" t="str">
        <f>_xlfn.IFNA(  SUBSTITUTE(     IF(  INDEX(役男大表!$A$1:$BF$95,MATCH($A8,役男大表!$A$1:$A$97,0),   MATCH(U$1,役男大表!$A$3:$BF$3,0)  )=0,"",  IF(  INDEX(役男大表!$A$1:$BF$95,MATCH($A8,役男大表!$A$1:$A$97,0),   MATCH(U$1,役男大表!$A$3:$BF$3,0)  )="榮","x",  IF(  INDEX(役男大表!$A$1:$BF$95,MATCH($A8,役男大表!$A$1:$A$97,0),   MATCH(U$1,役男大表!$A$3:$BF$3,0)  )="榮-22",  "x榮18-22",               INDEX(役男大表!$A$1:$BF$95,MATCH($A8,役男大表!$A$1:$A$97,0),   MATCH(U$1,役男大表!$A$3:$BF$3,0)  )                  )  )  )," ",""),"")</f>
        <v/>
      </c>
      <c r="V8" s="278" t="str">
        <f>_xlfn.IFNA(  SUBSTITUTE(     IF(  INDEX(役男大表!$A$1:$BF$95,MATCH($A8,役男大表!$A$1:$A$97,0),   MATCH(V$1,役男大表!$A$3:$BF$3,0)  )=0,"",  IF(  INDEX(役男大表!$A$1:$BF$95,MATCH($A8,役男大表!$A$1:$A$97,0),   MATCH(V$1,役男大表!$A$3:$BF$3,0)  )="榮","x",  IF(  INDEX(役男大表!$A$1:$BF$95,MATCH($A8,役男大表!$A$1:$A$97,0),   MATCH(V$1,役男大表!$A$3:$BF$3,0)  )="榮-22",  "x榮18-22",               INDEX(役男大表!$A$1:$BF$95,MATCH($A8,役男大表!$A$1:$A$97,0),   MATCH(V$1,役男大表!$A$3:$BF$3,0)  )                  )  )  )," ",""),"")</f>
        <v/>
      </c>
      <c r="W8" s="278" t="str">
        <f>_xlfn.IFNA(  SUBSTITUTE(     IF(  INDEX(役男大表!$A$1:$BF$95,MATCH($A8,役男大表!$A$1:$A$97,0),   MATCH(W$1,役男大表!$A$3:$BF$3,0)  )=0,"",  IF(  INDEX(役男大表!$A$1:$BF$95,MATCH($A8,役男大表!$A$1:$A$97,0),   MATCH(W$1,役男大表!$A$3:$BF$3,0)  )="榮","x",  IF(  INDEX(役男大表!$A$1:$BF$95,MATCH($A8,役男大表!$A$1:$A$97,0),   MATCH(W$1,役男大表!$A$3:$BF$3,0)  )="榮-22",  "x榮18-22",               INDEX(役男大表!$A$1:$BF$95,MATCH($A8,役男大表!$A$1:$A$97,0),   MATCH(W$1,役男大表!$A$3:$BF$3,0)  )                  )  )  )," ",""),"")</f>
        <v/>
      </c>
      <c r="X8" s="278" t="str">
        <f>_xlfn.IFNA(  SUBSTITUTE(     IF(  INDEX(役男大表!$A$1:$BF$95,MATCH($A8,役男大表!$A$1:$A$97,0),   MATCH(X$1,役男大表!$A$3:$BF$3,0)  )=0,"",  IF(  INDEX(役男大表!$A$1:$BF$95,MATCH($A8,役男大表!$A$1:$A$97,0),   MATCH(X$1,役男大表!$A$3:$BF$3,0)  )="榮","x",  IF(  INDEX(役男大表!$A$1:$BF$95,MATCH($A8,役男大表!$A$1:$A$97,0),   MATCH(X$1,役男大表!$A$3:$BF$3,0)  )="榮-22",  "x榮18-22",               INDEX(役男大表!$A$1:$BF$95,MATCH($A8,役男大表!$A$1:$A$97,0),   MATCH(X$1,役男大表!$A$3:$BF$3,0)  )                  )  )  )," ",""),"")</f>
        <v/>
      </c>
      <c r="Y8" s="278" t="str">
        <f>_xlfn.IFNA(  SUBSTITUTE(     IF(  INDEX(役男大表!$A$1:$BF$95,MATCH($A8,役男大表!$A$1:$A$97,0),   MATCH(Y$1,役男大表!$A$3:$BF$3,0)  )=0,"",  IF(  INDEX(役男大表!$A$1:$BF$95,MATCH($A8,役男大表!$A$1:$A$97,0),   MATCH(Y$1,役男大表!$A$3:$BF$3,0)  )="榮","x",  IF(  INDEX(役男大表!$A$1:$BF$95,MATCH($A8,役男大表!$A$1:$A$97,0),   MATCH(Y$1,役男大表!$A$3:$BF$3,0)  )="榮-22",  "x榮18-22",               INDEX(役男大表!$A$1:$BF$95,MATCH($A8,役男大表!$A$1:$A$97,0),   MATCH(Y$1,役男大表!$A$3:$BF$3,0)  )                  )  )  )," ",""),"")</f>
        <v/>
      </c>
      <c r="Z8" s="278" t="str">
        <f>_xlfn.IFNA(  SUBSTITUTE(     IF(  INDEX(役男大表!$A$1:$BF$95,MATCH($A8,役男大表!$A$1:$A$97,0),   MATCH(Z$1,役男大表!$A$3:$BF$3,0)  )=0,"",  IF(  INDEX(役男大表!$A$1:$BF$95,MATCH($A8,役男大表!$A$1:$A$97,0),   MATCH(Z$1,役男大表!$A$3:$BF$3,0)  )="榮","x",  IF(  INDEX(役男大表!$A$1:$BF$95,MATCH($A8,役男大表!$A$1:$A$97,0),   MATCH(Z$1,役男大表!$A$3:$BF$3,0)  )="榮-22",  "x榮18-22",               INDEX(役男大表!$A$1:$BF$95,MATCH($A8,役男大表!$A$1:$A$97,0),   MATCH(Z$1,役男大表!$A$3:$BF$3,0)  )                  )  )  )," ",""),"")</f>
        <v/>
      </c>
      <c r="AA8" s="278" t="str">
        <f>_xlfn.IFNA(  SUBSTITUTE(     IF(  INDEX(役男大表!$A$1:$BF$95,MATCH($A8,役男大表!$A$1:$A$97,0),   MATCH(AA$1,役男大表!$A$3:$BF$3,0)  )=0,"",  IF(  INDEX(役男大表!$A$1:$BF$95,MATCH($A8,役男大表!$A$1:$A$97,0),   MATCH(AA$1,役男大表!$A$3:$BF$3,0)  )="榮","x",  IF(  INDEX(役男大表!$A$1:$BF$95,MATCH($A8,役男大表!$A$1:$A$97,0),   MATCH(AA$1,役男大表!$A$3:$BF$3,0)  )="榮-22",  "x榮18-22",               INDEX(役男大表!$A$1:$BF$95,MATCH($A8,役男大表!$A$1:$A$97,0),   MATCH(AA$1,役男大表!$A$3:$BF$3,0)  )                  )  )  )," ",""),"")</f>
        <v/>
      </c>
      <c r="AB8" s="278" t="str">
        <f>_xlfn.IFNA(  SUBSTITUTE(     IF(  INDEX(役男大表!$A$1:$BF$95,MATCH($A8,役男大表!$A$1:$A$97,0),   MATCH(AB$1,役男大表!$A$3:$BF$3,0)  )=0,"",  IF(  INDEX(役男大表!$A$1:$BF$95,MATCH($A8,役男大表!$A$1:$A$97,0),   MATCH(AB$1,役男大表!$A$3:$BF$3,0)  )="榮","x",  IF(  INDEX(役男大表!$A$1:$BF$95,MATCH($A8,役男大表!$A$1:$A$97,0),   MATCH(AB$1,役男大表!$A$3:$BF$3,0)  )="榮-22",  "x榮18-22",               INDEX(役男大表!$A$1:$BF$95,MATCH($A8,役男大表!$A$1:$A$97,0),   MATCH(AB$1,役男大表!$A$3:$BF$3,0)  )                  )  )  )," ",""),"")</f>
        <v/>
      </c>
      <c r="AC8" s="278" t="str">
        <f>_xlfn.IFNA(  SUBSTITUTE(     IF(  INDEX(役男大表!$A$1:$BF$95,MATCH($A8,役男大表!$A$1:$A$97,0),   MATCH(AC$1,役男大表!$A$3:$BF$3,0)  )=0,"",  IF(  INDEX(役男大表!$A$1:$BF$95,MATCH($A8,役男大表!$A$1:$A$97,0),   MATCH(AC$1,役男大表!$A$3:$BF$3,0)  )="榮","x",  IF(  INDEX(役男大表!$A$1:$BF$95,MATCH($A8,役男大表!$A$1:$A$97,0),   MATCH(AC$1,役男大表!$A$3:$BF$3,0)  )="榮-22",  "x榮18-22",               INDEX(役男大表!$A$1:$BF$95,MATCH($A8,役男大表!$A$1:$A$97,0),   MATCH(AC$1,役男大表!$A$3:$BF$3,0)  )                  )  )  )," ",""),"")</f>
        <v/>
      </c>
      <c r="AD8" s="278" t="str">
        <f>_xlfn.IFNA(  SUBSTITUTE(     IF(  INDEX(役男大表!$A$1:$BF$95,MATCH($A8,役男大表!$A$1:$A$97,0),   MATCH(AD$1,役男大表!$A$3:$BF$3,0)  )=0,"",  IF(  INDEX(役男大表!$A$1:$BF$95,MATCH($A8,役男大表!$A$1:$A$97,0),   MATCH(AD$1,役男大表!$A$3:$BF$3,0)  )="榮","x",  IF(  INDEX(役男大表!$A$1:$BF$95,MATCH($A8,役男大表!$A$1:$A$97,0),   MATCH(AD$1,役男大表!$A$3:$BF$3,0)  )="榮-22",  "x榮18-22",               INDEX(役男大表!$A$1:$BF$95,MATCH($A8,役男大表!$A$1:$A$97,0),   MATCH(AD$1,役男大表!$A$3:$BF$3,0)  )                  )  )  )," ",""),"")</f>
        <v/>
      </c>
      <c r="AE8" s="278" t="str">
        <f>_xlfn.IFNA(  SUBSTITUTE(     IF(  INDEX(役男大表!$A$1:$BF$95,MATCH($A8,役男大表!$A$1:$A$97,0),   MATCH(AE$1,役男大表!$A$3:$BF$3,0)  )=0,"",  IF(  INDEX(役男大表!$A$1:$BF$95,MATCH($A8,役男大表!$A$1:$A$97,0),   MATCH(AE$1,役男大表!$A$3:$BF$3,0)  )="榮","x",  IF(  INDEX(役男大表!$A$1:$BF$95,MATCH($A8,役男大表!$A$1:$A$97,0),   MATCH(AE$1,役男大表!$A$3:$BF$3,0)  )="榮-22",  "x榮18-22",               INDEX(役男大表!$A$1:$BF$95,MATCH($A8,役男大表!$A$1:$A$97,0),   MATCH(AE$1,役男大表!$A$3:$BF$3,0)  )                  )  )  )," ",""),"")</f>
        <v/>
      </c>
      <c r="AF8" s="278" t="str">
        <f>_xlfn.IFNA(  SUBSTITUTE(     IF(  INDEX(役男大表!$A$1:$BF$95,MATCH($A8,役男大表!$A$1:$A$97,0),   MATCH(AF$1,役男大表!$A$3:$BF$3,0)  )=0,"",  IF(  INDEX(役男大表!$A$1:$BF$95,MATCH($A8,役男大表!$A$1:$A$97,0),   MATCH(AF$1,役男大表!$A$3:$BF$3,0)  )="榮","x",  IF(  INDEX(役男大表!$A$1:$BF$95,MATCH($A8,役男大表!$A$1:$A$97,0),   MATCH(AF$1,役男大表!$A$3:$BF$3,0)  )="榮-22",  "x榮18-22",               INDEX(役男大表!$A$1:$BF$95,MATCH($A8,役男大表!$A$1:$A$97,0),   MATCH(AF$1,役男大表!$A$3:$BF$3,0)  )                  )  )  )," ",""),"")</f>
        <v/>
      </c>
      <c r="AG8" s="278" t="str">
        <f>_xlfn.IFNA(  SUBSTITUTE(     IF(  INDEX(役男大表!$A$1:$BF$95,MATCH($A8,役男大表!$A$1:$A$97,0),   MATCH(AG$1,役男大表!$A$3:$BF$3,0)  )=0,"",  IF(  INDEX(役男大表!$A$1:$BF$95,MATCH($A8,役男大表!$A$1:$A$97,0),   MATCH(AG$1,役男大表!$A$3:$BF$3,0)  )="榮","x",  IF(  INDEX(役男大表!$A$1:$BF$95,MATCH($A8,役男大表!$A$1:$A$97,0),   MATCH(AG$1,役男大表!$A$3:$BF$3,0)  )="榮-22",  "x榮18-22",               INDEX(役男大表!$A$1:$BF$95,MATCH($A8,役男大表!$A$1:$A$97,0),   MATCH(AG$1,役男大表!$A$3:$BF$3,0)  )                  )  )  )," ",""),"")</f>
        <v>x</v>
      </c>
      <c r="AH8" s="278" t="str">
        <f>_xlfn.IFNA(  SUBSTITUTE(     IF(  INDEX(役男大表!$A$1:$BF$95,MATCH($A8,役男大表!$A$1:$A$97,0),   MATCH(AH$1,役男大表!$A$3:$BF$3,0)  )=0,"",  IF(  INDEX(役男大表!$A$1:$BF$95,MATCH($A8,役男大表!$A$1:$A$97,0),   MATCH(AH$1,役男大表!$A$3:$BF$3,0)  )="榮","x",  IF(  INDEX(役男大表!$A$1:$BF$95,MATCH($A8,役男大表!$A$1:$A$97,0),   MATCH(AH$1,役男大表!$A$3:$BF$3,0)  )="榮-22",  "x榮18-22",               INDEX(役男大表!$A$1:$BF$95,MATCH($A8,役男大表!$A$1:$A$97,0),   MATCH(AH$1,役男大表!$A$3:$BF$3,0)  )                  )  )  )," ",""),"")</f>
        <v/>
      </c>
      <c r="AI8" s="278" t="str">
        <f>_xlfn.IFNA(  SUBSTITUTE(     IF(  INDEX(役男大表!$A$1:$BF$95,MATCH($A8,役男大表!$A$1:$A$97,0),   MATCH(AI$1,役男大表!$A$3:$BF$3,0)  )=0,"",  IF(  INDEX(役男大表!$A$1:$BF$95,MATCH($A8,役男大表!$A$1:$A$97,0),   MATCH(AI$1,役男大表!$A$3:$BF$3,0)  )="榮","x",  IF(  INDEX(役男大表!$A$1:$BF$95,MATCH($A8,役男大表!$A$1:$A$97,0),   MATCH(AI$1,役男大表!$A$3:$BF$3,0)  )="榮-22",  "x榮18-22",               INDEX(役男大表!$A$1:$BF$95,MATCH($A8,役男大表!$A$1:$A$97,0),   MATCH(AI$1,役男大表!$A$3:$BF$3,0)  )                  )  )  )," ",""),"")</f>
        <v/>
      </c>
      <c r="AJ8" s="278" t="str">
        <f>_xlfn.IFNA(  SUBSTITUTE(     IF(  INDEX(役男大表!$A$1:$BF$95,MATCH($A8,役男大表!$A$1:$A$97,0),   MATCH(AJ$1,役男大表!$A$3:$BF$3,0)  )=0,"",  IF(  INDEX(役男大表!$A$1:$BF$95,MATCH($A8,役男大表!$A$1:$A$97,0),   MATCH(AJ$1,役男大表!$A$3:$BF$3,0)  )="榮","x",  IF(  INDEX(役男大表!$A$1:$BF$95,MATCH($A8,役男大表!$A$1:$A$97,0),   MATCH(AJ$1,役男大表!$A$3:$BF$3,0)  )="榮-22",  "x榮18-22",               INDEX(役男大表!$A$1:$BF$95,MATCH($A8,役男大表!$A$1:$A$97,0),   MATCH(AJ$1,役男大表!$A$3:$BF$3,0)  )                  )  )  )," ",""),"")</f>
        <v/>
      </c>
      <c r="AM8" s="66">
        <f t="shared" si="1"/>
        <v>7</v>
      </c>
      <c r="AN8" s="66" t="str">
        <f t="shared" si="2"/>
        <v>洪長昇</v>
      </c>
      <c r="AO8" s="71" t="str">
        <f>IF(  AND(  INDEX(   $A$42:$AJ$79, MATCH(AM8,$A$42:$A$79,0),MATCH(  日期輸入!$C$3,$A$42:$AL$42,0  )  )="全日勤",  AV8="免"  ),  "全日勤免勤教",  IF(  AND(  INDEX(   $A$42:$AJ$79, MATCH(AM8,$A$42:$A$79,0),MATCH(  日期輸入!$C$3,$A$42:$AL$42,0  )  )="18放",  AV8="免"  ),  "18放早走",  INDEX(   $A$42:$AJ$79, MATCH(AM8,$A$42:$A$79,0),MATCH(  日期輸入!$C$3,$A$42:$AL$42,0  )  )  )  )</f>
        <v>18收</v>
      </c>
      <c r="AP8" s="66" t="str">
        <f>_xlfn.IFNA(IF((ROW(AP8)-1)&lt;=暫1!$B$2,IF(VALUE($AM8)=暫1!B$3,"家因",IF(VALUE($AM8)=暫1!C$3,"家因",IF(VALUE($AM8)=暫1!D$3,"家因",IF(VALUE($AM8)=暫1!E$3,"家因",IF(VALUE($AM8)=暫1!F$3,"家因",IF(VALUE($AM8)=暫1!G$3,"家因",IF(VALUE($AM8)=暫1!H$3,"家因",IF(VALUE($AM8)=暫1!I$3,"家因",IF(VALUE($AM8)=暫1!J$3,"家因",IF(VALUE($AM8)=暫1!K$3,"家因",IF(VALUE($AM8)=暫1!L$3,"家因",IF(VALUE($AM8)=暫1!M$3,"家因",IF(VALUE($AM8)=暫1!N$3,"家因",IF(VALUE($AM8)=暫1!O$3,"家因",IF(VALUE($AM8)=暫1!P$3,"家因",IF(VALUE($AM8)=暫1!Q$3,"家因",IF(VALUE($AM8)=暫1!R$3,"家因",IF(VALUE($AM8)=暫1!S$3,"家因",IF(VALUE($AM8)=暫1!T$3,"家因",IF(VALUE($AM8)=暫1!U$3,"家因","")))))))))))))))))))),""),"")</f>
        <v/>
      </c>
      <c r="AQ8" s="66" t="str">
        <f>IF((ROW(AQ8)-1)&lt;=暫1!$B$2,_xlfn.IFNA(IF(INDEX($A$1:$AJ$41,MATCH($AN8,$B$1:$B$101,0),VALUE($AQ$1+3))="成","補",INDEX($A$1:$AJ$41,MATCH($AN8,$B$1:$B$101,0),VALUE($AQ$1+3))),""),"")</f>
        <v>x</v>
      </c>
      <c r="AR8" s="66" t="str">
        <f>IF((ROW(AR8)-1)&lt;=暫1!$B$2,_xlfn.IFNA(IF(INDEX($A$1:$AJ$41,MATCH($AN8,$B$1:$B$101,0),VALUE($AR$1+3))="成","補",INDEX($A$1:$AJ$41,MATCH($AN8,$B$1:$B$101,0),VALUE($AR$1+3))),""),"")</f>
        <v/>
      </c>
      <c r="AS8" s="66" t="str">
        <f>IF((ROW(AS8)-1)&lt;=暫1!$B$2,_xlfn.IFNA(IF(INDEX($A$1:$AJ$41,MATCH($AN8,$B$1:$B$101,0),VALUE($AS$1+3))="成","補",INDEX($A$1:$AJ$41,MATCH($AN8,$B$1:$B$101,0),VALUE($AS$1+3))),""),"")</f>
        <v/>
      </c>
      <c r="AT8" s="66" t="str">
        <f>IF(  OR(  LEN(  INDEX(   $A$1:$AJ$39, MATCH(AM8,$A$1:$A$39,0),MATCH(  日期輸入!$C$3,$A$1:$AP$1,0  )  )  )&gt;LEN(  SUBSTITUTE(  INDEX(   $A$1:$AJ$39, MATCH(AM8,$A$1:$A$39,0),MATCH(  日期輸入!$C$3,$A$1:$AP$1,0  )  ),"榮","")  )  ),   SUBSTITUTE(  SUBSTITUTE(  INDEX(   $A$1:$AJ$39, MATCH(AM8,$A$1:$A$39,0),MATCH(  日期輸入!$C$3,$A$1:$AP$1,0  )  ),"榮",""),"x",""), "")</f>
        <v/>
      </c>
      <c r="AU8" s="66" t="str">
        <f t="shared" si="3"/>
        <v/>
      </c>
      <c r="AV8" s="66" t="str">
        <f>INDEX(   $A$482:$AJ$519, MATCH(AM8,$A$482:$A$519,0),MATCH(  日期輸入!$C$3,$A$482:$AL$482,0  )  )</f>
        <v/>
      </c>
      <c r="AX8" s="66" t="str">
        <f>IFERROR(IF((ROW(AX8)-1)&lt;=暫1!$B$2,SUBSTITUTE(IF($AO8=$AX$1,$AM8,"")," ",""),""),"")</f>
        <v/>
      </c>
      <c r="AY8" s="66" t="str">
        <f>IFERROR(IF((ROW(AY8)-1)&lt;=暫1!$B$2,SUBSTITUTE(IF($AO8=$AY$1,$AM8,"")," ",""),""),"")</f>
        <v/>
      </c>
      <c r="AZ8" s="66" t="str">
        <f>IFERROR(IF((ROW(AZ8)-1)&lt;=暫1!$B$2,SUBSTITUTE(IF($AO8=$AZ$1,$AM8,"")," ",""),""),"")</f>
        <v/>
      </c>
      <c r="BA8" s="66" t="str">
        <f>IFERROR(IF((ROW(BA8)-1)&lt;=暫1!$B$2,SUBSTITUTE(IF($AO8=$BA$1,$AM8,"")," ",""),""),"")</f>
        <v>7</v>
      </c>
      <c r="BB8" s="69" t="str">
        <f>IFERROR(IF((ROW(BB8)-1)&lt;=暫1!$B$2,SUBSTITUTE(IF(OR($AO8=$BB$1,$AO8=$AY$1,$AO8=$AZ$1),$AM8,IF($AO8=$AY$1,$AM8,"")),"",""),""),"")</f>
        <v/>
      </c>
      <c r="BC8" s="69" t="str">
        <f>IF(    AND(LEN(BC7)&gt;=2 ),        "、" &amp;  IF(OR(役男人力!$J$2:$J$84="是"),役男人力!$B8,""),  IF(OR(役男人力!$J$2:$J$84="是"),役男人力!$B8,"")  )</f>
        <v>、</v>
      </c>
      <c r="BG8" s="72" t="str">
        <f>INDEX(   A122:AJ159, 38,MATCH(  日期輸入!$C$3,A122:AP122,0  )  )</f>
        <v>137810.13.15.20.21.23.24.25.27.28.30.31.32</v>
      </c>
    </row>
    <row r="9" spans="1:60" ht="25.5" customHeight="1">
      <c r="A9" s="278">
        <v>8</v>
      </c>
      <c r="B9" s="278" t="str">
        <f>_xlfn.IFNA(  INDEX(役男大表!$A$1:$BF$95,MATCH(A9,役男大表!$A$1:$A$97,0),2),"")</f>
        <v>許翊呈</v>
      </c>
      <c r="C9" s="278" t="str">
        <f>_xlfn.IFNA(  SUBSTITUTE(     IF(  INDEX(役男大表!$A$1:$BF$95,MATCH($A9,役男大表!$A$1:$A$97,0),   MATCH(C$1,役男大表!$A$3:$BF$3,0)  )=0,"",  IF(  INDEX(役男大表!$A$1:$BF$95,MATCH($A9,役男大表!$A$1:$A$97,0),   MATCH(C$1,役男大表!$A$3:$BF$3,0)  )="榮","x",  IF(  INDEX(役男大表!$A$1:$BF$95,MATCH($A9,役男大表!$A$1:$A$97,0),   MATCH(C$1,役男大表!$A$3:$BF$3,0)  )="榮-22",  "x榮18-22",               INDEX(役男大表!$A$1:$BF$95,MATCH($A9,役男大表!$A$1:$A$97,0),   MATCH(C$1,役男大表!$A$3:$BF$3,0)  )                  )  )  )," ",""),"")</f>
        <v/>
      </c>
      <c r="D9" s="278" t="str">
        <f>_xlfn.IFNA(  SUBSTITUTE(     IF(  INDEX(役男大表!$A$1:$BF$95,MATCH($A9,役男大表!$A$1:$A$97,0),   MATCH(D$1,役男大表!$A$3:$BF$3,0)  )=0,"",  IF(  INDEX(役男大表!$A$1:$BF$95,MATCH($A9,役男大表!$A$1:$A$97,0),   MATCH(D$1,役男大表!$A$3:$BF$3,0)  )="榮","x",  IF(  INDEX(役男大表!$A$1:$BF$95,MATCH($A9,役男大表!$A$1:$A$97,0),   MATCH(D$1,役男大表!$A$3:$BF$3,0)  )="榮-22",  "x榮18-22",               INDEX(役男大表!$A$1:$BF$95,MATCH($A9,役男大表!$A$1:$A$97,0),   MATCH(D$1,役男大表!$A$3:$BF$3,0)  )                  )  )  )," ",""),"")</f>
        <v/>
      </c>
      <c r="E9" s="278" t="str">
        <f>_xlfn.IFNA(  SUBSTITUTE(     IF(  INDEX(役男大表!$A$1:$BF$95,MATCH($A9,役男大表!$A$1:$A$97,0),   MATCH(E$1,役男大表!$A$3:$BF$3,0)  )=0,"",  IF(  INDEX(役男大表!$A$1:$BF$95,MATCH($A9,役男大表!$A$1:$A$97,0),   MATCH(E$1,役男大表!$A$3:$BF$3,0)  )="榮","x",  IF(  INDEX(役男大表!$A$1:$BF$95,MATCH($A9,役男大表!$A$1:$A$97,0),   MATCH(E$1,役男大表!$A$3:$BF$3,0)  )="榮-22",  "x榮18-22",               INDEX(役男大表!$A$1:$BF$95,MATCH($A9,役男大表!$A$1:$A$97,0),   MATCH(E$1,役男大表!$A$3:$BF$3,0)  )                  )  )  )," ",""),"")</f>
        <v/>
      </c>
      <c r="F9" s="278" t="str">
        <f>_xlfn.IFNA(  SUBSTITUTE(     IF(  INDEX(役男大表!$A$1:$BF$95,MATCH($A9,役男大表!$A$1:$A$97,0),   MATCH(F$1,役男大表!$A$3:$BF$3,0)  )=0,"",  IF(  INDEX(役男大表!$A$1:$BF$95,MATCH($A9,役男大表!$A$1:$A$97,0),   MATCH(F$1,役男大表!$A$3:$BF$3,0)  )="榮","x",  IF(  INDEX(役男大表!$A$1:$BF$95,MATCH($A9,役男大表!$A$1:$A$97,0),   MATCH(F$1,役男大表!$A$3:$BF$3,0)  )="榮-22",  "x榮18-22",               INDEX(役男大表!$A$1:$BF$95,MATCH($A9,役男大表!$A$1:$A$97,0),   MATCH(F$1,役男大表!$A$3:$BF$3,0)  )                  )  )  )," ",""),"")</f>
        <v/>
      </c>
      <c r="G9" s="278" t="str">
        <f>_xlfn.IFNA(  SUBSTITUTE(     IF(  INDEX(役男大表!$A$1:$BF$95,MATCH($A9,役男大表!$A$1:$A$97,0),   MATCH(G$1,役男大表!$A$3:$BF$3,0)  )=0,"",  IF(  INDEX(役男大表!$A$1:$BF$95,MATCH($A9,役男大表!$A$1:$A$97,0),   MATCH(G$1,役男大表!$A$3:$BF$3,0)  )="榮","x",  IF(  INDEX(役男大表!$A$1:$BF$95,MATCH($A9,役男大表!$A$1:$A$97,0),   MATCH(G$1,役男大表!$A$3:$BF$3,0)  )="榮-22",  "x榮18-22",               INDEX(役男大表!$A$1:$BF$95,MATCH($A9,役男大表!$A$1:$A$97,0),   MATCH(G$1,役男大表!$A$3:$BF$3,0)  )                  )  )  )," ",""),"")</f>
        <v/>
      </c>
      <c r="H9" s="278" t="str">
        <f>_xlfn.IFNA(  SUBSTITUTE(     IF(  INDEX(役男大表!$A$1:$BF$95,MATCH($A9,役男大表!$A$1:$A$97,0),   MATCH(H$1,役男大表!$A$3:$BF$3,0)  )=0,"",  IF(  INDEX(役男大表!$A$1:$BF$95,MATCH($A9,役男大表!$A$1:$A$97,0),   MATCH(H$1,役男大表!$A$3:$BF$3,0)  )="榮","x",  IF(  INDEX(役男大表!$A$1:$BF$95,MATCH($A9,役男大表!$A$1:$A$97,0),   MATCH(H$1,役男大表!$A$3:$BF$3,0)  )="榮-22",  "x榮18-22",               INDEX(役男大表!$A$1:$BF$95,MATCH($A9,役男大表!$A$1:$A$97,0),   MATCH(H$1,役男大表!$A$3:$BF$3,0)  )                  )  )  )," ",""),"")</f>
        <v/>
      </c>
      <c r="I9" s="278" t="str">
        <f>_xlfn.IFNA(  SUBSTITUTE(     IF(  INDEX(役男大表!$A$1:$BF$95,MATCH($A9,役男大表!$A$1:$A$97,0),   MATCH(I$1,役男大表!$A$3:$BF$3,0)  )=0,"",  IF(  INDEX(役男大表!$A$1:$BF$95,MATCH($A9,役男大表!$A$1:$A$97,0),   MATCH(I$1,役男大表!$A$3:$BF$3,0)  )="榮","x",  IF(  INDEX(役男大表!$A$1:$BF$95,MATCH($A9,役男大表!$A$1:$A$97,0),   MATCH(I$1,役男大表!$A$3:$BF$3,0)  )="榮-22",  "x榮18-22",               INDEX(役男大表!$A$1:$BF$95,MATCH($A9,役男大表!$A$1:$A$97,0),   MATCH(I$1,役男大表!$A$3:$BF$3,0)  )                  )  )  )," ",""),"")</f>
        <v/>
      </c>
      <c r="J9" s="278" t="str">
        <f>_xlfn.IFNA(  SUBSTITUTE(     IF(  INDEX(役男大表!$A$1:$BF$95,MATCH($A9,役男大表!$A$1:$A$97,0),   MATCH(J$1,役男大表!$A$3:$BF$3,0)  )=0,"",  IF(  INDEX(役男大表!$A$1:$BF$95,MATCH($A9,役男大表!$A$1:$A$97,0),   MATCH(J$1,役男大表!$A$3:$BF$3,0)  )="榮","x",  IF(  INDEX(役男大表!$A$1:$BF$95,MATCH($A9,役男大表!$A$1:$A$97,0),   MATCH(J$1,役男大表!$A$3:$BF$3,0)  )="榮-22",  "x榮18-22",               INDEX(役男大表!$A$1:$BF$95,MATCH($A9,役男大表!$A$1:$A$97,0),   MATCH(J$1,役男大表!$A$3:$BF$3,0)  )                  )  )  )," ",""),"")</f>
        <v/>
      </c>
      <c r="K9" s="278" t="str">
        <f>_xlfn.IFNA(  SUBSTITUTE(     IF(  INDEX(役男大表!$A$1:$BF$95,MATCH($A9,役男大表!$A$1:$A$97,0),   MATCH(K$1,役男大表!$A$3:$BF$3,0)  )=0,"",  IF(  INDEX(役男大表!$A$1:$BF$95,MATCH($A9,役男大表!$A$1:$A$97,0),   MATCH(K$1,役男大表!$A$3:$BF$3,0)  )="榮","x",  IF(  INDEX(役男大表!$A$1:$BF$95,MATCH($A9,役男大表!$A$1:$A$97,0),   MATCH(K$1,役男大表!$A$3:$BF$3,0)  )="榮-22",  "x榮18-22",               INDEX(役男大表!$A$1:$BF$95,MATCH($A9,役男大表!$A$1:$A$97,0),   MATCH(K$1,役男大表!$A$3:$BF$3,0)  )                  )  )  )," ",""),"")</f>
        <v/>
      </c>
      <c r="L9" s="278" t="str">
        <f>_xlfn.IFNA(  SUBSTITUTE(     IF(  INDEX(役男大表!$A$1:$BF$95,MATCH($A9,役男大表!$A$1:$A$97,0),   MATCH(L$1,役男大表!$A$3:$BF$3,0)  )=0,"",  IF(  INDEX(役男大表!$A$1:$BF$95,MATCH($A9,役男大表!$A$1:$A$97,0),   MATCH(L$1,役男大表!$A$3:$BF$3,0)  )="榮","x",  IF(  INDEX(役男大表!$A$1:$BF$95,MATCH($A9,役男大表!$A$1:$A$97,0),   MATCH(L$1,役男大表!$A$3:$BF$3,0)  )="榮-22",  "x榮18-22",               INDEX(役男大表!$A$1:$BF$95,MATCH($A9,役男大表!$A$1:$A$97,0),   MATCH(L$1,役男大表!$A$3:$BF$3,0)  )                  )  )  )," ",""),"")</f>
        <v/>
      </c>
      <c r="M9" s="278" t="str">
        <f>_xlfn.IFNA(  SUBSTITUTE(     IF(  INDEX(役男大表!$A$1:$BF$95,MATCH($A9,役男大表!$A$1:$A$97,0),   MATCH(M$1,役男大表!$A$3:$BF$3,0)  )=0,"",  IF(  INDEX(役男大表!$A$1:$BF$95,MATCH($A9,役男大表!$A$1:$A$97,0),   MATCH(M$1,役男大表!$A$3:$BF$3,0)  )="榮","x",  IF(  INDEX(役男大表!$A$1:$BF$95,MATCH($A9,役男大表!$A$1:$A$97,0),   MATCH(M$1,役男大表!$A$3:$BF$3,0)  )="榮-22",  "x榮18-22",               INDEX(役男大表!$A$1:$BF$95,MATCH($A9,役男大表!$A$1:$A$97,0),   MATCH(M$1,役男大表!$A$3:$BF$3,0)  )                  )  )  )," ",""),"")</f>
        <v/>
      </c>
      <c r="N9" s="278" t="str">
        <f>_xlfn.IFNA(  SUBSTITUTE(     IF(  INDEX(役男大表!$A$1:$BF$95,MATCH($A9,役男大表!$A$1:$A$97,0),   MATCH(N$1,役男大表!$A$3:$BF$3,0)  )=0,"",  IF(  INDEX(役男大表!$A$1:$BF$95,MATCH($A9,役男大表!$A$1:$A$97,0),   MATCH(N$1,役男大表!$A$3:$BF$3,0)  )="榮","x",  IF(  INDEX(役男大表!$A$1:$BF$95,MATCH($A9,役男大表!$A$1:$A$97,0),   MATCH(N$1,役男大表!$A$3:$BF$3,0)  )="榮-22",  "x榮18-22",               INDEX(役男大表!$A$1:$BF$95,MATCH($A9,役男大表!$A$1:$A$97,0),   MATCH(N$1,役男大表!$A$3:$BF$3,0)  )                  )  )  )," ",""),"")</f>
        <v/>
      </c>
      <c r="O9" s="278" t="str">
        <f>_xlfn.IFNA(  SUBSTITUTE(     IF(  INDEX(役男大表!$A$1:$BF$95,MATCH($A9,役男大表!$A$1:$A$97,0),   MATCH(O$1,役男大表!$A$3:$BF$3,0)  )=0,"",  IF(  INDEX(役男大表!$A$1:$BF$95,MATCH($A9,役男大表!$A$1:$A$97,0),   MATCH(O$1,役男大表!$A$3:$BF$3,0)  )="榮","x",  IF(  INDEX(役男大表!$A$1:$BF$95,MATCH($A9,役男大表!$A$1:$A$97,0),   MATCH(O$1,役男大表!$A$3:$BF$3,0)  )="榮-22",  "x榮18-22",               INDEX(役男大表!$A$1:$BF$95,MATCH($A9,役男大表!$A$1:$A$97,0),   MATCH(O$1,役男大表!$A$3:$BF$3,0)  )                  )  )  )," ",""),"")</f>
        <v/>
      </c>
      <c r="P9" s="278" t="str">
        <f>_xlfn.IFNA(  SUBSTITUTE(     IF(  INDEX(役男大表!$A$1:$BF$95,MATCH($A9,役男大表!$A$1:$A$97,0),   MATCH(P$1,役男大表!$A$3:$BF$3,0)  )=0,"",  IF(  INDEX(役男大表!$A$1:$BF$95,MATCH($A9,役男大表!$A$1:$A$97,0),   MATCH(P$1,役男大表!$A$3:$BF$3,0)  )="榮","x",  IF(  INDEX(役男大表!$A$1:$BF$95,MATCH($A9,役男大表!$A$1:$A$97,0),   MATCH(P$1,役男大表!$A$3:$BF$3,0)  )="榮-22",  "x榮18-22",               INDEX(役男大表!$A$1:$BF$95,MATCH($A9,役男大表!$A$1:$A$97,0),   MATCH(P$1,役男大表!$A$3:$BF$3,0)  )                  )  )  )," ",""),"")</f>
        <v/>
      </c>
      <c r="Q9" s="278" t="str">
        <f>_xlfn.IFNA(  SUBSTITUTE(     IF(  INDEX(役男大表!$A$1:$BF$95,MATCH($A9,役男大表!$A$1:$A$97,0),   MATCH(Q$1,役男大表!$A$3:$BF$3,0)  )=0,"",  IF(  INDEX(役男大表!$A$1:$BF$95,MATCH($A9,役男大表!$A$1:$A$97,0),   MATCH(Q$1,役男大表!$A$3:$BF$3,0)  )="榮","x",  IF(  INDEX(役男大表!$A$1:$BF$95,MATCH($A9,役男大表!$A$1:$A$97,0),   MATCH(Q$1,役男大表!$A$3:$BF$3,0)  )="榮-22",  "x榮18-22",               INDEX(役男大表!$A$1:$BF$95,MATCH($A9,役男大表!$A$1:$A$97,0),   MATCH(Q$1,役男大表!$A$3:$BF$3,0)  )                  )  )  )," ",""),"")</f>
        <v/>
      </c>
      <c r="R9" s="278" t="str">
        <f>_xlfn.IFNA(  SUBSTITUTE(     IF(  INDEX(役男大表!$A$1:$BF$95,MATCH($A9,役男大表!$A$1:$A$97,0),   MATCH(R$1,役男大表!$A$3:$BF$3,0)  )=0,"",  IF(  INDEX(役男大表!$A$1:$BF$95,MATCH($A9,役男大表!$A$1:$A$97,0),   MATCH(R$1,役男大表!$A$3:$BF$3,0)  )="榮","x",  IF(  INDEX(役男大表!$A$1:$BF$95,MATCH($A9,役男大表!$A$1:$A$97,0),   MATCH(R$1,役男大表!$A$3:$BF$3,0)  )="榮-22",  "x榮18-22",               INDEX(役男大表!$A$1:$BF$95,MATCH($A9,役男大表!$A$1:$A$97,0),   MATCH(R$1,役男大表!$A$3:$BF$3,0)  )                  )  )  )," ",""),"")</f>
        <v/>
      </c>
      <c r="S9" s="278" t="str">
        <f>_xlfn.IFNA(  SUBSTITUTE(     IF(  INDEX(役男大表!$A$1:$BF$95,MATCH($A9,役男大表!$A$1:$A$97,0),   MATCH(S$1,役男大表!$A$3:$BF$3,0)  )=0,"",  IF(  INDEX(役男大表!$A$1:$BF$95,MATCH($A9,役男大表!$A$1:$A$97,0),   MATCH(S$1,役男大表!$A$3:$BF$3,0)  )="榮","x",  IF(  INDEX(役男大表!$A$1:$BF$95,MATCH($A9,役男大表!$A$1:$A$97,0),   MATCH(S$1,役男大表!$A$3:$BF$3,0)  )="榮-22",  "x榮18-22",               INDEX(役男大表!$A$1:$BF$95,MATCH($A9,役男大表!$A$1:$A$97,0),   MATCH(S$1,役男大表!$A$3:$BF$3,0)  )                  )  )  )," ",""),"")</f>
        <v/>
      </c>
      <c r="T9" s="278" t="str">
        <f>_xlfn.IFNA(  SUBSTITUTE(     IF(  INDEX(役男大表!$A$1:$BF$95,MATCH($A9,役男大表!$A$1:$A$97,0),   MATCH(T$1,役男大表!$A$3:$BF$3,0)  )=0,"",  IF(  INDEX(役男大表!$A$1:$BF$95,MATCH($A9,役男大表!$A$1:$A$97,0),   MATCH(T$1,役男大表!$A$3:$BF$3,0)  )="榮","x",  IF(  INDEX(役男大表!$A$1:$BF$95,MATCH($A9,役男大表!$A$1:$A$97,0),   MATCH(T$1,役男大表!$A$3:$BF$3,0)  )="榮-22",  "x榮18-22",               INDEX(役男大表!$A$1:$BF$95,MATCH($A9,役男大表!$A$1:$A$97,0),   MATCH(T$1,役男大表!$A$3:$BF$3,0)  )                  )  )  )," ",""),"")</f>
        <v/>
      </c>
      <c r="U9" s="278" t="str">
        <f>_xlfn.IFNA(  SUBSTITUTE(     IF(  INDEX(役男大表!$A$1:$BF$95,MATCH($A9,役男大表!$A$1:$A$97,0),   MATCH(U$1,役男大表!$A$3:$BF$3,0)  )=0,"",  IF(  INDEX(役男大表!$A$1:$BF$95,MATCH($A9,役男大表!$A$1:$A$97,0),   MATCH(U$1,役男大表!$A$3:$BF$3,0)  )="榮","x",  IF(  INDEX(役男大表!$A$1:$BF$95,MATCH($A9,役男大表!$A$1:$A$97,0),   MATCH(U$1,役男大表!$A$3:$BF$3,0)  )="榮-22",  "x榮18-22",               INDEX(役男大表!$A$1:$BF$95,MATCH($A9,役男大表!$A$1:$A$97,0),   MATCH(U$1,役男大表!$A$3:$BF$3,0)  )                  )  )  )," ",""),"")</f>
        <v/>
      </c>
      <c r="V9" s="278" t="str">
        <f>_xlfn.IFNA(  SUBSTITUTE(     IF(  INDEX(役男大表!$A$1:$BF$95,MATCH($A9,役男大表!$A$1:$A$97,0),   MATCH(V$1,役男大表!$A$3:$BF$3,0)  )=0,"",  IF(  INDEX(役男大表!$A$1:$BF$95,MATCH($A9,役男大表!$A$1:$A$97,0),   MATCH(V$1,役男大表!$A$3:$BF$3,0)  )="榮","x",  IF(  INDEX(役男大表!$A$1:$BF$95,MATCH($A9,役男大表!$A$1:$A$97,0),   MATCH(V$1,役男大表!$A$3:$BF$3,0)  )="榮-22",  "x榮18-22",               INDEX(役男大表!$A$1:$BF$95,MATCH($A9,役男大表!$A$1:$A$97,0),   MATCH(V$1,役男大表!$A$3:$BF$3,0)  )                  )  )  )," ",""),"")</f>
        <v/>
      </c>
      <c r="W9" s="278" t="str">
        <f>_xlfn.IFNA(  SUBSTITUTE(     IF(  INDEX(役男大表!$A$1:$BF$95,MATCH($A9,役男大表!$A$1:$A$97,0),   MATCH(W$1,役男大表!$A$3:$BF$3,0)  )=0,"",  IF(  INDEX(役男大表!$A$1:$BF$95,MATCH($A9,役男大表!$A$1:$A$97,0),   MATCH(W$1,役男大表!$A$3:$BF$3,0)  )="榮","x",  IF(  INDEX(役男大表!$A$1:$BF$95,MATCH($A9,役男大表!$A$1:$A$97,0),   MATCH(W$1,役男大表!$A$3:$BF$3,0)  )="榮-22",  "x榮18-22",               INDEX(役男大表!$A$1:$BF$95,MATCH($A9,役男大表!$A$1:$A$97,0),   MATCH(W$1,役男大表!$A$3:$BF$3,0)  )                  )  )  )," ",""),"")</f>
        <v/>
      </c>
      <c r="X9" s="278" t="str">
        <f>_xlfn.IFNA(  SUBSTITUTE(     IF(  INDEX(役男大表!$A$1:$BF$95,MATCH($A9,役男大表!$A$1:$A$97,0),   MATCH(X$1,役男大表!$A$3:$BF$3,0)  )=0,"",  IF(  INDEX(役男大表!$A$1:$BF$95,MATCH($A9,役男大表!$A$1:$A$97,0),   MATCH(X$1,役男大表!$A$3:$BF$3,0)  )="榮","x",  IF(  INDEX(役男大表!$A$1:$BF$95,MATCH($A9,役男大表!$A$1:$A$97,0),   MATCH(X$1,役男大表!$A$3:$BF$3,0)  )="榮-22",  "x榮18-22",               INDEX(役男大表!$A$1:$BF$95,MATCH($A9,役男大表!$A$1:$A$97,0),   MATCH(X$1,役男大表!$A$3:$BF$3,0)  )                  )  )  )," ",""),"")</f>
        <v/>
      </c>
      <c r="Y9" s="278" t="str">
        <f>_xlfn.IFNA(  SUBSTITUTE(     IF(  INDEX(役男大表!$A$1:$BF$95,MATCH($A9,役男大表!$A$1:$A$97,0),   MATCH(Y$1,役男大表!$A$3:$BF$3,0)  )=0,"",  IF(  INDEX(役男大表!$A$1:$BF$95,MATCH($A9,役男大表!$A$1:$A$97,0),   MATCH(Y$1,役男大表!$A$3:$BF$3,0)  )="榮","x",  IF(  INDEX(役男大表!$A$1:$BF$95,MATCH($A9,役男大表!$A$1:$A$97,0),   MATCH(Y$1,役男大表!$A$3:$BF$3,0)  )="榮-22",  "x榮18-22",               INDEX(役男大表!$A$1:$BF$95,MATCH($A9,役男大表!$A$1:$A$97,0),   MATCH(Y$1,役男大表!$A$3:$BF$3,0)  )                  )  )  )," ",""),"")</f>
        <v/>
      </c>
      <c r="Z9" s="278" t="str">
        <f>_xlfn.IFNA(  SUBSTITUTE(     IF(  INDEX(役男大表!$A$1:$BF$95,MATCH($A9,役男大表!$A$1:$A$97,0),   MATCH(Z$1,役男大表!$A$3:$BF$3,0)  )=0,"",  IF(  INDEX(役男大表!$A$1:$BF$95,MATCH($A9,役男大表!$A$1:$A$97,0),   MATCH(Z$1,役男大表!$A$3:$BF$3,0)  )="榮","x",  IF(  INDEX(役男大表!$A$1:$BF$95,MATCH($A9,役男大表!$A$1:$A$97,0),   MATCH(Z$1,役男大表!$A$3:$BF$3,0)  )="榮-22",  "x榮18-22",               INDEX(役男大表!$A$1:$BF$95,MATCH($A9,役男大表!$A$1:$A$97,0),   MATCH(Z$1,役男大表!$A$3:$BF$3,0)  )                  )  )  )," ",""),"")</f>
        <v/>
      </c>
      <c r="AA9" s="278" t="str">
        <f>_xlfn.IFNA(  SUBSTITUTE(     IF(  INDEX(役男大表!$A$1:$BF$95,MATCH($A9,役男大表!$A$1:$A$97,0),   MATCH(AA$1,役男大表!$A$3:$BF$3,0)  )=0,"",  IF(  INDEX(役男大表!$A$1:$BF$95,MATCH($A9,役男大表!$A$1:$A$97,0),   MATCH(AA$1,役男大表!$A$3:$BF$3,0)  )="榮","x",  IF(  INDEX(役男大表!$A$1:$BF$95,MATCH($A9,役男大表!$A$1:$A$97,0),   MATCH(AA$1,役男大表!$A$3:$BF$3,0)  )="榮-22",  "x榮18-22",               INDEX(役男大表!$A$1:$BF$95,MATCH($A9,役男大表!$A$1:$A$97,0),   MATCH(AA$1,役男大表!$A$3:$BF$3,0)  )                  )  )  )," ",""),"")</f>
        <v/>
      </c>
      <c r="AB9" s="278" t="str">
        <f>_xlfn.IFNA(  SUBSTITUTE(     IF(  INDEX(役男大表!$A$1:$BF$95,MATCH($A9,役男大表!$A$1:$A$97,0),   MATCH(AB$1,役男大表!$A$3:$BF$3,0)  )=0,"",  IF(  INDEX(役男大表!$A$1:$BF$95,MATCH($A9,役男大表!$A$1:$A$97,0),   MATCH(AB$1,役男大表!$A$3:$BF$3,0)  )="榮","x",  IF(  INDEX(役男大表!$A$1:$BF$95,MATCH($A9,役男大表!$A$1:$A$97,0),   MATCH(AB$1,役男大表!$A$3:$BF$3,0)  )="榮-22",  "x榮18-22",               INDEX(役男大表!$A$1:$BF$95,MATCH($A9,役男大表!$A$1:$A$97,0),   MATCH(AB$1,役男大表!$A$3:$BF$3,0)  )                  )  )  )," ",""),"")</f>
        <v/>
      </c>
      <c r="AC9" s="278" t="str">
        <f>_xlfn.IFNA(  SUBSTITUTE(     IF(  INDEX(役男大表!$A$1:$BF$95,MATCH($A9,役男大表!$A$1:$A$97,0),   MATCH(AC$1,役男大表!$A$3:$BF$3,0)  )=0,"",  IF(  INDEX(役男大表!$A$1:$BF$95,MATCH($A9,役男大表!$A$1:$A$97,0),   MATCH(AC$1,役男大表!$A$3:$BF$3,0)  )="榮","x",  IF(  INDEX(役男大表!$A$1:$BF$95,MATCH($A9,役男大表!$A$1:$A$97,0),   MATCH(AC$1,役男大表!$A$3:$BF$3,0)  )="榮-22",  "x榮18-22",               INDEX(役男大表!$A$1:$BF$95,MATCH($A9,役男大表!$A$1:$A$97,0),   MATCH(AC$1,役男大表!$A$3:$BF$3,0)  )                  )  )  )," ",""),"")</f>
        <v/>
      </c>
      <c r="AD9" s="278" t="str">
        <f>_xlfn.IFNA(  SUBSTITUTE(     IF(  INDEX(役男大表!$A$1:$BF$95,MATCH($A9,役男大表!$A$1:$A$97,0),   MATCH(AD$1,役男大表!$A$3:$BF$3,0)  )=0,"",  IF(  INDEX(役男大表!$A$1:$BF$95,MATCH($A9,役男大表!$A$1:$A$97,0),   MATCH(AD$1,役男大表!$A$3:$BF$3,0)  )="榮","x",  IF(  INDEX(役男大表!$A$1:$BF$95,MATCH($A9,役男大表!$A$1:$A$97,0),   MATCH(AD$1,役男大表!$A$3:$BF$3,0)  )="榮-22",  "x榮18-22",               INDEX(役男大表!$A$1:$BF$95,MATCH($A9,役男大表!$A$1:$A$97,0),   MATCH(AD$1,役男大表!$A$3:$BF$3,0)  )                  )  )  )," ",""),"")</f>
        <v/>
      </c>
      <c r="AE9" s="278" t="str">
        <f>_xlfn.IFNA(  SUBSTITUTE(     IF(  INDEX(役男大表!$A$1:$BF$95,MATCH($A9,役男大表!$A$1:$A$97,0),   MATCH(AE$1,役男大表!$A$3:$BF$3,0)  )=0,"",  IF(  INDEX(役男大表!$A$1:$BF$95,MATCH($A9,役男大表!$A$1:$A$97,0),   MATCH(AE$1,役男大表!$A$3:$BF$3,0)  )="榮","x",  IF(  INDEX(役男大表!$A$1:$BF$95,MATCH($A9,役男大表!$A$1:$A$97,0),   MATCH(AE$1,役男大表!$A$3:$BF$3,0)  )="榮-22",  "x榮18-22",               INDEX(役男大表!$A$1:$BF$95,MATCH($A9,役男大表!$A$1:$A$97,0),   MATCH(AE$1,役男大表!$A$3:$BF$3,0)  )                  )  )  )," ",""),"")</f>
        <v/>
      </c>
      <c r="AF9" s="278" t="str">
        <f>_xlfn.IFNA(  SUBSTITUTE(     IF(  INDEX(役男大表!$A$1:$BF$95,MATCH($A9,役男大表!$A$1:$A$97,0),   MATCH(AF$1,役男大表!$A$3:$BF$3,0)  )=0,"",  IF(  INDEX(役男大表!$A$1:$BF$95,MATCH($A9,役男大表!$A$1:$A$97,0),   MATCH(AF$1,役男大表!$A$3:$BF$3,0)  )="榮","x",  IF(  INDEX(役男大表!$A$1:$BF$95,MATCH($A9,役男大表!$A$1:$A$97,0),   MATCH(AF$1,役男大表!$A$3:$BF$3,0)  )="榮-22",  "x榮18-22",               INDEX(役男大表!$A$1:$BF$95,MATCH($A9,役男大表!$A$1:$A$97,0),   MATCH(AF$1,役男大表!$A$3:$BF$3,0)  )                  )  )  )," ",""),"")</f>
        <v/>
      </c>
      <c r="AG9" s="278" t="str">
        <f>_xlfn.IFNA(  SUBSTITUTE(     IF(  INDEX(役男大表!$A$1:$BF$95,MATCH($A9,役男大表!$A$1:$A$97,0),   MATCH(AG$1,役男大表!$A$3:$BF$3,0)  )=0,"",  IF(  INDEX(役男大表!$A$1:$BF$95,MATCH($A9,役男大表!$A$1:$A$97,0),   MATCH(AG$1,役男大表!$A$3:$BF$3,0)  )="榮","x",  IF(  INDEX(役男大表!$A$1:$BF$95,MATCH($A9,役男大表!$A$1:$A$97,0),   MATCH(AG$1,役男大表!$A$3:$BF$3,0)  )="榮-22",  "x榮18-22",               INDEX(役男大表!$A$1:$BF$95,MATCH($A9,役男大表!$A$1:$A$97,0),   MATCH(AG$1,役男大表!$A$3:$BF$3,0)  )                  )  )  )," ",""),"")</f>
        <v>x</v>
      </c>
      <c r="AH9" s="278" t="str">
        <f>_xlfn.IFNA(  SUBSTITUTE(     IF(  INDEX(役男大表!$A$1:$BF$95,MATCH($A9,役男大表!$A$1:$A$97,0),   MATCH(AH$1,役男大表!$A$3:$BF$3,0)  )=0,"",  IF(  INDEX(役男大表!$A$1:$BF$95,MATCH($A9,役男大表!$A$1:$A$97,0),   MATCH(AH$1,役男大表!$A$3:$BF$3,0)  )="榮","x",  IF(  INDEX(役男大表!$A$1:$BF$95,MATCH($A9,役男大表!$A$1:$A$97,0),   MATCH(AH$1,役男大表!$A$3:$BF$3,0)  )="榮-22",  "x榮18-22",               INDEX(役男大表!$A$1:$BF$95,MATCH($A9,役男大表!$A$1:$A$97,0),   MATCH(AH$1,役男大表!$A$3:$BF$3,0)  )                  )  )  )," ",""),"")</f>
        <v/>
      </c>
      <c r="AI9" s="278" t="str">
        <f>_xlfn.IFNA(  SUBSTITUTE(     IF(  INDEX(役男大表!$A$1:$BF$95,MATCH($A9,役男大表!$A$1:$A$97,0),   MATCH(AI$1,役男大表!$A$3:$BF$3,0)  )=0,"",  IF(  INDEX(役男大表!$A$1:$BF$95,MATCH($A9,役男大表!$A$1:$A$97,0),   MATCH(AI$1,役男大表!$A$3:$BF$3,0)  )="榮","x",  IF(  INDEX(役男大表!$A$1:$BF$95,MATCH($A9,役男大表!$A$1:$A$97,0),   MATCH(AI$1,役男大表!$A$3:$BF$3,0)  )="榮-22",  "x榮18-22",               INDEX(役男大表!$A$1:$BF$95,MATCH($A9,役男大表!$A$1:$A$97,0),   MATCH(AI$1,役男大表!$A$3:$BF$3,0)  )                  )  )  )," ",""),"")</f>
        <v/>
      </c>
      <c r="AJ9" s="278" t="str">
        <f>_xlfn.IFNA(  SUBSTITUTE(     IF(  INDEX(役男大表!$A$1:$BF$95,MATCH($A9,役男大表!$A$1:$A$97,0),   MATCH(AJ$1,役男大表!$A$3:$BF$3,0)  )=0,"",  IF(  INDEX(役男大表!$A$1:$BF$95,MATCH($A9,役男大表!$A$1:$A$97,0),   MATCH(AJ$1,役男大表!$A$3:$BF$3,0)  )="榮","x",  IF(  INDEX(役男大表!$A$1:$BF$95,MATCH($A9,役男大表!$A$1:$A$97,0),   MATCH(AJ$1,役男大表!$A$3:$BF$3,0)  )="榮-22",  "x榮18-22",               INDEX(役男大表!$A$1:$BF$95,MATCH($A9,役男大表!$A$1:$A$97,0),   MATCH(AJ$1,役男大表!$A$3:$BF$3,0)  )                  )  )  )," ",""),"")</f>
        <v/>
      </c>
      <c r="AM9" s="66">
        <f t="shared" si="1"/>
        <v>8</v>
      </c>
      <c r="AN9" s="66" t="str">
        <f t="shared" si="2"/>
        <v>許翊呈</v>
      </c>
      <c r="AO9" s="71" t="str">
        <f>IF(  AND(  INDEX(   $A$42:$AJ$79, MATCH(AM9,$A$42:$A$79,0),MATCH(  日期輸入!$C$3,$A$42:$AL$42,0  )  )="全日勤",  AV9="免"  ),  "全日勤免勤教",  IF(  AND(  INDEX(   $A$42:$AJ$79, MATCH(AM9,$A$42:$A$79,0),MATCH(  日期輸入!$C$3,$A$42:$AL$42,0  )  )="18放",  AV9="免"  ),  "18放早走",  INDEX(   $A$42:$AJ$79, MATCH(AM9,$A$42:$A$79,0),MATCH(  日期輸入!$C$3,$A$42:$AL$42,0  )  )  )  )</f>
        <v>18收</v>
      </c>
      <c r="AP9" s="66" t="str">
        <f>_xlfn.IFNA(IF((ROW(AP9)-1)&lt;=暫1!$B$2,IF(VALUE($AM9)=暫1!B$3,"家因",IF(VALUE($AM9)=暫1!C$3,"家因",IF(VALUE($AM9)=暫1!D$3,"家因",IF(VALUE($AM9)=暫1!E$3,"家因",IF(VALUE($AM9)=暫1!F$3,"家因",IF(VALUE($AM9)=暫1!G$3,"家因",IF(VALUE($AM9)=暫1!H$3,"家因",IF(VALUE($AM9)=暫1!I$3,"家因",IF(VALUE($AM9)=暫1!J$3,"家因",IF(VALUE($AM9)=暫1!K$3,"家因",IF(VALUE($AM9)=暫1!L$3,"家因",IF(VALUE($AM9)=暫1!M$3,"家因",IF(VALUE($AM9)=暫1!N$3,"家因",IF(VALUE($AM9)=暫1!O$3,"家因",IF(VALUE($AM9)=暫1!P$3,"家因",IF(VALUE($AM9)=暫1!Q$3,"家因",IF(VALUE($AM9)=暫1!R$3,"家因",IF(VALUE($AM9)=暫1!S$3,"家因",IF(VALUE($AM9)=暫1!T$3,"家因",IF(VALUE($AM9)=暫1!U$3,"家因","")))))))))))))))))))),""),"")</f>
        <v/>
      </c>
      <c r="AQ9" s="66" t="str">
        <f>IF((ROW(AQ9)-1)&lt;=暫1!$B$2,_xlfn.IFNA(IF(INDEX($A$1:$AJ$41,MATCH($AN9,$B$1:$B$101,0),VALUE($AQ$1+3))="成","補",INDEX($A$1:$AJ$41,MATCH($AN9,$B$1:$B$101,0),VALUE($AQ$1+3))),""),"")</f>
        <v>x</v>
      </c>
      <c r="AR9" s="66" t="str">
        <f>IF((ROW(AR9)-1)&lt;=暫1!$B$2,_xlfn.IFNA(IF(INDEX($A$1:$AJ$41,MATCH($AN9,$B$1:$B$101,0),VALUE($AR$1+3))="成","補",INDEX($A$1:$AJ$41,MATCH($AN9,$B$1:$B$101,0),VALUE($AR$1+3))),""),"")</f>
        <v/>
      </c>
      <c r="AS9" s="66" t="str">
        <f>IF((ROW(AS9)-1)&lt;=暫1!$B$2,_xlfn.IFNA(IF(INDEX($A$1:$AJ$41,MATCH($AN9,$B$1:$B$101,0),VALUE($AS$1+3))="成","補",INDEX($A$1:$AJ$41,MATCH($AN9,$B$1:$B$101,0),VALUE($AS$1+3))),""),"")</f>
        <v/>
      </c>
      <c r="AT9" s="66" t="str">
        <f>IF(  OR(  LEN(  INDEX(   $A$1:$AJ$39, MATCH(AM9,$A$1:$A$39,0),MATCH(  日期輸入!$C$3,$A$1:$AP$1,0  )  )  )&gt;LEN(  SUBSTITUTE(  INDEX(   $A$1:$AJ$39, MATCH(AM9,$A$1:$A$39,0),MATCH(  日期輸入!$C$3,$A$1:$AP$1,0  )  ),"榮","")  )  ),   SUBSTITUTE(  SUBSTITUTE(  INDEX(   $A$1:$AJ$39, MATCH(AM9,$A$1:$A$39,0),MATCH(  日期輸入!$C$3,$A$1:$AP$1,0  )  ),"榮",""),"x",""), "")</f>
        <v/>
      </c>
      <c r="AU9" s="66" t="str">
        <f t="shared" si="3"/>
        <v/>
      </c>
      <c r="AV9" s="66" t="str">
        <f>INDEX(   $A$482:$AJ$519, MATCH(AM9,$A$482:$A$519,0),MATCH(  日期輸入!$C$3,$A$482:$AL$482,0  )  )</f>
        <v/>
      </c>
      <c r="AX9" s="66" t="str">
        <f>IFERROR(IF((ROW(AX9)-1)&lt;=暫1!$B$2,SUBSTITUTE(IF($AO9=$AX$1,$AM9,"")," ",""),""),"")</f>
        <v/>
      </c>
      <c r="AY9" s="66" t="str">
        <f>IFERROR(IF((ROW(AY9)-1)&lt;=暫1!$B$2,SUBSTITUTE(IF($AO9=$AY$1,$AM9,"")," ",""),""),"")</f>
        <v/>
      </c>
      <c r="AZ9" s="66" t="str">
        <f>IFERROR(IF((ROW(AZ9)-1)&lt;=暫1!$B$2,SUBSTITUTE(IF($AO9=$AZ$1,$AM9,"")," ",""),""),"")</f>
        <v/>
      </c>
      <c r="BA9" s="66" t="str">
        <f>IFERROR(IF((ROW(BA9)-1)&lt;=暫1!$B$2,SUBSTITUTE(IF($AO9=$BA$1,$AM9,"")," ",""),""),"")</f>
        <v>8</v>
      </c>
      <c r="BB9" s="69" t="str">
        <f>IFERROR(IF((ROW(BB9)-1)&lt;=暫1!$B$2,SUBSTITUTE(IF(OR($AO9=$BB$1,$AO9=$AY$1,$AO9=$AZ$1),$AM9,IF($AO9=$AY$1,$AM9,"")),"",""),""),"")</f>
        <v/>
      </c>
      <c r="BC9" s="69" t="str">
        <f>IF(    AND(LEN(BC8)&gt;=2 ),        "、" &amp;  IF(OR(役男人力!$J$2:$J$84="是"),役男人力!$B9,""),  IF(OR(役男人力!$J$2:$J$84="是"),役男人力!$B9,"")  )</f>
        <v/>
      </c>
      <c r="BG9" s="70" t="s">
        <v>259</v>
      </c>
      <c r="BH9" s="63" t="str">
        <f>' 役男公式'!BG10</f>
        <v>20(18-22時).27(18-22時)</v>
      </c>
    </row>
    <row r="10" spans="1:60" ht="25.5" customHeight="1" thickBot="1">
      <c r="A10" s="278">
        <v>9</v>
      </c>
      <c r="B10" s="278" t="str">
        <f>_xlfn.IFNA(  INDEX(役男大表!$A$1:$BF$95,MATCH(A10,役男大表!$A$1:$A$97,0),2),"")</f>
        <v>李政聰</v>
      </c>
      <c r="C10" s="278" t="str">
        <f>_xlfn.IFNA(  SUBSTITUTE(     IF(  INDEX(役男大表!$A$1:$BF$95,MATCH($A10,役男大表!$A$1:$A$97,0),   MATCH(C$1,役男大表!$A$3:$BF$3,0)  )=0,"",  IF(  INDEX(役男大表!$A$1:$BF$95,MATCH($A10,役男大表!$A$1:$A$97,0),   MATCH(C$1,役男大表!$A$3:$BF$3,0)  )="榮","x",  IF(  INDEX(役男大表!$A$1:$BF$95,MATCH($A10,役男大表!$A$1:$A$97,0),   MATCH(C$1,役男大表!$A$3:$BF$3,0)  )="榮-22",  "x榮18-22",               INDEX(役男大表!$A$1:$BF$95,MATCH($A10,役男大表!$A$1:$A$97,0),   MATCH(C$1,役男大表!$A$3:$BF$3,0)  )                  )  )  )," ",""),"")</f>
        <v/>
      </c>
      <c r="D10" s="278" t="str">
        <f>_xlfn.IFNA(  SUBSTITUTE(     IF(  INDEX(役男大表!$A$1:$BF$95,MATCH($A10,役男大表!$A$1:$A$97,0),   MATCH(D$1,役男大表!$A$3:$BF$3,0)  )=0,"",  IF(  INDEX(役男大表!$A$1:$BF$95,MATCH($A10,役男大表!$A$1:$A$97,0),   MATCH(D$1,役男大表!$A$3:$BF$3,0)  )="榮","x",  IF(  INDEX(役男大表!$A$1:$BF$95,MATCH($A10,役男大表!$A$1:$A$97,0),   MATCH(D$1,役男大表!$A$3:$BF$3,0)  )="榮-22",  "x榮18-22",               INDEX(役男大表!$A$1:$BF$95,MATCH($A10,役男大表!$A$1:$A$97,0),   MATCH(D$1,役男大表!$A$3:$BF$3,0)  )                  )  )  )," ",""),"")</f>
        <v/>
      </c>
      <c r="E10" s="278" t="str">
        <f>_xlfn.IFNA(  SUBSTITUTE(     IF(  INDEX(役男大表!$A$1:$BF$95,MATCH($A10,役男大表!$A$1:$A$97,0),   MATCH(E$1,役男大表!$A$3:$BF$3,0)  )=0,"",  IF(  INDEX(役男大表!$A$1:$BF$95,MATCH($A10,役男大表!$A$1:$A$97,0),   MATCH(E$1,役男大表!$A$3:$BF$3,0)  )="榮","x",  IF(  INDEX(役男大表!$A$1:$BF$95,MATCH($A10,役男大表!$A$1:$A$97,0),   MATCH(E$1,役男大表!$A$3:$BF$3,0)  )="榮-22",  "x榮18-22",               INDEX(役男大表!$A$1:$BF$95,MATCH($A10,役男大表!$A$1:$A$97,0),   MATCH(E$1,役男大表!$A$3:$BF$3,0)  )                  )  )  )," ",""),"")</f>
        <v/>
      </c>
      <c r="F10" s="278" t="str">
        <f>_xlfn.IFNA(  SUBSTITUTE(     IF(  INDEX(役男大表!$A$1:$BF$95,MATCH($A10,役男大表!$A$1:$A$97,0),   MATCH(F$1,役男大表!$A$3:$BF$3,0)  )=0,"",  IF(  INDEX(役男大表!$A$1:$BF$95,MATCH($A10,役男大表!$A$1:$A$97,0),   MATCH(F$1,役男大表!$A$3:$BF$3,0)  )="榮","x",  IF(  INDEX(役男大表!$A$1:$BF$95,MATCH($A10,役男大表!$A$1:$A$97,0),   MATCH(F$1,役男大表!$A$3:$BF$3,0)  )="榮-22",  "x榮18-22",               INDEX(役男大表!$A$1:$BF$95,MATCH($A10,役男大表!$A$1:$A$97,0),   MATCH(F$1,役男大表!$A$3:$BF$3,0)  )                  )  )  )," ",""),"")</f>
        <v/>
      </c>
      <c r="G10" s="278" t="str">
        <f>_xlfn.IFNA(  SUBSTITUTE(     IF(  INDEX(役男大表!$A$1:$BF$95,MATCH($A10,役男大表!$A$1:$A$97,0),   MATCH(G$1,役男大表!$A$3:$BF$3,0)  )=0,"",  IF(  INDEX(役男大表!$A$1:$BF$95,MATCH($A10,役男大表!$A$1:$A$97,0),   MATCH(G$1,役男大表!$A$3:$BF$3,0)  )="榮","x",  IF(  INDEX(役男大表!$A$1:$BF$95,MATCH($A10,役男大表!$A$1:$A$97,0),   MATCH(G$1,役男大表!$A$3:$BF$3,0)  )="榮-22",  "x榮18-22",               INDEX(役男大表!$A$1:$BF$95,MATCH($A10,役男大表!$A$1:$A$97,0),   MATCH(G$1,役男大表!$A$3:$BF$3,0)  )                  )  )  )," ",""),"")</f>
        <v/>
      </c>
      <c r="H10" s="278" t="str">
        <f>_xlfn.IFNA(  SUBSTITUTE(     IF(  INDEX(役男大表!$A$1:$BF$95,MATCH($A10,役男大表!$A$1:$A$97,0),   MATCH(H$1,役男大表!$A$3:$BF$3,0)  )=0,"",  IF(  INDEX(役男大表!$A$1:$BF$95,MATCH($A10,役男大表!$A$1:$A$97,0),   MATCH(H$1,役男大表!$A$3:$BF$3,0)  )="榮","x",  IF(  INDEX(役男大表!$A$1:$BF$95,MATCH($A10,役男大表!$A$1:$A$97,0),   MATCH(H$1,役男大表!$A$3:$BF$3,0)  )="榮-22",  "x榮18-22",               INDEX(役男大表!$A$1:$BF$95,MATCH($A10,役男大表!$A$1:$A$97,0),   MATCH(H$1,役男大表!$A$3:$BF$3,0)  )                  )  )  )," ",""),"")</f>
        <v/>
      </c>
      <c r="I10" s="278" t="str">
        <f>_xlfn.IFNA(  SUBSTITUTE(     IF(  INDEX(役男大表!$A$1:$BF$95,MATCH($A10,役男大表!$A$1:$A$97,0),   MATCH(I$1,役男大表!$A$3:$BF$3,0)  )=0,"",  IF(  INDEX(役男大表!$A$1:$BF$95,MATCH($A10,役男大表!$A$1:$A$97,0),   MATCH(I$1,役男大表!$A$3:$BF$3,0)  )="榮","x",  IF(  INDEX(役男大表!$A$1:$BF$95,MATCH($A10,役男大表!$A$1:$A$97,0),   MATCH(I$1,役男大表!$A$3:$BF$3,0)  )="榮-22",  "x榮18-22",               INDEX(役男大表!$A$1:$BF$95,MATCH($A10,役男大表!$A$1:$A$97,0),   MATCH(I$1,役男大表!$A$3:$BF$3,0)  )                  )  )  )," ",""),"")</f>
        <v/>
      </c>
      <c r="J10" s="278" t="str">
        <f>_xlfn.IFNA(  SUBSTITUTE(     IF(  INDEX(役男大表!$A$1:$BF$95,MATCH($A10,役男大表!$A$1:$A$97,0),   MATCH(J$1,役男大表!$A$3:$BF$3,0)  )=0,"",  IF(  INDEX(役男大表!$A$1:$BF$95,MATCH($A10,役男大表!$A$1:$A$97,0),   MATCH(J$1,役男大表!$A$3:$BF$3,0)  )="榮","x",  IF(  INDEX(役男大表!$A$1:$BF$95,MATCH($A10,役男大表!$A$1:$A$97,0),   MATCH(J$1,役男大表!$A$3:$BF$3,0)  )="榮-22",  "x榮18-22",               INDEX(役男大表!$A$1:$BF$95,MATCH($A10,役男大表!$A$1:$A$97,0),   MATCH(J$1,役男大表!$A$3:$BF$3,0)  )                  )  )  )," ",""),"")</f>
        <v/>
      </c>
      <c r="K10" s="278" t="str">
        <f>_xlfn.IFNA(  SUBSTITUTE(     IF(  INDEX(役男大表!$A$1:$BF$95,MATCH($A10,役男大表!$A$1:$A$97,0),   MATCH(K$1,役男大表!$A$3:$BF$3,0)  )=0,"",  IF(  INDEX(役男大表!$A$1:$BF$95,MATCH($A10,役男大表!$A$1:$A$97,0),   MATCH(K$1,役男大表!$A$3:$BF$3,0)  )="榮","x",  IF(  INDEX(役男大表!$A$1:$BF$95,MATCH($A10,役男大表!$A$1:$A$97,0),   MATCH(K$1,役男大表!$A$3:$BF$3,0)  )="榮-22",  "x榮18-22",               INDEX(役男大表!$A$1:$BF$95,MATCH($A10,役男大表!$A$1:$A$97,0),   MATCH(K$1,役男大表!$A$3:$BF$3,0)  )                  )  )  )," ",""),"")</f>
        <v/>
      </c>
      <c r="L10" s="278" t="str">
        <f>_xlfn.IFNA(  SUBSTITUTE(     IF(  INDEX(役男大表!$A$1:$BF$95,MATCH($A10,役男大表!$A$1:$A$97,0),   MATCH(L$1,役男大表!$A$3:$BF$3,0)  )=0,"",  IF(  INDEX(役男大表!$A$1:$BF$95,MATCH($A10,役男大表!$A$1:$A$97,0),   MATCH(L$1,役男大表!$A$3:$BF$3,0)  )="榮","x",  IF(  INDEX(役男大表!$A$1:$BF$95,MATCH($A10,役男大表!$A$1:$A$97,0),   MATCH(L$1,役男大表!$A$3:$BF$3,0)  )="榮-22",  "x榮18-22",               INDEX(役男大表!$A$1:$BF$95,MATCH($A10,役男大表!$A$1:$A$97,0),   MATCH(L$1,役男大表!$A$3:$BF$3,0)  )                  )  )  )," ",""),"")</f>
        <v/>
      </c>
      <c r="M10" s="278" t="str">
        <f>_xlfn.IFNA(  SUBSTITUTE(     IF(  INDEX(役男大表!$A$1:$BF$95,MATCH($A10,役男大表!$A$1:$A$97,0),   MATCH(M$1,役男大表!$A$3:$BF$3,0)  )=0,"",  IF(  INDEX(役男大表!$A$1:$BF$95,MATCH($A10,役男大表!$A$1:$A$97,0),   MATCH(M$1,役男大表!$A$3:$BF$3,0)  )="榮","x",  IF(  INDEX(役男大表!$A$1:$BF$95,MATCH($A10,役男大表!$A$1:$A$97,0),   MATCH(M$1,役男大表!$A$3:$BF$3,0)  )="榮-22",  "x榮18-22",               INDEX(役男大表!$A$1:$BF$95,MATCH($A10,役男大表!$A$1:$A$97,0),   MATCH(M$1,役男大表!$A$3:$BF$3,0)  )                  )  )  )," ",""),"")</f>
        <v/>
      </c>
      <c r="N10" s="278" t="str">
        <f>_xlfn.IFNA(  SUBSTITUTE(     IF(  INDEX(役男大表!$A$1:$BF$95,MATCH($A10,役男大表!$A$1:$A$97,0),   MATCH(N$1,役男大表!$A$3:$BF$3,0)  )=0,"",  IF(  INDEX(役男大表!$A$1:$BF$95,MATCH($A10,役男大表!$A$1:$A$97,0),   MATCH(N$1,役男大表!$A$3:$BF$3,0)  )="榮","x",  IF(  INDEX(役男大表!$A$1:$BF$95,MATCH($A10,役男大表!$A$1:$A$97,0),   MATCH(N$1,役男大表!$A$3:$BF$3,0)  )="榮-22",  "x榮18-22",               INDEX(役男大表!$A$1:$BF$95,MATCH($A10,役男大表!$A$1:$A$97,0),   MATCH(N$1,役男大表!$A$3:$BF$3,0)  )                  )  )  )," ",""),"")</f>
        <v/>
      </c>
      <c r="O10" s="278" t="str">
        <f>_xlfn.IFNA(  SUBSTITUTE(     IF(  INDEX(役男大表!$A$1:$BF$95,MATCH($A10,役男大表!$A$1:$A$97,0),   MATCH(O$1,役男大表!$A$3:$BF$3,0)  )=0,"",  IF(  INDEX(役男大表!$A$1:$BF$95,MATCH($A10,役男大表!$A$1:$A$97,0),   MATCH(O$1,役男大表!$A$3:$BF$3,0)  )="榮","x",  IF(  INDEX(役男大表!$A$1:$BF$95,MATCH($A10,役男大表!$A$1:$A$97,0),   MATCH(O$1,役男大表!$A$3:$BF$3,0)  )="榮-22",  "x榮18-22",               INDEX(役男大表!$A$1:$BF$95,MATCH($A10,役男大表!$A$1:$A$97,0),   MATCH(O$1,役男大表!$A$3:$BF$3,0)  )                  )  )  )," ",""),"")</f>
        <v/>
      </c>
      <c r="P10" s="278" t="str">
        <f>_xlfn.IFNA(  SUBSTITUTE(     IF(  INDEX(役男大表!$A$1:$BF$95,MATCH($A10,役男大表!$A$1:$A$97,0),   MATCH(P$1,役男大表!$A$3:$BF$3,0)  )=0,"",  IF(  INDEX(役男大表!$A$1:$BF$95,MATCH($A10,役男大表!$A$1:$A$97,0),   MATCH(P$1,役男大表!$A$3:$BF$3,0)  )="榮","x",  IF(  INDEX(役男大表!$A$1:$BF$95,MATCH($A10,役男大表!$A$1:$A$97,0),   MATCH(P$1,役男大表!$A$3:$BF$3,0)  )="榮-22",  "x榮18-22",               INDEX(役男大表!$A$1:$BF$95,MATCH($A10,役男大表!$A$1:$A$97,0),   MATCH(P$1,役男大表!$A$3:$BF$3,0)  )                  )  )  )," ",""),"")</f>
        <v/>
      </c>
      <c r="Q10" s="278" t="str">
        <f>_xlfn.IFNA(  SUBSTITUTE(     IF(  INDEX(役男大表!$A$1:$BF$95,MATCH($A10,役男大表!$A$1:$A$97,0),   MATCH(Q$1,役男大表!$A$3:$BF$3,0)  )=0,"",  IF(  INDEX(役男大表!$A$1:$BF$95,MATCH($A10,役男大表!$A$1:$A$97,0),   MATCH(Q$1,役男大表!$A$3:$BF$3,0)  )="榮","x",  IF(  INDEX(役男大表!$A$1:$BF$95,MATCH($A10,役男大表!$A$1:$A$97,0),   MATCH(Q$1,役男大表!$A$3:$BF$3,0)  )="榮-22",  "x榮18-22",               INDEX(役男大表!$A$1:$BF$95,MATCH($A10,役男大表!$A$1:$A$97,0),   MATCH(Q$1,役男大表!$A$3:$BF$3,0)  )                  )  )  )," ",""),"")</f>
        <v/>
      </c>
      <c r="R10" s="278" t="str">
        <f>_xlfn.IFNA(  SUBSTITUTE(     IF(  INDEX(役男大表!$A$1:$BF$95,MATCH($A10,役男大表!$A$1:$A$97,0),   MATCH(R$1,役男大表!$A$3:$BF$3,0)  )=0,"",  IF(  INDEX(役男大表!$A$1:$BF$95,MATCH($A10,役男大表!$A$1:$A$97,0),   MATCH(R$1,役男大表!$A$3:$BF$3,0)  )="榮","x",  IF(  INDEX(役男大表!$A$1:$BF$95,MATCH($A10,役男大表!$A$1:$A$97,0),   MATCH(R$1,役男大表!$A$3:$BF$3,0)  )="榮-22",  "x榮18-22",               INDEX(役男大表!$A$1:$BF$95,MATCH($A10,役男大表!$A$1:$A$97,0),   MATCH(R$1,役男大表!$A$3:$BF$3,0)  )                  )  )  )," ",""),"")</f>
        <v/>
      </c>
      <c r="S10" s="278" t="str">
        <f>_xlfn.IFNA(  SUBSTITUTE(     IF(  INDEX(役男大表!$A$1:$BF$95,MATCH($A10,役男大表!$A$1:$A$97,0),   MATCH(S$1,役男大表!$A$3:$BF$3,0)  )=0,"",  IF(  INDEX(役男大表!$A$1:$BF$95,MATCH($A10,役男大表!$A$1:$A$97,0),   MATCH(S$1,役男大表!$A$3:$BF$3,0)  )="榮","x",  IF(  INDEX(役男大表!$A$1:$BF$95,MATCH($A10,役男大表!$A$1:$A$97,0),   MATCH(S$1,役男大表!$A$3:$BF$3,0)  )="榮-22",  "x榮18-22",               INDEX(役男大表!$A$1:$BF$95,MATCH($A10,役男大表!$A$1:$A$97,0),   MATCH(S$1,役男大表!$A$3:$BF$3,0)  )                  )  )  )," ",""),"")</f>
        <v/>
      </c>
      <c r="T10" s="278" t="str">
        <f>_xlfn.IFNA(  SUBSTITUTE(     IF(  INDEX(役男大表!$A$1:$BF$95,MATCH($A10,役男大表!$A$1:$A$97,0),   MATCH(T$1,役男大表!$A$3:$BF$3,0)  )=0,"",  IF(  INDEX(役男大表!$A$1:$BF$95,MATCH($A10,役男大表!$A$1:$A$97,0),   MATCH(T$1,役男大表!$A$3:$BF$3,0)  )="榮","x",  IF(  INDEX(役男大表!$A$1:$BF$95,MATCH($A10,役男大表!$A$1:$A$97,0),   MATCH(T$1,役男大表!$A$3:$BF$3,0)  )="榮-22",  "x榮18-22",               INDEX(役男大表!$A$1:$BF$95,MATCH($A10,役男大表!$A$1:$A$97,0),   MATCH(T$1,役男大表!$A$3:$BF$3,0)  )                  )  )  )," ",""),"")</f>
        <v/>
      </c>
      <c r="U10" s="278" t="str">
        <f>_xlfn.IFNA(  SUBSTITUTE(     IF(  INDEX(役男大表!$A$1:$BF$95,MATCH($A10,役男大表!$A$1:$A$97,0),   MATCH(U$1,役男大表!$A$3:$BF$3,0)  )=0,"",  IF(  INDEX(役男大表!$A$1:$BF$95,MATCH($A10,役男大表!$A$1:$A$97,0),   MATCH(U$1,役男大表!$A$3:$BF$3,0)  )="榮","x",  IF(  INDEX(役男大表!$A$1:$BF$95,MATCH($A10,役男大表!$A$1:$A$97,0),   MATCH(U$1,役男大表!$A$3:$BF$3,0)  )="榮-22",  "x榮18-22",               INDEX(役男大表!$A$1:$BF$95,MATCH($A10,役男大表!$A$1:$A$97,0),   MATCH(U$1,役男大表!$A$3:$BF$3,0)  )                  )  )  )," ",""),"")</f>
        <v/>
      </c>
      <c r="V10" s="278" t="str">
        <f>_xlfn.IFNA(  SUBSTITUTE(     IF(  INDEX(役男大表!$A$1:$BF$95,MATCH($A10,役男大表!$A$1:$A$97,0),   MATCH(V$1,役男大表!$A$3:$BF$3,0)  )=0,"",  IF(  INDEX(役男大表!$A$1:$BF$95,MATCH($A10,役男大表!$A$1:$A$97,0),   MATCH(V$1,役男大表!$A$3:$BF$3,0)  )="榮","x",  IF(  INDEX(役男大表!$A$1:$BF$95,MATCH($A10,役男大表!$A$1:$A$97,0),   MATCH(V$1,役男大表!$A$3:$BF$3,0)  )="榮-22",  "x榮18-22",               INDEX(役男大表!$A$1:$BF$95,MATCH($A10,役男大表!$A$1:$A$97,0),   MATCH(V$1,役男大表!$A$3:$BF$3,0)  )                  )  )  )," ",""),"")</f>
        <v/>
      </c>
      <c r="W10" s="278" t="str">
        <f>_xlfn.IFNA(  SUBSTITUTE(     IF(  INDEX(役男大表!$A$1:$BF$95,MATCH($A10,役男大表!$A$1:$A$97,0),   MATCH(W$1,役男大表!$A$3:$BF$3,0)  )=0,"",  IF(  INDEX(役男大表!$A$1:$BF$95,MATCH($A10,役男大表!$A$1:$A$97,0),   MATCH(W$1,役男大表!$A$3:$BF$3,0)  )="榮","x",  IF(  INDEX(役男大表!$A$1:$BF$95,MATCH($A10,役男大表!$A$1:$A$97,0),   MATCH(W$1,役男大表!$A$3:$BF$3,0)  )="榮-22",  "x榮18-22",               INDEX(役男大表!$A$1:$BF$95,MATCH($A10,役男大表!$A$1:$A$97,0),   MATCH(W$1,役男大表!$A$3:$BF$3,0)  )                  )  )  )," ",""),"")</f>
        <v/>
      </c>
      <c r="X10" s="278" t="str">
        <f>_xlfn.IFNA(  SUBSTITUTE(     IF(  INDEX(役男大表!$A$1:$BF$95,MATCH($A10,役男大表!$A$1:$A$97,0),   MATCH(X$1,役男大表!$A$3:$BF$3,0)  )=0,"",  IF(  INDEX(役男大表!$A$1:$BF$95,MATCH($A10,役男大表!$A$1:$A$97,0),   MATCH(X$1,役男大表!$A$3:$BF$3,0)  )="榮","x",  IF(  INDEX(役男大表!$A$1:$BF$95,MATCH($A10,役男大表!$A$1:$A$97,0),   MATCH(X$1,役男大表!$A$3:$BF$3,0)  )="榮-22",  "x榮18-22",               INDEX(役男大表!$A$1:$BF$95,MATCH($A10,役男大表!$A$1:$A$97,0),   MATCH(X$1,役男大表!$A$3:$BF$3,0)  )                  )  )  )," ",""),"")</f>
        <v/>
      </c>
      <c r="Y10" s="278" t="str">
        <f>_xlfn.IFNA(  SUBSTITUTE(     IF(  INDEX(役男大表!$A$1:$BF$95,MATCH($A10,役男大表!$A$1:$A$97,0),   MATCH(Y$1,役男大表!$A$3:$BF$3,0)  )=0,"",  IF(  INDEX(役男大表!$A$1:$BF$95,MATCH($A10,役男大表!$A$1:$A$97,0),   MATCH(Y$1,役男大表!$A$3:$BF$3,0)  )="榮","x",  IF(  INDEX(役男大表!$A$1:$BF$95,MATCH($A10,役男大表!$A$1:$A$97,0),   MATCH(Y$1,役男大表!$A$3:$BF$3,0)  )="榮-22",  "x榮18-22",               INDEX(役男大表!$A$1:$BF$95,MATCH($A10,役男大表!$A$1:$A$97,0),   MATCH(Y$1,役男大表!$A$3:$BF$3,0)  )                  )  )  )," ",""),"")</f>
        <v/>
      </c>
      <c r="Z10" s="278" t="str">
        <f>_xlfn.IFNA(  SUBSTITUTE(     IF(  INDEX(役男大表!$A$1:$BF$95,MATCH($A10,役男大表!$A$1:$A$97,0),   MATCH(Z$1,役男大表!$A$3:$BF$3,0)  )=0,"",  IF(  INDEX(役男大表!$A$1:$BF$95,MATCH($A10,役男大表!$A$1:$A$97,0),   MATCH(Z$1,役男大表!$A$3:$BF$3,0)  )="榮","x",  IF(  INDEX(役男大表!$A$1:$BF$95,MATCH($A10,役男大表!$A$1:$A$97,0),   MATCH(Z$1,役男大表!$A$3:$BF$3,0)  )="榮-22",  "x榮18-22",               INDEX(役男大表!$A$1:$BF$95,MATCH($A10,役男大表!$A$1:$A$97,0),   MATCH(Z$1,役男大表!$A$3:$BF$3,0)  )                  )  )  )," ",""),"")</f>
        <v/>
      </c>
      <c r="AA10" s="278" t="str">
        <f>_xlfn.IFNA(  SUBSTITUTE(     IF(  INDEX(役男大表!$A$1:$BF$95,MATCH($A10,役男大表!$A$1:$A$97,0),   MATCH(AA$1,役男大表!$A$3:$BF$3,0)  )=0,"",  IF(  INDEX(役男大表!$A$1:$BF$95,MATCH($A10,役男大表!$A$1:$A$97,0),   MATCH(AA$1,役男大表!$A$3:$BF$3,0)  )="榮","x",  IF(  INDEX(役男大表!$A$1:$BF$95,MATCH($A10,役男大表!$A$1:$A$97,0),   MATCH(AA$1,役男大表!$A$3:$BF$3,0)  )="榮-22",  "x榮18-22",               INDEX(役男大表!$A$1:$BF$95,MATCH($A10,役男大表!$A$1:$A$97,0),   MATCH(AA$1,役男大表!$A$3:$BF$3,0)  )                  )  )  )," ",""),"")</f>
        <v/>
      </c>
      <c r="AB10" s="278" t="str">
        <f>_xlfn.IFNA(  SUBSTITUTE(     IF(  INDEX(役男大表!$A$1:$BF$95,MATCH($A10,役男大表!$A$1:$A$97,0),   MATCH(AB$1,役男大表!$A$3:$BF$3,0)  )=0,"",  IF(  INDEX(役男大表!$A$1:$BF$95,MATCH($A10,役男大表!$A$1:$A$97,0),   MATCH(AB$1,役男大表!$A$3:$BF$3,0)  )="榮","x",  IF(  INDEX(役男大表!$A$1:$BF$95,MATCH($A10,役男大表!$A$1:$A$97,0),   MATCH(AB$1,役男大表!$A$3:$BF$3,0)  )="榮-22",  "x榮18-22",               INDEX(役男大表!$A$1:$BF$95,MATCH($A10,役男大表!$A$1:$A$97,0),   MATCH(AB$1,役男大表!$A$3:$BF$3,0)  )                  )  )  )," ",""),"")</f>
        <v/>
      </c>
      <c r="AC10" s="278" t="str">
        <f>_xlfn.IFNA(  SUBSTITUTE(     IF(  INDEX(役男大表!$A$1:$BF$95,MATCH($A10,役男大表!$A$1:$A$97,0),   MATCH(AC$1,役男大表!$A$3:$BF$3,0)  )=0,"",  IF(  INDEX(役男大表!$A$1:$BF$95,MATCH($A10,役男大表!$A$1:$A$97,0),   MATCH(AC$1,役男大表!$A$3:$BF$3,0)  )="榮","x",  IF(  INDEX(役男大表!$A$1:$BF$95,MATCH($A10,役男大表!$A$1:$A$97,0),   MATCH(AC$1,役男大表!$A$3:$BF$3,0)  )="榮-22",  "x榮18-22",               INDEX(役男大表!$A$1:$BF$95,MATCH($A10,役男大表!$A$1:$A$97,0),   MATCH(AC$1,役男大表!$A$3:$BF$3,0)  )                  )  )  )," ",""),"")</f>
        <v/>
      </c>
      <c r="AD10" s="278" t="str">
        <f>_xlfn.IFNA(  SUBSTITUTE(     IF(  INDEX(役男大表!$A$1:$BF$95,MATCH($A10,役男大表!$A$1:$A$97,0),   MATCH(AD$1,役男大表!$A$3:$BF$3,0)  )=0,"",  IF(  INDEX(役男大表!$A$1:$BF$95,MATCH($A10,役男大表!$A$1:$A$97,0),   MATCH(AD$1,役男大表!$A$3:$BF$3,0)  )="榮","x",  IF(  INDEX(役男大表!$A$1:$BF$95,MATCH($A10,役男大表!$A$1:$A$97,0),   MATCH(AD$1,役男大表!$A$3:$BF$3,0)  )="榮-22",  "x榮18-22",               INDEX(役男大表!$A$1:$BF$95,MATCH($A10,役男大表!$A$1:$A$97,0),   MATCH(AD$1,役男大表!$A$3:$BF$3,0)  )                  )  )  )," ",""),"")</f>
        <v/>
      </c>
      <c r="AE10" s="278" t="str">
        <f>_xlfn.IFNA(  SUBSTITUTE(     IF(  INDEX(役男大表!$A$1:$BF$95,MATCH($A10,役男大表!$A$1:$A$97,0),   MATCH(AE$1,役男大表!$A$3:$BF$3,0)  )=0,"",  IF(  INDEX(役男大表!$A$1:$BF$95,MATCH($A10,役男大表!$A$1:$A$97,0),   MATCH(AE$1,役男大表!$A$3:$BF$3,0)  )="榮","x",  IF(  INDEX(役男大表!$A$1:$BF$95,MATCH($A10,役男大表!$A$1:$A$97,0),   MATCH(AE$1,役男大表!$A$3:$BF$3,0)  )="榮-22",  "x榮18-22",               INDEX(役男大表!$A$1:$BF$95,MATCH($A10,役男大表!$A$1:$A$97,0),   MATCH(AE$1,役男大表!$A$3:$BF$3,0)  )                  )  )  )," ",""),"")</f>
        <v/>
      </c>
      <c r="AF10" s="278" t="str">
        <f>_xlfn.IFNA(  SUBSTITUTE(     IF(  INDEX(役男大表!$A$1:$BF$95,MATCH($A10,役男大表!$A$1:$A$97,0),   MATCH(AF$1,役男大表!$A$3:$BF$3,0)  )=0,"",  IF(  INDEX(役男大表!$A$1:$BF$95,MATCH($A10,役男大表!$A$1:$A$97,0),   MATCH(AF$1,役男大表!$A$3:$BF$3,0)  )="榮","x",  IF(  INDEX(役男大表!$A$1:$BF$95,MATCH($A10,役男大表!$A$1:$A$97,0),   MATCH(AF$1,役男大表!$A$3:$BF$3,0)  )="榮-22",  "x榮18-22",               INDEX(役男大表!$A$1:$BF$95,MATCH($A10,役男大表!$A$1:$A$97,0),   MATCH(AF$1,役男大表!$A$3:$BF$3,0)  )                  )  )  )," ",""),"")</f>
        <v/>
      </c>
      <c r="AG10" s="278" t="str">
        <f>_xlfn.IFNA(  SUBSTITUTE(     IF(  INDEX(役男大表!$A$1:$BF$95,MATCH($A10,役男大表!$A$1:$A$97,0),   MATCH(AG$1,役男大表!$A$3:$BF$3,0)  )=0,"",  IF(  INDEX(役男大表!$A$1:$BF$95,MATCH($A10,役男大表!$A$1:$A$97,0),   MATCH(AG$1,役男大表!$A$3:$BF$3,0)  )="榮","x",  IF(  INDEX(役男大表!$A$1:$BF$95,MATCH($A10,役男大表!$A$1:$A$97,0),   MATCH(AG$1,役男大表!$A$3:$BF$3,0)  )="榮-22",  "x榮18-22",               INDEX(役男大表!$A$1:$BF$95,MATCH($A10,役男大表!$A$1:$A$97,0),   MATCH(AG$1,役男大表!$A$3:$BF$3,0)  )                  )  )  )," ",""),"")</f>
        <v/>
      </c>
      <c r="AH10" s="278" t="str">
        <f>_xlfn.IFNA(  SUBSTITUTE(     IF(  INDEX(役男大表!$A$1:$BF$95,MATCH($A10,役男大表!$A$1:$A$97,0),   MATCH(AH$1,役男大表!$A$3:$BF$3,0)  )=0,"",  IF(  INDEX(役男大表!$A$1:$BF$95,MATCH($A10,役男大表!$A$1:$A$97,0),   MATCH(AH$1,役男大表!$A$3:$BF$3,0)  )="榮","x",  IF(  INDEX(役男大表!$A$1:$BF$95,MATCH($A10,役男大表!$A$1:$A$97,0),   MATCH(AH$1,役男大表!$A$3:$BF$3,0)  )="榮-22",  "x榮18-22",               INDEX(役男大表!$A$1:$BF$95,MATCH($A10,役男大表!$A$1:$A$97,0),   MATCH(AH$1,役男大表!$A$3:$BF$3,0)  )                  )  )  )," ",""),"")</f>
        <v/>
      </c>
      <c r="AI10" s="278" t="str">
        <f>_xlfn.IFNA(  SUBSTITUTE(     IF(  INDEX(役男大表!$A$1:$BF$95,MATCH($A10,役男大表!$A$1:$A$97,0),   MATCH(AI$1,役男大表!$A$3:$BF$3,0)  )=0,"",  IF(  INDEX(役男大表!$A$1:$BF$95,MATCH($A10,役男大表!$A$1:$A$97,0),   MATCH(AI$1,役男大表!$A$3:$BF$3,0)  )="榮","x",  IF(  INDEX(役男大表!$A$1:$BF$95,MATCH($A10,役男大表!$A$1:$A$97,0),   MATCH(AI$1,役男大表!$A$3:$BF$3,0)  )="榮-22",  "x榮18-22",               INDEX(役男大表!$A$1:$BF$95,MATCH($A10,役男大表!$A$1:$A$97,0),   MATCH(AI$1,役男大表!$A$3:$BF$3,0)  )                  )  )  )," ",""),"")</f>
        <v/>
      </c>
      <c r="AJ10" s="278" t="str">
        <f>_xlfn.IFNA(  SUBSTITUTE(     IF(  INDEX(役男大表!$A$1:$BF$95,MATCH($A10,役男大表!$A$1:$A$97,0),   MATCH(AJ$1,役男大表!$A$3:$BF$3,0)  )=0,"",  IF(  INDEX(役男大表!$A$1:$BF$95,MATCH($A10,役男大表!$A$1:$A$97,0),   MATCH(AJ$1,役男大表!$A$3:$BF$3,0)  )="榮","x",  IF(  INDEX(役男大表!$A$1:$BF$95,MATCH($A10,役男大表!$A$1:$A$97,0),   MATCH(AJ$1,役男大表!$A$3:$BF$3,0)  )="榮-22",  "x榮18-22",               INDEX(役男大表!$A$1:$BF$95,MATCH($A10,役男大表!$A$1:$A$97,0),   MATCH(AJ$1,役男大表!$A$3:$BF$3,0)  )                  )  )  )," ",""),"")</f>
        <v/>
      </c>
      <c r="AM10" s="66">
        <f t="shared" si="1"/>
        <v>9</v>
      </c>
      <c r="AN10" s="66" t="str">
        <f t="shared" si="2"/>
        <v>李政聰</v>
      </c>
      <c r="AO10" s="71" t="str">
        <f>IF(  AND(  INDEX(   $A$42:$AJ$79, MATCH(AM10,$A$42:$A$79,0),MATCH(  日期輸入!$C$3,$A$42:$AL$42,0  )  )="全日勤",  AV10="免"  ),  "全日勤免勤教",  IF(  AND(  INDEX(   $A$42:$AJ$79, MATCH(AM10,$A$42:$A$79,0),MATCH(  日期輸入!$C$3,$A$42:$AL$42,0  )  )="18放",  AV10="免"  ),  "18放早走",  INDEX(   $A$42:$AJ$79, MATCH(AM10,$A$42:$A$79,0),MATCH(  日期輸入!$C$3,$A$42:$AL$42,0  )  )  )  )</f>
        <v>全日勤</v>
      </c>
      <c r="AP10" s="66" t="str">
        <f>_xlfn.IFNA(IF((ROW(AP10)-1)&lt;=暫1!$B$2,IF(VALUE($AM10)=暫1!B$3,"家因",IF(VALUE($AM10)=暫1!C$3,"家因",IF(VALUE($AM10)=暫1!D$3,"家因",IF(VALUE($AM10)=暫1!E$3,"家因",IF(VALUE($AM10)=暫1!F$3,"家因",IF(VALUE($AM10)=暫1!G$3,"家因",IF(VALUE($AM10)=暫1!H$3,"家因",IF(VALUE($AM10)=暫1!I$3,"家因",IF(VALUE($AM10)=暫1!J$3,"家因",IF(VALUE($AM10)=暫1!K$3,"家因",IF(VALUE($AM10)=暫1!L$3,"家因",IF(VALUE($AM10)=暫1!M$3,"家因",IF(VALUE($AM10)=暫1!N$3,"家因",IF(VALUE($AM10)=暫1!O$3,"家因",IF(VALUE($AM10)=暫1!P$3,"家因",IF(VALUE($AM10)=暫1!Q$3,"家因",IF(VALUE($AM10)=暫1!R$3,"家因",IF(VALUE($AM10)=暫1!S$3,"家因",IF(VALUE($AM10)=暫1!T$3,"家因",IF(VALUE($AM10)=暫1!U$3,"家因","")))))))))))))))))))),""),"")</f>
        <v/>
      </c>
      <c r="AQ10" s="66" t="str">
        <f>IF((ROW(AQ10)-1)&lt;=暫1!$B$2,_xlfn.IFNA(IF(INDEX($A$1:$AJ$41,MATCH($AN10,$B$1:$B$101,0),VALUE($AQ$1+3))="成","補",INDEX($A$1:$AJ$41,MATCH($AN10,$B$1:$B$101,0),VALUE($AQ$1+3))),""),"")</f>
        <v/>
      </c>
      <c r="AR10" s="66" t="str">
        <f>IF((ROW(AR10)-1)&lt;=暫1!$B$2,_xlfn.IFNA(IF(INDEX($A$1:$AJ$41,MATCH($AN10,$B$1:$B$101,0),VALUE($AR$1+3))="成","補",INDEX($A$1:$AJ$41,MATCH($AN10,$B$1:$B$101,0),VALUE($AR$1+3))),""),"")</f>
        <v/>
      </c>
      <c r="AS10" s="66" t="str">
        <f>IF((ROW(AS10)-1)&lt;=暫1!$B$2,_xlfn.IFNA(IF(INDEX($A$1:$AJ$41,MATCH($AN10,$B$1:$B$101,0),VALUE($AS$1+3))="成","補",INDEX($A$1:$AJ$41,MATCH($AN10,$B$1:$B$101,0),VALUE($AS$1+3))),""),"")</f>
        <v/>
      </c>
      <c r="AT10" s="66" t="str">
        <f>IF(  OR(  LEN(  INDEX(   $A$1:$AJ$39, MATCH(AM10,$A$1:$A$39,0),MATCH(  日期輸入!$C$3,$A$1:$AP$1,0  )  )  )&gt;LEN(  SUBSTITUTE(  INDEX(   $A$1:$AJ$39, MATCH(AM10,$A$1:$A$39,0),MATCH(  日期輸入!$C$3,$A$1:$AP$1,0  )  ),"榮","")  )  ),   SUBSTITUTE(  SUBSTITUTE(  INDEX(   $A$1:$AJ$39, MATCH(AM10,$A$1:$A$39,0),MATCH(  日期輸入!$C$3,$A$1:$AP$1,0  )  ),"榮",""),"x",""), "")</f>
        <v/>
      </c>
      <c r="AU10" s="66" t="str">
        <f t="shared" si="3"/>
        <v/>
      </c>
      <c r="AV10" s="66" t="str">
        <f>INDEX(   $A$482:$AJ$519, MATCH(AM10,$A$482:$A$519,0),MATCH(  日期輸入!$C$3,$A$482:$AL$482,0  )  )</f>
        <v/>
      </c>
      <c r="AX10" s="66" t="str">
        <f>IFERROR(IF((ROW(AX10)-1)&lt;=暫1!$B$2,SUBSTITUTE(IF($AO10=$AX$1,$AM10,"")," ",""),""),"")</f>
        <v/>
      </c>
      <c r="AY10" s="66" t="str">
        <f>IFERROR(IF((ROW(AY10)-1)&lt;=暫1!$B$2,SUBSTITUTE(IF($AO10=$AY$1,$AM10,"")," ",""),""),"")</f>
        <v/>
      </c>
      <c r="AZ10" s="66" t="str">
        <f>IFERROR(IF((ROW(AZ10)-1)&lt;=暫1!$B$2,SUBSTITUTE(IF($AO10=$AZ$1,$AM10,"")," ",""),""),"")</f>
        <v/>
      </c>
      <c r="BA10" s="66" t="str">
        <f>IFERROR(IF((ROW(BA10)-1)&lt;=暫1!$B$2,SUBSTITUTE(IF($AO10=$BA$1,$AM10,"")," ",""),""),"")</f>
        <v/>
      </c>
      <c r="BB10" s="69" t="str">
        <f>IFERROR(IF((ROW(BB10)-1)&lt;=暫1!$B$2,SUBSTITUTE(IF(OR($AO10=$BB$1,$AO10=$AY$1,$AO10=$AZ$1),$AM10,IF($AO10=$AY$1,$AM10,"")),"",""),""),"")</f>
        <v>9</v>
      </c>
      <c r="BC10" s="69" t="str">
        <f>IF(    AND(LEN(BC9)&gt;=2 ),        "、" &amp;  IF(OR(役男人力!$J$2:$J$84="是"),役男人力!$B10,""),  IF(OR(役男人力!$J$2:$J$84="是"),役男人力!$B10,"")  )</f>
        <v>李政聰</v>
      </c>
      <c r="BG10" s="72" t="str">
        <f>INDEX(   A362:AJ399, 38,MATCH(  日期輸入!$C$3,A362:AP362,0  )  )</f>
        <v>20(18-22時).27(18-22時)</v>
      </c>
    </row>
    <row r="11" spans="1:60" ht="25.5" customHeight="1">
      <c r="A11" s="278">
        <v>10</v>
      </c>
      <c r="B11" s="278" t="str">
        <f>_xlfn.IFNA(  INDEX(役男大表!$A$1:$BF$95,MATCH(A11,役男大表!$A$1:$A$97,0),2),"")</f>
        <v>劉威志</v>
      </c>
      <c r="C11" s="278" t="str">
        <f>_xlfn.IFNA(  SUBSTITUTE(     IF(  INDEX(役男大表!$A$1:$BF$95,MATCH($A11,役男大表!$A$1:$A$97,0),   MATCH(C$1,役男大表!$A$3:$BF$3,0)  )=0,"",  IF(  INDEX(役男大表!$A$1:$BF$95,MATCH($A11,役男大表!$A$1:$A$97,0),   MATCH(C$1,役男大表!$A$3:$BF$3,0)  )="榮","x",  IF(  INDEX(役男大表!$A$1:$BF$95,MATCH($A11,役男大表!$A$1:$A$97,0),   MATCH(C$1,役男大表!$A$3:$BF$3,0)  )="榮-22",  "x榮18-22",               INDEX(役男大表!$A$1:$BF$95,MATCH($A11,役男大表!$A$1:$A$97,0),   MATCH(C$1,役男大表!$A$3:$BF$3,0)  )                  )  )  )," ",""),"")</f>
        <v/>
      </c>
      <c r="D11" s="278" t="str">
        <f>_xlfn.IFNA(  SUBSTITUTE(     IF(  INDEX(役男大表!$A$1:$BF$95,MATCH($A11,役男大表!$A$1:$A$97,0),   MATCH(D$1,役男大表!$A$3:$BF$3,0)  )=0,"",  IF(  INDEX(役男大表!$A$1:$BF$95,MATCH($A11,役男大表!$A$1:$A$97,0),   MATCH(D$1,役男大表!$A$3:$BF$3,0)  )="榮","x",  IF(  INDEX(役男大表!$A$1:$BF$95,MATCH($A11,役男大表!$A$1:$A$97,0),   MATCH(D$1,役男大表!$A$3:$BF$3,0)  )="榮-22",  "x榮18-22",               INDEX(役男大表!$A$1:$BF$95,MATCH($A11,役男大表!$A$1:$A$97,0),   MATCH(D$1,役男大表!$A$3:$BF$3,0)  )                  )  )  )," ",""),"")</f>
        <v/>
      </c>
      <c r="E11" s="278" t="str">
        <f>_xlfn.IFNA(  SUBSTITUTE(     IF(  INDEX(役男大表!$A$1:$BF$95,MATCH($A11,役男大表!$A$1:$A$97,0),   MATCH(E$1,役男大表!$A$3:$BF$3,0)  )=0,"",  IF(  INDEX(役男大表!$A$1:$BF$95,MATCH($A11,役男大表!$A$1:$A$97,0),   MATCH(E$1,役男大表!$A$3:$BF$3,0)  )="榮","x",  IF(  INDEX(役男大表!$A$1:$BF$95,MATCH($A11,役男大表!$A$1:$A$97,0),   MATCH(E$1,役男大表!$A$3:$BF$3,0)  )="榮-22",  "x榮18-22",               INDEX(役男大表!$A$1:$BF$95,MATCH($A11,役男大表!$A$1:$A$97,0),   MATCH(E$1,役男大表!$A$3:$BF$3,0)  )                  )  )  )," ",""),"")</f>
        <v/>
      </c>
      <c r="F11" s="278" t="str">
        <f>_xlfn.IFNA(  SUBSTITUTE(     IF(  INDEX(役男大表!$A$1:$BF$95,MATCH($A11,役男大表!$A$1:$A$97,0),   MATCH(F$1,役男大表!$A$3:$BF$3,0)  )=0,"",  IF(  INDEX(役男大表!$A$1:$BF$95,MATCH($A11,役男大表!$A$1:$A$97,0),   MATCH(F$1,役男大表!$A$3:$BF$3,0)  )="榮","x",  IF(  INDEX(役男大表!$A$1:$BF$95,MATCH($A11,役男大表!$A$1:$A$97,0),   MATCH(F$1,役男大表!$A$3:$BF$3,0)  )="榮-22",  "x榮18-22",               INDEX(役男大表!$A$1:$BF$95,MATCH($A11,役男大表!$A$1:$A$97,0),   MATCH(F$1,役男大表!$A$3:$BF$3,0)  )                  )  )  )," ",""),"")</f>
        <v/>
      </c>
      <c r="G11" s="278" t="str">
        <f>_xlfn.IFNA(  SUBSTITUTE(     IF(  INDEX(役男大表!$A$1:$BF$95,MATCH($A11,役男大表!$A$1:$A$97,0),   MATCH(G$1,役男大表!$A$3:$BF$3,0)  )=0,"",  IF(  INDEX(役男大表!$A$1:$BF$95,MATCH($A11,役男大表!$A$1:$A$97,0),   MATCH(G$1,役男大表!$A$3:$BF$3,0)  )="榮","x",  IF(  INDEX(役男大表!$A$1:$BF$95,MATCH($A11,役男大表!$A$1:$A$97,0),   MATCH(G$1,役男大表!$A$3:$BF$3,0)  )="榮-22",  "x榮18-22",               INDEX(役男大表!$A$1:$BF$95,MATCH($A11,役男大表!$A$1:$A$97,0),   MATCH(G$1,役男大表!$A$3:$BF$3,0)  )                  )  )  )," ",""),"")</f>
        <v/>
      </c>
      <c r="H11" s="278" t="str">
        <f>_xlfn.IFNA(  SUBSTITUTE(     IF(  INDEX(役男大表!$A$1:$BF$95,MATCH($A11,役男大表!$A$1:$A$97,0),   MATCH(H$1,役男大表!$A$3:$BF$3,0)  )=0,"",  IF(  INDEX(役男大表!$A$1:$BF$95,MATCH($A11,役男大表!$A$1:$A$97,0),   MATCH(H$1,役男大表!$A$3:$BF$3,0)  )="榮","x",  IF(  INDEX(役男大表!$A$1:$BF$95,MATCH($A11,役男大表!$A$1:$A$97,0),   MATCH(H$1,役男大表!$A$3:$BF$3,0)  )="榮-22",  "x榮18-22",               INDEX(役男大表!$A$1:$BF$95,MATCH($A11,役男大表!$A$1:$A$97,0),   MATCH(H$1,役男大表!$A$3:$BF$3,0)  )                  )  )  )," ",""),"")</f>
        <v/>
      </c>
      <c r="I11" s="278" t="str">
        <f>_xlfn.IFNA(  SUBSTITUTE(     IF(  INDEX(役男大表!$A$1:$BF$95,MATCH($A11,役男大表!$A$1:$A$97,0),   MATCH(I$1,役男大表!$A$3:$BF$3,0)  )=0,"",  IF(  INDEX(役男大表!$A$1:$BF$95,MATCH($A11,役男大表!$A$1:$A$97,0),   MATCH(I$1,役男大表!$A$3:$BF$3,0)  )="榮","x",  IF(  INDEX(役男大表!$A$1:$BF$95,MATCH($A11,役男大表!$A$1:$A$97,0),   MATCH(I$1,役男大表!$A$3:$BF$3,0)  )="榮-22",  "x榮18-22",               INDEX(役男大表!$A$1:$BF$95,MATCH($A11,役男大表!$A$1:$A$97,0),   MATCH(I$1,役男大表!$A$3:$BF$3,0)  )                  )  )  )," ",""),"")</f>
        <v/>
      </c>
      <c r="J11" s="278" t="str">
        <f>_xlfn.IFNA(  SUBSTITUTE(     IF(  INDEX(役男大表!$A$1:$BF$95,MATCH($A11,役男大表!$A$1:$A$97,0),   MATCH(J$1,役男大表!$A$3:$BF$3,0)  )=0,"",  IF(  INDEX(役男大表!$A$1:$BF$95,MATCH($A11,役男大表!$A$1:$A$97,0),   MATCH(J$1,役男大表!$A$3:$BF$3,0)  )="榮","x",  IF(  INDEX(役男大表!$A$1:$BF$95,MATCH($A11,役男大表!$A$1:$A$97,0),   MATCH(J$1,役男大表!$A$3:$BF$3,0)  )="榮-22",  "x榮18-22",               INDEX(役男大表!$A$1:$BF$95,MATCH($A11,役男大表!$A$1:$A$97,0),   MATCH(J$1,役男大表!$A$3:$BF$3,0)  )                  )  )  )," ",""),"")</f>
        <v/>
      </c>
      <c r="K11" s="278" t="str">
        <f>_xlfn.IFNA(  SUBSTITUTE(     IF(  INDEX(役男大表!$A$1:$BF$95,MATCH($A11,役男大表!$A$1:$A$97,0),   MATCH(K$1,役男大表!$A$3:$BF$3,0)  )=0,"",  IF(  INDEX(役男大表!$A$1:$BF$95,MATCH($A11,役男大表!$A$1:$A$97,0),   MATCH(K$1,役男大表!$A$3:$BF$3,0)  )="榮","x",  IF(  INDEX(役男大表!$A$1:$BF$95,MATCH($A11,役男大表!$A$1:$A$97,0),   MATCH(K$1,役男大表!$A$3:$BF$3,0)  )="榮-22",  "x榮18-22",               INDEX(役男大表!$A$1:$BF$95,MATCH($A11,役男大表!$A$1:$A$97,0),   MATCH(K$1,役男大表!$A$3:$BF$3,0)  )                  )  )  )," ",""),"")</f>
        <v/>
      </c>
      <c r="L11" s="278" t="str">
        <f>_xlfn.IFNA(  SUBSTITUTE(     IF(  INDEX(役男大表!$A$1:$BF$95,MATCH($A11,役男大表!$A$1:$A$97,0),   MATCH(L$1,役男大表!$A$3:$BF$3,0)  )=0,"",  IF(  INDEX(役男大表!$A$1:$BF$95,MATCH($A11,役男大表!$A$1:$A$97,0),   MATCH(L$1,役男大表!$A$3:$BF$3,0)  )="榮","x",  IF(  INDEX(役男大表!$A$1:$BF$95,MATCH($A11,役男大表!$A$1:$A$97,0),   MATCH(L$1,役男大表!$A$3:$BF$3,0)  )="榮-22",  "x榮18-22",               INDEX(役男大表!$A$1:$BF$95,MATCH($A11,役男大表!$A$1:$A$97,0),   MATCH(L$1,役男大表!$A$3:$BF$3,0)  )                  )  )  )," ",""),"")</f>
        <v/>
      </c>
      <c r="M11" s="278" t="str">
        <f>_xlfn.IFNA(  SUBSTITUTE(     IF(  INDEX(役男大表!$A$1:$BF$95,MATCH($A11,役男大表!$A$1:$A$97,0),   MATCH(M$1,役男大表!$A$3:$BF$3,0)  )=0,"",  IF(  INDEX(役男大表!$A$1:$BF$95,MATCH($A11,役男大表!$A$1:$A$97,0),   MATCH(M$1,役男大表!$A$3:$BF$3,0)  )="榮","x",  IF(  INDEX(役男大表!$A$1:$BF$95,MATCH($A11,役男大表!$A$1:$A$97,0),   MATCH(M$1,役男大表!$A$3:$BF$3,0)  )="榮-22",  "x榮18-22",               INDEX(役男大表!$A$1:$BF$95,MATCH($A11,役男大表!$A$1:$A$97,0),   MATCH(M$1,役男大表!$A$3:$BF$3,0)  )                  )  )  )," ",""),"")</f>
        <v/>
      </c>
      <c r="N11" s="278" t="str">
        <f>_xlfn.IFNA(  SUBSTITUTE(     IF(  INDEX(役男大表!$A$1:$BF$95,MATCH($A11,役男大表!$A$1:$A$97,0),   MATCH(N$1,役男大表!$A$3:$BF$3,0)  )=0,"",  IF(  INDEX(役男大表!$A$1:$BF$95,MATCH($A11,役男大表!$A$1:$A$97,0),   MATCH(N$1,役男大表!$A$3:$BF$3,0)  )="榮","x",  IF(  INDEX(役男大表!$A$1:$BF$95,MATCH($A11,役男大表!$A$1:$A$97,0),   MATCH(N$1,役男大表!$A$3:$BF$3,0)  )="榮-22",  "x榮18-22",               INDEX(役男大表!$A$1:$BF$95,MATCH($A11,役男大表!$A$1:$A$97,0),   MATCH(N$1,役男大表!$A$3:$BF$3,0)  )                  )  )  )," ",""),"")</f>
        <v/>
      </c>
      <c r="O11" s="278" t="str">
        <f>_xlfn.IFNA(  SUBSTITUTE(     IF(  INDEX(役男大表!$A$1:$BF$95,MATCH($A11,役男大表!$A$1:$A$97,0),   MATCH(O$1,役男大表!$A$3:$BF$3,0)  )=0,"",  IF(  INDEX(役男大表!$A$1:$BF$95,MATCH($A11,役男大表!$A$1:$A$97,0),   MATCH(O$1,役男大表!$A$3:$BF$3,0)  )="榮","x",  IF(  INDEX(役男大表!$A$1:$BF$95,MATCH($A11,役男大表!$A$1:$A$97,0),   MATCH(O$1,役男大表!$A$3:$BF$3,0)  )="榮-22",  "x榮18-22",               INDEX(役男大表!$A$1:$BF$95,MATCH($A11,役男大表!$A$1:$A$97,0),   MATCH(O$1,役男大表!$A$3:$BF$3,0)  )                  )  )  )," ",""),"")</f>
        <v/>
      </c>
      <c r="P11" s="278" t="str">
        <f>_xlfn.IFNA(  SUBSTITUTE(     IF(  INDEX(役男大表!$A$1:$BF$95,MATCH($A11,役男大表!$A$1:$A$97,0),   MATCH(P$1,役男大表!$A$3:$BF$3,0)  )=0,"",  IF(  INDEX(役男大表!$A$1:$BF$95,MATCH($A11,役男大表!$A$1:$A$97,0),   MATCH(P$1,役男大表!$A$3:$BF$3,0)  )="榮","x",  IF(  INDEX(役男大表!$A$1:$BF$95,MATCH($A11,役男大表!$A$1:$A$97,0),   MATCH(P$1,役男大表!$A$3:$BF$3,0)  )="榮-22",  "x榮18-22",               INDEX(役男大表!$A$1:$BF$95,MATCH($A11,役男大表!$A$1:$A$97,0),   MATCH(P$1,役男大表!$A$3:$BF$3,0)  )                  )  )  )," ",""),"")</f>
        <v/>
      </c>
      <c r="Q11" s="278" t="str">
        <f>_xlfn.IFNA(  SUBSTITUTE(     IF(  INDEX(役男大表!$A$1:$BF$95,MATCH($A11,役男大表!$A$1:$A$97,0),   MATCH(Q$1,役男大表!$A$3:$BF$3,0)  )=0,"",  IF(  INDEX(役男大表!$A$1:$BF$95,MATCH($A11,役男大表!$A$1:$A$97,0),   MATCH(Q$1,役男大表!$A$3:$BF$3,0)  )="榮","x",  IF(  INDEX(役男大表!$A$1:$BF$95,MATCH($A11,役男大表!$A$1:$A$97,0),   MATCH(Q$1,役男大表!$A$3:$BF$3,0)  )="榮-22",  "x榮18-22",               INDEX(役男大表!$A$1:$BF$95,MATCH($A11,役男大表!$A$1:$A$97,0),   MATCH(Q$1,役男大表!$A$3:$BF$3,0)  )                  )  )  )," ",""),"")</f>
        <v/>
      </c>
      <c r="R11" s="278" t="str">
        <f>_xlfn.IFNA(  SUBSTITUTE(     IF(  INDEX(役男大表!$A$1:$BF$95,MATCH($A11,役男大表!$A$1:$A$97,0),   MATCH(R$1,役男大表!$A$3:$BF$3,0)  )=0,"",  IF(  INDEX(役男大表!$A$1:$BF$95,MATCH($A11,役男大表!$A$1:$A$97,0),   MATCH(R$1,役男大表!$A$3:$BF$3,0)  )="榮","x",  IF(  INDEX(役男大表!$A$1:$BF$95,MATCH($A11,役男大表!$A$1:$A$97,0),   MATCH(R$1,役男大表!$A$3:$BF$3,0)  )="榮-22",  "x榮18-22",               INDEX(役男大表!$A$1:$BF$95,MATCH($A11,役男大表!$A$1:$A$97,0),   MATCH(R$1,役男大表!$A$3:$BF$3,0)  )                  )  )  )," ",""),"")</f>
        <v/>
      </c>
      <c r="S11" s="278" t="str">
        <f>_xlfn.IFNA(  SUBSTITUTE(     IF(  INDEX(役男大表!$A$1:$BF$95,MATCH($A11,役男大表!$A$1:$A$97,0),   MATCH(S$1,役男大表!$A$3:$BF$3,0)  )=0,"",  IF(  INDEX(役男大表!$A$1:$BF$95,MATCH($A11,役男大表!$A$1:$A$97,0),   MATCH(S$1,役男大表!$A$3:$BF$3,0)  )="榮","x",  IF(  INDEX(役男大表!$A$1:$BF$95,MATCH($A11,役男大表!$A$1:$A$97,0),   MATCH(S$1,役男大表!$A$3:$BF$3,0)  )="榮-22",  "x榮18-22",               INDEX(役男大表!$A$1:$BF$95,MATCH($A11,役男大表!$A$1:$A$97,0),   MATCH(S$1,役男大表!$A$3:$BF$3,0)  )                  )  )  )," ",""),"")</f>
        <v/>
      </c>
      <c r="T11" s="278" t="str">
        <f>_xlfn.IFNA(  SUBSTITUTE(     IF(  INDEX(役男大表!$A$1:$BF$95,MATCH($A11,役男大表!$A$1:$A$97,0),   MATCH(T$1,役男大表!$A$3:$BF$3,0)  )=0,"",  IF(  INDEX(役男大表!$A$1:$BF$95,MATCH($A11,役男大表!$A$1:$A$97,0),   MATCH(T$1,役男大表!$A$3:$BF$3,0)  )="榮","x",  IF(  INDEX(役男大表!$A$1:$BF$95,MATCH($A11,役男大表!$A$1:$A$97,0),   MATCH(T$1,役男大表!$A$3:$BF$3,0)  )="榮-22",  "x榮18-22",               INDEX(役男大表!$A$1:$BF$95,MATCH($A11,役男大表!$A$1:$A$97,0),   MATCH(T$1,役男大表!$A$3:$BF$3,0)  )                  )  )  )," ",""),"")</f>
        <v/>
      </c>
      <c r="U11" s="278" t="str">
        <f>_xlfn.IFNA(  SUBSTITUTE(     IF(  INDEX(役男大表!$A$1:$BF$95,MATCH($A11,役男大表!$A$1:$A$97,0),   MATCH(U$1,役男大表!$A$3:$BF$3,0)  )=0,"",  IF(  INDEX(役男大表!$A$1:$BF$95,MATCH($A11,役男大表!$A$1:$A$97,0),   MATCH(U$1,役男大表!$A$3:$BF$3,0)  )="榮","x",  IF(  INDEX(役男大表!$A$1:$BF$95,MATCH($A11,役男大表!$A$1:$A$97,0),   MATCH(U$1,役男大表!$A$3:$BF$3,0)  )="榮-22",  "x榮18-22",               INDEX(役男大表!$A$1:$BF$95,MATCH($A11,役男大表!$A$1:$A$97,0),   MATCH(U$1,役男大表!$A$3:$BF$3,0)  )                  )  )  )," ",""),"")</f>
        <v/>
      </c>
      <c r="V11" s="278" t="str">
        <f>_xlfn.IFNA(  SUBSTITUTE(     IF(  INDEX(役男大表!$A$1:$BF$95,MATCH($A11,役男大表!$A$1:$A$97,0),   MATCH(V$1,役男大表!$A$3:$BF$3,0)  )=0,"",  IF(  INDEX(役男大表!$A$1:$BF$95,MATCH($A11,役男大表!$A$1:$A$97,0),   MATCH(V$1,役男大表!$A$3:$BF$3,0)  )="榮","x",  IF(  INDEX(役男大表!$A$1:$BF$95,MATCH($A11,役男大表!$A$1:$A$97,0),   MATCH(V$1,役男大表!$A$3:$BF$3,0)  )="榮-22",  "x榮18-22",               INDEX(役男大表!$A$1:$BF$95,MATCH($A11,役男大表!$A$1:$A$97,0),   MATCH(V$1,役男大表!$A$3:$BF$3,0)  )                  )  )  )," ",""),"")</f>
        <v/>
      </c>
      <c r="W11" s="278" t="str">
        <f>_xlfn.IFNA(  SUBSTITUTE(     IF(  INDEX(役男大表!$A$1:$BF$95,MATCH($A11,役男大表!$A$1:$A$97,0),   MATCH(W$1,役男大表!$A$3:$BF$3,0)  )=0,"",  IF(  INDEX(役男大表!$A$1:$BF$95,MATCH($A11,役男大表!$A$1:$A$97,0),   MATCH(W$1,役男大表!$A$3:$BF$3,0)  )="榮","x",  IF(  INDEX(役男大表!$A$1:$BF$95,MATCH($A11,役男大表!$A$1:$A$97,0),   MATCH(W$1,役男大表!$A$3:$BF$3,0)  )="榮-22",  "x榮18-22",               INDEX(役男大表!$A$1:$BF$95,MATCH($A11,役男大表!$A$1:$A$97,0),   MATCH(W$1,役男大表!$A$3:$BF$3,0)  )                  )  )  )," ",""),"")</f>
        <v/>
      </c>
      <c r="X11" s="278" t="str">
        <f>_xlfn.IFNA(  SUBSTITUTE(     IF(  INDEX(役男大表!$A$1:$BF$95,MATCH($A11,役男大表!$A$1:$A$97,0),   MATCH(X$1,役男大表!$A$3:$BF$3,0)  )=0,"",  IF(  INDEX(役男大表!$A$1:$BF$95,MATCH($A11,役男大表!$A$1:$A$97,0),   MATCH(X$1,役男大表!$A$3:$BF$3,0)  )="榮","x",  IF(  INDEX(役男大表!$A$1:$BF$95,MATCH($A11,役男大表!$A$1:$A$97,0),   MATCH(X$1,役男大表!$A$3:$BF$3,0)  )="榮-22",  "x榮18-22",               INDEX(役男大表!$A$1:$BF$95,MATCH($A11,役男大表!$A$1:$A$97,0),   MATCH(X$1,役男大表!$A$3:$BF$3,0)  )                  )  )  )," ",""),"")</f>
        <v/>
      </c>
      <c r="Y11" s="278" t="str">
        <f>_xlfn.IFNA(  SUBSTITUTE(     IF(  INDEX(役男大表!$A$1:$BF$95,MATCH($A11,役男大表!$A$1:$A$97,0),   MATCH(Y$1,役男大表!$A$3:$BF$3,0)  )=0,"",  IF(  INDEX(役男大表!$A$1:$BF$95,MATCH($A11,役男大表!$A$1:$A$97,0),   MATCH(Y$1,役男大表!$A$3:$BF$3,0)  )="榮","x",  IF(  INDEX(役男大表!$A$1:$BF$95,MATCH($A11,役男大表!$A$1:$A$97,0),   MATCH(Y$1,役男大表!$A$3:$BF$3,0)  )="榮-22",  "x榮18-22",               INDEX(役男大表!$A$1:$BF$95,MATCH($A11,役男大表!$A$1:$A$97,0),   MATCH(Y$1,役男大表!$A$3:$BF$3,0)  )                  )  )  )," ",""),"")</f>
        <v/>
      </c>
      <c r="Z11" s="278" t="str">
        <f>_xlfn.IFNA(  SUBSTITUTE(     IF(  INDEX(役男大表!$A$1:$BF$95,MATCH($A11,役男大表!$A$1:$A$97,0),   MATCH(Z$1,役男大表!$A$3:$BF$3,0)  )=0,"",  IF(  INDEX(役男大表!$A$1:$BF$95,MATCH($A11,役男大表!$A$1:$A$97,0),   MATCH(Z$1,役男大表!$A$3:$BF$3,0)  )="榮","x",  IF(  INDEX(役男大表!$A$1:$BF$95,MATCH($A11,役男大表!$A$1:$A$97,0),   MATCH(Z$1,役男大表!$A$3:$BF$3,0)  )="榮-22",  "x榮18-22",               INDEX(役男大表!$A$1:$BF$95,MATCH($A11,役男大表!$A$1:$A$97,0),   MATCH(Z$1,役男大表!$A$3:$BF$3,0)  )                  )  )  )," ",""),"")</f>
        <v/>
      </c>
      <c r="AA11" s="278" t="str">
        <f>_xlfn.IFNA(  SUBSTITUTE(     IF(  INDEX(役男大表!$A$1:$BF$95,MATCH($A11,役男大表!$A$1:$A$97,0),   MATCH(AA$1,役男大表!$A$3:$BF$3,0)  )=0,"",  IF(  INDEX(役男大表!$A$1:$BF$95,MATCH($A11,役男大表!$A$1:$A$97,0),   MATCH(AA$1,役男大表!$A$3:$BF$3,0)  )="榮","x",  IF(  INDEX(役男大表!$A$1:$BF$95,MATCH($A11,役男大表!$A$1:$A$97,0),   MATCH(AA$1,役男大表!$A$3:$BF$3,0)  )="榮-22",  "x榮18-22",               INDEX(役男大表!$A$1:$BF$95,MATCH($A11,役男大表!$A$1:$A$97,0),   MATCH(AA$1,役男大表!$A$3:$BF$3,0)  )                  )  )  )," ",""),"")</f>
        <v/>
      </c>
      <c r="AB11" s="278" t="str">
        <f>_xlfn.IFNA(  SUBSTITUTE(     IF(  INDEX(役男大表!$A$1:$BF$95,MATCH($A11,役男大表!$A$1:$A$97,0),   MATCH(AB$1,役男大表!$A$3:$BF$3,0)  )=0,"",  IF(  INDEX(役男大表!$A$1:$BF$95,MATCH($A11,役男大表!$A$1:$A$97,0),   MATCH(AB$1,役男大表!$A$3:$BF$3,0)  )="榮","x",  IF(  INDEX(役男大表!$A$1:$BF$95,MATCH($A11,役男大表!$A$1:$A$97,0),   MATCH(AB$1,役男大表!$A$3:$BF$3,0)  )="榮-22",  "x榮18-22",               INDEX(役男大表!$A$1:$BF$95,MATCH($A11,役男大表!$A$1:$A$97,0),   MATCH(AB$1,役男大表!$A$3:$BF$3,0)  )                  )  )  )," ",""),"")</f>
        <v/>
      </c>
      <c r="AC11" s="278" t="str">
        <f>_xlfn.IFNA(  SUBSTITUTE(     IF(  INDEX(役男大表!$A$1:$BF$95,MATCH($A11,役男大表!$A$1:$A$97,0),   MATCH(AC$1,役男大表!$A$3:$BF$3,0)  )=0,"",  IF(  INDEX(役男大表!$A$1:$BF$95,MATCH($A11,役男大表!$A$1:$A$97,0),   MATCH(AC$1,役男大表!$A$3:$BF$3,0)  )="榮","x",  IF(  INDEX(役男大表!$A$1:$BF$95,MATCH($A11,役男大表!$A$1:$A$97,0),   MATCH(AC$1,役男大表!$A$3:$BF$3,0)  )="榮-22",  "x榮18-22",               INDEX(役男大表!$A$1:$BF$95,MATCH($A11,役男大表!$A$1:$A$97,0),   MATCH(AC$1,役男大表!$A$3:$BF$3,0)  )                  )  )  )," ",""),"")</f>
        <v/>
      </c>
      <c r="AD11" s="278" t="str">
        <f>_xlfn.IFNA(  SUBSTITUTE(     IF(  INDEX(役男大表!$A$1:$BF$95,MATCH($A11,役男大表!$A$1:$A$97,0),   MATCH(AD$1,役男大表!$A$3:$BF$3,0)  )=0,"",  IF(  INDEX(役男大表!$A$1:$BF$95,MATCH($A11,役男大表!$A$1:$A$97,0),   MATCH(AD$1,役男大表!$A$3:$BF$3,0)  )="榮","x",  IF(  INDEX(役男大表!$A$1:$BF$95,MATCH($A11,役男大表!$A$1:$A$97,0),   MATCH(AD$1,役男大表!$A$3:$BF$3,0)  )="榮-22",  "x榮18-22",               INDEX(役男大表!$A$1:$BF$95,MATCH($A11,役男大表!$A$1:$A$97,0),   MATCH(AD$1,役男大表!$A$3:$BF$3,0)  )                  )  )  )," ",""),"")</f>
        <v/>
      </c>
      <c r="AE11" s="278" t="str">
        <f>_xlfn.IFNA(  SUBSTITUTE(     IF(  INDEX(役男大表!$A$1:$BF$95,MATCH($A11,役男大表!$A$1:$A$97,0),   MATCH(AE$1,役男大表!$A$3:$BF$3,0)  )=0,"",  IF(  INDEX(役男大表!$A$1:$BF$95,MATCH($A11,役男大表!$A$1:$A$97,0),   MATCH(AE$1,役男大表!$A$3:$BF$3,0)  )="榮","x",  IF(  INDEX(役男大表!$A$1:$BF$95,MATCH($A11,役男大表!$A$1:$A$97,0),   MATCH(AE$1,役男大表!$A$3:$BF$3,0)  )="榮-22",  "x榮18-22",               INDEX(役男大表!$A$1:$BF$95,MATCH($A11,役男大表!$A$1:$A$97,0),   MATCH(AE$1,役男大表!$A$3:$BF$3,0)  )                  )  )  )," ",""),"")</f>
        <v/>
      </c>
      <c r="AF11" s="278" t="str">
        <f>_xlfn.IFNA(  SUBSTITUTE(     IF(  INDEX(役男大表!$A$1:$BF$95,MATCH($A11,役男大表!$A$1:$A$97,0),   MATCH(AF$1,役男大表!$A$3:$BF$3,0)  )=0,"",  IF(  INDEX(役男大表!$A$1:$BF$95,MATCH($A11,役男大表!$A$1:$A$97,0),   MATCH(AF$1,役男大表!$A$3:$BF$3,0)  )="榮","x",  IF(  INDEX(役男大表!$A$1:$BF$95,MATCH($A11,役男大表!$A$1:$A$97,0),   MATCH(AF$1,役男大表!$A$3:$BF$3,0)  )="榮-22",  "x榮18-22",               INDEX(役男大表!$A$1:$BF$95,MATCH($A11,役男大表!$A$1:$A$97,0),   MATCH(AF$1,役男大表!$A$3:$BF$3,0)  )                  )  )  )," ",""),"")</f>
        <v/>
      </c>
      <c r="AG11" s="278" t="str">
        <f>_xlfn.IFNA(  SUBSTITUTE(     IF(  INDEX(役男大表!$A$1:$BF$95,MATCH($A11,役男大表!$A$1:$A$97,0),   MATCH(AG$1,役男大表!$A$3:$BF$3,0)  )=0,"",  IF(  INDEX(役男大表!$A$1:$BF$95,MATCH($A11,役男大表!$A$1:$A$97,0),   MATCH(AG$1,役男大表!$A$3:$BF$3,0)  )="榮","x",  IF(  INDEX(役男大表!$A$1:$BF$95,MATCH($A11,役男大表!$A$1:$A$97,0),   MATCH(AG$1,役男大表!$A$3:$BF$3,0)  )="榮-22",  "x榮18-22",               INDEX(役男大表!$A$1:$BF$95,MATCH($A11,役男大表!$A$1:$A$97,0),   MATCH(AG$1,役男大表!$A$3:$BF$3,0)  )                  )  )  )," ",""),"")</f>
        <v>x</v>
      </c>
      <c r="AH11" s="278" t="str">
        <f>_xlfn.IFNA(  SUBSTITUTE(     IF(  INDEX(役男大表!$A$1:$BF$95,MATCH($A11,役男大表!$A$1:$A$97,0),   MATCH(AH$1,役男大表!$A$3:$BF$3,0)  )=0,"",  IF(  INDEX(役男大表!$A$1:$BF$95,MATCH($A11,役男大表!$A$1:$A$97,0),   MATCH(AH$1,役男大表!$A$3:$BF$3,0)  )="榮","x",  IF(  INDEX(役男大表!$A$1:$BF$95,MATCH($A11,役男大表!$A$1:$A$97,0),   MATCH(AH$1,役男大表!$A$3:$BF$3,0)  )="榮-22",  "x榮18-22",               INDEX(役男大表!$A$1:$BF$95,MATCH($A11,役男大表!$A$1:$A$97,0),   MATCH(AH$1,役男大表!$A$3:$BF$3,0)  )                  )  )  )," ",""),"")</f>
        <v/>
      </c>
      <c r="AI11" s="278" t="str">
        <f>_xlfn.IFNA(  SUBSTITUTE(     IF(  INDEX(役男大表!$A$1:$BF$95,MATCH($A11,役男大表!$A$1:$A$97,0),   MATCH(AI$1,役男大表!$A$3:$BF$3,0)  )=0,"",  IF(  INDEX(役男大表!$A$1:$BF$95,MATCH($A11,役男大表!$A$1:$A$97,0),   MATCH(AI$1,役男大表!$A$3:$BF$3,0)  )="榮","x",  IF(  INDEX(役男大表!$A$1:$BF$95,MATCH($A11,役男大表!$A$1:$A$97,0),   MATCH(AI$1,役男大表!$A$3:$BF$3,0)  )="榮-22",  "x榮18-22",               INDEX(役男大表!$A$1:$BF$95,MATCH($A11,役男大表!$A$1:$A$97,0),   MATCH(AI$1,役男大表!$A$3:$BF$3,0)  )                  )  )  )," ",""),"")</f>
        <v/>
      </c>
      <c r="AJ11" s="278" t="str">
        <f>_xlfn.IFNA(  SUBSTITUTE(     IF(  INDEX(役男大表!$A$1:$BF$95,MATCH($A11,役男大表!$A$1:$A$97,0),   MATCH(AJ$1,役男大表!$A$3:$BF$3,0)  )=0,"",  IF(  INDEX(役男大表!$A$1:$BF$95,MATCH($A11,役男大表!$A$1:$A$97,0),   MATCH(AJ$1,役男大表!$A$3:$BF$3,0)  )="榮","x",  IF(  INDEX(役男大表!$A$1:$BF$95,MATCH($A11,役男大表!$A$1:$A$97,0),   MATCH(AJ$1,役男大表!$A$3:$BF$3,0)  )="榮-22",  "x榮18-22",               INDEX(役男大表!$A$1:$BF$95,MATCH($A11,役男大表!$A$1:$A$97,0),   MATCH(AJ$1,役男大表!$A$3:$BF$3,0)  )                  )  )  )," ",""),"")</f>
        <v/>
      </c>
      <c r="AM11" s="66">
        <f t="shared" si="1"/>
        <v>10</v>
      </c>
      <c r="AN11" s="66" t="str">
        <f t="shared" si="2"/>
        <v>劉威志</v>
      </c>
      <c r="AO11" s="71" t="str">
        <f>IF(  AND(  INDEX(   $A$42:$AJ$79, MATCH(AM11,$A$42:$A$79,0),MATCH(  日期輸入!$C$3,$A$42:$AL$42,0  )  )="全日勤",  AV11="免"  ),  "全日勤免勤教",  IF(  AND(  INDEX(   $A$42:$AJ$79, MATCH(AM11,$A$42:$A$79,0),MATCH(  日期輸入!$C$3,$A$42:$AL$42,0  )  )="18放",  AV11="免"  ),  "18放早走",  INDEX(   $A$42:$AJ$79, MATCH(AM11,$A$42:$A$79,0),MATCH(  日期輸入!$C$3,$A$42:$AL$42,0  )  )  )  )</f>
        <v>18收</v>
      </c>
      <c r="AP11" s="66" t="str">
        <f>_xlfn.IFNA(IF((ROW(AP11)-1)&lt;=暫1!$B$2,IF(VALUE($AM11)=暫1!B$3,"家因",IF(VALUE($AM11)=暫1!C$3,"家因",IF(VALUE($AM11)=暫1!D$3,"家因",IF(VALUE($AM11)=暫1!E$3,"家因",IF(VALUE($AM11)=暫1!F$3,"家因",IF(VALUE($AM11)=暫1!G$3,"家因",IF(VALUE($AM11)=暫1!H$3,"家因",IF(VALUE($AM11)=暫1!I$3,"家因",IF(VALUE($AM11)=暫1!J$3,"家因",IF(VALUE($AM11)=暫1!K$3,"家因",IF(VALUE($AM11)=暫1!L$3,"家因",IF(VALUE($AM11)=暫1!M$3,"家因",IF(VALUE($AM11)=暫1!N$3,"家因",IF(VALUE($AM11)=暫1!O$3,"家因",IF(VALUE($AM11)=暫1!P$3,"家因",IF(VALUE($AM11)=暫1!Q$3,"家因",IF(VALUE($AM11)=暫1!R$3,"家因",IF(VALUE($AM11)=暫1!S$3,"家因",IF(VALUE($AM11)=暫1!T$3,"家因",IF(VALUE($AM11)=暫1!U$3,"家因","")))))))))))))))))))),""),"")</f>
        <v/>
      </c>
      <c r="AQ11" s="66" t="str">
        <f>IF((ROW(AQ11)-1)&lt;=暫1!$B$2,_xlfn.IFNA(IF(INDEX($A$1:$AJ$41,MATCH($AN11,$B$1:$B$101,0),VALUE($AQ$1+3))="成","補",INDEX($A$1:$AJ$41,MATCH($AN11,$B$1:$B$101,0),VALUE($AQ$1+3))),""),"")</f>
        <v>x</v>
      </c>
      <c r="AR11" s="66" t="str">
        <f>IF((ROW(AR11)-1)&lt;=暫1!$B$2,_xlfn.IFNA(IF(INDEX($A$1:$AJ$41,MATCH($AN11,$B$1:$B$101,0),VALUE($AR$1+3))="成","補",INDEX($A$1:$AJ$41,MATCH($AN11,$B$1:$B$101,0),VALUE($AR$1+3))),""),"")</f>
        <v/>
      </c>
      <c r="AS11" s="66" t="str">
        <f>IF((ROW(AS11)-1)&lt;=暫1!$B$2,_xlfn.IFNA(IF(INDEX($A$1:$AJ$41,MATCH($AN11,$B$1:$B$101,0),VALUE($AS$1+3))="成","補",INDEX($A$1:$AJ$41,MATCH($AN11,$B$1:$B$101,0),VALUE($AS$1+3))),""),"")</f>
        <v/>
      </c>
      <c r="AT11" s="66" t="str">
        <f>IF(  OR(  LEN(  INDEX(   $A$1:$AJ$39, MATCH(AM11,$A$1:$A$39,0),MATCH(  日期輸入!$C$3,$A$1:$AP$1,0  )  )  )&gt;LEN(  SUBSTITUTE(  INDEX(   $A$1:$AJ$39, MATCH(AM11,$A$1:$A$39,0),MATCH(  日期輸入!$C$3,$A$1:$AP$1,0  )  ),"榮","")  )  ),   SUBSTITUTE(  SUBSTITUTE(  INDEX(   $A$1:$AJ$39, MATCH(AM11,$A$1:$A$39,0),MATCH(  日期輸入!$C$3,$A$1:$AP$1,0  )  ),"榮",""),"x",""), "")</f>
        <v/>
      </c>
      <c r="AU11" s="66" t="str">
        <f t="shared" si="3"/>
        <v/>
      </c>
      <c r="AV11" s="66" t="str">
        <f>INDEX(   $A$482:$AJ$519, MATCH(AM11,$A$482:$A$519,0),MATCH(  日期輸入!$C$3,$A$482:$AL$482,0  )  )</f>
        <v/>
      </c>
      <c r="AX11" s="66" t="str">
        <f>IFERROR(IF((ROW(AX11)-1)&lt;=暫1!$B$2,SUBSTITUTE(IF($AO11=$AX$1,$AM11,"")," ",""),""),"")</f>
        <v/>
      </c>
      <c r="AY11" s="66" t="str">
        <f>IFERROR(IF((ROW(AY11)-1)&lt;=暫1!$B$2,SUBSTITUTE(IF($AO11=$AY$1,$AM11,"")," ",""),""),"")</f>
        <v/>
      </c>
      <c r="AZ11" s="66" t="str">
        <f>IFERROR(IF((ROW(AZ11)-1)&lt;=暫1!$B$2,SUBSTITUTE(IF($AO11=$AZ$1,$AM11,"")," ",""),""),"")</f>
        <v/>
      </c>
      <c r="BA11" s="66" t="str">
        <f>IFERROR(IF((ROW(BA11)-1)&lt;=暫1!$B$2,SUBSTITUTE(IF($AO11=$BA$1,$AM11,"")," ",""),""),"")</f>
        <v>10</v>
      </c>
      <c r="BB11" s="69" t="str">
        <f>IFERROR(IF((ROW(BB11)-1)&lt;=暫1!$B$2,SUBSTITUTE(IF(OR($AO11=$BB$1,$AO11=$AY$1,$AO11=$AZ$1),$AM11,IF($AO11=$AY$1,$AM11,"")),"",""),""),"")</f>
        <v/>
      </c>
      <c r="BC11" s="69" t="str">
        <f>IF(    AND(LEN(BC10)&gt;=2 ),        "、" &amp;  IF(OR(役男人力!$J$2:$J$84="是"),役男人力!$B11,""),  IF(OR(役男人力!$J$2:$J$84="是"),役男人力!$B11,"")  )</f>
        <v>、</v>
      </c>
      <c r="BG11" s="73" t="s">
        <v>269</v>
      </c>
      <c r="BH11" s="63" t="str">
        <f>CONCATENATE(' 役男公式'!BG11,' 役男公式'!BG12," 共",' 役男公式'!BG13,"名")</f>
        <v>※本日在隊役男：2456911.12.14.16.17.18.19.22.26.29 共13名</v>
      </c>
    </row>
    <row r="12" spans="1:60" ht="25.5" customHeight="1">
      <c r="A12" s="278">
        <v>11</v>
      </c>
      <c r="B12" s="278" t="str">
        <f>_xlfn.IFNA(  INDEX(役男大表!$A$1:$BF$95,MATCH(A12,役男大表!$A$1:$A$97,0),2),"")</f>
        <v>梁展碩</v>
      </c>
      <c r="C12" s="278" t="str">
        <f>_xlfn.IFNA(  SUBSTITUTE(     IF(  INDEX(役男大表!$A$1:$BF$95,MATCH($A12,役男大表!$A$1:$A$97,0),   MATCH(C$1,役男大表!$A$3:$BF$3,0)  )=0,"",  IF(  INDEX(役男大表!$A$1:$BF$95,MATCH($A12,役男大表!$A$1:$A$97,0),   MATCH(C$1,役男大表!$A$3:$BF$3,0)  )="榮","x",  IF(  INDEX(役男大表!$A$1:$BF$95,MATCH($A12,役男大表!$A$1:$A$97,0),   MATCH(C$1,役男大表!$A$3:$BF$3,0)  )="榮-22",  "x榮18-22",               INDEX(役男大表!$A$1:$BF$95,MATCH($A12,役男大表!$A$1:$A$97,0),   MATCH(C$1,役男大表!$A$3:$BF$3,0)  )                  )  )  )," ",""),"")</f>
        <v/>
      </c>
      <c r="D12" s="278" t="str">
        <f>_xlfn.IFNA(  SUBSTITUTE(     IF(  INDEX(役男大表!$A$1:$BF$95,MATCH($A12,役男大表!$A$1:$A$97,0),   MATCH(D$1,役男大表!$A$3:$BF$3,0)  )=0,"",  IF(  INDEX(役男大表!$A$1:$BF$95,MATCH($A12,役男大表!$A$1:$A$97,0),   MATCH(D$1,役男大表!$A$3:$BF$3,0)  )="榮","x",  IF(  INDEX(役男大表!$A$1:$BF$95,MATCH($A12,役男大表!$A$1:$A$97,0),   MATCH(D$1,役男大表!$A$3:$BF$3,0)  )="榮-22",  "x榮18-22",               INDEX(役男大表!$A$1:$BF$95,MATCH($A12,役男大表!$A$1:$A$97,0),   MATCH(D$1,役男大表!$A$3:$BF$3,0)  )                  )  )  )," ",""),"")</f>
        <v/>
      </c>
      <c r="E12" s="278" t="str">
        <f>_xlfn.IFNA(  SUBSTITUTE(     IF(  INDEX(役男大表!$A$1:$BF$95,MATCH($A12,役男大表!$A$1:$A$97,0),   MATCH(E$1,役男大表!$A$3:$BF$3,0)  )=0,"",  IF(  INDEX(役男大表!$A$1:$BF$95,MATCH($A12,役男大表!$A$1:$A$97,0),   MATCH(E$1,役男大表!$A$3:$BF$3,0)  )="榮","x",  IF(  INDEX(役男大表!$A$1:$BF$95,MATCH($A12,役男大表!$A$1:$A$97,0),   MATCH(E$1,役男大表!$A$3:$BF$3,0)  )="榮-22",  "x榮18-22",               INDEX(役男大表!$A$1:$BF$95,MATCH($A12,役男大表!$A$1:$A$97,0),   MATCH(E$1,役男大表!$A$3:$BF$3,0)  )                  )  )  )," ",""),"")</f>
        <v/>
      </c>
      <c r="F12" s="278" t="str">
        <f>_xlfn.IFNA(  SUBSTITUTE(     IF(  INDEX(役男大表!$A$1:$BF$95,MATCH($A12,役男大表!$A$1:$A$97,0),   MATCH(F$1,役男大表!$A$3:$BF$3,0)  )=0,"",  IF(  INDEX(役男大表!$A$1:$BF$95,MATCH($A12,役男大表!$A$1:$A$97,0),   MATCH(F$1,役男大表!$A$3:$BF$3,0)  )="榮","x",  IF(  INDEX(役男大表!$A$1:$BF$95,MATCH($A12,役男大表!$A$1:$A$97,0),   MATCH(F$1,役男大表!$A$3:$BF$3,0)  )="榮-22",  "x榮18-22",               INDEX(役男大表!$A$1:$BF$95,MATCH($A12,役男大表!$A$1:$A$97,0),   MATCH(F$1,役男大表!$A$3:$BF$3,0)  )                  )  )  )," ",""),"")</f>
        <v/>
      </c>
      <c r="G12" s="278" t="str">
        <f>_xlfn.IFNA(  SUBSTITUTE(     IF(  INDEX(役男大表!$A$1:$BF$95,MATCH($A12,役男大表!$A$1:$A$97,0),   MATCH(G$1,役男大表!$A$3:$BF$3,0)  )=0,"",  IF(  INDEX(役男大表!$A$1:$BF$95,MATCH($A12,役男大表!$A$1:$A$97,0),   MATCH(G$1,役男大表!$A$3:$BF$3,0)  )="榮","x",  IF(  INDEX(役男大表!$A$1:$BF$95,MATCH($A12,役男大表!$A$1:$A$97,0),   MATCH(G$1,役男大表!$A$3:$BF$3,0)  )="榮-22",  "x榮18-22",               INDEX(役男大表!$A$1:$BF$95,MATCH($A12,役男大表!$A$1:$A$97,0),   MATCH(G$1,役男大表!$A$3:$BF$3,0)  )                  )  )  )," ",""),"")</f>
        <v/>
      </c>
      <c r="H12" s="278" t="str">
        <f>_xlfn.IFNA(  SUBSTITUTE(     IF(  INDEX(役男大表!$A$1:$BF$95,MATCH($A12,役男大表!$A$1:$A$97,0),   MATCH(H$1,役男大表!$A$3:$BF$3,0)  )=0,"",  IF(  INDEX(役男大表!$A$1:$BF$95,MATCH($A12,役男大表!$A$1:$A$97,0),   MATCH(H$1,役男大表!$A$3:$BF$3,0)  )="榮","x",  IF(  INDEX(役男大表!$A$1:$BF$95,MATCH($A12,役男大表!$A$1:$A$97,0),   MATCH(H$1,役男大表!$A$3:$BF$3,0)  )="榮-22",  "x榮18-22",               INDEX(役男大表!$A$1:$BF$95,MATCH($A12,役男大表!$A$1:$A$97,0),   MATCH(H$1,役男大表!$A$3:$BF$3,0)  )                  )  )  )," ",""),"")</f>
        <v/>
      </c>
      <c r="I12" s="278" t="str">
        <f>_xlfn.IFNA(  SUBSTITUTE(     IF(  INDEX(役男大表!$A$1:$BF$95,MATCH($A12,役男大表!$A$1:$A$97,0),   MATCH(I$1,役男大表!$A$3:$BF$3,0)  )=0,"",  IF(  INDEX(役男大表!$A$1:$BF$95,MATCH($A12,役男大表!$A$1:$A$97,0),   MATCH(I$1,役男大表!$A$3:$BF$3,0)  )="榮","x",  IF(  INDEX(役男大表!$A$1:$BF$95,MATCH($A12,役男大表!$A$1:$A$97,0),   MATCH(I$1,役男大表!$A$3:$BF$3,0)  )="榮-22",  "x榮18-22",               INDEX(役男大表!$A$1:$BF$95,MATCH($A12,役男大表!$A$1:$A$97,0),   MATCH(I$1,役男大表!$A$3:$BF$3,0)  )                  )  )  )," ",""),"")</f>
        <v/>
      </c>
      <c r="J12" s="278" t="str">
        <f>_xlfn.IFNA(  SUBSTITUTE(     IF(  INDEX(役男大表!$A$1:$BF$95,MATCH($A12,役男大表!$A$1:$A$97,0),   MATCH(J$1,役男大表!$A$3:$BF$3,0)  )=0,"",  IF(  INDEX(役男大表!$A$1:$BF$95,MATCH($A12,役男大表!$A$1:$A$97,0),   MATCH(J$1,役男大表!$A$3:$BF$3,0)  )="榮","x",  IF(  INDEX(役男大表!$A$1:$BF$95,MATCH($A12,役男大表!$A$1:$A$97,0),   MATCH(J$1,役男大表!$A$3:$BF$3,0)  )="榮-22",  "x榮18-22",               INDEX(役男大表!$A$1:$BF$95,MATCH($A12,役男大表!$A$1:$A$97,0),   MATCH(J$1,役男大表!$A$3:$BF$3,0)  )                  )  )  )," ",""),"")</f>
        <v/>
      </c>
      <c r="K12" s="278" t="str">
        <f>_xlfn.IFNA(  SUBSTITUTE(     IF(  INDEX(役男大表!$A$1:$BF$95,MATCH($A12,役男大表!$A$1:$A$97,0),   MATCH(K$1,役男大表!$A$3:$BF$3,0)  )=0,"",  IF(  INDEX(役男大表!$A$1:$BF$95,MATCH($A12,役男大表!$A$1:$A$97,0),   MATCH(K$1,役男大表!$A$3:$BF$3,0)  )="榮","x",  IF(  INDEX(役男大表!$A$1:$BF$95,MATCH($A12,役男大表!$A$1:$A$97,0),   MATCH(K$1,役男大表!$A$3:$BF$3,0)  )="榮-22",  "x榮18-22",               INDEX(役男大表!$A$1:$BF$95,MATCH($A12,役男大表!$A$1:$A$97,0),   MATCH(K$1,役男大表!$A$3:$BF$3,0)  )                  )  )  )," ",""),"")</f>
        <v/>
      </c>
      <c r="L12" s="278" t="str">
        <f>_xlfn.IFNA(  SUBSTITUTE(     IF(  INDEX(役男大表!$A$1:$BF$95,MATCH($A12,役男大表!$A$1:$A$97,0),   MATCH(L$1,役男大表!$A$3:$BF$3,0)  )=0,"",  IF(  INDEX(役男大表!$A$1:$BF$95,MATCH($A12,役男大表!$A$1:$A$97,0),   MATCH(L$1,役男大表!$A$3:$BF$3,0)  )="榮","x",  IF(  INDEX(役男大表!$A$1:$BF$95,MATCH($A12,役男大表!$A$1:$A$97,0),   MATCH(L$1,役男大表!$A$3:$BF$3,0)  )="榮-22",  "x榮18-22",               INDEX(役男大表!$A$1:$BF$95,MATCH($A12,役男大表!$A$1:$A$97,0),   MATCH(L$1,役男大表!$A$3:$BF$3,0)  )                  )  )  )," ",""),"")</f>
        <v/>
      </c>
      <c r="M12" s="278" t="str">
        <f>_xlfn.IFNA(  SUBSTITUTE(     IF(  INDEX(役男大表!$A$1:$BF$95,MATCH($A12,役男大表!$A$1:$A$97,0),   MATCH(M$1,役男大表!$A$3:$BF$3,0)  )=0,"",  IF(  INDEX(役男大表!$A$1:$BF$95,MATCH($A12,役男大表!$A$1:$A$97,0),   MATCH(M$1,役男大表!$A$3:$BF$3,0)  )="榮","x",  IF(  INDEX(役男大表!$A$1:$BF$95,MATCH($A12,役男大表!$A$1:$A$97,0),   MATCH(M$1,役男大表!$A$3:$BF$3,0)  )="榮-22",  "x榮18-22",               INDEX(役男大表!$A$1:$BF$95,MATCH($A12,役男大表!$A$1:$A$97,0),   MATCH(M$1,役男大表!$A$3:$BF$3,0)  )                  )  )  )," ",""),"")</f>
        <v/>
      </c>
      <c r="N12" s="278" t="str">
        <f>_xlfn.IFNA(  SUBSTITUTE(     IF(  INDEX(役男大表!$A$1:$BF$95,MATCH($A12,役男大表!$A$1:$A$97,0),   MATCH(N$1,役男大表!$A$3:$BF$3,0)  )=0,"",  IF(  INDEX(役男大表!$A$1:$BF$95,MATCH($A12,役男大表!$A$1:$A$97,0),   MATCH(N$1,役男大表!$A$3:$BF$3,0)  )="榮","x",  IF(  INDEX(役男大表!$A$1:$BF$95,MATCH($A12,役男大表!$A$1:$A$97,0),   MATCH(N$1,役男大表!$A$3:$BF$3,0)  )="榮-22",  "x榮18-22",               INDEX(役男大表!$A$1:$BF$95,MATCH($A12,役男大表!$A$1:$A$97,0),   MATCH(N$1,役男大表!$A$3:$BF$3,0)  )                  )  )  )," ",""),"")</f>
        <v/>
      </c>
      <c r="O12" s="278" t="str">
        <f>_xlfn.IFNA(  SUBSTITUTE(     IF(  INDEX(役男大表!$A$1:$BF$95,MATCH($A12,役男大表!$A$1:$A$97,0),   MATCH(O$1,役男大表!$A$3:$BF$3,0)  )=0,"",  IF(  INDEX(役男大表!$A$1:$BF$95,MATCH($A12,役男大表!$A$1:$A$97,0),   MATCH(O$1,役男大表!$A$3:$BF$3,0)  )="榮","x",  IF(  INDEX(役男大表!$A$1:$BF$95,MATCH($A12,役男大表!$A$1:$A$97,0),   MATCH(O$1,役男大表!$A$3:$BF$3,0)  )="榮-22",  "x榮18-22",               INDEX(役男大表!$A$1:$BF$95,MATCH($A12,役男大表!$A$1:$A$97,0),   MATCH(O$1,役男大表!$A$3:$BF$3,0)  )                  )  )  )," ",""),"")</f>
        <v/>
      </c>
      <c r="P12" s="278" t="str">
        <f>_xlfn.IFNA(  SUBSTITUTE(     IF(  INDEX(役男大表!$A$1:$BF$95,MATCH($A12,役男大表!$A$1:$A$97,0),   MATCH(P$1,役男大表!$A$3:$BF$3,0)  )=0,"",  IF(  INDEX(役男大表!$A$1:$BF$95,MATCH($A12,役男大表!$A$1:$A$97,0),   MATCH(P$1,役男大表!$A$3:$BF$3,0)  )="榮","x",  IF(  INDEX(役男大表!$A$1:$BF$95,MATCH($A12,役男大表!$A$1:$A$97,0),   MATCH(P$1,役男大表!$A$3:$BF$3,0)  )="榮-22",  "x榮18-22",               INDEX(役男大表!$A$1:$BF$95,MATCH($A12,役男大表!$A$1:$A$97,0),   MATCH(P$1,役男大表!$A$3:$BF$3,0)  )                  )  )  )," ",""),"")</f>
        <v/>
      </c>
      <c r="Q12" s="278" t="str">
        <f>_xlfn.IFNA(  SUBSTITUTE(     IF(  INDEX(役男大表!$A$1:$BF$95,MATCH($A12,役男大表!$A$1:$A$97,0),   MATCH(Q$1,役男大表!$A$3:$BF$3,0)  )=0,"",  IF(  INDEX(役男大表!$A$1:$BF$95,MATCH($A12,役男大表!$A$1:$A$97,0),   MATCH(Q$1,役男大表!$A$3:$BF$3,0)  )="榮","x",  IF(  INDEX(役男大表!$A$1:$BF$95,MATCH($A12,役男大表!$A$1:$A$97,0),   MATCH(Q$1,役男大表!$A$3:$BF$3,0)  )="榮-22",  "x榮18-22",               INDEX(役男大表!$A$1:$BF$95,MATCH($A12,役男大表!$A$1:$A$97,0),   MATCH(Q$1,役男大表!$A$3:$BF$3,0)  )                  )  )  )," ",""),"")</f>
        <v/>
      </c>
      <c r="R12" s="278" t="str">
        <f>_xlfn.IFNA(  SUBSTITUTE(     IF(  INDEX(役男大表!$A$1:$BF$95,MATCH($A12,役男大表!$A$1:$A$97,0),   MATCH(R$1,役男大表!$A$3:$BF$3,0)  )=0,"",  IF(  INDEX(役男大表!$A$1:$BF$95,MATCH($A12,役男大表!$A$1:$A$97,0),   MATCH(R$1,役男大表!$A$3:$BF$3,0)  )="榮","x",  IF(  INDEX(役男大表!$A$1:$BF$95,MATCH($A12,役男大表!$A$1:$A$97,0),   MATCH(R$1,役男大表!$A$3:$BF$3,0)  )="榮-22",  "x榮18-22",               INDEX(役男大表!$A$1:$BF$95,MATCH($A12,役男大表!$A$1:$A$97,0),   MATCH(R$1,役男大表!$A$3:$BF$3,0)  )                  )  )  )," ",""),"")</f>
        <v/>
      </c>
      <c r="S12" s="278" t="str">
        <f>_xlfn.IFNA(  SUBSTITUTE(     IF(  INDEX(役男大表!$A$1:$BF$95,MATCH($A12,役男大表!$A$1:$A$97,0),   MATCH(S$1,役男大表!$A$3:$BF$3,0)  )=0,"",  IF(  INDEX(役男大表!$A$1:$BF$95,MATCH($A12,役男大表!$A$1:$A$97,0),   MATCH(S$1,役男大表!$A$3:$BF$3,0)  )="榮","x",  IF(  INDEX(役男大表!$A$1:$BF$95,MATCH($A12,役男大表!$A$1:$A$97,0),   MATCH(S$1,役男大表!$A$3:$BF$3,0)  )="榮-22",  "x榮18-22",               INDEX(役男大表!$A$1:$BF$95,MATCH($A12,役男大表!$A$1:$A$97,0),   MATCH(S$1,役男大表!$A$3:$BF$3,0)  )                  )  )  )," ",""),"")</f>
        <v/>
      </c>
      <c r="T12" s="278" t="str">
        <f>_xlfn.IFNA(  SUBSTITUTE(     IF(  INDEX(役男大表!$A$1:$BF$95,MATCH($A12,役男大表!$A$1:$A$97,0),   MATCH(T$1,役男大表!$A$3:$BF$3,0)  )=0,"",  IF(  INDEX(役男大表!$A$1:$BF$95,MATCH($A12,役男大表!$A$1:$A$97,0),   MATCH(T$1,役男大表!$A$3:$BF$3,0)  )="榮","x",  IF(  INDEX(役男大表!$A$1:$BF$95,MATCH($A12,役男大表!$A$1:$A$97,0),   MATCH(T$1,役男大表!$A$3:$BF$3,0)  )="榮-22",  "x榮18-22",               INDEX(役男大表!$A$1:$BF$95,MATCH($A12,役男大表!$A$1:$A$97,0),   MATCH(T$1,役男大表!$A$3:$BF$3,0)  )                  )  )  )," ",""),"")</f>
        <v/>
      </c>
      <c r="U12" s="278" t="str">
        <f>_xlfn.IFNA(  SUBSTITUTE(     IF(  INDEX(役男大表!$A$1:$BF$95,MATCH($A12,役男大表!$A$1:$A$97,0),   MATCH(U$1,役男大表!$A$3:$BF$3,0)  )=0,"",  IF(  INDEX(役男大表!$A$1:$BF$95,MATCH($A12,役男大表!$A$1:$A$97,0),   MATCH(U$1,役男大表!$A$3:$BF$3,0)  )="榮","x",  IF(  INDEX(役男大表!$A$1:$BF$95,MATCH($A12,役男大表!$A$1:$A$97,0),   MATCH(U$1,役男大表!$A$3:$BF$3,0)  )="榮-22",  "x榮18-22",               INDEX(役男大表!$A$1:$BF$95,MATCH($A12,役男大表!$A$1:$A$97,0),   MATCH(U$1,役男大表!$A$3:$BF$3,0)  )                  )  )  )," ",""),"")</f>
        <v/>
      </c>
      <c r="V12" s="278" t="str">
        <f>_xlfn.IFNA(  SUBSTITUTE(     IF(  INDEX(役男大表!$A$1:$BF$95,MATCH($A12,役男大表!$A$1:$A$97,0),   MATCH(V$1,役男大表!$A$3:$BF$3,0)  )=0,"",  IF(  INDEX(役男大表!$A$1:$BF$95,MATCH($A12,役男大表!$A$1:$A$97,0),   MATCH(V$1,役男大表!$A$3:$BF$3,0)  )="榮","x",  IF(  INDEX(役男大表!$A$1:$BF$95,MATCH($A12,役男大表!$A$1:$A$97,0),   MATCH(V$1,役男大表!$A$3:$BF$3,0)  )="榮-22",  "x榮18-22",               INDEX(役男大表!$A$1:$BF$95,MATCH($A12,役男大表!$A$1:$A$97,0),   MATCH(V$1,役男大表!$A$3:$BF$3,0)  )                  )  )  )," ",""),"")</f>
        <v/>
      </c>
      <c r="W12" s="278" t="str">
        <f>_xlfn.IFNA(  SUBSTITUTE(     IF(  INDEX(役男大表!$A$1:$BF$95,MATCH($A12,役男大表!$A$1:$A$97,0),   MATCH(W$1,役男大表!$A$3:$BF$3,0)  )=0,"",  IF(  INDEX(役男大表!$A$1:$BF$95,MATCH($A12,役男大表!$A$1:$A$97,0),   MATCH(W$1,役男大表!$A$3:$BF$3,0)  )="榮","x",  IF(  INDEX(役男大表!$A$1:$BF$95,MATCH($A12,役男大表!$A$1:$A$97,0),   MATCH(W$1,役男大表!$A$3:$BF$3,0)  )="榮-22",  "x榮18-22",               INDEX(役男大表!$A$1:$BF$95,MATCH($A12,役男大表!$A$1:$A$97,0),   MATCH(W$1,役男大表!$A$3:$BF$3,0)  )                  )  )  )," ",""),"")</f>
        <v/>
      </c>
      <c r="X12" s="278" t="str">
        <f>_xlfn.IFNA(  SUBSTITUTE(     IF(  INDEX(役男大表!$A$1:$BF$95,MATCH($A12,役男大表!$A$1:$A$97,0),   MATCH(X$1,役男大表!$A$3:$BF$3,0)  )=0,"",  IF(  INDEX(役男大表!$A$1:$BF$95,MATCH($A12,役男大表!$A$1:$A$97,0),   MATCH(X$1,役男大表!$A$3:$BF$3,0)  )="榮","x",  IF(  INDEX(役男大表!$A$1:$BF$95,MATCH($A12,役男大表!$A$1:$A$97,0),   MATCH(X$1,役男大表!$A$3:$BF$3,0)  )="榮-22",  "x榮18-22",               INDEX(役男大表!$A$1:$BF$95,MATCH($A12,役男大表!$A$1:$A$97,0),   MATCH(X$1,役男大表!$A$3:$BF$3,0)  )                  )  )  )," ",""),"")</f>
        <v/>
      </c>
      <c r="Y12" s="278" t="str">
        <f>_xlfn.IFNA(  SUBSTITUTE(     IF(  INDEX(役男大表!$A$1:$BF$95,MATCH($A12,役男大表!$A$1:$A$97,0),   MATCH(Y$1,役男大表!$A$3:$BF$3,0)  )=0,"",  IF(  INDEX(役男大表!$A$1:$BF$95,MATCH($A12,役男大表!$A$1:$A$97,0),   MATCH(Y$1,役男大表!$A$3:$BF$3,0)  )="榮","x",  IF(  INDEX(役男大表!$A$1:$BF$95,MATCH($A12,役男大表!$A$1:$A$97,0),   MATCH(Y$1,役男大表!$A$3:$BF$3,0)  )="榮-22",  "x榮18-22",               INDEX(役男大表!$A$1:$BF$95,MATCH($A12,役男大表!$A$1:$A$97,0),   MATCH(Y$1,役男大表!$A$3:$BF$3,0)  )                  )  )  )," ",""),"")</f>
        <v/>
      </c>
      <c r="Z12" s="278" t="str">
        <f>_xlfn.IFNA(  SUBSTITUTE(     IF(  INDEX(役男大表!$A$1:$BF$95,MATCH($A12,役男大表!$A$1:$A$97,0),   MATCH(Z$1,役男大表!$A$3:$BF$3,0)  )=0,"",  IF(  INDEX(役男大表!$A$1:$BF$95,MATCH($A12,役男大表!$A$1:$A$97,0),   MATCH(Z$1,役男大表!$A$3:$BF$3,0)  )="榮","x",  IF(  INDEX(役男大表!$A$1:$BF$95,MATCH($A12,役男大表!$A$1:$A$97,0),   MATCH(Z$1,役男大表!$A$3:$BF$3,0)  )="榮-22",  "x榮18-22",               INDEX(役男大表!$A$1:$BF$95,MATCH($A12,役男大表!$A$1:$A$97,0),   MATCH(Z$1,役男大表!$A$3:$BF$3,0)  )                  )  )  )," ",""),"")</f>
        <v/>
      </c>
      <c r="AA12" s="278" t="str">
        <f>_xlfn.IFNA(  SUBSTITUTE(     IF(  INDEX(役男大表!$A$1:$BF$95,MATCH($A12,役男大表!$A$1:$A$97,0),   MATCH(AA$1,役男大表!$A$3:$BF$3,0)  )=0,"",  IF(  INDEX(役男大表!$A$1:$BF$95,MATCH($A12,役男大表!$A$1:$A$97,0),   MATCH(AA$1,役男大表!$A$3:$BF$3,0)  )="榮","x",  IF(  INDEX(役男大表!$A$1:$BF$95,MATCH($A12,役男大表!$A$1:$A$97,0),   MATCH(AA$1,役男大表!$A$3:$BF$3,0)  )="榮-22",  "x榮18-22",               INDEX(役男大表!$A$1:$BF$95,MATCH($A12,役男大表!$A$1:$A$97,0),   MATCH(AA$1,役男大表!$A$3:$BF$3,0)  )                  )  )  )," ",""),"")</f>
        <v/>
      </c>
      <c r="AB12" s="278" t="str">
        <f>_xlfn.IFNA(  SUBSTITUTE(     IF(  INDEX(役男大表!$A$1:$BF$95,MATCH($A12,役男大表!$A$1:$A$97,0),   MATCH(AB$1,役男大表!$A$3:$BF$3,0)  )=0,"",  IF(  INDEX(役男大表!$A$1:$BF$95,MATCH($A12,役男大表!$A$1:$A$97,0),   MATCH(AB$1,役男大表!$A$3:$BF$3,0)  )="榮","x",  IF(  INDEX(役男大表!$A$1:$BF$95,MATCH($A12,役男大表!$A$1:$A$97,0),   MATCH(AB$1,役男大表!$A$3:$BF$3,0)  )="榮-22",  "x榮18-22",               INDEX(役男大表!$A$1:$BF$95,MATCH($A12,役男大表!$A$1:$A$97,0),   MATCH(AB$1,役男大表!$A$3:$BF$3,0)  )                  )  )  )," ",""),"")</f>
        <v/>
      </c>
      <c r="AC12" s="278" t="str">
        <f>_xlfn.IFNA(  SUBSTITUTE(     IF(  INDEX(役男大表!$A$1:$BF$95,MATCH($A12,役男大表!$A$1:$A$97,0),   MATCH(AC$1,役男大表!$A$3:$BF$3,0)  )=0,"",  IF(  INDEX(役男大表!$A$1:$BF$95,MATCH($A12,役男大表!$A$1:$A$97,0),   MATCH(AC$1,役男大表!$A$3:$BF$3,0)  )="榮","x",  IF(  INDEX(役男大表!$A$1:$BF$95,MATCH($A12,役男大表!$A$1:$A$97,0),   MATCH(AC$1,役男大表!$A$3:$BF$3,0)  )="榮-22",  "x榮18-22",               INDEX(役男大表!$A$1:$BF$95,MATCH($A12,役男大表!$A$1:$A$97,0),   MATCH(AC$1,役男大表!$A$3:$BF$3,0)  )                  )  )  )," ",""),"")</f>
        <v/>
      </c>
      <c r="AD12" s="278" t="str">
        <f>_xlfn.IFNA(  SUBSTITUTE(     IF(  INDEX(役男大表!$A$1:$BF$95,MATCH($A12,役男大表!$A$1:$A$97,0),   MATCH(AD$1,役男大表!$A$3:$BF$3,0)  )=0,"",  IF(  INDEX(役男大表!$A$1:$BF$95,MATCH($A12,役男大表!$A$1:$A$97,0),   MATCH(AD$1,役男大表!$A$3:$BF$3,0)  )="榮","x",  IF(  INDEX(役男大表!$A$1:$BF$95,MATCH($A12,役男大表!$A$1:$A$97,0),   MATCH(AD$1,役男大表!$A$3:$BF$3,0)  )="榮-22",  "x榮18-22",               INDEX(役男大表!$A$1:$BF$95,MATCH($A12,役男大表!$A$1:$A$97,0),   MATCH(AD$1,役男大表!$A$3:$BF$3,0)  )                  )  )  )," ",""),"")</f>
        <v/>
      </c>
      <c r="AE12" s="278" t="str">
        <f>_xlfn.IFNA(  SUBSTITUTE(     IF(  INDEX(役男大表!$A$1:$BF$95,MATCH($A12,役男大表!$A$1:$A$97,0),   MATCH(AE$1,役男大表!$A$3:$BF$3,0)  )=0,"",  IF(  INDEX(役男大表!$A$1:$BF$95,MATCH($A12,役男大表!$A$1:$A$97,0),   MATCH(AE$1,役男大表!$A$3:$BF$3,0)  )="榮","x",  IF(  INDEX(役男大表!$A$1:$BF$95,MATCH($A12,役男大表!$A$1:$A$97,0),   MATCH(AE$1,役男大表!$A$3:$BF$3,0)  )="榮-22",  "x榮18-22",               INDEX(役男大表!$A$1:$BF$95,MATCH($A12,役男大表!$A$1:$A$97,0),   MATCH(AE$1,役男大表!$A$3:$BF$3,0)  )                  )  )  )," ",""),"")</f>
        <v/>
      </c>
      <c r="AF12" s="278" t="str">
        <f>_xlfn.IFNA(  SUBSTITUTE(     IF(  INDEX(役男大表!$A$1:$BF$95,MATCH($A12,役男大表!$A$1:$A$97,0),   MATCH(AF$1,役男大表!$A$3:$BF$3,0)  )=0,"",  IF(  INDEX(役男大表!$A$1:$BF$95,MATCH($A12,役男大表!$A$1:$A$97,0),   MATCH(AF$1,役男大表!$A$3:$BF$3,0)  )="榮","x",  IF(  INDEX(役男大表!$A$1:$BF$95,MATCH($A12,役男大表!$A$1:$A$97,0),   MATCH(AF$1,役男大表!$A$3:$BF$3,0)  )="榮-22",  "x榮18-22",               INDEX(役男大表!$A$1:$BF$95,MATCH($A12,役男大表!$A$1:$A$97,0),   MATCH(AF$1,役男大表!$A$3:$BF$3,0)  )                  )  )  )," ",""),"")</f>
        <v/>
      </c>
      <c r="AG12" s="278" t="str">
        <f>_xlfn.IFNA(  SUBSTITUTE(     IF(  INDEX(役男大表!$A$1:$BF$95,MATCH($A12,役男大表!$A$1:$A$97,0),   MATCH(AG$1,役男大表!$A$3:$BF$3,0)  )=0,"",  IF(  INDEX(役男大表!$A$1:$BF$95,MATCH($A12,役男大表!$A$1:$A$97,0),   MATCH(AG$1,役男大表!$A$3:$BF$3,0)  )="榮","x",  IF(  INDEX(役男大表!$A$1:$BF$95,MATCH($A12,役男大表!$A$1:$A$97,0),   MATCH(AG$1,役男大表!$A$3:$BF$3,0)  )="榮-22",  "x榮18-22",               INDEX(役男大表!$A$1:$BF$95,MATCH($A12,役男大表!$A$1:$A$97,0),   MATCH(AG$1,役男大表!$A$3:$BF$3,0)  )                  )  )  )," ",""),"")</f>
        <v/>
      </c>
      <c r="AH12" s="278" t="str">
        <f>_xlfn.IFNA(  SUBSTITUTE(     IF(  INDEX(役男大表!$A$1:$BF$95,MATCH($A12,役男大表!$A$1:$A$97,0),   MATCH(AH$1,役男大表!$A$3:$BF$3,0)  )=0,"",  IF(  INDEX(役男大表!$A$1:$BF$95,MATCH($A12,役男大表!$A$1:$A$97,0),   MATCH(AH$1,役男大表!$A$3:$BF$3,0)  )="榮","x",  IF(  INDEX(役男大表!$A$1:$BF$95,MATCH($A12,役男大表!$A$1:$A$97,0),   MATCH(AH$1,役男大表!$A$3:$BF$3,0)  )="榮-22",  "x榮18-22",               INDEX(役男大表!$A$1:$BF$95,MATCH($A12,役男大表!$A$1:$A$97,0),   MATCH(AH$1,役男大表!$A$3:$BF$3,0)  )                  )  )  )," ",""),"")</f>
        <v/>
      </c>
      <c r="AI12" s="278" t="str">
        <f>_xlfn.IFNA(  SUBSTITUTE(     IF(  INDEX(役男大表!$A$1:$BF$95,MATCH($A12,役男大表!$A$1:$A$97,0),   MATCH(AI$1,役男大表!$A$3:$BF$3,0)  )=0,"",  IF(  INDEX(役男大表!$A$1:$BF$95,MATCH($A12,役男大表!$A$1:$A$97,0),   MATCH(AI$1,役男大表!$A$3:$BF$3,0)  )="榮","x",  IF(  INDEX(役男大表!$A$1:$BF$95,MATCH($A12,役男大表!$A$1:$A$97,0),   MATCH(AI$1,役男大表!$A$3:$BF$3,0)  )="榮-22",  "x榮18-22",               INDEX(役男大表!$A$1:$BF$95,MATCH($A12,役男大表!$A$1:$A$97,0),   MATCH(AI$1,役男大表!$A$3:$BF$3,0)  )                  )  )  )," ",""),"")</f>
        <v/>
      </c>
      <c r="AJ12" s="278" t="str">
        <f>_xlfn.IFNA(  SUBSTITUTE(     IF(  INDEX(役男大表!$A$1:$BF$95,MATCH($A12,役男大表!$A$1:$A$97,0),   MATCH(AJ$1,役男大表!$A$3:$BF$3,0)  )=0,"",  IF(  INDEX(役男大表!$A$1:$BF$95,MATCH($A12,役男大表!$A$1:$A$97,0),   MATCH(AJ$1,役男大表!$A$3:$BF$3,0)  )="榮","x",  IF(  INDEX(役男大表!$A$1:$BF$95,MATCH($A12,役男大表!$A$1:$A$97,0),   MATCH(AJ$1,役男大表!$A$3:$BF$3,0)  )="榮-22",  "x榮18-22",               INDEX(役男大表!$A$1:$BF$95,MATCH($A12,役男大表!$A$1:$A$97,0),   MATCH(AJ$1,役男大表!$A$3:$BF$3,0)  )                  )  )  )," ",""),"")</f>
        <v/>
      </c>
      <c r="AM12" s="66">
        <f t="shared" si="1"/>
        <v>11</v>
      </c>
      <c r="AN12" s="66" t="str">
        <f t="shared" si="2"/>
        <v>梁展碩</v>
      </c>
      <c r="AO12" s="71" t="str">
        <f>IF(  AND(  INDEX(   $A$42:$AJ$79, MATCH(AM12,$A$42:$A$79,0),MATCH(  日期輸入!$C$3,$A$42:$AL$42,0  )  )="全日勤",  AV12="免"  ),  "全日勤免勤教",  IF(  AND(  INDEX(   $A$42:$AJ$79, MATCH(AM12,$A$42:$A$79,0),MATCH(  日期輸入!$C$3,$A$42:$AL$42,0  )  )="18放",  AV12="免"  ),  "18放早走",  INDEX(   $A$42:$AJ$79, MATCH(AM12,$A$42:$A$79,0),MATCH(  日期輸入!$C$3,$A$42:$AL$42,0  )  )  )  )</f>
        <v>全日勤</v>
      </c>
      <c r="AP12" s="66" t="str">
        <f>_xlfn.IFNA(IF((ROW(AP12)-1)&lt;=暫1!$B$2,IF(VALUE($AM12)=暫1!B$3,"家因",IF(VALUE($AM12)=暫1!C$3,"家因",IF(VALUE($AM12)=暫1!D$3,"家因",IF(VALUE($AM12)=暫1!E$3,"家因",IF(VALUE($AM12)=暫1!F$3,"家因",IF(VALUE($AM12)=暫1!G$3,"家因",IF(VALUE($AM12)=暫1!H$3,"家因",IF(VALUE($AM12)=暫1!I$3,"家因",IF(VALUE($AM12)=暫1!J$3,"家因",IF(VALUE($AM12)=暫1!K$3,"家因",IF(VALUE($AM12)=暫1!L$3,"家因",IF(VALUE($AM12)=暫1!M$3,"家因",IF(VALUE($AM12)=暫1!N$3,"家因",IF(VALUE($AM12)=暫1!O$3,"家因",IF(VALUE($AM12)=暫1!P$3,"家因",IF(VALUE($AM12)=暫1!Q$3,"家因",IF(VALUE($AM12)=暫1!R$3,"家因",IF(VALUE($AM12)=暫1!S$3,"家因",IF(VALUE($AM12)=暫1!T$3,"家因",IF(VALUE($AM12)=暫1!U$3,"家因","")))))))))))))))))))),""),"")</f>
        <v/>
      </c>
      <c r="AQ12" s="66" t="str">
        <f>IF((ROW(AQ12)-1)&lt;=暫1!$B$2,_xlfn.IFNA(IF(INDEX($A$1:$AJ$41,MATCH($AN12,$B$1:$B$101,0),VALUE($AQ$1+3))="成","補",INDEX($A$1:$AJ$41,MATCH($AN12,$B$1:$B$101,0),VALUE($AQ$1+3))),""),"")</f>
        <v/>
      </c>
      <c r="AR12" s="66" t="str">
        <f>IF((ROW(AR12)-1)&lt;=暫1!$B$2,_xlfn.IFNA(IF(INDEX($A$1:$AJ$41,MATCH($AN12,$B$1:$B$101,0),VALUE($AR$1+3))="成","補",INDEX($A$1:$AJ$41,MATCH($AN12,$B$1:$B$101,0),VALUE($AR$1+3))),""),"")</f>
        <v/>
      </c>
      <c r="AS12" s="66" t="str">
        <f>IF((ROW(AS12)-1)&lt;=暫1!$B$2,_xlfn.IFNA(IF(INDEX($A$1:$AJ$41,MATCH($AN12,$B$1:$B$101,0),VALUE($AS$1+3))="成","補",INDEX($A$1:$AJ$41,MATCH($AN12,$B$1:$B$101,0),VALUE($AS$1+3))),""),"")</f>
        <v/>
      </c>
      <c r="AT12" s="66" t="str">
        <f>IF(  OR(  LEN(  INDEX(   $A$1:$AJ$39, MATCH(AM12,$A$1:$A$39,0),MATCH(  日期輸入!$C$3,$A$1:$AP$1,0  )  )  )&gt;LEN(  SUBSTITUTE(  INDEX(   $A$1:$AJ$39, MATCH(AM12,$A$1:$A$39,0),MATCH(  日期輸入!$C$3,$A$1:$AP$1,0  )  ),"榮","")  )  ),   SUBSTITUTE(  SUBSTITUTE(  INDEX(   $A$1:$AJ$39, MATCH(AM12,$A$1:$A$39,0),MATCH(  日期輸入!$C$3,$A$1:$AP$1,0  )  ),"榮",""),"x",""), "")</f>
        <v/>
      </c>
      <c r="AU12" s="66" t="str">
        <f t="shared" si="3"/>
        <v/>
      </c>
      <c r="AV12" s="66" t="str">
        <f>INDEX(   $A$482:$AJ$519, MATCH(AM12,$A$482:$A$519,0),MATCH(  日期輸入!$C$3,$A$482:$AL$482,0  )  )</f>
        <v/>
      </c>
      <c r="AX12" s="66" t="str">
        <f>IFERROR(IF((ROW(AX12)-1)&lt;=暫1!$B$2,SUBSTITUTE(IF($AO12=$AX$1,$AM12,"")," ",""),""),"")</f>
        <v/>
      </c>
      <c r="AY12" s="66" t="str">
        <f>IFERROR(IF((ROW(AY12)-1)&lt;=暫1!$B$2,SUBSTITUTE(IF($AO12=$AY$1,$AM12,"")," ",""),""),"")</f>
        <v/>
      </c>
      <c r="AZ12" s="66" t="str">
        <f>IFERROR(IF((ROW(AZ12)-1)&lt;=暫1!$B$2,SUBSTITUTE(IF($AO12=$AZ$1,$AM12,"")," ",""),""),"")</f>
        <v/>
      </c>
      <c r="BA12" s="66" t="str">
        <f>IFERROR(IF((ROW(BA12)-1)&lt;=暫1!$B$2,SUBSTITUTE(IF($AO12=$BA$1,$AM12,"")," ",""),""),"")</f>
        <v/>
      </c>
      <c r="BB12" s="69" t="str">
        <f>IFERROR(IF((ROW(BB12)-1)&lt;=暫1!$B$2,SUBSTITUTE(IF(OR($AO12=$BB$1,$AO12=$AY$1,$AO12=$AZ$1),$AM12,IF($AO12=$AY$1,$AM12,"")),"",""),""),"")</f>
        <v>11</v>
      </c>
      <c r="BC12" s="69" t="str">
        <f>IF(    AND(LEN(BC11)&gt;=2 ),        "、" &amp;  IF(OR(役男人力!$J$2:$J$84="是"),役男人力!$B12,""),  IF(OR(役男人力!$J$2:$J$84="是"),役男人力!$B12,"")  )</f>
        <v>梁展碩</v>
      </c>
      <c r="BG12" s="74" t="str">
        <f>INDEX(   A82:AJ119, 38,MATCH(  日期輸入!$C$3,A82:AP82,0  )  )</f>
        <v>2456911.12.14.16.17.18.19.22.26.29</v>
      </c>
    </row>
    <row r="13" spans="1:60" ht="25.5" customHeight="1" thickBot="1">
      <c r="A13" s="278">
        <v>12</v>
      </c>
      <c r="B13" s="278" t="str">
        <f>_xlfn.IFNA(  INDEX(役男大表!$A$1:$BF$95,MATCH(A13,役男大表!$A$1:$A$97,0),2),"")</f>
        <v>何奕諠</v>
      </c>
      <c r="C13" s="278" t="str">
        <f>_xlfn.IFNA(  SUBSTITUTE(     IF(  INDEX(役男大表!$A$1:$BF$95,MATCH($A13,役男大表!$A$1:$A$97,0),   MATCH(C$1,役男大表!$A$3:$BF$3,0)  )=0,"",  IF(  INDEX(役男大表!$A$1:$BF$95,MATCH($A13,役男大表!$A$1:$A$97,0),   MATCH(C$1,役男大表!$A$3:$BF$3,0)  )="榮","x",  IF(  INDEX(役男大表!$A$1:$BF$95,MATCH($A13,役男大表!$A$1:$A$97,0),   MATCH(C$1,役男大表!$A$3:$BF$3,0)  )="榮-22",  "x榮18-22",               INDEX(役男大表!$A$1:$BF$95,MATCH($A13,役男大表!$A$1:$A$97,0),   MATCH(C$1,役男大表!$A$3:$BF$3,0)  )                  )  )  )," ",""),"")</f>
        <v/>
      </c>
      <c r="D13" s="278" t="str">
        <f>_xlfn.IFNA(  SUBSTITUTE(     IF(  INDEX(役男大表!$A$1:$BF$95,MATCH($A13,役男大表!$A$1:$A$97,0),   MATCH(D$1,役男大表!$A$3:$BF$3,0)  )=0,"",  IF(  INDEX(役男大表!$A$1:$BF$95,MATCH($A13,役男大表!$A$1:$A$97,0),   MATCH(D$1,役男大表!$A$3:$BF$3,0)  )="榮","x",  IF(  INDEX(役男大表!$A$1:$BF$95,MATCH($A13,役男大表!$A$1:$A$97,0),   MATCH(D$1,役男大表!$A$3:$BF$3,0)  )="榮-22",  "x榮18-22",               INDEX(役男大表!$A$1:$BF$95,MATCH($A13,役男大表!$A$1:$A$97,0),   MATCH(D$1,役男大表!$A$3:$BF$3,0)  )                  )  )  )," ",""),"")</f>
        <v/>
      </c>
      <c r="E13" s="278" t="str">
        <f>_xlfn.IFNA(  SUBSTITUTE(     IF(  INDEX(役男大表!$A$1:$BF$95,MATCH($A13,役男大表!$A$1:$A$97,0),   MATCH(E$1,役男大表!$A$3:$BF$3,0)  )=0,"",  IF(  INDEX(役男大表!$A$1:$BF$95,MATCH($A13,役男大表!$A$1:$A$97,0),   MATCH(E$1,役男大表!$A$3:$BF$3,0)  )="榮","x",  IF(  INDEX(役男大表!$A$1:$BF$95,MATCH($A13,役男大表!$A$1:$A$97,0),   MATCH(E$1,役男大表!$A$3:$BF$3,0)  )="榮-22",  "x榮18-22",               INDEX(役男大表!$A$1:$BF$95,MATCH($A13,役男大表!$A$1:$A$97,0),   MATCH(E$1,役男大表!$A$3:$BF$3,0)  )                  )  )  )," ",""),"")</f>
        <v/>
      </c>
      <c r="F13" s="278" t="str">
        <f>_xlfn.IFNA(  SUBSTITUTE(     IF(  INDEX(役男大表!$A$1:$BF$95,MATCH($A13,役男大表!$A$1:$A$97,0),   MATCH(F$1,役男大表!$A$3:$BF$3,0)  )=0,"",  IF(  INDEX(役男大表!$A$1:$BF$95,MATCH($A13,役男大表!$A$1:$A$97,0),   MATCH(F$1,役男大表!$A$3:$BF$3,0)  )="榮","x",  IF(  INDEX(役男大表!$A$1:$BF$95,MATCH($A13,役男大表!$A$1:$A$97,0),   MATCH(F$1,役男大表!$A$3:$BF$3,0)  )="榮-22",  "x榮18-22",               INDEX(役男大表!$A$1:$BF$95,MATCH($A13,役男大表!$A$1:$A$97,0),   MATCH(F$1,役男大表!$A$3:$BF$3,0)  )                  )  )  )," ",""),"")</f>
        <v/>
      </c>
      <c r="G13" s="278" t="str">
        <f>_xlfn.IFNA(  SUBSTITUTE(     IF(  INDEX(役男大表!$A$1:$BF$95,MATCH($A13,役男大表!$A$1:$A$97,0),   MATCH(G$1,役男大表!$A$3:$BF$3,0)  )=0,"",  IF(  INDEX(役男大表!$A$1:$BF$95,MATCH($A13,役男大表!$A$1:$A$97,0),   MATCH(G$1,役男大表!$A$3:$BF$3,0)  )="榮","x",  IF(  INDEX(役男大表!$A$1:$BF$95,MATCH($A13,役男大表!$A$1:$A$97,0),   MATCH(G$1,役男大表!$A$3:$BF$3,0)  )="榮-22",  "x榮18-22",               INDEX(役男大表!$A$1:$BF$95,MATCH($A13,役男大表!$A$1:$A$97,0),   MATCH(G$1,役男大表!$A$3:$BF$3,0)  )                  )  )  )," ",""),"")</f>
        <v/>
      </c>
      <c r="H13" s="278" t="str">
        <f>_xlfn.IFNA(  SUBSTITUTE(     IF(  INDEX(役男大表!$A$1:$BF$95,MATCH($A13,役男大表!$A$1:$A$97,0),   MATCH(H$1,役男大表!$A$3:$BF$3,0)  )=0,"",  IF(  INDEX(役男大表!$A$1:$BF$95,MATCH($A13,役男大表!$A$1:$A$97,0),   MATCH(H$1,役男大表!$A$3:$BF$3,0)  )="榮","x",  IF(  INDEX(役男大表!$A$1:$BF$95,MATCH($A13,役男大表!$A$1:$A$97,0),   MATCH(H$1,役男大表!$A$3:$BF$3,0)  )="榮-22",  "x榮18-22",               INDEX(役男大表!$A$1:$BF$95,MATCH($A13,役男大表!$A$1:$A$97,0),   MATCH(H$1,役男大表!$A$3:$BF$3,0)  )                  )  )  )," ",""),"")</f>
        <v/>
      </c>
      <c r="I13" s="278" t="str">
        <f>_xlfn.IFNA(  SUBSTITUTE(     IF(  INDEX(役男大表!$A$1:$BF$95,MATCH($A13,役男大表!$A$1:$A$97,0),   MATCH(I$1,役男大表!$A$3:$BF$3,0)  )=0,"",  IF(  INDEX(役男大表!$A$1:$BF$95,MATCH($A13,役男大表!$A$1:$A$97,0),   MATCH(I$1,役男大表!$A$3:$BF$3,0)  )="榮","x",  IF(  INDEX(役男大表!$A$1:$BF$95,MATCH($A13,役男大表!$A$1:$A$97,0),   MATCH(I$1,役男大表!$A$3:$BF$3,0)  )="榮-22",  "x榮18-22",               INDEX(役男大表!$A$1:$BF$95,MATCH($A13,役男大表!$A$1:$A$97,0),   MATCH(I$1,役男大表!$A$3:$BF$3,0)  )                  )  )  )," ",""),"")</f>
        <v/>
      </c>
      <c r="J13" s="278" t="str">
        <f>_xlfn.IFNA(  SUBSTITUTE(     IF(  INDEX(役男大表!$A$1:$BF$95,MATCH($A13,役男大表!$A$1:$A$97,0),   MATCH(J$1,役男大表!$A$3:$BF$3,0)  )=0,"",  IF(  INDEX(役男大表!$A$1:$BF$95,MATCH($A13,役男大表!$A$1:$A$97,0),   MATCH(J$1,役男大表!$A$3:$BF$3,0)  )="榮","x",  IF(  INDEX(役男大表!$A$1:$BF$95,MATCH($A13,役男大表!$A$1:$A$97,0),   MATCH(J$1,役男大表!$A$3:$BF$3,0)  )="榮-22",  "x榮18-22",               INDEX(役男大表!$A$1:$BF$95,MATCH($A13,役男大表!$A$1:$A$97,0),   MATCH(J$1,役男大表!$A$3:$BF$3,0)  )                  )  )  )," ",""),"")</f>
        <v/>
      </c>
      <c r="K13" s="278" t="str">
        <f>_xlfn.IFNA(  SUBSTITUTE(     IF(  INDEX(役男大表!$A$1:$BF$95,MATCH($A13,役男大表!$A$1:$A$97,0),   MATCH(K$1,役男大表!$A$3:$BF$3,0)  )=0,"",  IF(  INDEX(役男大表!$A$1:$BF$95,MATCH($A13,役男大表!$A$1:$A$97,0),   MATCH(K$1,役男大表!$A$3:$BF$3,0)  )="榮","x",  IF(  INDEX(役男大表!$A$1:$BF$95,MATCH($A13,役男大表!$A$1:$A$97,0),   MATCH(K$1,役男大表!$A$3:$BF$3,0)  )="榮-22",  "x榮18-22",               INDEX(役男大表!$A$1:$BF$95,MATCH($A13,役男大表!$A$1:$A$97,0),   MATCH(K$1,役男大表!$A$3:$BF$3,0)  )                  )  )  )," ",""),"")</f>
        <v/>
      </c>
      <c r="L13" s="278" t="str">
        <f>_xlfn.IFNA(  SUBSTITUTE(     IF(  INDEX(役男大表!$A$1:$BF$95,MATCH($A13,役男大表!$A$1:$A$97,0),   MATCH(L$1,役男大表!$A$3:$BF$3,0)  )=0,"",  IF(  INDEX(役男大表!$A$1:$BF$95,MATCH($A13,役男大表!$A$1:$A$97,0),   MATCH(L$1,役男大表!$A$3:$BF$3,0)  )="榮","x",  IF(  INDEX(役男大表!$A$1:$BF$95,MATCH($A13,役男大表!$A$1:$A$97,0),   MATCH(L$1,役男大表!$A$3:$BF$3,0)  )="榮-22",  "x榮18-22",               INDEX(役男大表!$A$1:$BF$95,MATCH($A13,役男大表!$A$1:$A$97,0),   MATCH(L$1,役男大表!$A$3:$BF$3,0)  )                  )  )  )," ",""),"")</f>
        <v/>
      </c>
      <c r="M13" s="278" t="str">
        <f>_xlfn.IFNA(  SUBSTITUTE(     IF(  INDEX(役男大表!$A$1:$BF$95,MATCH($A13,役男大表!$A$1:$A$97,0),   MATCH(M$1,役男大表!$A$3:$BF$3,0)  )=0,"",  IF(  INDEX(役男大表!$A$1:$BF$95,MATCH($A13,役男大表!$A$1:$A$97,0),   MATCH(M$1,役男大表!$A$3:$BF$3,0)  )="榮","x",  IF(  INDEX(役男大表!$A$1:$BF$95,MATCH($A13,役男大表!$A$1:$A$97,0),   MATCH(M$1,役男大表!$A$3:$BF$3,0)  )="榮-22",  "x榮18-22",               INDEX(役男大表!$A$1:$BF$95,MATCH($A13,役男大表!$A$1:$A$97,0),   MATCH(M$1,役男大表!$A$3:$BF$3,0)  )                  )  )  )," ",""),"")</f>
        <v/>
      </c>
      <c r="N13" s="278" t="str">
        <f>_xlfn.IFNA(  SUBSTITUTE(     IF(  INDEX(役男大表!$A$1:$BF$95,MATCH($A13,役男大表!$A$1:$A$97,0),   MATCH(N$1,役男大表!$A$3:$BF$3,0)  )=0,"",  IF(  INDEX(役男大表!$A$1:$BF$95,MATCH($A13,役男大表!$A$1:$A$97,0),   MATCH(N$1,役男大表!$A$3:$BF$3,0)  )="榮","x",  IF(  INDEX(役男大表!$A$1:$BF$95,MATCH($A13,役男大表!$A$1:$A$97,0),   MATCH(N$1,役男大表!$A$3:$BF$3,0)  )="榮-22",  "x榮18-22",               INDEX(役男大表!$A$1:$BF$95,MATCH($A13,役男大表!$A$1:$A$97,0),   MATCH(N$1,役男大表!$A$3:$BF$3,0)  )                  )  )  )," ",""),"")</f>
        <v/>
      </c>
      <c r="O13" s="278" t="str">
        <f>_xlfn.IFNA(  SUBSTITUTE(     IF(  INDEX(役男大表!$A$1:$BF$95,MATCH($A13,役男大表!$A$1:$A$97,0),   MATCH(O$1,役男大表!$A$3:$BF$3,0)  )=0,"",  IF(  INDEX(役男大表!$A$1:$BF$95,MATCH($A13,役男大表!$A$1:$A$97,0),   MATCH(O$1,役男大表!$A$3:$BF$3,0)  )="榮","x",  IF(  INDEX(役男大表!$A$1:$BF$95,MATCH($A13,役男大表!$A$1:$A$97,0),   MATCH(O$1,役男大表!$A$3:$BF$3,0)  )="榮-22",  "x榮18-22",               INDEX(役男大表!$A$1:$BF$95,MATCH($A13,役男大表!$A$1:$A$97,0),   MATCH(O$1,役男大表!$A$3:$BF$3,0)  )                  )  )  )," ",""),"")</f>
        <v/>
      </c>
      <c r="P13" s="278" t="str">
        <f>_xlfn.IFNA(  SUBSTITUTE(     IF(  INDEX(役男大表!$A$1:$BF$95,MATCH($A13,役男大表!$A$1:$A$97,0),   MATCH(P$1,役男大表!$A$3:$BF$3,0)  )=0,"",  IF(  INDEX(役男大表!$A$1:$BF$95,MATCH($A13,役男大表!$A$1:$A$97,0),   MATCH(P$1,役男大表!$A$3:$BF$3,0)  )="榮","x",  IF(  INDEX(役男大表!$A$1:$BF$95,MATCH($A13,役男大表!$A$1:$A$97,0),   MATCH(P$1,役男大表!$A$3:$BF$3,0)  )="榮-22",  "x榮18-22",               INDEX(役男大表!$A$1:$BF$95,MATCH($A13,役男大表!$A$1:$A$97,0),   MATCH(P$1,役男大表!$A$3:$BF$3,0)  )                  )  )  )," ",""),"")</f>
        <v/>
      </c>
      <c r="Q13" s="278" t="str">
        <f>_xlfn.IFNA(  SUBSTITUTE(     IF(  INDEX(役男大表!$A$1:$BF$95,MATCH($A13,役男大表!$A$1:$A$97,0),   MATCH(Q$1,役男大表!$A$3:$BF$3,0)  )=0,"",  IF(  INDEX(役男大表!$A$1:$BF$95,MATCH($A13,役男大表!$A$1:$A$97,0),   MATCH(Q$1,役男大表!$A$3:$BF$3,0)  )="榮","x",  IF(  INDEX(役男大表!$A$1:$BF$95,MATCH($A13,役男大表!$A$1:$A$97,0),   MATCH(Q$1,役男大表!$A$3:$BF$3,0)  )="榮-22",  "x榮18-22",               INDEX(役男大表!$A$1:$BF$95,MATCH($A13,役男大表!$A$1:$A$97,0),   MATCH(Q$1,役男大表!$A$3:$BF$3,0)  )                  )  )  )," ",""),"")</f>
        <v/>
      </c>
      <c r="R13" s="278" t="str">
        <f>_xlfn.IFNA(  SUBSTITUTE(     IF(  INDEX(役男大表!$A$1:$BF$95,MATCH($A13,役男大表!$A$1:$A$97,0),   MATCH(R$1,役男大表!$A$3:$BF$3,0)  )=0,"",  IF(  INDEX(役男大表!$A$1:$BF$95,MATCH($A13,役男大表!$A$1:$A$97,0),   MATCH(R$1,役男大表!$A$3:$BF$3,0)  )="榮","x",  IF(  INDEX(役男大表!$A$1:$BF$95,MATCH($A13,役男大表!$A$1:$A$97,0),   MATCH(R$1,役男大表!$A$3:$BF$3,0)  )="榮-22",  "x榮18-22",               INDEX(役男大表!$A$1:$BF$95,MATCH($A13,役男大表!$A$1:$A$97,0),   MATCH(R$1,役男大表!$A$3:$BF$3,0)  )                  )  )  )," ",""),"")</f>
        <v/>
      </c>
      <c r="S13" s="278" t="str">
        <f>_xlfn.IFNA(  SUBSTITUTE(     IF(  INDEX(役男大表!$A$1:$BF$95,MATCH($A13,役男大表!$A$1:$A$97,0),   MATCH(S$1,役男大表!$A$3:$BF$3,0)  )=0,"",  IF(  INDEX(役男大表!$A$1:$BF$95,MATCH($A13,役男大表!$A$1:$A$97,0),   MATCH(S$1,役男大表!$A$3:$BF$3,0)  )="榮","x",  IF(  INDEX(役男大表!$A$1:$BF$95,MATCH($A13,役男大表!$A$1:$A$97,0),   MATCH(S$1,役男大表!$A$3:$BF$3,0)  )="榮-22",  "x榮18-22",               INDEX(役男大表!$A$1:$BF$95,MATCH($A13,役男大表!$A$1:$A$97,0),   MATCH(S$1,役男大表!$A$3:$BF$3,0)  )                  )  )  )," ",""),"")</f>
        <v/>
      </c>
      <c r="T13" s="278" t="str">
        <f>_xlfn.IFNA(  SUBSTITUTE(     IF(  INDEX(役男大表!$A$1:$BF$95,MATCH($A13,役男大表!$A$1:$A$97,0),   MATCH(T$1,役男大表!$A$3:$BF$3,0)  )=0,"",  IF(  INDEX(役男大表!$A$1:$BF$95,MATCH($A13,役男大表!$A$1:$A$97,0),   MATCH(T$1,役男大表!$A$3:$BF$3,0)  )="榮","x",  IF(  INDEX(役男大表!$A$1:$BF$95,MATCH($A13,役男大表!$A$1:$A$97,0),   MATCH(T$1,役男大表!$A$3:$BF$3,0)  )="榮-22",  "x榮18-22",               INDEX(役男大表!$A$1:$BF$95,MATCH($A13,役男大表!$A$1:$A$97,0),   MATCH(T$1,役男大表!$A$3:$BF$3,0)  )                  )  )  )," ",""),"")</f>
        <v/>
      </c>
      <c r="U13" s="278" t="str">
        <f>_xlfn.IFNA(  SUBSTITUTE(     IF(  INDEX(役男大表!$A$1:$BF$95,MATCH($A13,役男大表!$A$1:$A$97,0),   MATCH(U$1,役男大表!$A$3:$BF$3,0)  )=0,"",  IF(  INDEX(役男大表!$A$1:$BF$95,MATCH($A13,役男大表!$A$1:$A$97,0),   MATCH(U$1,役男大表!$A$3:$BF$3,0)  )="榮","x",  IF(  INDEX(役男大表!$A$1:$BF$95,MATCH($A13,役男大表!$A$1:$A$97,0),   MATCH(U$1,役男大表!$A$3:$BF$3,0)  )="榮-22",  "x榮18-22",               INDEX(役男大表!$A$1:$BF$95,MATCH($A13,役男大表!$A$1:$A$97,0),   MATCH(U$1,役男大表!$A$3:$BF$3,0)  )                  )  )  )," ",""),"")</f>
        <v/>
      </c>
      <c r="V13" s="278" t="str">
        <f>_xlfn.IFNA(  SUBSTITUTE(     IF(  INDEX(役男大表!$A$1:$BF$95,MATCH($A13,役男大表!$A$1:$A$97,0),   MATCH(V$1,役男大表!$A$3:$BF$3,0)  )=0,"",  IF(  INDEX(役男大表!$A$1:$BF$95,MATCH($A13,役男大表!$A$1:$A$97,0),   MATCH(V$1,役男大表!$A$3:$BF$3,0)  )="榮","x",  IF(  INDEX(役男大表!$A$1:$BF$95,MATCH($A13,役男大表!$A$1:$A$97,0),   MATCH(V$1,役男大表!$A$3:$BF$3,0)  )="榮-22",  "x榮18-22",               INDEX(役男大表!$A$1:$BF$95,MATCH($A13,役男大表!$A$1:$A$97,0),   MATCH(V$1,役男大表!$A$3:$BF$3,0)  )                  )  )  )," ",""),"")</f>
        <v/>
      </c>
      <c r="W13" s="278" t="str">
        <f>_xlfn.IFNA(  SUBSTITUTE(     IF(  INDEX(役男大表!$A$1:$BF$95,MATCH($A13,役男大表!$A$1:$A$97,0),   MATCH(W$1,役男大表!$A$3:$BF$3,0)  )=0,"",  IF(  INDEX(役男大表!$A$1:$BF$95,MATCH($A13,役男大表!$A$1:$A$97,0),   MATCH(W$1,役男大表!$A$3:$BF$3,0)  )="榮","x",  IF(  INDEX(役男大表!$A$1:$BF$95,MATCH($A13,役男大表!$A$1:$A$97,0),   MATCH(W$1,役男大表!$A$3:$BF$3,0)  )="榮-22",  "x榮18-22",               INDEX(役男大表!$A$1:$BF$95,MATCH($A13,役男大表!$A$1:$A$97,0),   MATCH(W$1,役男大表!$A$3:$BF$3,0)  )                  )  )  )," ",""),"")</f>
        <v/>
      </c>
      <c r="X13" s="278" t="str">
        <f>_xlfn.IFNA(  SUBSTITUTE(     IF(  INDEX(役男大表!$A$1:$BF$95,MATCH($A13,役男大表!$A$1:$A$97,0),   MATCH(X$1,役男大表!$A$3:$BF$3,0)  )=0,"",  IF(  INDEX(役男大表!$A$1:$BF$95,MATCH($A13,役男大表!$A$1:$A$97,0),   MATCH(X$1,役男大表!$A$3:$BF$3,0)  )="榮","x",  IF(  INDEX(役男大表!$A$1:$BF$95,MATCH($A13,役男大表!$A$1:$A$97,0),   MATCH(X$1,役男大表!$A$3:$BF$3,0)  )="榮-22",  "x榮18-22",               INDEX(役男大表!$A$1:$BF$95,MATCH($A13,役男大表!$A$1:$A$97,0),   MATCH(X$1,役男大表!$A$3:$BF$3,0)  )                  )  )  )," ",""),"")</f>
        <v/>
      </c>
      <c r="Y13" s="278" t="str">
        <f>_xlfn.IFNA(  SUBSTITUTE(     IF(  INDEX(役男大表!$A$1:$BF$95,MATCH($A13,役男大表!$A$1:$A$97,0),   MATCH(Y$1,役男大表!$A$3:$BF$3,0)  )=0,"",  IF(  INDEX(役男大表!$A$1:$BF$95,MATCH($A13,役男大表!$A$1:$A$97,0),   MATCH(Y$1,役男大表!$A$3:$BF$3,0)  )="榮","x",  IF(  INDEX(役男大表!$A$1:$BF$95,MATCH($A13,役男大表!$A$1:$A$97,0),   MATCH(Y$1,役男大表!$A$3:$BF$3,0)  )="榮-22",  "x榮18-22",               INDEX(役男大表!$A$1:$BF$95,MATCH($A13,役男大表!$A$1:$A$97,0),   MATCH(Y$1,役男大表!$A$3:$BF$3,0)  )                  )  )  )," ",""),"")</f>
        <v/>
      </c>
      <c r="Z13" s="278" t="str">
        <f>_xlfn.IFNA(  SUBSTITUTE(     IF(  INDEX(役男大表!$A$1:$BF$95,MATCH($A13,役男大表!$A$1:$A$97,0),   MATCH(Z$1,役男大表!$A$3:$BF$3,0)  )=0,"",  IF(  INDEX(役男大表!$A$1:$BF$95,MATCH($A13,役男大表!$A$1:$A$97,0),   MATCH(Z$1,役男大表!$A$3:$BF$3,0)  )="榮","x",  IF(  INDEX(役男大表!$A$1:$BF$95,MATCH($A13,役男大表!$A$1:$A$97,0),   MATCH(Z$1,役男大表!$A$3:$BF$3,0)  )="榮-22",  "x榮18-22",               INDEX(役男大表!$A$1:$BF$95,MATCH($A13,役男大表!$A$1:$A$97,0),   MATCH(Z$1,役男大表!$A$3:$BF$3,0)  )                  )  )  )," ",""),"")</f>
        <v/>
      </c>
      <c r="AA13" s="278" t="str">
        <f>_xlfn.IFNA(  SUBSTITUTE(     IF(  INDEX(役男大表!$A$1:$BF$95,MATCH($A13,役男大表!$A$1:$A$97,0),   MATCH(AA$1,役男大表!$A$3:$BF$3,0)  )=0,"",  IF(  INDEX(役男大表!$A$1:$BF$95,MATCH($A13,役男大表!$A$1:$A$97,0),   MATCH(AA$1,役男大表!$A$3:$BF$3,0)  )="榮","x",  IF(  INDEX(役男大表!$A$1:$BF$95,MATCH($A13,役男大表!$A$1:$A$97,0),   MATCH(AA$1,役男大表!$A$3:$BF$3,0)  )="榮-22",  "x榮18-22",               INDEX(役男大表!$A$1:$BF$95,MATCH($A13,役男大表!$A$1:$A$97,0),   MATCH(AA$1,役男大表!$A$3:$BF$3,0)  )                  )  )  )," ",""),"")</f>
        <v/>
      </c>
      <c r="AB13" s="278" t="str">
        <f>_xlfn.IFNA(  SUBSTITUTE(     IF(  INDEX(役男大表!$A$1:$BF$95,MATCH($A13,役男大表!$A$1:$A$97,0),   MATCH(AB$1,役男大表!$A$3:$BF$3,0)  )=0,"",  IF(  INDEX(役男大表!$A$1:$BF$95,MATCH($A13,役男大表!$A$1:$A$97,0),   MATCH(AB$1,役男大表!$A$3:$BF$3,0)  )="榮","x",  IF(  INDEX(役男大表!$A$1:$BF$95,MATCH($A13,役男大表!$A$1:$A$97,0),   MATCH(AB$1,役男大表!$A$3:$BF$3,0)  )="榮-22",  "x榮18-22",               INDEX(役男大表!$A$1:$BF$95,MATCH($A13,役男大表!$A$1:$A$97,0),   MATCH(AB$1,役男大表!$A$3:$BF$3,0)  )                  )  )  )," ",""),"")</f>
        <v/>
      </c>
      <c r="AC13" s="278" t="str">
        <f>_xlfn.IFNA(  SUBSTITUTE(     IF(  INDEX(役男大表!$A$1:$BF$95,MATCH($A13,役男大表!$A$1:$A$97,0),   MATCH(AC$1,役男大表!$A$3:$BF$3,0)  )=0,"",  IF(  INDEX(役男大表!$A$1:$BF$95,MATCH($A13,役男大表!$A$1:$A$97,0),   MATCH(AC$1,役男大表!$A$3:$BF$3,0)  )="榮","x",  IF(  INDEX(役男大表!$A$1:$BF$95,MATCH($A13,役男大表!$A$1:$A$97,0),   MATCH(AC$1,役男大表!$A$3:$BF$3,0)  )="榮-22",  "x榮18-22",               INDEX(役男大表!$A$1:$BF$95,MATCH($A13,役男大表!$A$1:$A$97,0),   MATCH(AC$1,役男大表!$A$3:$BF$3,0)  )                  )  )  )," ",""),"")</f>
        <v/>
      </c>
      <c r="AD13" s="278" t="str">
        <f>_xlfn.IFNA(  SUBSTITUTE(     IF(  INDEX(役男大表!$A$1:$BF$95,MATCH($A13,役男大表!$A$1:$A$97,0),   MATCH(AD$1,役男大表!$A$3:$BF$3,0)  )=0,"",  IF(  INDEX(役男大表!$A$1:$BF$95,MATCH($A13,役男大表!$A$1:$A$97,0),   MATCH(AD$1,役男大表!$A$3:$BF$3,0)  )="榮","x",  IF(  INDEX(役男大表!$A$1:$BF$95,MATCH($A13,役男大表!$A$1:$A$97,0),   MATCH(AD$1,役男大表!$A$3:$BF$3,0)  )="榮-22",  "x榮18-22",               INDEX(役男大表!$A$1:$BF$95,MATCH($A13,役男大表!$A$1:$A$97,0),   MATCH(AD$1,役男大表!$A$3:$BF$3,0)  )                  )  )  )," ",""),"")</f>
        <v/>
      </c>
      <c r="AE13" s="278" t="str">
        <f>_xlfn.IFNA(  SUBSTITUTE(     IF(  INDEX(役男大表!$A$1:$BF$95,MATCH($A13,役男大表!$A$1:$A$97,0),   MATCH(AE$1,役男大表!$A$3:$BF$3,0)  )=0,"",  IF(  INDEX(役男大表!$A$1:$BF$95,MATCH($A13,役男大表!$A$1:$A$97,0),   MATCH(AE$1,役男大表!$A$3:$BF$3,0)  )="榮","x",  IF(  INDEX(役男大表!$A$1:$BF$95,MATCH($A13,役男大表!$A$1:$A$97,0),   MATCH(AE$1,役男大表!$A$3:$BF$3,0)  )="榮-22",  "x榮18-22",               INDEX(役男大表!$A$1:$BF$95,MATCH($A13,役男大表!$A$1:$A$97,0),   MATCH(AE$1,役男大表!$A$3:$BF$3,0)  )                  )  )  )," ",""),"")</f>
        <v/>
      </c>
      <c r="AF13" s="278" t="str">
        <f>_xlfn.IFNA(  SUBSTITUTE(     IF(  INDEX(役男大表!$A$1:$BF$95,MATCH($A13,役男大表!$A$1:$A$97,0),   MATCH(AF$1,役男大表!$A$3:$BF$3,0)  )=0,"",  IF(  INDEX(役男大表!$A$1:$BF$95,MATCH($A13,役男大表!$A$1:$A$97,0),   MATCH(AF$1,役男大表!$A$3:$BF$3,0)  )="榮","x",  IF(  INDEX(役男大表!$A$1:$BF$95,MATCH($A13,役男大表!$A$1:$A$97,0),   MATCH(AF$1,役男大表!$A$3:$BF$3,0)  )="榮-22",  "x榮18-22",               INDEX(役男大表!$A$1:$BF$95,MATCH($A13,役男大表!$A$1:$A$97,0),   MATCH(AF$1,役男大表!$A$3:$BF$3,0)  )                  )  )  )," ",""),"")</f>
        <v/>
      </c>
      <c r="AG13" s="278" t="str">
        <f>_xlfn.IFNA(  SUBSTITUTE(     IF(  INDEX(役男大表!$A$1:$BF$95,MATCH($A13,役男大表!$A$1:$A$97,0),   MATCH(AG$1,役男大表!$A$3:$BF$3,0)  )=0,"",  IF(  INDEX(役男大表!$A$1:$BF$95,MATCH($A13,役男大表!$A$1:$A$97,0),   MATCH(AG$1,役男大表!$A$3:$BF$3,0)  )="榮","x",  IF(  INDEX(役男大表!$A$1:$BF$95,MATCH($A13,役男大表!$A$1:$A$97,0),   MATCH(AG$1,役男大表!$A$3:$BF$3,0)  )="榮-22",  "x榮18-22",               INDEX(役男大表!$A$1:$BF$95,MATCH($A13,役男大表!$A$1:$A$97,0),   MATCH(AG$1,役男大表!$A$3:$BF$3,0)  )                  )  )  )," ",""),"")</f>
        <v/>
      </c>
      <c r="AH13" s="278" t="str">
        <f>_xlfn.IFNA(  SUBSTITUTE(     IF(  INDEX(役男大表!$A$1:$BF$95,MATCH($A13,役男大表!$A$1:$A$97,0),   MATCH(AH$1,役男大表!$A$3:$BF$3,0)  )=0,"",  IF(  INDEX(役男大表!$A$1:$BF$95,MATCH($A13,役男大表!$A$1:$A$97,0),   MATCH(AH$1,役男大表!$A$3:$BF$3,0)  )="榮","x",  IF(  INDEX(役男大表!$A$1:$BF$95,MATCH($A13,役男大表!$A$1:$A$97,0),   MATCH(AH$1,役男大表!$A$3:$BF$3,0)  )="榮-22",  "x榮18-22",               INDEX(役男大表!$A$1:$BF$95,MATCH($A13,役男大表!$A$1:$A$97,0),   MATCH(AH$1,役男大表!$A$3:$BF$3,0)  )                  )  )  )," ",""),"")</f>
        <v/>
      </c>
      <c r="AI13" s="278" t="str">
        <f>_xlfn.IFNA(  SUBSTITUTE(     IF(  INDEX(役男大表!$A$1:$BF$95,MATCH($A13,役男大表!$A$1:$A$97,0),   MATCH(AI$1,役男大表!$A$3:$BF$3,0)  )=0,"",  IF(  INDEX(役男大表!$A$1:$BF$95,MATCH($A13,役男大表!$A$1:$A$97,0),   MATCH(AI$1,役男大表!$A$3:$BF$3,0)  )="榮","x",  IF(  INDEX(役男大表!$A$1:$BF$95,MATCH($A13,役男大表!$A$1:$A$97,0),   MATCH(AI$1,役男大表!$A$3:$BF$3,0)  )="榮-22",  "x榮18-22",               INDEX(役男大表!$A$1:$BF$95,MATCH($A13,役男大表!$A$1:$A$97,0),   MATCH(AI$1,役男大表!$A$3:$BF$3,0)  )                  )  )  )," ",""),"")</f>
        <v/>
      </c>
      <c r="AJ13" s="278" t="str">
        <f>_xlfn.IFNA(  SUBSTITUTE(     IF(  INDEX(役男大表!$A$1:$BF$95,MATCH($A13,役男大表!$A$1:$A$97,0),   MATCH(AJ$1,役男大表!$A$3:$BF$3,0)  )=0,"",  IF(  INDEX(役男大表!$A$1:$BF$95,MATCH($A13,役男大表!$A$1:$A$97,0),   MATCH(AJ$1,役男大表!$A$3:$BF$3,0)  )="榮","x",  IF(  INDEX(役男大表!$A$1:$BF$95,MATCH($A13,役男大表!$A$1:$A$97,0),   MATCH(AJ$1,役男大表!$A$3:$BF$3,0)  )="榮-22",  "x榮18-22",               INDEX(役男大表!$A$1:$BF$95,MATCH($A13,役男大表!$A$1:$A$97,0),   MATCH(AJ$1,役男大表!$A$3:$BF$3,0)  )                  )  )  )," ",""),"")</f>
        <v/>
      </c>
      <c r="AM13" s="66">
        <f t="shared" si="1"/>
        <v>12</v>
      </c>
      <c r="AN13" s="66" t="str">
        <f t="shared" si="2"/>
        <v>何奕諠</v>
      </c>
      <c r="AO13" s="71" t="str">
        <f>IF(  AND(  INDEX(   $A$42:$AJ$79, MATCH(AM13,$A$42:$A$79,0),MATCH(  日期輸入!$C$3,$A$42:$AL$42,0  )  )="全日勤",  AV13="免"  ),  "全日勤免勤教",  IF(  AND(  INDEX(   $A$42:$AJ$79, MATCH(AM13,$A$42:$A$79,0),MATCH(  日期輸入!$C$3,$A$42:$AL$42,0  )  )="18放",  AV13="免"  ),  "18放早走",  INDEX(   $A$42:$AJ$79, MATCH(AM13,$A$42:$A$79,0),MATCH(  日期輸入!$C$3,$A$42:$AL$42,0  )  )  )  )</f>
        <v>全日勤</v>
      </c>
      <c r="AP13" s="66" t="str">
        <f>_xlfn.IFNA(IF((ROW(AP13)-1)&lt;=暫1!$B$2,IF(VALUE($AM13)=暫1!B$3,"家因",IF(VALUE($AM13)=暫1!C$3,"家因",IF(VALUE($AM13)=暫1!D$3,"家因",IF(VALUE($AM13)=暫1!E$3,"家因",IF(VALUE($AM13)=暫1!F$3,"家因",IF(VALUE($AM13)=暫1!G$3,"家因",IF(VALUE($AM13)=暫1!H$3,"家因",IF(VALUE($AM13)=暫1!I$3,"家因",IF(VALUE($AM13)=暫1!J$3,"家因",IF(VALUE($AM13)=暫1!K$3,"家因",IF(VALUE($AM13)=暫1!L$3,"家因",IF(VALUE($AM13)=暫1!M$3,"家因",IF(VALUE($AM13)=暫1!N$3,"家因",IF(VALUE($AM13)=暫1!O$3,"家因",IF(VALUE($AM13)=暫1!P$3,"家因",IF(VALUE($AM13)=暫1!Q$3,"家因",IF(VALUE($AM13)=暫1!R$3,"家因",IF(VALUE($AM13)=暫1!S$3,"家因",IF(VALUE($AM13)=暫1!T$3,"家因",IF(VALUE($AM13)=暫1!U$3,"家因","")))))))))))))))))))),""),"")</f>
        <v/>
      </c>
      <c r="AQ13" s="66" t="str">
        <f>IF((ROW(AQ13)-1)&lt;=暫1!$B$2,_xlfn.IFNA(IF(INDEX($A$1:$AJ$41,MATCH($AN13,$B$1:$B$101,0),VALUE($AQ$1+3))="成","補",INDEX($A$1:$AJ$41,MATCH($AN13,$B$1:$B$101,0),VALUE($AQ$1+3))),""),"")</f>
        <v/>
      </c>
      <c r="AR13" s="66" t="str">
        <f>IF((ROW(AR13)-1)&lt;=暫1!$B$2,_xlfn.IFNA(IF(INDEX($A$1:$AJ$41,MATCH($AN13,$B$1:$B$101,0),VALUE($AR$1+3))="成","補",INDEX($A$1:$AJ$41,MATCH($AN13,$B$1:$B$101,0),VALUE($AR$1+3))),""),"")</f>
        <v/>
      </c>
      <c r="AS13" s="66" t="str">
        <f>IF((ROW(AS13)-1)&lt;=暫1!$B$2,_xlfn.IFNA(IF(INDEX($A$1:$AJ$41,MATCH($AN13,$B$1:$B$101,0),VALUE($AS$1+3))="成","補",INDEX($A$1:$AJ$41,MATCH($AN13,$B$1:$B$101,0),VALUE($AS$1+3))),""),"")</f>
        <v/>
      </c>
      <c r="AT13" s="66" t="str">
        <f>IF(  OR(  LEN(  INDEX(   $A$1:$AJ$39, MATCH(AM13,$A$1:$A$39,0),MATCH(  日期輸入!$C$3,$A$1:$AP$1,0  )  )  )&gt;LEN(  SUBSTITUTE(  INDEX(   $A$1:$AJ$39, MATCH(AM13,$A$1:$A$39,0),MATCH(  日期輸入!$C$3,$A$1:$AP$1,0  )  ),"榮","")  )  ),   SUBSTITUTE(  SUBSTITUTE(  INDEX(   $A$1:$AJ$39, MATCH(AM13,$A$1:$A$39,0),MATCH(  日期輸入!$C$3,$A$1:$AP$1,0  )  ),"榮",""),"x",""), "")</f>
        <v/>
      </c>
      <c r="AU13" s="66" t="str">
        <f t="shared" si="3"/>
        <v/>
      </c>
      <c r="AV13" s="66" t="str">
        <f>INDEX(   $A$482:$AJ$519, MATCH(AM13,$A$482:$A$519,0),MATCH(  日期輸入!$C$3,$A$482:$AL$482,0  )  )</f>
        <v/>
      </c>
      <c r="AX13" s="66" t="str">
        <f>IFERROR(IF((ROW(AX13)-1)&lt;=暫1!$B$2,SUBSTITUTE(IF($AO13=$AX$1,$AM13,"")," ",""),""),"")</f>
        <v/>
      </c>
      <c r="AY13" s="66" t="str">
        <f>IFERROR(IF((ROW(AY13)-1)&lt;=暫1!$B$2,SUBSTITUTE(IF($AO13=$AY$1,$AM13,"")," ",""),""),"")</f>
        <v/>
      </c>
      <c r="AZ13" s="66" t="str">
        <f>IFERROR(IF((ROW(AZ13)-1)&lt;=暫1!$B$2,SUBSTITUTE(IF($AO13=$AZ$1,$AM13,"")," ",""),""),"")</f>
        <v/>
      </c>
      <c r="BA13" s="66" t="str">
        <f>IFERROR(IF((ROW(BA13)-1)&lt;=暫1!$B$2,SUBSTITUTE(IF($AO13=$BA$1,$AM13,"")," ",""),""),"")</f>
        <v/>
      </c>
      <c r="BB13" s="69" t="str">
        <f>IFERROR(IF((ROW(BB13)-1)&lt;=暫1!$B$2,SUBSTITUTE(IF(OR($AO13=$BB$1,$AO13=$AY$1,$AO13=$AZ$1),$AM13,IF($AO13=$AY$1,$AM13,"")),"",""),""),"")</f>
        <v>12</v>
      </c>
      <c r="BC13" s="69" t="str">
        <f>IF(    AND(LEN(BC12)&gt;=2 ),        "、" &amp;  IF(OR(役男人力!$J$2:$J$84="是"),役男人力!$B13,""),  IF(OR(役男人力!$J$2:$J$84="是"),役男人力!$B13,"")  )</f>
        <v>、何奕諠</v>
      </c>
      <c r="BG13" s="75">
        <f>COUNTA(BB2:BB38)-COUNTBLANK(BB2:BB38)</f>
        <v>13</v>
      </c>
      <c r="BH13" s="63" t="s">
        <v>270</v>
      </c>
    </row>
    <row r="14" spans="1:60" s="275" customFormat="1" ht="25.5" customHeight="1">
      <c r="A14" s="278">
        <v>13</v>
      </c>
      <c r="B14" s="278" t="str">
        <f>_xlfn.IFNA(  INDEX(役男大表!$A$1:$BF$95,MATCH(A14,役男大表!$A$1:$A$97,0),2),"")</f>
        <v>楊瑞麟</v>
      </c>
      <c r="C14" s="278" t="str">
        <f>_xlfn.IFNA(  SUBSTITUTE(     IF(  INDEX(役男大表!$A$1:$BF$95,MATCH($A14,役男大表!$A$1:$A$97,0),   MATCH(C$1,役男大表!$A$3:$BF$3,0)  )=0,"",  IF(  INDEX(役男大表!$A$1:$BF$95,MATCH($A14,役男大表!$A$1:$A$97,0),   MATCH(C$1,役男大表!$A$3:$BF$3,0)  )="榮","x",  IF(  INDEX(役男大表!$A$1:$BF$95,MATCH($A14,役男大表!$A$1:$A$97,0),   MATCH(C$1,役男大表!$A$3:$BF$3,0)  )="榮-22",  "x榮18-22",               INDEX(役男大表!$A$1:$BF$95,MATCH($A14,役男大表!$A$1:$A$97,0),   MATCH(C$1,役男大表!$A$3:$BF$3,0)  )                  )  )  )," ",""),"")</f>
        <v/>
      </c>
      <c r="D14" s="278" t="str">
        <f>_xlfn.IFNA(  SUBSTITUTE(     IF(  INDEX(役男大表!$A$1:$BF$95,MATCH($A14,役男大表!$A$1:$A$97,0),   MATCH(D$1,役男大表!$A$3:$BF$3,0)  )=0,"",  IF(  INDEX(役男大表!$A$1:$BF$95,MATCH($A14,役男大表!$A$1:$A$97,0),   MATCH(D$1,役男大表!$A$3:$BF$3,0)  )="榮","x",  IF(  INDEX(役男大表!$A$1:$BF$95,MATCH($A14,役男大表!$A$1:$A$97,0),   MATCH(D$1,役男大表!$A$3:$BF$3,0)  )="榮-22",  "x榮18-22",               INDEX(役男大表!$A$1:$BF$95,MATCH($A14,役男大表!$A$1:$A$97,0),   MATCH(D$1,役男大表!$A$3:$BF$3,0)  )                  )  )  )," ",""),"")</f>
        <v/>
      </c>
      <c r="E14" s="278" t="str">
        <f>_xlfn.IFNA(  SUBSTITUTE(     IF(  INDEX(役男大表!$A$1:$BF$95,MATCH($A14,役男大表!$A$1:$A$97,0),   MATCH(E$1,役男大表!$A$3:$BF$3,0)  )=0,"",  IF(  INDEX(役男大表!$A$1:$BF$95,MATCH($A14,役男大表!$A$1:$A$97,0),   MATCH(E$1,役男大表!$A$3:$BF$3,0)  )="榮","x",  IF(  INDEX(役男大表!$A$1:$BF$95,MATCH($A14,役男大表!$A$1:$A$97,0),   MATCH(E$1,役男大表!$A$3:$BF$3,0)  )="榮-22",  "x榮18-22",               INDEX(役男大表!$A$1:$BF$95,MATCH($A14,役男大表!$A$1:$A$97,0),   MATCH(E$1,役男大表!$A$3:$BF$3,0)  )                  )  )  )," ",""),"")</f>
        <v/>
      </c>
      <c r="F14" s="278" t="str">
        <f>_xlfn.IFNA(  SUBSTITUTE(     IF(  INDEX(役男大表!$A$1:$BF$95,MATCH($A14,役男大表!$A$1:$A$97,0),   MATCH(F$1,役男大表!$A$3:$BF$3,0)  )=0,"",  IF(  INDEX(役男大表!$A$1:$BF$95,MATCH($A14,役男大表!$A$1:$A$97,0),   MATCH(F$1,役男大表!$A$3:$BF$3,0)  )="榮","x",  IF(  INDEX(役男大表!$A$1:$BF$95,MATCH($A14,役男大表!$A$1:$A$97,0),   MATCH(F$1,役男大表!$A$3:$BF$3,0)  )="榮-22",  "x榮18-22",               INDEX(役男大表!$A$1:$BF$95,MATCH($A14,役男大表!$A$1:$A$97,0),   MATCH(F$1,役男大表!$A$3:$BF$3,0)  )                  )  )  )," ",""),"")</f>
        <v/>
      </c>
      <c r="G14" s="278" t="str">
        <f>_xlfn.IFNA(  SUBSTITUTE(     IF(  INDEX(役男大表!$A$1:$BF$95,MATCH($A14,役男大表!$A$1:$A$97,0),   MATCH(G$1,役男大表!$A$3:$BF$3,0)  )=0,"",  IF(  INDEX(役男大表!$A$1:$BF$95,MATCH($A14,役男大表!$A$1:$A$97,0),   MATCH(G$1,役男大表!$A$3:$BF$3,0)  )="榮","x",  IF(  INDEX(役男大表!$A$1:$BF$95,MATCH($A14,役男大表!$A$1:$A$97,0),   MATCH(G$1,役男大表!$A$3:$BF$3,0)  )="榮-22",  "x榮18-22",               INDEX(役男大表!$A$1:$BF$95,MATCH($A14,役男大表!$A$1:$A$97,0),   MATCH(G$1,役男大表!$A$3:$BF$3,0)  )                  )  )  )," ",""),"")</f>
        <v/>
      </c>
      <c r="H14" s="278" t="str">
        <f>_xlfn.IFNA(  SUBSTITUTE(     IF(  INDEX(役男大表!$A$1:$BF$95,MATCH($A14,役男大表!$A$1:$A$97,0),   MATCH(H$1,役男大表!$A$3:$BF$3,0)  )=0,"",  IF(  INDEX(役男大表!$A$1:$BF$95,MATCH($A14,役男大表!$A$1:$A$97,0),   MATCH(H$1,役男大表!$A$3:$BF$3,0)  )="榮","x",  IF(  INDEX(役男大表!$A$1:$BF$95,MATCH($A14,役男大表!$A$1:$A$97,0),   MATCH(H$1,役男大表!$A$3:$BF$3,0)  )="榮-22",  "x榮18-22",               INDEX(役男大表!$A$1:$BF$95,MATCH($A14,役男大表!$A$1:$A$97,0),   MATCH(H$1,役男大表!$A$3:$BF$3,0)  )                  )  )  )," ",""),"")</f>
        <v/>
      </c>
      <c r="I14" s="278" t="str">
        <f>_xlfn.IFNA(  SUBSTITUTE(     IF(  INDEX(役男大表!$A$1:$BF$95,MATCH($A14,役男大表!$A$1:$A$97,0),   MATCH(I$1,役男大表!$A$3:$BF$3,0)  )=0,"",  IF(  INDEX(役男大表!$A$1:$BF$95,MATCH($A14,役男大表!$A$1:$A$97,0),   MATCH(I$1,役男大表!$A$3:$BF$3,0)  )="榮","x",  IF(  INDEX(役男大表!$A$1:$BF$95,MATCH($A14,役男大表!$A$1:$A$97,0),   MATCH(I$1,役男大表!$A$3:$BF$3,0)  )="榮-22",  "x榮18-22",               INDEX(役男大表!$A$1:$BF$95,MATCH($A14,役男大表!$A$1:$A$97,0),   MATCH(I$1,役男大表!$A$3:$BF$3,0)  )                  )  )  )," ",""),"")</f>
        <v/>
      </c>
      <c r="J14" s="278" t="str">
        <f>_xlfn.IFNA(  SUBSTITUTE(     IF(  INDEX(役男大表!$A$1:$BF$95,MATCH($A14,役男大表!$A$1:$A$97,0),   MATCH(J$1,役男大表!$A$3:$BF$3,0)  )=0,"",  IF(  INDEX(役男大表!$A$1:$BF$95,MATCH($A14,役男大表!$A$1:$A$97,0),   MATCH(J$1,役男大表!$A$3:$BF$3,0)  )="榮","x",  IF(  INDEX(役男大表!$A$1:$BF$95,MATCH($A14,役男大表!$A$1:$A$97,0),   MATCH(J$1,役男大表!$A$3:$BF$3,0)  )="榮-22",  "x榮18-22",               INDEX(役男大表!$A$1:$BF$95,MATCH($A14,役男大表!$A$1:$A$97,0),   MATCH(J$1,役男大表!$A$3:$BF$3,0)  )                  )  )  )," ",""),"")</f>
        <v/>
      </c>
      <c r="K14" s="278" t="str">
        <f>_xlfn.IFNA(  SUBSTITUTE(     IF(  INDEX(役男大表!$A$1:$BF$95,MATCH($A14,役男大表!$A$1:$A$97,0),   MATCH(K$1,役男大表!$A$3:$BF$3,0)  )=0,"",  IF(  INDEX(役男大表!$A$1:$BF$95,MATCH($A14,役男大表!$A$1:$A$97,0),   MATCH(K$1,役男大表!$A$3:$BF$3,0)  )="榮","x",  IF(  INDEX(役男大表!$A$1:$BF$95,MATCH($A14,役男大表!$A$1:$A$97,0),   MATCH(K$1,役男大表!$A$3:$BF$3,0)  )="榮-22",  "x榮18-22",               INDEX(役男大表!$A$1:$BF$95,MATCH($A14,役男大表!$A$1:$A$97,0),   MATCH(K$1,役男大表!$A$3:$BF$3,0)  )                  )  )  )," ",""),"")</f>
        <v/>
      </c>
      <c r="L14" s="278" t="str">
        <f>_xlfn.IFNA(  SUBSTITUTE(     IF(  INDEX(役男大表!$A$1:$BF$95,MATCH($A14,役男大表!$A$1:$A$97,0),   MATCH(L$1,役男大表!$A$3:$BF$3,0)  )=0,"",  IF(  INDEX(役男大表!$A$1:$BF$95,MATCH($A14,役男大表!$A$1:$A$97,0),   MATCH(L$1,役男大表!$A$3:$BF$3,0)  )="榮","x",  IF(  INDEX(役男大表!$A$1:$BF$95,MATCH($A14,役男大表!$A$1:$A$97,0),   MATCH(L$1,役男大表!$A$3:$BF$3,0)  )="榮-22",  "x榮18-22",               INDEX(役男大表!$A$1:$BF$95,MATCH($A14,役男大表!$A$1:$A$97,0),   MATCH(L$1,役男大表!$A$3:$BF$3,0)  )                  )  )  )," ",""),"")</f>
        <v/>
      </c>
      <c r="M14" s="278" t="str">
        <f>_xlfn.IFNA(  SUBSTITUTE(     IF(  INDEX(役男大表!$A$1:$BF$95,MATCH($A14,役男大表!$A$1:$A$97,0),   MATCH(M$1,役男大表!$A$3:$BF$3,0)  )=0,"",  IF(  INDEX(役男大表!$A$1:$BF$95,MATCH($A14,役男大表!$A$1:$A$97,0),   MATCH(M$1,役男大表!$A$3:$BF$3,0)  )="榮","x",  IF(  INDEX(役男大表!$A$1:$BF$95,MATCH($A14,役男大表!$A$1:$A$97,0),   MATCH(M$1,役男大表!$A$3:$BF$3,0)  )="榮-22",  "x榮18-22",               INDEX(役男大表!$A$1:$BF$95,MATCH($A14,役男大表!$A$1:$A$97,0),   MATCH(M$1,役男大表!$A$3:$BF$3,0)  )                  )  )  )," ",""),"")</f>
        <v/>
      </c>
      <c r="N14" s="278" t="str">
        <f>_xlfn.IFNA(  SUBSTITUTE(     IF(  INDEX(役男大表!$A$1:$BF$95,MATCH($A14,役男大表!$A$1:$A$97,0),   MATCH(N$1,役男大表!$A$3:$BF$3,0)  )=0,"",  IF(  INDEX(役男大表!$A$1:$BF$95,MATCH($A14,役男大表!$A$1:$A$97,0),   MATCH(N$1,役男大表!$A$3:$BF$3,0)  )="榮","x",  IF(  INDEX(役男大表!$A$1:$BF$95,MATCH($A14,役男大表!$A$1:$A$97,0),   MATCH(N$1,役男大表!$A$3:$BF$3,0)  )="榮-22",  "x榮18-22",               INDEX(役男大表!$A$1:$BF$95,MATCH($A14,役男大表!$A$1:$A$97,0),   MATCH(N$1,役男大表!$A$3:$BF$3,0)  )                  )  )  )," ",""),"")</f>
        <v/>
      </c>
      <c r="O14" s="278" t="str">
        <f>_xlfn.IFNA(  SUBSTITUTE(     IF(  INDEX(役男大表!$A$1:$BF$95,MATCH($A14,役男大表!$A$1:$A$97,0),   MATCH(O$1,役男大表!$A$3:$BF$3,0)  )=0,"",  IF(  INDEX(役男大表!$A$1:$BF$95,MATCH($A14,役男大表!$A$1:$A$97,0),   MATCH(O$1,役男大表!$A$3:$BF$3,0)  )="榮","x",  IF(  INDEX(役男大表!$A$1:$BF$95,MATCH($A14,役男大表!$A$1:$A$97,0),   MATCH(O$1,役男大表!$A$3:$BF$3,0)  )="榮-22",  "x榮18-22",               INDEX(役男大表!$A$1:$BF$95,MATCH($A14,役男大表!$A$1:$A$97,0),   MATCH(O$1,役男大表!$A$3:$BF$3,0)  )                  )  )  )," ",""),"")</f>
        <v/>
      </c>
      <c r="P14" s="278" t="str">
        <f>_xlfn.IFNA(  SUBSTITUTE(     IF(  INDEX(役男大表!$A$1:$BF$95,MATCH($A14,役男大表!$A$1:$A$97,0),   MATCH(P$1,役男大表!$A$3:$BF$3,0)  )=0,"",  IF(  INDEX(役男大表!$A$1:$BF$95,MATCH($A14,役男大表!$A$1:$A$97,0),   MATCH(P$1,役男大表!$A$3:$BF$3,0)  )="榮","x",  IF(  INDEX(役男大表!$A$1:$BF$95,MATCH($A14,役男大表!$A$1:$A$97,0),   MATCH(P$1,役男大表!$A$3:$BF$3,0)  )="榮-22",  "x榮18-22",               INDEX(役男大表!$A$1:$BF$95,MATCH($A14,役男大表!$A$1:$A$97,0),   MATCH(P$1,役男大表!$A$3:$BF$3,0)  )                  )  )  )," ",""),"")</f>
        <v/>
      </c>
      <c r="Q14" s="278" t="str">
        <f>_xlfn.IFNA(  SUBSTITUTE(     IF(  INDEX(役男大表!$A$1:$BF$95,MATCH($A14,役男大表!$A$1:$A$97,0),   MATCH(Q$1,役男大表!$A$3:$BF$3,0)  )=0,"",  IF(  INDEX(役男大表!$A$1:$BF$95,MATCH($A14,役男大表!$A$1:$A$97,0),   MATCH(Q$1,役男大表!$A$3:$BF$3,0)  )="榮","x",  IF(  INDEX(役男大表!$A$1:$BF$95,MATCH($A14,役男大表!$A$1:$A$97,0),   MATCH(Q$1,役男大表!$A$3:$BF$3,0)  )="榮-22",  "x榮18-22",               INDEX(役男大表!$A$1:$BF$95,MATCH($A14,役男大表!$A$1:$A$97,0),   MATCH(Q$1,役男大表!$A$3:$BF$3,0)  )                  )  )  )," ",""),"")</f>
        <v/>
      </c>
      <c r="R14" s="278" t="str">
        <f>_xlfn.IFNA(  SUBSTITUTE(     IF(  INDEX(役男大表!$A$1:$BF$95,MATCH($A14,役男大表!$A$1:$A$97,0),   MATCH(R$1,役男大表!$A$3:$BF$3,0)  )=0,"",  IF(  INDEX(役男大表!$A$1:$BF$95,MATCH($A14,役男大表!$A$1:$A$97,0),   MATCH(R$1,役男大表!$A$3:$BF$3,0)  )="榮","x",  IF(  INDEX(役男大表!$A$1:$BF$95,MATCH($A14,役男大表!$A$1:$A$97,0),   MATCH(R$1,役男大表!$A$3:$BF$3,0)  )="榮-22",  "x榮18-22",               INDEX(役男大表!$A$1:$BF$95,MATCH($A14,役男大表!$A$1:$A$97,0),   MATCH(R$1,役男大表!$A$3:$BF$3,0)  )                  )  )  )," ",""),"")</f>
        <v/>
      </c>
      <c r="S14" s="278" t="str">
        <f>_xlfn.IFNA(  SUBSTITUTE(     IF(  INDEX(役男大表!$A$1:$BF$95,MATCH($A14,役男大表!$A$1:$A$97,0),   MATCH(S$1,役男大表!$A$3:$BF$3,0)  )=0,"",  IF(  INDEX(役男大表!$A$1:$BF$95,MATCH($A14,役男大表!$A$1:$A$97,0),   MATCH(S$1,役男大表!$A$3:$BF$3,0)  )="榮","x",  IF(  INDEX(役男大表!$A$1:$BF$95,MATCH($A14,役男大表!$A$1:$A$97,0),   MATCH(S$1,役男大表!$A$3:$BF$3,0)  )="榮-22",  "x榮18-22",               INDEX(役男大表!$A$1:$BF$95,MATCH($A14,役男大表!$A$1:$A$97,0),   MATCH(S$1,役男大表!$A$3:$BF$3,0)  )                  )  )  )," ",""),"")</f>
        <v/>
      </c>
      <c r="T14" s="278" t="str">
        <f>_xlfn.IFNA(  SUBSTITUTE(     IF(  INDEX(役男大表!$A$1:$BF$95,MATCH($A14,役男大表!$A$1:$A$97,0),   MATCH(T$1,役男大表!$A$3:$BF$3,0)  )=0,"",  IF(  INDEX(役男大表!$A$1:$BF$95,MATCH($A14,役男大表!$A$1:$A$97,0),   MATCH(T$1,役男大表!$A$3:$BF$3,0)  )="榮","x",  IF(  INDEX(役男大表!$A$1:$BF$95,MATCH($A14,役男大表!$A$1:$A$97,0),   MATCH(T$1,役男大表!$A$3:$BF$3,0)  )="榮-22",  "x榮18-22",               INDEX(役男大表!$A$1:$BF$95,MATCH($A14,役男大表!$A$1:$A$97,0),   MATCH(T$1,役男大表!$A$3:$BF$3,0)  )                  )  )  )," ",""),"")</f>
        <v/>
      </c>
      <c r="U14" s="278" t="str">
        <f>_xlfn.IFNA(  SUBSTITUTE(     IF(  INDEX(役男大表!$A$1:$BF$95,MATCH($A14,役男大表!$A$1:$A$97,0),   MATCH(U$1,役男大表!$A$3:$BF$3,0)  )=0,"",  IF(  INDEX(役男大表!$A$1:$BF$95,MATCH($A14,役男大表!$A$1:$A$97,0),   MATCH(U$1,役男大表!$A$3:$BF$3,0)  )="榮","x",  IF(  INDEX(役男大表!$A$1:$BF$95,MATCH($A14,役男大表!$A$1:$A$97,0),   MATCH(U$1,役男大表!$A$3:$BF$3,0)  )="榮-22",  "x榮18-22",               INDEX(役男大表!$A$1:$BF$95,MATCH($A14,役男大表!$A$1:$A$97,0),   MATCH(U$1,役男大表!$A$3:$BF$3,0)  )                  )  )  )," ",""),"")</f>
        <v/>
      </c>
      <c r="V14" s="278" t="str">
        <f>_xlfn.IFNA(  SUBSTITUTE(     IF(  INDEX(役男大表!$A$1:$BF$95,MATCH($A14,役男大表!$A$1:$A$97,0),   MATCH(V$1,役男大表!$A$3:$BF$3,0)  )=0,"",  IF(  INDEX(役男大表!$A$1:$BF$95,MATCH($A14,役男大表!$A$1:$A$97,0),   MATCH(V$1,役男大表!$A$3:$BF$3,0)  )="榮","x",  IF(  INDEX(役男大表!$A$1:$BF$95,MATCH($A14,役男大表!$A$1:$A$97,0),   MATCH(V$1,役男大表!$A$3:$BF$3,0)  )="榮-22",  "x榮18-22",               INDEX(役男大表!$A$1:$BF$95,MATCH($A14,役男大表!$A$1:$A$97,0),   MATCH(V$1,役男大表!$A$3:$BF$3,0)  )                  )  )  )," ",""),"")</f>
        <v/>
      </c>
      <c r="W14" s="278" t="str">
        <f>_xlfn.IFNA(  SUBSTITUTE(     IF(  INDEX(役男大表!$A$1:$BF$95,MATCH($A14,役男大表!$A$1:$A$97,0),   MATCH(W$1,役男大表!$A$3:$BF$3,0)  )=0,"",  IF(  INDEX(役男大表!$A$1:$BF$95,MATCH($A14,役男大表!$A$1:$A$97,0),   MATCH(W$1,役男大表!$A$3:$BF$3,0)  )="榮","x",  IF(  INDEX(役男大表!$A$1:$BF$95,MATCH($A14,役男大表!$A$1:$A$97,0),   MATCH(W$1,役男大表!$A$3:$BF$3,0)  )="榮-22",  "x榮18-22",               INDEX(役男大表!$A$1:$BF$95,MATCH($A14,役男大表!$A$1:$A$97,0),   MATCH(W$1,役男大表!$A$3:$BF$3,0)  )                  )  )  )," ",""),"")</f>
        <v/>
      </c>
      <c r="X14" s="278" t="str">
        <f>_xlfn.IFNA(  SUBSTITUTE(     IF(  INDEX(役男大表!$A$1:$BF$95,MATCH($A14,役男大表!$A$1:$A$97,0),   MATCH(X$1,役男大表!$A$3:$BF$3,0)  )=0,"",  IF(  INDEX(役男大表!$A$1:$BF$95,MATCH($A14,役男大表!$A$1:$A$97,0),   MATCH(X$1,役男大表!$A$3:$BF$3,0)  )="榮","x",  IF(  INDEX(役男大表!$A$1:$BF$95,MATCH($A14,役男大表!$A$1:$A$97,0),   MATCH(X$1,役男大表!$A$3:$BF$3,0)  )="榮-22",  "x榮18-22",               INDEX(役男大表!$A$1:$BF$95,MATCH($A14,役男大表!$A$1:$A$97,0),   MATCH(X$1,役男大表!$A$3:$BF$3,0)  )                  )  )  )," ",""),"")</f>
        <v/>
      </c>
      <c r="Y14" s="278" t="str">
        <f>_xlfn.IFNA(  SUBSTITUTE(     IF(  INDEX(役男大表!$A$1:$BF$95,MATCH($A14,役男大表!$A$1:$A$97,0),   MATCH(Y$1,役男大表!$A$3:$BF$3,0)  )=0,"",  IF(  INDEX(役男大表!$A$1:$BF$95,MATCH($A14,役男大表!$A$1:$A$97,0),   MATCH(Y$1,役男大表!$A$3:$BF$3,0)  )="榮","x",  IF(  INDEX(役男大表!$A$1:$BF$95,MATCH($A14,役男大表!$A$1:$A$97,0),   MATCH(Y$1,役男大表!$A$3:$BF$3,0)  )="榮-22",  "x榮18-22",               INDEX(役男大表!$A$1:$BF$95,MATCH($A14,役男大表!$A$1:$A$97,0),   MATCH(Y$1,役男大表!$A$3:$BF$3,0)  )                  )  )  )," ",""),"")</f>
        <v/>
      </c>
      <c r="Z14" s="278" t="str">
        <f>_xlfn.IFNA(  SUBSTITUTE(     IF(  INDEX(役男大表!$A$1:$BF$95,MATCH($A14,役男大表!$A$1:$A$97,0),   MATCH(Z$1,役男大表!$A$3:$BF$3,0)  )=0,"",  IF(  INDEX(役男大表!$A$1:$BF$95,MATCH($A14,役男大表!$A$1:$A$97,0),   MATCH(Z$1,役男大表!$A$3:$BF$3,0)  )="榮","x",  IF(  INDEX(役男大表!$A$1:$BF$95,MATCH($A14,役男大表!$A$1:$A$97,0),   MATCH(Z$1,役男大表!$A$3:$BF$3,0)  )="榮-22",  "x榮18-22",               INDEX(役男大表!$A$1:$BF$95,MATCH($A14,役男大表!$A$1:$A$97,0),   MATCH(Z$1,役男大表!$A$3:$BF$3,0)  )                  )  )  )," ",""),"")</f>
        <v/>
      </c>
      <c r="AA14" s="278" t="str">
        <f>_xlfn.IFNA(  SUBSTITUTE(     IF(  INDEX(役男大表!$A$1:$BF$95,MATCH($A14,役男大表!$A$1:$A$97,0),   MATCH(AA$1,役男大表!$A$3:$BF$3,0)  )=0,"",  IF(  INDEX(役男大表!$A$1:$BF$95,MATCH($A14,役男大表!$A$1:$A$97,0),   MATCH(AA$1,役男大表!$A$3:$BF$3,0)  )="榮","x",  IF(  INDEX(役男大表!$A$1:$BF$95,MATCH($A14,役男大表!$A$1:$A$97,0),   MATCH(AA$1,役男大表!$A$3:$BF$3,0)  )="榮-22",  "x榮18-22",               INDEX(役男大表!$A$1:$BF$95,MATCH($A14,役男大表!$A$1:$A$97,0),   MATCH(AA$1,役男大表!$A$3:$BF$3,0)  )                  )  )  )," ",""),"")</f>
        <v/>
      </c>
      <c r="AB14" s="278" t="str">
        <f>_xlfn.IFNA(  SUBSTITUTE(     IF(  INDEX(役男大表!$A$1:$BF$95,MATCH($A14,役男大表!$A$1:$A$97,0),   MATCH(AB$1,役男大表!$A$3:$BF$3,0)  )=0,"",  IF(  INDEX(役男大表!$A$1:$BF$95,MATCH($A14,役男大表!$A$1:$A$97,0),   MATCH(AB$1,役男大表!$A$3:$BF$3,0)  )="榮","x",  IF(  INDEX(役男大表!$A$1:$BF$95,MATCH($A14,役男大表!$A$1:$A$97,0),   MATCH(AB$1,役男大表!$A$3:$BF$3,0)  )="榮-22",  "x榮18-22",               INDEX(役男大表!$A$1:$BF$95,MATCH($A14,役男大表!$A$1:$A$97,0),   MATCH(AB$1,役男大表!$A$3:$BF$3,0)  )                  )  )  )," ",""),"")</f>
        <v/>
      </c>
      <c r="AC14" s="278" t="str">
        <f>_xlfn.IFNA(  SUBSTITUTE(     IF(  INDEX(役男大表!$A$1:$BF$95,MATCH($A14,役男大表!$A$1:$A$97,0),   MATCH(AC$1,役男大表!$A$3:$BF$3,0)  )=0,"",  IF(  INDEX(役男大表!$A$1:$BF$95,MATCH($A14,役男大表!$A$1:$A$97,0),   MATCH(AC$1,役男大表!$A$3:$BF$3,0)  )="榮","x",  IF(  INDEX(役男大表!$A$1:$BF$95,MATCH($A14,役男大表!$A$1:$A$97,0),   MATCH(AC$1,役男大表!$A$3:$BF$3,0)  )="榮-22",  "x榮18-22",               INDEX(役男大表!$A$1:$BF$95,MATCH($A14,役男大表!$A$1:$A$97,0),   MATCH(AC$1,役男大表!$A$3:$BF$3,0)  )                  )  )  )," ",""),"")</f>
        <v/>
      </c>
      <c r="AD14" s="278" t="str">
        <f>_xlfn.IFNA(  SUBSTITUTE(     IF(  INDEX(役男大表!$A$1:$BF$95,MATCH($A14,役男大表!$A$1:$A$97,0),   MATCH(AD$1,役男大表!$A$3:$BF$3,0)  )=0,"",  IF(  INDEX(役男大表!$A$1:$BF$95,MATCH($A14,役男大表!$A$1:$A$97,0),   MATCH(AD$1,役男大表!$A$3:$BF$3,0)  )="榮","x",  IF(  INDEX(役男大表!$A$1:$BF$95,MATCH($A14,役男大表!$A$1:$A$97,0),   MATCH(AD$1,役男大表!$A$3:$BF$3,0)  )="榮-22",  "x榮18-22",               INDEX(役男大表!$A$1:$BF$95,MATCH($A14,役男大表!$A$1:$A$97,0),   MATCH(AD$1,役男大表!$A$3:$BF$3,0)  )                  )  )  )," ",""),"")</f>
        <v/>
      </c>
      <c r="AE14" s="278" t="str">
        <f>_xlfn.IFNA(  SUBSTITUTE(     IF(  INDEX(役男大表!$A$1:$BF$95,MATCH($A14,役男大表!$A$1:$A$97,0),   MATCH(AE$1,役男大表!$A$3:$BF$3,0)  )=0,"",  IF(  INDEX(役男大表!$A$1:$BF$95,MATCH($A14,役男大表!$A$1:$A$97,0),   MATCH(AE$1,役男大表!$A$3:$BF$3,0)  )="榮","x",  IF(  INDEX(役男大表!$A$1:$BF$95,MATCH($A14,役男大表!$A$1:$A$97,0),   MATCH(AE$1,役男大表!$A$3:$BF$3,0)  )="榮-22",  "x榮18-22",               INDEX(役男大表!$A$1:$BF$95,MATCH($A14,役男大表!$A$1:$A$97,0),   MATCH(AE$1,役男大表!$A$3:$BF$3,0)  )                  )  )  )," ",""),"")</f>
        <v/>
      </c>
      <c r="AF14" s="278" t="str">
        <f>_xlfn.IFNA(  SUBSTITUTE(     IF(  INDEX(役男大表!$A$1:$BF$95,MATCH($A14,役男大表!$A$1:$A$97,0),   MATCH(AF$1,役男大表!$A$3:$BF$3,0)  )=0,"",  IF(  INDEX(役男大表!$A$1:$BF$95,MATCH($A14,役男大表!$A$1:$A$97,0),   MATCH(AF$1,役男大表!$A$3:$BF$3,0)  )="榮","x",  IF(  INDEX(役男大表!$A$1:$BF$95,MATCH($A14,役男大表!$A$1:$A$97,0),   MATCH(AF$1,役男大表!$A$3:$BF$3,0)  )="榮-22",  "x榮18-22",               INDEX(役男大表!$A$1:$BF$95,MATCH($A14,役男大表!$A$1:$A$97,0),   MATCH(AF$1,役男大表!$A$3:$BF$3,0)  )                  )  )  )," ",""),"")</f>
        <v/>
      </c>
      <c r="AG14" s="278" t="str">
        <f>_xlfn.IFNA(  SUBSTITUTE(     IF(  INDEX(役男大表!$A$1:$BF$95,MATCH($A14,役男大表!$A$1:$A$97,0),   MATCH(AG$1,役男大表!$A$3:$BF$3,0)  )=0,"",  IF(  INDEX(役男大表!$A$1:$BF$95,MATCH($A14,役男大表!$A$1:$A$97,0),   MATCH(AG$1,役男大表!$A$3:$BF$3,0)  )="榮","x",  IF(  INDEX(役男大表!$A$1:$BF$95,MATCH($A14,役男大表!$A$1:$A$97,0),   MATCH(AG$1,役男大表!$A$3:$BF$3,0)  )="榮-22",  "x榮18-22",               INDEX(役男大表!$A$1:$BF$95,MATCH($A14,役男大表!$A$1:$A$97,0),   MATCH(AG$1,役男大表!$A$3:$BF$3,0)  )                  )  )  )," ",""),"")</f>
        <v>x</v>
      </c>
      <c r="AH14" s="278" t="str">
        <f>_xlfn.IFNA(  SUBSTITUTE(     IF(  INDEX(役男大表!$A$1:$BF$95,MATCH($A14,役男大表!$A$1:$A$97,0),   MATCH(AH$1,役男大表!$A$3:$BF$3,0)  )=0,"",  IF(  INDEX(役男大表!$A$1:$BF$95,MATCH($A14,役男大表!$A$1:$A$97,0),   MATCH(AH$1,役男大表!$A$3:$BF$3,0)  )="榮","x",  IF(  INDEX(役男大表!$A$1:$BF$95,MATCH($A14,役男大表!$A$1:$A$97,0),   MATCH(AH$1,役男大表!$A$3:$BF$3,0)  )="榮-22",  "x榮18-22",               INDEX(役男大表!$A$1:$BF$95,MATCH($A14,役男大表!$A$1:$A$97,0),   MATCH(AH$1,役男大表!$A$3:$BF$3,0)  )                  )  )  )," ",""),"")</f>
        <v/>
      </c>
      <c r="AI14" s="278" t="str">
        <f>_xlfn.IFNA(  SUBSTITUTE(     IF(  INDEX(役男大表!$A$1:$BF$95,MATCH($A14,役男大表!$A$1:$A$97,0),   MATCH(AI$1,役男大表!$A$3:$BF$3,0)  )=0,"",  IF(  INDEX(役男大表!$A$1:$BF$95,MATCH($A14,役男大表!$A$1:$A$97,0),   MATCH(AI$1,役男大表!$A$3:$BF$3,0)  )="榮","x",  IF(  INDEX(役男大表!$A$1:$BF$95,MATCH($A14,役男大表!$A$1:$A$97,0),   MATCH(AI$1,役男大表!$A$3:$BF$3,0)  )="榮-22",  "x榮18-22",               INDEX(役男大表!$A$1:$BF$95,MATCH($A14,役男大表!$A$1:$A$97,0),   MATCH(AI$1,役男大表!$A$3:$BF$3,0)  )                  )  )  )," ",""),"")</f>
        <v/>
      </c>
      <c r="AJ14" s="278" t="str">
        <f>_xlfn.IFNA(  SUBSTITUTE(     IF(  INDEX(役男大表!$A$1:$BF$95,MATCH($A14,役男大表!$A$1:$A$97,0),   MATCH(AJ$1,役男大表!$A$3:$BF$3,0)  )=0,"",  IF(  INDEX(役男大表!$A$1:$BF$95,MATCH($A14,役男大表!$A$1:$A$97,0),   MATCH(AJ$1,役男大表!$A$3:$BF$3,0)  )="榮","x",  IF(  INDEX(役男大表!$A$1:$BF$95,MATCH($A14,役男大表!$A$1:$A$97,0),   MATCH(AJ$1,役男大表!$A$3:$BF$3,0)  )="榮-22",  "x榮18-22",               INDEX(役男大表!$A$1:$BF$95,MATCH($A14,役男大表!$A$1:$A$97,0),   MATCH(AJ$1,役男大表!$A$3:$BF$3,0)  )                  )  )  )," ",""),"")</f>
        <v/>
      </c>
      <c r="AM14" s="274">
        <f t="shared" si="1"/>
        <v>13</v>
      </c>
      <c r="AN14" s="274" t="str">
        <f t="shared" si="2"/>
        <v>楊瑞麟</v>
      </c>
      <c r="AO14" s="71" t="str">
        <f>IF(  AND(  INDEX(   $A$42:$AJ$79, MATCH(AM14,$A$42:$A$79,0),MATCH(  日期輸入!$C$3,$A$42:$AL$42,0  )  )="全日勤",  AV14="免"  ),  "全日勤免勤教",  IF(  AND(  INDEX(   $A$42:$AJ$79, MATCH(AM14,$A$42:$A$79,0),MATCH(  日期輸入!$C$3,$A$42:$AL$42,0  )  )="18放",  AV14="免"  ),  "18放早走",  INDEX(   $A$42:$AJ$79, MATCH(AM14,$A$42:$A$79,0),MATCH(  日期輸入!$C$3,$A$42:$AL$42,0  )  )  )  )</f>
        <v>18收</v>
      </c>
      <c r="AP14" s="66" t="str">
        <f>_xlfn.IFNA(IF((ROW(AP14)-1)&lt;=暫1!$B$2,IF(VALUE($AM14)=暫1!B$3,"家因",IF(VALUE($AM14)=暫1!C$3,"家因",IF(VALUE($AM14)=暫1!D$3,"家因",IF(VALUE($AM14)=暫1!E$3,"家因",IF(VALUE($AM14)=暫1!F$3,"家因",IF(VALUE($AM14)=暫1!G$3,"家因",IF(VALUE($AM14)=暫1!H$3,"家因",IF(VALUE($AM14)=暫1!I$3,"家因",IF(VALUE($AM14)=暫1!J$3,"家因",IF(VALUE($AM14)=暫1!K$3,"家因",IF(VALUE($AM14)=暫1!L$3,"家因",IF(VALUE($AM14)=暫1!M$3,"家因",IF(VALUE($AM14)=暫1!N$3,"家因",IF(VALUE($AM14)=暫1!O$3,"家因",IF(VALUE($AM14)=暫1!P$3,"家因",IF(VALUE($AM14)=暫1!Q$3,"家因",IF(VALUE($AM14)=暫1!R$3,"家因",IF(VALUE($AM14)=暫1!S$3,"家因",IF(VALUE($AM14)=暫1!T$3,"家因",IF(VALUE($AM14)=暫1!U$3,"家因","")))))))))))))))))))),""),"")</f>
        <v/>
      </c>
      <c r="AQ14" s="66" t="str">
        <f>IF((ROW(AQ14)-1)&lt;=暫1!$B$2,_xlfn.IFNA(IF(INDEX($A$1:$AJ$41,MATCH($AN14,$B$1:$B$101,0),VALUE($AQ$1+3))="成","補",INDEX($A$1:$AJ$41,MATCH($AN14,$B$1:$B$101,0),VALUE($AQ$1+3))),""),"")</f>
        <v>x</v>
      </c>
      <c r="AR14" s="66" t="str">
        <f>IF((ROW(AR14)-1)&lt;=暫1!$B$2,_xlfn.IFNA(IF(INDEX($A$1:$AJ$41,MATCH($AN14,$B$1:$B$101,0),VALUE($AR$1+3))="成","補",INDEX($A$1:$AJ$41,MATCH($AN14,$B$1:$B$101,0),VALUE($AR$1+3))),""),"")</f>
        <v/>
      </c>
      <c r="AS14" s="66" t="str">
        <f>IF((ROW(AS14)-1)&lt;=暫1!$B$2,_xlfn.IFNA(IF(INDEX($A$1:$AJ$41,MATCH($AN14,$B$1:$B$101,0),VALUE($AS$1+3))="成","補",INDEX($A$1:$AJ$41,MATCH($AN14,$B$1:$B$101,0),VALUE($AS$1+3))),""),"")</f>
        <v/>
      </c>
      <c r="AT14" s="66" t="str">
        <f>IF(  OR(  LEN(  INDEX(   $A$1:$AJ$39, MATCH(AM14,$A$1:$A$39,0),MATCH(  日期輸入!$C$3,$A$1:$AP$1,0  )  )  )&gt;LEN(  SUBSTITUTE(  INDEX(   $A$1:$AJ$39, MATCH(AM14,$A$1:$A$39,0),MATCH(  日期輸入!$C$3,$A$1:$AP$1,0  )  ),"榮","")  )  ),   SUBSTITUTE(  SUBSTITUTE(  INDEX(   $A$1:$AJ$39, MATCH(AM14,$A$1:$A$39,0),MATCH(  日期輸入!$C$3,$A$1:$AP$1,0  )  ),"榮",""),"x",""), "")</f>
        <v/>
      </c>
      <c r="AU14" s="66" t="str">
        <f t="shared" si="3"/>
        <v/>
      </c>
      <c r="AV14" s="66" t="str">
        <f>INDEX(   $A$482:$AJ$519, MATCH(AM14,$A$482:$A$519,0),MATCH(  日期輸入!$C$3,$A$482:$AL$482,0  )  )</f>
        <v/>
      </c>
      <c r="AX14" s="274" t="str">
        <f>IFERROR(IF((ROW(AX14)-1)&lt;=暫1!$B$2,SUBSTITUTE(IF($AO14=$AX$1,$AM14,"")," ",""),""),"")</f>
        <v/>
      </c>
      <c r="AY14" s="274" t="str">
        <f>IFERROR(IF((ROW(AY14)-1)&lt;=暫1!$B$2,SUBSTITUTE(IF($AO14=$AY$1,$AM14,"")," ",""),""),"")</f>
        <v/>
      </c>
      <c r="AZ14" s="274" t="str">
        <f>IFERROR(IF((ROW(AZ14)-1)&lt;=暫1!$B$2,SUBSTITUTE(IF($AO14=$AZ$1,$AM14,"")," ",""),""),"")</f>
        <v/>
      </c>
      <c r="BA14" s="274" t="str">
        <f>IFERROR(IF((ROW(BA14)-1)&lt;=暫1!$B$2,SUBSTITUTE(IF($AO14=$BA$1,$AM14,"")," ",""),""),"")</f>
        <v>13</v>
      </c>
      <c r="BB14" s="279" t="str">
        <f>IFERROR(IF((ROW(BB14)-1)&lt;=暫1!$B$2,SUBSTITUTE(IF(OR($AO14=$BB$1,$AO14=$AY$1,$AO14=$AZ$1),$AM14,IF($AO14=$AY$1,$AM14,"")),"",""),""),"")</f>
        <v/>
      </c>
      <c r="BC14" s="69" t="str">
        <f>IF(    AND(LEN(BC13)&gt;=2 ),        "、" &amp;  IF(OR(役男人力!$J$2:$J$84="是"),役男人力!$B14,""),  IF(OR(役男人力!$J$2:$J$84="是"),役男人力!$B14,"")  )</f>
        <v>、</v>
      </c>
      <c r="BG14" s="280" t="s">
        <v>271</v>
      </c>
      <c r="BH14" s="281">
        <f>COUNTA(AX2:AX38,AY2:AY38,AZ2:AZ38)-(COUNTBLANK(AX2:AX38)+COUNTBLANK(AY2:AY38)+COUNTBLANK(AZ2:AZ38))</f>
        <v>-3</v>
      </c>
    </row>
    <row r="15" spans="1:60" ht="25.5" customHeight="1" thickBot="1">
      <c r="A15" s="278">
        <v>14</v>
      </c>
      <c r="B15" s="278" t="str">
        <f>_xlfn.IFNA(  INDEX(役男大表!$A$1:$BF$95,MATCH(A15,役男大表!$A$1:$A$97,0),2),"")</f>
        <v>鄭品豪</v>
      </c>
      <c r="C15" s="278" t="str">
        <f>_xlfn.IFNA(  SUBSTITUTE(     IF(  INDEX(役男大表!$A$1:$BF$95,MATCH($A15,役男大表!$A$1:$A$97,0),   MATCH(C$1,役男大表!$A$3:$BF$3,0)  )=0,"",  IF(  INDEX(役男大表!$A$1:$BF$95,MATCH($A15,役男大表!$A$1:$A$97,0),   MATCH(C$1,役男大表!$A$3:$BF$3,0)  )="榮","x",  IF(  INDEX(役男大表!$A$1:$BF$95,MATCH($A15,役男大表!$A$1:$A$97,0),   MATCH(C$1,役男大表!$A$3:$BF$3,0)  )="榮-22",  "x榮18-22",               INDEX(役男大表!$A$1:$BF$95,MATCH($A15,役男大表!$A$1:$A$97,0),   MATCH(C$1,役男大表!$A$3:$BF$3,0)  )                  )  )  )," ",""),"")</f>
        <v/>
      </c>
      <c r="D15" s="278" t="str">
        <f>_xlfn.IFNA(  SUBSTITUTE(     IF(  INDEX(役男大表!$A$1:$BF$95,MATCH($A15,役男大表!$A$1:$A$97,0),   MATCH(D$1,役男大表!$A$3:$BF$3,0)  )=0,"",  IF(  INDEX(役男大表!$A$1:$BF$95,MATCH($A15,役男大表!$A$1:$A$97,0),   MATCH(D$1,役男大表!$A$3:$BF$3,0)  )="榮","x",  IF(  INDEX(役男大表!$A$1:$BF$95,MATCH($A15,役男大表!$A$1:$A$97,0),   MATCH(D$1,役男大表!$A$3:$BF$3,0)  )="榮-22",  "x榮18-22",               INDEX(役男大表!$A$1:$BF$95,MATCH($A15,役男大表!$A$1:$A$97,0),   MATCH(D$1,役男大表!$A$3:$BF$3,0)  )                  )  )  )," ",""),"")</f>
        <v/>
      </c>
      <c r="E15" s="278" t="str">
        <f>_xlfn.IFNA(  SUBSTITUTE(     IF(  INDEX(役男大表!$A$1:$BF$95,MATCH($A15,役男大表!$A$1:$A$97,0),   MATCH(E$1,役男大表!$A$3:$BF$3,0)  )=0,"",  IF(  INDEX(役男大表!$A$1:$BF$95,MATCH($A15,役男大表!$A$1:$A$97,0),   MATCH(E$1,役男大表!$A$3:$BF$3,0)  )="榮","x",  IF(  INDEX(役男大表!$A$1:$BF$95,MATCH($A15,役男大表!$A$1:$A$97,0),   MATCH(E$1,役男大表!$A$3:$BF$3,0)  )="榮-22",  "x榮18-22",               INDEX(役男大表!$A$1:$BF$95,MATCH($A15,役男大表!$A$1:$A$97,0),   MATCH(E$1,役男大表!$A$3:$BF$3,0)  )                  )  )  )," ",""),"")</f>
        <v/>
      </c>
      <c r="F15" s="278" t="str">
        <f>_xlfn.IFNA(  SUBSTITUTE(     IF(  INDEX(役男大表!$A$1:$BF$95,MATCH($A15,役男大表!$A$1:$A$97,0),   MATCH(F$1,役男大表!$A$3:$BF$3,0)  )=0,"",  IF(  INDEX(役男大表!$A$1:$BF$95,MATCH($A15,役男大表!$A$1:$A$97,0),   MATCH(F$1,役男大表!$A$3:$BF$3,0)  )="榮","x",  IF(  INDEX(役男大表!$A$1:$BF$95,MATCH($A15,役男大表!$A$1:$A$97,0),   MATCH(F$1,役男大表!$A$3:$BF$3,0)  )="榮-22",  "x榮18-22",               INDEX(役男大表!$A$1:$BF$95,MATCH($A15,役男大表!$A$1:$A$97,0),   MATCH(F$1,役男大表!$A$3:$BF$3,0)  )                  )  )  )," ",""),"")</f>
        <v/>
      </c>
      <c r="G15" s="278" t="str">
        <f>_xlfn.IFNA(  SUBSTITUTE(     IF(  INDEX(役男大表!$A$1:$BF$95,MATCH($A15,役男大表!$A$1:$A$97,0),   MATCH(G$1,役男大表!$A$3:$BF$3,0)  )=0,"",  IF(  INDEX(役男大表!$A$1:$BF$95,MATCH($A15,役男大表!$A$1:$A$97,0),   MATCH(G$1,役男大表!$A$3:$BF$3,0)  )="榮","x",  IF(  INDEX(役男大表!$A$1:$BF$95,MATCH($A15,役男大表!$A$1:$A$97,0),   MATCH(G$1,役男大表!$A$3:$BF$3,0)  )="榮-22",  "x榮18-22",               INDEX(役男大表!$A$1:$BF$95,MATCH($A15,役男大表!$A$1:$A$97,0),   MATCH(G$1,役男大表!$A$3:$BF$3,0)  )                  )  )  )," ",""),"")</f>
        <v/>
      </c>
      <c r="H15" s="278" t="str">
        <f>_xlfn.IFNA(  SUBSTITUTE(     IF(  INDEX(役男大表!$A$1:$BF$95,MATCH($A15,役男大表!$A$1:$A$97,0),   MATCH(H$1,役男大表!$A$3:$BF$3,0)  )=0,"",  IF(  INDEX(役男大表!$A$1:$BF$95,MATCH($A15,役男大表!$A$1:$A$97,0),   MATCH(H$1,役男大表!$A$3:$BF$3,0)  )="榮","x",  IF(  INDEX(役男大表!$A$1:$BF$95,MATCH($A15,役男大表!$A$1:$A$97,0),   MATCH(H$1,役男大表!$A$3:$BF$3,0)  )="榮-22",  "x榮18-22",               INDEX(役男大表!$A$1:$BF$95,MATCH($A15,役男大表!$A$1:$A$97,0),   MATCH(H$1,役男大表!$A$3:$BF$3,0)  )                  )  )  )," ",""),"")</f>
        <v/>
      </c>
      <c r="I15" s="278" t="str">
        <f>_xlfn.IFNA(  SUBSTITUTE(     IF(  INDEX(役男大表!$A$1:$BF$95,MATCH($A15,役男大表!$A$1:$A$97,0),   MATCH(I$1,役男大表!$A$3:$BF$3,0)  )=0,"",  IF(  INDEX(役男大表!$A$1:$BF$95,MATCH($A15,役男大表!$A$1:$A$97,0),   MATCH(I$1,役男大表!$A$3:$BF$3,0)  )="榮","x",  IF(  INDEX(役男大表!$A$1:$BF$95,MATCH($A15,役男大表!$A$1:$A$97,0),   MATCH(I$1,役男大表!$A$3:$BF$3,0)  )="榮-22",  "x榮18-22",               INDEX(役男大表!$A$1:$BF$95,MATCH($A15,役男大表!$A$1:$A$97,0),   MATCH(I$1,役男大表!$A$3:$BF$3,0)  )                  )  )  )," ",""),"")</f>
        <v/>
      </c>
      <c r="J15" s="278" t="str">
        <f>_xlfn.IFNA(  SUBSTITUTE(     IF(  INDEX(役男大表!$A$1:$BF$95,MATCH($A15,役男大表!$A$1:$A$97,0),   MATCH(J$1,役男大表!$A$3:$BF$3,0)  )=0,"",  IF(  INDEX(役男大表!$A$1:$BF$95,MATCH($A15,役男大表!$A$1:$A$97,0),   MATCH(J$1,役男大表!$A$3:$BF$3,0)  )="榮","x",  IF(  INDEX(役男大表!$A$1:$BF$95,MATCH($A15,役男大表!$A$1:$A$97,0),   MATCH(J$1,役男大表!$A$3:$BF$3,0)  )="榮-22",  "x榮18-22",               INDEX(役男大表!$A$1:$BF$95,MATCH($A15,役男大表!$A$1:$A$97,0),   MATCH(J$1,役男大表!$A$3:$BF$3,0)  )                  )  )  )," ",""),"")</f>
        <v/>
      </c>
      <c r="K15" s="278" t="str">
        <f>_xlfn.IFNA(  SUBSTITUTE(     IF(  INDEX(役男大表!$A$1:$BF$95,MATCH($A15,役男大表!$A$1:$A$97,0),   MATCH(K$1,役男大表!$A$3:$BF$3,0)  )=0,"",  IF(  INDEX(役男大表!$A$1:$BF$95,MATCH($A15,役男大表!$A$1:$A$97,0),   MATCH(K$1,役男大表!$A$3:$BF$3,0)  )="榮","x",  IF(  INDEX(役男大表!$A$1:$BF$95,MATCH($A15,役男大表!$A$1:$A$97,0),   MATCH(K$1,役男大表!$A$3:$BF$3,0)  )="榮-22",  "x榮18-22",               INDEX(役男大表!$A$1:$BF$95,MATCH($A15,役男大表!$A$1:$A$97,0),   MATCH(K$1,役男大表!$A$3:$BF$3,0)  )                  )  )  )," ",""),"")</f>
        <v/>
      </c>
      <c r="L15" s="278" t="str">
        <f>_xlfn.IFNA(  SUBSTITUTE(     IF(  INDEX(役男大表!$A$1:$BF$95,MATCH($A15,役男大表!$A$1:$A$97,0),   MATCH(L$1,役男大表!$A$3:$BF$3,0)  )=0,"",  IF(  INDEX(役男大表!$A$1:$BF$95,MATCH($A15,役男大表!$A$1:$A$97,0),   MATCH(L$1,役男大表!$A$3:$BF$3,0)  )="榮","x",  IF(  INDEX(役男大表!$A$1:$BF$95,MATCH($A15,役男大表!$A$1:$A$97,0),   MATCH(L$1,役男大表!$A$3:$BF$3,0)  )="榮-22",  "x榮18-22",               INDEX(役男大表!$A$1:$BF$95,MATCH($A15,役男大表!$A$1:$A$97,0),   MATCH(L$1,役男大表!$A$3:$BF$3,0)  )                  )  )  )," ",""),"")</f>
        <v/>
      </c>
      <c r="M15" s="278" t="str">
        <f>_xlfn.IFNA(  SUBSTITUTE(     IF(  INDEX(役男大表!$A$1:$BF$95,MATCH($A15,役男大表!$A$1:$A$97,0),   MATCH(M$1,役男大表!$A$3:$BF$3,0)  )=0,"",  IF(  INDEX(役男大表!$A$1:$BF$95,MATCH($A15,役男大表!$A$1:$A$97,0),   MATCH(M$1,役男大表!$A$3:$BF$3,0)  )="榮","x",  IF(  INDEX(役男大表!$A$1:$BF$95,MATCH($A15,役男大表!$A$1:$A$97,0),   MATCH(M$1,役男大表!$A$3:$BF$3,0)  )="榮-22",  "x榮18-22",               INDEX(役男大表!$A$1:$BF$95,MATCH($A15,役男大表!$A$1:$A$97,0),   MATCH(M$1,役男大表!$A$3:$BF$3,0)  )                  )  )  )," ",""),"")</f>
        <v/>
      </c>
      <c r="N15" s="278" t="str">
        <f>_xlfn.IFNA(  SUBSTITUTE(     IF(  INDEX(役男大表!$A$1:$BF$95,MATCH($A15,役男大表!$A$1:$A$97,0),   MATCH(N$1,役男大表!$A$3:$BF$3,0)  )=0,"",  IF(  INDEX(役男大表!$A$1:$BF$95,MATCH($A15,役男大表!$A$1:$A$97,0),   MATCH(N$1,役男大表!$A$3:$BF$3,0)  )="榮","x",  IF(  INDEX(役男大表!$A$1:$BF$95,MATCH($A15,役男大表!$A$1:$A$97,0),   MATCH(N$1,役男大表!$A$3:$BF$3,0)  )="榮-22",  "x榮18-22",               INDEX(役男大表!$A$1:$BF$95,MATCH($A15,役男大表!$A$1:$A$97,0),   MATCH(N$1,役男大表!$A$3:$BF$3,0)  )                  )  )  )," ",""),"")</f>
        <v/>
      </c>
      <c r="O15" s="278" t="str">
        <f>_xlfn.IFNA(  SUBSTITUTE(     IF(  INDEX(役男大表!$A$1:$BF$95,MATCH($A15,役男大表!$A$1:$A$97,0),   MATCH(O$1,役男大表!$A$3:$BF$3,0)  )=0,"",  IF(  INDEX(役男大表!$A$1:$BF$95,MATCH($A15,役男大表!$A$1:$A$97,0),   MATCH(O$1,役男大表!$A$3:$BF$3,0)  )="榮","x",  IF(  INDEX(役男大表!$A$1:$BF$95,MATCH($A15,役男大表!$A$1:$A$97,0),   MATCH(O$1,役男大表!$A$3:$BF$3,0)  )="榮-22",  "x榮18-22",               INDEX(役男大表!$A$1:$BF$95,MATCH($A15,役男大表!$A$1:$A$97,0),   MATCH(O$1,役男大表!$A$3:$BF$3,0)  )                  )  )  )," ",""),"")</f>
        <v/>
      </c>
      <c r="P15" s="278" t="str">
        <f>_xlfn.IFNA(  SUBSTITUTE(     IF(  INDEX(役男大表!$A$1:$BF$95,MATCH($A15,役男大表!$A$1:$A$97,0),   MATCH(P$1,役男大表!$A$3:$BF$3,0)  )=0,"",  IF(  INDEX(役男大表!$A$1:$BF$95,MATCH($A15,役男大表!$A$1:$A$97,0),   MATCH(P$1,役男大表!$A$3:$BF$3,0)  )="榮","x",  IF(  INDEX(役男大表!$A$1:$BF$95,MATCH($A15,役男大表!$A$1:$A$97,0),   MATCH(P$1,役男大表!$A$3:$BF$3,0)  )="榮-22",  "x榮18-22",               INDEX(役男大表!$A$1:$BF$95,MATCH($A15,役男大表!$A$1:$A$97,0),   MATCH(P$1,役男大表!$A$3:$BF$3,0)  )                  )  )  )," ",""),"")</f>
        <v/>
      </c>
      <c r="Q15" s="278" t="str">
        <f>_xlfn.IFNA(  SUBSTITUTE(     IF(  INDEX(役男大表!$A$1:$BF$95,MATCH($A15,役男大表!$A$1:$A$97,0),   MATCH(Q$1,役男大表!$A$3:$BF$3,0)  )=0,"",  IF(  INDEX(役男大表!$A$1:$BF$95,MATCH($A15,役男大表!$A$1:$A$97,0),   MATCH(Q$1,役男大表!$A$3:$BF$3,0)  )="榮","x",  IF(  INDEX(役男大表!$A$1:$BF$95,MATCH($A15,役男大表!$A$1:$A$97,0),   MATCH(Q$1,役男大表!$A$3:$BF$3,0)  )="榮-22",  "x榮18-22",               INDEX(役男大表!$A$1:$BF$95,MATCH($A15,役男大表!$A$1:$A$97,0),   MATCH(Q$1,役男大表!$A$3:$BF$3,0)  )                  )  )  )," ",""),"")</f>
        <v/>
      </c>
      <c r="R15" s="278" t="str">
        <f>_xlfn.IFNA(  SUBSTITUTE(     IF(  INDEX(役男大表!$A$1:$BF$95,MATCH($A15,役男大表!$A$1:$A$97,0),   MATCH(R$1,役男大表!$A$3:$BF$3,0)  )=0,"",  IF(  INDEX(役男大表!$A$1:$BF$95,MATCH($A15,役男大表!$A$1:$A$97,0),   MATCH(R$1,役男大表!$A$3:$BF$3,0)  )="榮","x",  IF(  INDEX(役男大表!$A$1:$BF$95,MATCH($A15,役男大表!$A$1:$A$97,0),   MATCH(R$1,役男大表!$A$3:$BF$3,0)  )="榮-22",  "x榮18-22",               INDEX(役男大表!$A$1:$BF$95,MATCH($A15,役男大表!$A$1:$A$97,0),   MATCH(R$1,役男大表!$A$3:$BF$3,0)  )                  )  )  )," ",""),"")</f>
        <v/>
      </c>
      <c r="S15" s="278" t="str">
        <f>_xlfn.IFNA(  SUBSTITUTE(     IF(  INDEX(役男大表!$A$1:$BF$95,MATCH($A15,役男大表!$A$1:$A$97,0),   MATCH(S$1,役男大表!$A$3:$BF$3,0)  )=0,"",  IF(  INDEX(役男大表!$A$1:$BF$95,MATCH($A15,役男大表!$A$1:$A$97,0),   MATCH(S$1,役男大表!$A$3:$BF$3,0)  )="榮","x",  IF(  INDEX(役男大表!$A$1:$BF$95,MATCH($A15,役男大表!$A$1:$A$97,0),   MATCH(S$1,役男大表!$A$3:$BF$3,0)  )="榮-22",  "x榮18-22",               INDEX(役男大表!$A$1:$BF$95,MATCH($A15,役男大表!$A$1:$A$97,0),   MATCH(S$1,役男大表!$A$3:$BF$3,0)  )                  )  )  )," ",""),"")</f>
        <v/>
      </c>
      <c r="T15" s="278" t="str">
        <f>_xlfn.IFNA(  SUBSTITUTE(     IF(  INDEX(役男大表!$A$1:$BF$95,MATCH($A15,役男大表!$A$1:$A$97,0),   MATCH(T$1,役男大表!$A$3:$BF$3,0)  )=0,"",  IF(  INDEX(役男大表!$A$1:$BF$95,MATCH($A15,役男大表!$A$1:$A$97,0),   MATCH(T$1,役男大表!$A$3:$BF$3,0)  )="榮","x",  IF(  INDEX(役男大表!$A$1:$BF$95,MATCH($A15,役男大表!$A$1:$A$97,0),   MATCH(T$1,役男大表!$A$3:$BF$3,0)  )="榮-22",  "x榮18-22",               INDEX(役男大表!$A$1:$BF$95,MATCH($A15,役男大表!$A$1:$A$97,0),   MATCH(T$1,役男大表!$A$3:$BF$3,0)  )                  )  )  )," ",""),"")</f>
        <v/>
      </c>
      <c r="U15" s="278" t="str">
        <f>_xlfn.IFNA(  SUBSTITUTE(     IF(  INDEX(役男大表!$A$1:$BF$95,MATCH($A15,役男大表!$A$1:$A$97,0),   MATCH(U$1,役男大表!$A$3:$BF$3,0)  )=0,"",  IF(  INDEX(役男大表!$A$1:$BF$95,MATCH($A15,役男大表!$A$1:$A$97,0),   MATCH(U$1,役男大表!$A$3:$BF$3,0)  )="榮","x",  IF(  INDEX(役男大表!$A$1:$BF$95,MATCH($A15,役男大表!$A$1:$A$97,0),   MATCH(U$1,役男大表!$A$3:$BF$3,0)  )="榮-22",  "x榮18-22",               INDEX(役男大表!$A$1:$BF$95,MATCH($A15,役男大表!$A$1:$A$97,0),   MATCH(U$1,役男大表!$A$3:$BF$3,0)  )                  )  )  )," ",""),"")</f>
        <v/>
      </c>
      <c r="V15" s="278" t="str">
        <f>_xlfn.IFNA(  SUBSTITUTE(     IF(  INDEX(役男大表!$A$1:$BF$95,MATCH($A15,役男大表!$A$1:$A$97,0),   MATCH(V$1,役男大表!$A$3:$BF$3,0)  )=0,"",  IF(  INDEX(役男大表!$A$1:$BF$95,MATCH($A15,役男大表!$A$1:$A$97,0),   MATCH(V$1,役男大表!$A$3:$BF$3,0)  )="榮","x",  IF(  INDEX(役男大表!$A$1:$BF$95,MATCH($A15,役男大表!$A$1:$A$97,0),   MATCH(V$1,役男大表!$A$3:$BF$3,0)  )="榮-22",  "x榮18-22",               INDEX(役男大表!$A$1:$BF$95,MATCH($A15,役男大表!$A$1:$A$97,0),   MATCH(V$1,役男大表!$A$3:$BF$3,0)  )                  )  )  )," ",""),"")</f>
        <v/>
      </c>
      <c r="W15" s="278" t="str">
        <f>_xlfn.IFNA(  SUBSTITUTE(     IF(  INDEX(役男大表!$A$1:$BF$95,MATCH($A15,役男大表!$A$1:$A$97,0),   MATCH(W$1,役男大表!$A$3:$BF$3,0)  )=0,"",  IF(  INDEX(役男大表!$A$1:$BF$95,MATCH($A15,役男大表!$A$1:$A$97,0),   MATCH(W$1,役男大表!$A$3:$BF$3,0)  )="榮","x",  IF(  INDEX(役男大表!$A$1:$BF$95,MATCH($A15,役男大表!$A$1:$A$97,0),   MATCH(W$1,役男大表!$A$3:$BF$3,0)  )="榮-22",  "x榮18-22",               INDEX(役男大表!$A$1:$BF$95,MATCH($A15,役男大表!$A$1:$A$97,0),   MATCH(W$1,役男大表!$A$3:$BF$3,0)  )                  )  )  )," ",""),"")</f>
        <v/>
      </c>
      <c r="X15" s="278" t="str">
        <f>_xlfn.IFNA(  SUBSTITUTE(     IF(  INDEX(役男大表!$A$1:$BF$95,MATCH($A15,役男大表!$A$1:$A$97,0),   MATCH(X$1,役男大表!$A$3:$BF$3,0)  )=0,"",  IF(  INDEX(役男大表!$A$1:$BF$95,MATCH($A15,役男大表!$A$1:$A$97,0),   MATCH(X$1,役男大表!$A$3:$BF$3,0)  )="榮","x",  IF(  INDEX(役男大表!$A$1:$BF$95,MATCH($A15,役男大表!$A$1:$A$97,0),   MATCH(X$1,役男大表!$A$3:$BF$3,0)  )="榮-22",  "x榮18-22",               INDEX(役男大表!$A$1:$BF$95,MATCH($A15,役男大表!$A$1:$A$97,0),   MATCH(X$1,役男大表!$A$3:$BF$3,0)  )                  )  )  )," ",""),"")</f>
        <v/>
      </c>
      <c r="Y15" s="278" t="str">
        <f>_xlfn.IFNA(  SUBSTITUTE(     IF(  INDEX(役男大表!$A$1:$BF$95,MATCH($A15,役男大表!$A$1:$A$97,0),   MATCH(Y$1,役男大表!$A$3:$BF$3,0)  )=0,"",  IF(  INDEX(役男大表!$A$1:$BF$95,MATCH($A15,役男大表!$A$1:$A$97,0),   MATCH(Y$1,役男大表!$A$3:$BF$3,0)  )="榮","x",  IF(  INDEX(役男大表!$A$1:$BF$95,MATCH($A15,役男大表!$A$1:$A$97,0),   MATCH(Y$1,役男大表!$A$3:$BF$3,0)  )="榮-22",  "x榮18-22",               INDEX(役男大表!$A$1:$BF$95,MATCH($A15,役男大表!$A$1:$A$97,0),   MATCH(Y$1,役男大表!$A$3:$BF$3,0)  )                  )  )  )," ",""),"")</f>
        <v/>
      </c>
      <c r="Z15" s="278" t="str">
        <f>_xlfn.IFNA(  SUBSTITUTE(     IF(  INDEX(役男大表!$A$1:$BF$95,MATCH($A15,役男大表!$A$1:$A$97,0),   MATCH(Z$1,役男大表!$A$3:$BF$3,0)  )=0,"",  IF(  INDEX(役男大表!$A$1:$BF$95,MATCH($A15,役男大表!$A$1:$A$97,0),   MATCH(Z$1,役男大表!$A$3:$BF$3,0)  )="榮","x",  IF(  INDEX(役男大表!$A$1:$BF$95,MATCH($A15,役男大表!$A$1:$A$97,0),   MATCH(Z$1,役男大表!$A$3:$BF$3,0)  )="榮-22",  "x榮18-22",               INDEX(役男大表!$A$1:$BF$95,MATCH($A15,役男大表!$A$1:$A$97,0),   MATCH(Z$1,役男大表!$A$3:$BF$3,0)  )                  )  )  )," ",""),"")</f>
        <v/>
      </c>
      <c r="AA15" s="278" t="str">
        <f>_xlfn.IFNA(  SUBSTITUTE(     IF(  INDEX(役男大表!$A$1:$BF$95,MATCH($A15,役男大表!$A$1:$A$97,0),   MATCH(AA$1,役男大表!$A$3:$BF$3,0)  )=0,"",  IF(  INDEX(役男大表!$A$1:$BF$95,MATCH($A15,役男大表!$A$1:$A$97,0),   MATCH(AA$1,役男大表!$A$3:$BF$3,0)  )="榮","x",  IF(  INDEX(役男大表!$A$1:$BF$95,MATCH($A15,役男大表!$A$1:$A$97,0),   MATCH(AA$1,役男大表!$A$3:$BF$3,0)  )="榮-22",  "x榮18-22",               INDEX(役男大表!$A$1:$BF$95,MATCH($A15,役男大表!$A$1:$A$97,0),   MATCH(AA$1,役男大表!$A$3:$BF$3,0)  )                  )  )  )," ",""),"")</f>
        <v/>
      </c>
      <c r="AB15" s="278" t="str">
        <f>_xlfn.IFNA(  SUBSTITUTE(     IF(  INDEX(役男大表!$A$1:$BF$95,MATCH($A15,役男大表!$A$1:$A$97,0),   MATCH(AB$1,役男大表!$A$3:$BF$3,0)  )=0,"",  IF(  INDEX(役男大表!$A$1:$BF$95,MATCH($A15,役男大表!$A$1:$A$97,0),   MATCH(AB$1,役男大表!$A$3:$BF$3,0)  )="榮","x",  IF(  INDEX(役男大表!$A$1:$BF$95,MATCH($A15,役男大表!$A$1:$A$97,0),   MATCH(AB$1,役男大表!$A$3:$BF$3,0)  )="榮-22",  "x榮18-22",               INDEX(役男大表!$A$1:$BF$95,MATCH($A15,役男大表!$A$1:$A$97,0),   MATCH(AB$1,役男大表!$A$3:$BF$3,0)  )                  )  )  )," ",""),"")</f>
        <v/>
      </c>
      <c r="AC15" s="278" t="str">
        <f>_xlfn.IFNA(  SUBSTITUTE(     IF(  INDEX(役男大表!$A$1:$BF$95,MATCH($A15,役男大表!$A$1:$A$97,0),   MATCH(AC$1,役男大表!$A$3:$BF$3,0)  )=0,"",  IF(  INDEX(役男大表!$A$1:$BF$95,MATCH($A15,役男大表!$A$1:$A$97,0),   MATCH(AC$1,役男大表!$A$3:$BF$3,0)  )="榮","x",  IF(  INDEX(役男大表!$A$1:$BF$95,MATCH($A15,役男大表!$A$1:$A$97,0),   MATCH(AC$1,役男大表!$A$3:$BF$3,0)  )="榮-22",  "x榮18-22",               INDEX(役男大表!$A$1:$BF$95,MATCH($A15,役男大表!$A$1:$A$97,0),   MATCH(AC$1,役男大表!$A$3:$BF$3,0)  )                  )  )  )," ",""),"")</f>
        <v/>
      </c>
      <c r="AD15" s="278" t="str">
        <f>_xlfn.IFNA(  SUBSTITUTE(     IF(  INDEX(役男大表!$A$1:$BF$95,MATCH($A15,役男大表!$A$1:$A$97,0),   MATCH(AD$1,役男大表!$A$3:$BF$3,0)  )=0,"",  IF(  INDEX(役男大表!$A$1:$BF$95,MATCH($A15,役男大表!$A$1:$A$97,0),   MATCH(AD$1,役男大表!$A$3:$BF$3,0)  )="榮","x",  IF(  INDEX(役男大表!$A$1:$BF$95,MATCH($A15,役男大表!$A$1:$A$97,0),   MATCH(AD$1,役男大表!$A$3:$BF$3,0)  )="榮-22",  "x榮18-22",               INDEX(役男大表!$A$1:$BF$95,MATCH($A15,役男大表!$A$1:$A$97,0),   MATCH(AD$1,役男大表!$A$3:$BF$3,0)  )                  )  )  )," ",""),"")</f>
        <v/>
      </c>
      <c r="AE15" s="278" t="str">
        <f>_xlfn.IFNA(  SUBSTITUTE(     IF(  INDEX(役男大表!$A$1:$BF$95,MATCH($A15,役男大表!$A$1:$A$97,0),   MATCH(AE$1,役男大表!$A$3:$BF$3,0)  )=0,"",  IF(  INDEX(役男大表!$A$1:$BF$95,MATCH($A15,役男大表!$A$1:$A$97,0),   MATCH(AE$1,役男大表!$A$3:$BF$3,0)  )="榮","x",  IF(  INDEX(役男大表!$A$1:$BF$95,MATCH($A15,役男大表!$A$1:$A$97,0),   MATCH(AE$1,役男大表!$A$3:$BF$3,0)  )="榮-22",  "x榮18-22",               INDEX(役男大表!$A$1:$BF$95,MATCH($A15,役男大表!$A$1:$A$97,0),   MATCH(AE$1,役男大表!$A$3:$BF$3,0)  )                  )  )  )," ",""),"")</f>
        <v/>
      </c>
      <c r="AF15" s="278" t="str">
        <f>_xlfn.IFNA(  SUBSTITUTE(     IF(  INDEX(役男大表!$A$1:$BF$95,MATCH($A15,役男大表!$A$1:$A$97,0),   MATCH(AF$1,役男大表!$A$3:$BF$3,0)  )=0,"",  IF(  INDEX(役男大表!$A$1:$BF$95,MATCH($A15,役男大表!$A$1:$A$97,0),   MATCH(AF$1,役男大表!$A$3:$BF$3,0)  )="榮","x",  IF(  INDEX(役男大表!$A$1:$BF$95,MATCH($A15,役男大表!$A$1:$A$97,0),   MATCH(AF$1,役男大表!$A$3:$BF$3,0)  )="榮-22",  "x榮18-22",               INDEX(役男大表!$A$1:$BF$95,MATCH($A15,役男大表!$A$1:$A$97,0),   MATCH(AF$1,役男大表!$A$3:$BF$3,0)  )                  )  )  )," ",""),"")</f>
        <v/>
      </c>
      <c r="AG15" s="278" t="str">
        <f>_xlfn.IFNA(  SUBSTITUTE(     IF(  INDEX(役男大表!$A$1:$BF$95,MATCH($A15,役男大表!$A$1:$A$97,0),   MATCH(AG$1,役男大表!$A$3:$BF$3,0)  )=0,"",  IF(  INDEX(役男大表!$A$1:$BF$95,MATCH($A15,役男大表!$A$1:$A$97,0),   MATCH(AG$1,役男大表!$A$3:$BF$3,0)  )="榮","x",  IF(  INDEX(役男大表!$A$1:$BF$95,MATCH($A15,役男大表!$A$1:$A$97,0),   MATCH(AG$1,役男大表!$A$3:$BF$3,0)  )="榮-22",  "x榮18-22",               INDEX(役男大表!$A$1:$BF$95,MATCH($A15,役男大表!$A$1:$A$97,0),   MATCH(AG$1,役男大表!$A$3:$BF$3,0)  )                  )  )  )," ",""),"")</f>
        <v/>
      </c>
      <c r="AH15" s="278" t="str">
        <f>_xlfn.IFNA(  SUBSTITUTE(     IF(  INDEX(役男大表!$A$1:$BF$95,MATCH($A15,役男大表!$A$1:$A$97,0),   MATCH(AH$1,役男大表!$A$3:$BF$3,0)  )=0,"",  IF(  INDEX(役男大表!$A$1:$BF$95,MATCH($A15,役男大表!$A$1:$A$97,0),   MATCH(AH$1,役男大表!$A$3:$BF$3,0)  )="榮","x",  IF(  INDEX(役男大表!$A$1:$BF$95,MATCH($A15,役男大表!$A$1:$A$97,0),   MATCH(AH$1,役男大表!$A$3:$BF$3,0)  )="榮-22",  "x榮18-22",               INDEX(役男大表!$A$1:$BF$95,MATCH($A15,役男大表!$A$1:$A$97,0),   MATCH(AH$1,役男大表!$A$3:$BF$3,0)  )                  )  )  )," ",""),"")</f>
        <v/>
      </c>
      <c r="AI15" s="278" t="str">
        <f>_xlfn.IFNA(  SUBSTITUTE(     IF(  INDEX(役男大表!$A$1:$BF$95,MATCH($A15,役男大表!$A$1:$A$97,0),   MATCH(AI$1,役男大表!$A$3:$BF$3,0)  )=0,"",  IF(  INDEX(役男大表!$A$1:$BF$95,MATCH($A15,役男大表!$A$1:$A$97,0),   MATCH(AI$1,役男大表!$A$3:$BF$3,0)  )="榮","x",  IF(  INDEX(役男大表!$A$1:$BF$95,MATCH($A15,役男大表!$A$1:$A$97,0),   MATCH(AI$1,役男大表!$A$3:$BF$3,0)  )="榮-22",  "x榮18-22",               INDEX(役男大表!$A$1:$BF$95,MATCH($A15,役男大表!$A$1:$A$97,0),   MATCH(AI$1,役男大表!$A$3:$BF$3,0)  )                  )  )  )," ",""),"")</f>
        <v/>
      </c>
      <c r="AJ15" s="278" t="str">
        <f>_xlfn.IFNA(  SUBSTITUTE(     IF(  INDEX(役男大表!$A$1:$BF$95,MATCH($A15,役男大表!$A$1:$A$97,0),   MATCH(AJ$1,役男大表!$A$3:$BF$3,0)  )=0,"",  IF(  INDEX(役男大表!$A$1:$BF$95,MATCH($A15,役男大表!$A$1:$A$97,0),   MATCH(AJ$1,役男大表!$A$3:$BF$3,0)  )="榮","x",  IF(  INDEX(役男大表!$A$1:$BF$95,MATCH($A15,役男大表!$A$1:$A$97,0),   MATCH(AJ$1,役男大表!$A$3:$BF$3,0)  )="榮-22",  "x榮18-22",               INDEX(役男大表!$A$1:$BF$95,MATCH($A15,役男大表!$A$1:$A$97,0),   MATCH(AJ$1,役男大表!$A$3:$BF$3,0)  )                  )  )  )," ",""),"")</f>
        <v/>
      </c>
      <c r="AM15" s="66">
        <f t="shared" si="1"/>
        <v>14</v>
      </c>
      <c r="AN15" s="66" t="str">
        <f t="shared" si="2"/>
        <v>鄭品豪</v>
      </c>
      <c r="AO15" s="71" t="str">
        <f>IF(  AND(  INDEX(   $A$42:$AJ$79, MATCH(AM15,$A$42:$A$79,0),MATCH(  日期輸入!$C$3,$A$42:$AL$42,0  )  )="全日勤",  AV15="免"  ),  "全日勤免勤教",  IF(  AND(  INDEX(   $A$42:$AJ$79, MATCH(AM15,$A$42:$A$79,0),MATCH(  日期輸入!$C$3,$A$42:$AL$42,0  )  )="18放",  AV15="免"  ),  "18放早走",  INDEX(   $A$42:$AJ$79, MATCH(AM15,$A$42:$A$79,0),MATCH(  日期輸入!$C$3,$A$42:$AL$42,0  )  )  )  )</f>
        <v>全日勤</v>
      </c>
      <c r="AP15" s="66" t="str">
        <f>_xlfn.IFNA(IF((ROW(AP15)-1)&lt;=暫1!$B$2,IF(VALUE($AM15)=暫1!B$3,"家因",IF(VALUE($AM15)=暫1!C$3,"家因",IF(VALUE($AM15)=暫1!D$3,"家因",IF(VALUE($AM15)=暫1!E$3,"家因",IF(VALUE($AM15)=暫1!F$3,"家因",IF(VALUE($AM15)=暫1!G$3,"家因",IF(VALUE($AM15)=暫1!H$3,"家因",IF(VALUE($AM15)=暫1!I$3,"家因",IF(VALUE($AM15)=暫1!J$3,"家因",IF(VALUE($AM15)=暫1!K$3,"家因",IF(VALUE($AM15)=暫1!L$3,"家因",IF(VALUE($AM15)=暫1!M$3,"家因",IF(VALUE($AM15)=暫1!N$3,"家因",IF(VALUE($AM15)=暫1!O$3,"家因",IF(VALUE($AM15)=暫1!P$3,"家因",IF(VALUE($AM15)=暫1!Q$3,"家因",IF(VALUE($AM15)=暫1!R$3,"家因",IF(VALUE($AM15)=暫1!S$3,"家因",IF(VALUE($AM15)=暫1!T$3,"家因",IF(VALUE($AM15)=暫1!U$3,"家因","")))))))))))))))))))),""),"")</f>
        <v/>
      </c>
      <c r="AQ15" s="66" t="str">
        <f>IF((ROW(AQ15)-1)&lt;=暫1!$B$2,_xlfn.IFNA(IF(INDEX($A$1:$AJ$41,MATCH($AN15,$B$1:$B$101,0),VALUE($AQ$1+3))="成","補",INDEX($A$1:$AJ$41,MATCH($AN15,$B$1:$B$101,0),VALUE($AQ$1+3))),""),"")</f>
        <v/>
      </c>
      <c r="AR15" s="66" t="str">
        <f>IF((ROW(AR15)-1)&lt;=暫1!$B$2,_xlfn.IFNA(IF(INDEX($A$1:$AJ$41,MATCH($AN15,$B$1:$B$101,0),VALUE($AR$1+3))="成","補",INDEX($A$1:$AJ$41,MATCH($AN15,$B$1:$B$101,0),VALUE($AR$1+3))),""),"")</f>
        <v/>
      </c>
      <c r="AS15" s="66" t="str">
        <f>IF((ROW(AS15)-1)&lt;=暫1!$B$2,_xlfn.IFNA(IF(INDEX($A$1:$AJ$41,MATCH($AN15,$B$1:$B$101,0),VALUE($AS$1+3))="成","補",INDEX($A$1:$AJ$41,MATCH($AN15,$B$1:$B$101,0),VALUE($AS$1+3))),""),"")</f>
        <v/>
      </c>
      <c r="AT15" s="66" t="str">
        <f>IF(  OR(  LEN(  INDEX(   $A$1:$AJ$39, MATCH(AM15,$A$1:$A$39,0),MATCH(  日期輸入!$C$3,$A$1:$AP$1,0  )  )  )&gt;LEN(  SUBSTITUTE(  INDEX(   $A$1:$AJ$39, MATCH(AM15,$A$1:$A$39,0),MATCH(  日期輸入!$C$3,$A$1:$AP$1,0  )  ),"榮","")  )  ),   SUBSTITUTE(  SUBSTITUTE(  INDEX(   $A$1:$AJ$39, MATCH(AM15,$A$1:$A$39,0),MATCH(  日期輸入!$C$3,$A$1:$AP$1,0  )  ),"榮",""),"x",""), "")</f>
        <v/>
      </c>
      <c r="AU15" s="66" t="str">
        <f t="shared" si="3"/>
        <v/>
      </c>
      <c r="AV15" s="66" t="str">
        <f>INDEX(   $A$482:$AJ$519, MATCH(AM15,$A$482:$A$519,0),MATCH(  日期輸入!$C$3,$A$482:$AL$482,0  )  )</f>
        <v/>
      </c>
      <c r="AX15" s="66" t="str">
        <f>IFERROR(IF((ROW(AX15)-1)&lt;=暫1!$B$2,SUBSTITUTE(IF($AO15=$AX$1,$AM15,"")," ",""),""),"")</f>
        <v/>
      </c>
      <c r="AY15" s="66" t="str">
        <f>IFERROR(IF((ROW(AY15)-1)&lt;=暫1!$B$2,SUBSTITUTE(IF($AO15=$AY$1,$AM15,"")," ",""),""),"")</f>
        <v/>
      </c>
      <c r="AZ15" s="66" t="str">
        <f>IFERROR(IF((ROW(AZ15)-1)&lt;=暫1!$B$2,SUBSTITUTE(IF($AO15=$AZ$1,$AM15,"")," ",""),""),"")</f>
        <v/>
      </c>
      <c r="BA15" s="66" t="str">
        <f>IFERROR(IF((ROW(BA15)-1)&lt;=暫1!$B$2,SUBSTITUTE(IF($AO15=$BA$1,$AM15,"")," ",""),""),"")</f>
        <v/>
      </c>
      <c r="BB15" s="69" t="str">
        <f>IFERROR(IF((ROW(BB15)-1)&lt;=暫1!$B$2,SUBSTITUTE(IF(OR($AO15=$BB$1,$AO15=$AY$1,$AO15=$AZ$1),$AM15,IF($AO15=$AY$1,$AM15,"")),"",""),""),"")</f>
        <v>14</v>
      </c>
      <c r="BC15" s="69" t="str">
        <f>IF(    AND(LEN(BC14)&gt;=2 ),        "、" &amp;  IF(OR(役男人力!$J$2:$J$84="是"),役男人力!$B15,""),  IF(OR(役男人力!$J$2:$J$84="是"),役男人力!$B15,"")  )</f>
        <v>鄭品豪</v>
      </c>
      <c r="BG15" s="98" t="str">
        <f>INDEX(   A322:AJ359, 38,MATCH(  日期輸入!$C$3,A322:AP322,0  )  )</f>
        <v>5(06-22時).32</v>
      </c>
    </row>
    <row r="16" spans="1:60" ht="25.5" customHeight="1">
      <c r="A16" s="278">
        <v>15</v>
      </c>
      <c r="B16" s="278" t="str">
        <f>_xlfn.IFNA(  INDEX(役男大表!$A$1:$BF$95,MATCH(A16,役男大表!$A$1:$A$97,0),2),"")</f>
        <v>林晉弘</v>
      </c>
      <c r="C16" s="278" t="str">
        <f>_xlfn.IFNA(  SUBSTITUTE(     IF(  INDEX(役男大表!$A$1:$BF$95,MATCH($A16,役男大表!$A$1:$A$97,0),   MATCH(C$1,役男大表!$A$3:$BF$3,0)  )=0,"",  IF(  INDEX(役男大表!$A$1:$BF$95,MATCH($A16,役男大表!$A$1:$A$97,0),   MATCH(C$1,役男大表!$A$3:$BF$3,0)  )="榮","x",  IF(  INDEX(役男大表!$A$1:$BF$95,MATCH($A16,役男大表!$A$1:$A$97,0),   MATCH(C$1,役男大表!$A$3:$BF$3,0)  )="榮-22",  "x榮18-22",               INDEX(役男大表!$A$1:$BF$95,MATCH($A16,役男大表!$A$1:$A$97,0),   MATCH(C$1,役男大表!$A$3:$BF$3,0)  )                  )  )  )," ",""),"")</f>
        <v/>
      </c>
      <c r="D16" s="278" t="str">
        <f>_xlfn.IFNA(  SUBSTITUTE(     IF(  INDEX(役男大表!$A$1:$BF$95,MATCH($A16,役男大表!$A$1:$A$97,0),   MATCH(D$1,役男大表!$A$3:$BF$3,0)  )=0,"",  IF(  INDEX(役男大表!$A$1:$BF$95,MATCH($A16,役男大表!$A$1:$A$97,0),   MATCH(D$1,役男大表!$A$3:$BF$3,0)  )="榮","x",  IF(  INDEX(役男大表!$A$1:$BF$95,MATCH($A16,役男大表!$A$1:$A$97,0),   MATCH(D$1,役男大表!$A$3:$BF$3,0)  )="榮-22",  "x榮18-22",               INDEX(役男大表!$A$1:$BF$95,MATCH($A16,役男大表!$A$1:$A$97,0),   MATCH(D$1,役男大表!$A$3:$BF$3,0)  )                  )  )  )," ",""),"")</f>
        <v/>
      </c>
      <c r="E16" s="278" t="str">
        <f>_xlfn.IFNA(  SUBSTITUTE(     IF(  INDEX(役男大表!$A$1:$BF$95,MATCH($A16,役男大表!$A$1:$A$97,0),   MATCH(E$1,役男大表!$A$3:$BF$3,0)  )=0,"",  IF(  INDEX(役男大表!$A$1:$BF$95,MATCH($A16,役男大表!$A$1:$A$97,0),   MATCH(E$1,役男大表!$A$3:$BF$3,0)  )="榮","x",  IF(  INDEX(役男大表!$A$1:$BF$95,MATCH($A16,役男大表!$A$1:$A$97,0),   MATCH(E$1,役男大表!$A$3:$BF$3,0)  )="榮-22",  "x榮18-22",               INDEX(役男大表!$A$1:$BF$95,MATCH($A16,役男大表!$A$1:$A$97,0),   MATCH(E$1,役男大表!$A$3:$BF$3,0)  )                  )  )  )," ",""),"")</f>
        <v/>
      </c>
      <c r="F16" s="278" t="str">
        <f>_xlfn.IFNA(  SUBSTITUTE(     IF(  INDEX(役男大表!$A$1:$BF$95,MATCH($A16,役男大表!$A$1:$A$97,0),   MATCH(F$1,役男大表!$A$3:$BF$3,0)  )=0,"",  IF(  INDEX(役男大表!$A$1:$BF$95,MATCH($A16,役男大表!$A$1:$A$97,0),   MATCH(F$1,役男大表!$A$3:$BF$3,0)  )="榮","x",  IF(  INDEX(役男大表!$A$1:$BF$95,MATCH($A16,役男大表!$A$1:$A$97,0),   MATCH(F$1,役男大表!$A$3:$BF$3,0)  )="榮-22",  "x榮18-22",               INDEX(役男大表!$A$1:$BF$95,MATCH($A16,役男大表!$A$1:$A$97,0),   MATCH(F$1,役男大表!$A$3:$BF$3,0)  )                  )  )  )," ",""),"")</f>
        <v/>
      </c>
      <c r="G16" s="278" t="str">
        <f>_xlfn.IFNA(  SUBSTITUTE(     IF(  INDEX(役男大表!$A$1:$BF$95,MATCH($A16,役男大表!$A$1:$A$97,0),   MATCH(G$1,役男大表!$A$3:$BF$3,0)  )=0,"",  IF(  INDEX(役男大表!$A$1:$BF$95,MATCH($A16,役男大表!$A$1:$A$97,0),   MATCH(G$1,役男大表!$A$3:$BF$3,0)  )="榮","x",  IF(  INDEX(役男大表!$A$1:$BF$95,MATCH($A16,役男大表!$A$1:$A$97,0),   MATCH(G$1,役男大表!$A$3:$BF$3,0)  )="榮-22",  "x榮18-22",               INDEX(役男大表!$A$1:$BF$95,MATCH($A16,役男大表!$A$1:$A$97,0),   MATCH(G$1,役男大表!$A$3:$BF$3,0)  )                  )  )  )," ",""),"")</f>
        <v/>
      </c>
      <c r="H16" s="278" t="str">
        <f>_xlfn.IFNA(  SUBSTITUTE(     IF(  INDEX(役男大表!$A$1:$BF$95,MATCH($A16,役男大表!$A$1:$A$97,0),   MATCH(H$1,役男大表!$A$3:$BF$3,0)  )=0,"",  IF(  INDEX(役男大表!$A$1:$BF$95,MATCH($A16,役男大表!$A$1:$A$97,0),   MATCH(H$1,役男大表!$A$3:$BF$3,0)  )="榮","x",  IF(  INDEX(役男大表!$A$1:$BF$95,MATCH($A16,役男大表!$A$1:$A$97,0),   MATCH(H$1,役男大表!$A$3:$BF$3,0)  )="榮-22",  "x榮18-22",               INDEX(役男大表!$A$1:$BF$95,MATCH($A16,役男大表!$A$1:$A$97,0),   MATCH(H$1,役男大表!$A$3:$BF$3,0)  )                  )  )  )," ",""),"")</f>
        <v/>
      </c>
      <c r="I16" s="278" t="str">
        <f>_xlfn.IFNA(  SUBSTITUTE(     IF(  INDEX(役男大表!$A$1:$BF$95,MATCH($A16,役男大表!$A$1:$A$97,0),   MATCH(I$1,役男大表!$A$3:$BF$3,0)  )=0,"",  IF(  INDEX(役男大表!$A$1:$BF$95,MATCH($A16,役男大表!$A$1:$A$97,0),   MATCH(I$1,役男大表!$A$3:$BF$3,0)  )="榮","x",  IF(  INDEX(役男大表!$A$1:$BF$95,MATCH($A16,役男大表!$A$1:$A$97,0),   MATCH(I$1,役男大表!$A$3:$BF$3,0)  )="榮-22",  "x榮18-22",               INDEX(役男大表!$A$1:$BF$95,MATCH($A16,役男大表!$A$1:$A$97,0),   MATCH(I$1,役男大表!$A$3:$BF$3,0)  )                  )  )  )," ",""),"")</f>
        <v/>
      </c>
      <c r="J16" s="278" t="str">
        <f>_xlfn.IFNA(  SUBSTITUTE(     IF(  INDEX(役男大表!$A$1:$BF$95,MATCH($A16,役男大表!$A$1:$A$97,0),   MATCH(J$1,役男大表!$A$3:$BF$3,0)  )=0,"",  IF(  INDEX(役男大表!$A$1:$BF$95,MATCH($A16,役男大表!$A$1:$A$97,0),   MATCH(J$1,役男大表!$A$3:$BF$3,0)  )="榮","x",  IF(  INDEX(役男大表!$A$1:$BF$95,MATCH($A16,役男大表!$A$1:$A$97,0),   MATCH(J$1,役男大表!$A$3:$BF$3,0)  )="榮-22",  "x榮18-22",               INDEX(役男大表!$A$1:$BF$95,MATCH($A16,役男大表!$A$1:$A$97,0),   MATCH(J$1,役男大表!$A$3:$BF$3,0)  )                  )  )  )," ",""),"")</f>
        <v/>
      </c>
      <c r="K16" s="278" t="str">
        <f>_xlfn.IFNA(  SUBSTITUTE(     IF(  INDEX(役男大表!$A$1:$BF$95,MATCH($A16,役男大表!$A$1:$A$97,0),   MATCH(K$1,役男大表!$A$3:$BF$3,0)  )=0,"",  IF(  INDEX(役男大表!$A$1:$BF$95,MATCH($A16,役男大表!$A$1:$A$97,0),   MATCH(K$1,役男大表!$A$3:$BF$3,0)  )="榮","x",  IF(  INDEX(役男大表!$A$1:$BF$95,MATCH($A16,役男大表!$A$1:$A$97,0),   MATCH(K$1,役男大表!$A$3:$BF$3,0)  )="榮-22",  "x榮18-22",               INDEX(役男大表!$A$1:$BF$95,MATCH($A16,役男大表!$A$1:$A$97,0),   MATCH(K$1,役男大表!$A$3:$BF$3,0)  )                  )  )  )," ",""),"")</f>
        <v/>
      </c>
      <c r="L16" s="278" t="str">
        <f>_xlfn.IFNA(  SUBSTITUTE(     IF(  INDEX(役男大表!$A$1:$BF$95,MATCH($A16,役男大表!$A$1:$A$97,0),   MATCH(L$1,役男大表!$A$3:$BF$3,0)  )=0,"",  IF(  INDEX(役男大表!$A$1:$BF$95,MATCH($A16,役男大表!$A$1:$A$97,0),   MATCH(L$1,役男大表!$A$3:$BF$3,0)  )="榮","x",  IF(  INDEX(役男大表!$A$1:$BF$95,MATCH($A16,役男大表!$A$1:$A$97,0),   MATCH(L$1,役男大表!$A$3:$BF$3,0)  )="榮-22",  "x榮18-22",               INDEX(役男大表!$A$1:$BF$95,MATCH($A16,役男大表!$A$1:$A$97,0),   MATCH(L$1,役男大表!$A$3:$BF$3,0)  )                  )  )  )," ",""),"")</f>
        <v/>
      </c>
      <c r="M16" s="278" t="str">
        <f>_xlfn.IFNA(  SUBSTITUTE(     IF(  INDEX(役男大表!$A$1:$BF$95,MATCH($A16,役男大表!$A$1:$A$97,0),   MATCH(M$1,役男大表!$A$3:$BF$3,0)  )=0,"",  IF(  INDEX(役男大表!$A$1:$BF$95,MATCH($A16,役男大表!$A$1:$A$97,0),   MATCH(M$1,役男大表!$A$3:$BF$3,0)  )="榮","x",  IF(  INDEX(役男大表!$A$1:$BF$95,MATCH($A16,役男大表!$A$1:$A$97,0),   MATCH(M$1,役男大表!$A$3:$BF$3,0)  )="榮-22",  "x榮18-22",               INDEX(役男大表!$A$1:$BF$95,MATCH($A16,役男大表!$A$1:$A$97,0),   MATCH(M$1,役男大表!$A$3:$BF$3,0)  )                  )  )  )," ",""),"")</f>
        <v/>
      </c>
      <c r="N16" s="278" t="str">
        <f>_xlfn.IFNA(  SUBSTITUTE(     IF(  INDEX(役男大表!$A$1:$BF$95,MATCH($A16,役男大表!$A$1:$A$97,0),   MATCH(N$1,役男大表!$A$3:$BF$3,0)  )=0,"",  IF(  INDEX(役男大表!$A$1:$BF$95,MATCH($A16,役男大表!$A$1:$A$97,0),   MATCH(N$1,役男大表!$A$3:$BF$3,0)  )="榮","x",  IF(  INDEX(役男大表!$A$1:$BF$95,MATCH($A16,役男大表!$A$1:$A$97,0),   MATCH(N$1,役男大表!$A$3:$BF$3,0)  )="榮-22",  "x榮18-22",               INDEX(役男大表!$A$1:$BF$95,MATCH($A16,役男大表!$A$1:$A$97,0),   MATCH(N$1,役男大表!$A$3:$BF$3,0)  )                  )  )  )," ",""),"")</f>
        <v/>
      </c>
      <c r="O16" s="278" t="str">
        <f>_xlfn.IFNA(  SUBSTITUTE(     IF(  INDEX(役男大表!$A$1:$BF$95,MATCH($A16,役男大表!$A$1:$A$97,0),   MATCH(O$1,役男大表!$A$3:$BF$3,0)  )=0,"",  IF(  INDEX(役男大表!$A$1:$BF$95,MATCH($A16,役男大表!$A$1:$A$97,0),   MATCH(O$1,役男大表!$A$3:$BF$3,0)  )="榮","x",  IF(  INDEX(役男大表!$A$1:$BF$95,MATCH($A16,役男大表!$A$1:$A$97,0),   MATCH(O$1,役男大表!$A$3:$BF$3,0)  )="榮-22",  "x榮18-22",               INDEX(役男大表!$A$1:$BF$95,MATCH($A16,役男大表!$A$1:$A$97,0),   MATCH(O$1,役男大表!$A$3:$BF$3,0)  )                  )  )  )," ",""),"")</f>
        <v/>
      </c>
      <c r="P16" s="278" t="str">
        <f>_xlfn.IFNA(  SUBSTITUTE(     IF(  INDEX(役男大表!$A$1:$BF$95,MATCH($A16,役男大表!$A$1:$A$97,0),   MATCH(P$1,役男大表!$A$3:$BF$3,0)  )=0,"",  IF(  INDEX(役男大表!$A$1:$BF$95,MATCH($A16,役男大表!$A$1:$A$97,0),   MATCH(P$1,役男大表!$A$3:$BF$3,0)  )="榮","x",  IF(  INDEX(役男大表!$A$1:$BF$95,MATCH($A16,役男大表!$A$1:$A$97,0),   MATCH(P$1,役男大表!$A$3:$BF$3,0)  )="榮-22",  "x榮18-22",               INDEX(役男大表!$A$1:$BF$95,MATCH($A16,役男大表!$A$1:$A$97,0),   MATCH(P$1,役男大表!$A$3:$BF$3,0)  )                  )  )  )," ",""),"")</f>
        <v/>
      </c>
      <c r="Q16" s="278" t="str">
        <f>_xlfn.IFNA(  SUBSTITUTE(     IF(  INDEX(役男大表!$A$1:$BF$95,MATCH($A16,役男大表!$A$1:$A$97,0),   MATCH(Q$1,役男大表!$A$3:$BF$3,0)  )=0,"",  IF(  INDEX(役男大表!$A$1:$BF$95,MATCH($A16,役男大表!$A$1:$A$97,0),   MATCH(Q$1,役男大表!$A$3:$BF$3,0)  )="榮","x",  IF(  INDEX(役男大表!$A$1:$BF$95,MATCH($A16,役男大表!$A$1:$A$97,0),   MATCH(Q$1,役男大表!$A$3:$BF$3,0)  )="榮-22",  "x榮18-22",               INDEX(役男大表!$A$1:$BF$95,MATCH($A16,役男大表!$A$1:$A$97,0),   MATCH(Q$1,役男大表!$A$3:$BF$3,0)  )                  )  )  )," ",""),"")</f>
        <v/>
      </c>
      <c r="R16" s="278" t="str">
        <f>_xlfn.IFNA(  SUBSTITUTE(     IF(  INDEX(役男大表!$A$1:$BF$95,MATCH($A16,役男大表!$A$1:$A$97,0),   MATCH(R$1,役男大表!$A$3:$BF$3,0)  )=0,"",  IF(  INDEX(役男大表!$A$1:$BF$95,MATCH($A16,役男大表!$A$1:$A$97,0),   MATCH(R$1,役男大表!$A$3:$BF$3,0)  )="榮","x",  IF(  INDEX(役男大表!$A$1:$BF$95,MATCH($A16,役男大表!$A$1:$A$97,0),   MATCH(R$1,役男大表!$A$3:$BF$3,0)  )="榮-22",  "x榮18-22",               INDEX(役男大表!$A$1:$BF$95,MATCH($A16,役男大表!$A$1:$A$97,0),   MATCH(R$1,役男大表!$A$3:$BF$3,0)  )                  )  )  )," ",""),"")</f>
        <v/>
      </c>
      <c r="S16" s="278" t="str">
        <f>_xlfn.IFNA(  SUBSTITUTE(     IF(  INDEX(役男大表!$A$1:$BF$95,MATCH($A16,役男大表!$A$1:$A$97,0),   MATCH(S$1,役男大表!$A$3:$BF$3,0)  )=0,"",  IF(  INDEX(役男大表!$A$1:$BF$95,MATCH($A16,役男大表!$A$1:$A$97,0),   MATCH(S$1,役男大表!$A$3:$BF$3,0)  )="榮","x",  IF(  INDEX(役男大表!$A$1:$BF$95,MATCH($A16,役男大表!$A$1:$A$97,0),   MATCH(S$1,役男大表!$A$3:$BF$3,0)  )="榮-22",  "x榮18-22",               INDEX(役男大表!$A$1:$BF$95,MATCH($A16,役男大表!$A$1:$A$97,0),   MATCH(S$1,役男大表!$A$3:$BF$3,0)  )                  )  )  )," ",""),"")</f>
        <v/>
      </c>
      <c r="T16" s="278" t="str">
        <f>_xlfn.IFNA(  SUBSTITUTE(     IF(  INDEX(役男大表!$A$1:$BF$95,MATCH($A16,役男大表!$A$1:$A$97,0),   MATCH(T$1,役男大表!$A$3:$BF$3,0)  )=0,"",  IF(  INDEX(役男大表!$A$1:$BF$95,MATCH($A16,役男大表!$A$1:$A$97,0),   MATCH(T$1,役男大表!$A$3:$BF$3,0)  )="榮","x",  IF(  INDEX(役男大表!$A$1:$BF$95,MATCH($A16,役男大表!$A$1:$A$97,0),   MATCH(T$1,役男大表!$A$3:$BF$3,0)  )="榮-22",  "x榮18-22",               INDEX(役男大表!$A$1:$BF$95,MATCH($A16,役男大表!$A$1:$A$97,0),   MATCH(T$1,役男大表!$A$3:$BF$3,0)  )                  )  )  )," ",""),"")</f>
        <v/>
      </c>
      <c r="U16" s="278" t="str">
        <f>_xlfn.IFNA(  SUBSTITUTE(     IF(  INDEX(役男大表!$A$1:$BF$95,MATCH($A16,役男大表!$A$1:$A$97,0),   MATCH(U$1,役男大表!$A$3:$BF$3,0)  )=0,"",  IF(  INDEX(役男大表!$A$1:$BF$95,MATCH($A16,役男大表!$A$1:$A$97,0),   MATCH(U$1,役男大表!$A$3:$BF$3,0)  )="榮","x",  IF(  INDEX(役男大表!$A$1:$BF$95,MATCH($A16,役男大表!$A$1:$A$97,0),   MATCH(U$1,役男大表!$A$3:$BF$3,0)  )="榮-22",  "x榮18-22",               INDEX(役男大表!$A$1:$BF$95,MATCH($A16,役男大表!$A$1:$A$97,0),   MATCH(U$1,役男大表!$A$3:$BF$3,0)  )                  )  )  )," ",""),"")</f>
        <v/>
      </c>
      <c r="V16" s="278" t="str">
        <f>_xlfn.IFNA(  SUBSTITUTE(     IF(  INDEX(役男大表!$A$1:$BF$95,MATCH($A16,役男大表!$A$1:$A$97,0),   MATCH(V$1,役男大表!$A$3:$BF$3,0)  )=0,"",  IF(  INDEX(役男大表!$A$1:$BF$95,MATCH($A16,役男大表!$A$1:$A$97,0),   MATCH(V$1,役男大表!$A$3:$BF$3,0)  )="榮","x",  IF(  INDEX(役男大表!$A$1:$BF$95,MATCH($A16,役男大表!$A$1:$A$97,0),   MATCH(V$1,役男大表!$A$3:$BF$3,0)  )="榮-22",  "x榮18-22",               INDEX(役男大表!$A$1:$BF$95,MATCH($A16,役男大表!$A$1:$A$97,0),   MATCH(V$1,役男大表!$A$3:$BF$3,0)  )                  )  )  )," ",""),"")</f>
        <v/>
      </c>
      <c r="W16" s="278" t="str">
        <f>_xlfn.IFNA(  SUBSTITUTE(     IF(  INDEX(役男大表!$A$1:$BF$95,MATCH($A16,役男大表!$A$1:$A$97,0),   MATCH(W$1,役男大表!$A$3:$BF$3,0)  )=0,"",  IF(  INDEX(役男大表!$A$1:$BF$95,MATCH($A16,役男大表!$A$1:$A$97,0),   MATCH(W$1,役男大表!$A$3:$BF$3,0)  )="榮","x",  IF(  INDEX(役男大表!$A$1:$BF$95,MATCH($A16,役男大表!$A$1:$A$97,0),   MATCH(W$1,役男大表!$A$3:$BF$3,0)  )="榮-22",  "x榮18-22",               INDEX(役男大表!$A$1:$BF$95,MATCH($A16,役男大表!$A$1:$A$97,0),   MATCH(W$1,役男大表!$A$3:$BF$3,0)  )                  )  )  )," ",""),"")</f>
        <v/>
      </c>
      <c r="X16" s="278" t="str">
        <f>_xlfn.IFNA(  SUBSTITUTE(     IF(  INDEX(役男大表!$A$1:$BF$95,MATCH($A16,役男大表!$A$1:$A$97,0),   MATCH(X$1,役男大表!$A$3:$BF$3,0)  )=0,"",  IF(  INDEX(役男大表!$A$1:$BF$95,MATCH($A16,役男大表!$A$1:$A$97,0),   MATCH(X$1,役男大表!$A$3:$BF$3,0)  )="榮","x",  IF(  INDEX(役男大表!$A$1:$BF$95,MATCH($A16,役男大表!$A$1:$A$97,0),   MATCH(X$1,役男大表!$A$3:$BF$3,0)  )="榮-22",  "x榮18-22",               INDEX(役男大表!$A$1:$BF$95,MATCH($A16,役男大表!$A$1:$A$97,0),   MATCH(X$1,役男大表!$A$3:$BF$3,0)  )                  )  )  )," ",""),"")</f>
        <v/>
      </c>
      <c r="Y16" s="278" t="str">
        <f>_xlfn.IFNA(  SUBSTITUTE(     IF(  INDEX(役男大表!$A$1:$BF$95,MATCH($A16,役男大表!$A$1:$A$97,0),   MATCH(Y$1,役男大表!$A$3:$BF$3,0)  )=0,"",  IF(  INDEX(役男大表!$A$1:$BF$95,MATCH($A16,役男大表!$A$1:$A$97,0),   MATCH(Y$1,役男大表!$A$3:$BF$3,0)  )="榮","x",  IF(  INDEX(役男大表!$A$1:$BF$95,MATCH($A16,役男大表!$A$1:$A$97,0),   MATCH(Y$1,役男大表!$A$3:$BF$3,0)  )="榮-22",  "x榮18-22",               INDEX(役男大表!$A$1:$BF$95,MATCH($A16,役男大表!$A$1:$A$97,0),   MATCH(Y$1,役男大表!$A$3:$BF$3,0)  )                  )  )  )," ",""),"")</f>
        <v/>
      </c>
      <c r="Z16" s="278" t="str">
        <f>_xlfn.IFNA(  SUBSTITUTE(     IF(  INDEX(役男大表!$A$1:$BF$95,MATCH($A16,役男大表!$A$1:$A$97,0),   MATCH(Z$1,役男大表!$A$3:$BF$3,0)  )=0,"",  IF(  INDEX(役男大表!$A$1:$BF$95,MATCH($A16,役男大表!$A$1:$A$97,0),   MATCH(Z$1,役男大表!$A$3:$BF$3,0)  )="榮","x",  IF(  INDEX(役男大表!$A$1:$BF$95,MATCH($A16,役男大表!$A$1:$A$97,0),   MATCH(Z$1,役男大表!$A$3:$BF$3,0)  )="榮-22",  "x榮18-22",               INDEX(役男大表!$A$1:$BF$95,MATCH($A16,役男大表!$A$1:$A$97,0),   MATCH(Z$1,役男大表!$A$3:$BF$3,0)  )                  )  )  )," ",""),"")</f>
        <v/>
      </c>
      <c r="AA16" s="278" t="str">
        <f>_xlfn.IFNA(  SUBSTITUTE(     IF(  INDEX(役男大表!$A$1:$BF$95,MATCH($A16,役男大表!$A$1:$A$97,0),   MATCH(AA$1,役男大表!$A$3:$BF$3,0)  )=0,"",  IF(  INDEX(役男大表!$A$1:$BF$95,MATCH($A16,役男大表!$A$1:$A$97,0),   MATCH(AA$1,役男大表!$A$3:$BF$3,0)  )="榮","x",  IF(  INDEX(役男大表!$A$1:$BF$95,MATCH($A16,役男大表!$A$1:$A$97,0),   MATCH(AA$1,役男大表!$A$3:$BF$3,0)  )="榮-22",  "x榮18-22",               INDEX(役男大表!$A$1:$BF$95,MATCH($A16,役男大表!$A$1:$A$97,0),   MATCH(AA$1,役男大表!$A$3:$BF$3,0)  )                  )  )  )," ",""),"")</f>
        <v/>
      </c>
      <c r="AB16" s="278" t="str">
        <f>_xlfn.IFNA(  SUBSTITUTE(     IF(  INDEX(役男大表!$A$1:$BF$95,MATCH($A16,役男大表!$A$1:$A$97,0),   MATCH(AB$1,役男大表!$A$3:$BF$3,0)  )=0,"",  IF(  INDEX(役男大表!$A$1:$BF$95,MATCH($A16,役男大表!$A$1:$A$97,0),   MATCH(AB$1,役男大表!$A$3:$BF$3,0)  )="榮","x",  IF(  INDEX(役男大表!$A$1:$BF$95,MATCH($A16,役男大表!$A$1:$A$97,0),   MATCH(AB$1,役男大表!$A$3:$BF$3,0)  )="榮-22",  "x榮18-22",               INDEX(役男大表!$A$1:$BF$95,MATCH($A16,役男大表!$A$1:$A$97,0),   MATCH(AB$1,役男大表!$A$3:$BF$3,0)  )                  )  )  )," ",""),"")</f>
        <v/>
      </c>
      <c r="AC16" s="278" t="str">
        <f>_xlfn.IFNA(  SUBSTITUTE(     IF(  INDEX(役男大表!$A$1:$BF$95,MATCH($A16,役男大表!$A$1:$A$97,0),   MATCH(AC$1,役男大表!$A$3:$BF$3,0)  )=0,"",  IF(  INDEX(役男大表!$A$1:$BF$95,MATCH($A16,役男大表!$A$1:$A$97,0),   MATCH(AC$1,役男大表!$A$3:$BF$3,0)  )="榮","x",  IF(  INDEX(役男大表!$A$1:$BF$95,MATCH($A16,役男大表!$A$1:$A$97,0),   MATCH(AC$1,役男大表!$A$3:$BF$3,0)  )="榮-22",  "x榮18-22",               INDEX(役男大表!$A$1:$BF$95,MATCH($A16,役男大表!$A$1:$A$97,0),   MATCH(AC$1,役男大表!$A$3:$BF$3,0)  )                  )  )  )," ",""),"")</f>
        <v/>
      </c>
      <c r="AD16" s="278" t="str">
        <f>_xlfn.IFNA(  SUBSTITUTE(     IF(  INDEX(役男大表!$A$1:$BF$95,MATCH($A16,役男大表!$A$1:$A$97,0),   MATCH(AD$1,役男大表!$A$3:$BF$3,0)  )=0,"",  IF(  INDEX(役男大表!$A$1:$BF$95,MATCH($A16,役男大表!$A$1:$A$97,0),   MATCH(AD$1,役男大表!$A$3:$BF$3,0)  )="榮","x",  IF(  INDEX(役男大表!$A$1:$BF$95,MATCH($A16,役男大表!$A$1:$A$97,0),   MATCH(AD$1,役男大表!$A$3:$BF$3,0)  )="榮-22",  "x榮18-22",               INDEX(役男大表!$A$1:$BF$95,MATCH($A16,役男大表!$A$1:$A$97,0),   MATCH(AD$1,役男大表!$A$3:$BF$3,0)  )                  )  )  )," ",""),"")</f>
        <v/>
      </c>
      <c r="AE16" s="278" t="str">
        <f>_xlfn.IFNA(  SUBSTITUTE(     IF(  INDEX(役男大表!$A$1:$BF$95,MATCH($A16,役男大表!$A$1:$A$97,0),   MATCH(AE$1,役男大表!$A$3:$BF$3,0)  )=0,"",  IF(  INDEX(役男大表!$A$1:$BF$95,MATCH($A16,役男大表!$A$1:$A$97,0),   MATCH(AE$1,役男大表!$A$3:$BF$3,0)  )="榮","x",  IF(  INDEX(役男大表!$A$1:$BF$95,MATCH($A16,役男大表!$A$1:$A$97,0),   MATCH(AE$1,役男大表!$A$3:$BF$3,0)  )="榮-22",  "x榮18-22",               INDEX(役男大表!$A$1:$BF$95,MATCH($A16,役男大表!$A$1:$A$97,0),   MATCH(AE$1,役男大表!$A$3:$BF$3,0)  )                  )  )  )," ",""),"")</f>
        <v/>
      </c>
      <c r="AF16" s="278" t="str">
        <f>_xlfn.IFNA(  SUBSTITUTE(     IF(  INDEX(役男大表!$A$1:$BF$95,MATCH($A16,役男大表!$A$1:$A$97,0),   MATCH(AF$1,役男大表!$A$3:$BF$3,0)  )=0,"",  IF(  INDEX(役男大表!$A$1:$BF$95,MATCH($A16,役男大表!$A$1:$A$97,0),   MATCH(AF$1,役男大表!$A$3:$BF$3,0)  )="榮","x",  IF(  INDEX(役男大表!$A$1:$BF$95,MATCH($A16,役男大表!$A$1:$A$97,0),   MATCH(AF$1,役男大表!$A$3:$BF$3,0)  )="榮-22",  "x榮18-22",               INDEX(役男大表!$A$1:$BF$95,MATCH($A16,役男大表!$A$1:$A$97,0),   MATCH(AF$1,役男大表!$A$3:$BF$3,0)  )                  )  )  )," ",""),"")</f>
        <v/>
      </c>
      <c r="AG16" s="278" t="str">
        <f>_xlfn.IFNA(  SUBSTITUTE(     IF(  INDEX(役男大表!$A$1:$BF$95,MATCH($A16,役男大表!$A$1:$A$97,0),   MATCH(AG$1,役男大表!$A$3:$BF$3,0)  )=0,"",  IF(  INDEX(役男大表!$A$1:$BF$95,MATCH($A16,役男大表!$A$1:$A$97,0),   MATCH(AG$1,役男大表!$A$3:$BF$3,0)  )="榮","x",  IF(  INDEX(役男大表!$A$1:$BF$95,MATCH($A16,役男大表!$A$1:$A$97,0),   MATCH(AG$1,役男大表!$A$3:$BF$3,0)  )="榮-22",  "x榮18-22",               INDEX(役男大表!$A$1:$BF$95,MATCH($A16,役男大表!$A$1:$A$97,0),   MATCH(AG$1,役男大表!$A$3:$BF$3,0)  )                  )  )  )," ",""),"")</f>
        <v>x</v>
      </c>
      <c r="AH16" s="278" t="str">
        <f>_xlfn.IFNA(  SUBSTITUTE(     IF(  INDEX(役男大表!$A$1:$BF$95,MATCH($A16,役男大表!$A$1:$A$97,0),   MATCH(AH$1,役男大表!$A$3:$BF$3,0)  )=0,"",  IF(  INDEX(役男大表!$A$1:$BF$95,MATCH($A16,役男大表!$A$1:$A$97,0),   MATCH(AH$1,役男大表!$A$3:$BF$3,0)  )="榮","x",  IF(  INDEX(役男大表!$A$1:$BF$95,MATCH($A16,役男大表!$A$1:$A$97,0),   MATCH(AH$1,役男大表!$A$3:$BF$3,0)  )="榮-22",  "x榮18-22",               INDEX(役男大表!$A$1:$BF$95,MATCH($A16,役男大表!$A$1:$A$97,0),   MATCH(AH$1,役男大表!$A$3:$BF$3,0)  )                  )  )  )," ",""),"")</f>
        <v/>
      </c>
      <c r="AI16" s="278" t="str">
        <f>_xlfn.IFNA(  SUBSTITUTE(     IF(  INDEX(役男大表!$A$1:$BF$95,MATCH($A16,役男大表!$A$1:$A$97,0),   MATCH(AI$1,役男大表!$A$3:$BF$3,0)  )=0,"",  IF(  INDEX(役男大表!$A$1:$BF$95,MATCH($A16,役男大表!$A$1:$A$97,0),   MATCH(AI$1,役男大表!$A$3:$BF$3,0)  )="榮","x",  IF(  INDEX(役男大表!$A$1:$BF$95,MATCH($A16,役男大表!$A$1:$A$97,0),   MATCH(AI$1,役男大表!$A$3:$BF$3,0)  )="榮-22",  "x榮18-22",               INDEX(役男大表!$A$1:$BF$95,MATCH($A16,役男大表!$A$1:$A$97,0),   MATCH(AI$1,役男大表!$A$3:$BF$3,0)  )                  )  )  )," ",""),"")</f>
        <v/>
      </c>
      <c r="AJ16" s="278" t="str">
        <f>_xlfn.IFNA(  SUBSTITUTE(     IF(  INDEX(役男大表!$A$1:$BF$95,MATCH($A16,役男大表!$A$1:$A$97,0),   MATCH(AJ$1,役男大表!$A$3:$BF$3,0)  )=0,"",  IF(  INDEX(役男大表!$A$1:$BF$95,MATCH($A16,役男大表!$A$1:$A$97,0),   MATCH(AJ$1,役男大表!$A$3:$BF$3,0)  )="榮","x",  IF(  INDEX(役男大表!$A$1:$BF$95,MATCH($A16,役男大表!$A$1:$A$97,0),   MATCH(AJ$1,役男大表!$A$3:$BF$3,0)  )="榮-22",  "x榮18-22",               INDEX(役男大表!$A$1:$BF$95,MATCH($A16,役男大表!$A$1:$A$97,0),   MATCH(AJ$1,役男大表!$A$3:$BF$3,0)  )                  )  )  )," ",""),"")</f>
        <v/>
      </c>
      <c r="AM16" s="66">
        <f t="shared" si="1"/>
        <v>15</v>
      </c>
      <c r="AN16" s="66" t="str">
        <f t="shared" si="2"/>
        <v>林晉弘</v>
      </c>
      <c r="AO16" s="71" t="str">
        <f>IF(  AND(  INDEX(   $A$42:$AJ$79, MATCH(AM16,$A$42:$A$79,0),MATCH(  日期輸入!$C$3,$A$42:$AL$42,0  )  )="全日勤",  AV16="免"  ),  "全日勤免勤教",  IF(  AND(  INDEX(   $A$42:$AJ$79, MATCH(AM16,$A$42:$A$79,0),MATCH(  日期輸入!$C$3,$A$42:$AL$42,0  )  )="18放",  AV16="免"  ),  "18放早走",  INDEX(   $A$42:$AJ$79, MATCH(AM16,$A$42:$A$79,0),MATCH(  日期輸入!$C$3,$A$42:$AL$42,0  )  )  )  )</f>
        <v>18收</v>
      </c>
      <c r="AP16" s="66" t="str">
        <f>_xlfn.IFNA(IF((ROW(AP16)-1)&lt;=暫1!$B$2,IF(VALUE($AM16)=暫1!B$3,"家因",IF(VALUE($AM16)=暫1!C$3,"家因",IF(VALUE($AM16)=暫1!D$3,"家因",IF(VALUE($AM16)=暫1!E$3,"家因",IF(VALUE($AM16)=暫1!F$3,"家因",IF(VALUE($AM16)=暫1!G$3,"家因",IF(VALUE($AM16)=暫1!H$3,"家因",IF(VALUE($AM16)=暫1!I$3,"家因",IF(VALUE($AM16)=暫1!J$3,"家因",IF(VALUE($AM16)=暫1!K$3,"家因",IF(VALUE($AM16)=暫1!L$3,"家因",IF(VALUE($AM16)=暫1!M$3,"家因",IF(VALUE($AM16)=暫1!N$3,"家因",IF(VALUE($AM16)=暫1!O$3,"家因",IF(VALUE($AM16)=暫1!P$3,"家因",IF(VALUE($AM16)=暫1!Q$3,"家因",IF(VALUE($AM16)=暫1!R$3,"家因",IF(VALUE($AM16)=暫1!S$3,"家因",IF(VALUE($AM16)=暫1!T$3,"家因",IF(VALUE($AM16)=暫1!U$3,"家因","")))))))))))))))))))),""),"")</f>
        <v/>
      </c>
      <c r="AQ16" s="66" t="str">
        <f>IF((ROW(AQ16)-1)&lt;=暫1!$B$2,_xlfn.IFNA(IF(INDEX($A$1:$AJ$41,MATCH($AN16,$B$1:$B$101,0),VALUE($AQ$1+3))="成","補",INDEX($A$1:$AJ$41,MATCH($AN16,$B$1:$B$101,0),VALUE($AQ$1+3))),""),"")</f>
        <v>x</v>
      </c>
      <c r="AR16" s="66" t="str">
        <f>IF((ROW(AR16)-1)&lt;=暫1!$B$2,_xlfn.IFNA(IF(INDEX($A$1:$AJ$41,MATCH($AN16,$B$1:$B$101,0),VALUE($AR$1+3))="成","補",INDEX($A$1:$AJ$41,MATCH($AN16,$B$1:$B$101,0),VALUE($AR$1+3))),""),"")</f>
        <v/>
      </c>
      <c r="AS16" s="66" t="str">
        <f>IF((ROW(AS16)-1)&lt;=暫1!$B$2,_xlfn.IFNA(IF(INDEX($A$1:$AJ$41,MATCH($AN16,$B$1:$B$101,0),VALUE($AS$1+3))="成","補",INDEX($A$1:$AJ$41,MATCH($AN16,$B$1:$B$101,0),VALUE($AS$1+3))),""),"")</f>
        <v/>
      </c>
      <c r="AT16" s="66" t="str">
        <f>IF(  OR(  LEN(  INDEX(   $A$1:$AJ$39, MATCH(AM16,$A$1:$A$39,0),MATCH(  日期輸入!$C$3,$A$1:$AP$1,0  )  )  )&gt;LEN(  SUBSTITUTE(  INDEX(   $A$1:$AJ$39, MATCH(AM16,$A$1:$A$39,0),MATCH(  日期輸入!$C$3,$A$1:$AP$1,0  )  ),"榮","")  )  ),   SUBSTITUTE(  SUBSTITUTE(  INDEX(   $A$1:$AJ$39, MATCH(AM16,$A$1:$A$39,0),MATCH(  日期輸入!$C$3,$A$1:$AP$1,0  )  ),"榮",""),"x",""), "")</f>
        <v/>
      </c>
      <c r="AU16" s="66" t="str">
        <f t="shared" si="3"/>
        <v/>
      </c>
      <c r="AV16" s="66" t="str">
        <f>INDEX(   $A$482:$AJ$519, MATCH(AM16,$A$482:$A$519,0),MATCH(  日期輸入!$C$3,$A$482:$AL$482,0  )  )</f>
        <v/>
      </c>
      <c r="AX16" s="66" t="str">
        <f>IFERROR(IF((ROW(AX16)-1)&lt;=暫1!$B$2,SUBSTITUTE(IF($AO16=$AX$1,$AM16,"")," ",""),""),"")</f>
        <v/>
      </c>
      <c r="AY16" s="66" t="str">
        <f>IFERROR(IF((ROW(AY16)-1)&lt;=暫1!$B$2,SUBSTITUTE(IF($AO16=$AY$1,$AM16,"")," ",""),""),"")</f>
        <v/>
      </c>
      <c r="AZ16" s="66" t="str">
        <f>IFERROR(IF((ROW(AZ16)-1)&lt;=暫1!$B$2,SUBSTITUTE(IF($AO16=$AZ$1,$AM16,"")," ",""),""),"")</f>
        <v/>
      </c>
      <c r="BA16" s="66" t="str">
        <f>IFERROR(IF((ROW(BA16)-1)&lt;=暫1!$B$2,SUBSTITUTE(IF($AO16=$BA$1,$AM16,"")," ",""),""),"")</f>
        <v>15</v>
      </c>
      <c r="BB16" s="69" t="str">
        <f>IFERROR(IF((ROW(BB16)-1)&lt;=暫1!$B$2,SUBSTITUTE(IF(OR($AO16=$BB$1,$AO16=$AY$1,$AO16=$AZ$1),$AM16,IF($AO16=$AY$1,$AM16,"")),"",""),""),"")</f>
        <v/>
      </c>
      <c r="BC16" s="69" t="str">
        <f>IF(    AND(LEN(BC15)&gt;=2 ),        "、" &amp;  IF(OR(役男人力!$J$2:$J$84="是"),役男人力!$B16,""),  IF(OR(役男人力!$J$2:$J$84="是"),役男人力!$B16,"")  )</f>
        <v>、</v>
      </c>
      <c r="BG16" s="97" t="s">
        <v>272</v>
      </c>
    </row>
    <row r="17" spans="1:59" ht="25.5" customHeight="1" thickBot="1">
      <c r="A17" s="278">
        <v>16</v>
      </c>
      <c r="B17" s="278" t="str">
        <f>_xlfn.IFNA(  INDEX(役男大表!$A$1:$BF$95,MATCH(A17,役男大表!$A$1:$A$97,0),2),"")</f>
        <v>張恩齊</v>
      </c>
      <c r="C17" s="278" t="str">
        <f>_xlfn.IFNA(  SUBSTITUTE(     IF(  INDEX(役男大表!$A$1:$BF$95,MATCH($A17,役男大表!$A$1:$A$97,0),   MATCH(C$1,役男大表!$A$3:$BF$3,0)  )=0,"",  IF(  INDEX(役男大表!$A$1:$BF$95,MATCH($A17,役男大表!$A$1:$A$97,0),   MATCH(C$1,役男大表!$A$3:$BF$3,0)  )="榮","x",  IF(  INDEX(役男大表!$A$1:$BF$95,MATCH($A17,役男大表!$A$1:$A$97,0),   MATCH(C$1,役男大表!$A$3:$BF$3,0)  )="榮-22",  "x榮18-22",               INDEX(役男大表!$A$1:$BF$95,MATCH($A17,役男大表!$A$1:$A$97,0),   MATCH(C$1,役男大表!$A$3:$BF$3,0)  )                  )  )  )," ",""),"")</f>
        <v/>
      </c>
      <c r="D17" s="278" t="str">
        <f>_xlfn.IFNA(  SUBSTITUTE(     IF(  INDEX(役男大表!$A$1:$BF$95,MATCH($A17,役男大表!$A$1:$A$97,0),   MATCH(D$1,役男大表!$A$3:$BF$3,0)  )=0,"",  IF(  INDEX(役男大表!$A$1:$BF$95,MATCH($A17,役男大表!$A$1:$A$97,0),   MATCH(D$1,役男大表!$A$3:$BF$3,0)  )="榮","x",  IF(  INDEX(役男大表!$A$1:$BF$95,MATCH($A17,役男大表!$A$1:$A$97,0),   MATCH(D$1,役男大表!$A$3:$BF$3,0)  )="榮-22",  "x榮18-22",               INDEX(役男大表!$A$1:$BF$95,MATCH($A17,役男大表!$A$1:$A$97,0),   MATCH(D$1,役男大表!$A$3:$BF$3,0)  )                  )  )  )," ",""),"")</f>
        <v/>
      </c>
      <c r="E17" s="278" t="str">
        <f>_xlfn.IFNA(  SUBSTITUTE(     IF(  INDEX(役男大表!$A$1:$BF$95,MATCH($A17,役男大表!$A$1:$A$97,0),   MATCH(E$1,役男大表!$A$3:$BF$3,0)  )=0,"",  IF(  INDEX(役男大表!$A$1:$BF$95,MATCH($A17,役男大表!$A$1:$A$97,0),   MATCH(E$1,役男大表!$A$3:$BF$3,0)  )="榮","x",  IF(  INDEX(役男大表!$A$1:$BF$95,MATCH($A17,役男大表!$A$1:$A$97,0),   MATCH(E$1,役男大表!$A$3:$BF$3,0)  )="榮-22",  "x榮18-22",               INDEX(役男大表!$A$1:$BF$95,MATCH($A17,役男大表!$A$1:$A$97,0),   MATCH(E$1,役男大表!$A$3:$BF$3,0)  )                  )  )  )," ",""),"")</f>
        <v/>
      </c>
      <c r="F17" s="278" t="str">
        <f>_xlfn.IFNA(  SUBSTITUTE(     IF(  INDEX(役男大表!$A$1:$BF$95,MATCH($A17,役男大表!$A$1:$A$97,0),   MATCH(F$1,役男大表!$A$3:$BF$3,0)  )=0,"",  IF(  INDEX(役男大表!$A$1:$BF$95,MATCH($A17,役男大表!$A$1:$A$97,0),   MATCH(F$1,役男大表!$A$3:$BF$3,0)  )="榮","x",  IF(  INDEX(役男大表!$A$1:$BF$95,MATCH($A17,役男大表!$A$1:$A$97,0),   MATCH(F$1,役男大表!$A$3:$BF$3,0)  )="榮-22",  "x榮18-22",               INDEX(役男大表!$A$1:$BF$95,MATCH($A17,役男大表!$A$1:$A$97,0),   MATCH(F$1,役男大表!$A$3:$BF$3,0)  )                  )  )  )," ",""),"")</f>
        <v/>
      </c>
      <c r="G17" s="278" t="str">
        <f>_xlfn.IFNA(  SUBSTITUTE(     IF(  INDEX(役男大表!$A$1:$BF$95,MATCH($A17,役男大表!$A$1:$A$97,0),   MATCH(G$1,役男大表!$A$3:$BF$3,0)  )=0,"",  IF(  INDEX(役男大表!$A$1:$BF$95,MATCH($A17,役男大表!$A$1:$A$97,0),   MATCH(G$1,役男大表!$A$3:$BF$3,0)  )="榮","x",  IF(  INDEX(役男大表!$A$1:$BF$95,MATCH($A17,役男大表!$A$1:$A$97,0),   MATCH(G$1,役男大表!$A$3:$BF$3,0)  )="榮-22",  "x榮18-22",               INDEX(役男大表!$A$1:$BF$95,MATCH($A17,役男大表!$A$1:$A$97,0),   MATCH(G$1,役男大表!$A$3:$BF$3,0)  )                  )  )  )," ",""),"")</f>
        <v/>
      </c>
      <c r="H17" s="278" t="str">
        <f>_xlfn.IFNA(  SUBSTITUTE(     IF(  INDEX(役男大表!$A$1:$BF$95,MATCH($A17,役男大表!$A$1:$A$97,0),   MATCH(H$1,役男大表!$A$3:$BF$3,0)  )=0,"",  IF(  INDEX(役男大表!$A$1:$BF$95,MATCH($A17,役男大表!$A$1:$A$97,0),   MATCH(H$1,役男大表!$A$3:$BF$3,0)  )="榮","x",  IF(  INDEX(役男大表!$A$1:$BF$95,MATCH($A17,役男大表!$A$1:$A$97,0),   MATCH(H$1,役男大表!$A$3:$BF$3,0)  )="榮-22",  "x榮18-22",               INDEX(役男大表!$A$1:$BF$95,MATCH($A17,役男大表!$A$1:$A$97,0),   MATCH(H$1,役男大表!$A$3:$BF$3,0)  )                  )  )  )," ",""),"")</f>
        <v/>
      </c>
      <c r="I17" s="278" t="str">
        <f>_xlfn.IFNA(  SUBSTITUTE(     IF(  INDEX(役男大表!$A$1:$BF$95,MATCH($A17,役男大表!$A$1:$A$97,0),   MATCH(I$1,役男大表!$A$3:$BF$3,0)  )=0,"",  IF(  INDEX(役男大表!$A$1:$BF$95,MATCH($A17,役男大表!$A$1:$A$97,0),   MATCH(I$1,役男大表!$A$3:$BF$3,0)  )="榮","x",  IF(  INDEX(役男大表!$A$1:$BF$95,MATCH($A17,役男大表!$A$1:$A$97,0),   MATCH(I$1,役男大表!$A$3:$BF$3,0)  )="榮-22",  "x榮18-22",               INDEX(役男大表!$A$1:$BF$95,MATCH($A17,役男大表!$A$1:$A$97,0),   MATCH(I$1,役男大表!$A$3:$BF$3,0)  )                  )  )  )," ",""),"")</f>
        <v/>
      </c>
      <c r="J17" s="278" t="str">
        <f>_xlfn.IFNA(  SUBSTITUTE(     IF(  INDEX(役男大表!$A$1:$BF$95,MATCH($A17,役男大表!$A$1:$A$97,0),   MATCH(J$1,役男大表!$A$3:$BF$3,0)  )=0,"",  IF(  INDEX(役男大表!$A$1:$BF$95,MATCH($A17,役男大表!$A$1:$A$97,0),   MATCH(J$1,役男大表!$A$3:$BF$3,0)  )="榮","x",  IF(  INDEX(役男大表!$A$1:$BF$95,MATCH($A17,役男大表!$A$1:$A$97,0),   MATCH(J$1,役男大表!$A$3:$BF$3,0)  )="榮-22",  "x榮18-22",               INDEX(役男大表!$A$1:$BF$95,MATCH($A17,役男大表!$A$1:$A$97,0),   MATCH(J$1,役男大表!$A$3:$BF$3,0)  )                  )  )  )," ",""),"")</f>
        <v/>
      </c>
      <c r="K17" s="278" t="str">
        <f>_xlfn.IFNA(  SUBSTITUTE(     IF(  INDEX(役男大表!$A$1:$BF$95,MATCH($A17,役男大表!$A$1:$A$97,0),   MATCH(K$1,役男大表!$A$3:$BF$3,0)  )=0,"",  IF(  INDEX(役男大表!$A$1:$BF$95,MATCH($A17,役男大表!$A$1:$A$97,0),   MATCH(K$1,役男大表!$A$3:$BF$3,0)  )="榮","x",  IF(  INDEX(役男大表!$A$1:$BF$95,MATCH($A17,役男大表!$A$1:$A$97,0),   MATCH(K$1,役男大表!$A$3:$BF$3,0)  )="榮-22",  "x榮18-22",               INDEX(役男大表!$A$1:$BF$95,MATCH($A17,役男大表!$A$1:$A$97,0),   MATCH(K$1,役男大表!$A$3:$BF$3,0)  )                  )  )  )," ",""),"")</f>
        <v/>
      </c>
      <c r="L17" s="278" t="str">
        <f>_xlfn.IFNA(  SUBSTITUTE(     IF(  INDEX(役男大表!$A$1:$BF$95,MATCH($A17,役男大表!$A$1:$A$97,0),   MATCH(L$1,役男大表!$A$3:$BF$3,0)  )=0,"",  IF(  INDEX(役男大表!$A$1:$BF$95,MATCH($A17,役男大表!$A$1:$A$97,0),   MATCH(L$1,役男大表!$A$3:$BF$3,0)  )="榮","x",  IF(  INDEX(役男大表!$A$1:$BF$95,MATCH($A17,役男大表!$A$1:$A$97,0),   MATCH(L$1,役男大表!$A$3:$BF$3,0)  )="榮-22",  "x榮18-22",               INDEX(役男大表!$A$1:$BF$95,MATCH($A17,役男大表!$A$1:$A$97,0),   MATCH(L$1,役男大表!$A$3:$BF$3,0)  )                  )  )  )," ",""),"")</f>
        <v/>
      </c>
      <c r="M17" s="278" t="str">
        <f>_xlfn.IFNA(  SUBSTITUTE(     IF(  INDEX(役男大表!$A$1:$BF$95,MATCH($A17,役男大表!$A$1:$A$97,0),   MATCH(M$1,役男大表!$A$3:$BF$3,0)  )=0,"",  IF(  INDEX(役男大表!$A$1:$BF$95,MATCH($A17,役男大表!$A$1:$A$97,0),   MATCH(M$1,役男大表!$A$3:$BF$3,0)  )="榮","x",  IF(  INDEX(役男大表!$A$1:$BF$95,MATCH($A17,役男大表!$A$1:$A$97,0),   MATCH(M$1,役男大表!$A$3:$BF$3,0)  )="榮-22",  "x榮18-22",               INDEX(役男大表!$A$1:$BF$95,MATCH($A17,役男大表!$A$1:$A$97,0),   MATCH(M$1,役男大表!$A$3:$BF$3,0)  )                  )  )  )," ",""),"")</f>
        <v/>
      </c>
      <c r="N17" s="278" t="str">
        <f>_xlfn.IFNA(  SUBSTITUTE(     IF(  INDEX(役男大表!$A$1:$BF$95,MATCH($A17,役男大表!$A$1:$A$97,0),   MATCH(N$1,役男大表!$A$3:$BF$3,0)  )=0,"",  IF(  INDEX(役男大表!$A$1:$BF$95,MATCH($A17,役男大表!$A$1:$A$97,0),   MATCH(N$1,役男大表!$A$3:$BF$3,0)  )="榮","x",  IF(  INDEX(役男大表!$A$1:$BF$95,MATCH($A17,役男大表!$A$1:$A$97,0),   MATCH(N$1,役男大表!$A$3:$BF$3,0)  )="榮-22",  "x榮18-22",               INDEX(役男大表!$A$1:$BF$95,MATCH($A17,役男大表!$A$1:$A$97,0),   MATCH(N$1,役男大表!$A$3:$BF$3,0)  )                  )  )  )," ",""),"")</f>
        <v/>
      </c>
      <c r="O17" s="278" t="str">
        <f>_xlfn.IFNA(  SUBSTITUTE(     IF(  INDEX(役男大表!$A$1:$BF$95,MATCH($A17,役男大表!$A$1:$A$97,0),   MATCH(O$1,役男大表!$A$3:$BF$3,0)  )=0,"",  IF(  INDEX(役男大表!$A$1:$BF$95,MATCH($A17,役男大表!$A$1:$A$97,0),   MATCH(O$1,役男大表!$A$3:$BF$3,0)  )="榮","x",  IF(  INDEX(役男大表!$A$1:$BF$95,MATCH($A17,役男大表!$A$1:$A$97,0),   MATCH(O$1,役男大表!$A$3:$BF$3,0)  )="榮-22",  "x榮18-22",               INDEX(役男大表!$A$1:$BF$95,MATCH($A17,役男大表!$A$1:$A$97,0),   MATCH(O$1,役男大表!$A$3:$BF$3,0)  )                  )  )  )," ",""),"")</f>
        <v/>
      </c>
      <c r="P17" s="278" t="str">
        <f>_xlfn.IFNA(  SUBSTITUTE(     IF(  INDEX(役男大表!$A$1:$BF$95,MATCH($A17,役男大表!$A$1:$A$97,0),   MATCH(P$1,役男大表!$A$3:$BF$3,0)  )=0,"",  IF(  INDEX(役男大表!$A$1:$BF$95,MATCH($A17,役男大表!$A$1:$A$97,0),   MATCH(P$1,役男大表!$A$3:$BF$3,0)  )="榮","x",  IF(  INDEX(役男大表!$A$1:$BF$95,MATCH($A17,役男大表!$A$1:$A$97,0),   MATCH(P$1,役男大表!$A$3:$BF$3,0)  )="榮-22",  "x榮18-22",               INDEX(役男大表!$A$1:$BF$95,MATCH($A17,役男大表!$A$1:$A$97,0),   MATCH(P$1,役男大表!$A$3:$BF$3,0)  )                  )  )  )," ",""),"")</f>
        <v/>
      </c>
      <c r="Q17" s="278" t="str">
        <f>_xlfn.IFNA(  SUBSTITUTE(     IF(  INDEX(役男大表!$A$1:$BF$95,MATCH($A17,役男大表!$A$1:$A$97,0),   MATCH(Q$1,役男大表!$A$3:$BF$3,0)  )=0,"",  IF(  INDEX(役男大表!$A$1:$BF$95,MATCH($A17,役男大表!$A$1:$A$97,0),   MATCH(Q$1,役男大表!$A$3:$BF$3,0)  )="榮","x",  IF(  INDEX(役男大表!$A$1:$BF$95,MATCH($A17,役男大表!$A$1:$A$97,0),   MATCH(Q$1,役男大表!$A$3:$BF$3,0)  )="榮-22",  "x榮18-22",               INDEX(役男大表!$A$1:$BF$95,MATCH($A17,役男大表!$A$1:$A$97,0),   MATCH(Q$1,役男大表!$A$3:$BF$3,0)  )                  )  )  )," ",""),"")</f>
        <v/>
      </c>
      <c r="R17" s="278" t="str">
        <f>_xlfn.IFNA(  SUBSTITUTE(     IF(  INDEX(役男大表!$A$1:$BF$95,MATCH($A17,役男大表!$A$1:$A$97,0),   MATCH(R$1,役男大表!$A$3:$BF$3,0)  )=0,"",  IF(  INDEX(役男大表!$A$1:$BF$95,MATCH($A17,役男大表!$A$1:$A$97,0),   MATCH(R$1,役男大表!$A$3:$BF$3,0)  )="榮","x",  IF(  INDEX(役男大表!$A$1:$BF$95,MATCH($A17,役男大表!$A$1:$A$97,0),   MATCH(R$1,役男大表!$A$3:$BF$3,0)  )="榮-22",  "x榮18-22",               INDEX(役男大表!$A$1:$BF$95,MATCH($A17,役男大表!$A$1:$A$97,0),   MATCH(R$1,役男大表!$A$3:$BF$3,0)  )                  )  )  )," ",""),"")</f>
        <v/>
      </c>
      <c r="S17" s="278" t="str">
        <f>_xlfn.IFNA(  SUBSTITUTE(     IF(  INDEX(役男大表!$A$1:$BF$95,MATCH($A17,役男大表!$A$1:$A$97,0),   MATCH(S$1,役男大表!$A$3:$BF$3,0)  )=0,"",  IF(  INDEX(役男大表!$A$1:$BF$95,MATCH($A17,役男大表!$A$1:$A$97,0),   MATCH(S$1,役男大表!$A$3:$BF$3,0)  )="榮","x",  IF(  INDEX(役男大表!$A$1:$BF$95,MATCH($A17,役男大表!$A$1:$A$97,0),   MATCH(S$1,役男大表!$A$3:$BF$3,0)  )="榮-22",  "x榮18-22",               INDEX(役男大表!$A$1:$BF$95,MATCH($A17,役男大表!$A$1:$A$97,0),   MATCH(S$1,役男大表!$A$3:$BF$3,0)  )                  )  )  )," ",""),"")</f>
        <v/>
      </c>
      <c r="T17" s="278" t="str">
        <f>_xlfn.IFNA(  SUBSTITUTE(     IF(  INDEX(役男大表!$A$1:$BF$95,MATCH($A17,役男大表!$A$1:$A$97,0),   MATCH(T$1,役男大表!$A$3:$BF$3,0)  )=0,"",  IF(  INDEX(役男大表!$A$1:$BF$95,MATCH($A17,役男大表!$A$1:$A$97,0),   MATCH(T$1,役男大表!$A$3:$BF$3,0)  )="榮","x",  IF(  INDEX(役男大表!$A$1:$BF$95,MATCH($A17,役男大表!$A$1:$A$97,0),   MATCH(T$1,役男大表!$A$3:$BF$3,0)  )="榮-22",  "x榮18-22",               INDEX(役男大表!$A$1:$BF$95,MATCH($A17,役男大表!$A$1:$A$97,0),   MATCH(T$1,役男大表!$A$3:$BF$3,0)  )                  )  )  )," ",""),"")</f>
        <v/>
      </c>
      <c r="U17" s="278" t="str">
        <f>_xlfn.IFNA(  SUBSTITUTE(     IF(  INDEX(役男大表!$A$1:$BF$95,MATCH($A17,役男大表!$A$1:$A$97,0),   MATCH(U$1,役男大表!$A$3:$BF$3,0)  )=0,"",  IF(  INDEX(役男大表!$A$1:$BF$95,MATCH($A17,役男大表!$A$1:$A$97,0),   MATCH(U$1,役男大表!$A$3:$BF$3,0)  )="榮","x",  IF(  INDEX(役男大表!$A$1:$BF$95,MATCH($A17,役男大表!$A$1:$A$97,0),   MATCH(U$1,役男大表!$A$3:$BF$3,0)  )="榮-22",  "x榮18-22",               INDEX(役男大表!$A$1:$BF$95,MATCH($A17,役男大表!$A$1:$A$97,0),   MATCH(U$1,役男大表!$A$3:$BF$3,0)  )                  )  )  )," ",""),"")</f>
        <v/>
      </c>
      <c r="V17" s="278" t="str">
        <f>_xlfn.IFNA(  SUBSTITUTE(     IF(  INDEX(役男大表!$A$1:$BF$95,MATCH($A17,役男大表!$A$1:$A$97,0),   MATCH(V$1,役男大表!$A$3:$BF$3,0)  )=0,"",  IF(  INDEX(役男大表!$A$1:$BF$95,MATCH($A17,役男大表!$A$1:$A$97,0),   MATCH(V$1,役男大表!$A$3:$BF$3,0)  )="榮","x",  IF(  INDEX(役男大表!$A$1:$BF$95,MATCH($A17,役男大表!$A$1:$A$97,0),   MATCH(V$1,役男大表!$A$3:$BF$3,0)  )="榮-22",  "x榮18-22",               INDEX(役男大表!$A$1:$BF$95,MATCH($A17,役男大表!$A$1:$A$97,0),   MATCH(V$1,役男大表!$A$3:$BF$3,0)  )                  )  )  )," ",""),"")</f>
        <v/>
      </c>
      <c r="W17" s="278" t="str">
        <f>_xlfn.IFNA(  SUBSTITUTE(     IF(  INDEX(役男大表!$A$1:$BF$95,MATCH($A17,役男大表!$A$1:$A$97,0),   MATCH(W$1,役男大表!$A$3:$BF$3,0)  )=0,"",  IF(  INDEX(役男大表!$A$1:$BF$95,MATCH($A17,役男大表!$A$1:$A$97,0),   MATCH(W$1,役男大表!$A$3:$BF$3,0)  )="榮","x",  IF(  INDEX(役男大表!$A$1:$BF$95,MATCH($A17,役男大表!$A$1:$A$97,0),   MATCH(W$1,役男大表!$A$3:$BF$3,0)  )="榮-22",  "x榮18-22",               INDEX(役男大表!$A$1:$BF$95,MATCH($A17,役男大表!$A$1:$A$97,0),   MATCH(W$1,役男大表!$A$3:$BF$3,0)  )                  )  )  )," ",""),"")</f>
        <v/>
      </c>
      <c r="X17" s="278" t="str">
        <f>_xlfn.IFNA(  SUBSTITUTE(     IF(  INDEX(役男大表!$A$1:$BF$95,MATCH($A17,役男大表!$A$1:$A$97,0),   MATCH(X$1,役男大表!$A$3:$BF$3,0)  )=0,"",  IF(  INDEX(役男大表!$A$1:$BF$95,MATCH($A17,役男大表!$A$1:$A$97,0),   MATCH(X$1,役男大表!$A$3:$BF$3,0)  )="榮","x",  IF(  INDEX(役男大表!$A$1:$BF$95,MATCH($A17,役男大表!$A$1:$A$97,0),   MATCH(X$1,役男大表!$A$3:$BF$3,0)  )="榮-22",  "x榮18-22",               INDEX(役男大表!$A$1:$BF$95,MATCH($A17,役男大表!$A$1:$A$97,0),   MATCH(X$1,役男大表!$A$3:$BF$3,0)  )                  )  )  )," ",""),"")</f>
        <v/>
      </c>
      <c r="Y17" s="278" t="str">
        <f>_xlfn.IFNA(  SUBSTITUTE(     IF(  INDEX(役男大表!$A$1:$BF$95,MATCH($A17,役男大表!$A$1:$A$97,0),   MATCH(Y$1,役男大表!$A$3:$BF$3,0)  )=0,"",  IF(  INDEX(役男大表!$A$1:$BF$95,MATCH($A17,役男大表!$A$1:$A$97,0),   MATCH(Y$1,役男大表!$A$3:$BF$3,0)  )="榮","x",  IF(  INDEX(役男大表!$A$1:$BF$95,MATCH($A17,役男大表!$A$1:$A$97,0),   MATCH(Y$1,役男大表!$A$3:$BF$3,0)  )="榮-22",  "x榮18-22",               INDEX(役男大表!$A$1:$BF$95,MATCH($A17,役男大表!$A$1:$A$97,0),   MATCH(Y$1,役男大表!$A$3:$BF$3,0)  )                  )  )  )," ",""),"")</f>
        <v/>
      </c>
      <c r="Z17" s="278" t="str">
        <f>_xlfn.IFNA(  SUBSTITUTE(     IF(  INDEX(役男大表!$A$1:$BF$95,MATCH($A17,役男大表!$A$1:$A$97,0),   MATCH(Z$1,役男大表!$A$3:$BF$3,0)  )=0,"",  IF(  INDEX(役男大表!$A$1:$BF$95,MATCH($A17,役男大表!$A$1:$A$97,0),   MATCH(Z$1,役男大表!$A$3:$BF$3,0)  )="榮","x",  IF(  INDEX(役男大表!$A$1:$BF$95,MATCH($A17,役男大表!$A$1:$A$97,0),   MATCH(Z$1,役男大表!$A$3:$BF$3,0)  )="榮-22",  "x榮18-22",               INDEX(役男大表!$A$1:$BF$95,MATCH($A17,役男大表!$A$1:$A$97,0),   MATCH(Z$1,役男大表!$A$3:$BF$3,0)  )                  )  )  )," ",""),"")</f>
        <v/>
      </c>
      <c r="AA17" s="278" t="str">
        <f>_xlfn.IFNA(  SUBSTITUTE(     IF(  INDEX(役男大表!$A$1:$BF$95,MATCH($A17,役男大表!$A$1:$A$97,0),   MATCH(AA$1,役男大表!$A$3:$BF$3,0)  )=0,"",  IF(  INDEX(役男大表!$A$1:$BF$95,MATCH($A17,役男大表!$A$1:$A$97,0),   MATCH(AA$1,役男大表!$A$3:$BF$3,0)  )="榮","x",  IF(  INDEX(役男大表!$A$1:$BF$95,MATCH($A17,役男大表!$A$1:$A$97,0),   MATCH(AA$1,役男大表!$A$3:$BF$3,0)  )="榮-22",  "x榮18-22",               INDEX(役男大表!$A$1:$BF$95,MATCH($A17,役男大表!$A$1:$A$97,0),   MATCH(AA$1,役男大表!$A$3:$BF$3,0)  )                  )  )  )," ",""),"")</f>
        <v/>
      </c>
      <c r="AB17" s="278" t="str">
        <f>_xlfn.IFNA(  SUBSTITUTE(     IF(  INDEX(役男大表!$A$1:$BF$95,MATCH($A17,役男大表!$A$1:$A$97,0),   MATCH(AB$1,役男大表!$A$3:$BF$3,0)  )=0,"",  IF(  INDEX(役男大表!$A$1:$BF$95,MATCH($A17,役男大表!$A$1:$A$97,0),   MATCH(AB$1,役男大表!$A$3:$BF$3,0)  )="榮","x",  IF(  INDEX(役男大表!$A$1:$BF$95,MATCH($A17,役男大表!$A$1:$A$97,0),   MATCH(AB$1,役男大表!$A$3:$BF$3,0)  )="榮-22",  "x榮18-22",               INDEX(役男大表!$A$1:$BF$95,MATCH($A17,役男大表!$A$1:$A$97,0),   MATCH(AB$1,役男大表!$A$3:$BF$3,0)  )                  )  )  )," ",""),"")</f>
        <v/>
      </c>
      <c r="AC17" s="278" t="str">
        <f>_xlfn.IFNA(  SUBSTITUTE(     IF(  INDEX(役男大表!$A$1:$BF$95,MATCH($A17,役男大表!$A$1:$A$97,0),   MATCH(AC$1,役男大表!$A$3:$BF$3,0)  )=0,"",  IF(  INDEX(役男大表!$A$1:$BF$95,MATCH($A17,役男大表!$A$1:$A$97,0),   MATCH(AC$1,役男大表!$A$3:$BF$3,0)  )="榮","x",  IF(  INDEX(役男大表!$A$1:$BF$95,MATCH($A17,役男大表!$A$1:$A$97,0),   MATCH(AC$1,役男大表!$A$3:$BF$3,0)  )="榮-22",  "x榮18-22",               INDEX(役男大表!$A$1:$BF$95,MATCH($A17,役男大表!$A$1:$A$97,0),   MATCH(AC$1,役男大表!$A$3:$BF$3,0)  )                  )  )  )," ",""),"")</f>
        <v/>
      </c>
      <c r="AD17" s="278" t="str">
        <f>_xlfn.IFNA(  SUBSTITUTE(     IF(  INDEX(役男大表!$A$1:$BF$95,MATCH($A17,役男大表!$A$1:$A$97,0),   MATCH(AD$1,役男大表!$A$3:$BF$3,0)  )=0,"",  IF(  INDEX(役男大表!$A$1:$BF$95,MATCH($A17,役男大表!$A$1:$A$97,0),   MATCH(AD$1,役男大表!$A$3:$BF$3,0)  )="榮","x",  IF(  INDEX(役男大表!$A$1:$BF$95,MATCH($A17,役男大表!$A$1:$A$97,0),   MATCH(AD$1,役男大表!$A$3:$BF$3,0)  )="榮-22",  "x榮18-22",               INDEX(役男大表!$A$1:$BF$95,MATCH($A17,役男大表!$A$1:$A$97,0),   MATCH(AD$1,役男大表!$A$3:$BF$3,0)  )                  )  )  )," ",""),"")</f>
        <v/>
      </c>
      <c r="AE17" s="278" t="str">
        <f>_xlfn.IFNA(  SUBSTITUTE(     IF(  INDEX(役男大表!$A$1:$BF$95,MATCH($A17,役男大表!$A$1:$A$97,0),   MATCH(AE$1,役男大表!$A$3:$BF$3,0)  )=0,"",  IF(  INDEX(役男大表!$A$1:$BF$95,MATCH($A17,役男大表!$A$1:$A$97,0),   MATCH(AE$1,役男大表!$A$3:$BF$3,0)  )="榮","x",  IF(  INDEX(役男大表!$A$1:$BF$95,MATCH($A17,役男大表!$A$1:$A$97,0),   MATCH(AE$1,役男大表!$A$3:$BF$3,0)  )="榮-22",  "x榮18-22",               INDEX(役男大表!$A$1:$BF$95,MATCH($A17,役男大表!$A$1:$A$97,0),   MATCH(AE$1,役男大表!$A$3:$BF$3,0)  )                  )  )  )," ",""),"")</f>
        <v/>
      </c>
      <c r="AF17" s="278" t="str">
        <f>_xlfn.IFNA(  SUBSTITUTE(     IF(  INDEX(役男大表!$A$1:$BF$95,MATCH($A17,役男大表!$A$1:$A$97,0),   MATCH(AF$1,役男大表!$A$3:$BF$3,0)  )=0,"",  IF(  INDEX(役男大表!$A$1:$BF$95,MATCH($A17,役男大表!$A$1:$A$97,0),   MATCH(AF$1,役男大表!$A$3:$BF$3,0)  )="榮","x",  IF(  INDEX(役男大表!$A$1:$BF$95,MATCH($A17,役男大表!$A$1:$A$97,0),   MATCH(AF$1,役男大表!$A$3:$BF$3,0)  )="榮-22",  "x榮18-22",               INDEX(役男大表!$A$1:$BF$95,MATCH($A17,役男大表!$A$1:$A$97,0),   MATCH(AF$1,役男大表!$A$3:$BF$3,0)  )                  )  )  )," ",""),"")</f>
        <v/>
      </c>
      <c r="AG17" s="278" t="str">
        <f>_xlfn.IFNA(  SUBSTITUTE(     IF(  INDEX(役男大表!$A$1:$BF$95,MATCH($A17,役男大表!$A$1:$A$97,0),   MATCH(AG$1,役男大表!$A$3:$BF$3,0)  )=0,"",  IF(  INDEX(役男大表!$A$1:$BF$95,MATCH($A17,役男大表!$A$1:$A$97,0),   MATCH(AG$1,役男大表!$A$3:$BF$3,0)  )="榮","x",  IF(  INDEX(役男大表!$A$1:$BF$95,MATCH($A17,役男大表!$A$1:$A$97,0),   MATCH(AG$1,役男大表!$A$3:$BF$3,0)  )="榮-22",  "x榮18-22",               INDEX(役男大表!$A$1:$BF$95,MATCH($A17,役男大表!$A$1:$A$97,0),   MATCH(AG$1,役男大表!$A$3:$BF$3,0)  )                  )  )  )," ",""),"")</f>
        <v/>
      </c>
      <c r="AH17" s="278" t="str">
        <f>_xlfn.IFNA(  SUBSTITUTE(     IF(  INDEX(役男大表!$A$1:$BF$95,MATCH($A17,役男大表!$A$1:$A$97,0),   MATCH(AH$1,役男大表!$A$3:$BF$3,0)  )=0,"",  IF(  INDEX(役男大表!$A$1:$BF$95,MATCH($A17,役男大表!$A$1:$A$97,0),   MATCH(AH$1,役男大表!$A$3:$BF$3,0)  )="榮","x",  IF(  INDEX(役男大表!$A$1:$BF$95,MATCH($A17,役男大表!$A$1:$A$97,0),   MATCH(AH$1,役男大表!$A$3:$BF$3,0)  )="榮-22",  "x榮18-22",               INDEX(役男大表!$A$1:$BF$95,MATCH($A17,役男大表!$A$1:$A$97,0),   MATCH(AH$1,役男大表!$A$3:$BF$3,0)  )                  )  )  )," ",""),"")</f>
        <v/>
      </c>
      <c r="AI17" s="278" t="str">
        <f>_xlfn.IFNA(  SUBSTITUTE(     IF(  INDEX(役男大表!$A$1:$BF$95,MATCH($A17,役男大表!$A$1:$A$97,0),   MATCH(AI$1,役男大表!$A$3:$BF$3,0)  )=0,"",  IF(  INDEX(役男大表!$A$1:$BF$95,MATCH($A17,役男大表!$A$1:$A$97,0),   MATCH(AI$1,役男大表!$A$3:$BF$3,0)  )="榮","x",  IF(  INDEX(役男大表!$A$1:$BF$95,MATCH($A17,役男大表!$A$1:$A$97,0),   MATCH(AI$1,役男大表!$A$3:$BF$3,0)  )="榮-22",  "x榮18-22",               INDEX(役男大表!$A$1:$BF$95,MATCH($A17,役男大表!$A$1:$A$97,0),   MATCH(AI$1,役男大表!$A$3:$BF$3,0)  )                  )  )  )," ",""),"")</f>
        <v/>
      </c>
      <c r="AJ17" s="278" t="str">
        <f>_xlfn.IFNA(  SUBSTITUTE(     IF(  INDEX(役男大表!$A$1:$BF$95,MATCH($A17,役男大表!$A$1:$A$97,0),   MATCH(AJ$1,役男大表!$A$3:$BF$3,0)  )=0,"",  IF(  INDEX(役男大表!$A$1:$BF$95,MATCH($A17,役男大表!$A$1:$A$97,0),   MATCH(AJ$1,役男大表!$A$3:$BF$3,0)  )="榮","x",  IF(  INDEX(役男大表!$A$1:$BF$95,MATCH($A17,役男大表!$A$1:$A$97,0),   MATCH(AJ$1,役男大表!$A$3:$BF$3,0)  )="榮-22",  "x榮18-22",               INDEX(役男大表!$A$1:$BF$95,MATCH($A17,役男大表!$A$1:$A$97,0),   MATCH(AJ$1,役男大表!$A$3:$BF$3,0)  )                  )  )  )," ",""),"")</f>
        <v/>
      </c>
      <c r="AM17" s="66">
        <f t="shared" si="1"/>
        <v>16</v>
      </c>
      <c r="AN17" s="66" t="str">
        <f t="shared" si="2"/>
        <v>張恩齊</v>
      </c>
      <c r="AO17" s="71" t="str">
        <f>IF(  AND(  INDEX(   $A$42:$AJ$79, MATCH(AM17,$A$42:$A$79,0),MATCH(  日期輸入!$C$3,$A$42:$AL$42,0  )  )="全日勤",  AV17="免"  ),  "全日勤免勤教",  IF(  AND(  INDEX(   $A$42:$AJ$79, MATCH(AM17,$A$42:$A$79,0),MATCH(  日期輸入!$C$3,$A$42:$AL$42,0  )  )="18放",  AV17="免"  ),  "18放早走",  INDEX(   $A$42:$AJ$79, MATCH(AM17,$A$42:$A$79,0),MATCH(  日期輸入!$C$3,$A$42:$AL$42,0  )  )  )  )</f>
        <v>全日勤</v>
      </c>
      <c r="AP17" s="66" t="str">
        <f>_xlfn.IFNA(IF((ROW(AP17)-1)&lt;=暫1!$B$2,IF(VALUE($AM17)=暫1!B$3,"家因",IF(VALUE($AM17)=暫1!C$3,"家因",IF(VALUE($AM17)=暫1!D$3,"家因",IF(VALUE($AM17)=暫1!E$3,"家因",IF(VALUE($AM17)=暫1!F$3,"家因",IF(VALUE($AM17)=暫1!G$3,"家因",IF(VALUE($AM17)=暫1!H$3,"家因",IF(VALUE($AM17)=暫1!I$3,"家因",IF(VALUE($AM17)=暫1!J$3,"家因",IF(VALUE($AM17)=暫1!K$3,"家因",IF(VALUE($AM17)=暫1!L$3,"家因",IF(VALUE($AM17)=暫1!M$3,"家因",IF(VALUE($AM17)=暫1!N$3,"家因",IF(VALUE($AM17)=暫1!O$3,"家因",IF(VALUE($AM17)=暫1!P$3,"家因",IF(VALUE($AM17)=暫1!Q$3,"家因",IF(VALUE($AM17)=暫1!R$3,"家因",IF(VALUE($AM17)=暫1!S$3,"家因",IF(VALUE($AM17)=暫1!T$3,"家因",IF(VALUE($AM17)=暫1!U$3,"家因","")))))))))))))))))))),""),"")</f>
        <v/>
      </c>
      <c r="AQ17" s="66" t="str">
        <f>IF((ROW(AQ17)-1)&lt;=暫1!$B$2,_xlfn.IFNA(IF(INDEX($A$1:$AJ$41,MATCH($AN17,$B$1:$B$101,0),VALUE($AQ$1+3))="成","補",INDEX($A$1:$AJ$41,MATCH($AN17,$B$1:$B$101,0),VALUE($AQ$1+3))),""),"")</f>
        <v/>
      </c>
      <c r="AR17" s="66" t="str">
        <f>IF((ROW(AR17)-1)&lt;=暫1!$B$2,_xlfn.IFNA(IF(INDEX($A$1:$AJ$41,MATCH($AN17,$B$1:$B$101,0),VALUE($AR$1+3))="成","補",INDEX($A$1:$AJ$41,MATCH($AN17,$B$1:$B$101,0),VALUE($AR$1+3))),""),"")</f>
        <v/>
      </c>
      <c r="AS17" s="66" t="str">
        <f>IF((ROW(AS17)-1)&lt;=暫1!$B$2,_xlfn.IFNA(IF(INDEX($A$1:$AJ$41,MATCH($AN17,$B$1:$B$101,0),VALUE($AS$1+3))="成","補",INDEX($A$1:$AJ$41,MATCH($AN17,$B$1:$B$101,0),VALUE($AS$1+3))),""),"")</f>
        <v/>
      </c>
      <c r="AT17" s="66" t="str">
        <f>IF(  OR(  LEN(  INDEX(   $A$1:$AJ$39, MATCH(AM17,$A$1:$A$39,0),MATCH(  日期輸入!$C$3,$A$1:$AP$1,0  )  )  )&gt;LEN(  SUBSTITUTE(  INDEX(   $A$1:$AJ$39, MATCH(AM17,$A$1:$A$39,0),MATCH(  日期輸入!$C$3,$A$1:$AP$1,0  )  ),"榮","")  )  ),   SUBSTITUTE(  SUBSTITUTE(  INDEX(   $A$1:$AJ$39, MATCH(AM17,$A$1:$A$39,0),MATCH(  日期輸入!$C$3,$A$1:$AP$1,0  )  ),"榮",""),"x",""), "")</f>
        <v/>
      </c>
      <c r="AU17" s="66" t="str">
        <f t="shared" si="3"/>
        <v/>
      </c>
      <c r="AV17" s="66" t="str">
        <f>INDEX(   $A$482:$AJ$519, MATCH(AM17,$A$482:$A$519,0),MATCH(  日期輸入!$C$3,$A$482:$AL$482,0  )  )</f>
        <v/>
      </c>
      <c r="AX17" s="66" t="str">
        <f>IFERROR(IF((ROW(AX17)-1)&lt;=暫1!$B$2,SUBSTITUTE(IF($AO17=$AX$1,$AM17,"")," ",""),""),"")</f>
        <v/>
      </c>
      <c r="AY17" s="66" t="str">
        <f>IFERROR(IF((ROW(AY17)-1)&lt;=暫1!$B$2,SUBSTITUTE(IF($AO17=$AY$1,$AM17,"")," ",""),""),"")</f>
        <v/>
      </c>
      <c r="AZ17" s="66" t="str">
        <f>IFERROR(IF((ROW(AZ17)-1)&lt;=暫1!$B$2,SUBSTITUTE(IF($AO17=$AZ$1,$AM17,"")," ",""),""),"")</f>
        <v/>
      </c>
      <c r="BA17" s="66" t="str">
        <f>IFERROR(IF((ROW(BA17)-1)&lt;=暫1!$B$2,SUBSTITUTE(IF($AO17=$BA$1,$AM17,"")," ",""),""),"")</f>
        <v/>
      </c>
      <c r="BB17" s="69" t="str">
        <f>IFERROR(IF((ROW(BB17)-1)&lt;=暫1!$B$2,SUBSTITUTE(IF(OR($AO17=$BB$1,$AO17=$AY$1,$AO17=$AZ$1),$AM17,IF($AO17=$AY$1,$AM17,"")),"",""),""),"")</f>
        <v>16</v>
      </c>
      <c r="BC17" s="69" t="str">
        <f>IF(    AND(LEN(BC16)&gt;=2 ),        "、" &amp;  IF(OR(役男人力!$J$2:$J$84="是"),役男人力!$B17,""),  IF(OR(役男人力!$J$2:$J$84="是"),役男人力!$B17,"")  )</f>
        <v>張恩齊</v>
      </c>
      <c r="BG17" s="98" t="str">
        <f>INDEX(   A282:AJ319, 38,MATCH(  日期輸入!$C$3,A282:AP282,0  )  )</f>
        <v/>
      </c>
    </row>
    <row r="18" spans="1:59" ht="25.5" customHeight="1">
      <c r="A18" s="278">
        <v>17</v>
      </c>
      <c r="B18" s="278" t="str">
        <f>_xlfn.IFNA(  INDEX(役男大表!$A$1:$BF$95,MATCH(A18,役男大表!$A$1:$A$97,0),2),"")</f>
        <v>周承澔</v>
      </c>
      <c r="C18" s="278" t="str">
        <f>_xlfn.IFNA(  SUBSTITUTE(     IF(  INDEX(役男大表!$A$1:$BF$95,MATCH($A18,役男大表!$A$1:$A$97,0),   MATCH(C$1,役男大表!$A$3:$BF$3,0)  )=0,"",  IF(  INDEX(役男大表!$A$1:$BF$95,MATCH($A18,役男大表!$A$1:$A$97,0),   MATCH(C$1,役男大表!$A$3:$BF$3,0)  )="榮","x",  IF(  INDEX(役男大表!$A$1:$BF$95,MATCH($A18,役男大表!$A$1:$A$97,0),   MATCH(C$1,役男大表!$A$3:$BF$3,0)  )="榮-22",  "x榮18-22",               INDEX(役男大表!$A$1:$BF$95,MATCH($A18,役男大表!$A$1:$A$97,0),   MATCH(C$1,役男大表!$A$3:$BF$3,0)  )                  )  )  )," ",""),"")</f>
        <v/>
      </c>
      <c r="D18" s="278" t="str">
        <f>_xlfn.IFNA(  SUBSTITUTE(     IF(  INDEX(役男大表!$A$1:$BF$95,MATCH($A18,役男大表!$A$1:$A$97,0),   MATCH(D$1,役男大表!$A$3:$BF$3,0)  )=0,"",  IF(  INDEX(役男大表!$A$1:$BF$95,MATCH($A18,役男大表!$A$1:$A$97,0),   MATCH(D$1,役男大表!$A$3:$BF$3,0)  )="榮","x",  IF(  INDEX(役男大表!$A$1:$BF$95,MATCH($A18,役男大表!$A$1:$A$97,0),   MATCH(D$1,役男大表!$A$3:$BF$3,0)  )="榮-22",  "x榮18-22",               INDEX(役男大表!$A$1:$BF$95,MATCH($A18,役男大表!$A$1:$A$97,0),   MATCH(D$1,役男大表!$A$3:$BF$3,0)  )                  )  )  )," ",""),"")</f>
        <v/>
      </c>
      <c r="E18" s="278" t="str">
        <f>_xlfn.IFNA(  SUBSTITUTE(     IF(  INDEX(役男大表!$A$1:$BF$95,MATCH($A18,役男大表!$A$1:$A$97,0),   MATCH(E$1,役男大表!$A$3:$BF$3,0)  )=0,"",  IF(  INDEX(役男大表!$A$1:$BF$95,MATCH($A18,役男大表!$A$1:$A$97,0),   MATCH(E$1,役男大表!$A$3:$BF$3,0)  )="榮","x",  IF(  INDEX(役男大表!$A$1:$BF$95,MATCH($A18,役男大表!$A$1:$A$97,0),   MATCH(E$1,役男大表!$A$3:$BF$3,0)  )="榮-22",  "x榮18-22",               INDEX(役男大表!$A$1:$BF$95,MATCH($A18,役男大表!$A$1:$A$97,0),   MATCH(E$1,役男大表!$A$3:$BF$3,0)  )                  )  )  )," ",""),"")</f>
        <v/>
      </c>
      <c r="F18" s="278" t="str">
        <f>_xlfn.IFNA(  SUBSTITUTE(     IF(  INDEX(役男大表!$A$1:$BF$95,MATCH($A18,役男大表!$A$1:$A$97,0),   MATCH(F$1,役男大表!$A$3:$BF$3,0)  )=0,"",  IF(  INDEX(役男大表!$A$1:$BF$95,MATCH($A18,役男大表!$A$1:$A$97,0),   MATCH(F$1,役男大表!$A$3:$BF$3,0)  )="榮","x",  IF(  INDEX(役男大表!$A$1:$BF$95,MATCH($A18,役男大表!$A$1:$A$97,0),   MATCH(F$1,役男大表!$A$3:$BF$3,0)  )="榮-22",  "x榮18-22",               INDEX(役男大表!$A$1:$BF$95,MATCH($A18,役男大表!$A$1:$A$97,0),   MATCH(F$1,役男大表!$A$3:$BF$3,0)  )                  )  )  )," ",""),"")</f>
        <v/>
      </c>
      <c r="G18" s="278" t="str">
        <f>_xlfn.IFNA(  SUBSTITUTE(     IF(  INDEX(役男大表!$A$1:$BF$95,MATCH($A18,役男大表!$A$1:$A$97,0),   MATCH(G$1,役男大表!$A$3:$BF$3,0)  )=0,"",  IF(  INDEX(役男大表!$A$1:$BF$95,MATCH($A18,役男大表!$A$1:$A$97,0),   MATCH(G$1,役男大表!$A$3:$BF$3,0)  )="榮","x",  IF(  INDEX(役男大表!$A$1:$BF$95,MATCH($A18,役男大表!$A$1:$A$97,0),   MATCH(G$1,役男大表!$A$3:$BF$3,0)  )="榮-22",  "x榮18-22",               INDEX(役男大表!$A$1:$BF$95,MATCH($A18,役男大表!$A$1:$A$97,0),   MATCH(G$1,役男大表!$A$3:$BF$3,0)  )                  )  )  )," ",""),"")</f>
        <v/>
      </c>
      <c r="H18" s="278" t="str">
        <f>_xlfn.IFNA(  SUBSTITUTE(     IF(  INDEX(役男大表!$A$1:$BF$95,MATCH($A18,役男大表!$A$1:$A$97,0),   MATCH(H$1,役男大表!$A$3:$BF$3,0)  )=0,"",  IF(  INDEX(役男大表!$A$1:$BF$95,MATCH($A18,役男大表!$A$1:$A$97,0),   MATCH(H$1,役男大表!$A$3:$BF$3,0)  )="榮","x",  IF(  INDEX(役男大表!$A$1:$BF$95,MATCH($A18,役男大表!$A$1:$A$97,0),   MATCH(H$1,役男大表!$A$3:$BF$3,0)  )="榮-22",  "x榮18-22",               INDEX(役男大表!$A$1:$BF$95,MATCH($A18,役男大表!$A$1:$A$97,0),   MATCH(H$1,役男大表!$A$3:$BF$3,0)  )                  )  )  )," ",""),"")</f>
        <v/>
      </c>
      <c r="I18" s="278" t="str">
        <f>_xlfn.IFNA(  SUBSTITUTE(     IF(  INDEX(役男大表!$A$1:$BF$95,MATCH($A18,役男大表!$A$1:$A$97,0),   MATCH(I$1,役男大表!$A$3:$BF$3,0)  )=0,"",  IF(  INDEX(役男大表!$A$1:$BF$95,MATCH($A18,役男大表!$A$1:$A$97,0),   MATCH(I$1,役男大表!$A$3:$BF$3,0)  )="榮","x",  IF(  INDEX(役男大表!$A$1:$BF$95,MATCH($A18,役男大表!$A$1:$A$97,0),   MATCH(I$1,役男大表!$A$3:$BF$3,0)  )="榮-22",  "x榮18-22",               INDEX(役男大表!$A$1:$BF$95,MATCH($A18,役男大表!$A$1:$A$97,0),   MATCH(I$1,役男大表!$A$3:$BF$3,0)  )                  )  )  )," ",""),"")</f>
        <v/>
      </c>
      <c r="J18" s="278" t="str">
        <f>_xlfn.IFNA(  SUBSTITUTE(     IF(  INDEX(役男大表!$A$1:$BF$95,MATCH($A18,役男大表!$A$1:$A$97,0),   MATCH(J$1,役男大表!$A$3:$BF$3,0)  )=0,"",  IF(  INDEX(役男大表!$A$1:$BF$95,MATCH($A18,役男大表!$A$1:$A$97,0),   MATCH(J$1,役男大表!$A$3:$BF$3,0)  )="榮","x",  IF(  INDEX(役男大表!$A$1:$BF$95,MATCH($A18,役男大表!$A$1:$A$97,0),   MATCH(J$1,役男大表!$A$3:$BF$3,0)  )="榮-22",  "x榮18-22",               INDEX(役男大表!$A$1:$BF$95,MATCH($A18,役男大表!$A$1:$A$97,0),   MATCH(J$1,役男大表!$A$3:$BF$3,0)  )                  )  )  )," ",""),"")</f>
        <v/>
      </c>
      <c r="K18" s="278" t="str">
        <f>_xlfn.IFNA(  SUBSTITUTE(     IF(  INDEX(役男大表!$A$1:$BF$95,MATCH($A18,役男大表!$A$1:$A$97,0),   MATCH(K$1,役男大表!$A$3:$BF$3,0)  )=0,"",  IF(  INDEX(役男大表!$A$1:$BF$95,MATCH($A18,役男大表!$A$1:$A$97,0),   MATCH(K$1,役男大表!$A$3:$BF$3,0)  )="榮","x",  IF(  INDEX(役男大表!$A$1:$BF$95,MATCH($A18,役男大表!$A$1:$A$97,0),   MATCH(K$1,役男大表!$A$3:$BF$3,0)  )="榮-22",  "x榮18-22",               INDEX(役男大表!$A$1:$BF$95,MATCH($A18,役男大表!$A$1:$A$97,0),   MATCH(K$1,役男大表!$A$3:$BF$3,0)  )                  )  )  )," ",""),"")</f>
        <v/>
      </c>
      <c r="L18" s="278" t="str">
        <f>_xlfn.IFNA(  SUBSTITUTE(     IF(  INDEX(役男大表!$A$1:$BF$95,MATCH($A18,役男大表!$A$1:$A$97,0),   MATCH(L$1,役男大表!$A$3:$BF$3,0)  )=0,"",  IF(  INDEX(役男大表!$A$1:$BF$95,MATCH($A18,役男大表!$A$1:$A$97,0),   MATCH(L$1,役男大表!$A$3:$BF$3,0)  )="榮","x",  IF(  INDEX(役男大表!$A$1:$BF$95,MATCH($A18,役男大表!$A$1:$A$97,0),   MATCH(L$1,役男大表!$A$3:$BF$3,0)  )="榮-22",  "x榮18-22",               INDEX(役男大表!$A$1:$BF$95,MATCH($A18,役男大表!$A$1:$A$97,0),   MATCH(L$1,役男大表!$A$3:$BF$3,0)  )                  )  )  )," ",""),"")</f>
        <v/>
      </c>
      <c r="M18" s="278" t="str">
        <f>_xlfn.IFNA(  SUBSTITUTE(     IF(  INDEX(役男大表!$A$1:$BF$95,MATCH($A18,役男大表!$A$1:$A$97,0),   MATCH(M$1,役男大表!$A$3:$BF$3,0)  )=0,"",  IF(  INDEX(役男大表!$A$1:$BF$95,MATCH($A18,役男大表!$A$1:$A$97,0),   MATCH(M$1,役男大表!$A$3:$BF$3,0)  )="榮","x",  IF(  INDEX(役男大表!$A$1:$BF$95,MATCH($A18,役男大表!$A$1:$A$97,0),   MATCH(M$1,役男大表!$A$3:$BF$3,0)  )="榮-22",  "x榮18-22",               INDEX(役男大表!$A$1:$BF$95,MATCH($A18,役男大表!$A$1:$A$97,0),   MATCH(M$1,役男大表!$A$3:$BF$3,0)  )                  )  )  )," ",""),"")</f>
        <v/>
      </c>
      <c r="N18" s="278" t="str">
        <f>_xlfn.IFNA(  SUBSTITUTE(     IF(  INDEX(役男大表!$A$1:$BF$95,MATCH($A18,役男大表!$A$1:$A$97,0),   MATCH(N$1,役男大表!$A$3:$BF$3,0)  )=0,"",  IF(  INDEX(役男大表!$A$1:$BF$95,MATCH($A18,役男大表!$A$1:$A$97,0),   MATCH(N$1,役男大表!$A$3:$BF$3,0)  )="榮","x",  IF(  INDEX(役男大表!$A$1:$BF$95,MATCH($A18,役男大表!$A$1:$A$97,0),   MATCH(N$1,役男大表!$A$3:$BF$3,0)  )="榮-22",  "x榮18-22",               INDEX(役男大表!$A$1:$BF$95,MATCH($A18,役男大表!$A$1:$A$97,0),   MATCH(N$1,役男大表!$A$3:$BF$3,0)  )                  )  )  )," ",""),"")</f>
        <v/>
      </c>
      <c r="O18" s="278" t="str">
        <f>_xlfn.IFNA(  SUBSTITUTE(     IF(  INDEX(役男大表!$A$1:$BF$95,MATCH($A18,役男大表!$A$1:$A$97,0),   MATCH(O$1,役男大表!$A$3:$BF$3,0)  )=0,"",  IF(  INDEX(役男大表!$A$1:$BF$95,MATCH($A18,役男大表!$A$1:$A$97,0),   MATCH(O$1,役男大表!$A$3:$BF$3,0)  )="榮","x",  IF(  INDEX(役男大表!$A$1:$BF$95,MATCH($A18,役男大表!$A$1:$A$97,0),   MATCH(O$1,役男大表!$A$3:$BF$3,0)  )="榮-22",  "x榮18-22",               INDEX(役男大表!$A$1:$BF$95,MATCH($A18,役男大表!$A$1:$A$97,0),   MATCH(O$1,役男大表!$A$3:$BF$3,0)  )                  )  )  )," ",""),"")</f>
        <v/>
      </c>
      <c r="P18" s="278" t="str">
        <f>_xlfn.IFNA(  SUBSTITUTE(     IF(  INDEX(役男大表!$A$1:$BF$95,MATCH($A18,役男大表!$A$1:$A$97,0),   MATCH(P$1,役男大表!$A$3:$BF$3,0)  )=0,"",  IF(  INDEX(役男大表!$A$1:$BF$95,MATCH($A18,役男大表!$A$1:$A$97,0),   MATCH(P$1,役男大表!$A$3:$BF$3,0)  )="榮","x",  IF(  INDEX(役男大表!$A$1:$BF$95,MATCH($A18,役男大表!$A$1:$A$97,0),   MATCH(P$1,役男大表!$A$3:$BF$3,0)  )="榮-22",  "x榮18-22",               INDEX(役男大表!$A$1:$BF$95,MATCH($A18,役男大表!$A$1:$A$97,0),   MATCH(P$1,役男大表!$A$3:$BF$3,0)  )                  )  )  )," ",""),"")</f>
        <v/>
      </c>
      <c r="Q18" s="278" t="str">
        <f>_xlfn.IFNA(  SUBSTITUTE(     IF(  INDEX(役男大表!$A$1:$BF$95,MATCH($A18,役男大表!$A$1:$A$97,0),   MATCH(Q$1,役男大表!$A$3:$BF$3,0)  )=0,"",  IF(  INDEX(役男大表!$A$1:$BF$95,MATCH($A18,役男大表!$A$1:$A$97,0),   MATCH(Q$1,役男大表!$A$3:$BF$3,0)  )="榮","x",  IF(  INDEX(役男大表!$A$1:$BF$95,MATCH($A18,役男大表!$A$1:$A$97,0),   MATCH(Q$1,役男大表!$A$3:$BF$3,0)  )="榮-22",  "x榮18-22",               INDEX(役男大表!$A$1:$BF$95,MATCH($A18,役男大表!$A$1:$A$97,0),   MATCH(Q$1,役男大表!$A$3:$BF$3,0)  )                  )  )  )," ",""),"")</f>
        <v/>
      </c>
      <c r="R18" s="278" t="str">
        <f>_xlfn.IFNA(  SUBSTITUTE(     IF(  INDEX(役男大表!$A$1:$BF$95,MATCH($A18,役男大表!$A$1:$A$97,0),   MATCH(R$1,役男大表!$A$3:$BF$3,0)  )=0,"",  IF(  INDEX(役男大表!$A$1:$BF$95,MATCH($A18,役男大表!$A$1:$A$97,0),   MATCH(R$1,役男大表!$A$3:$BF$3,0)  )="榮","x",  IF(  INDEX(役男大表!$A$1:$BF$95,MATCH($A18,役男大表!$A$1:$A$97,0),   MATCH(R$1,役男大表!$A$3:$BF$3,0)  )="榮-22",  "x榮18-22",               INDEX(役男大表!$A$1:$BF$95,MATCH($A18,役男大表!$A$1:$A$97,0),   MATCH(R$1,役男大表!$A$3:$BF$3,0)  )                  )  )  )," ",""),"")</f>
        <v/>
      </c>
      <c r="S18" s="278" t="str">
        <f>_xlfn.IFNA(  SUBSTITUTE(     IF(  INDEX(役男大表!$A$1:$BF$95,MATCH($A18,役男大表!$A$1:$A$97,0),   MATCH(S$1,役男大表!$A$3:$BF$3,0)  )=0,"",  IF(  INDEX(役男大表!$A$1:$BF$95,MATCH($A18,役男大表!$A$1:$A$97,0),   MATCH(S$1,役男大表!$A$3:$BF$3,0)  )="榮","x",  IF(  INDEX(役男大表!$A$1:$BF$95,MATCH($A18,役男大表!$A$1:$A$97,0),   MATCH(S$1,役男大表!$A$3:$BF$3,0)  )="榮-22",  "x榮18-22",               INDEX(役男大表!$A$1:$BF$95,MATCH($A18,役男大表!$A$1:$A$97,0),   MATCH(S$1,役男大表!$A$3:$BF$3,0)  )                  )  )  )," ",""),"")</f>
        <v/>
      </c>
      <c r="T18" s="278" t="str">
        <f>_xlfn.IFNA(  SUBSTITUTE(     IF(  INDEX(役男大表!$A$1:$BF$95,MATCH($A18,役男大表!$A$1:$A$97,0),   MATCH(T$1,役男大表!$A$3:$BF$3,0)  )=0,"",  IF(  INDEX(役男大表!$A$1:$BF$95,MATCH($A18,役男大表!$A$1:$A$97,0),   MATCH(T$1,役男大表!$A$3:$BF$3,0)  )="榮","x",  IF(  INDEX(役男大表!$A$1:$BF$95,MATCH($A18,役男大表!$A$1:$A$97,0),   MATCH(T$1,役男大表!$A$3:$BF$3,0)  )="榮-22",  "x榮18-22",               INDEX(役男大表!$A$1:$BF$95,MATCH($A18,役男大表!$A$1:$A$97,0),   MATCH(T$1,役男大表!$A$3:$BF$3,0)  )                  )  )  )," ",""),"")</f>
        <v/>
      </c>
      <c r="U18" s="278" t="str">
        <f>_xlfn.IFNA(  SUBSTITUTE(     IF(  INDEX(役男大表!$A$1:$BF$95,MATCH($A18,役男大表!$A$1:$A$97,0),   MATCH(U$1,役男大表!$A$3:$BF$3,0)  )=0,"",  IF(  INDEX(役男大表!$A$1:$BF$95,MATCH($A18,役男大表!$A$1:$A$97,0),   MATCH(U$1,役男大表!$A$3:$BF$3,0)  )="榮","x",  IF(  INDEX(役男大表!$A$1:$BF$95,MATCH($A18,役男大表!$A$1:$A$97,0),   MATCH(U$1,役男大表!$A$3:$BF$3,0)  )="榮-22",  "x榮18-22",               INDEX(役男大表!$A$1:$BF$95,MATCH($A18,役男大表!$A$1:$A$97,0),   MATCH(U$1,役男大表!$A$3:$BF$3,0)  )                  )  )  )," ",""),"")</f>
        <v/>
      </c>
      <c r="V18" s="278" t="str">
        <f>_xlfn.IFNA(  SUBSTITUTE(     IF(  INDEX(役男大表!$A$1:$BF$95,MATCH($A18,役男大表!$A$1:$A$97,0),   MATCH(V$1,役男大表!$A$3:$BF$3,0)  )=0,"",  IF(  INDEX(役男大表!$A$1:$BF$95,MATCH($A18,役男大表!$A$1:$A$97,0),   MATCH(V$1,役男大表!$A$3:$BF$3,0)  )="榮","x",  IF(  INDEX(役男大表!$A$1:$BF$95,MATCH($A18,役男大表!$A$1:$A$97,0),   MATCH(V$1,役男大表!$A$3:$BF$3,0)  )="榮-22",  "x榮18-22",               INDEX(役男大表!$A$1:$BF$95,MATCH($A18,役男大表!$A$1:$A$97,0),   MATCH(V$1,役男大表!$A$3:$BF$3,0)  )                  )  )  )," ",""),"")</f>
        <v/>
      </c>
      <c r="W18" s="278" t="str">
        <f>_xlfn.IFNA(  SUBSTITUTE(     IF(  INDEX(役男大表!$A$1:$BF$95,MATCH($A18,役男大表!$A$1:$A$97,0),   MATCH(W$1,役男大表!$A$3:$BF$3,0)  )=0,"",  IF(  INDEX(役男大表!$A$1:$BF$95,MATCH($A18,役男大表!$A$1:$A$97,0),   MATCH(W$1,役男大表!$A$3:$BF$3,0)  )="榮","x",  IF(  INDEX(役男大表!$A$1:$BF$95,MATCH($A18,役男大表!$A$1:$A$97,0),   MATCH(W$1,役男大表!$A$3:$BF$3,0)  )="榮-22",  "x榮18-22",               INDEX(役男大表!$A$1:$BF$95,MATCH($A18,役男大表!$A$1:$A$97,0),   MATCH(W$1,役男大表!$A$3:$BF$3,0)  )                  )  )  )," ",""),"")</f>
        <v/>
      </c>
      <c r="X18" s="278" t="str">
        <f>_xlfn.IFNA(  SUBSTITUTE(     IF(  INDEX(役男大表!$A$1:$BF$95,MATCH($A18,役男大表!$A$1:$A$97,0),   MATCH(X$1,役男大表!$A$3:$BF$3,0)  )=0,"",  IF(  INDEX(役男大表!$A$1:$BF$95,MATCH($A18,役男大表!$A$1:$A$97,0),   MATCH(X$1,役男大表!$A$3:$BF$3,0)  )="榮","x",  IF(  INDEX(役男大表!$A$1:$BF$95,MATCH($A18,役男大表!$A$1:$A$97,0),   MATCH(X$1,役男大表!$A$3:$BF$3,0)  )="榮-22",  "x榮18-22",               INDEX(役男大表!$A$1:$BF$95,MATCH($A18,役男大表!$A$1:$A$97,0),   MATCH(X$1,役男大表!$A$3:$BF$3,0)  )                  )  )  )," ",""),"")</f>
        <v/>
      </c>
      <c r="Y18" s="278" t="str">
        <f>_xlfn.IFNA(  SUBSTITUTE(     IF(  INDEX(役男大表!$A$1:$BF$95,MATCH($A18,役男大表!$A$1:$A$97,0),   MATCH(Y$1,役男大表!$A$3:$BF$3,0)  )=0,"",  IF(  INDEX(役男大表!$A$1:$BF$95,MATCH($A18,役男大表!$A$1:$A$97,0),   MATCH(Y$1,役男大表!$A$3:$BF$3,0)  )="榮","x",  IF(  INDEX(役男大表!$A$1:$BF$95,MATCH($A18,役男大表!$A$1:$A$97,0),   MATCH(Y$1,役男大表!$A$3:$BF$3,0)  )="榮-22",  "x榮18-22",               INDEX(役男大表!$A$1:$BF$95,MATCH($A18,役男大表!$A$1:$A$97,0),   MATCH(Y$1,役男大表!$A$3:$BF$3,0)  )                  )  )  )," ",""),"")</f>
        <v/>
      </c>
      <c r="Z18" s="278" t="str">
        <f>_xlfn.IFNA(  SUBSTITUTE(     IF(  INDEX(役男大表!$A$1:$BF$95,MATCH($A18,役男大表!$A$1:$A$97,0),   MATCH(Z$1,役男大表!$A$3:$BF$3,0)  )=0,"",  IF(  INDEX(役男大表!$A$1:$BF$95,MATCH($A18,役男大表!$A$1:$A$97,0),   MATCH(Z$1,役男大表!$A$3:$BF$3,0)  )="榮","x",  IF(  INDEX(役男大表!$A$1:$BF$95,MATCH($A18,役男大表!$A$1:$A$97,0),   MATCH(Z$1,役男大表!$A$3:$BF$3,0)  )="榮-22",  "x榮18-22",               INDEX(役男大表!$A$1:$BF$95,MATCH($A18,役男大表!$A$1:$A$97,0),   MATCH(Z$1,役男大表!$A$3:$BF$3,0)  )                  )  )  )," ",""),"")</f>
        <v/>
      </c>
      <c r="AA18" s="278" t="str">
        <f>_xlfn.IFNA(  SUBSTITUTE(     IF(  INDEX(役男大表!$A$1:$BF$95,MATCH($A18,役男大表!$A$1:$A$97,0),   MATCH(AA$1,役男大表!$A$3:$BF$3,0)  )=0,"",  IF(  INDEX(役男大表!$A$1:$BF$95,MATCH($A18,役男大表!$A$1:$A$97,0),   MATCH(AA$1,役男大表!$A$3:$BF$3,0)  )="榮","x",  IF(  INDEX(役男大表!$A$1:$BF$95,MATCH($A18,役男大表!$A$1:$A$97,0),   MATCH(AA$1,役男大表!$A$3:$BF$3,0)  )="榮-22",  "x榮18-22",               INDEX(役男大表!$A$1:$BF$95,MATCH($A18,役男大表!$A$1:$A$97,0),   MATCH(AA$1,役男大表!$A$3:$BF$3,0)  )                  )  )  )," ",""),"")</f>
        <v/>
      </c>
      <c r="AB18" s="278" t="str">
        <f>_xlfn.IFNA(  SUBSTITUTE(     IF(  INDEX(役男大表!$A$1:$BF$95,MATCH($A18,役男大表!$A$1:$A$97,0),   MATCH(AB$1,役男大表!$A$3:$BF$3,0)  )=0,"",  IF(  INDEX(役男大表!$A$1:$BF$95,MATCH($A18,役男大表!$A$1:$A$97,0),   MATCH(AB$1,役男大表!$A$3:$BF$3,0)  )="榮","x",  IF(  INDEX(役男大表!$A$1:$BF$95,MATCH($A18,役男大表!$A$1:$A$97,0),   MATCH(AB$1,役男大表!$A$3:$BF$3,0)  )="榮-22",  "x榮18-22",               INDEX(役男大表!$A$1:$BF$95,MATCH($A18,役男大表!$A$1:$A$97,0),   MATCH(AB$1,役男大表!$A$3:$BF$3,0)  )                  )  )  )," ",""),"")</f>
        <v/>
      </c>
      <c r="AC18" s="278" t="str">
        <f>_xlfn.IFNA(  SUBSTITUTE(     IF(  INDEX(役男大表!$A$1:$BF$95,MATCH($A18,役男大表!$A$1:$A$97,0),   MATCH(AC$1,役男大表!$A$3:$BF$3,0)  )=0,"",  IF(  INDEX(役男大表!$A$1:$BF$95,MATCH($A18,役男大表!$A$1:$A$97,0),   MATCH(AC$1,役男大表!$A$3:$BF$3,0)  )="榮","x",  IF(  INDEX(役男大表!$A$1:$BF$95,MATCH($A18,役男大表!$A$1:$A$97,0),   MATCH(AC$1,役男大表!$A$3:$BF$3,0)  )="榮-22",  "x榮18-22",               INDEX(役男大表!$A$1:$BF$95,MATCH($A18,役男大表!$A$1:$A$97,0),   MATCH(AC$1,役男大表!$A$3:$BF$3,0)  )                  )  )  )," ",""),"")</f>
        <v/>
      </c>
      <c r="AD18" s="278" t="str">
        <f>_xlfn.IFNA(  SUBSTITUTE(     IF(  INDEX(役男大表!$A$1:$BF$95,MATCH($A18,役男大表!$A$1:$A$97,0),   MATCH(AD$1,役男大表!$A$3:$BF$3,0)  )=0,"",  IF(  INDEX(役男大表!$A$1:$BF$95,MATCH($A18,役男大表!$A$1:$A$97,0),   MATCH(AD$1,役男大表!$A$3:$BF$3,0)  )="榮","x",  IF(  INDEX(役男大表!$A$1:$BF$95,MATCH($A18,役男大表!$A$1:$A$97,0),   MATCH(AD$1,役男大表!$A$3:$BF$3,0)  )="榮-22",  "x榮18-22",               INDEX(役男大表!$A$1:$BF$95,MATCH($A18,役男大表!$A$1:$A$97,0),   MATCH(AD$1,役男大表!$A$3:$BF$3,0)  )                  )  )  )," ",""),"")</f>
        <v/>
      </c>
      <c r="AE18" s="278" t="str">
        <f>_xlfn.IFNA(  SUBSTITUTE(     IF(  INDEX(役男大表!$A$1:$BF$95,MATCH($A18,役男大表!$A$1:$A$97,0),   MATCH(AE$1,役男大表!$A$3:$BF$3,0)  )=0,"",  IF(  INDEX(役男大表!$A$1:$BF$95,MATCH($A18,役男大表!$A$1:$A$97,0),   MATCH(AE$1,役男大表!$A$3:$BF$3,0)  )="榮","x",  IF(  INDEX(役男大表!$A$1:$BF$95,MATCH($A18,役男大表!$A$1:$A$97,0),   MATCH(AE$1,役男大表!$A$3:$BF$3,0)  )="榮-22",  "x榮18-22",               INDEX(役男大表!$A$1:$BF$95,MATCH($A18,役男大表!$A$1:$A$97,0),   MATCH(AE$1,役男大表!$A$3:$BF$3,0)  )                  )  )  )," ",""),"")</f>
        <v/>
      </c>
      <c r="AF18" s="278" t="str">
        <f>_xlfn.IFNA(  SUBSTITUTE(     IF(  INDEX(役男大表!$A$1:$BF$95,MATCH($A18,役男大表!$A$1:$A$97,0),   MATCH(AF$1,役男大表!$A$3:$BF$3,0)  )=0,"",  IF(  INDEX(役男大表!$A$1:$BF$95,MATCH($A18,役男大表!$A$1:$A$97,0),   MATCH(AF$1,役男大表!$A$3:$BF$3,0)  )="榮","x",  IF(  INDEX(役男大表!$A$1:$BF$95,MATCH($A18,役男大表!$A$1:$A$97,0),   MATCH(AF$1,役男大表!$A$3:$BF$3,0)  )="榮-22",  "x榮18-22",               INDEX(役男大表!$A$1:$BF$95,MATCH($A18,役男大表!$A$1:$A$97,0),   MATCH(AF$1,役男大表!$A$3:$BF$3,0)  )                  )  )  )," ",""),"")</f>
        <v/>
      </c>
      <c r="AG18" s="278" t="str">
        <f>_xlfn.IFNA(  SUBSTITUTE(     IF(  INDEX(役男大表!$A$1:$BF$95,MATCH($A18,役男大表!$A$1:$A$97,0),   MATCH(AG$1,役男大表!$A$3:$BF$3,0)  )=0,"",  IF(  INDEX(役男大表!$A$1:$BF$95,MATCH($A18,役男大表!$A$1:$A$97,0),   MATCH(AG$1,役男大表!$A$3:$BF$3,0)  )="榮","x",  IF(  INDEX(役男大表!$A$1:$BF$95,MATCH($A18,役男大表!$A$1:$A$97,0),   MATCH(AG$1,役男大表!$A$3:$BF$3,0)  )="榮-22",  "x榮18-22",               INDEX(役男大表!$A$1:$BF$95,MATCH($A18,役男大表!$A$1:$A$97,0),   MATCH(AG$1,役男大表!$A$3:$BF$3,0)  )                  )  )  )," ",""),"")</f>
        <v/>
      </c>
      <c r="AH18" s="278" t="str">
        <f>_xlfn.IFNA(  SUBSTITUTE(     IF(  INDEX(役男大表!$A$1:$BF$95,MATCH($A18,役男大表!$A$1:$A$97,0),   MATCH(AH$1,役男大表!$A$3:$BF$3,0)  )=0,"",  IF(  INDEX(役男大表!$A$1:$BF$95,MATCH($A18,役男大表!$A$1:$A$97,0),   MATCH(AH$1,役男大表!$A$3:$BF$3,0)  )="榮","x",  IF(  INDEX(役男大表!$A$1:$BF$95,MATCH($A18,役男大表!$A$1:$A$97,0),   MATCH(AH$1,役男大表!$A$3:$BF$3,0)  )="榮-22",  "x榮18-22",               INDEX(役男大表!$A$1:$BF$95,MATCH($A18,役男大表!$A$1:$A$97,0),   MATCH(AH$1,役男大表!$A$3:$BF$3,0)  )                  )  )  )," ",""),"")</f>
        <v/>
      </c>
      <c r="AI18" s="278" t="str">
        <f>_xlfn.IFNA(  SUBSTITUTE(     IF(  INDEX(役男大表!$A$1:$BF$95,MATCH($A18,役男大表!$A$1:$A$97,0),   MATCH(AI$1,役男大表!$A$3:$BF$3,0)  )=0,"",  IF(  INDEX(役男大表!$A$1:$BF$95,MATCH($A18,役男大表!$A$1:$A$97,0),   MATCH(AI$1,役男大表!$A$3:$BF$3,0)  )="榮","x",  IF(  INDEX(役男大表!$A$1:$BF$95,MATCH($A18,役男大表!$A$1:$A$97,0),   MATCH(AI$1,役男大表!$A$3:$BF$3,0)  )="榮-22",  "x榮18-22",               INDEX(役男大表!$A$1:$BF$95,MATCH($A18,役男大表!$A$1:$A$97,0),   MATCH(AI$1,役男大表!$A$3:$BF$3,0)  )                  )  )  )," ",""),"")</f>
        <v/>
      </c>
      <c r="AJ18" s="278" t="str">
        <f>_xlfn.IFNA(  SUBSTITUTE(     IF(  INDEX(役男大表!$A$1:$BF$95,MATCH($A18,役男大表!$A$1:$A$97,0),   MATCH(AJ$1,役男大表!$A$3:$BF$3,0)  )=0,"",  IF(  INDEX(役男大表!$A$1:$BF$95,MATCH($A18,役男大表!$A$1:$A$97,0),   MATCH(AJ$1,役男大表!$A$3:$BF$3,0)  )="榮","x",  IF(  INDEX(役男大表!$A$1:$BF$95,MATCH($A18,役男大表!$A$1:$A$97,0),   MATCH(AJ$1,役男大表!$A$3:$BF$3,0)  )="榮-22",  "x榮18-22",               INDEX(役男大表!$A$1:$BF$95,MATCH($A18,役男大表!$A$1:$A$97,0),   MATCH(AJ$1,役男大表!$A$3:$BF$3,0)  )                  )  )  )," ",""),"")</f>
        <v/>
      </c>
      <c r="AM18" s="66">
        <f t="shared" si="1"/>
        <v>17</v>
      </c>
      <c r="AN18" s="66" t="str">
        <f t="shared" si="2"/>
        <v>周承澔</v>
      </c>
      <c r="AO18" s="71" t="str">
        <f>IF(  AND(  INDEX(   $A$42:$AJ$79, MATCH(AM18,$A$42:$A$79,0),MATCH(  日期輸入!$C$3,$A$42:$AL$42,0  )  )="全日勤",  AV18="免"  ),  "全日勤免勤教",  IF(  AND(  INDEX(   $A$42:$AJ$79, MATCH(AM18,$A$42:$A$79,0),MATCH(  日期輸入!$C$3,$A$42:$AL$42,0  )  )="18放",  AV18="免"  ),  "18放早走",  INDEX(   $A$42:$AJ$79, MATCH(AM18,$A$42:$A$79,0),MATCH(  日期輸入!$C$3,$A$42:$AL$42,0  )  )  )  )</f>
        <v>全日勤</v>
      </c>
      <c r="AP18" s="66" t="str">
        <f>_xlfn.IFNA(IF((ROW(AP18)-1)&lt;=暫1!$B$2,IF(VALUE($AM18)=暫1!B$3,"家因",IF(VALUE($AM18)=暫1!C$3,"家因",IF(VALUE($AM18)=暫1!D$3,"家因",IF(VALUE($AM18)=暫1!E$3,"家因",IF(VALUE($AM18)=暫1!F$3,"家因",IF(VALUE($AM18)=暫1!G$3,"家因",IF(VALUE($AM18)=暫1!H$3,"家因",IF(VALUE($AM18)=暫1!I$3,"家因",IF(VALUE($AM18)=暫1!J$3,"家因",IF(VALUE($AM18)=暫1!K$3,"家因",IF(VALUE($AM18)=暫1!L$3,"家因",IF(VALUE($AM18)=暫1!M$3,"家因",IF(VALUE($AM18)=暫1!N$3,"家因",IF(VALUE($AM18)=暫1!O$3,"家因",IF(VALUE($AM18)=暫1!P$3,"家因",IF(VALUE($AM18)=暫1!Q$3,"家因",IF(VALUE($AM18)=暫1!R$3,"家因",IF(VALUE($AM18)=暫1!S$3,"家因",IF(VALUE($AM18)=暫1!T$3,"家因",IF(VALUE($AM18)=暫1!U$3,"家因","")))))))))))))))))))),""),"")</f>
        <v/>
      </c>
      <c r="AQ18" s="66" t="str">
        <f>IF((ROW(AQ18)-1)&lt;=暫1!$B$2,_xlfn.IFNA(IF(INDEX($A$1:$AJ$41,MATCH($AN18,$B$1:$B$101,0),VALUE($AQ$1+3))="成","補",INDEX($A$1:$AJ$41,MATCH($AN18,$B$1:$B$101,0),VALUE($AQ$1+3))),""),"")</f>
        <v/>
      </c>
      <c r="AR18" s="66" t="str">
        <f>IF((ROW(AR18)-1)&lt;=暫1!$B$2,_xlfn.IFNA(IF(INDEX($A$1:$AJ$41,MATCH($AN18,$B$1:$B$101,0),VALUE($AR$1+3))="成","補",INDEX($A$1:$AJ$41,MATCH($AN18,$B$1:$B$101,0),VALUE($AR$1+3))),""),"")</f>
        <v/>
      </c>
      <c r="AS18" s="66" t="str">
        <f>IF((ROW(AS18)-1)&lt;=暫1!$B$2,_xlfn.IFNA(IF(INDEX($A$1:$AJ$41,MATCH($AN18,$B$1:$B$101,0),VALUE($AS$1+3))="成","補",INDEX($A$1:$AJ$41,MATCH($AN18,$B$1:$B$101,0),VALUE($AS$1+3))),""),"")</f>
        <v/>
      </c>
      <c r="AT18" s="66" t="str">
        <f>IF(  OR(  LEN(  INDEX(   $A$1:$AJ$39, MATCH(AM18,$A$1:$A$39,0),MATCH(  日期輸入!$C$3,$A$1:$AP$1,0  )  )  )&gt;LEN(  SUBSTITUTE(  INDEX(   $A$1:$AJ$39, MATCH(AM18,$A$1:$A$39,0),MATCH(  日期輸入!$C$3,$A$1:$AP$1,0  )  ),"榮","")  )  ),   SUBSTITUTE(  SUBSTITUTE(  INDEX(   $A$1:$AJ$39, MATCH(AM18,$A$1:$A$39,0),MATCH(  日期輸入!$C$3,$A$1:$AP$1,0  )  ),"榮",""),"x",""), "")</f>
        <v/>
      </c>
      <c r="AU18" s="66" t="str">
        <f t="shared" si="3"/>
        <v/>
      </c>
      <c r="AV18" s="66" t="str">
        <f>INDEX(   $A$482:$AJ$519, MATCH(AM18,$A$482:$A$519,0),MATCH(  日期輸入!$C$3,$A$482:$AL$482,0  )  )</f>
        <v/>
      </c>
      <c r="AX18" s="66" t="str">
        <f>IFERROR(IF((ROW(AX18)-1)&lt;=暫1!$B$2,SUBSTITUTE(IF($AO18=$AX$1,$AM18,"")," ",""),""),"")</f>
        <v/>
      </c>
      <c r="AY18" s="66" t="str">
        <f>IFERROR(IF((ROW(AY18)-1)&lt;=暫1!$B$2,SUBSTITUTE(IF($AO18=$AY$1,$AM18,"")," ",""),""),"")</f>
        <v/>
      </c>
      <c r="AZ18" s="66" t="str">
        <f>IFERROR(IF((ROW(AZ18)-1)&lt;=暫1!$B$2,SUBSTITUTE(IF($AO18=$AZ$1,$AM18,"")," ",""),""),"")</f>
        <v/>
      </c>
      <c r="BA18" s="66" t="str">
        <f>IFERROR(IF((ROW(BA18)-1)&lt;=暫1!$B$2,SUBSTITUTE(IF($AO18=$BA$1,$AM18,"")," ",""),""),"")</f>
        <v/>
      </c>
      <c r="BB18" s="69" t="str">
        <f>IFERROR(IF((ROW(BB18)-1)&lt;=暫1!$B$2,SUBSTITUTE(IF(OR($AO18=$BB$1,$AO18=$AY$1,$AO18=$AZ$1),$AM18,IF($AO18=$AY$1,$AM18,"")),"",""),""),"")</f>
        <v>17</v>
      </c>
      <c r="BC18" s="69" t="str">
        <f>IF(    AND(LEN(BC17)&gt;=2 ),        "、" &amp;  IF(OR(役男人力!$J$2:$J$84="是"),役男人力!$B18,""),  IF(OR(役男人力!$J$2:$J$84="是"),役男人力!$B18,"")  )</f>
        <v>、周承澔</v>
      </c>
      <c r="BG18" s="97" t="s">
        <v>136</v>
      </c>
    </row>
    <row r="19" spans="1:59" ht="25.5" customHeight="1" thickBot="1">
      <c r="A19" s="278">
        <v>18</v>
      </c>
      <c r="B19" s="278" t="str">
        <f>_xlfn.IFNA(  INDEX(役男大表!$A$1:$BF$95,MATCH(A19,役男大表!$A$1:$A$97,0),2),"")</f>
        <v>蔡政倫</v>
      </c>
      <c r="C19" s="278" t="str">
        <f>_xlfn.IFNA(  SUBSTITUTE(     IF(  INDEX(役男大表!$A$1:$BF$95,MATCH($A19,役男大表!$A$1:$A$97,0),   MATCH(C$1,役男大表!$A$3:$BF$3,0)  )=0,"",  IF(  INDEX(役男大表!$A$1:$BF$95,MATCH($A19,役男大表!$A$1:$A$97,0),   MATCH(C$1,役男大表!$A$3:$BF$3,0)  )="榮","x",  IF(  INDEX(役男大表!$A$1:$BF$95,MATCH($A19,役男大表!$A$1:$A$97,0),   MATCH(C$1,役男大表!$A$3:$BF$3,0)  )="榮-22",  "x榮18-22",               INDEX(役男大表!$A$1:$BF$95,MATCH($A19,役男大表!$A$1:$A$97,0),   MATCH(C$1,役男大表!$A$3:$BF$3,0)  )                  )  )  )," ",""),"")</f>
        <v/>
      </c>
      <c r="D19" s="278" t="str">
        <f>_xlfn.IFNA(  SUBSTITUTE(     IF(  INDEX(役男大表!$A$1:$BF$95,MATCH($A19,役男大表!$A$1:$A$97,0),   MATCH(D$1,役男大表!$A$3:$BF$3,0)  )=0,"",  IF(  INDEX(役男大表!$A$1:$BF$95,MATCH($A19,役男大表!$A$1:$A$97,0),   MATCH(D$1,役男大表!$A$3:$BF$3,0)  )="榮","x",  IF(  INDEX(役男大表!$A$1:$BF$95,MATCH($A19,役男大表!$A$1:$A$97,0),   MATCH(D$1,役男大表!$A$3:$BF$3,0)  )="榮-22",  "x榮18-22",               INDEX(役男大表!$A$1:$BF$95,MATCH($A19,役男大表!$A$1:$A$97,0),   MATCH(D$1,役男大表!$A$3:$BF$3,0)  )                  )  )  )," ",""),"")</f>
        <v/>
      </c>
      <c r="E19" s="278" t="str">
        <f>_xlfn.IFNA(  SUBSTITUTE(     IF(  INDEX(役男大表!$A$1:$BF$95,MATCH($A19,役男大表!$A$1:$A$97,0),   MATCH(E$1,役男大表!$A$3:$BF$3,0)  )=0,"",  IF(  INDEX(役男大表!$A$1:$BF$95,MATCH($A19,役男大表!$A$1:$A$97,0),   MATCH(E$1,役男大表!$A$3:$BF$3,0)  )="榮","x",  IF(  INDEX(役男大表!$A$1:$BF$95,MATCH($A19,役男大表!$A$1:$A$97,0),   MATCH(E$1,役男大表!$A$3:$BF$3,0)  )="榮-22",  "x榮18-22",               INDEX(役男大表!$A$1:$BF$95,MATCH($A19,役男大表!$A$1:$A$97,0),   MATCH(E$1,役男大表!$A$3:$BF$3,0)  )                  )  )  )," ",""),"")</f>
        <v/>
      </c>
      <c r="F19" s="278" t="str">
        <f>_xlfn.IFNA(  SUBSTITUTE(     IF(  INDEX(役男大表!$A$1:$BF$95,MATCH($A19,役男大表!$A$1:$A$97,0),   MATCH(F$1,役男大表!$A$3:$BF$3,0)  )=0,"",  IF(  INDEX(役男大表!$A$1:$BF$95,MATCH($A19,役男大表!$A$1:$A$97,0),   MATCH(F$1,役男大表!$A$3:$BF$3,0)  )="榮","x",  IF(  INDEX(役男大表!$A$1:$BF$95,MATCH($A19,役男大表!$A$1:$A$97,0),   MATCH(F$1,役男大表!$A$3:$BF$3,0)  )="榮-22",  "x榮18-22",               INDEX(役男大表!$A$1:$BF$95,MATCH($A19,役男大表!$A$1:$A$97,0),   MATCH(F$1,役男大表!$A$3:$BF$3,0)  )                  )  )  )," ",""),"")</f>
        <v/>
      </c>
      <c r="G19" s="278" t="str">
        <f>_xlfn.IFNA(  SUBSTITUTE(     IF(  INDEX(役男大表!$A$1:$BF$95,MATCH($A19,役男大表!$A$1:$A$97,0),   MATCH(G$1,役男大表!$A$3:$BF$3,0)  )=0,"",  IF(  INDEX(役男大表!$A$1:$BF$95,MATCH($A19,役男大表!$A$1:$A$97,0),   MATCH(G$1,役男大表!$A$3:$BF$3,0)  )="榮","x",  IF(  INDEX(役男大表!$A$1:$BF$95,MATCH($A19,役男大表!$A$1:$A$97,0),   MATCH(G$1,役男大表!$A$3:$BF$3,0)  )="榮-22",  "x榮18-22",               INDEX(役男大表!$A$1:$BF$95,MATCH($A19,役男大表!$A$1:$A$97,0),   MATCH(G$1,役男大表!$A$3:$BF$3,0)  )                  )  )  )," ",""),"")</f>
        <v/>
      </c>
      <c r="H19" s="278" t="str">
        <f>_xlfn.IFNA(  SUBSTITUTE(     IF(  INDEX(役男大表!$A$1:$BF$95,MATCH($A19,役男大表!$A$1:$A$97,0),   MATCH(H$1,役男大表!$A$3:$BF$3,0)  )=0,"",  IF(  INDEX(役男大表!$A$1:$BF$95,MATCH($A19,役男大表!$A$1:$A$97,0),   MATCH(H$1,役男大表!$A$3:$BF$3,0)  )="榮","x",  IF(  INDEX(役男大表!$A$1:$BF$95,MATCH($A19,役男大表!$A$1:$A$97,0),   MATCH(H$1,役男大表!$A$3:$BF$3,0)  )="榮-22",  "x榮18-22",               INDEX(役男大表!$A$1:$BF$95,MATCH($A19,役男大表!$A$1:$A$97,0),   MATCH(H$1,役男大表!$A$3:$BF$3,0)  )                  )  )  )," ",""),"")</f>
        <v/>
      </c>
      <c r="I19" s="278" t="str">
        <f>_xlfn.IFNA(  SUBSTITUTE(     IF(  INDEX(役男大表!$A$1:$BF$95,MATCH($A19,役男大表!$A$1:$A$97,0),   MATCH(I$1,役男大表!$A$3:$BF$3,0)  )=0,"",  IF(  INDEX(役男大表!$A$1:$BF$95,MATCH($A19,役男大表!$A$1:$A$97,0),   MATCH(I$1,役男大表!$A$3:$BF$3,0)  )="榮","x",  IF(  INDEX(役男大表!$A$1:$BF$95,MATCH($A19,役男大表!$A$1:$A$97,0),   MATCH(I$1,役男大表!$A$3:$BF$3,0)  )="榮-22",  "x榮18-22",               INDEX(役男大表!$A$1:$BF$95,MATCH($A19,役男大表!$A$1:$A$97,0),   MATCH(I$1,役男大表!$A$3:$BF$3,0)  )                  )  )  )," ",""),"")</f>
        <v/>
      </c>
      <c r="J19" s="278" t="str">
        <f>_xlfn.IFNA(  SUBSTITUTE(     IF(  INDEX(役男大表!$A$1:$BF$95,MATCH($A19,役男大表!$A$1:$A$97,0),   MATCH(J$1,役男大表!$A$3:$BF$3,0)  )=0,"",  IF(  INDEX(役男大表!$A$1:$BF$95,MATCH($A19,役男大表!$A$1:$A$97,0),   MATCH(J$1,役男大表!$A$3:$BF$3,0)  )="榮","x",  IF(  INDEX(役男大表!$A$1:$BF$95,MATCH($A19,役男大表!$A$1:$A$97,0),   MATCH(J$1,役男大表!$A$3:$BF$3,0)  )="榮-22",  "x榮18-22",               INDEX(役男大表!$A$1:$BF$95,MATCH($A19,役男大表!$A$1:$A$97,0),   MATCH(J$1,役男大表!$A$3:$BF$3,0)  )                  )  )  )," ",""),"")</f>
        <v/>
      </c>
      <c r="K19" s="278" t="str">
        <f>_xlfn.IFNA(  SUBSTITUTE(     IF(  INDEX(役男大表!$A$1:$BF$95,MATCH($A19,役男大表!$A$1:$A$97,0),   MATCH(K$1,役男大表!$A$3:$BF$3,0)  )=0,"",  IF(  INDEX(役男大表!$A$1:$BF$95,MATCH($A19,役男大表!$A$1:$A$97,0),   MATCH(K$1,役男大表!$A$3:$BF$3,0)  )="榮","x",  IF(  INDEX(役男大表!$A$1:$BF$95,MATCH($A19,役男大表!$A$1:$A$97,0),   MATCH(K$1,役男大表!$A$3:$BF$3,0)  )="榮-22",  "x榮18-22",               INDEX(役男大表!$A$1:$BF$95,MATCH($A19,役男大表!$A$1:$A$97,0),   MATCH(K$1,役男大表!$A$3:$BF$3,0)  )                  )  )  )," ",""),"")</f>
        <v/>
      </c>
      <c r="L19" s="278" t="str">
        <f>_xlfn.IFNA(  SUBSTITUTE(     IF(  INDEX(役男大表!$A$1:$BF$95,MATCH($A19,役男大表!$A$1:$A$97,0),   MATCH(L$1,役男大表!$A$3:$BF$3,0)  )=0,"",  IF(  INDEX(役男大表!$A$1:$BF$95,MATCH($A19,役男大表!$A$1:$A$97,0),   MATCH(L$1,役男大表!$A$3:$BF$3,0)  )="榮","x",  IF(  INDEX(役男大表!$A$1:$BF$95,MATCH($A19,役男大表!$A$1:$A$97,0),   MATCH(L$1,役男大表!$A$3:$BF$3,0)  )="榮-22",  "x榮18-22",               INDEX(役男大表!$A$1:$BF$95,MATCH($A19,役男大表!$A$1:$A$97,0),   MATCH(L$1,役男大表!$A$3:$BF$3,0)  )                  )  )  )," ",""),"")</f>
        <v/>
      </c>
      <c r="M19" s="278" t="str">
        <f>_xlfn.IFNA(  SUBSTITUTE(     IF(  INDEX(役男大表!$A$1:$BF$95,MATCH($A19,役男大表!$A$1:$A$97,0),   MATCH(M$1,役男大表!$A$3:$BF$3,0)  )=0,"",  IF(  INDEX(役男大表!$A$1:$BF$95,MATCH($A19,役男大表!$A$1:$A$97,0),   MATCH(M$1,役男大表!$A$3:$BF$3,0)  )="榮","x",  IF(  INDEX(役男大表!$A$1:$BF$95,MATCH($A19,役男大表!$A$1:$A$97,0),   MATCH(M$1,役男大表!$A$3:$BF$3,0)  )="榮-22",  "x榮18-22",               INDEX(役男大表!$A$1:$BF$95,MATCH($A19,役男大表!$A$1:$A$97,0),   MATCH(M$1,役男大表!$A$3:$BF$3,0)  )                  )  )  )," ",""),"")</f>
        <v/>
      </c>
      <c r="N19" s="278" t="str">
        <f>_xlfn.IFNA(  SUBSTITUTE(     IF(  INDEX(役男大表!$A$1:$BF$95,MATCH($A19,役男大表!$A$1:$A$97,0),   MATCH(N$1,役男大表!$A$3:$BF$3,0)  )=0,"",  IF(  INDEX(役男大表!$A$1:$BF$95,MATCH($A19,役男大表!$A$1:$A$97,0),   MATCH(N$1,役男大表!$A$3:$BF$3,0)  )="榮","x",  IF(  INDEX(役男大表!$A$1:$BF$95,MATCH($A19,役男大表!$A$1:$A$97,0),   MATCH(N$1,役男大表!$A$3:$BF$3,0)  )="榮-22",  "x榮18-22",               INDEX(役男大表!$A$1:$BF$95,MATCH($A19,役男大表!$A$1:$A$97,0),   MATCH(N$1,役男大表!$A$3:$BF$3,0)  )                  )  )  )," ",""),"")</f>
        <v/>
      </c>
      <c r="O19" s="278" t="str">
        <f>_xlfn.IFNA(  SUBSTITUTE(     IF(  INDEX(役男大表!$A$1:$BF$95,MATCH($A19,役男大表!$A$1:$A$97,0),   MATCH(O$1,役男大表!$A$3:$BF$3,0)  )=0,"",  IF(  INDEX(役男大表!$A$1:$BF$95,MATCH($A19,役男大表!$A$1:$A$97,0),   MATCH(O$1,役男大表!$A$3:$BF$3,0)  )="榮","x",  IF(  INDEX(役男大表!$A$1:$BF$95,MATCH($A19,役男大表!$A$1:$A$97,0),   MATCH(O$1,役男大表!$A$3:$BF$3,0)  )="榮-22",  "x榮18-22",               INDEX(役男大表!$A$1:$BF$95,MATCH($A19,役男大表!$A$1:$A$97,0),   MATCH(O$1,役男大表!$A$3:$BF$3,0)  )                  )  )  )," ",""),"")</f>
        <v/>
      </c>
      <c r="P19" s="278" t="str">
        <f>_xlfn.IFNA(  SUBSTITUTE(     IF(  INDEX(役男大表!$A$1:$BF$95,MATCH($A19,役男大表!$A$1:$A$97,0),   MATCH(P$1,役男大表!$A$3:$BF$3,0)  )=0,"",  IF(  INDEX(役男大表!$A$1:$BF$95,MATCH($A19,役男大表!$A$1:$A$97,0),   MATCH(P$1,役男大表!$A$3:$BF$3,0)  )="榮","x",  IF(  INDEX(役男大表!$A$1:$BF$95,MATCH($A19,役男大表!$A$1:$A$97,0),   MATCH(P$1,役男大表!$A$3:$BF$3,0)  )="榮-22",  "x榮18-22",               INDEX(役男大表!$A$1:$BF$95,MATCH($A19,役男大表!$A$1:$A$97,0),   MATCH(P$1,役男大表!$A$3:$BF$3,0)  )                  )  )  )," ",""),"")</f>
        <v/>
      </c>
      <c r="Q19" s="278" t="str">
        <f>_xlfn.IFNA(  SUBSTITUTE(     IF(  INDEX(役男大表!$A$1:$BF$95,MATCH($A19,役男大表!$A$1:$A$97,0),   MATCH(Q$1,役男大表!$A$3:$BF$3,0)  )=0,"",  IF(  INDEX(役男大表!$A$1:$BF$95,MATCH($A19,役男大表!$A$1:$A$97,0),   MATCH(Q$1,役男大表!$A$3:$BF$3,0)  )="榮","x",  IF(  INDEX(役男大表!$A$1:$BF$95,MATCH($A19,役男大表!$A$1:$A$97,0),   MATCH(Q$1,役男大表!$A$3:$BF$3,0)  )="榮-22",  "x榮18-22",               INDEX(役男大表!$A$1:$BF$95,MATCH($A19,役男大表!$A$1:$A$97,0),   MATCH(Q$1,役男大表!$A$3:$BF$3,0)  )                  )  )  )," ",""),"")</f>
        <v/>
      </c>
      <c r="R19" s="278" t="str">
        <f>_xlfn.IFNA(  SUBSTITUTE(     IF(  INDEX(役男大表!$A$1:$BF$95,MATCH($A19,役男大表!$A$1:$A$97,0),   MATCH(R$1,役男大表!$A$3:$BF$3,0)  )=0,"",  IF(  INDEX(役男大表!$A$1:$BF$95,MATCH($A19,役男大表!$A$1:$A$97,0),   MATCH(R$1,役男大表!$A$3:$BF$3,0)  )="榮","x",  IF(  INDEX(役男大表!$A$1:$BF$95,MATCH($A19,役男大表!$A$1:$A$97,0),   MATCH(R$1,役男大表!$A$3:$BF$3,0)  )="榮-22",  "x榮18-22",               INDEX(役男大表!$A$1:$BF$95,MATCH($A19,役男大表!$A$1:$A$97,0),   MATCH(R$1,役男大表!$A$3:$BF$3,0)  )                  )  )  )," ",""),"")</f>
        <v/>
      </c>
      <c r="S19" s="278" t="str">
        <f>_xlfn.IFNA(  SUBSTITUTE(     IF(  INDEX(役男大表!$A$1:$BF$95,MATCH($A19,役男大表!$A$1:$A$97,0),   MATCH(S$1,役男大表!$A$3:$BF$3,0)  )=0,"",  IF(  INDEX(役男大表!$A$1:$BF$95,MATCH($A19,役男大表!$A$1:$A$97,0),   MATCH(S$1,役男大表!$A$3:$BF$3,0)  )="榮","x",  IF(  INDEX(役男大表!$A$1:$BF$95,MATCH($A19,役男大表!$A$1:$A$97,0),   MATCH(S$1,役男大表!$A$3:$BF$3,0)  )="榮-22",  "x榮18-22",               INDEX(役男大表!$A$1:$BF$95,MATCH($A19,役男大表!$A$1:$A$97,0),   MATCH(S$1,役男大表!$A$3:$BF$3,0)  )                  )  )  )," ",""),"")</f>
        <v/>
      </c>
      <c r="T19" s="278" t="str">
        <f>_xlfn.IFNA(  SUBSTITUTE(     IF(  INDEX(役男大表!$A$1:$BF$95,MATCH($A19,役男大表!$A$1:$A$97,0),   MATCH(T$1,役男大表!$A$3:$BF$3,0)  )=0,"",  IF(  INDEX(役男大表!$A$1:$BF$95,MATCH($A19,役男大表!$A$1:$A$97,0),   MATCH(T$1,役男大表!$A$3:$BF$3,0)  )="榮","x",  IF(  INDEX(役男大表!$A$1:$BF$95,MATCH($A19,役男大表!$A$1:$A$97,0),   MATCH(T$1,役男大表!$A$3:$BF$3,0)  )="榮-22",  "x榮18-22",               INDEX(役男大表!$A$1:$BF$95,MATCH($A19,役男大表!$A$1:$A$97,0),   MATCH(T$1,役男大表!$A$3:$BF$3,0)  )                  )  )  )," ",""),"")</f>
        <v/>
      </c>
      <c r="U19" s="278" t="str">
        <f>_xlfn.IFNA(  SUBSTITUTE(     IF(  INDEX(役男大表!$A$1:$BF$95,MATCH($A19,役男大表!$A$1:$A$97,0),   MATCH(U$1,役男大表!$A$3:$BF$3,0)  )=0,"",  IF(  INDEX(役男大表!$A$1:$BF$95,MATCH($A19,役男大表!$A$1:$A$97,0),   MATCH(U$1,役男大表!$A$3:$BF$3,0)  )="榮","x",  IF(  INDEX(役男大表!$A$1:$BF$95,MATCH($A19,役男大表!$A$1:$A$97,0),   MATCH(U$1,役男大表!$A$3:$BF$3,0)  )="榮-22",  "x榮18-22",               INDEX(役男大表!$A$1:$BF$95,MATCH($A19,役男大表!$A$1:$A$97,0),   MATCH(U$1,役男大表!$A$3:$BF$3,0)  )                  )  )  )," ",""),"")</f>
        <v/>
      </c>
      <c r="V19" s="278" t="str">
        <f>_xlfn.IFNA(  SUBSTITUTE(     IF(  INDEX(役男大表!$A$1:$BF$95,MATCH($A19,役男大表!$A$1:$A$97,0),   MATCH(V$1,役男大表!$A$3:$BF$3,0)  )=0,"",  IF(  INDEX(役男大表!$A$1:$BF$95,MATCH($A19,役男大表!$A$1:$A$97,0),   MATCH(V$1,役男大表!$A$3:$BF$3,0)  )="榮","x",  IF(  INDEX(役男大表!$A$1:$BF$95,MATCH($A19,役男大表!$A$1:$A$97,0),   MATCH(V$1,役男大表!$A$3:$BF$3,0)  )="榮-22",  "x榮18-22",               INDEX(役男大表!$A$1:$BF$95,MATCH($A19,役男大表!$A$1:$A$97,0),   MATCH(V$1,役男大表!$A$3:$BF$3,0)  )                  )  )  )," ",""),"")</f>
        <v/>
      </c>
      <c r="W19" s="278" t="str">
        <f>_xlfn.IFNA(  SUBSTITUTE(     IF(  INDEX(役男大表!$A$1:$BF$95,MATCH($A19,役男大表!$A$1:$A$97,0),   MATCH(W$1,役男大表!$A$3:$BF$3,0)  )=0,"",  IF(  INDEX(役男大表!$A$1:$BF$95,MATCH($A19,役男大表!$A$1:$A$97,0),   MATCH(W$1,役男大表!$A$3:$BF$3,0)  )="榮","x",  IF(  INDEX(役男大表!$A$1:$BF$95,MATCH($A19,役男大表!$A$1:$A$97,0),   MATCH(W$1,役男大表!$A$3:$BF$3,0)  )="榮-22",  "x榮18-22",               INDEX(役男大表!$A$1:$BF$95,MATCH($A19,役男大表!$A$1:$A$97,0),   MATCH(W$1,役男大表!$A$3:$BF$3,0)  )                  )  )  )," ",""),"")</f>
        <v/>
      </c>
      <c r="X19" s="278" t="str">
        <f>_xlfn.IFNA(  SUBSTITUTE(     IF(  INDEX(役男大表!$A$1:$BF$95,MATCH($A19,役男大表!$A$1:$A$97,0),   MATCH(X$1,役男大表!$A$3:$BF$3,0)  )=0,"",  IF(  INDEX(役男大表!$A$1:$BF$95,MATCH($A19,役男大表!$A$1:$A$97,0),   MATCH(X$1,役男大表!$A$3:$BF$3,0)  )="榮","x",  IF(  INDEX(役男大表!$A$1:$BF$95,MATCH($A19,役男大表!$A$1:$A$97,0),   MATCH(X$1,役男大表!$A$3:$BF$3,0)  )="榮-22",  "x榮18-22",               INDEX(役男大表!$A$1:$BF$95,MATCH($A19,役男大表!$A$1:$A$97,0),   MATCH(X$1,役男大表!$A$3:$BF$3,0)  )                  )  )  )," ",""),"")</f>
        <v/>
      </c>
      <c r="Y19" s="278" t="str">
        <f>_xlfn.IFNA(  SUBSTITUTE(     IF(  INDEX(役男大表!$A$1:$BF$95,MATCH($A19,役男大表!$A$1:$A$97,0),   MATCH(Y$1,役男大表!$A$3:$BF$3,0)  )=0,"",  IF(  INDEX(役男大表!$A$1:$BF$95,MATCH($A19,役男大表!$A$1:$A$97,0),   MATCH(Y$1,役男大表!$A$3:$BF$3,0)  )="榮","x",  IF(  INDEX(役男大表!$A$1:$BF$95,MATCH($A19,役男大表!$A$1:$A$97,0),   MATCH(Y$1,役男大表!$A$3:$BF$3,0)  )="榮-22",  "x榮18-22",               INDEX(役男大表!$A$1:$BF$95,MATCH($A19,役男大表!$A$1:$A$97,0),   MATCH(Y$1,役男大表!$A$3:$BF$3,0)  )                  )  )  )," ",""),"")</f>
        <v/>
      </c>
      <c r="Z19" s="278" t="str">
        <f>_xlfn.IFNA(  SUBSTITUTE(     IF(  INDEX(役男大表!$A$1:$BF$95,MATCH($A19,役男大表!$A$1:$A$97,0),   MATCH(Z$1,役男大表!$A$3:$BF$3,0)  )=0,"",  IF(  INDEX(役男大表!$A$1:$BF$95,MATCH($A19,役男大表!$A$1:$A$97,0),   MATCH(Z$1,役男大表!$A$3:$BF$3,0)  )="榮","x",  IF(  INDEX(役男大表!$A$1:$BF$95,MATCH($A19,役男大表!$A$1:$A$97,0),   MATCH(Z$1,役男大表!$A$3:$BF$3,0)  )="榮-22",  "x榮18-22",               INDEX(役男大表!$A$1:$BF$95,MATCH($A19,役男大表!$A$1:$A$97,0),   MATCH(Z$1,役男大表!$A$3:$BF$3,0)  )                  )  )  )," ",""),"")</f>
        <v/>
      </c>
      <c r="AA19" s="278" t="str">
        <f>_xlfn.IFNA(  SUBSTITUTE(     IF(  INDEX(役男大表!$A$1:$BF$95,MATCH($A19,役男大表!$A$1:$A$97,0),   MATCH(AA$1,役男大表!$A$3:$BF$3,0)  )=0,"",  IF(  INDEX(役男大表!$A$1:$BF$95,MATCH($A19,役男大表!$A$1:$A$97,0),   MATCH(AA$1,役男大表!$A$3:$BF$3,0)  )="榮","x",  IF(  INDEX(役男大表!$A$1:$BF$95,MATCH($A19,役男大表!$A$1:$A$97,0),   MATCH(AA$1,役男大表!$A$3:$BF$3,0)  )="榮-22",  "x榮18-22",               INDEX(役男大表!$A$1:$BF$95,MATCH($A19,役男大表!$A$1:$A$97,0),   MATCH(AA$1,役男大表!$A$3:$BF$3,0)  )                  )  )  )," ",""),"")</f>
        <v/>
      </c>
      <c r="AB19" s="278" t="str">
        <f>_xlfn.IFNA(  SUBSTITUTE(     IF(  INDEX(役男大表!$A$1:$BF$95,MATCH($A19,役男大表!$A$1:$A$97,0),   MATCH(AB$1,役男大表!$A$3:$BF$3,0)  )=0,"",  IF(  INDEX(役男大表!$A$1:$BF$95,MATCH($A19,役男大表!$A$1:$A$97,0),   MATCH(AB$1,役男大表!$A$3:$BF$3,0)  )="榮","x",  IF(  INDEX(役男大表!$A$1:$BF$95,MATCH($A19,役男大表!$A$1:$A$97,0),   MATCH(AB$1,役男大表!$A$3:$BF$3,0)  )="榮-22",  "x榮18-22",               INDEX(役男大表!$A$1:$BF$95,MATCH($A19,役男大表!$A$1:$A$97,0),   MATCH(AB$1,役男大表!$A$3:$BF$3,0)  )                  )  )  )," ",""),"")</f>
        <v/>
      </c>
      <c r="AC19" s="278" t="str">
        <f>_xlfn.IFNA(  SUBSTITUTE(     IF(  INDEX(役男大表!$A$1:$BF$95,MATCH($A19,役男大表!$A$1:$A$97,0),   MATCH(AC$1,役男大表!$A$3:$BF$3,0)  )=0,"",  IF(  INDEX(役男大表!$A$1:$BF$95,MATCH($A19,役男大表!$A$1:$A$97,0),   MATCH(AC$1,役男大表!$A$3:$BF$3,0)  )="榮","x",  IF(  INDEX(役男大表!$A$1:$BF$95,MATCH($A19,役男大表!$A$1:$A$97,0),   MATCH(AC$1,役男大表!$A$3:$BF$3,0)  )="榮-22",  "x榮18-22",               INDEX(役男大表!$A$1:$BF$95,MATCH($A19,役男大表!$A$1:$A$97,0),   MATCH(AC$1,役男大表!$A$3:$BF$3,0)  )                  )  )  )," ",""),"")</f>
        <v/>
      </c>
      <c r="AD19" s="278" t="str">
        <f>_xlfn.IFNA(  SUBSTITUTE(     IF(  INDEX(役男大表!$A$1:$BF$95,MATCH($A19,役男大表!$A$1:$A$97,0),   MATCH(AD$1,役男大表!$A$3:$BF$3,0)  )=0,"",  IF(  INDEX(役男大表!$A$1:$BF$95,MATCH($A19,役男大表!$A$1:$A$97,0),   MATCH(AD$1,役男大表!$A$3:$BF$3,0)  )="榮","x",  IF(  INDEX(役男大表!$A$1:$BF$95,MATCH($A19,役男大表!$A$1:$A$97,0),   MATCH(AD$1,役男大表!$A$3:$BF$3,0)  )="榮-22",  "x榮18-22",               INDEX(役男大表!$A$1:$BF$95,MATCH($A19,役男大表!$A$1:$A$97,0),   MATCH(AD$1,役男大表!$A$3:$BF$3,0)  )                  )  )  )," ",""),"")</f>
        <v/>
      </c>
      <c r="AE19" s="278" t="str">
        <f>_xlfn.IFNA(  SUBSTITUTE(     IF(  INDEX(役男大表!$A$1:$BF$95,MATCH($A19,役男大表!$A$1:$A$97,0),   MATCH(AE$1,役男大表!$A$3:$BF$3,0)  )=0,"",  IF(  INDEX(役男大表!$A$1:$BF$95,MATCH($A19,役男大表!$A$1:$A$97,0),   MATCH(AE$1,役男大表!$A$3:$BF$3,0)  )="榮","x",  IF(  INDEX(役男大表!$A$1:$BF$95,MATCH($A19,役男大表!$A$1:$A$97,0),   MATCH(AE$1,役男大表!$A$3:$BF$3,0)  )="榮-22",  "x榮18-22",               INDEX(役男大表!$A$1:$BF$95,MATCH($A19,役男大表!$A$1:$A$97,0),   MATCH(AE$1,役男大表!$A$3:$BF$3,0)  )                  )  )  )," ",""),"")</f>
        <v/>
      </c>
      <c r="AF19" s="278" t="str">
        <f>_xlfn.IFNA(  SUBSTITUTE(     IF(  INDEX(役男大表!$A$1:$BF$95,MATCH($A19,役男大表!$A$1:$A$97,0),   MATCH(AF$1,役男大表!$A$3:$BF$3,0)  )=0,"",  IF(  INDEX(役男大表!$A$1:$BF$95,MATCH($A19,役男大表!$A$1:$A$97,0),   MATCH(AF$1,役男大表!$A$3:$BF$3,0)  )="榮","x",  IF(  INDEX(役男大表!$A$1:$BF$95,MATCH($A19,役男大表!$A$1:$A$97,0),   MATCH(AF$1,役男大表!$A$3:$BF$3,0)  )="榮-22",  "x榮18-22",               INDEX(役男大表!$A$1:$BF$95,MATCH($A19,役男大表!$A$1:$A$97,0),   MATCH(AF$1,役男大表!$A$3:$BF$3,0)  )                  )  )  )," ",""),"")</f>
        <v/>
      </c>
      <c r="AG19" s="278" t="str">
        <f>_xlfn.IFNA(  SUBSTITUTE(     IF(  INDEX(役男大表!$A$1:$BF$95,MATCH($A19,役男大表!$A$1:$A$97,0),   MATCH(AG$1,役男大表!$A$3:$BF$3,0)  )=0,"",  IF(  INDEX(役男大表!$A$1:$BF$95,MATCH($A19,役男大表!$A$1:$A$97,0),   MATCH(AG$1,役男大表!$A$3:$BF$3,0)  )="榮","x",  IF(  INDEX(役男大表!$A$1:$BF$95,MATCH($A19,役男大表!$A$1:$A$97,0),   MATCH(AG$1,役男大表!$A$3:$BF$3,0)  )="榮-22",  "x榮18-22",               INDEX(役男大表!$A$1:$BF$95,MATCH($A19,役男大表!$A$1:$A$97,0),   MATCH(AG$1,役男大表!$A$3:$BF$3,0)  )                  )  )  )," ",""),"")</f>
        <v/>
      </c>
      <c r="AH19" s="278" t="str">
        <f>_xlfn.IFNA(  SUBSTITUTE(     IF(  INDEX(役男大表!$A$1:$BF$95,MATCH($A19,役男大表!$A$1:$A$97,0),   MATCH(AH$1,役男大表!$A$3:$BF$3,0)  )=0,"",  IF(  INDEX(役男大表!$A$1:$BF$95,MATCH($A19,役男大表!$A$1:$A$97,0),   MATCH(AH$1,役男大表!$A$3:$BF$3,0)  )="榮","x",  IF(  INDEX(役男大表!$A$1:$BF$95,MATCH($A19,役男大表!$A$1:$A$97,0),   MATCH(AH$1,役男大表!$A$3:$BF$3,0)  )="榮-22",  "x榮18-22",               INDEX(役男大表!$A$1:$BF$95,MATCH($A19,役男大表!$A$1:$A$97,0),   MATCH(AH$1,役男大表!$A$3:$BF$3,0)  )                  )  )  )," ",""),"")</f>
        <v/>
      </c>
      <c r="AI19" s="278" t="str">
        <f>_xlfn.IFNA(  SUBSTITUTE(     IF(  INDEX(役男大表!$A$1:$BF$95,MATCH($A19,役男大表!$A$1:$A$97,0),   MATCH(AI$1,役男大表!$A$3:$BF$3,0)  )=0,"",  IF(  INDEX(役男大表!$A$1:$BF$95,MATCH($A19,役男大表!$A$1:$A$97,0),   MATCH(AI$1,役男大表!$A$3:$BF$3,0)  )="榮","x",  IF(  INDEX(役男大表!$A$1:$BF$95,MATCH($A19,役男大表!$A$1:$A$97,0),   MATCH(AI$1,役男大表!$A$3:$BF$3,0)  )="榮-22",  "x榮18-22",               INDEX(役男大表!$A$1:$BF$95,MATCH($A19,役男大表!$A$1:$A$97,0),   MATCH(AI$1,役男大表!$A$3:$BF$3,0)  )                  )  )  )," ",""),"")</f>
        <v/>
      </c>
      <c r="AJ19" s="278" t="str">
        <f>_xlfn.IFNA(  SUBSTITUTE(     IF(  INDEX(役男大表!$A$1:$BF$95,MATCH($A19,役男大表!$A$1:$A$97,0),   MATCH(AJ$1,役男大表!$A$3:$BF$3,0)  )=0,"",  IF(  INDEX(役男大表!$A$1:$BF$95,MATCH($A19,役男大表!$A$1:$A$97,0),   MATCH(AJ$1,役男大表!$A$3:$BF$3,0)  )="榮","x",  IF(  INDEX(役男大表!$A$1:$BF$95,MATCH($A19,役男大表!$A$1:$A$97,0),   MATCH(AJ$1,役男大表!$A$3:$BF$3,0)  )="榮-22",  "x榮18-22",               INDEX(役男大表!$A$1:$BF$95,MATCH($A19,役男大表!$A$1:$A$97,0),   MATCH(AJ$1,役男大表!$A$3:$BF$3,0)  )                  )  )  )," ",""),"")</f>
        <v/>
      </c>
      <c r="AM19" s="66">
        <f t="shared" si="1"/>
        <v>18</v>
      </c>
      <c r="AN19" s="66" t="str">
        <f t="shared" si="2"/>
        <v>蔡政倫</v>
      </c>
      <c r="AO19" s="71" t="str">
        <f>IF(  AND(  INDEX(   $A$42:$AJ$79, MATCH(AM19,$A$42:$A$79,0),MATCH(  日期輸入!$C$3,$A$42:$AL$42,0  )  )="全日勤",  AV19="免"  ),  "全日勤免勤教",  IF(  AND(  INDEX(   $A$42:$AJ$79, MATCH(AM19,$A$42:$A$79,0),MATCH(  日期輸入!$C$3,$A$42:$AL$42,0  )  )="18放",  AV19="免"  ),  "18放早走",  INDEX(   $A$42:$AJ$79, MATCH(AM19,$A$42:$A$79,0),MATCH(  日期輸入!$C$3,$A$42:$AL$42,0  )  )  )  )</f>
        <v>全日勤</v>
      </c>
      <c r="AP19" s="66" t="str">
        <f>_xlfn.IFNA(IF((ROW(AP19)-1)&lt;=暫1!$B$2,IF(VALUE($AM19)=暫1!B$3,"家因",IF(VALUE($AM19)=暫1!C$3,"家因",IF(VALUE($AM19)=暫1!D$3,"家因",IF(VALUE($AM19)=暫1!E$3,"家因",IF(VALUE($AM19)=暫1!F$3,"家因",IF(VALUE($AM19)=暫1!G$3,"家因",IF(VALUE($AM19)=暫1!H$3,"家因",IF(VALUE($AM19)=暫1!I$3,"家因",IF(VALUE($AM19)=暫1!J$3,"家因",IF(VALUE($AM19)=暫1!K$3,"家因",IF(VALUE($AM19)=暫1!L$3,"家因",IF(VALUE($AM19)=暫1!M$3,"家因",IF(VALUE($AM19)=暫1!N$3,"家因",IF(VALUE($AM19)=暫1!O$3,"家因",IF(VALUE($AM19)=暫1!P$3,"家因",IF(VALUE($AM19)=暫1!Q$3,"家因",IF(VALUE($AM19)=暫1!R$3,"家因",IF(VALUE($AM19)=暫1!S$3,"家因",IF(VALUE($AM19)=暫1!T$3,"家因",IF(VALUE($AM19)=暫1!U$3,"家因","")))))))))))))))))))),""),"")</f>
        <v/>
      </c>
      <c r="AQ19" s="66" t="str">
        <f>IF((ROW(AQ19)-1)&lt;=暫1!$B$2,_xlfn.IFNA(IF(INDEX($A$1:$AJ$41,MATCH($AN19,$B$1:$B$101,0),VALUE($AQ$1+3))="成","補",INDEX($A$1:$AJ$41,MATCH($AN19,$B$1:$B$101,0),VALUE($AQ$1+3))),""),"")</f>
        <v>病06-22</v>
      </c>
      <c r="AR19" s="66" t="str">
        <f>IF((ROW(AR19)-1)&lt;=暫1!$B$2,_xlfn.IFNA(IF(INDEX($A$1:$AJ$41,MATCH($AN19,$B$1:$B$101,0),VALUE($AR$1+3))="成","補",INDEX($A$1:$AJ$41,MATCH($AN19,$B$1:$B$101,0),VALUE($AR$1+3))),""),"")</f>
        <v/>
      </c>
      <c r="AS19" s="66" t="str">
        <f>IF((ROW(AS19)-1)&lt;=暫1!$B$2,_xlfn.IFNA(IF(INDEX($A$1:$AJ$41,MATCH($AN19,$B$1:$B$101,0),VALUE($AS$1+3))="成","補",INDEX($A$1:$AJ$41,MATCH($AN19,$B$1:$B$101,0),VALUE($AS$1+3))),""),"")</f>
        <v/>
      </c>
      <c r="AT19" s="66" t="str">
        <f>IF(  OR(  LEN(  INDEX(   $A$1:$AJ$39, MATCH(AM19,$A$1:$A$39,0),MATCH(  日期輸入!$C$3,$A$1:$AP$1,0  )  )  )&gt;LEN(  SUBSTITUTE(  INDEX(   $A$1:$AJ$39, MATCH(AM19,$A$1:$A$39,0),MATCH(  日期輸入!$C$3,$A$1:$AP$1,0  )  ),"榮","")  )  ),   SUBSTITUTE(  SUBSTITUTE(  INDEX(   $A$1:$AJ$39, MATCH(AM19,$A$1:$A$39,0),MATCH(  日期輸入!$C$3,$A$1:$AP$1,0  )  ),"榮",""),"x",""), "")</f>
        <v/>
      </c>
      <c r="AU19" s="66" t="str">
        <f t="shared" si="3"/>
        <v/>
      </c>
      <c r="AV19" s="66" t="str">
        <f>INDEX(   $A$482:$AJ$519, MATCH(AM19,$A$482:$A$519,0),MATCH(  日期輸入!$C$3,$A$482:$AL$482,0  )  )</f>
        <v/>
      </c>
      <c r="AX19" s="66" t="str">
        <f>IFERROR(IF((ROW(AX19)-1)&lt;=暫1!$B$2,SUBSTITUTE(IF($AO19=$AX$1,$AM19,"")," ",""),""),"")</f>
        <v/>
      </c>
      <c r="AY19" s="66" t="str">
        <f>IFERROR(IF((ROW(AY19)-1)&lt;=暫1!$B$2,SUBSTITUTE(IF($AO19=$AY$1,$AM19,"")," ",""),""),"")</f>
        <v/>
      </c>
      <c r="AZ19" s="66" t="str">
        <f>IFERROR(IF((ROW(AZ19)-1)&lt;=暫1!$B$2,SUBSTITUTE(IF($AO19=$AZ$1,$AM19,"")," ",""),""),"")</f>
        <v/>
      </c>
      <c r="BA19" s="66" t="str">
        <f>IFERROR(IF((ROW(BA19)-1)&lt;=暫1!$B$2,SUBSTITUTE(IF($AO19=$BA$1,$AM19,"")," ",""),""),"")</f>
        <v/>
      </c>
      <c r="BB19" s="69" t="str">
        <f>IFERROR(IF((ROW(BB19)-1)&lt;=暫1!$B$2,SUBSTITUTE(IF(OR($AO19=$BB$1,$AO19=$AY$1,$AO19=$AZ$1),$AM19,IF($AO19=$AY$1,$AM19,"")),"",""),""),"")</f>
        <v>18</v>
      </c>
      <c r="BC19" s="69" t="str">
        <f>IF(    AND(LEN(BC18)&gt;=2 ),        "、" &amp;  IF(OR(役男人力!$J$2:$J$84="是"),役男人力!$B20,""),  IF(OR(役男人力!$J$2:$J$84="是"),役男人力!$B20,"")  )</f>
        <v>、</v>
      </c>
      <c r="BG19" s="99" t="str">
        <f>INDEX(   A402:AJ439, 38,MATCH(  日期輸入!$C$3,A402:AP402,0  )  )</f>
        <v/>
      </c>
    </row>
    <row r="20" spans="1:59" ht="25.5" customHeight="1">
      <c r="A20" s="278">
        <v>19</v>
      </c>
      <c r="B20" s="278" t="str">
        <f>_xlfn.IFNA(  INDEX(役男大表!$A$1:$BF$95,MATCH(A20,役男大表!$A$1:$A$97,0),2),"")</f>
        <v>蕭敬哲</v>
      </c>
      <c r="C20" s="278" t="str">
        <f>_xlfn.IFNA(  SUBSTITUTE(     IF(  INDEX(役男大表!$A$1:$BF$95,MATCH($A20,役男大表!$A$1:$A$97,0),   MATCH(C$1,役男大表!$A$3:$BF$3,0)  )=0,"",  IF(  INDEX(役男大表!$A$1:$BF$95,MATCH($A20,役男大表!$A$1:$A$97,0),   MATCH(C$1,役男大表!$A$3:$BF$3,0)  )="榮","x",  IF(  INDEX(役男大表!$A$1:$BF$95,MATCH($A20,役男大表!$A$1:$A$97,0),   MATCH(C$1,役男大表!$A$3:$BF$3,0)  )="榮-22",  "x榮18-22",               INDEX(役男大表!$A$1:$BF$95,MATCH($A20,役男大表!$A$1:$A$97,0),   MATCH(C$1,役男大表!$A$3:$BF$3,0)  )                  )  )  )," ",""),"")</f>
        <v/>
      </c>
      <c r="D20" s="278" t="str">
        <f>_xlfn.IFNA(  SUBSTITUTE(     IF(  INDEX(役男大表!$A$1:$BF$95,MATCH($A20,役男大表!$A$1:$A$97,0),   MATCH(D$1,役男大表!$A$3:$BF$3,0)  )=0,"",  IF(  INDEX(役男大表!$A$1:$BF$95,MATCH($A20,役男大表!$A$1:$A$97,0),   MATCH(D$1,役男大表!$A$3:$BF$3,0)  )="榮","x",  IF(  INDEX(役男大表!$A$1:$BF$95,MATCH($A20,役男大表!$A$1:$A$97,0),   MATCH(D$1,役男大表!$A$3:$BF$3,0)  )="榮-22",  "x榮18-22",               INDEX(役男大表!$A$1:$BF$95,MATCH($A20,役男大表!$A$1:$A$97,0),   MATCH(D$1,役男大表!$A$3:$BF$3,0)  )                  )  )  )," ",""),"")</f>
        <v/>
      </c>
      <c r="E20" s="278" t="str">
        <f>_xlfn.IFNA(  SUBSTITUTE(     IF(  INDEX(役男大表!$A$1:$BF$95,MATCH($A20,役男大表!$A$1:$A$97,0),   MATCH(E$1,役男大表!$A$3:$BF$3,0)  )=0,"",  IF(  INDEX(役男大表!$A$1:$BF$95,MATCH($A20,役男大表!$A$1:$A$97,0),   MATCH(E$1,役男大表!$A$3:$BF$3,0)  )="榮","x",  IF(  INDEX(役男大表!$A$1:$BF$95,MATCH($A20,役男大表!$A$1:$A$97,0),   MATCH(E$1,役男大表!$A$3:$BF$3,0)  )="榮-22",  "x榮18-22",               INDEX(役男大表!$A$1:$BF$95,MATCH($A20,役男大表!$A$1:$A$97,0),   MATCH(E$1,役男大表!$A$3:$BF$3,0)  )                  )  )  )," ",""),"")</f>
        <v/>
      </c>
      <c r="F20" s="278" t="str">
        <f>_xlfn.IFNA(  SUBSTITUTE(     IF(  INDEX(役男大表!$A$1:$BF$95,MATCH($A20,役男大表!$A$1:$A$97,0),   MATCH(F$1,役男大表!$A$3:$BF$3,0)  )=0,"",  IF(  INDEX(役男大表!$A$1:$BF$95,MATCH($A20,役男大表!$A$1:$A$97,0),   MATCH(F$1,役男大表!$A$3:$BF$3,0)  )="榮","x",  IF(  INDEX(役男大表!$A$1:$BF$95,MATCH($A20,役男大表!$A$1:$A$97,0),   MATCH(F$1,役男大表!$A$3:$BF$3,0)  )="榮-22",  "x榮18-22",               INDEX(役男大表!$A$1:$BF$95,MATCH($A20,役男大表!$A$1:$A$97,0),   MATCH(F$1,役男大表!$A$3:$BF$3,0)  )                  )  )  )," ",""),"")</f>
        <v/>
      </c>
      <c r="G20" s="278" t="str">
        <f>_xlfn.IFNA(  SUBSTITUTE(     IF(  INDEX(役男大表!$A$1:$BF$95,MATCH($A20,役男大表!$A$1:$A$97,0),   MATCH(G$1,役男大表!$A$3:$BF$3,0)  )=0,"",  IF(  INDEX(役男大表!$A$1:$BF$95,MATCH($A20,役男大表!$A$1:$A$97,0),   MATCH(G$1,役男大表!$A$3:$BF$3,0)  )="榮","x",  IF(  INDEX(役男大表!$A$1:$BF$95,MATCH($A20,役男大表!$A$1:$A$97,0),   MATCH(G$1,役男大表!$A$3:$BF$3,0)  )="榮-22",  "x榮18-22",               INDEX(役男大表!$A$1:$BF$95,MATCH($A20,役男大表!$A$1:$A$97,0),   MATCH(G$1,役男大表!$A$3:$BF$3,0)  )                  )  )  )," ",""),"")</f>
        <v/>
      </c>
      <c r="H20" s="278" t="str">
        <f>_xlfn.IFNA(  SUBSTITUTE(     IF(  INDEX(役男大表!$A$1:$BF$95,MATCH($A20,役男大表!$A$1:$A$97,0),   MATCH(H$1,役男大表!$A$3:$BF$3,0)  )=0,"",  IF(  INDEX(役男大表!$A$1:$BF$95,MATCH($A20,役男大表!$A$1:$A$97,0),   MATCH(H$1,役男大表!$A$3:$BF$3,0)  )="榮","x",  IF(  INDEX(役男大表!$A$1:$BF$95,MATCH($A20,役男大表!$A$1:$A$97,0),   MATCH(H$1,役男大表!$A$3:$BF$3,0)  )="榮-22",  "x榮18-22",               INDEX(役男大表!$A$1:$BF$95,MATCH($A20,役男大表!$A$1:$A$97,0),   MATCH(H$1,役男大表!$A$3:$BF$3,0)  )                  )  )  )," ",""),"")</f>
        <v/>
      </c>
      <c r="I20" s="278" t="str">
        <f>_xlfn.IFNA(  SUBSTITUTE(     IF(  INDEX(役男大表!$A$1:$BF$95,MATCH($A20,役男大表!$A$1:$A$97,0),   MATCH(I$1,役男大表!$A$3:$BF$3,0)  )=0,"",  IF(  INDEX(役男大表!$A$1:$BF$95,MATCH($A20,役男大表!$A$1:$A$97,0),   MATCH(I$1,役男大表!$A$3:$BF$3,0)  )="榮","x",  IF(  INDEX(役男大表!$A$1:$BF$95,MATCH($A20,役男大表!$A$1:$A$97,0),   MATCH(I$1,役男大表!$A$3:$BF$3,0)  )="榮-22",  "x榮18-22",               INDEX(役男大表!$A$1:$BF$95,MATCH($A20,役男大表!$A$1:$A$97,0),   MATCH(I$1,役男大表!$A$3:$BF$3,0)  )                  )  )  )," ",""),"")</f>
        <v/>
      </c>
      <c r="J20" s="278" t="str">
        <f>_xlfn.IFNA(  SUBSTITUTE(     IF(  INDEX(役男大表!$A$1:$BF$95,MATCH($A20,役男大表!$A$1:$A$97,0),   MATCH(J$1,役男大表!$A$3:$BF$3,0)  )=0,"",  IF(  INDEX(役男大表!$A$1:$BF$95,MATCH($A20,役男大表!$A$1:$A$97,0),   MATCH(J$1,役男大表!$A$3:$BF$3,0)  )="榮","x",  IF(  INDEX(役男大表!$A$1:$BF$95,MATCH($A20,役男大表!$A$1:$A$97,0),   MATCH(J$1,役男大表!$A$3:$BF$3,0)  )="榮-22",  "x榮18-22",               INDEX(役男大表!$A$1:$BF$95,MATCH($A20,役男大表!$A$1:$A$97,0),   MATCH(J$1,役男大表!$A$3:$BF$3,0)  )                  )  )  )," ",""),"")</f>
        <v/>
      </c>
      <c r="K20" s="278" t="str">
        <f>_xlfn.IFNA(  SUBSTITUTE(     IF(  INDEX(役男大表!$A$1:$BF$95,MATCH($A20,役男大表!$A$1:$A$97,0),   MATCH(K$1,役男大表!$A$3:$BF$3,0)  )=0,"",  IF(  INDEX(役男大表!$A$1:$BF$95,MATCH($A20,役男大表!$A$1:$A$97,0),   MATCH(K$1,役男大表!$A$3:$BF$3,0)  )="榮","x",  IF(  INDEX(役男大表!$A$1:$BF$95,MATCH($A20,役男大表!$A$1:$A$97,0),   MATCH(K$1,役男大表!$A$3:$BF$3,0)  )="榮-22",  "x榮18-22",               INDEX(役男大表!$A$1:$BF$95,MATCH($A20,役男大表!$A$1:$A$97,0),   MATCH(K$1,役男大表!$A$3:$BF$3,0)  )                  )  )  )," ",""),"")</f>
        <v/>
      </c>
      <c r="L20" s="278" t="str">
        <f>_xlfn.IFNA(  SUBSTITUTE(     IF(  INDEX(役男大表!$A$1:$BF$95,MATCH($A20,役男大表!$A$1:$A$97,0),   MATCH(L$1,役男大表!$A$3:$BF$3,0)  )=0,"",  IF(  INDEX(役男大表!$A$1:$BF$95,MATCH($A20,役男大表!$A$1:$A$97,0),   MATCH(L$1,役男大表!$A$3:$BF$3,0)  )="榮","x",  IF(  INDEX(役男大表!$A$1:$BF$95,MATCH($A20,役男大表!$A$1:$A$97,0),   MATCH(L$1,役男大表!$A$3:$BF$3,0)  )="榮-22",  "x榮18-22",               INDEX(役男大表!$A$1:$BF$95,MATCH($A20,役男大表!$A$1:$A$97,0),   MATCH(L$1,役男大表!$A$3:$BF$3,0)  )                  )  )  )," ",""),"")</f>
        <v/>
      </c>
      <c r="M20" s="278" t="str">
        <f>_xlfn.IFNA(  SUBSTITUTE(     IF(  INDEX(役男大表!$A$1:$BF$95,MATCH($A20,役男大表!$A$1:$A$97,0),   MATCH(M$1,役男大表!$A$3:$BF$3,0)  )=0,"",  IF(  INDEX(役男大表!$A$1:$BF$95,MATCH($A20,役男大表!$A$1:$A$97,0),   MATCH(M$1,役男大表!$A$3:$BF$3,0)  )="榮","x",  IF(  INDEX(役男大表!$A$1:$BF$95,MATCH($A20,役男大表!$A$1:$A$97,0),   MATCH(M$1,役男大表!$A$3:$BF$3,0)  )="榮-22",  "x榮18-22",               INDEX(役男大表!$A$1:$BF$95,MATCH($A20,役男大表!$A$1:$A$97,0),   MATCH(M$1,役男大表!$A$3:$BF$3,0)  )                  )  )  )," ",""),"")</f>
        <v/>
      </c>
      <c r="N20" s="278" t="str">
        <f>_xlfn.IFNA(  SUBSTITUTE(     IF(  INDEX(役男大表!$A$1:$BF$95,MATCH($A20,役男大表!$A$1:$A$97,0),   MATCH(N$1,役男大表!$A$3:$BF$3,0)  )=0,"",  IF(  INDEX(役男大表!$A$1:$BF$95,MATCH($A20,役男大表!$A$1:$A$97,0),   MATCH(N$1,役男大表!$A$3:$BF$3,0)  )="榮","x",  IF(  INDEX(役男大表!$A$1:$BF$95,MATCH($A20,役男大表!$A$1:$A$97,0),   MATCH(N$1,役男大表!$A$3:$BF$3,0)  )="榮-22",  "x榮18-22",               INDEX(役男大表!$A$1:$BF$95,MATCH($A20,役男大表!$A$1:$A$97,0),   MATCH(N$1,役男大表!$A$3:$BF$3,0)  )                  )  )  )," ",""),"")</f>
        <v/>
      </c>
      <c r="O20" s="278" t="str">
        <f>_xlfn.IFNA(  SUBSTITUTE(     IF(  INDEX(役男大表!$A$1:$BF$95,MATCH($A20,役男大表!$A$1:$A$97,0),   MATCH(O$1,役男大表!$A$3:$BF$3,0)  )=0,"",  IF(  INDEX(役男大表!$A$1:$BF$95,MATCH($A20,役男大表!$A$1:$A$97,0),   MATCH(O$1,役男大表!$A$3:$BF$3,0)  )="榮","x",  IF(  INDEX(役男大表!$A$1:$BF$95,MATCH($A20,役男大表!$A$1:$A$97,0),   MATCH(O$1,役男大表!$A$3:$BF$3,0)  )="榮-22",  "x榮18-22",               INDEX(役男大表!$A$1:$BF$95,MATCH($A20,役男大表!$A$1:$A$97,0),   MATCH(O$1,役男大表!$A$3:$BF$3,0)  )                  )  )  )," ",""),"")</f>
        <v/>
      </c>
      <c r="P20" s="278" t="str">
        <f>_xlfn.IFNA(  SUBSTITUTE(     IF(  INDEX(役男大表!$A$1:$BF$95,MATCH($A20,役男大表!$A$1:$A$97,0),   MATCH(P$1,役男大表!$A$3:$BF$3,0)  )=0,"",  IF(  INDEX(役男大表!$A$1:$BF$95,MATCH($A20,役男大表!$A$1:$A$97,0),   MATCH(P$1,役男大表!$A$3:$BF$3,0)  )="榮","x",  IF(  INDEX(役男大表!$A$1:$BF$95,MATCH($A20,役男大表!$A$1:$A$97,0),   MATCH(P$1,役男大表!$A$3:$BF$3,0)  )="榮-22",  "x榮18-22",               INDEX(役男大表!$A$1:$BF$95,MATCH($A20,役男大表!$A$1:$A$97,0),   MATCH(P$1,役男大表!$A$3:$BF$3,0)  )                  )  )  )," ",""),"")</f>
        <v/>
      </c>
      <c r="Q20" s="278" t="str">
        <f>_xlfn.IFNA(  SUBSTITUTE(     IF(  INDEX(役男大表!$A$1:$BF$95,MATCH($A20,役男大表!$A$1:$A$97,0),   MATCH(Q$1,役男大表!$A$3:$BF$3,0)  )=0,"",  IF(  INDEX(役男大表!$A$1:$BF$95,MATCH($A20,役男大表!$A$1:$A$97,0),   MATCH(Q$1,役男大表!$A$3:$BF$3,0)  )="榮","x",  IF(  INDEX(役男大表!$A$1:$BF$95,MATCH($A20,役男大表!$A$1:$A$97,0),   MATCH(Q$1,役男大表!$A$3:$BF$3,0)  )="榮-22",  "x榮18-22",               INDEX(役男大表!$A$1:$BF$95,MATCH($A20,役男大表!$A$1:$A$97,0),   MATCH(Q$1,役男大表!$A$3:$BF$3,0)  )                  )  )  )," ",""),"")</f>
        <v/>
      </c>
      <c r="R20" s="278" t="str">
        <f>_xlfn.IFNA(  SUBSTITUTE(     IF(  INDEX(役男大表!$A$1:$BF$95,MATCH($A20,役男大表!$A$1:$A$97,0),   MATCH(R$1,役男大表!$A$3:$BF$3,0)  )=0,"",  IF(  INDEX(役男大表!$A$1:$BF$95,MATCH($A20,役男大表!$A$1:$A$97,0),   MATCH(R$1,役男大表!$A$3:$BF$3,0)  )="榮","x",  IF(  INDEX(役男大表!$A$1:$BF$95,MATCH($A20,役男大表!$A$1:$A$97,0),   MATCH(R$1,役男大表!$A$3:$BF$3,0)  )="榮-22",  "x榮18-22",               INDEX(役男大表!$A$1:$BF$95,MATCH($A20,役男大表!$A$1:$A$97,0),   MATCH(R$1,役男大表!$A$3:$BF$3,0)  )                  )  )  )," ",""),"")</f>
        <v/>
      </c>
      <c r="S20" s="278" t="str">
        <f>_xlfn.IFNA(  SUBSTITUTE(     IF(  INDEX(役男大表!$A$1:$BF$95,MATCH($A20,役男大表!$A$1:$A$97,0),   MATCH(S$1,役男大表!$A$3:$BF$3,0)  )=0,"",  IF(  INDEX(役男大表!$A$1:$BF$95,MATCH($A20,役男大表!$A$1:$A$97,0),   MATCH(S$1,役男大表!$A$3:$BF$3,0)  )="榮","x",  IF(  INDEX(役男大表!$A$1:$BF$95,MATCH($A20,役男大表!$A$1:$A$97,0),   MATCH(S$1,役男大表!$A$3:$BF$3,0)  )="榮-22",  "x榮18-22",               INDEX(役男大表!$A$1:$BF$95,MATCH($A20,役男大表!$A$1:$A$97,0),   MATCH(S$1,役男大表!$A$3:$BF$3,0)  )                  )  )  )," ",""),"")</f>
        <v/>
      </c>
      <c r="T20" s="278" t="str">
        <f>_xlfn.IFNA(  SUBSTITUTE(     IF(  INDEX(役男大表!$A$1:$BF$95,MATCH($A20,役男大表!$A$1:$A$97,0),   MATCH(T$1,役男大表!$A$3:$BF$3,0)  )=0,"",  IF(  INDEX(役男大表!$A$1:$BF$95,MATCH($A20,役男大表!$A$1:$A$97,0),   MATCH(T$1,役男大表!$A$3:$BF$3,0)  )="榮","x",  IF(  INDEX(役男大表!$A$1:$BF$95,MATCH($A20,役男大表!$A$1:$A$97,0),   MATCH(T$1,役男大表!$A$3:$BF$3,0)  )="榮-22",  "x榮18-22",               INDEX(役男大表!$A$1:$BF$95,MATCH($A20,役男大表!$A$1:$A$97,0),   MATCH(T$1,役男大表!$A$3:$BF$3,0)  )                  )  )  )," ",""),"")</f>
        <v/>
      </c>
      <c r="U20" s="278" t="str">
        <f>_xlfn.IFNA(  SUBSTITUTE(     IF(  INDEX(役男大表!$A$1:$BF$95,MATCH($A20,役男大表!$A$1:$A$97,0),   MATCH(U$1,役男大表!$A$3:$BF$3,0)  )=0,"",  IF(  INDEX(役男大表!$A$1:$BF$95,MATCH($A20,役男大表!$A$1:$A$97,0),   MATCH(U$1,役男大表!$A$3:$BF$3,0)  )="榮","x",  IF(  INDEX(役男大表!$A$1:$BF$95,MATCH($A20,役男大表!$A$1:$A$97,0),   MATCH(U$1,役男大表!$A$3:$BF$3,0)  )="榮-22",  "x榮18-22",               INDEX(役男大表!$A$1:$BF$95,MATCH($A20,役男大表!$A$1:$A$97,0),   MATCH(U$1,役男大表!$A$3:$BF$3,0)  )                  )  )  )," ",""),"")</f>
        <v/>
      </c>
      <c r="V20" s="278" t="str">
        <f>_xlfn.IFNA(  SUBSTITUTE(     IF(  INDEX(役男大表!$A$1:$BF$95,MATCH($A20,役男大表!$A$1:$A$97,0),   MATCH(V$1,役男大表!$A$3:$BF$3,0)  )=0,"",  IF(  INDEX(役男大表!$A$1:$BF$95,MATCH($A20,役男大表!$A$1:$A$97,0),   MATCH(V$1,役男大表!$A$3:$BF$3,0)  )="榮","x",  IF(  INDEX(役男大表!$A$1:$BF$95,MATCH($A20,役男大表!$A$1:$A$97,0),   MATCH(V$1,役男大表!$A$3:$BF$3,0)  )="榮-22",  "x榮18-22",               INDEX(役男大表!$A$1:$BF$95,MATCH($A20,役男大表!$A$1:$A$97,0),   MATCH(V$1,役男大表!$A$3:$BF$3,0)  )                  )  )  )," ",""),"")</f>
        <v/>
      </c>
      <c r="W20" s="278" t="str">
        <f>_xlfn.IFNA(  SUBSTITUTE(     IF(  INDEX(役男大表!$A$1:$BF$95,MATCH($A20,役男大表!$A$1:$A$97,0),   MATCH(W$1,役男大表!$A$3:$BF$3,0)  )=0,"",  IF(  INDEX(役男大表!$A$1:$BF$95,MATCH($A20,役男大表!$A$1:$A$97,0),   MATCH(W$1,役男大表!$A$3:$BF$3,0)  )="榮","x",  IF(  INDEX(役男大表!$A$1:$BF$95,MATCH($A20,役男大表!$A$1:$A$97,0),   MATCH(W$1,役男大表!$A$3:$BF$3,0)  )="榮-22",  "x榮18-22",               INDEX(役男大表!$A$1:$BF$95,MATCH($A20,役男大表!$A$1:$A$97,0),   MATCH(W$1,役男大表!$A$3:$BF$3,0)  )                  )  )  )," ",""),"")</f>
        <v/>
      </c>
      <c r="X20" s="278" t="str">
        <f>_xlfn.IFNA(  SUBSTITUTE(     IF(  INDEX(役男大表!$A$1:$BF$95,MATCH($A20,役男大表!$A$1:$A$97,0),   MATCH(X$1,役男大表!$A$3:$BF$3,0)  )=0,"",  IF(  INDEX(役男大表!$A$1:$BF$95,MATCH($A20,役男大表!$A$1:$A$97,0),   MATCH(X$1,役男大表!$A$3:$BF$3,0)  )="榮","x",  IF(  INDEX(役男大表!$A$1:$BF$95,MATCH($A20,役男大表!$A$1:$A$97,0),   MATCH(X$1,役男大表!$A$3:$BF$3,0)  )="榮-22",  "x榮18-22",               INDEX(役男大表!$A$1:$BF$95,MATCH($A20,役男大表!$A$1:$A$97,0),   MATCH(X$1,役男大表!$A$3:$BF$3,0)  )                  )  )  )," ",""),"")</f>
        <v/>
      </c>
      <c r="Y20" s="278" t="str">
        <f>_xlfn.IFNA(  SUBSTITUTE(     IF(  INDEX(役男大表!$A$1:$BF$95,MATCH($A20,役男大表!$A$1:$A$97,0),   MATCH(Y$1,役男大表!$A$3:$BF$3,0)  )=0,"",  IF(  INDEX(役男大表!$A$1:$BF$95,MATCH($A20,役男大表!$A$1:$A$97,0),   MATCH(Y$1,役男大表!$A$3:$BF$3,0)  )="榮","x",  IF(  INDEX(役男大表!$A$1:$BF$95,MATCH($A20,役男大表!$A$1:$A$97,0),   MATCH(Y$1,役男大表!$A$3:$BF$3,0)  )="榮-22",  "x榮18-22",               INDEX(役男大表!$A$1:$BF$95,MATCH($A20,役男大表!$A$1:$A$97,0),   MATCH(Y$1,役男大表!$A$3:$BF$3,0)  )                  )  )  )," ",""),"")</f>
        <v/>
      </c>
      <c r="Z20" s="278" t="str">
        <f>_xlfn.IFNA(  SUBSTITUTE(     IF(  INDEX(役男大表!$A$1:$BF$95,MATCH($A20,役男大表!$A$1:$A$97,0),   MATCH(Z$1,役男大表!$A$3:$BF$3,0)  )=0,"",  IF(  INDEX(役男大表!$A$1:$BF$95,MATCH($A20,役男大表!$A$1:$A$97,0),   MATCH(Z$1,役男大表!$A$3:$BF$3,0)  )="榮","x",  IF(  INDEX(役男大表!$A$1:$BF$95,MATCH($A20,役男大表!$A$1:$A$97,0),   MATCH(Z$1,役男大表!$A$3:$BF$3,0)  )="榮-22",  "x榮18-22",               INDEX(役男大表!$A$1:$BF$95,MATCH($A20,役男大表!$A$1:$A$97,0),   MATCH(Z$1,役男大表!$A$3:$BF$3,0)  )                  )  )  )," ",""),"")</f>
        <v/>
      </c>
      <c r="AA20" s="278" t="str">
        <f>_xlfn.IFNA(  SUBSTITUTE(     IF(  INDEX(役男大表!$A$1:$BF$95,MATCH($A20,役男大表!$A$1:$A$97,0),   MATCH(AA$1,役男大表!$A$3:$BF$3,0)  )=0,"",  IF(  INDEX(役男大表!$A$1:$BF$95,MATCH($A20,役男大表!$A$1:$A$97,0),   MATCH(AA$1,役男大表!$A$3:$BF$3,0)  )="榮","x",  IF(  INDEX(役男大表!$A$1:$BF$95,MATCH($A20,役男大表!$A$1:$A$97,0),   MATCH(AA$1,役男大表!$A$3:$BF$3,0)  )="榮-22",  "x榮18-22",               INDEX(役男大表!$A$1:$BF$95,MATCH($A20,役男大表!$A$1:$A$97,0),   MATCH(AA$1,役男大表!$A$3:$BF$3,0)  )                  )  )  )," ",""),"")</f>
        <v/>
      </c>
      <c r="AB20" s="278" t="str">
        <f>_xlfn.IFNA(  SUBSTITUTE(     IF(  INDEX(役男大表!$A$1:$BF$95,MATCH($A20,役男大表!$A$1:$A$97,0),   MATCH(AB$1,役男大表!$A$3:$BF$3,0)  )=0,"",  IF(  INDEX(役男大表!$A$1:$BF$95,MATCH($A20,役男大表!$A$1:$A$97,0),   MATCH(AB$1,役男大表!$A$3:$BF$3,0)  )="榮","x",  IF(  INDEX(役男大表!$A$1:$BF$95,MATCH($A20,役男大表!$A$1:$A$97,0),   MATCH(AB$1,役男大表!$A$3:$BF$3,0)  )="榮-22",  "x榮18-22",               INDEX(役男大表!$A$1:$BF$95,MATCH($A20,役男大表!$A$1:$A$97,0),   MATCH(AB$1,役男大表!$A$3:$BF$3,0)  )                  )  )  )," ",""),"")</f>
        <v/>
      </c>
      <c r="AC20" s="278" t="str">
        <f>_xlfn.IFNA(  SUBSTITUTE(     IF(  INDEX(役男大表!$A$1:$BF$95,MATCH($A20,役男大表!$A$1:$A$97,0),   MATCH(AC$1,役男大表!$A$3:$BF$3,0)  )=0,"",  IF(  INDEX(役男大表!$A$1:$BF$95,MATCH($A20,役男大表!$A$1:$A$97,0),   MATCH(AC$1,役男大表!$A$3:$BF$3,0)  )="榮","x",  IF(  INDEX(役男大表!$A$1:$BF$95,MATCH($A20,役男大表!$A$1:$A$97,0),   MATCH(AC$1,役男大表!$A$3:$BF$3,0)  )="榮-22",  "x榮18-22",               INDEX(役男大表!$A$1:$BF$95,MATCH($A20,役男大表!$A$1:$A$97,0),   MATCH(AC$1,役男大表!$A$3:$BF$3,0)  )                  )  )  )," ",""),"")</f>
        <v/>
      </c>
      <c r="AD20" s="278" t="str">
        <f>_xlfn.IFNA(  SUBSTITUTE(     IF(  INDEX(役男大表!$A$1:$BF$95,MATCH($A20,役男大表!$A$1:$A$97,0),   MATCH(AD$1,役男大表!$A$3:$BF$3,0)  )=0,"",  IF(  INDEX(役男大表!$A$1:$BF$95,MATCH($A20,役男大表!$A$1:$A$97,0),   MATCH(AD$1,役男大表!$A$3:$BF$3,0)  )="榮","x",  IF(  INDEX(役男大表!$A$1:$BF$95,MATCH($A20,役男大表!$A$1:$A$97,0),   MATCH(AD$1,役男大表!$A$3:$BF$3,0)  )="榮-22",  "x榮18-22",               INDEX(役男大表!$A$1:$BF$95,MATCH($A20,役男大表!$A$1:$A$97,0),   MATCH(AD$1,役男大表!$A$3:$BF$3,0)  )                  )  )  )," ",""),"")</f>
        <v/>
      </c>
      <c r="AE20" s="278" t="str">
        <f>_xlfn.IFNA(  SUBSTITUTE(     IF(  INDEX(役男大表!$A$1:$BF$95,MATCH($A20,役男大表!$A$1:$A$97,0),   MATCH(AE$1,役男大表!$A$3:$BF$3,0)  )=0,"",  IF(  INDEX(役男大表!$A$1:$BF$95,MATCH($A20,役男大表!$A$1:$A$97,0),   MATCH(AE$1,役男大表!$A$3:$BF$3,0)  )="榮","x",  IF(  INDEX(役男大表!$A$1:$BF$95,MATCH($A20,役男大表!$A$1:$A$97,0),   MATCH(AE$1,役男大表!$A$3:$BF$3,0)  )="榮-22",  "x榮18-22",               INDEX(役男大表!$A$1:$BF$95,MATCH($A20,役男大表!$A$1:$A$97,0),   MATCH(AE$1,役男大表!$A$3:$BF$3,0)  )                  )  )  )," ",""),"")</f>
        <v/>
      </c>
      <c r="AF20" s="278" t="str">
        <f>_xlfn.IFNA(  SUBSTITUTE(     IF(  INDEX(役男大表!$A$1:$BF$95,MATCH($A20,役男大表!$A$1:$A$97,0),   MATCH(AF$1,役男大表!$A$3:$BF$3,0)  )=0,"",  IF(  INDEX(役男大表!$A$1:$BF$95,MATCH($A20,役男大表!$A$1:$A$97,0),   MATCH(AF$1,役男大表!$A$3:$BF$3,0)  )="榮","x",  IF(  INDEX(役男大表!$A$1:$BF$95,MATCH($A20,役男大表!$A$1:$A$97,0),   MATCH(AF$1,役男大表!$A$3:$BF$3,0)  )="榮-22",  "x榮18-22",               INDEX(役男大表!$A$1:$BF$95,MATCH($A20,役男大表!$A$1:$A$97,0),   MATCH(AF$1,役男大表!$A$3:$BF$3,0)  )                  )  )  )," ",""),"")</f>
        <v/>
      </c>
      <c r="AG20" s="278" t="str">
        <f>_xlfn.IFNA(  SUBSTITUTE(     IF(  INDEX(役男大表!$A$1:$BF$95,MATCH($A20,役男大表!$A$1:$A$97,0),   MATCH(AG$1,役男大表!$A$3:$BF$3,0)  )=0,"",  IF(  INDEX(役男大表!$A$1:$BF$95,MATCH($A20,役男大表!$A$1:$A$97,0),   MATCH(AG$1,役男大表!$A$3:$BF$3,0)  )="榮","x",  IF(  INDEX(役男大表!$A$1:$BF$95,MATCH($A20,役男大表!$A$1:$A$97,0),   MATCH(AG$1,役男大表!$A$3:$BF$3,0)  )="榮-22",  "x榮18-22",               INDEX(役男大表!$A$1:$BF$95,MATCH($A20,役男大表!$A$1:$A$97,0),   MATCH(AG$1,役男大表!$A$3:$BF$3,0)  )                  )  )  )," ",""),"")</f>
        <v/>
      </c>
      <c r="AH20" s="278" t="str">
        <f>_xlfn.IFNA(  SUBSTITUTE(     IF(  INDEX(役男大表!$A$1:$BF$95,MATCH($A20,役男大表!$A$1:$A$97,0),   MATCH(AH$1,役男大表!$A$3:$BF$3,0)  )=0,"",  IF(  INDEX(役男大表!$A$1:$BF$95,MATCH($A20,役男大表!$A$1:$A$97,0),   MATCH(AH$1,役男大表!$A$3:$BF$3,0)  )="榮","x",  IF(  INDEX(役男大表!$A$1:$BF$95,MATCH($A20,役男大表!$A$1:$A$97,0),   MATCH(AH$1,役男大表!$A$3:$BF$3,0)  )="榮-22",  "x榮18-22",               INDEX(役男大表!$A$1:$BF$95,MATCH($A20,役男大表!$A$1:$A$97,0),   MATCH(AH$1,役男大表!$A$3:$BF$3,0)  )                  )  )  )," ",""),"")</f>
        <v/>
      </c>
      <c r="AI20" s="278" t="str">
        <f>_xlfn.IFNA(  SUBSTITUTE(     IF(  INDEX(役男大表!$A$1:$BF$95,MATCH($A20,役男大表!$A$1:$A$97,0),   MATCH(AI$1,役男大表!$A$3:$BF$3,0)  )=0,"",  IF(  INDEX(役男大表!$A$1:$BF$95,MATCH($A20,役男大表!$A$1:$A$97,0),   MATCH(AI$1,役男大表!$A$3:$BF$3,0)  )="榮","x",  IF(  INDEX(役男大表!$A$1:$BF$95,MATCH($A20,役男大表!$A$1:$A$97,0),   MATCH(AI$1,役男大表!$A$3:$BF$3,0)  )="榮-22",  "x榮18-22",               INDEX(役男大表!$A$1:$BF$95,MATCH($A20,役男大表!$A$1:$A$97,0),   MATCH(AI$1,役男大表!$A$3:$BF$3,0)  )                  )  )  )," ",""),"")</f>
        <v/>
      </c>
      <c r="AJ20" s="278" t="str">
        <f>_xlfn.IFNA(  SUBSTITUTE(     IF(  INDEX(役男大表!$A$1:$BF$95,MATCH($A20,役男大表!$A$1:$A$97,0),   MATCH(AJ$1,役男大表!$A$3:$BF$3,0)  )=0,"",  IF(  INDEX(役男大表!$A$1:$BF$95,MATCH($A20,役男大表!$A$1:$A$97,0),   MATCH(AJ$1,役男大表!$A$3:$BF$3,0)  )="榮","x",  IF(  INDEX(役男大表!$A$1:$BF$95,MATCH($A20,役男大表!$A$1:$A$97,0),   MATCH(AJ$1,役男大表!$A$3:$BF$3,0)  )="榮-22",  "x榮18-22",               INDEX(役男大表!$A$1:$BF$95,MATCH($A20,役男大表!$A$1:$A$97,0),   MATCH(AJ$1,役男大表!$A$3:$BF$3,0)  )                  )  )  )," ",""),"")</f>
        <v/>
      </c>
      <c r="AM20" s="66">
        <f t="shared" si="1"/>
        <v>19</v>
      </c>
      <c r="AN20" s="66" t="str">
        <f t="shared" si="2"/>
        <v>蕭敬哲</v>
      </c>
      <c r="AO20" s="71" t="str">
        <f>IF(  AND(  INDEX(   $A$42:$AJ$79, MATCH(AM20,$A$42:$A$79,0),MATCH(  日期輸入!$C$3,$A$42:$AL$42,0  )  )="全日勤",  AV20="免"  ),  "全日勤免勤教",  IF(  AND(  INDEX(   $A$42:$AJ$79, MATCH(AM20,$A$42:$A$79,0),MATCH(  日期輸入!$C$3,$A$42:$AL$42,0  )  )="18放",  AV20="免"  ),  "18放早走",  INDEX(   $A$42:$AJ$79, MATCH(AM20,$A$42:$A$79,0),MATCH(  日期輸入!$C$3,$A$42:$AL$42,0  )  )  )  )</f>
        <v>全日勤</v>
      </c>
      <c r="AP20" s="66" t="str">
        <f>_xlfn.IFNA(IF((ROW(AP20)-1)&lt;=暫1!$B$2,IF(VALUE($AM20)=暫1!B$3,"家因",IF(VALUE($AM20)=暫1!C$3,"家因",IF(VALUE($AM20)=暫1!D$3,"家因",IF(VALUE($AM20)=暫1!E$3,"家因",IF(VALUE($AM20)=暫1!F$3,"家因",IF(VALUE($AM20)=暫1!G$3,"家因",IF(VALUE($AM20)=暫1!H$3,"家因",IF(VALUE($AM20)=暫1!I$3,"家因",IF(VALUE($AM20)=暫1!J$3,"家因",IF(VALUE($AM20)=暫1!K$3,"家因",IF(VALUE($AM20)=暫1!L$3,"家因",IF(VALUE($AM20)=暫1!M$3,"家因",IF(VALUE($AM20)=暫1!N$3,"家因",IF(VALUE($AM20)=暫1!O$3,"家因",IF(VALUE($AM20)=暫1!P$3,"家因",IF(VALUE($AM20)=暫1!Q$3,"家因",IF(VALUE($AM20)=暫1!R$3,"家因",IF(VALUE($AM20)=暫1!S$3,"家因",IF(VALUE($AM20)=暫1!T$3,"家因",IF(VALUE($AM20)=暫1!U$3,"家因","")))))))))))))))))))),""),"")</f>
        <v/>
      </c>
      <c r="AQ20" s="66" t="str">
        <f>IF((ROW(AQ20)-1)&lt;=暫1!$B$2,_xlfn.IFNA(IF(INDEX($A$1:$AJ$41,MATCH($AN20,$B$1:$B$101,0),VALUE($AQ$1+3))="成","補",INDEX($A$1:$AJ$41,MATCH($AN20,$B$1:$B$101,0),VALUE($AQ$1+3))),""),"")</f>
        <v/>
      </c>
      <c r="AR20" s="66" t="str">
        <f>IF((ROW(AR20)-1)&lt;=暫1!$B$2,_xlfn.IFNA(IF(INDEX($A$1:$AJ$41,MATCH($AN20,$B$1:$B$101,0),VALUE($AR$1+3))="成","補",INDEX($A$1:$AJ$41,MATCH($AN20,$B$1:$B$101,0),VALUE($AR$1+3))),""),"")</f>
        <v/>
      </c>
      <c r="AS20" s="66" t="str">
        <f>IF((ROW(AS20)-1)&lt;=暫1!$B$2,_xlfn.IFNA(IF(INDEX($A$1:$AJ$41,MATCH($AN20,$B$1:$B$101,0),VALUE($AS$1+3))="成","補",INDEX($A$1:$AJ$41,MATCH($AN20,$B$1:$B$101,0),VALUE($AS$1+3))),""),"")</f>
        <v/>
      </c>
      <c r="AT20" s="66" t="str">
        <f>IF(  OR(  LEN(  INDEX(   $A$1:$AJ$39, MATCH(AM20,$A$1:$A$39,0),MATCH(  日期輸入!$C$3,$A$1:$AP$1,0  )  )  )&gt;LEN(  SUBSTITUTE(  INDEX(   $A$1:$AJ$39, MATCH(AM20,$A$1:$A$39,0),MATCH(  日期輸入!$C$3,$A$1:$AP$1,0  )  ),"榮","")  )  ),   SUBSTITUTE(  SUBSTITUTE(  INDEX(   $A$1:$AJ$39, MATCH(AM20,$A$1:$A$39,0),MATCH(  日期輸入!$C$3,$A$1:$AP$1,0  )  ),"榮",""),"x",""), "")</f>
        <v/>
      </c>
      <c r="AU20" s="66" t="str">
        <f t="shared" si="3"/>
        <v/>
      </c>
      <c r="AV20" s="66" t="str">
        <f>INDEX(   $A$482:$AJ$519, MATCH(AM20,$A$482:$A$519,0),MATCH(  日期輸入!$C$3,$A$482:$AL$482,0  )  )</f>
        <v/>
      </c>
      <c r="AX20" s="66" t="str">
        <f>IFERROR(IF((ROW(AX20)-1)&lt;=暫1!$B$2,SUBSTITUTE(IF($AO20=$AX$1,$AM20,"")," ",""),""),"")</f>
        <v/>
      </c>
      <c r="AY20" s="66" t="str">
        <f>IFERROR(IF((ROW(AY20)-1)&lt;=暫1!$B$2,SUBSTITUTE(IF($AO20=$AY$1,$AM20,"")," ",""),""),"")</f>
        <v/>
      </c>
      <c r="AZ20" s="66" t="str">
        <f>IFERROR(IF((ROW(AZ20)-1)&lt;=暫1!$B$2,SUBSTITUTE(IF($AO20=$AZ$1,$AM20,"")," ",""),""),"")</f>
        <v/>
      </c>
      <c r="BA20" s="66" t="str">
        <f>IFERROR(IF((ROW(BA20)-1)&lt;=暫1!$B$2,SUBSTITUTE(IF($AO20=$BA$1,$AM20,"")," ",""),""),"")</f>
        <v/>
      </c>
      <c r="BB20" s="69" t="str">
        <f>IFERROR(IF((ROW(BB20)-1)&lt;=暫1!$B$2,SUBSTITUTE(IF(OR($AO20=$BB$1,$AO20=$AY$1,$AO20=$AZ$1),$AM20,IF($AO20=$AY$1,$AM20,"")),"",""),""),"")</f>
        <v>19</v>
      </c>
      <c r="BC20" s="69" t="str">
        <f>IF(    AND(LEN(BC19)&gt;=2 ),        "、" &amp;  IF(OR(役男人力!$J$2:$J$84="是"),役男人力!$B21,""),  IF(OR(役男人力!$J$2:$J$84="是"),役男人力!$B21,"")  )</f>
        <v>楊鈞翔</v>
      </c>
      <c r="BG20" s="97" t="s">
        <v>137</v>
      </c>
    </row>
    <row r="21" spans="1:59" ht="25.5" customHeight="1" thickBot="1">
      <c r="A21" s="278" ph="1">
        <v>20</v>
      </c>
      <c r="B21" s="278" t="str">
        <f>_xlfn.IFNA(  INDEX(役男大表!$A$1:$BF$95,MATCH(A21,役男大表!$A$1:$A$97,0),2),"")</f>
        <v>楊鈞翔</v>
      </c>
      <c r="C21" s="278" t="str">
        <f>_xlfn.IFNA(  SUBSTITUTE(     IF(  INDEX(役男大表!$A$1:$BF$95,MATCH($A21,役男大表!$A$1:$A$97,0),   MATCH(C$1,役男大表!$A$3:$BF$3,0)  )=0,"",  IF(  INDEX(役男大表!$A$1:$BF$95,MATCH($A21,役男大表!$A$1:$A$97,0),   MATCH(C$1,役男大表!$A$3:$BF$3,0)  )="榮","x",  IF(  INDEX(役男大表!$A$1:$BF$95,MATCH($A21,役男大表!$A$1:$A$97,0),   MATCH(C$1,役男大表!$A$3:$BF$3,0)  )="榮-22",  "x榮18-22",               INDEX(役男大表!$A$1:$BF$95,MATCH($A21,役男大表!$A$1:$A$97,0),   MATCH(C$1,役男大表!$A$3:$BF$3,0)  )                  )  )  )," ",""),"")</f>
        <v/>
      </c>
      <c r="D21" s="278" t="str">
        <f>_xlfn.IFNA(  SUBSTITUTE(     IF(  INDEX(役男大表!$A$1:$BF$95,MATCH($A21,役男大表!$A$1:$A$97,0),   MATCH(D$1,役男大表!$A$3:$BF$3,0)  )=0,"",  IF(  INDEX(役男大表!$A$1:$BF$95,MATCH($A21,役男大表!$A$1:$A$97,0),   MATCH(D$1,役男大表!$A$3:$BF$3,0)  )="榮","x",  IF(  INDEX(役男大表!$A$1:$BF$95,MATCH($A21,役男大表!$A$1:$A$97,0),   MATCH(D$1,役男大表!$A$3:$BF$3,0)  )="榮-22",  "x榮18-22",               INDEX(役男大表!$A$1:$BF$95,MATCH($A21,役男大表!$A$1:$A$97,0),   MATCH(D$1,役男大表!$A$3:$BF$3,0)  )                  )  )  )," ",""),"")</f>
        <v>x</v>
      </c>
      <c r="E21" s="278" t="str">
        <f>_xlfn.IFNA(  SUBSTITUTE(     IF(  INDEX(役男大表!$A$1:$BF$95,MATCH($A21,役男大表!$A$1:$A$97,0),   MATCH(E$1,役男大表!$A$3:$BF$3,0)  )=0,"",  IF(  INDEX(役男大表!$A$1:$BF$95,MATCH($A21,役男大表!$A$1:$A$97,0),   MATCH(E$1,役男大表!$A$3:$BF$3,0)  )="榮","x",  IF(  INDEX(役男大表!$A$1:$BF$95,MATCH($A21,役男大表!$A$1:$A$97,0),   MATCH(E$1,役男大表!$A$3:$BF$3,0)  )="榮-22",  "x榮18-22",               INDEX(役男大表!$A$1:$BF$95,MATCH($A21,役男大表!$A$1:$A$97,0),   MATCH(E$1,役男大表!$A$3:$BF$3,0)  )                  )  )  )," ",""),"")</f>
        <v>x榮18-22</v>
      </c>
      <c r="F21" s="278" t="str">
        <f>_xlfn.IFNA(  SUBSTITUTE(     IF(  INDEX(役男大表!$A$1:$BF$95,MATCH($A21,役男大表!$A$1:$A$97,0),   MATCH(F$1,役男大表!$A$3:$BF$3,0)  )=0,"",  IF(  INDEX(役男大表!$A$1:$BF$95,MATCH($A21,役男大表!$A$1:$A$97,0),   MATCH(F$1,役男大表!$A$3:$BF$3,0)  )="榮","x",  IF(  INDEX(役男大表!$A$1:$BF$95,MATCH($A21,役男大表!$A$1:$A$97,0),   MATCH(F$1,役男大表!$A$3:$BF$3,0)  )="榮-22",  "x榮18-22",               INDEX(役男大表!$A$1:$BF$95,MATCH($A21,役男大表!$A$1:$A$97,0),   MATCH(F$1,役男大表!$A$3:$BF$3,0)  )                  )  )  )," ",""),"")</f>
        <v/>
      </c>
      <c r="G21" s="278" t="str">
        <f>_xlfn.IFNA(  SUBSTITUTE(     IF(  INDEX(役男大表!$A$1:$BF$95,MATCH($A21,役男大表!$A$1:$A$97,0),   MATCH(G$1,役男大表!$A$3:$BF$3,0)  )=0,"",  IF(  INDEX(役男大表!$A$1:$BF$95,MATCH($A21,役男大表!$A$1:$A$97,0),   MATCH(G$1,役男大表!$A$3:$BF$3,0)  )="榮","x",  IF(  INDEX(役男大表!$A$1:$BF$95,MATCH($A21,役男大表!$A$1:$A$97,0),   MATCH(G$1,役男大表!$A$3:$BF$3,0)  )="榮-22",  "x榮18-22",               INDEX(役男大表!$A$1:$BF$95,MATCH($A21,役男大表!$A$1:$A$97,0),   MATCH(G$1,役男大表!$A$3:$BF$3,0)  )                  )  )  )," ",""),"")</f>
        <v/>
      </c>
      <c r="H21" s="278" t="str">
        <f>_xlfn.IFNA(  SUBSTITUTE(     IF(  INDEX(役男大表!$A$1:$BF$95,MATCH($A21,役男大表!$A$1:$A$97,0),   MATCH(H$1,役男大表!$A$3:$BF$3,0)  )=0,"",  IF(  INDEX(役男大表!$A$1:$BF$95,MATCH($A21,役男大表!$A$1:$A$97,0),   MATCH(H$1,役男大表!$A$3:$BF$3,0)  )="榮","x",  IF(  INDEX(役男大表!$A$1:$BF$95,MATCH($A21,役男大表!$A$1:$A$97,0),   MATCH(H$1,役男大表!$A$3:$BF$3,0)  )="榮-22",  "x榮18-22",               INDEX(役男大表!$A$1:$BF$95,MATCH($A21,役男大表!$A$1:$A$97,0),   MATCH(H$1,役男大表!$A$3:$BF$3,0)  )                  )  )  )," ",""),"")</f>
        <v/>
      </c>
      <c r="I21" s="278" t="str">
        <f>_xlfn.IFNA(  SUBSTITUTE(     IF(  INDEX(役男大表!$A$1:$BF$95,MATCH($A21,役男大表!$A$1:$A$97,0),   MATCH(I$1,役男大表!$A$3:$BF$3,0)  )=0,"",  IF(  INDEX(役男大表!$A$1:$BF$95,MATCH($A21,役男大表!$A$1:$A$97,0),   MATCH(I$1,役男大表!$A$3:$BF$3,0)  )="榮","x",  IF(  INDEX(役男大表!$A$1:$BF$95,MATCH($A21,役男大表!$A$1:$A$97,0),   MATCH(I$1,役男大表!$A$3:$BF$3,0)  )="榮-22",  "x榮18-22",               INDEX(役男大表!$A$1:$BF$95,MATCH($A21,役男大表!$A$1:$A$97,0),   MATCH(I$1,役男大表!$A$3:$BF$3,0)  )                  )  )  )," ",""),"")</f>
        <v/>
      </c>
      <c r="J21" s="278" t="str">
        <f>_xlfn.IFNA(  SUBSTITUTE(     IF(  INDEX(役男大表!$A$1:$BF$95,MATCH($A21,役男大表!$A$1:$A$97,0),   MATCH(J$1,役男大表!$A$3:$BF$3,0)  )=0,"",  IF(  INDEX(役男大表!$A$1:$BF$95,MATCH($A21,役男大表!$A$1:$A$97,0),   MATCH(J$1,役男大表!$A$3:$BF$3,0)  )="榮","x",  IF(  INDEX(役男大表!$A$1:$BF$95,MATCH($A21,役男大表!$A$1:$A$97,0),   MATCH(J$1,役男大表!$A$3:$BF$3,0)  )="榮-22",  "x榮18-22",               INDEX(役男大表!$A$1:$BF$95,MATCH($A21,役男大表!$A$1:$A$97,0),   MATCH(J$1,役男大表!$A$3:$BF$3,0)  )                  )  )  )," ",""),"")</f>
        <v/>
      </c>
      <c r="K21" s="278" t="str">
        <f>_xlfn.IFNA(  SUBSTITUTE(     IF(  INDEX(役男大表!$A$1:$BF$95,MATCH($A21,役男大表!$A$1:$A$97,0),   MATCH(K$1,役男大表!$A$3:$BF$3,0)  )=0,"",  IF(  INDEX(役男大表!$A$1:$BF$95,MATCH($A21,役男大表!$A$1:$A$97,0),   MATCH(K$1,役男大表!$A$3:$BF$3,0)  )="榮","x",  IF(  INDEX(役男大表!$A$1:$BF$95,MATCH($A21,役男大表!$A$1:$A$97,0),   MATCH(K$1,役男大表!$A$3:$BF$3,0)  )="榮-22",  "x榮18-22",               INDEX(役男大表!$A$1:$BF$95,MATCH($A21,役男大表!$A$1:$A$97,0),   MATCH(K$1,役男大表!$A$3:$BF$3,0)  )                  )  )  )," ",""),"")</f>
        <v>x</v>
      </c>
      <c r="L21" s="278" t="str">
        <f>_xlfn.IFNA(  SUBSTITUTE(     IF(  INDEX(役男大表!$A$1:$BF$95,MATCH($A21,役男大表!$A$1:$A$97,0),   MATCH(L$1,役男大表!$A$3:$BF$3,0)  )=0,"",  IF(  INDEX(役男大表!$A$1:$BF$95,MATCH($A21,役男大表!$A$1:$A$97,0),   MATCH(L$1,役男大表!$A$3:$BF$3,0)  )="榮","x",  IF(  INDEX(役男大表!$A$1:$BF$95,MATCH($A21,役男大表!$A$1:$A$97,0),   MATCH(L$1,役男大表!$A$3:$BF$3,0)  )="榮-22",  "x榮18-22",               INDEX(役男大表!$A$1:$BF$95,MATCH($A21,役男大表!$A$1:$A$97,0),   MATCH(L$1,役男大表!$A$3:$BF$3,0)  )                  )  )  )," ",""),"")</f>
        <v>x</v>
      </c>
      <c r="M21" s="278" t="str">
        <f>_xlfn.IFNA(  SUBSTITUTE(     IF(  INDEX(役男大表!$A$1:$BF$95,MATCH($A21,役男大表!$A$1:$A$97,0),   MATCH(M$1,役男大表!$A$3:$BF$3,0)  )=0,"",  IF(  INDEX(役男大表!$A$1:$BF$95,MATCH($A21,役男大表!$A$1:$A$97,0),   MATCH(M$1,役男大表!$A$3:$BF$3,0)  )="榮","x",  IF(  INDEX(役男大表!$A$1:$BF$95,MATCH($A21,役男大表!$A$1:$A$97,0),   MATCH(M$1,役男大表!$A$3:$BF$3,0)  )="榮-22",  "x榮18-22",               INDEX(役男大表!$A$1:$BF$95,MATCH($A21,役男大表!$A$1:$A$97,0),   MATCH(M$1,役男大表!$A$3:$BF$3,0)  )                  )  )  )," ",""),"")</f>
        <v>x</v>
      </c>
      <c r="N21" s="278" t="str">
        <f>_xlfn.IFNA(  SUBSTITUTE(     IF(  INDEX(役男大表!$A$1:$BF$95,MATCH($A21,役男大表!$A$1:$A$97,0),   MATCH(N$1,役男大表!$A$3:$BF$3,0)  )=0,"",  IF(  INDEX(役男大表!$A$1:$BF$95,MATCH($A21,役男大表!$A$1:$A$97,0),   MATCH(N$1,役男大表!$A$3:$BF$3,0)  )="榮","x",  IF(  INDEX(役男大表!$A$1:$BF$95,MATCH($A21,役男大表!$A$1:$A$97,0),   MATCH(N$1,役男大表!$A$3:$BF$3,0)  )="榮-22",  "x榮18-22",               INDEX(役男大表!$A$1:$BF$95,MATCH($A21,役男大表!$A$1:$A$97,0),   MATCH(N$1,役男大表!$A$3:$BF$3,0)  )                  )  )  )," ",""),"")</f>
        <v/>
      </c>
      <c r="O21" s="278" t="str">
        <f>_xlfn.IFNA(  SUBSTITUTE(     IF(  INDEX(役男大表!$A$1:$BF$95,MATCH($A21,役男大表!$A$1:$A$97,0),   MATCH(O$1,役男大表!$A$3:$BF$3,0)  )=0,"",  IF(  INDEX(役男大表!$A$1:$BF$95,MATCH($A21,役男大表!$A$1:$A$97,0),   MATCH(O$1,役男大表!$A$3:$BF$3,0)  )="榮","x",  IF(  INDEX(役男大表!$A$1:$BF$95,MATCH($A21,役男大表!$A$1:$A$97,0),   MATCH(O$1,役男大表!$A$3:$BF$3,0)  )="榮-22",  "x榮18-22",               INDEX(役男大表!$A$1:$BF$95,MATCH($A21,役男大表!$A$1:$A$97,0),   MATCH(O$1,役男大表!$A$3:$BF$3,0)  )                  )  )  )," ",""),"")</f>
        <v/>
      </c>
      <c r="P21" s="278" t="str">
        <f>_xlfn.IFNA(  SUBSTITUTE(     IF(  INDEX(役男大表!$A$1:$BF$95,MATCH($A21,役男大表!$A$1:$A$97,0),   MATCH(P$1,役男大表!$A$3:$BF$3,0)  )=0,"",  IF(  INDEX(役男大表!$A$1:$BF$95,MATCH($A21,役男大表!$A$1:$A$97,0),   MATCH(P$1,役男大表!$A$3:$BF$3,0)  )="榮","x",  IF(  INDEX(役男大表!$A$1:$BF$95,MATCH($A21,役男大表!$A$1:$A$97,0),   MATCH(P$1,役男大表!$A$3:$BF$3,0)  )="榮-22",  "x榮18-22",               INDEX(役男大表!$A$1:$BF$95,MATCH($A21,役男大表!$A$1:$A$97,0),   MATCH(P$1,役男大表!$A$3:$BF$3,0)  )                  )  )  )," ",""),"")</f>
        <v/>
      </c>
      <c r="Q21" s="278" t="str">
        <f>_xlfn.IFNA(  SUBSTITUTE(     IF(  INDEX(役男大表!$A$1:$BF$95,MATCH($A21,役男大表!$A$1:$A$97,0),   MATCH(Q$1,役男大表!$A$3:$BF$3,0)  )=0,"",  IF(  INDEX(役男大表!$A$1:$BF$95,MATCH($A21,役男大表!$A$1:$A$97,0),   MATCH(Q$1,役男大表!$A$3:$BF$3,0)  )="榮","x",  IF(  INDEX(役男大表!$A$1:$BF$95,MATCH($A21,役男大表!$A$1:$A$97,0),   MATCH(Q$1,役男大表!$A$3:$BF$3,0)  )="榮-22",  "x榮18-22",               INDEX(役男大表!$A$1:$BF$95,MATCH($A21,役男大表!$A$1:$A$97,0),   MATCH(Q$1,役男大表!$A$3:$BF$3,0)  )                  )  )  )," ",""),"")</f>
        <v/>
      </c>
      <c r="R21" s="278" t="str">
        <f>_xlfn.IFNA(  SUBSTITUTE(     IF(  INDEX(役男大表!$A$1:$BF$95,MATCH($A21,役男大表!$A$1:$A$97,0),   MATCH(R$1,役男大表!$A$3:$BF$3,0)  )=0,"",  IF(  INDEX(役男大表!$A$1:$BF$95,MATCH($A21,役男大表!$A$1:$A$97,0),   MATCH(R$1,役男大表!$A$3:$BF$3,0)  )="榮","x",  IF(  INDEX(役男大表!$A$1:$BF$95,MATCH($A21,役男大表!$A$1:$A$97,0),   MATCH(R$1,役男大表!$A$3:$BF$3,0)  )="榮-22",  "x榮18-22",               INDEX(役男大表!$A$1:$BF$95,MATCH($A21,役男大表!$A$1:$A$97,0),   MATCH(R$1,役男大表!$A$3:$BF$3,0)  )                  )  )  )," ",""),"")</f>
        <v>x</v>
      </c>
      <c r="S21" s="278" t="str">
        <f>_xlfn.IFNA(  SUBSTITUTE(     IF(  INDEX(役男大表!$A$1:$BF$95,MATCH($A21,役男大表!$A$1:$A$97,0),   MATCH(S$1,役男大表!$A$3:$BF$3,0)  )=0,"",  IF(  INDEX(役男大表!$A$1:$BF$95,MATCH($A21,役男大表!$A$1:$A$97,0),   MATCH(S$1,役男大表!$A$3:$BF$3,0)  )="榮","x",  IF(  INDEX(役男大表!$A$1:$BF$95,MATCH($A21,役男大表!$A$1:$A$97,0),   MATCH(S$1,役男大表!$A$3:$BF$3,0)  )="榮-22",  "x榮18-22",               INDEX(役男大表!$A$1:$BF$95,MATCH($A21,役男大表!$A$1:$A$97,0),   MATCH(S$1,役男大表!$A$3:$BF$3,0)  )                  )  )  )," ",""),"")</f>
        <v>x</v>
      </c>
      <c r="T21" s="278" t="str">
        <f>_xlfn.IFNA(  SUBSTITUTE(     IF(  INDEX(役男大表!$A$1:$BF$95,MATCH($A21,役男大表!$A$1:$A$97,0),   MATCH(T$1,役男大表!$A$3:$BF$3,0)  )=0,"",  IF(  INDEX(役男大表!$A$1:$BF$95,MATCH($A21,役男大表!$A$1:$A$97,0),   MATCH(T$1,役男大表!$A$3:$BF$3,0)  )="榮","x",  IF(  INDEX(役男大表!$A$1:$BF$95,MATCH($A21,役男大表!$A$1:$A$97,0),   MATCH(T$1,役男大表!$A$3:$BF$3,0)  )="榮-22",  "x榮18-22",               INDEX(役男大表!$A$1:$BF$95,MATCH($A21,役男大表!$A$1:$A$97,0),   MATCH(T$1,役男大表!$A$3:$BF$3,0)  )                  )  )  )," ",""),"")</f>
        <v/>
      </c>
      <c r="U21" s="278" t="str">
        <f>_xlfn.IFNA(  SUBSTITUTE(     IF(  INDEX(役男大表!$A$1:$BF$95,MATCH($A21,役男大表!$A$1:$A$97,0),   MATCH(U$1,役男大表!$A$3:$BF$3,0)  )=0,"",  IF(  INDEX(役男大表!$A$1:$BF$95,MATCH($A21,役男大表!$A$1:$A$97,0),   MATCH(U$1,役男大表!$A$3:$BF$3,0)  )="榮","x",  IF(  INDEX(役男大表!$A$1:$BF$95,MATCH($A21,役男大表!$A$1:$A$97,0),   MATCH(U$1,役男大表!$A$3:$BF$3,0)  )="榮-22",  "x榮18-22",               INDEX(役男大表!$A$1:$BF$95,MATCH($A21,役男大表!$A$1:$A$97,0),   MATCH(U$1,役男大表!$A$3:$BF$3,0)  )                  )  )  )," ",""),"")</f>
        <v/>
      </c>
      <c r="V21" s="278" t="str">
        <f>_xlfn.IFNA(  SUBSTITUTE(     IF(  INDEX(役男大表!$A$1:$BF$95,MATCH($A21,役男大表!$A$1:$A$97,0),   MATCH(V$1,役男大表!$A$3:$BF$3,0)  )=0,"",  IF(  INDEX(役男大表!$A$1:$BF$95,MATCH($A21,役男大表!$A$1:$A$97,0),   MATCH(V$1,役男大表!$A$3:$BF$3,0)  )="榮","x",  IF(  INDEX(役男大表!$A$1:$BF$95,MATCH($A21,役男大表!$A$1:$A$97,0),   MATCH(V$1,役男大表!$A$3:$BF$3,0)  )="榮-22",  "x榮18-22",               INDEX(役男大表!$A$1:$BF$95,MATCH($A21,役男大表!$A$1:$A$97,0),   MATCH(V$1,役男大表!$A$3:$BF$3,0)  )                  )  )  )," ",""),"")</f>
        <v/>
      </c>
      <c r="W21" s="278" t="str">
        <f>_xlfn.IFNA(  SUBSTITUTE(     IF(  INDEX(役男大表!$A$1:$BF$95,MATCH($A21,役男大表!$A$1:$A$97,0),   MATCH(W$1,役男大表!$A$3:$BF$3,0)  )=0,"",  IF(  INDEX(役男大表!$A$1:$BF$95,MATCH($A21,役男大表!$A$1:$A$97,0),   MATCH(W$1,役男大表!$A$3:$BF$3,0)  )="榮","x",  IF(  INDEX(役男大表!$A$1:$BF$95,MATCH($A21,役男大表!$A$1:$A$97,0),   MATCH(W$1,役男大表!$A$3:$BF$3,0)  )="榮-22",  "x榮18-22",               INDEX(役男大表!$A$1:$BF$95,MATCH($A21,役男大表!$A$1:$A$97,0),   MATCH(W$1,役男大表!$A$3:$BF$3,0)  )                  )  )  )," ",""),"")</f>
        <v>榮14-22</v>
      </c>
      <c r="X21" s="278" t="str">
        <f>_xlfn.IFNA(  SUBSTITUTE(     IF(  INDEX(役男大表!$A$1:$BF$95,MATCH($A21,役男大表!$A$1:$A$97,0),   MATCH(X$1,役男大表!$A$3:$BF$3,0)  )=0,"",  IF(  INDEX(役男大表!$A$1:$BF$95,MATCH($A21,役男大表!$A$1:$A$97,0),   MATCH(X$1,役男大表!$A$3:$BF$3,0)  )="榮","x",  IF(  INDEX(役男大表!$A$1:$BF$95,MATCH($A21,役男大表!$A$1:$A$97,0),   MATCH(X$1,役男大表!$A$3:$BF$3,0)  )="榮-22",  "x榮18-22",               INDEX(役男大表!$A$1:$BF$95,MATCH($A21,役男大表!$A$1:$A$97,0),   MATCH(X$1,役男大表!$A$3:$BF$3,0)  )                  )  )  )," ",""),"")</f>
        <v/>
      </c>
      <c r="Y21" s="278" t="str">
        <f>_xlfn.IFNA(  SUBSTITUTE(     IF(  INDEX(役男大表!$A$1:$BF$95,MATCH($A21,役男大表!$A$1:$A$97,0),   MATCH(Y$1,役男大表!$A$3:$BF$3,0)  )=0,"",  IF(  INDEX(役男大表!$A$1:$BF$95,MATCH($A21,役男大表!$A$1:$A$97,0),   MATCH(Y$1,役男大表!$A$3:$BF$3,0)  )="榮","x",  IF(  INDEX(役男大表!$A$1:$BF$95,MATCH($A21,役男大表!$A$1:$A$97,0),   MATCH(Y$1,役男大表!$A$3:$BF$3,0)  )="榮-22",  "x榮18-22",               INDEX(役男大表!$A$1:$BF$95,MATCH($A21,役男大表!$A$1:$A$97,0),   MATCH(Y$1,役男大表!$A$3:$BF$3,0)  )                  )  )  )," ",""),"")</f>
        <v>x</v>
      </c>
      <c r="Z21" s="278" t="str">
        <f>_xlfn.IFNA(  SUBSTITUTE(     IF(  INDEX(役男大表!$A$1:$BF$95,MATCH($A21,役男大表!$A$1:$A$97,0),   MATCH(Z$1,役男大表!$A$3:$BF$3,0)  )=0,"",  IF(  INDEX(役男大表!$A$1:$BF$95,MATCH($A21,役男大表!$A$1:$A$97,0),   MATCH(Z$1,役男大表!$A$3:$BF$3,0)  )="榮","x",  IF(  INDEX(役男大表!$A$1:$BF$95,MATCH($A21,役男大表!$A$1:$A$97,0),   MATCH(Z$1,役男大表!$A$3:$BF$3,0)  )="榮-22",  "x榮18-22",               INDEX(役男大表!$A$1:$BF$95,MATCH($A21,役男大表!$A$1:$A$97,0),   MATCH(Z$1,役男大表!$A$3:$BF$3,0)  )                  )  )  )," ",""),"")</f>
        <v>榮18-22</v>
      </c>
      <c r="AA21" s="278" t="str">
        <f>_xlfn.IFNA(  SUBSTITUTE(     IF(  INDEX(役男大表!$A$1:$BF$95,MATCH($A21,役男大表!$A$1:$A$97,0),   MATCH(AA$1,役男大表!$A$3:$BF$3,0)  )=0,"",  IF(  INDEX(役男大表!$A$1:$BF$95,MATCH($A21,役男大表!$A$1:$A$97,0),   MATCH(AA$1,役男大表!$A$3:$BF$3,0)  )="榮","x",  IF(  INDEX(役男大表!$A$1:$BF$95,MATCH($A21,役男大表!$A$1:$A$97,0),   MATCH(AA$1,役男大表!$A$3:$BF$3,0)  )="榮-22",  "x榮18-22",               INDEX(役男大表!$A$1:$BF$95,MATCH($A21,役男大表!$A$1:$A$97,0),   MATCH(AA$1,役男大表!$A$3:$BF$3,0)  )                  )  )  )," ",""),"")</f>
        <v/>
      </c>
      <c r="AB21" s="278" t="str">
        <f>_xlfn.IFNA(  SUBSTITUTE(     IF(  INDEX(役男大表!$A$1:$BF$95,MATCH($A21,役男大表!$A$1:$A$97,0),   MATCH(AB$1,役男大表!$A$3:$BF$3,0)  )=0,"",  IF(  INDEX(役男大表!$A$1:$BF$95,MATCH($A21,役男大表!$A$1:$A$97,0),   MATCH(AB$1,役男大表!$A$3:$BF$3,0)  )="榮","x",  IF(  INDEX(役男大表!$A$1:$BF$95,MATCH($A21,役男大表!$A$1:$A$97,0),   MATCH(AB$1,役男大表!$A$3:$BF$3,0)  )="榮-22",  "x榮18-22",               INDEX(役男大表!$A$1:$BF$95,MATCH($A21,役男大表!$A$1:$A$97,0),   MATCH(AB$1,役男大表!$A$3:$BF$3,0)  )                  )  )  )," ",""),"")</f>
        <v/>
      </c>
      <c r="AC21" s="278" t="str">
        <f>_xlfn.IFNA(  SUBSTITUTE(     IF(  INDEX(役男大表!$A$1:$BF$95,MATCH($A21,役男大表!$A$1:$A$97,0),   MATCH(AC$1,役男大表!$A$3:$BF$3,0)  )=0,"",  IF(  INDEX(役男大表!$A$1:$BF$95,MATCH($A21,役男大表!$A$1:$A$97,0),   MATCH(AC$1,役男大表!$A$3:$BF$3,0)  )="榮","x",  IF(  INDEX(役男大表!$A$1:$BF$95,MATCH($A21,役男大表!$A$1:$A$97,0),   MATCH(AC$1,役男大表!$A$3:$BF$3,0)  )="榮-22",  "x榮18-22",               INDEX(役男大表!$A$1:$BF$95,MATCH($A21,役男大表!$A$1:$A$97,0),   MATCH(AC$1,役男大表!$A$3:$BF$3,0)  )                  )  )  )," ",""),"")</f>
        <v/>
      </c>
      <c r="AD21" s="278" t="str">
        <f>_xlfn.IFNA(  SUBSTITUTE(     IF(  INDEX(役男大表!$A$1:$BF$95,MATCH($A21,役男大表!$A$1:$A$97,0),   MATCH(AD$1,役男大表!$A$3:$BF$3,0)  )=0,"",  IF(  INDEX(役男大表!$A$1:$BF$95,MATCH($A21,役男大表!$A$1:$A$97,0),   MATCH(AD$1,役男大表!$A$3:$BF$3,0)  )="榮","x",  IF(  INDEX(役男大表!$A$1:$BF$95,MATCH($A21,役男大表!$A$1:$A$97,0),   MATCH(AD$1,役男大表!$A$3:$BF$3,0)  )="榮-22",  "x榮18-22",               INDEX(役男大表!$A$1:$BF$95,MATCH($A21,役男大表!$A$1:$A$97,0),   MATCH(AD$1,役男大表!$A$3:$BF$3,0)  )                  )  )  )," ",""),"")</f>
        <v/>
      </c>
      <c r="AE21" s="278" t="str">
        <f>_xlfn.IFNA(  SUBSTITUTE(     IF(  INDEX(役男大表!$A$1:$BF$95,MATCH($A21,役男大表!$A$1:$A$97,0),   MATCH(AE$1,役男大表!$A$3:$BF$3,0)  )=0,"",  IF(  INDEX(役男大表!$A$1:$BF$95,MATCH($A21,役男大表!$A$1:$A$97,0),   MATCH(AE$1,役男大表!$A$3:$BF$3,0)  )="榮","x",  IF(  INDEX(役男大表!$A$1:$BF$95,MATCH($A21,役男大表!$A$1:$A$97,0),   MATCH(AE$1,役男大表!$A$3:$BF$3,0)  )="榮-22",  "x榮18-22",               INDEX(役男大表!$A$1:$BF$95,MATCH($A21,役男大表!$A$1:$A$97,0),   MATCH(AE$1,役男大表!$A$3:$BF$3,0)  )                  )  )  )," ",""),"")</f>
        <v/>
      </c>
      <c r="AF21" s="278" t="str">
        <f>_xlfn.IFNA(  SUBSTITUTE(     IF(  INDEX(役男大表!$A$1:$BF$95,MATCH($A21,役男大表!$A$1:$A$97,0),   MATCH(AF$1,役男大表!$A$3:$BF$3,0)  )=0,"",  IF(  INDEX(役男大表!$A$1:$BF$95,MATCH($A21,役男大表!$A$1:$A$97,0),   MATCH(AF$1,役男大表!$A$3:$BF$3,0)  )="榮","x",  IF(  INDEX(役男大表!$A$1:$BF$95,MATCH($A21,役男大表!$A$1:$A$97,0),   MATCH(AF$1,役男大表!$A$3:$BF$3,0)  )="榮-22",  "x榮18-22",               INDEX(役男大表!$A$1:$BF$95,MATCH($A21,役男大表!$A$1:$A$97,0),   MATCH(AF$1,役男大表!$A$3:$BF$3,0)  )                  )  )  )," ",""),"")</f>
        <v>x</v>
      </c>
      <c r="AG21" s="278" t="str">
        <f>_xlfn.IFNA(  SUBSTITUTE(     IF(  INDEX(役男大表!$A$1:$BF$95,MATCH($A21,役男大表!$A$1:$A$97,0),   MATCH(AG$1,役男大表!$A$3:$BF$3,0)  )=0,"",  IF(  INDEX(役男大表!$A$1:$BF$95,MATCH($A21,役男大表!$A$1:$A$97,0),   MATCH(AG$1,役男大表!$A$3:$BF$3,0)  )="榮","x",  IF(  INDEX(役男大表!$A$1:$BF$95,MATCH($A21,役男大表!$A$1:$A$97,0),   MATCH(AG$1,役男大表!$A$3:$BF$3,0)  )="榮-22",  "x榮18-22",               INDEX(役男大表!$A$1:$BF$95,MATCH($A21,役男大表!$A$1:$A$97,0),   MATCH(AG$1,役男大表!$A$3:$BF$3,0)  )                  )  )  )," ",""),"")</f>
        <v>x榮18-22</v>
      </c>
      <c r="AH21" s="278" t="str">
        <f>_xlfn.IFNA(  SUBSTITUTE(     IF(  INDEX(役男大表!$A$1:$BF$95,MATCH($A21,役男大表!$A$1:$A$97,0),   MATCH(AH$1,役男大表!$A$3:$BF$3,0)  )=0,"",  IF(  INDEX(役男大表!$A$1:$BF$95,MATCH($A21,役男大表!$A$1:$A$97,0),   MATCH(AH$1,役男大表!$A$3:$BF$3,0)  )="榮","x",  IF(  INDEX(役男大表!$A$1:$BF$95,MATCH($A21,役男大表!$A$1:$A$97,0),   MATCH(AH$1,役男大表!$A$3:$BF$3,0)  )="榮-22",  "x榮18-22",               INDEX(役男大表!$A$1:$BF$95,MATCH($A21,役男大表!$A$1:$A$97,0),   MATCH(AH$1,役男大表!$A$3:$BF$3,0)  )                  )  )  )," ",""),"")</f>
        <v/>
      </c>
      <c r="AI21" s="278" t="str">
        <f>_xlfn.IFNA(  SUBSTITUTE(     IF(  INDEX(役男大表!$A$1:$BF$95,MATCH($A21,役男大表!$A$1:$A$97,0),   MATCH(AI$1,役男大表!$A$3:$BF$3,0)  )=0,"",  IF(  INDEX(役男大表!$A$1:$BF$95,MATCH($A21,役男大表!$A$1:$A$97,0),   MATCH(AI$1,役男大表!$A$3:$BF$3,0)  )="榮","x",  IF(  INDEX(役男大表!$A$1:$BF$95,MATCH($A21,役男大表!$A$1:$A$97,0),   MATCH(AI$1,役男大表!$A$3:$BF$3,0)  )="榮-22",  "x榮18-22",               INDEX(役男大表!$A$1:$BF$95,MATCH($A21,役男大表!$A$1:$A$97,0),   MATCH(AI$1,役男大表!$A$3:$BF$3,0)  )                  )  )  )," ",""),"")</f>
        <v/>
      </c>
      <c r="AJ21" s="278" t="str">
        <f>_xlfn.IFNA(  SUBSTITUTE(     IF(  INDEX(役男大表!$A$1:$BF$95,MATCH($A21,役男大表!$A$1:$A$97,0),   MATCH(AJ$1,役男大表!$A$3:$BF$3,0)  )=0,"",  IF(  INDEX(役男大表!$A$1:$BF$95,MATCH($A21,役男大表!$A$1:$A$97,0),   MATCH(AJ$1,役男大表!$A$3:$BF$3,0)  )="榮","x",  IF(  INDEX(役男大表!$A$1:$BF$95,MATCH($A21,役男大表!$A$1:$A$97,0),   MATCH(AJ$1,役男大表!$A$3:$BF$3,0)  )="榮-22",  "x榮18-22",               INDEX(役男大表!$A$1:$BF$95,MATCH($A21,役男大表!$A$1:$A$97,0),   MATCH(AJ$1,役男大表!$A$3:$BF$3,0)  )                  )  )  )," ",""),"")</f>
        <v/>
      </c>
      <c r="AM21" s="66">
        <f t="shared" si="1"/>
        <v>20</v>
      </c>
      <c r="AN21" s="66" t="str">
        <f t="shared" si="2"/>
        <v>楊鈞翔</v>
      </c>
      <c r="AO21" s="71" t="str">
        <f>IF(  AND(  INDEX(   $A$42:$AJ$79, MATCH(AM21,$A$42:$A$79,0),MATCH(  日期輸入!$C$3,$A$42:$AL$42,0  )  )="全日勤",  AV21="免"  ),  "全日勤免勤教",  IF(  AND(  INDEX(   $A$42:$AJ$79, MATCH(AM21,$A$42:$A$79,0),MATCH(  日期輸入!$C$3,$A$42:$AL$42,0  )  )="18放",  AV21="免"  ),  "18放早走",  INDEX(   $A$42:$AJ$79, MATCH(AM21,$A$42:$A$79,0),MATCH(  日期輸入!$C$3,$A$42:$AL$42,0  )  )  )  )</f>
        <v>18收</v>
      </c>
      <c r="AP21" s="66" t="str">
        <f>_xlfn.IFNA(IF((ROW(AP21)-1)&lt;=暫1!$B$2,IF(VALUE($AM21)=暫1!B$3,"家因",IF(VALUE($AM21)=暫1!C$3,"家因",IF(VALUE($AM21)=暫1!D$3,"家因",IF(VALUE($AM21)=暫1!E$3,"家因",IF(VALUE($AM21)=暫1!F$3,"家因",IF(VALUE($AM21)=暫1!G$3,"家因",IF(VALUE($AM21)=暫1!H$3,"家因",IF(VALUE($AM21)=暫1!I$3,"家因",IF(VALUE($AM21)=暫1!J$3,"家因",IF(VALUE($AM21)=暫1!K$3,"家因",IF(VALUE($AM21)=暫1!L$3,"家因",IF(VALUE($AM21)=暫1!M$3,"家因",IF(VALUE($AM21)=暫1!N$3,"家因",IF(VALUE($AM21)=暫1!O$3,"家因",IF(VALUE($AM21)=暫1!P$3,"家因",IF(VALUE($AM21)=暫1!Q$3,"家因",IF(VALUE($AM21)=暫1!R$3,"家因",IF(VALUE($AM21)=暫1!S$3,"家因",IF(VALUE($AM21)=暫1!T$3,"家因",IF(VALUE($AM21)=暫1!U$3,"家因","")))))))))))))))))))),""),"")</f>
        <v/>
      </c>
      <c r="AQ21" s="66" t="str">
        <f>IF((ROW(AQ21)-1)&lt;=暫1!$B$2,_xlfn.IFNA(IF(INDEX($A$1:$AJ$41,MATCH($AN21,$B$1:$B$101,0),VALUE($AQ$1+3))="成","補",INDEX($A$1:$AJ$41,MATCH($AN21,$B$1:$B$101,0),VALUE($AQ$1+3))),""),"")</f>
        <v>x榮18-22</v>
      </c>
      <c r="AR21" s="66" t="str">
        <f>IF((ROW(AR21)-1)&lt;=暫1!$B$2,_xlfn.IFNA(IF(INDEX($A$1:$AJ$41,MATCH($AN21,$B$1:$B$101,0),VALUE($AR$1+3))="成","補",INDEX($A$1:$AJ$41,MATCH($AN21,$B$1:$B$101,0),VALUE($AR$1+3))),""),"")</f>
        <v/>
      </c>
      <c r="AS21" s="66" t="str">
        <f>IF((ROW(AS21)-1)&lt;=暫1!$B$2,_xlfn.IFNA(IF(INDEX($A$1:$AJ$41,MATCH($AN21,$B$1:$B$101,0),VALUE($AS$1+3))="成","補",INDEX($A$1:$AJ$41,MATCH($AN21,$B$1:$B$101,0),VALUE($AS$1+3))),""),"")</f>
        <v/>
      </c>
      <c r="AT21" s="66" t="str">
        <f>IF(  OR(  LEN(  INDEX(   $A$1:$AJ$39, MATCH(AM21,$A$1:$A$39,0),MATCH(  日期輸入!$C$3,$A$1:$AP$1,0  )  )  )&gt;LEN(  SUBSTITUTE(  INDEX(   $A$1:$AJ$39, MATCH(AM21,$A$1:$A$39,0),MATCH(  日期輸入!$C$3,$A$1:$AP$1,0  )  ),"榮","")  )  ),   SUBSTITUTE(  SUBSTITUTE(  INDEX(   $A$1:$AJ$39, MATCH(AM21,$A$1:$A$39,0),MATCH(  日期輸入!$C$3,$A$1:$AP$1,0  )  ),"榮",""),"x",""), "")</f>
        <v>18-22</v>
      </c>
      <c r="AU21" s="66" t="str">
        <f t="shared" si="3"/>
        <v>20(18-22時)</v>
      </c>
      <c r="AV21" s="66" t="str">
        <f>INDEX(   $A$482:$AJ$519, MATCH(AM21,$A$482:$A$519,0),MATCH(  日期輸入!$C$3,$A$482:$AL$482,0  )  )</f>
        <v/>
      </c>
      <c r="AX21" s="66" t="str">
        <f>IFERROR(IF((ROW(AX21)-1)&lt;=暫1!$B$2,SUBSTITUTE(IF($AO21=$AX$1,$AM21,"")," ",""),""),"")</f>
        <v/>
      </c>
      <c r="AY21" s="66" t="str">
        <f>IFERROR(IF((ROW(AY21)-1)&lt;=暫1!$B$2,SUBSTITUTE(IF($AO21=$AY$1,$AM21,"")," ",""),""),"")</f>
        <v/>
      </c>
      <c r="AZ21" s="66" t="str">
        <f>IFERROR(IF((ROW(AZ21)-1)&lt;=暫1!$B$2,SUBSTITUTE(IF($AO21=$AZ$1,$AM21,"")," ",""),""),"")</f>
        <v/>
      </c>
      <c r="BA21" s="66" t="str">
        <f>IFERROR(IF((ROW(BA21)-1)&lt;=暫1!$B$2,SUBSTITUTE(IF($AO21=$BA$1,$AM21,"")," ",""),""),"")</f>
        <v>20</v>
      </c>
      <c r="BB21" s="69" t="str">
        <f>IFERROR(IF((ROW(BB21)-1)&lt;=暫1!$B$2,SUBSTITUTE(IF(OR($AO21=$BB$1,$AO21=$AY$1,$AO21=$AZ$1),$AM21,IF($AO21=$AY$1,$AM21,"")),"",""),""),"")</f>
        <v/>
      </c>
      <c r="BC21" s="69" t="str">
        <f>IF(    AND(LEN(BC20)&gt;=2 ),        "、" &amp;  IF(OR(役男人力!$J$2:$J$84="是"),役男人力!$B22,""),  IF(OR(役男人力!$J$2:$J$84="是"),役男人力!$B22,"")  )</f>
        <v>、</v>
      </c>
      <c r="BG21" s="109" t="str">
        <f>INDEX(   A442:AJ479, 38,MATCH(  日期輸入!$C$3,A442:AP442,0  )  )</f>
        <v/>
      </c>
    </row>
    <row r="22" spans="1:59" ht="25.5" customHeight="1">
      <c r="A22" s="278">
        <v>21</v>
      </c>
      <c r="B22" s="278" t="str">
        <f>_xlfn.IFNA(  INDEX(役男大表!$A$1:$BF$95,MATCH(A22,役男大表!$A$1:$A$97,0),2),"")</f>
        <v>邱俊閎</v>
      </c>
      <c r="C22" s="278" t="str">
        <f>_xlfn.IFNA(  SUBSTITUTE(     IF(  INDEX(役男大表!$A$1:$BF$95,MATCH($A22,役男大表!$A$1:$A$97,0),   MATCH(C$1,役男大表!$A$3:$BF$3,0)  )=0,"",  IF(  INDEX(役男大表!$A$1:$BF$95,MATCH($A22,役男大表!$A$1:$A$97,0),   MATCH(C$1,役男大表!$A$3:$BF$3,0)  )="榮","x",  IF(  INDEX(役男大表!$A$1:$BF$95,MATCH($A22,役男大表!$A$1:$A$97,0),   MATCH(C$1,役男大表!$A$3:$BF$3,0)  )="榮-22",  "x榮18-22",               INDEX(役男大表!$A$1:$BF$95,MATCH($A22,役男大表!$A$1:$A$97,0),   MATCH(C$1,役男大表!$A$3:$BF$3,0)  )                  )  )  )," ",""),"")</f>
        <v/>
      </c>
      <c r="D22" s="278" t="str">
        <f>_xlfn.IFNA(  SUBSTITUTE(     IF(  INDEX(役男大表!$A$1:$BF$95,MATCH($A22,役男大表!$A$1:$A$97,0),   MATCH(D$1,役男大表!$A$3:$BF$3,0)  )=0,"",  IF(  INDEX(役男大表!$A$1:$BF$95,MATCH($A22,役男大表!$A$1:$A$97,0),   MATCH(D$1,役男大表!$A$3:$BF$3,0)  )="榮","x",  IF(  INDEX(役男大表!$A$1:$BF$95,MATCH($A22,役男大表!$A$1:$A$97,0),   MATCH(D$1,役男大表!$A$3:$BF$3,0)  )="榮-22",  "x榮18-22",               INDEX(役男大表!$A$1:$BF$95,MATCH($A22,役男大表!$A$1:$A$97,0),   MATCH(D$1,役男大表!$A$3:$BF$3,0)  )                  )  )  )," ",""),"")</f>
        <v>x</v>
      </c>
      <c r="E22" s="278" t="str">
        <f>_xlfn.IFNA(  SUBSTITUTE(     IF(  INDEX(役男大表!$A$1:$BF$95,MATCH($A22,役男大表!$A$1:$A$97,0),   MATCH(E$1,役男大表!$A$3:$BF$3,0)  )=0,"",  IF(  INDEX(役男大表!$A$1:$BF$95,MATCH($A22,役男大表!$A$1:$A$97,0),   MATCH(E$1,役男大表!$A$3:$BF$3,0)  )="榮","x",  IF(  INDEX(役男大表!$A$1:$BF$95,MATCH($A22,役男大表!$A$1:$A$97,0),   MATCH(E$1,役男大表!$A$3:$BF$3,0)  )="榮-22",  "x榮18-22",               INDEX(役男大表!$A$1:$BF$95,MATCH($A22,役男大表!$A$1:$A$97,0),   MATCH(E$1,役男大表!$A$3:$BF$3,0)  )                  )  )  )," ",""),"")</f>
        <v>x</v>
      </c>
      <c r="F22" s="278" t="str">
        <f>_xlfn.IFNA(  SUBSTITUTE(     IF(  INDEX(役男大表!$A$1:$BF$95,MATCH($A22,役男大表!$A$1:$A$97,0),   MATCH(F$1,役男大表!$A$3:$BF$3,0)  )=0,"",  IF(  INDEX(役男大表!$A$1:$BF$95,MATCH($A22,役男大表!$A$1:$A$97,0),   MATCH(F$1,役男大表!$A$3:$BF$3,0)  )="榮","x",  IF(  INDEX(役男大表!$A$1:$BF$95,MATCH($A22,役男大表!$A$1:$A$97,0),   MATCH(F$1,役男大表!$A$3:$BF$3,0)  )="榮-22",  "x榮18-22",               INDEX(役男大表!$A$1:$BF$95,MATCH($A22,役男大表!$A$1:$A$97,0),   MATCH(F$1,役男大表!$A$3:$BF$3,0)  )                  )  )  )," ",""),"")</f>
        <v>x</v>
      </c>
      <c r="G22" s="278" t="str">
        <f>_xlfn.IFNA(  SUBSTITUTE(     IF(  INDEX(役男大表!$A$1:$BF$95,MATCH($A22,役男大表!$A$1:$A$97,0),   MATCH(G$1,役男大表!$A$3:$BF$3,0)  )=0,"",  IF(  INDEX(役男大表!$A$1:$BF$95,MATCH($A22,役男大表!$A$1:$A$97,0),   MATCH(G$1,役男大表!$A$3:$BF$3,0)  )="榮","x",  IF(  INDEX(役男大表!$A$1:$BF$95,MATCH($A22,役男大表!$A$1:$A$97,0),   MATCH(G$1,役男大表!$A$3:$BF$3,0)  )="榮-22",  "x榮18-22",               INDEX(役男大表!$A$1:$BF$95,MATCH($A22,役男大表!$A$1:$A$97,0),   MATCH(G$1,役男大表!$A$3:$BF$3,0)  )                  )  )  )," ",""),"")</f>
        <v/>
      </c>
      <c r="H22" s="278" t="str">
        <f>_xlfn.IFNA(  SUBSTITUTE(     IF(  INDEX(役男大表!$A$1:$BF$95,MATCH($A22,役男大表!$A$1:$A$97,0),   MATCH(H$1,役男大表!$A$3:$BF$3,0)  )=0,"",  IF(  INDEX(役男大表!$A$1:$BF$95,MATCH($A22,役男大表!$A$1:$A$97,0),   MATCH(H$1,役男大表!$A$3:$BF$3,0)  )="榮","x",  IF(  INDEX(役男大表!$A$1:$BF$95,MATCH($A22,役男大表!$A$1:$A$97,0),   MATCH(H$1,役男大表!$A$3:$BF$3,0)  )="榮-22",  "x榮18-22",               INDEX(役男大表!$A$1:$BF$95,MATCH($A22,役男大表!$A$1:$A$97,0),   MATCH(H$1,役男大表!$A$3:$BF$3,0)  )                  )  )  )," ",""),"")</f>
        <v/>
      </c>
      <c r="I22" s="278" t="str">
        <f>_xlfn.IFNA(  SUBSTITUTE(     IF(  INDEX(役男大表!$A$1:$BF$95,MATCH($A22,役男大表!$A$1:$A$97,0),   MATCH(I$1,役男大表!$A$3:$BF$3,0)  )=0,"",  IF(  INDEX(役男大表!$A$1:$BF$95,MATCH($A22,役男大表!$A$1:$A$97,0),   MATCH(I$1,役男大表!$A$3:$BF$3,0)  )="榮","x",  IF(  INDEX(役男大表!$A$1:$BF$95,MATCH($A22,役男大表!$A$1:$A$97,0),   MATCH(I$1,役男大表!$A$3:$BF$3,0)  )="榮-22",  "x榮18-22",               INDEX(役男大表!$A$1:$BF$95,MATCH($A22,役男大表!$A$1:$A$97,0),   MATCH(I$1,役男大表!$A$3:$BF$3,0)  )                  )  )  )," ",""),"")</f>
        <v/>
      </c>
      <c r="J22" s="278" t="str">
        <f>_xlfn.IFNA(  SUBSTITUTE(     IF(  INDEX(役男大表!$A$1:$BF$95,MATCH($A22,役男大表!$A$1:$A$97,0),   MATCH(J$1,役男大表!$A$3:$BF$3,0)  )=0,"",  IF(  INDEX(役男大表!$A$1:$BF$95,MATCH($A22,役男大表!$A$1:$A$97,0),   MATCH(J$1,役男大表!$A$3:$BF$3,0)  )="榮","x",  IF(  INDEX(役男大表!$A$1:$BF$95,MATCH($A22,役男大表!$A$1:$A$97,0),   MATCH(J$1,役男大表!$A$3:$BF$3,0)  )="榮-22",  "x榮18-22",               INDEX(役男大表!$A$1:$BF$95,MATCH($A22,役男大表!$A$1:$A$97,0),   MATCH(J$1,役男大表!$A$3:$BF$3,0)  )                  )  )  )," ",""),"")</f>
        <v/>
      </c>
      <c r="K22" s="278" t="str">
        <f>_xlfn.IFNA(  SUBSTITUTE(     IF(  INDEX(役男大表!$A$1:$BF$95,MATCH($A22,役男大表!$A$1:$A$97,0),   MATCH(K$1,役男大表!$A$3:$BF$3,0)  )=0,"",  IF(  INDEX(役男大表!$A$1:$BF$95,MATCH($A22,役男大表!$A$1:$A$97,0),   MATCH(K$1,役男大表!$A$3:$BF$3,0)  )="榮","x",  IF(  INDEX(役男大表!$A$1:$BF$95,MATCH($A22,役男大表!$A$1:$A$97,0),   MATCH(K$1,役男大表!$A$3:$BF$3,0)  )="榮-22",  "x榮18-22",               INDEX(役男大表!$A$1:$BF$95,MATCH($A22,役男大表!$A$1:$A$97,0),   MATCH(K$1,役男大表!$A$3:$BF$3,0)  )                  )  )  )," ",""),"")</f>
        <v>x</v>
      </c>
      <c r="L22" s="278" t="str">
        <f>_xlfn.IFNA(  SUBSTITUTE(     IF(  INDEX(役男大表!$A$1:$BF$95,MATCH($A22,役男大表!$A$1:$A$97,0),   MATCH(L$1,役男大表!$A$3:$BF$3,0)  )=0,"",  IF(  INDEX(役男大表!$A$1:$BF$95,MATCH($A22,役男大表!$A$1:$A$97,0),   MATCH(L$1,役男大表!$A$3:$BF$3,0)  )="榮","x",  IF(  INDEX(役男大表!$A$1:$BF$95,MATCH($A22,役男大表!$A$1:$A$97,0),   MATCH(L$1,役男大表!$A$3:$BF$3,0)  )="榮-22",  "x榮18-22",               INDEX(役男大表!$A$1:$BF$95,MATCH($A22,役男大表!$A$1:$A$97,0),   MATCH(L$1,役男大表!$A$3:$BF$3,0)  )                  )  )  )," ",""),"")</f>
        <v>x</v>
      </c>
      <c r="M22" s="278" t="str">
        <f>_xlfn.IFNA(  SUBSTITUTE(     IF(  INDEX(役男大表!$A$1:$BF$95,MATCH($A22,役男大表!$A$1:$A$97,0),   MATCH(M$1,役男大表!$A$3:$BF$3,0)  )=0,"",  IF(  INDEX(役男大表!$A$1:$BF$95,MATCH($A22,役男大表!$A$1:$A$97,0),   MATCH(M$1,役男大表!$A$3:$BF$3,0)  )="榮","x",  IF(  INDEX(役男大表!$A$1:$BF$95,MATCH($A22,役男大表!$A$1:$A$97,0),   MATCH(M$1,役男大表!$A$3:$BF$3,0)  )="榮-22",  "x榮18-22",               INDEX(役男大表!$A$1:$BF$95,MATCH($A22,役男大表!$A$1:$A$97,0),   MATCH(M$1,役男大表!$A$3:$BF$3,0)  )                  )  )  )," ",""),"")</f>
        <v>x</v>
      </c>
      <c r="N22" s="278" t="str">
        <f>_xlfn.IFNA(  SUBSTITUTE(     IF(  INDEX(役男大表!$A$1:$BF$95,MATCH($A22,役男大表!$A$1:$A$97,0),   MATCH(N$1,役男大表!$A$3:$BF$3,0)  )=0,"",  IF(  INDEX(役男大表!$A$1:$BF$95,MATCH($A22,役男大表!$A$1:$A$97,0),   MATCH(N$1,役男大表!$A$3:$BF$3,0)  )="榮","x",  IF(  INDEX(役男大表!$A$1:$BF$95,MATCH($A22,役男大表!$A$1:$A$97,0),   MATCH(N$1,役男大表!$A$3:$BF$3,0)  )="榮-22",  "x榮18-22",               INDEX(役男大表!$A$1:$BF$95,MATCH($A22,役男大表!$A$1:$A$97,0),   MATCH(N$1,役男大表!$A$3:$BF$3,0)  )                  )  )  )," ",""),"")</f>
        <v/>
      </c>
      <c r="O22" s="278" t="str">
        <f>_xlfn.IFNA(  SUBSTITUTE(     IF(  INDEX(役男大表!$A$1:$BF$95,MATCH($A22,役男大表!$A$1:$A$97,0),   MATCH(O$1,役男大表!$A$3:$BF$3,0)  )=0,"",  IF(  INDEX(役男大表!$A$1:$BF$95,MATCH($A22,役男大表!$A$1:$A$97,0),   MATCH(O$1,役男大表!$A$3:$BF$3,0)  )="榮","x",  IF(  INDEX(役男大表!$A$1:$BF$95,MATCH($A22,役男大表!$A$1:$A$97,0),   MATCH(O$1,役男大表!$A$3:$BF$3,0)  )="榮-22",  "x榮18-22",               INDEX(役男大表!$A$1:$BF$95,MATCH($A22,役男大表!$A$1:$A$97,0),   MATCH(O$1,役男大表!$A$3:$BF$3,0)  )                  )  )  )," ",""),"")</f>
        <v/>
      </c>
      <c r="P22" s="278" t="str">
        <f>_xlfn.IFNA(  SUBSTITUTE(     IF(  INDEX(役男大表!$A$1:$BF$95,MATCH($A22,役男大表!$A$1:$A$97,0),   MATCH(P$1,役男大表!$A$3:$BF$3,0)  )=0,"",  IF(  INDEX(役男大表!$A$1:$BF$95,MATCH($A22,役男大表!$A$1:$A$97,0),   MATCH(P$1,役男大表!$A$3:$BF$3,0)  )="榮","x",  IF(  INDEX(役男大表!$A$1:$BF$95,MATCH($A22,役男大表!$A$1:$A$97,0),   MATCH(P$1,役男大表!$A$3:$BF$3,0)  )="榮-22",  "x榮18-22",               INDEX(役男大表!$A$1:$BF$95,MATCH($A22,役男大表!$A$1:$A$97,0),   MATCH(P$1,役男大表!$A$3:$BF$3,0)  )                  )  )  )," ",""),"")</f>
        <v/>
      </c>
      <c r="Q22" s="278" t="str">
        <f>_xlfn.IFNA(  SUBSTITUTE(     IF(  INDEX(役男大表!$A$1:$BF$95,MATCH($A22,役男大表!$A$1:$A$97,0),   MATCH(Q$1,役男大表!$A$3:$BF$3,0)  )=0,"",  IF(  INDEX(役男大表!$A$1:$BF$95,MATCH($A22,役男大表!$A$1:$A$97,0),   MATCH(Q$1,役男大表!$A$3:$BF$3,0)  )="榮","x",  IF(  INDEX(役男大表!$A$1:$BF$95,MATCH($A22,役男大表!$A$1:$A$97,0),   MATCH(Q$1,役男大表!$A$3:$BF$3,0)  )="榮-22",  "x榮18-22",               INDEX(役男大表!$A$1:$BF$95,MATCH($A22,役男大表!$A$1:$A$97,0),   MATCH(Q$1,役男大表!$A$3:$BF$3,0)  )                  )  )  )," ",""),"")</f>
        <v/>
      </c>
      <c r="R22" s="278" t="str">
        <f>_xlfn.IFNA(  SUBSTITUTE(     IF(  INDEX(役男大表!$A$1:$BF$95,MATCH($A22,役男大表!$A$1:$A$97,0),   MATCH(R$1,役男大表!$A$3:$BF$3,0)  )=0,"",  IF(  INDEX(役男大表!$A$1:$BF$95,MATCH($A22,役男大表!$A$1:$A$97,0),   MATCH(R$1,役男大表!$A$3:$BF$3,0)  )="榮","x",  IF(  INDEX(役男大表!$A$1:$BF$95,MATCH($A22,役男大表!$A$1:$A$97,0),   MATCH(R$1,役男大表!$A$3:$BF$3,0)  )="榮-22",  "x榮18-22",               INDEX(役男大表!$A$1:$BF$95,MATCH($A22,役男大表!$A$1:$A$97,0),   MATCH(R$1,役男大表!$A$3:$BF$3,0)  )                  )  )  )," ",""),"")</f>
        <v>x</v>
      </c>
      <c r="S22" s="278" t="str">
        <f>_xlfn.IFNA(  SUBSTITUTE(     IF(  INDEX(役男大表!$A$1:$BF$95,MATCH($A22,役男大表!$A$1:$A$97,0),   MATCH(S$1,役男大表!$A$3:$BF$3,0)  )=0,"",  IF(  INDEX(役男大表!$A$1:$BF$95,MATCH($A22,役男大表!$A$1:$A$97,0),   MATCH(S$1,役男大表!$A$3:$BF$3,0)  )="榮","x",  IF(  INDEX(役男大表!$A$1:$BF$95,MATCH($A22,役男大表!$A$1:$A$97,0),   MATCH(S$1,役男大表!$A$3:$BF$3,0)  )="榮-22",  "x榮18-22",               INDEX(役男大表!$A$1:$BF$95,MATCH($A22,役男大表!$A$1:$A$97,0),   MATCH(S$1,役男大表!$A$3:$BF$3,0)  )                  )  )  )," ",""),"")</f>
        <v>x</v>
      </c>
      <c r="T22" s="278" t="str">
        <f>_xlfn.IFNA(  SUBSTITUTE(     IF(  INDEX(役男大表!$A$1:$BF$95,MATCH($A22,役男大表!$A$1:$A$97,0),   MATCH(T$1,役男大表!$A$3:$BF$3,0)  )=0,"",  IF(  INDEX(役男大表!$A$1:$BF$95,MATCH($A22,役男大表!$A$1:$A$97,0),   MATCH(T$1,役男大表!$A$3:$BF$3,0)  )="榮","x",  IF(  INDEX(役男大表!$A$1:$BF$95,MATCH($A22,役男大表!$A$1:$A$97,0),   MATCH(T$1,役男大表!$A$3:$BF$3,0)  )="榮-22",  "x榮18-22",               INDEX(役男大表!$A$1:$BF$95,MATCH($A22,役男大表!$A$1:$A$97,0),   MATCH(T$1,役男大表!$A$3:$BF$3,0)  )                  )  )  )," ",""),"")</f>
        <v/>
      </c>
      <c r="U22" s="278" t="str">
        <f>_xlfn.IFNA(  SUBSTITUTE(     IF(  INDEX(役男大表!$A$1:$BF$95,MATCH($A22,役男大表!$A$1:$A$97,0),   MATCH(U$1,役男大表!$A$3:$BF$3,0)  )=0,"",  IF(  INDEX(役男大表!$A$1:$BF$95,MATCH($A22,役男大表!$A$1:$A$97,0),   MATCH(U$1,役男大表!$A$3:$BF$3,0)  )="榮","x",  IF(  INDEX(役男大表!$A$1:$BF$95,MATCH($A22,役男大表!$A$1:$A$97,0),   MATCH(U$1,役男大表!$A$3:$BF$3,0)  )="榮-22",  "x榮18-22",               INDEX(役男大表!$A$1:$BF$95,MATCH($A22,役男大表!$A$1:$A$97,0),   MATCH(U$1,役男大表!$A$3:$BF$3,0)  )                  )  )  )," ",""),"")</f>
        <v/>
      </c>
      <c r="V22" s="278" t="str">
        <f>_xlfn.IFNA(  SUBSTITUTE(     IF(  INDEX(役男大表!$A$1:$BF$95,MATCH($A22,役男大表!$A$1:$A$97,0),   MATCH(V$1,役男大表!$A$3:$BF$3,0)  )=0,"",  IF(  INDEX(役男大表!$A$1:$BF$95,MATCH($A22,役男大表!$A$1:$A$97,0),   MATCH(V$1,役男大表!$A$3:$BF$3,0)  )="榮","x",  IF(  INDEX(役男大表!$A$1:$BF$95,MATCH($A22,役男大表!$A$1:$A$97,0),   MATCH(V$1,役男大表!$A$3:$BF$3,0)  )="榮-22",  "x榮18-22",               INDEX(役男大表!$A$1:$BF$95,MATCH($A22,役男大表!$A$1:$A$97,0),   MATCH(V$1,役男大表!$A$3:$BF$3,0)  )                  )  )  )," ",""),"")</f>
        <v/>
      </c>
      <c r="W22" s="278" t="str">
        <f>_xlfn.IFNA(  SUBSTITUTE(     IF(  INDEX(役男大表!$A$1:$BF$95,MATCH($A22,役男大表!$A$1:$A$97,0),   MATCH(W$1,役男大表!$A$3:$BF$3,0)  )=0,"",  IF(  INDEX(役男大表!$A$1:$BF$95,MATCH($A22,役男大表!$A$1:$A$97,0),   MATCH(W$1,役男大表!$A$3:$BF$3,0)  )="榮","x",  IF(  INDEX(役男大表!$A$1:$BF$95,MATCH($A22,役男大表!$A$1:$A$97,0),   MATCH(W$1,役男大表!$A$3:$BF$3,0)  )="榮-22",  "x榮18-22",               INDEX(役男大表!$A$1:$BF$95,MATCH($A22,役男大表!$A$1:$A$97,0),   MATCH(W$1,役男大表!$A$3:$BF$3,0)  )                  )  )  )," ",""),"")</f>
        <v/>
      </c>
      <c r="X22" s="278" t="str">
        <f>_xlfn.IFNA(  SUBSTITUTE(     IF(  INDEX(役男大表!$A$1:$BF$95,MATCH($A22,役男大表!$A$1:$A$97,0),   MATCH(X$1,役男大表!$A$3:$BF$3,0)  )=0,"",  IF(  INDEX(役男大表!$A$1:$BF$95,MATCH($A22,役男大表!$A$1:$A$97,0),   MATCH(X$1,役男大表!$A$3:$BF$3,0)  )="榮","x",  IF(  INDEX(役男大表!$A$1:$BF$95,MATCH($A22,役男大表!$A$1:$A$97,0),   MATCH(X$1,役男大表!$A$3:$BF$3,0)  )="榮-22",  "x榮18-22",               INDEX(役男大表!$A$1:$BF$95,MATCH($A22,役男大表!$A$1:$A$97,0),   MATCH(X$1,役男大表!$A$3:$BF$3,0)  )                  )  )  )," ",""),"")</f>
        <v/>
      </c>
      <c r="Y22" s="278" t="str">
        <f>_xlfn.IFNA(  SUBSTITUTE(     IF(  INDEX(役男大表!$A$1:$BF$95,MATCH($A22,役男大表!$A$1:$A$97,0),   MATCH(Y$1,役男大表!$A$3:$BF$3,0)  )=0,"",  IF(  INDEX(役男大表!$A$1:$BF$95,MATCH($A22,役男大表!$A$1:$A$97,0),   MATCH(Y$1,役男大表!$A$3:$BF$3,0)  )="榮","x",  IF(  INDEX(役男大表!$A$1:$BF$95,MATCH($A22,役男大表!$A$1:$A$97,0),   MATCH(Y$1,役男大表!$A$3:$BF$3,0)  )="榮-22",  "x榮18-22",               INDEX(役男大表!$A$1:$BF$95,MATCH($A22,役男大表!$A$1:$A$97,0),   MATCH(Y$1,役男大表!$A$3:$BF$3,0)  )                  )  )  )," ",""),"")</f>
        <v>x</v>
      </c>
      <c r="Z22" s="278" t="str">
        <f>_xlfn.IFNA(  SUBSTITUTE(     IF(  INDEX(役男大表!$A$1:$BF$95,MATCH($A22,役男大表!$A$1:$A$97,0),   MATCH(Z$1,役男大表!$A$3:$BF$3,0)  )=0,"",  IF(  INDEX(役男大表!$A$1:$BF$95,MATCH($A22,役男大表!$A$1:$A$97,0),   MATCH(Z$1,役男大表!$A$3:$BF$3,0)  )="榮","x",  IF(  INDEX(役男大表!$A$1:$BF$95,MATCH($A22,役男大表!$A$1:$A$97,0),   MATCH(Z$1,役男大表!$A$3:$BF$3,0)  )="榮-22",  "x榮18-22",               INDEX(役男大表!$A$1:$BF$95,MATCH($A22,役男大表!$A$1:$A$97,0),   MATCH(Z$1,役男大表!$A$3:$BF$3,0)  )                  )  )  )," ",""),"")</f>
        <v>x</v>
      </c>
      <c r="AA22" s="278" t="str">
        <f>_xlfn.IFNA(  SUBSTITUTE(     IF(  INDEX(役男大表!$A$1:$BF$95,MATCH($A22,役男大表!$A$1:$A$97,0),   MATCH(AA$1,役男大表!$A$3:$BF$3,0)  )=0,"",  IF(  INDEX(役男大表!$A$1:$BF$95,MATCH($A22,役男大表!$A$1:$A$97,0),   MATCH(AA$1,役男大表!$A$3:$BF$3,0)  )="榮","x",  IF(  INDEX(役男大表!$A$1:$BF$95,MATCH($A22,役男大表!$A$1:$A$97,0),   MATCH(AA$1,役男大表!$A$3:$BF$3,0)  )="榮-22",  "x榮18-22",               INDEX(役男大表!$A$1:$BF$95,MATCH($A22,役男大表!$A$1:$A$97,0),   MATCH(AA$1,役男大表!$A$3:$BF$3,0)  )                  )  )  )," ",""),"")</f>
        <v/>
      </c>
      <c r="AB22" s="278" t="str">
        <f>_xlfn.IFNA(  SUBSTITUTE(     IF(  INDEX(役男大表!$A$1:$BF$95,MATCH($A22,役男大表!$A$1:$A$97,0),   MATCH(AB$1,役男大表!$A$3:$BF$3,0)  )=0,"",  IF(  INDEX(役男大表!$A$1:$BF$95,MATCH($A22,役男大表!$A$1:$A$97,0),   MATCH(AB$1,役男大表!$A$3:$BF$3,0)  )="榮","x",  IF(  INDEX(役男大表!$A$1:$BF$95,MATCH($A22,役男大表!$A$1:$A$97,0),   MATCH(AB$1,役男大表!$A$3:$BF$3,0)  )="榮-22",  "x榮18-22",               INDEX(役男大表!$A$1:$BF$95,MATCH($A22,役男大表!$A$1:$A$97,0),   MATCH(AB$1,役男大表!$A$3:$BF$3,0)  )                  )  )  )," ",""),"")</f>
        <v/>
      </c>
      <c r="AC22" s="278" t="str">
        <f>_xlfn.IFNA(  SUBSTITUTE(     IF(  INDEX(役男大表!$A$1:$BF$95,MATCH($A22,役男大表!$A$1:$A$97,0),   MATCH(AC$1,役男大表!$A$3:$BF$3,0)  )=0,"",  IF(  INDEX(役男大表!$A$1:$BF$95,MATCH($A22,役男大表!$A$1:$A$97,0),   MATCH(AC$1,役男大表!$A$3:$BF$3,0)  )="榮","x",  IF(  INDEX(役男大表!$A$1:$BF$95,MATCH($A22,役男大表!$A$1:$A$97,0),   MATCH(AC$1,役男大表!$A$3:$BF$3,0)  )="榮-22",  "x榮18-22",               INDEX(役男大表!$A$1:$BF$95,MATCH($A22,役男大表!$A$1:$A$97,0),   MATCH(AC$1,役男大表!$A$3:$BF$3,0)  )                  )  )  )," ",""),"")</f>
        <v/>
      </c>
      <c r="AD22" s="278" t="str">
        <f>_xlfn.IFNA(  SUBSTITUTE(     IF(  INDEX(役男大表!$A$1:$BF$95,MATCH($A22,役男大表!$A$1:$A$97,0),   MATCH(AD$1,役男大表!$A$3:$BF$3,0)  )=0,"",  IF(  INDEX(役男大表!$A$1:$BF$95,MATCH($A22,役男大表!$A$1:$A$97,0),   MATCH(AD$1,役男大表!$A$3:$BF$3,0)  )="榮","x",  IF(  INDEX(役男大表!$A$1:$BF$95,MATCH($A22,役男大表!$A$1:$A$97,0),   MATCH(AD$1,役男大表!$A$3:$BF$3,0)  )="榮-22",  "x榮18-22",               INDEX(役男大表!$A$1:$BF$95,MATCH($A22,役男大表!$A$1:$A$97,0),   MATCH(AD$1,役男大表!$A$3:$BF$3,0)  )                  )  )  )," ",""),"")</f>
        <v/>
      </c>
      <c r="AE22" s="278" t="str">
        <f>_xlfn.IFNA(  SUBSTITUTE(     IF(  INDEX(役男大表!$A$1:$BF$95,MATCH($A22,役男大表!$A$1:$A$97,0),   MATCH(AE$1,役男大表!$A$3:$BF$3,0)  )=0,"",  IF(  INDEX(役男大表!$A$1:$BF$95,MATCH($A22,役男大表!$A$1:$A$97,0),   MATCH(AE$1,役男大表!$A$3:$BF$3,0)  )="榮","x",  IF(  INDEX(役男大表!$A$1:$BF$95,MATCH($A22,役男大表!$A$1:$A$97,0),   MATCH(AE$1,役男大表!$A$3:$BF$3,0)  )="榮-22",  "x榮18-22",               INDEX(役男大表!$A$1:$BF$95,MATCH($A22,役男大表!$A$1:$A$97,0),   MATCH(AE$1,役男大表!$A$3:$BF$3,0)  )                  )  )  )," ",""),"")</f>
        <v/>
      </c>
      <c r="AF22" s="278" t="str">
        <f>_xlfn.IFNA(  SUBSTITUTE(     IF(  INDEX(役男大表!$A$1:$BF$95,MATCH($A22,役男大表!$A$1:$A$97,0),   MATCH(AF$1,役男大表!$A$3:$BF$3,0)  )=0,"",  IF(  INDEX(役男大表!$A$1:$BF$95,MATCH($A22,役男大表!$A$1:$A$97,0),   MATCH(AF$1,役男大表!$A$3:$BF$3,0)  )="榮","x",  IF(  INDEX(役男大表!$A$1:$BF$95,MATCH($A22,役男大表!$A$1:$A$97,0),   MATCH(AF$1,役男大表!$A$3:$BF$3,0)  )="榮-22",  "x榮18-22",               INDEX(役男大表!$A$1:$BF$95,MATCH($A22,役男大表!$A$1:$A$97,0),   MATCH(AF$1,役男大表!$A$3:$BF$3,0)  )                  )  )  )," ",""),"")</f>
        <v>x</v>
      </c>
      <c r="AG22" s="278" t="str">
        <f>_xlfn.IFNA(  SUBSTITUTE(     IF(  INDEX(役男大表!$A$1:$BF$95,MATCH($A22,役男大表!$A$1:$A$97,0),   MATCH(AG$1,役男大表!$A$3:$BF$3,0)  )=0,"",  IF(  INDEX(役男大表!$A$1:$BF$95,MATCH($A22,役男大表!$A$1:$A$97,0),   MATCH(AG$1,役男大表!$A$3:$BF$3,0)  )="榮","x",  IF(  INDEX(役男大表!$A$1:$BF$95,MATCH($A22,役男大表!$A$1:$A$97,0),   MATCH(AG$1,役男大表!$A$3:$BF$3,0)  )="榮-22",  "x榮18-22",               INDEX(役男大表!$A$1:$BF$95,MATCH($A22,役男大表!$A$1:$A$97,0),   MATCH(AG$1,役男大表!$A$3:$BF$3,0)  )                  )  )  )," ",""),"")</f>
        <v>x</v>
      </c>
      <c r="AH22" s="278" t="str">
        <f>_xlfn.IFNA(  SUBSTITUTE(     IF(  INDEX(役男大表!$A$1:$BF$95,MATCH($A22,役男大表!$A$1:$A$97,0),   MATCH(AH$1,役男大表!$A$3:$BF$3,0)  )=0,"",  IF(  INDEX(役男大表!$A$1:$BF$95,MATCH($A22,役男大表!$A$1:$A$97,0),   MATCH(AH$1,役男大表!$A$3:$BF$3,0)  )="榮","x",  IF(  INDEX(役男大表!$A$1:$BF$95,MATCH($A22,役男大表!$A$1:$A$97,0),   MATCH(AH$1,役男大表!$A$3:$BF$3,0)  )="榮-22",  "x榮18-22",               INDEX(役男大表!$A$1:$BF$95,MATCH($A22,役男大表!$A$1:$A$97,0),   MATCH(AH$1,役男大表!$A$3:$BF$3,0)  )                  )  )  )," ",""),"")</f>
        <v/>
      </c>
      <c r="AI22" s="278" t="str">
        <f>_xlfn.IFNA(  SUBSTITUTE(     IF(  INDEX(役男大表!$A$1:$BF$95,MATCH($A22,役男大表!$A$1:$A$97,0),   MATCH(AI$1,役男大表!$A$3:$BF$3,0)  )=0,"",  IF(  INDEX(役男大表!$A$1:$BF$95,MATCH($A22,役男大表!$A$1:$A$97,0),   MATCH(AI$1,役男大表!$A$3:$BF$3,0)  )="榮","x",  IF(  INDEX(役男大表!$A$1:$BF$95,MATCH($A22,役男大表!$A$1:$A$97,0),   MATCH(AI$1,役男大表!$A$3:$BF$3,0)  )="榮-22",  "x榮18-22",               INDEX(役男大表!$A$1:$BF$95,MATCH($A22,役男大表!$A$1:$A$97,0),   MATCH(AI$1,役男大表!$A$3:$BF$3,0)  )                  )  )  )," ",""),"")</f>
        <v/>
      </c>
      <c r="AJ22" s="278" t="str">
        <f>_xlfn.IFNA(  SUBSTITUTE(     IF(  INDEX(役男大表!$A$1:$BF$95,MATCH($A22,役男大表!$A$1:$A$97,0),   MATCH(AJ$1,役男大表!$A$3:$BF$3,0)  )=0,"",  IF(  INDEX(役男大表!$A$1:$BF$95,MATCH($A22,役男大表!$A$1:$A$97,0),   MATCH(AJ$1,役男大表!$A$3:$BF$3,0)  )="榮","x",  IF(  INDEX(役男大表!$A$1:$BF$95,MATCH($A22,役男大表!$A$1:$A$97,0),   MATCH(AJ$1,役男大表!$A$3:$BF$3,0)  )="榮-22",  "x榮18-22",               INDEX(役男大表!$A$1:$BF$95,MATCH($A22,役男大表!$A$1:$A$97,0),   MATCH(AJ$1,役男大表!$A$3:$BF$3,0)  )                  )  )  )," ",""),"")</f>
        <v/>
      </c>
      <c r="AM22" s="66">
        <f t="shared" si="1"/>
        <v>21</v>
      </c>
      <c r="AN22" s="66" t="str">
        <f t="shared" si="2"/>
        <v>邱俊閎</v>
      </c>
      <c r="AO22" s="71" t="str">
        <f>IF(  AND(  INDEX(   $A$42:$AJ$79, MATCH(AM22,$A$42:$A$79,0),MATCH(  日期輸入!$C$3,$A$42:$AL$42,0  )  )="全日勤",  AV22="免"  ),  "全日勤免勤教",  IF(  AND(  INDEX(   $A$42:$AJ$79, MATCH(AM22,$A$42:$A$79,0),MATCH(  日期輸入!$C$3,$A$42:$AL$42,0  )  )="18放",  AV22="免"  ),  "18放早走",  INDEX(   $A$42:$AJ$79, MATCH(AM22,$A$42:$A$79,0),MATCH(  日期輸入!$C$3,$A$42:$AL$42,0  )  )  )  )</f>
        <v>18收</v>
      </c>
      <c r="AP22" s="66" t="str">
        <f>_xlfn.IFNA(IF((ROW(AP22)-1)&lt;=暫1!$B$2,IF(VALUE($AM22)=暫1!B$3,"家因",IF(VALUE($AM22)=暫1!C$3,"家因",IF(VALUE($AM22)=暫1!D$3,"家因",IF(VALUE($AM22)=暫1!E$3,"家因",IF(VALUE($AM22)=暫1!F$3,"家因",IF(VALUE($AM22)=暫1!G$3,"家因",IF(VALUE($AM22)=暫1!H$3,"家因",IF(VALUE($AM22)=暫1!I$3,"家因",IF(VALUE($AM22)=暫1!J$3,"家因",IF(VALUE($AM22)=暫1!K$3,"家因",IF(VALUE($AM22)=暫1!L$3,"家因",IF(VALUE($AM22)=暫1!M$3,"家因",IF(VALUE($AM22)=暫1!N$3,"家因",IF(VALUE($AM22)=暫1!O$3,"家因",IF(VALUE($AM22)=暫1!P$3,"家因",IF(VALUE($AM22)=暫1!Q$3,"家因",IF(VALUE($AM22)=暫1!R$3,"家因",IF(VALUE($AM22)=暫1!S$3,"家因",IF(VALUE($AM22)=暫1!T$3,"家因",IF(VALUE($AM22)=暫1!U$3,"家因","")))))))))))))))))))),""),"")</f>
        <v/>
      </c>
      <c r="AQ22" s="66" t="str">
        <f>IF((ROW(AQ22)-1)&lt;=暫1!$B$2,_xlfn.IFNA(IF(INDEX($A$1:$AJ$41,MATCH($AN22,$B$1:$B$101,0),VALUE($AQ$1+3))="成","補",INDEX($A$1:$AJ$41,MATCH($AN22,$B$1:$B$101,0),VALUE($AQ$1+3))),""),"")</f>
        <v>x</v>
      </c>
      <c r="AR22" s="66" t="str">
        <f>IF((ROW(AR22)-1)&lt;=暫1!$B$2,_xlfn.IFNA(IF(INDEX($A$1:$AJ$41,MATCH($AN22,$B$1:$B$101,0),VALUE($AR$1+3))="成","補",INDEX($A$1:$AJ$41,MATCH($AN22,$B$1:$B$101,0),VALUE($AR$1+3))),""),"")</f>
        <v/>
      </c>
      <c r="AS22" s="66" t="str">
        <f>IF((ROW(AS22)-1)&lt;=暫1!$B$2,_xlfn.IFNA(IF(INDEX($A$1:$AJ$41,MATCH($AN22,$B$1:$B$101,0),VALUE($AS$1+3))="成","補",INDEX($A$1:$AJ$41,MATCH($AN22,$B$1:$B$101,0),VALUE($AS$1+3))),""),"")</f>
        <v/>
      </c>
      <c r="AT22" s="66" t="str">
        <f>IF(  OR(  LEN(  INDEX(   $A$1:$AJ$39, MATCH(AM22,$A$1:$A$39,0),MATCH(  日期輸入!$C$3,$A$1:$AP$1,0  )  )  )&gt;LEN(  SUBSTITUTE(  INDEX(   $A$1:$AJ$39, MATCH(AM22,$A$1:$A$39,0),MATCH(  日期輸入!$C$3,$A$1:$AP$1,0  )  ),"榮","")  )  ),   SUBSTITUTE(  SUBSTITUTE(  INDEX(   $A$1:$AJ$39, MATCH(AM22,$A$1:$A$39,0),MATCH(  日期輸入!$C$3,$A$1:$AP$1,0  )  ),"榮",""),"x",""), "")</f>
        <v/>
      </c>
      <c r="AU22" s="66" t="str">
        <f t="shared" si="3"/>
        <v/>
      </c>
      <c r="AV22" s="66" t="str">
        <f>INDEX(   $A$482:$AJ$519, MATCH(AM22,$A$482:$A$519,0),MATCH(  日期輸入!$C$3,$A$482:$AL$482,0  )  )</f>
        <v/>
      </c>
      <c r="AX22" s="66" t="str">
        <f>IFERROR(IF((ROW(AX22)-1)&lt;=暫1!$B$2,SUBSTITUTE(IF($AO22=$AX$1,$AM22,"")," ",""),""),"")</f>
        <v/>
      </c>
      <c r="AY22" s="66" t="str">
        <f>IFERROR(IF((ROW(AY22)-1)&lt;=暫1!$B$2,SUBSTITUTE(IF($AO22=$AY$1,$AM22,"")," ",""),""),"")</f>
        <v/>
      </c>
      <c r="AZ22" s="66" t="str">
        <f>IFERROR(IF((ROW(AZ22)-1)&lt;=暫1!$B$2,SUBSTITUTE(IF($AO22=$AZ$1,$AM22,"")," ",""),""),"")</f>
        <v/>
      </c>
      <c r="BA22" s="66" t="str">
        <f>IFERROR(IF((ROW(BA22)-1)&lt;=暫1!$B$2,SUBSTITUTE(IF($AO22=$BA$1,$AM22,"")," ",""),""),"")</f>
        <v>21</v>
      </c>
      <c r="BB22" s="69" t="str">
        <f>IFERROR(IF((ROW(BB22)-1)&lt;=暫1!$B$2,SUBSTITUTE(IF(OR($AO22=$BB$1,$AO22=$AY$1,$AO22=$AZ$1),$AM22,IF($AO22=$AY$1,$AM22,"")),"",""),""),"")</f>
        <v/>
      </c>
      <c r="BC22" s="69" t="str">
        <f>IF(    AND(LEN(BC21)&gt;=2 ),        "、" &amp;  IF(OR(役男人力!$J$2:$J$84="是"),役男人力!$B23,""),  IF(OR(役男人力!$J$2:$J$84="是"),役男人力!$B23,"")  )</f>
        <v/>
      </c>
      <c r="BG22" s="97" t="s">
        <v>293</v>
      </c>
    </row>
    <row r="23" spans="1:59" ht="25.5" customHeight="1" thickBot="1">
      <c r="A23" s="278">
        <v>22</v>
      </c>
      <c r="B23" s="278" t="str">
        <f>_xlfn.IFNA(  INDEX(役男大表!$A$1:$BF$95,MATCH(A23,役男大表!$A$1:$A$97,0),2),"")</f>
        <v>陳奕欣</v>
      </c>
      <c r="C23" s="278" t="str">
        <f>_xlfn.IFNA(  SUBSTITUTE(     IF(  INDEX(役男大表!$A$1:$BF$95,MATCH($A23,役男大表!$A$1:$A$97,0),   MATCH(C$1,役男大表!$A$3:$BF$3,0)  )=0,"",  IF(  INDEX(役男大表!$A$1:$BF$95,MATCH($A23,役男大表!$A$1:$A$97,0),   MATCH(C$1,役男大表!$A$3:$BF$3,0)  )="榮","x",  IF(  INDEX(役男大表!$A$1:$BF$95,MATCH($A23,役男大表!$A$1:$A$97,0),   MATCH(C$1,役男大表!$A$3:$BF$3,0)  )="榮-22",  "x榮18-22",               INDEX(役男大表!$A$1:$BF$95,MATCH($A23,役男大表!$A$1:$A$97,0),   MATCH(C$1,役男大表!$A$3:$BF$3,0)  )                  )  )  )," ",""),"")</f>
        <v/>
      </c>
      <c r="D23" s="278" t="str">
        <f>_xlfn.IFNA(  SUBSTITUTE(     IF(  INDEX(役男大表!$A$1:$BF$95,MATCH($A23,役男大表!$A$1:$A$97,0),   MATCH(D$1,役男大表!$A$3:$BF$3,0)  )=0,"",  IF(  INDEX(役男大表!$A$1:$BF$95,MATCH($A23,役男大表!$A$1:$A$97,0),   MATCH(D$1,役男大表!$A$3:$BF$3,0)  )="榮","x",  IF(  INDEX(役男大表!$A$1:$BF$95,MATCH($A23,役男大表!$A$1:$A$97,0),   MATCH(D$1,役男大表!$A$3:$BF$3,0)  )="榮-22",  "x榮18-22",               INDEX(役男大表!$A$1:$BF$95,MATCH($A23,役男大表!$A$1:$A$97,0),   MATCH(D$1,役男大表!$A$3:$BF$3,0)  )                  )  )  )," ",""),"")</f>
        <v/>
      </c>
      <c r="E23" s="278" t="str">
        <f>_xlfn.IFNA(  SUBSTITUTE(     IF(  INDEX(役男大表!$A$1:$BF$95,MATCH($A23,役男大表!$A$1:$A$97,0),   MATCH(E$1,役男大表!$A$3:$BF$3,0)  )=0,"",  IF(  INDEX(役男大表!$A$1:$BF$95,MATCH($A23,役男大表!$A$1:$A$97,0),   MATCH(E$1,役男大表!$A$3:$BF$3,0)  )="榮","x",  IF(  INDEX(役男大表!$A$1:$BF$95,MATCH($A23,役男大表!$A$1:$A$97,0),   MATCH(E$1,役男大表!$A$3:$BF$3,0)  )="榮-22",  "x榮18-22",               INDEX(役男大表!$A$1:$BF$95,MATCH($A23,役男大表!$A$1:$A$97,0),   MATCH(E$1,役男大表!$A$3:$BF$3,0)  )                  )  )  )," ",""),"")</f>
        <v>x</v>
      </c>
      <c r="F23" s="278" t="str">
        <f>_xlfn.IFNA(  SUBSTITUTE(     IF(  INDEX(役男大表!$A$1:$BF$95,MATCH($A23,役男大表!$A$1:$A$97,0),   MATCH(F$1,役男大表!$A$3:$BF$3,0)  )=0,"",  IF(  INDEX(役男大表!$A$1:$BF$95,MATCH($A23,役男大表!$A$1:$A$97,0),   MATCH(F$1,役男大表!$A$3:$BF$3,0)  )="榮","x",  IF(  INDEX(役男大表!$A$1:$BF$95,MATCH($A23,役男大表!$A$1:$A$97,0),   MATCH(F$1,役男大表!$A$3:$BF$3,0)  )="榮-22",  "x榮18-22",               INDEX(役男大表!$A$1:$BF$95,MATCH($A23,役男大表!$A$1:$A$97,0),   MATCH(F$1,役男大表!$A$3:$BF$3,0)  )                  )  )  )," ",""),"")</f>
        <v>x榮18-22</v>
      </c>
      <c r="G23" s="278" t="str">
        <f>_xlfn.IFNA(  SUBSTITUTE(     IF(  INDEX(役男大表!$A$1:$BF$95,MATCH($A23,役男大表!$A$1:$A$97,0),   MATCH(G$1,役男大表!$A$3:$BF$3,0)  )=0,"",  IF(  INDEX(役男大表!$A$1:$BF$95,MATCH($A23,役男大表!$A$1:$A$97,0),   MATCH(G$1,役男大表!$A$3:$BF$3,0)  )="榮","x",  IF(  INDEX(役男大表!$A$1:$BF$95,MATCH($A23,役男大表!$A$1:$A$97,0),   MATCH(G$1,役男大表!$A$3:$BF$3,0)  )="榮-22",  "x榮18-22",               INDEX(役男大表!$A$1:$BF$95,MATCH($A23,役男大表!$A$1:$A$97,0),   MATCH(G$1,役男大表!$A$3:$BF$3,0)  )                  )  )  )," ",""),"")</f>
        <v/>
      </c>
      <c r="H23" s="278" t="str">
        <f>_xlfn.IFNA(  SUBSTITUTE(     IF(  INDEX(役男大表!$A$1:$BF$95,MATCH($A23,役男大表!$A$1:$A$97,0),   MATCH(H$1,役男大表!$A$3:$BF$3,0)  )=0,"",  IF(  INDEX(役男大表!$A$1:$BF$95,MATCH($A23,役男大表!$A$1:$A$97,0),   MATCH(H$1,役男大表!$A$3:$BF$3,0)  )="榮","x",  IF(  INDEX(役男大表!$A$1:$BF$95,MATCH($A23,役男大表!$A$1:$A$97,0),   MATCH(H$1,役男大表!$A$3:$BF$3,0)  )="榮-22",  "x榮18-22",               INDEX(役男大表!$A$1:$BF$95,MATCH($A23,役男大表!$A$1:$A$97,0),   MATCH(H$1,役男大表!$A$3:$BF$3,0)  )                  )  )  )," ",""),"")</f>
        <v/>
      </c>
      <c r="I23" s="278" t="str">
        <f>_xlfn.IFNA(  SUBSTITUTE(     IF(  INDEX(役男大表!$A$1:$BF$95,MATCH($A23,役男大表!$A$1:$A$97,0),   MATCH(I$1,役男大表!$A$3:$BF$3,0)  )=0,"",  IF(  INDEX(役男大表!$A$1:$BF$95,MATCH($A23,役男大表!$A$1:$A$97,0),   MATCH(I$1,役男大表!$A$3:$BF$3,0)  )="榮","x",  IF(  INDEX(役男大表!$A$1:$BF$95,MATCH($A23,役男大表!$A$1:$A$97,0),   MATCH(I$1,役男大表!$A$3:$BF$3,0)  )="榮-22",  "x榮18-22",               INDEX(役男大表!$A$1:$BF$95,MATCH($A23,役男大表!$A$1:$A$97,0),   MATCH(I$1,役男大表!$A$3:$BF$3,0)  )                  )  )  )," ",""),"")</f>
        <v/>
      </c>
      <c r="J23" s="278" t="str">
        <f>_xlfn.IFNA(  SUBSTITUTE(     IF(  INDEX(役男大表!$A$1:$BF$95,MATCH($A23,役男大表!$A$1:$A$97,0),   MATCH(J$1,役男大表!$A$3:$BF$3,0)  )=0,"",  IF(  INDEX(役男大表!$A$1:$BF$95,MATCH($A23,役男大表!$A$1:$A$97,0),   MATCH(J$1,役男大表!$A$3:$BF$3,0)  )="榮","x",  IF(  INDEX(役男大表!$A$1:$BF$95,MATCH($A23,役男大表!$A$1:$A$97,0),   MATCH(J$1,役男大表!$A$3:$BF$3,0)  )="榮-22",  "x榮18-22",               INDEX(役男大表!$A$1:$BF$95,MATCH($A23,役男大表!$A$1:$A$97,0),   MATCH(J$1,役男大表!$A$3:$BF$3,0)  )                  )  )  )," ",""),"")</f>
        <v>x</v>
      </c>
      <c r="K23" s="278" t="str">
        <f>_xlfn.IFNA(  SUBSTITUTE(     IF(  INDEX(役男大表!$A$1:$BF$95,MATCH($A23,役男大表!$A$1:$A$97,0),   MATCH(K$1,役男大表!$A$3:$BF$3,0)  )=0,"",  IF(  INDEX(役男大表!$A$1:$BF$95,MATCH($A23,役男大表!$A$1:$A$97,0),   MATCH(K$1,役男大表!$A$3:$BF$3,0)  )="榮","x",  IF(  INDEX(役男大表!$A$1:$BF$95,MATCH($A23,役男大表!$A$1:$A$97,0),   MATCH(K$1,役男大表!$A$3:$BF$3,0)  )="榮-22",  "x榮18-22",               INDEX(役男大表!$A$1:$BF$95,MATCH($A23,役男大表!$A$1:$A$97,0),   MATCH(K$1,役男大表!$A$3:$BF$3,0)  )                  )  )  )," ",""),"")</f>
        <v/>
      </c>
      <c r="L23" s="278" t="str">
        <f>_xlfn.IFNA(  SUBSTITUTE(     IF(  INDEX(役男大表!$A$1:$BF$95,MATCH($A23,役男大表!$A$1:$A$97,0),   MATCH(L$1,役男大表!$A$3:$BF$3,0)  )=0,"",  IF(  INDEX(役男大表!$A$1:$BF$95,MATCH($A23,役男大表!$A$1:$A$97,0),   MATCH(L$1,役男大表!$A$3:$BF$3,0)  )="榮","x",  IF(  INDEX(役男大表!$A$1:$BF$95,MATCH($A23,役男大表!$A$1:$A$97,0),   MATCH(L$1,役男大表!$A$3:$BF$3,0)  )="榮-22",  "x榮18-22",               INDEX(役男大表!$A$1:$BF$95,MATCH($A23,役男大表!$A$1:$A$97,0),   MATCH(L$1,役男大表!$A$3:$BF$3,0)  )                  )  )  )," ",""),"")</f>
        <v/>
      </c>
      <c r="M23" s="278" t="str">
        <f>_xlfn.IFNA(  SUBSTITUTE(     IF(  INDEX(役男大表!$A$1:$BF$95,MATCH($A23,役男大表!$A$1:$A$97,0),   MATCH(M$1,役男大表!$A$3:$BF$3,0)  )=0,"",  IF(  INDEX(役男大表!$A$1:$BF$95,MATCH($A23,役男大表!$A$1:$A$97,0),   MATCH(M$1,役男大表!$A$3:$BF$3,0)  )="榮","x",  IF(  INDEX(役男大表!$A$1:$BF$95,MATCH($A23,役男大表!$A$1:$A$97,0),   MATCH(M$1,役男大表!$A$3:$BF$3,0)  )="榮-22",  "x榮18-22",               INDEX(役男大表!$A$1:$BF$95,MATCH($A23,役男大表!$A$1:$A$97,0),   MATCH(M$1,役男大表!$A$3:$BF$3,0)  )                  )  )  )," ",""),"")</f>
        <v/>
      </c>
      <c r="N23" s="278" t="str">
        <f>_xlfn.IFNA(  SUBSTITUTE(     IF(  INDEX(役男大表!$A$1:$BF$95,MATCH($A23,役男大表!$A$1:$A$97,0),   MATCH(N$1,役男大表!$A$3:$BF$3,0)  )=0,"",  IF(  INDEX(役男大表!$A$1:$BF$95,MATCH($A23,役男大表!$A$1:$A$97,0),   MATCH(N$1,役男大表!$A$3:$BF$3,0)  )="榮","x",  IF(  INDEX(役男大表!$A$1:$BF$95,MATCH($A23,役男大表!$A$1:$A$97,0),   MATCH(N$1,役男大表!$A$3:$BF$3,0)  )="榮-22",  "x榮18-22",               INDEX(役男大表!$A$1:$BF$95,MATCH($A23,役男大表!$A$1:$A$97,0),   MATCH(N$1,役男大表!$A$3:$BF$3,0)  )                  )  )  )," ",""),"")</f>
        <v/>
      </c>
      <c r="O23" s="278" t="str">
        <f>_xlfn.IFNA(  SUBSTITUTE(     IF(  INDEX(役男大表!$A$1:$BF$95,MATCH($A23,役男大表!$A$1:$A$97,0),   MATCH(O$1,役男大表!$A$3:$BF$3,0)  )=0,"",  IF(  INDEX(役男大表!$A$1:$BF$95,MATCH($A23,役男大表!$A$1:$A$97,0),   MATCH(O$1,役男大表!$A$3:$BF$3,0)  )="榮","x",  IF(  INDEX(役男大表!$A$1:$BF$95,MATCH($A23,役男大表!$A$1:$A$97,0),   MATCH(O$1,役男大表!$A$3:$BF$3,0)  )="榮-22",  "x榮18-22",               INDEX(役男大表!$A$1:$BF$95,MATCH($A23,役男大表!$A$1:$A$97,0),   MATCH(O$1,役男大表!$A$3:$BF$3,0)  )                  )  )  )," ",""),"")</f>
        <v/>
      </c>
      <c r="P23" s="278" t="str">
        <f>_xlfn.IFNA(  SUBSTITUTE(     IF(  INDEX(役男大表!$A$1:$BF$95,MATCH($A23,役男大表!$A$1:$A$97,0),   MATCH(P$1,役男大表!$A$3:$BF$3,0)  )=0,"",  IF(  INDEX(役男大表!$A$1:$BF$95,MATCH($A23,役男大表!$A$1:$A$97,0),   MATCH(P$1,役男大表!$A$3:$BF$3,0)  )="榮","x",  IF(  INDEX(役男大表!$A$1:$BF$95,MATCH($A23,役男大表!$A$1:$A$97,0),   MATCH(P$1,役男大表!$A$3:$BF$3,0)  )="榮-22",  "x榮18-22",               INDEX(役男大表!$A$1:$BF$95,MATCH($A23,役男大表!$A$1:$A$97,0),   MATCH(P$1,役男大表!$A$3:$BF$3,0)  )                  )  )  )," ",""),"")</f>
        <v/>
      </c>
      <c r="Q23" s="278" t="str">
        <f>_xlfn.IFNA(  SUBSTITUTE(     IF(  INDEX(役男大表!$A$1:$BF$95,MATCH($A23,役男大表!$A$1:$A$97,0),   MATCH(Q$1,役男大表!$A$3:$BF$3,0)  )=0,"",  IF(  INDEX(役男大表!$A$1:$BF$95,MATCH($A23,役男大表!$A$1:$A$97,0),   MATCH(Q$1,役男大表!$A$3:$BF$3,0)  )="榮","x",  IF(  INDEX(役男大表!$A$1:$BF$95,MATCH($A23,役男大表!$A$1:$A$97,0),   MATCH(Q$1,役男大表!$A$3:$BF$3,0)  )="榮-22",  "x榮18-22",               INDEX(役男大表!$A$1:$BF$95,MATCH($A23,役男大表!$A$1:$A$97,0),   MATCH(Q$1,役男大表!$A$3:$BF$3,0)  )                  )  )  )," ",""),"")</f>
        <v/>
      </c>
      <c r="R23" s="278" t="str">
        <f>_xlfn.IFNA(  SUBSTITUTE(     IF(  INDEX(役男大表!$A$1:$BF$95,MATCH($A23,役男大表!$A$1:$A$97,0),   MATCH(R$1,役男大表!$A$3:$BF$3,0)  )=0,"",  IF(  INDEX(役男大表!$A$1:$BF$95,MATCH($A23,役男大表!$A$1:$A$97,0),   MATCH(R$1,役男大表!$A$3:$BF$3,0)  )="榮","x",  IF(  INDEX(役男大表!$A$1:$BF$95,MATCH($A23,役男大表!$A$1:$A$97,0),   MATCH(R$1,役男大表!$A$3:$BF$3,0)  )="榮-22",  "x榮18-22",               INDEX(役男大表!$A$1:$BF$95,MATCH($A23,役男大表!$A$1:$A$97,0),   MATCH(R$1,役男大表!$A$3:$BF$3,0)  )                  )  )  )," ",""),"")</f>
        <v>榮14-18</v>
      </c>
      <c r="S23" s="278" t="str">
        <f>_xlfn.IFNA(  SUBSTITUTE(     IF(  INDEX(役男大表!$A$1:$BF$95,MATCH($A23,役男大表!$A$1:$A$97,0),   MATCH(S$1,役男大表!$A$3:$BF$3,0)  )=0,"",  IF(  INDEX(役男大表!$A$1:$BF$95,MATCH($A23,役男大表!$A$1:$A$97,0),   MATCH(S$1,役男大表!$A$3:$BF$3,0)  )="榮","x",  IF(  INDEX(役男大表!$A$1:$BF$95,MATCH($A23,役男大表!$A$1:$A$97,0),   MATCH(S$1,役男大表!$A$3:$BF$3,0)  )="榮-22",  "x榮18-22",               INDEX(役男大表!$A$1:$BF$95,MATCH($A23,役男大表!$A$1:$A$97,0),   MATCH(S$1,役男大表!$A$3:$BF$3,0)  )                  )  )  )," ",""),"")</f>
        <v>x</v>
      </c>
      <c r="T23" s="278" t="str">
        <f>_xlfn.IFNA(  SUBSTITUTE(     IF(  INDEX(役男大表!$A$1:$BF$95,MATCH($A23,役男大表!$A$1:$A$97,0),   MATCH(T$1,役男大表!$A$3:$BF$3,0)  )=0,"",  IF(  INDEX(役男大表!$A$1:$BF$95,MATCH($A23,役男大表!$A$1:$A$97,0),   MATCH(T$1,役男大表!$A$3:$BF$3,0)  )="榮","x",  IF(  INDEX(役男大表!$A$1:$BF$95,MATCH($A23,役男大表!$A$1:$A$97,0),   MATCH(T$1,役男大表!$A$3:$BF$3,0)  )="榮-22",  "x榮18-22",               INDEX(役男大表!$A$1:$BF$95,MATCH($A23,役男大表!$A$1:$A$97,0),   MATCH(T$1,役男大表!$A$3:$BF$3,0)  )                  )  )  )," ",""),"")</f>
        <v>x榮18-22</v>
      </c>
      <c r="U23" s="278" t="str">
        <f>_xlfn.IFNA(  SUBSTITUTE(     IF(  INDEX(役男大表!$A$1:$BF$95,MATCH($A23,役男大表!$A$1:$A$97,0),   MATCH(U$1,役男大表!$A$3:$BF$3,0)  )=0,"",  IF(  INDEX(役男大表!$A$1:$BF$95,MATCH($A23,役男大表!$A$1:$A$97,0),   MATCH(U$1,役男大表!$A$3:$BF$3,0)  )="榮","x",  IF(  INDEX(役男大表!$A$1:$BF$95,MATCH($A23,役男大表!$A$1:$A$97,0),   MATCH(U$1,役男大表!$A$3:$BF$3,0)  )="榮-22",  "x榮18-22",               INDEX(役男大表!$A$1:$BF$95,MATCH($A23,役男大表!$A$1:$A$97,0),   MATCH(U$1,役男大表!$A$3:$BF$3,0)  )                  )  )  )," ",""),"")</f>
        <v/>
      </c>
      <c r="V23" s="278" t="str">
        <f>_xlfn.IFNA(  SUBSTITUTE(     IF(  INDEX(役男大表!$A$1:$BF$95,MATCH($A23,役男大表!$A$1:$A$97,0),   MATCH(V$1,役男大表!$A$3:$BF$3,0)  )=0,"",  IF(  INDEX(役男大表!$A$1:$BF$95,MATCH($A23,役男大表!$A$1:$A$97,0),   MATCH(V$1,役男大表!$A$3:$BF$3,0)  )="榮","x",  IF(  INDEX(役男大表!$A$1:$BF$95,MATCH($A23,役男大表!$A$1:$A$97,0),   MATCH(V$1,役男大表!$A$3:$BF$3,0)  )="榮-22",  "x榮18-22",               INDEX(役男大表!$A$1:$BF$95,MATCH($A23,役男大表!$A$1:$A$97,0),   MATCH(V$1,役男大表!$A$3:$BF$3,0)  )                  )  )  )," ",""),"")</f>
        <v/>
      </c>
      <c r="W23" s="278" t="str">
        <f>_xlfn.IFNA(  SUBSTITUTE(     IF(  INDEX(役男大表!$A$1:$BF$95,MATCH($A23,役男大表!$A$1:$A$97,0),   MATCH(W$1,役男大表!$A$3:$BF$3,0)  )=0,"",  IF(  INDEX(役男大表!$A$1:$BF$95,MATCH($A23,役男大表!$A$1:$A$97,0),   MATCH(W$1,役男大表!$A$3:$BF$3,0)  )="榮","x",  IF(  INDEX(役男大表!$A$1:$BF$95,MATCH($A23,役男大表!$A$1:$A$97,0),   MATCH(W$1,役男大表!$A$3:$BF$3,0)  )="榮-22",  "x榮18-22",               INDEX(役男大表!$A$1:$BF$95,MATCH($A23,役男大表!$A$1:$A$97,0),   MATCH(W$1,役男大表!$A$3:$BF$3,0)  )                  )  )  )," ",""),"")</f>
        <v>榮14-22</v>
      </c>
      <c r="X23" s="278" t="str">
        <f>_xlfn.IFNA(  SUBSTITUTE(     IF(  INDEX(役男大表!$A$1:$BF$95,MATCH($A23,役男大表!$A$1:$A$97,0),   MATCH(X$1,役男大表!$A$3:$BF$3,0)  )=0,"",  IF(  INDEX(役男大表!$A$1:$BF$95,MATCH($A23,役男大表!$A$1:$A$97,0),   MATCH(X$1,役男大表!$A$3:$BF$3,0)  )="榮","x",  IF(  INDEX(役男大表!$A$1:$BF$95,MATCH($A23,役男大表!$A$1:$A$97,0),   MATCH(X$1,役男大表!$A$3:$BF$3,0)  )="榮-22",  "x榮18-22",               INDEX(役男大表!$A$1:$BF$95,MATCH($A23,役男大表!$A$1:$A$97,0),   MATCH(X$1,役男大表!$A$3:$BF$3,0)  )                  )  )  )," ",""),"")</f>
        <v/>
      </c>
      <c r="Y23" s="278" t="str">
        <f>_xlfn.IFNA(  SUBSTITUTE(     IF(  INDEX(役男大表!$A$1:$BF$95,MATCH($A23,役男大表!$A$1:$A$97,0),   MATCH(Y$1,役男大表!$A$3:$BF$3,0)  )=0,"",  IF(  INDEX(役男大表!$A$1:$BF$95,MATCH($A23,役男大表!$A$1:$A$97,0),   MATCH(Y$1,役男大表!$A$3:$BF$3,0)  )="榮","x",  IF(  INDEX(役男大表!$A$1:$BF$95,MATCH($A23,役男大表!$A$1:$A$97,0),   MATCH(Y$1,役男大表!$A$3:$BF$3,0)  )="榮-22",  "x榮18-22",               INDEX(役男大表!$A$1:$BF$95,MATCH($A23,役男大表!$A$1:$A$97,0),   MATCH(Y$1,役男大表!$A$3:$BF$3,0)  )                  )  )  )," ",""),"")</f>
        <v>x</v>
      </c>
      <c r="Z23" s="278" t="str">
        <f>_xlfn.IFNA(  SUBSTITUTE(     IF(  INDEX(役男大表!$A$1:$BF$95,MATCH($A23,役男大表!$A$1:$A$97,0),   MATCH(Z$1,役男大表!$A$3:$BF$3,0)  )=0,"",  IF(  INDEX(役男大表!$A$1:$BF$95,MATCH($A23,役男大表!$A$1:$A$97,0),   MATCH(Z$1,役男大表!$A$3:$BF$3,0)  )="榮","x",  IF(  INDEX(役男大表!$A$1:$BF$95,MATCH($A23,役男大表!$A$1:$A$97,0),   MATCH(Z$1,役男大表!$A$3:$BF$3,0)  )="榮-22",  "x榮18-22",               INDEX(役男大表!$A$1:$BF$95,MATCH($A23,役男大表!$A$1:$A$97,0),   MATCH(Z$1,役男大表!$A$3:$BF$3,0)  )                  )  )  )," ",""),"")</f>
        <v>x</v>
      </c>
      <c r="AA23" s="278" t="str">
        <f>_xlfn.IFNA(  SUBSTITUTE(     IF(  INDEX(役男大表!$A$1:$BF$95,MATCH($A23,役男大表!$A$1:$A$97,0),   MATCH(AA$1,役男大表!$A$3:$BF$3,0)  )=0,"",  IF(  INDEX(役男大表!$A$1:$BF$95,MATCH($A23,役男大表!$A$1:$A$97,0),   MATCH(AA$1,役男大表!$A$3:$BF$3,0)  )="榮","x",  IF(  INDEX(役男大表!$A$1:$BF$95,MATCH($A23,役男大表!$A$1:$A$97,0),   MATCH(AA$1,役男大表!$A$3:$BF$3,0)  )="榮-22",  "x榮18-22",               INDEX(役男大表!$A$1:$BF$95,MATCH($A23,役男大表!$A$1:$A$97,0),   MATCH(AA$1,役男大表!$A$3:$BF$3,0)  )                  )  )  )," ",""),"")</f>
        <v>x</v>
      </c>
      <c r="AB23" s="278" t="str">
        <f>_xlfn.IFNA(  SUBSTITUTE(     IF(  INDEX(役男大表!$A$1:$BF$95,MATCH($A23,役男大表!$A$1:$A$97,0),   MATCH(AB$1,役男大表!$A$3:$BF$3,0)  )=0,"",  IF(  INDEX(役男大表!$A$1:$BF$95,MATCH($A23,役男大表!$A$1:$A$97,0),   MATCH(AB$1,役男大表!$A$3:$BF$3,0)  )="榮","x",  IF(  INDEX(役男大表!$A$1:$BF$95,MATCH($A23,役男大表!$A$1:$A$97,0),   MATCH(AB$1,役男大表!$A$3:$BF$3,0)  )="榮-22",  "x榮18-22",               INDEX(役男大表!$A$1:$BF$95,MATCH($A23,役男大表!$A$1:$A$97,0),   MATCH(AB$1,役男大表!$A$3:$BF$3,0)  )                  )  )  )," ",""),"")</f>
        <v/>
      </c>
      <c r="AC23" s="278" t="str">
        <f>_xlfn.IFNA(  SUBSTITUTE(     IF(  INDEX(役男大表!$A$1:$BF$95,MATCH($A23,役男大表!$A$1:$A$97,0),   MATCH(AC$1,役男大表!$A$3:$BF$3,0)  )=0,"",  IF(  INDEX(役男大表!$A$1:$BF$95,MATCH($A23,役男大表!$A$1:$A$97,0),   MATCH(AC$1,役男大表!$A$3:$BF$3,0)  )="榮","x",  IF(  INDEX(役男大表!$A$1:$BF$95,MATCH($A23,役男大表!$A$1:$A$97,0),   MATCH(AC$1,役男大表!$A$3:$BF$3,0)  )="榮-22",  "x榮18-22",               INDEX(役男大表!$A$1:$BF$95,MATCH($A23,役男大表!$A$1:$A$97,0),   MATCH(AC$1,役男大表!$A$3:$BF$3,0)  )                  )  )  )," ",""),"")</f>
        <v/>
      </c>
      <c r="AD23" s="278" t="str">
        <f>_xlfn.IFNA(  SUBSTITUTE(     IF(  INDEX(役男大表!$A$1:$BF$95,MATCH($A23,役男大表!$A$1:$A$97,0),   MATCH(AD$1,役男大表!$A$3:$BF$3,0)  )=0,"",  IF(  INDEX(役男大表!$A$1:$BF$95,MATCH($A23,役男大表!$A$1:$A$97,0),   MATCH(AD$1,役男大表!$A$3:$BF$3,0)  )="榮","x",  IF(  INDEX(役男大表!$A$1:$BF$95,MATCH($A23,役男大表!$A$1:$A$97,0),   MATCH(AD$1,役男大表!$A$3:$BF$3,0)  )="榮-22",  "x榮18-22",               INDEX(役男大表!$A$1:$BF$95,MATCH($A23,役男大表!$A$1:$A$97,0),   MATCH(AD$1,役男大表!$A$3:$BF$3,0)  )                  )  )  )," ",""),"")</f>
        <v/>
      </c>
      <c r="AE23" s="278" t="str">
        <f>_xlfn.IFNA(  SUBSTITUTE(     IF(  INDEX(役男大表!$A$1:$BF$95,MATCH($A23,役男大表!$A$1:$A$97,0),   MATCH(AE$1,役男大表!$A$3:$BF$3,0)  )=0,"",  IF(  INDEX(役男大表!$A$1:$BF$95,MATCH($A23,役男大表!$A$1:$A$97,0),   MATCH(AE$1,役男大表!$A$3:$BF$3,0)  )="榮","x",  IF(  INDEX(役男大表!$A$1:$BF$95,MATCH($A23,役男大表!$A$1:$A$97,0),   MATCH(AE$1,役男大表!$A$3:$BF$3,0)  )="榮-22",  "x榮18-22",               INDEX(役男大表!$A$1:$BF$95,MATCH($A23,役男大表!$A$1:$A$97,0),   MATCH(AE$1,役男大表!$A$3:$BF$3,0)  )                  )  )  )," ",""),"")</f>
        <v>x</v>
      </c>
      <c r="AF23" s="278" t="str">
        <f>_xlfn.IFNA(  SUBSTITUTE(     IF(  INDEX(役男大表!$A$1:$BF$95,MATCH($A23,役男大表!$A$1:$A$97,0),   MATCH(AF$1,役男大表!$A$3:$BF$3,0)  )=0,"",  IF(  INDEX(役男大表!$A$1:$BF$95,MATCH($A23,役男大表!$A$1:$A$97,0),   MATCH(AF$1,役男大表!$A$3:$BF$3,0)  )="榮","x",  IF(  INDEX(役男大表!$A$1:$BF$95,MATCH($A23,役男大表!$A$1:$A$97,0),   MATCH(AF$1,役男大表!$A$3:$BF$3,0)  )="榮-22",  "x榮18-22",               INDEX(役男大表!$A$1:$BF$95,MATCH($A23,役男大表!$A$1:$A$97,0),   MATCH(AF$1,役男大表!$A$3:$BF$3,0)  )                  )  )  )," ",""),"")</f>
        <v>x</v>
      </c>
      <c r="AG23" s="278" t="str">
        <f>_xlfn.IFNA(  SUBSTITUTE(     IF(  INDEX(役男大表!$A$1:$BF$95,MATCH($A23,役男大表!$A$1:$A$97,0),   MATCH(AG$1,役男大表!$A$3:$BF$3,0)  )=0,"",  IF(  INDEX(役男大表!$A$1:$BF$95,MATCH($A23,役男大表!$A$1:$A$97,0),   MATCH(AG$1,役男大表!$A$3:$BF$3,0)  )="榮","x",  IF(  INDEX(役男大表!$A$1:$BF$95,MATCH($A23,役男大表!$A$1:$A$97,0),   MATCH(AG$1,役男大表!$A$3:$BF$3,0)  )="榮-22",  "x榮18-22",               INDEX(役男大表!$A$1:$BF$95,MATCH($A23,役男大表!$A$1:$A$97,0),   MATCH(AG$1,役男大表!$A$3:$BF$3,0)  )                  )  )  )," ",""),"")</f>
        <v/>
      </c>
      <c r="AH23" s="278" t="str">
        <f>_xlfn.IFNA(  SUBSTITUTE(     IF(  INDEX(役男大表!$A$1:$BF$95,MATCH($A23,役男大表!$A$1:$A$97,0),   MATCH(AH$1,役男大表!$A$3:$BF$3,0)  )=0,"",  IF(  INDEX(役男大表!$A$1:$BF$95,MATCH($A23,役男大表!$A$1:$A$97,0),   MATCH(AH$1,役男大表!$A$3:$BF$3,0)  )="榮","x",  IF(  INDEX(役男大表!$A$1:$BF$95,MATCH($A23,役男大表!$A$1:$A$97,0),   MATCH(AH$1,役男大表!$A$3:$BF$3,0)  )="榮-22",  "x榮18-22",               INDEX(役男大表!$A$1:$BF$95,MATCH($A23,役男大表!$A$1:$A$97,0),   MATCH(AH$1,役男大表!$A$3:$BF$3,0)  )                  )  )  )," ",""),"")</f>
        <v/>
      </c>
      <c r="AI23" s="278" t="str">
        <f>_xlfn.IFNA(  SUBSTITUTE(     IF(  INDEX(役男大表!$A$1:$BF$95,MATCH($A23,役男大表!$A$1:$A$97,0),   MATCH(AI$1,役男大表!$A$3:$BF$3,0)  )=0,"",  IF(  INDEX(役男大表!$A$1:$BF$95,MATCH($A23,役男大表!$A$1:$A$97,0),   MATCH(AI$1,役男大表!$A$3:$BF$3,0)  )="榮","x",  IF(  INDEX(役男大表!$A$1:$BF$95,MATCH($A23,役男大表!$A$1:$A$97,0),   MATCH(AI$1,役男大表!$A$3:$BF$3,0)  )="榮-22",  "x榮18-22",               INDEX(役男大表!$A$1:$BF$95,MATCH($A23,役男大表!$A$1:$A$97,0),   MATCH(AI$1,役男大表!$A$3:$BF$3,0)  )                  )  )  )," ",""),"")</f>
        <v/>
      </c>
      <c r="AJ23" s="278" t="str">
        <f>_xlfn.IFNA(  SUBSTITUTE(     IF(  INDEX(役男大表!$A$1:$BF$95,MATCH($A23,役男大表!$A$1:$A$97,0),   MATCH(AJ$1,役男大表!$A$3:$BF$3,0)  )=0,"",  IF(  INDEX(役男大表!$A$1:$BF$95,MATCH($A23,役男大表!$A$1:$A$97,0),   MATCH(AJ$1,役男大表!$A$3:$BF$3,0)  )="榮","x",  IF(  INDEX(役男大表!$A$1:$BF$95,MATCH($A23,役男大表!$A$1:$A$97,0),   MATCH(AJ$1,役男大表!$A$3:$BF$3,0)  )="榮-22",  "x榮18-22",               INDEX(役男大表!$A$1:$BF$95,MATCH($A23,役男大表!$A$1:$A$97,0),   MATCH(AJ$1,役男大表!$A$3:$BF$3,0)  )                  )  )  )," ",""),"")</f>
        <v/>
      </c>
      <c r="AM23" s="66">
        <f t="shared" si="1"/>
        <v>22</v>
      </c>
      <c r="AN23" s="66" t="str">
        <f t="shared" si="2"/>
        <v>陳奕欣</v>
      </c>
      <c r="AO23" s="71" t="str">
        <f>IF(  AND(  INDEX(   $A$42:$AJ$79, MATCH(AM23,$A$42:$A$79,0),MATCH(  日期輸入!$C$3,$A$42:$AL$42,0  )  )="全日勤",  AV23="免"  ),  "全日勤免勤教",  IF(  AND(  INDEX(   $A$42:$AJ$79, MATCH(AM23,$A$42:$A$79,0),MATCH(  日期輸入!$C$3,$A$42:$AL$42,0  )  )="18放",  AV23="免"  ),  "18放早走",  INDEX(   $A$42:$AJ$79, MATCH(AM23,$A$42:$A$79,0),MATCH(  日期輸入!$C$3,$A$42:$AL$42,0  )  )  )  )</f>
        <v>全日勤</v>
      </c>
      <c r="AP23" s="66" t="str">
        <f>_xlfn.IFNA(IF((ROW(AP23)-1)&lt;=暫1!$B$2,IF(VALUE($AM23)=暫1!B$3,"家因",IF(VALUE($AM23)=暫1!C$3,"家因",IF(VALUE($AM23)=暫1!D$3,"家因",IF(VALUE($AM23)=暫1!E$3,"家因",IF(VALUE($AM23)=暫1!F$3,"家因",IF(VALUE($AM23)=暫1!G$3,"家因",IF(VALUE($AM23)=暫1!H$3,"家因",IF(VALUE($AM23)=暫1!I$3,"家因",IF(VALUE($AM23)=暫1!J$3,"家因",IF(VALUE($AM23)=暫1!K$3,"家因",IF(VALUE($AM23)=暫1!L$3,"家因",IF(VALUE($AM23)=暫1!M$3,"家因",IF(VALUE($AM23)=暫1!N$3,"家因",IF(VALUE($AM23)=暫1!O$3,"家因",IF(VALUE($AM23)=暫1!P$3,"家因",IF(VALUE($AM23)=暫1!Q$3,"家因",IF(VALUE($AM23)=暫1!R$3,"家因",IF(VALUE($AM23)=暫1!S$3,"家因",IF(VALUE($AM23)=暫1!T$3,"家因",IF(VALUE($AM23)=暫1!U$3,"家因","")))))))))))))))))))),""),"")</f>
        <v/>
      </c>
      <c r="AQ23" s="66" t="str">
        <f>IF((ROW(AQ23)-1)&lt;=暫1!$B$2,_xlfn.IFNA(IF(INDEX($A$1:$AJ$41,MATCH($AN23,$B$1:$B$101,0),VALUE($AQ$1+3))="成","補",INDEX($A$1:$AJ$41,MATCH($AN23,$B$1:$B$101,0),VALUE($AQ$1+3))),""),"")</f>
        <v/>
      </c>
      <c r="AR23" s="66" t="str">
        <f>IF((ROW(AR23)-1)&lt;=暫1!$B$2,_xlfn.IFNA(IF(INDEX($A$1:$AJ$41,MATCH($AN23,$B$1:$B$101,0),VALUE($AR$1+3))="成","補",INDEX($A$1:$AJ$41,MATCH($AN23,$B$1:$B$101,0),VALUE($AR$1+3))),""),"")</f>
        <v/>
      </c>
      <c r="AS23" s="66" t="str">
        <f>IF((ROW(AS23)-1)&lt;=暫1!$B$2,_xlfn.IFNA(IF(INDEX($A$1:$AJ$41,MATCH($AN23,$B$1:$B$101,0),VALUE($AS$1+3))="成","補",INDEX($A$1:$AJ$41,MATCH($AN23,$B$1:$B$101,0),VALUE($AS$1+3))),""),"")</f>
        <v/>
      </c>
      <c r="AT23" s="66" t="str">
        <f>IF(  OR(  LEN(  INDEX(   $A$1:$AJ$39, MATCH(AM23,$A$1:$A$39,0),MATCH(  日期輸入!$C$3,$A$1:$AP$1,0  )  )  )&gt;LEN(  SUBSTITUTE(  INDEX(   $A$1:$AJ$39, MATCH(AM23,$A$1:$A$39,0),MATCH(  日期輸入!$C$3,$A$1:$AP$1,0  )  ),"榮","")  )  ),   SUBSTITUTE(  SUBSTITUTE(  INDEX(   $A$1:$AJ$39, MATCH(AM23,$A$1:$A$39,0),MATCH(  日期輸入!$C$3,$A$1:$AP$1,0  )  ),"榮",""),"x",""), "")</f>
        <v/>
      </c>
      <c r="AU23" s="66" t="str">
        <f t="shared" si="3"/>
        <v/>
      </c>
      <c r="AV23" s="66" t="str">
        <f>INDEX(   $A$482:$AJ$519, MATCH(AM23,$A$482:$A$519,0),MATCH(  日期輸入!$C$3,$A$482:$AL$482,0  )  )</f>
        <v/>
      </c>
      <c r="AX23" s="66" t="str">
        <f>IFERROR(IF((ROW(AX23)-1)&lt;=暫1!$B$2,SUBSTITUTE(IF($AO23=$AX$1,$AM23,"")," ",""),""),"")</f>
        <v/>
      </c>
      <c r="AY23" s="66" t="str">
        <f>IFERROR(IF((ROW(AY23)-1)&lt;=暫1!$B$2,SUBSTITUTE(IF($AO23=$AY$1,$AM23,"")," ",""),""),"")</f>
        <v/>
      </c>
      <c r="AZ23" s="66" t="str">
        <f>IFERROR(IF((ROW(AZ23)-1)&lt;=暫1!$B$2,SUBSTITUTE(IF($AO23=$AZ$1,$AM23,"")," ",""),""),"")</f>
        <v/>
      </c>
      <c r="BA23" s="66" t="str">
        <f>IFERROR(IF((ROW(BA23)-1)&lt;=暫1!$B$2,SUBSTITUTE(IF($AO23=$BA$1,$AM23,"")," ",""),""),"")</f>
        <v/>
      </c>
      <c r="BB23" s="69" t="str">
        <f>IFERROR(IF((ROW(BB23)-1)&lt;=暫1!$B$2,SUBSTITUTE(IF(OR($AO23=$BB$1,$AO23=$AY$1,$AO23=$AZ$1),$AM23,IF($AO23=$AY$1,$AM23,"")),"",""),""),"")</f>
        <v>22</v>
      </c>
      <c r="BC23" s="69" t="str">
        <f>IF(    AND(LEN(BC22)&gt;=2 ),        "、" &amp;  IF(OR(役男人力!$J$2:$J$84="是"),役男人力!$B24,""),  IF(OR(役男人力!$J$2:$J$84="是"),役男人力!$B24,"")  )</f>
        <v/>
      </c>
      <c r="BG23" s="98" t="str">
        <f>BC39</f>
        <v>鄭智謙、鄭凱文、邱昱銘、李政聰、梁展碩、何奕諠、鄭品豪、張恩齊、周承澔、楊鈞翔、游瀚翔、陳羲</v>
      </c>
    </row>
    <row r="24" spans="1:59" ht="25.5" customHeight="1">
      <c r="A24" s="278">
        <v>23</v>
      </c>
      <c r="B24" s="278" t="str">
        <f>_xlfn.IFNA(  INDEX(役男大表!$A$1:$BF$95,MATCH(A24,役男大表!$A$1:$A$97,0),2),"")</f>
        <v>阮成山</v>
      </c>
      <c r="C24" s="278" t="str">
        <f>_xlfn.IFNA(  SUBSTITUTE(     IF(  INDEX(役男大表!$A$1:$BF$95,MATCH($A24,役男大表!$A$1:$A$97,0),   MATCH(C$1,役男大表!$A$3:$BF$3,0)  )=0,"",  IF(  INDEX(役男大表!$A$1:$BF$95,MATCH($A24,役男大表!$A$1:$A$97,0),   MATCH(C$1,役男大表!$A$3:$BF$3,0)  )="榮","x",  IF(  INDEX(役男大表!$A$1:$BF$95,MATCH($A24,役男大表!$A$1:$A$97,0),   MATCH(C$1,役男大表!$A$3:$BF$3,0)  )="榮-22",  "x榮18-22",               INDEX(役男大表!$A$1:$BF$95,MATCH($A24,役男大表!$A$1:$A$97,0),   MATCH(C$1,役男大表!$A$3:$BF$3,0)  )                  )  )  )," ",""),"")</f>
        <v>x</v>
      </c>
      <c r="D24" s="278" t="str">
        <f>_xlfn.IFNA(  SUBSTITUTE(     IF(  INDEX(役男大表!$A$1:$BF$95,MATCH($A24,役男大表!$A$1:$A$97,0),   MATCH(D$1,役男大表!$A$3:$BF$3,0)  )=0,"",  IF(  INDEX(役男大表!$A$1:$BF$95,MATCH($A24,役男大表!$A$1:$A$97,0),   MATCH(D$1,役男大表!$A$3:$BF$3,0)  )="榮","x",  IF(  INDEX(役男大表!$A$1:$BF$95,MATCH($A24,役男大表!$A$1:$A$97,0),   MATCH(D$1,役男大表!$A$3:$BF$3,0)  )="榮-22",  "x榮18-22",               INDEX(役男大表!$A$1:$BF$95,MATCH($A24,役男大表!$A$1:$A$97,0),   MATCH(D$1,役男大表!$A$3:$BF$3,0)  )                  )  )  )," ",""),"")</f>
        <v>x</v>
      </c>
      <c r="E24" s="278" t="str">
        <f>_xlfn.IFNA(  SUBSTITUTE(     IF(  INDEX(役男大表!$A$1:$BF$95,MATCH($A24,役男大表!$A$1:$A$97,0),   MATCH(E$1,役男大表!$A$3:$BF$3,0)  )=0,"",  IF(  INDEX(役男大表!$A$1:$BF$95,MATCH($A24,役男大表!$A$1:$A$97,0),   MATCH(E$1,役男大表!$A$3:$BF$3,0)  )="榮","x",  IF(  INDEX(役男大表!$A$1:$BF$95,MATCH($A24,役男大表!$A$1:$A$97,0),   MATCH(E$1,役男大表!$A$3:$BF$3,0)  )="榮-22",  "x榮18-22",               INDEX(役男大表!$A$1:$BF$95,MATCH($A24,役男大表!$A$1:$A$97,0),   MATCH(E$1,役男大表!$A$3:$BF$3,0)  )                  )  )  )," ",""),"")</f>
        <v>x</v>
      </c>
      <c r="F24" s="278" t="str">
        <f>_xlfn.IFNA(  SUBSTITUTE(     IF(  INDEX(役男大表!$A$1:$BF$95,MATCH($A24,役男大表!$A$1:$A$97,0),   MATCH(F$1,役男大表!$A$3:$BF$3,0)  )=0,"",  IF(  INDEX(役男大表!$A$1:$BF$95,MATCH($A24,役男大表!$A$1:$A$97,0),   MATCH(F$1,役男大表!$A$3:$BF$3,0)  )="榮","x",  IF(  INDEX(役男大表!$A$1:$BF$95,MATCH($A24,役男大表!$A$1:$A$97,0),   MATCH(F$1,役男大表!$A$3:$BF$3,0)  )="榮-22",  "x榮18-22",               INDEX(役男大表!$A$1:$BF$95,MATCH($A24,役男大表!$A$1:$A$97,0),   MATCH(F$1,役男大表!$A$3:$BF$3,0)  )                  )  )  )," ",""),"")</f>
        <v>x</v>
      </c>
      <c r="G24" s="278" t="str">
        <f>_xlfn.IFNA(  SUBSTITUTE(     IF(  INDEX(役男大表!$A$1:$BF$95,MATCH($A24,役男大表!$A$1:$A$97,0),   MATCH(G$1,役男大表!$A$3:$BF$3,0)  )=0,"",  IF(  INDEX(役男大表!$A$1:$BF$95,MATCH($A24,役男大表!$A$1:$A$97,0),   MATCH(G$1,役男大表!$A$3:$BF$3,0)  )="榮","x",  IF(  INDEX(役男大表!$A$1:$BF$95,MATCH($A24,役男大表!$A$1:$A$97,0),   MATCH(G$1,役男大表!$A$3:$BF$3,0)  )="榮-22",  "x榮18-22",               INDEX(役男大表!$A$1:$BF$95,MATCH($A24,役男大表!$A$1:$A$97,0),   MATCH(G$1,役男大表!$A$3:$BF$3,0)  )                  )  )  )," ",""),"")</f>
        <v/>
      </c>
      <c r="H24" s="278" t="str">
        <f>_xlfn.IFNA(  SUBSTITUTE(     IF(  INDEX(役男大表!$A$1:$BF$95,MATCH($A24,役男大表!$A$1:$A$97,0),   MATCH(H$1,役男大表!$A$3:$BF$3,0)  )=0,"",  IF(  INDEX(役男大表!$A$1:$BF$95,MATCH($A24,役男大表!$A$1:$A$97,0),   MATCH(H$1,役男大表!$A$3:$BF$3,0)  )="榮","x",  IF(  INDEX(役男大表!$A$1:$BF$95,MATCH($A24,役男大表!$A$1:$A$97,0),   MATCH(H$1,役男大表!$A$3:$BF$3,0)  )="榮-22",  "x榮18-22",               INDEX(役男大表!$A$1:$BF$95,MATCH($A24,役男大表!$A$1:$A$97,0),   MATCH(H$1,役男大表!$A$3:$BF$3,0)  )                  )  )  )," ",""),"")</f>
        <v/>
      </c>
      <c r="I24" s="278" t="str">
        <f>_xlfn.IFNA(  SUBSTITUTE(     IF(  INDEX(役男大表!$A$1:$BF$95,MATCH($A24,役男大表!$A$1:$A$97,0),   MATCH(I$1,役男大表!$A$3:$BF$3,0)  )=0,"",  IF(  INDEX(役男大表!$A$1:$BF$95,MATCH($A24,役男大表!$A$1:$A$97,0),   MATCH(I$1,役男大表!$A$3:$BF$3,0)  )="榮","x",  IF(  INDEX(役男大表!$A$1:$BF$95,MATCH($A24,役男大表!$A$1:$A$97,0),   MATCH(I$1,役男大表!$A$3:$BF$3,0)  )="榮-22",  "x榮18-22",               INDEX(役男大表!$A$1:$BF$95,MATCH($A24,役男大表!$A$1:$A$97,0),   MATCH(I$1,役男大表!$A$3:$BF$3,0)  )                  )  )  )," ",""),"")</f>
        <v/>
      </c>
      <c r="J24" s="278" t="str">
        <f>_xlfn.IFNA(  SUBSTITUTE(     IF(  INDEX(役男大表!$A$1:$BF$95,MATCH($A24,役男大表!$A$1:$A$97,0),   MATCH(J$1,役男大表!$A$3:$BF$3,0)  )=0,"",  IF(  INDEX(役男大表!$A$1:$BF$95,MATCH($A24,役男大表!$A$1:$A$97,0),   MATCH(J$1,役男大表!$A$3:$BF$3,0)  )="榮","x",  IF(  INDEX(役男大表!$A$1:$BF$95,MATCH($A24,役男大表!$A$1:$A$97,0),   MATCH(J$1,役男大表!$A$3:$BF$3,0)  )="榮-22",  "x榮18-22",               INDEX(役男大表!$A$1:$BF$95,MATCH($A24,役男大表!$A$1:$A$97,0),   MATCH(J$1,役男大表!$A$3:$BF$3,0)  )                  )  )  )," ",""),"")</f>
        <v>x</v>
      </c>
      <c r="K24" s="278" t="str">
        <f>_xlfn.IFNA(  SUBSTITUTE(     IF(  INDEX(役男大表!$A$1:$BF$95,MATCH($A24,役男大表!$A$1:$A$97,0),   MATCH(K$1,役男大表!$A$3:$BF$3,0)  )=0,"",  IF(  INDEX(役男大表!$A$1:$BF$95,MATCH($A24,役男大表!$A$1:$A$97,0),   MATCH(K$1,役男大表!$A$3:$BF$3,0)  )="榮","x",  IF(  INDEX(役男大表!$A$1:$BF$95,MATCH($A24,役男大表!$A$1:$A$97,0),   MATCH(K$1,役男大表!$A$3:$BF$3,0)  )="榮-22",  "x榮18-22",               INDEX(役男大表!$A$1:$BF$95,MATCH($A24,役男大表!$A$1:$A$97,0),   MATCH(K$1,役男大表!$A$3:$BF$3,0)  )                  )  )  )," ",""),"")</f>
        <v>x</v>
      </c>
      <c r="L24" s="278" t="str">
        <f>_xlfn.IFNA(  SUBSTITUTE(     IF(  INDEX(役男大表!$A$1:$BF$95,MATCH($A24,役男大表!$A$1:$A$97,0),   MATCH(L$1,役男大表!$A$3:$BF$3,0)  )=0,"",  IF(  INDEX(役男大表!$A$1:$BF$95,MATCH($A24,役男大表!$A$1:$A$97,0),   MATCH(L$1,役男大表!$A$3:$BF$3,0)  )="榮","x",  IF(  INDEX(役男大表!$A$1:$BF$95,MATCH($A24,役男大表!$A$1:$A$97,0),   MATCH(L$1,役男大表!$A$3:$BF$3,0)  )="榮-22",  "x榮18-22",               INDEX(役男大表!$A$1:$BF$95,MATCH($A24,役男大表!$A$1:$A$97,0),   MATCH(L$1,役男大表!$A$3:$BF$3,0)  )                  )  )  )," ",""),"")</f>
        <v>x</v>
      </c>
      <c r="M24" s="278" t="str">
        <f>_xlfn.IFNA(  SUBSTITUTE(     IF(  INDEX(役男大表!$A$1:$BF$95,MATCH($A24,役男大表!$A$1:$A$97,0),   MATCH(M$1,役男大表!$A$3:$BF$3,0)  )=0,"",  IF(  INDEX(役男大表!$A$1:$BF$95,MATCH($A24,役男大表!$A$1:$A$97,0),   MATCH(M$1,役男大表!$A$3:$BF$3,0)  )="榮","x",  IF(  INDEX(役男大表!$A$1:$BF$95,MATCH($A24,役男大表!$A$1:$A$97,0),   MATCH(M$1,役男大表!$A$3:$BF$3,0)  )="榮-22",  "x榮18-22",               INDEX(役男大表!$A$1:$BF$95,MATCH($A24,役男大表!$A$1:$A$97,0),   MATCH(M$1,役男大表!$A$3:$BF$3,0)  )                  )  )  )," ",""),"")</f>
        <v/>
      </c>
      <c r="N24" s="278" t="str">
        <f>_xlfn.IFNA(  SUBSTITUTE(     IF(  INDEX(役男大表!$A$1:$BF$95,MATCH($A24,役男大表!$A$1:$A$97,0),   MATCH(N$1,役男大表!$A$3:$BF$3,0)  )=0,"",  IF(  INDEX(役男大表!$A$1:$BF$95,MATCH($A24,役男大表!$A$1:$A$97,0),   MATCH(N$1,役男大表!$A$3:$BF$3,0)  )="榮","x",  IF(  INDEX(役男大表!$A$1:$BF$95,MATCH($A24,役男大表!$A$1:$A$97,0),   MATCH(N$1,役男大表!$A$3:$BF$3,0)  )="榮-22",  "x榮18-22",               INDEX(役男大表!$A$1:$BF$95,MATCH($A24,役男大表!$A$1:$A$97,0),   MATCH(N$1,役男大表!$A$3:$BF$3,0)  )                  )  )  )," ",""),"")</f>
        <v/>
      </c>
      <c r="O24" s="278" t="str">
        <f>_xlfn.IFNA(  SUBSTITUTE(     IF(  INDEX(役男大表!$A$1:$BF$95,MATCH($A24,役男大表!$A$1:$A$97,0),   MATCH(O$1,役男大表!$A$3:$BF$3,0)  )=0,"",  IF(  INDEX(役男大表!$A$1:$BF$95,MATCH($A24,役男大表!$A$1:$A$97,0),   MATCH(O$1,役男大表!$A$3:$BF$3,0)  )="榮","x",  IF(  INDEX(役男大表!$A$1:$BF$95,MATCH($A24,役男大表!$A$1:$A$97,0),   MATCH(O$1,役男大表!$A$3:$BF$3,0)  )="榮-22",  "x榮18-22",               INDEX(役男大表!$A$1:$BF$95,MATCH($A24,役男大表!$A$1:$A$97,0),   MATCH(O$1,役男大表!$A$3:$BF$3,0)  )                  )  )  )," ",""),"")</f>
        <v/>
      </c>
      <c r="P24" s="278" t="str">
        <f>_xlfn.IFNA(  SUBSTITUTE(     IF(  INDEX(役男大表!$A$1:$BF$95,MATCH($A24,役男大表!$A$1:$A$97,0),   MATCH(P$1,役男大表!$A$3:$BF$3,0)  )=0,"",  IF(  INDEX(役男大表!$A$1:$BF$95,MATCH($A24,役男大表!$A$1:$A$97,0),   MATCH(P$1,役男大表!$A$3:$BF$3,0)  )="榮","x",  IF(  INDEX(役男大表!$A$1:$BF$95,MATCH($A24,役男大表!$A$1:$A$97,0),   MATCH(P$1,役男大表!$A$3:$BF$3,0)  )="榮-22",  "x榮18-22",               INDEX(役男大表!$A$1:$BF$95,MATCH($A24,役男大表!$A$1:$A$97,0),   MATCH(P$1,役男大表!$A$3:$BF$3,0)  )                  )  )  )," ",""),"")</f>
        <v/>
      </c>
      <c r="Q24" s="278" t="str">
        <f>_xlfn.IFNA(  SUBSTITUTE(     IF(  INDEX(役男大表!$A$1:$BF$95,MATCH($A24,役男大表!$A$1:$A$97,0),   MATCH(Q$1,役男大表!$A$3:$BF$3,0)  )=0,"",  IF(  INDEX(役男大表!$A$1:$BF$95,MATCH($A24,役男大表!$A$1:$A$97,0),   MATCH(Q$1,役男大表!$A$3:$BF$3,0)  )="榮","x",  IF(  INDEX(役男大表!$A$1:$BF$95,MATCH($A24,役男大表!$A$1:$A$97,0),   MATCH(Q$1,役男大表!$A$3:$BF$3,0)  )="榮-22",  "x榮18-22",               INDEX(役男大表!$A$1:$BF$95,MATCH($A24,役男大表!$A$1:$A$97,0),   MATCH(Q$1,役男大表!$A$3:$BF$3,0)  )                  )  )  )," ",""),"")</f>
        <v/>
      </c>
      <c r="R24" s="278" t="str">
        <f>_xlfn.IFNA(  SUBSTITUTE(     IF(  INDEX(役男大表!$A$1:$BF$95,MATCH($A24,役男大表!$A$1:$A$97,0),   MATCH(R$1,役男大表!$A$3:$BF$3,0)  )=0,"",  IF(  INDEX(役男大表!$A$1:$BF$95,MATCH($A24,役男大表!$A$1:$A$97,0),   MATCH(R$1,役男大表!$A$3:$BF$3,0)  )="榮","x",  IF(  INDEX(役男大表!$A$1:$BF$95,MATCH($A24,役男大表!$A$1:$A$97,0),   MATCH(R$1,役男大表!$A$3:$BF$3,0)  )="榮-22",  "x榮18-22",               INDEX(役男大表!$A$1:$BF$95,MATCH($A24,役男大表!$A$1:$A$97,0),   MATCH(R$1,役男大表!$A$3:$BF$3,0)  )                  )  )  )," ",""),"")</f>
        <v>x</v>
      </c>
      <c r="S24" s="278" t="str">
        <f>_xlfn.IFNA(  SUBSTITUTE(     IF(  INDEX(役男大表!$A$1:$BF$95,MATCH($A24,役男大表!$A$1:$A$97,0),   MATCH(S$1,役男大表!$A$3:$BF$3,0)  )=0,"",  IF(  INDEX(役男大表!$A$1:$BF$95,MATCH($A24,役男大表!$A$1:$A$97,0),   MATCH(S$1,役男大表!$A$3:$BF$3,0)  )="榮","x",  IF(  INDEX(役男大表!$A$1:$BF$95,MATCH($A24,役男大表!$A$1:$A$97,0),   MATCH(S$1,役男大表!$A$3:$BF$3,0)  )="榮-22",  "x榮18-22",               INDEX(役男大表!$A$1:$BF$95,MATCH($A24,役男大表!$A$1:$A$97,0),   MATCH(S$1,役男大表!$A$3:$BF$3,0)  )                  )  )  )," ",""),"")</f>
        <v>x</v>
      </c>
      <c r="T24" s="278" t="str">
        <f>_xlfn.IFNA(  SUBSTITUTE(     IF(  INDEX(役男大表!$A$1:$BF$95,MATCH($A24,役男大表!$A$1:$A$97,0),   MATCH(T$1,役男大表!$A$3:$BF$3,0)  )=0,"",  IF(  INDEX(役男大表!$A$1:$BF$95,MATCH($A24,役男大表!$A$1:$A$97,0),   MATCH(T$1,役男大表!$A$3:$BF$3,0)  )="榮","x",  IF(  INDEX(役男大表!$A$1:$BF$95,MATCH($A24,役男大表!$A$1:$A$97,0),   MATCH(T$1,役男大表!$A$3:$BF$3,0)  )="榮-22",  "x榮18-22",               INDEX(役男大表!$A$1:$BF$95,MATCH($A24,役男大表!$A$1:$A$97,0),   MATCH(T$1,役男大表!$A$3:$BF$3,0)  )                  )  )  )," ",""),"")</f>
        <v/>
      </c>
      <c r="U24" s="278" t="str">
        <f>_xlfn.IFNA(  SUBSTITUTE(     IF(  INDEX(役男大表!$A$1:$BF$95,MATCH($A24,役男大表!$A$1:$A$97,0),   MATCH(U$1,役男大表!$A$3:$BF$3,0)  )=0,"",  IF(  INDEX(役男大表!$A$1:$BF$95,MATCH($A24,役男大表!$A$1:$A$97,0),   MATCH(U$1,役男大表!$A$3:$BF$3,0)  )="榮","x",  IF(  INDEX(役男大表!$A$1:$BF$95,MATCH($A24,役男大表!$A$1:$A$97,0),   MATCH(U$1,役男大表!$A$3:$BF$3,0)  )="榮-22",  "x榮18-22",               INDEX(役男大表!$A$1:$BF$95,MATCH($A24,役男大表!$A$1:$A$97,0),   MATCH(U$1,役男大表!$A$3:$BF$3,0)  )                  )  )  )," ",""),"")</f>
        <v/>
      </c>
      <c r="V24" s="278" t="str">
        <f>_xlfn.IFNA(  SUBSTITUTE(     IF(  INDEX(役男大表!$A$1:$BF$95,MATCH($A24,役男大表!$A$1:$A$97,0),   MATCH(V$1,役男大表!$A$3:$BF$3,0)  )=0,"",  IF(  INDEX(役男大表!$A$1:$BF$95,MATCH($A24,役男大表!$A$1:$A$97,0),   MATCH(V$1,役男大表!$A$3:$BF$3,0)  )="榮","x",  IF(  INDEX(役男大表!$A$1:$BF$95,MATCH($A24,役男大表!$A$1:$A$97,0),   MATCH(V$1,役男大表!$A$3:$BF$3,0)  )="榮-22",  "x榮18-22",               INDEX(役男大表!$A$1:$BF$95,MATCH($A24,役男大表!$A$1:$A$97,0),   MATCH(V$1,役男大表!$A$3:$BF$3,0)  )                  )  )  )," ",""),"")</f>
        <v/>
      </c>
      <c r="W24" s="278" t="str">
        <f>_xlfn.IFNA(  SUBSTITUTE(     IF(  INDEX(役男大表!$A$1:$BF$95,MATCH($A24,役男大表!$A$1:$A$97,0),   MATCH(W$1,役男大表!$A$3:$BF$3,0)  )=0,"",  IF(  INDEX(役男大表!$A$1:$BF$95,MATCH($A24,役男大表!$A$1:$A$97,0),   MATCH(W$1,役男大表!$A$3:$BF$3,0)  )="榮","x",  IF(  INDEX(役男大表!$A$1:$BF$95,MATCH($A24,役男大表!$A$1:$A$97,0),   MATCH(W$1,役男大表!$A$3:$BF$3,0)  )="榮-22",  "x榮18-22",               INDEX(役男大表!$A$1:$BF$95,MATCH($A24,役男大表!$A$1:$A$97,0),   MATCH(W$1,役男大表!$A$3:$BF$3,0)  )                  )  )  )," ",""),"")</f>
        <v/>
      </c>
      <c r="X24" s="278" t="str">
        <f>_xlfn.IFNA(  SUBSTITUTE(     IF(  INDEX(役男大表!$A$1:$BF$95,MATCH($A24,役男大表!$A$1:$A$97,0),   MATCH(X$1,役男大表!$A$3:$BF$3,0)  )=0,"",  IF(  INDEX(役男大表!$A$1:$BF$95,MATCH($A24,役男大表!$A$1:$A$97,0),   MATCH(X$1,役男大表!$A$3:$BF$3,0)  )="榮","x",  IF(  INDEX(役男大表!$A$1:$BF$95,MATCH($A24,役男大表!$A$1:$A$97,0),   MATCH(X$1,役男大表!$A$3:$BF$3,0)  )="榮-22",  "x榮18-22",               INDEX(役男大表!$A$1:$BF$95,MATCH($A24,役男大表!$A$1:$A$97,0),   MATCH(X$1,役男大表!$A$3:$BF$3,0)  )                  )  )  )," ",""),"")</f>
        <v/>
      </c>
      <c r="Y24" s="278" t="str">
        <f>_xlfn.IFNA(  SUBSTITUTE(     IF(  INDEX(役男大表!$A$1:$BF$95,MATCH($A24,役男大表!$A$1:$A$97,0),   MATCH(Y$1,役男大表!$A$3:$BF$3,0)  )=0,"",  IF(  INDEX(役男大表!$A$1:$BF$95,MATCH($A24,役男大表!$A$1:$A$97,0),   MATCH(Y$1,役男大表!$A$3:$BF$3,0)  )="榮","x",  IF(  INDEX(役男大表!$A$1:$BF$95,MATCH($A24,役男大表!$A$1:$A$97,0),   MATCH(Y$1,役男大表!$A$3:$BF$3,0)  )="榮-22",  "x榮18-22",               INDEX(役男大表!$A$1:$BF$95,MATCH($A24,役男大表!$A$1:$A$97,0),   MATCH(Y$1,役男大表!$A$3:$BF$3,0)  )                  )  )  )," ",""),"")</f>
        <v/>
      </c>
      <c r="Z24" s="278" t="str">
        <f>_xlfn.IFNA(  SUBSTITUTE(     IF(  INDEX(役男大表!$A$1:$BF$95,MATCH($A24,役男大表!$A$1:$A$97,0),   MATCH(Z$1,役男大表!$A$3:$BF$3,0)  )=0,"",  IF(  INDEX(役男大表!$A$1:$BF$95,MATCH($A24,役男大表!$A$1:$A$97,0),   MATCH(Z$1,役男大表!$A$3:$BF$3,0)  )="榮","x",  IF(  INDEX(役男大表!$A$1:$BF$95,MATCH($A24,役男大表!$A$1:$A$97,0),   MATCH(Z$1,役男大表!$A$3:$BF$3,0)  )="榮-22",  "x榮18-22",               INDEX(役男大表!$A$1:$BF$95,MATCH($A24,役男大表!$A$1:$A$97,0),   MATCH(Z$1,役男大表!$A$3:$BF$3,0)  )                  )  )  )," ",""),"")</f>
        <v/>
      </c>
      <c r="AA24" s="278" t="str">
        <f>_xlfn.IFNA(  SUBSTITUTE(     IF(  INDEX(役男大表!$A$1:$BF$95,MATCH($A24,役男大表!$A$1:$A$97,0),   MATCH(AA$1,役男大表!$A$3:$BF$3,0)  )=0,"",  IF(  INDEX(役男大表!$A$1:$BF$95,MATCH($A24,役男大表!$A$1:$A$97,0),   MATCH(AA$1,役男大表!$A$3:$BF$3,0)  )="榮","x",  IF(  INDEX(役男大表!$A$1:$BF$95,MATCH($A24,役男大表!$A$1:$A$97,0),   MATCH(AA$1,役男大表!$A$3:$BF$3,0)  )="榮-22",  "x榮18-22",               INDEX(役男大表!$A$1:$BF$95,MATCH($A24,役男大表!$A$1:$A$97,0),   MATCH(AA$1,役男大表!$A$3:$BF$3,0)  )                  )  )  )," ",""),"")</f>
        <v/>
      </c>
      <c r="AB24" s="278" t="str">
        <f>_xlfn.IFNA(  SUBSTITUTE(     IF(  INDEX(役男大表!$A$1:$BF$95,MATCH($A24,役男大表!$A$1:$A$97,0),   MATCH(AB$1,役男大表!$A$3:$BF$3,0)  )=0,"",  IF(  INDEX(役男大表!$A$1:$BF$95,MATCH($A24,役男大表!$A$1:$A$97,0),   MATCH(AB$1,役男大表!$A$3:$BF$3,0)  )="榮","x",  IF(  INDEX(役男大表!$A$1:$BF$95,MATCH($A24,役男大表!$A$1:$A$97,0),   MATCH(AB$1,役男大表!$A$3:$BF$3,0)  )="榮-22",  "x榮18-22",               INDEX(役男大表!$A$1:$BF$95,MATCH($A24,役男大表!$A$1:$A$97,0),   MATCH(AB$1,役男大表!$A$3:$BF$3,0)  )                  )  )  )," ",""),"")</f>
        <v/>
      </c>
      <c r="AC24" s="278" t="str">
        <f>_xlfn.IFNA(  SUBSTITUTE(     IF(  INDEX(役男大表!$A$1:$BF$95,MATCH($A24,役男大表!$A$1:$A$97,0),   MATCH(AC$1,役男大表!$A$3:$BF$3,0)  )=0,"",  IF(  INDEX(役男大表!$A$1:$BF$95,MATCH($A24,役男大表!$A$1:$A$97,0),   MATCH(AC$1,役男大表!$A$3:$BF$3,0)  )="榮","x",  IF(  INDEX(役男大表!$A$1:$BF$95,MATCH($A24,役男大表!$A$1:$A$97,0),   MATCH(AC$1,役男大表!$A$3:$BF$3,0)  )="榮-22",  "x榮18-22",               INDEX(役男大表!$A$1:$BF$95,MATCH($A24,役男大表!$A$1:$A$97,0),   MATCH(AC$1,役男大表!$A$3:$BF$3,0)  )                  )  )  )," ",""),"")</f>
        <v/>
      </c>
      <c r="AD24" s="278" t="str">
        <f>_xlfn.IFNA(  SUBSTITUTE(     IF(  INDEX(役男大表!$A$1:$BF$95,MATCH($A24,役男大表!$A$1:$A$97,0),   MATCH(AD$1,役男大表!$A$3:$BF$3,0)  )=0,"",  IF(  INDEX(役男大表!$A$1:$BF$95,MATCH($A24,役男大表!$A$1:$A$97,0),   MATCH(AD$1,役男大表!$A$3:$BF$3,0)  )="榮","x",  IF(  INDEX(役男大表!$A$1:$BF$95,MATCH($A24,役男大表!$A$1:$A$97,0),   MATCH(AD$1,役男大表!$A$3:$BF$3,0)  )="榮-22",  "x榮18-22",               INDEX(役男大表!$A$1:$BF$95,MATCH($A24,役男大表!$A$1:$A$97,0),   MATCH(AD$1,役男大表!$A$3:$BF$3,0)  )                  )  )  )," ",""),"")</f>
        <v/>
      </c>
      <c r="AE24" s="278" t="str">
        <f>_xlfn.IFNA(  SUBSTITUTE(     IF(  INDEX(役男大表!$A$1:$BF$95,MATCH($A24,役男大表!$A$1:$A$97,0),   MATCH(AE$1,役男大表!$A$3:$BF$3,0)  )=0,"",  IF(  INDEX(役男大表!$A$1:$BF$95,MATCH($A24,役男大表!$A$1:$A$97,0),   MATCH(AE$1,役男大表!$A$3:$BF$3,0)  )="榮","x",  IF(  INDEX(役男大表!$A$1:$BF$95,MATCH($A24,役男大表!$A$1:$A$97,0),   MATCH(AE$1,役男大表!$A$3:$BF$3,0)  )="榮-22",  "x榮18-22",               INDEX(役男大表!$A$1:$BF$95,MATCH($A24,役男大表!$A$1:$A$97,0),   MATCH(AE$1,役男大表!$A$3:$BF$3,0)  )                  )  )  )," ",""),"")</f>
        <v/>
      </c>
      <c r="AF24" s="278" t="str">
        <f>_xlfn.IFNA(  SUBSTITUTE(     IF(  INDEX(役男大表!$A$1:$BF$95,MATCH($A24,役男大表!$A$1:$A$97,0),   MATCH(AF$1,役男大表!$A$3:$BF$3,0)  )=0,"",  IF(  INDEX(役男大表!$A$1:$BF$95,MATCH($A24,役男大表!$A$1:$A$97,0),   MATCH(AF$1,役男大表!$A$3:$BF$3,0)  )="榮","x",  IF(  INDEX(役男大表!$A$1:$BF$95,MATCH($A24,役男大表!$A$1:$A$97,0),   MATCH(AF$1,役男大表!$A$3:$BF$3,0)  )="榮-22",  "x榮18-22",               INDEX(役男大表!$A$1:$BF$95,MATCH($A24,役男大表!$A$1:$A$97,0),   MATCH(AF$1,役男大表!$A$3:$BF$3,0)  )                  )  )  )," ",""),"")</f>
        <v>榮12-18</v>
      </c>
      <c r="AG24" s="278" t="str">
        <f>_xlfn.IFNA(  SUBSTITUTE(     IF(  INDEX(役男大表!$A$1:$BF$95,MATCH($A24,役男大表!$A$1:$A$97,0),   MATCH(AG$1,役男大表!$A$3:$BF$3,0)  )=0,"",  IF(  INDEX(役男大表!$A$1:$BF$95,MATCH($A24,役男大表!$A$1:$A$97,0),   MATCH(AG$1,役男大表!$A$3:$BF$3,0)  )="榮","x",  IF(  INDEX(役男大表!$A$1:$BF$95,MATCH($A24,役男大表!$A$1:$A$97,0),   MATCH(AG$1,役男大表!$A$3:$BF$3,0)  )="榮-22",  "x榮18-22",               INDEX(役男大表!$A$1:$BF$95,MATCH($A24,役男大表!$A$1:$A$97,0),   MATCH(AG$1,役男大表!$A$3:$BF$3,0)  )                  )  )  )," ",""),"")</f>
        <v>x</v>
      </c>
      <c r="AH24" s="278" t="str">
        <f>_xlfn.IFNA(  SUBSTITUTE(     IF(  INDEX(役男大表!$A$1:$BF$95,MATCH($A24,役男大表!$A$1:$A$97,0),   MATCH(AH$1,役男大表!$A$3:$BF$3,0)  )=0,"",  IF(  INDEX(役男大表!$A$1:$BF$95,MATCH($A24,役男大表!$A$1:$A$97,0),   MATCH(AH$1,役男大表!$A$3:$BF$3,0)  )="榮","x",  IF(  INDEX(役男大表!$A$1:$BF$95,MATCH($A24,役男大表!$A$1:$A$97,0),   MATCH(AH$1,役男大表!$A$3:$BF$3,0)  )="榮-22",  "x榮18-22",               INDEX(役男大表!$A$1:$BF$95,MATCH($A24,役男大表!$A$1:$A$97,0),   MATCH(AH$1,役男大表!$A$3:$BF$3,0)  )                  )  )  )," ",""),"")</f>
        <v/>
      </c>
      <c r="AI24" s="278" t="str">
        <f>_xlfn.IFNA(  SUBSTITUTE(     IF(  INDEX(役男大表!$A$1:$BF$95,MATCH($A24,役男大表!$A$1:$A$97,0),   MATCH(AI$1,役男大表!$A$3:$BF$3,0)  )=0,"",  IF(  INDEX(役男大表!$A$1:$BF$95,MATCH($A24,役男大表!$A$1:$A$97,0),   MATCH(AI$1,役男大表!$A$3:$BF$3,0)  )="榮","x",  IF(  INDEX(役男大表!$A$1:$BF$95,MATCH($A24,役男大表!$A$1:$A$97,0),   MATCH(AI$1,役男大表!$A$3:$BF$3,0)  )="榮-22",  "x榮18-22",               INDEX(役男大表!$A$1:$BF$95,MATCH($A24,役男大表!$A$1:$A$97,0),   MATCH(AI$1,役男大表!$A$3:$BF$3,0)  )                  )  )  )," ",""),"")</f>
        <v/>
      </c>
      <c r="AJ24" s="278" t="str">
        <f>_xlfn.IFNA(  SUBSTITUTE(     IF(  INDEX(役男大表!$A$1:$BF$95,MATCH($A24,役男大表!$A$1:$A$97,0),   MATCH(AJ$1,役男大表!$A$3:$BF$3,0)  )=0,"",  IF(  INDEX(役男大表!$A$1:$BF$95,MATCH($A24,役男大表!$A$1:$A$97,0),   MATCH(AJ$1,役男大表!$A$3:$BF$3,0)  )="榮","x",  IF(  INDEX(役男大表!$A$1:$BF$95,MATCH($A24,役男大表!$A$1:$A$97,0),   MATCH(AJ$1,役男大表!$A$3:$BF$3,0)  )="榮-22",  "x榮18-22",               INDEX(役男大表!$A$1:$BF$95,MATCH($A24,役男大表!$A$1:$A$97,0),   MATCH(AJ$1,役男大表!$A$3:$BF$3,0)  )                  )  )  )," ",""),"")</f>
        <v/>
      </c>
      <c r="AM24" s="66">
        <f t="shared" si="1"/>
        <v>23</v>
      </c>
      <c r="AN24" s="66" t="str">
        <f t="shared" si="2"/>
        <v>阮成山</v>
      </c>
      <c r="AO24" s="71" t="str">
        <f>IF(  AND(  INDEX(   $A$42:$AJ$79, MATCH(AM24,$A$42:$A$79,0),MATCH(  日期輸入!$C$3,$A$42:$AL$42,0  )  )="全日勤",  AV24="免"  ),  "全日勤免勤教",  IF(  AND(  INDEX(   $A$42:$AJ$79, MATCH(AM24,$A$42:$A$79,0),MATCH(  日期輸入!$C$3,$A$42:$AL$42,0  )  )="18放",  AV24="免"  ),  "18放早走",  INDEX(   $A$42:$AJ$79, MATCH(AM24,$A$42:$A$79,0),MATCH(  日期輸入!$C$3,$A$42:$AL$42,0  )  )  )  )</f>
        <v>18收</v>
      </c>
      <c r="AP24" s="66" t="str">
        <f>_xlfn.IFNA(IF((ROW(AP24)-1)&lt;=暫1!$B$2,IF(VALUE($AM24)=暫1!B$3,"家因",IF(VALUE($AM24)=暫1!C$3,"家因",IF(VALUE($AM24)=暫1!D$3,"家因",IF(VALUE($AM24)=暫1!E$3,"家因",IF(VALUE($AM24)=暫1!F$3,"家因",IF(VALUE($AM24)=暫1!G$3,"家因",IF(VALUE($AM24)=暫1!H$3,"家因",IF(VALUE($AM24)=暫1!I$3,"家因",IF(VALUE($AM24)=暫1!J$3,"家因",IF(VALUE($AM24)=暫1!K$3,"家因",IF(VALUE($AM24)=暫1!L$3,"家因",IF(VALUE($AM24)=暫1!M$3,"家因",IF(VALUE($AM24)=暫1!N$3,"家因",IF(VALUE($AM24)=暫1!O$3,"家因",IF(VALUE($AM24)=暫1!P$3,"家因",IF(VALUE($AM24)=暫1!Q$3,"家因",IF(VALUE($AM24)=暫1!R$3,"家因",IF(VALUE($AM24)=暫1!S$3,"家因",IF(VALUE($AM24)=暫1!T$3,"家因",IF(VALUE($AM24)=暫1!U$3,"家因","")))))))))))))))))))),""),"")</f>
        <v/>
      </c>
      <c r="AQ24" s="66" t="str">
        <f>IF((ROW(AQ24)-1)&lt;=暫1!$B$2,_xlfn.IFNA(IF(INDEX($A$1:$AJ$41,MATCH($AN24,$B$1:$B$101,0),VALUE($AQ$1+3))="成","補",INDEX($A$1:$AJ$41,MATCH($AN24,$B$1:$B$101,0),VALUE($AQ$1+3))),""),"")</f>
        <v>x</v>
      </c>
      <c r="AR24" s="66" t="str">
        <f>IF((ROW(AR24)-1)&lt;=暫1!$B$2,_xlfn.IFNA(IF(INDEX($A$1:$AJ$41,MATCH($AN24,$B$1:$B$101,0),VALUE($AR$1+3))="成","補",INDEX($A$1:$AJ$41,MATCH($AN24,$B$1:$B$101,0),VALUE($AR$1+3))),""),"")</f>
        <v/>
      </c>
      <c r="AS24" s="66" t="str">
        <f>IF((ROW(AS24)-1)&lt;=暫1!$B$2,_xlfn.IFNA(IF(INDEX($A$1:$AJ$41,MATCH($AN24,$B$1:$B$101,0),VALUE($AS$1+3))="成","補",INDEX($A$1:$AJ$41,MATCH($AN24,$B$1:$B$101,0),VALUE($AS$1+3))),""),"")</f>
        <v/>
      </c>
      <c r="AT24" s="66" t="str">
        <f>IF(  OR(  LEN(  INDEX(   $A$1:$AJ$39, MATCH(AM24,$A$1:$A$39,0),MATCH(  日期輸入!$C$3,$A$1:$AP$1,0  )  )  )&gt;LEN(  SUBSTITUTE(  INDEX(   $A$1:$AJ$39, MATCH(AM24,$A$1:$A$39,0),MATCH(  日期輸入!$C$3,$A$1:$AP$1,0  )  ),"榮","")  )  ),   SUBSTITUTE(  SUBSTITUTE(  INDEX(   $A$1:$AJ$39, MATCH(AM24,$A$1:$A$39,0),MATCH(  日期輸入!$C$3,$A$1:$AP$1,0  )  ),"榮",""),"x",""), "")</f>
        <v/>
      </c>
      <c r="AU24" s="66" t="str">
        <f t="shared" si="3"/>
        <v/>
      </c>
      <c r="AV24" s="66" t="str">
        <f>INDEX(   $A$482:$AJ$519, MATCH(AM24,$A$482:$A$519,0),MATCH(  日期輸入!$C$3,$A$482:$AL$482,0  )  )</f>
        <v/>
      </c>
      <c r="AX24" s="66" t="str">
        <f>IFERROR(IF((ROW(AX24)-1)&lt;=暫1!$B$2,SUBSTITUTE(IF($AO24=$AX$1,$AM24,"")," ",""),""),"")</f>
        <v/>
      </c>
      <c r="AY24" s="66" t="str">
        <f>IFERROR(IF((ROW(AY24)-1)&lt;=暫1!$B$2,SUBSTITUTE(IF($AO24=$AY$1,$AM24,"")," ",""),""),"")</f>
        <v/>
      </c>
      <c r="AZ24" s="66" t="str">
        <f>IFERROR(IF((ROW(AZ24)-1)&lt;=暫1!$B$2,SUBSTITUTE(IF($AO24=$AZ$1,$AM24,"")," ",""),""),"")</f>
        <v/>
      </c>
      <c r="BA24" s="66" t="str">
        <f>IFERROR(IF((ROW(BA24)-1)&lt;=暫1!$B$2,SUBSTITUTE(IF($AO24=$BA$1,$AM24,"")," ",""),""),"")</f>
        <v>23</v>
      </c>
      <c r="BB24" s="69" t="str">
        <f>IFERROR(IF((ROW(BB24)-1)&lt;=暫1!$B$2,SUBSTITUTE(IF(OR($AO24=$BB$1,$AO24=$AY$1,$AO24=$AZ$1),$AM24,IF($AO24=$AY$1,$AM24,"")),"",""),""),"")</f>
        <v/>
      </c>
      <c r="BC24" s="69" t="str">
        <f>IF(    AND(LEN(BC23)&gt;=2 ),        "、" &amp;  IF(OR(役男人力!$J$2:$J$84="是"),役男人力!$B25,""),  IF(OR(役男人力!$J$2:$J$84="是"),役男人力!$B25,"")  )</f>
        <v/>
      </c>
    </row>
    <row r="25" spans="1:59" ht="25.5" customHeight="1">
      <c r="A25" s="278">
        <v>24</v>
      </c>
      <c r="B25" s="278" t="str">
        <f>_xlfn.IFNA(  INDEX(役男大表!$A$1:$BF$95,MATCH(A25,役男大表!$A$1:$A$97,0),2),"")</f>
        <v>黃品傑</v>
      </c>
      <c r="C25" s="278" t="str">
        <f>_xlfn.IFNA(  SUBSTITUTE(     IF(  INDEX(役男大表!$A$1:$BF$95,MATCH($A25,役男大表!$A$1:$A$97,0),   MATCH(C$1,役男大表!$A$3:$BF$3,0)  )=0,"",  IF(  INDEX(役男大表!$A$1:$BF$95,MATCH($A25,役男大表!$A$1:$A$97,0),   MATCH(C$1,役男大表!$A$3:$BF$3,0)  )="榮","x",  IF(  INDEX(役男大表!$A$1:$BF$95,MATCH($A25,役男大表!$A$1:$A$97,0),   MATCH(C$1,役男大表!$A$3:$BF$3,0)  )="榮-22",  "x榮18-22",               INDEX(役男大表!$A$1:$BF$95,MATCH($A25,役男大表!$A$1:$A$97,0),   MATCH(C$1,役男大表!$A$3:$BF$3,0)  )                  )  )  )," ",""),"")</f>
        <v>x</v>
      </c>
      <c r="D25" s="278" t="str">
        <f>_xlfn.IFNA(  SUBSTITUTE(     IF(  INDEX(役男大表!$A$1:$BF$95,MATCH($A25,役男大表!$A$1:$A$97,0),   MATCH(D$1,役男大表!$A$3:$BF$3,0)  )=0,"",  IF(  INDEX(役男大表!$A$1:$BF$95,MATCH($A25,役男大表!$A$1:$A$97,0),   MATCH(D$1,役男大表!$A$3:$BF$3,0)  )="榮","x",  IF(  INDEX(役男大表!$A$1:$BF$95,MATCH($A25,役男大表!$A$1:$A$97,0),   MATCH(D$1,役男大表!$A$3:$BF$3,0)  )="榮-22",  "x榮18-22",               INDEX(役男大表!$A$1:$BF$95,MATCH($A25,役男大表!$A$1:$A$97,0),   MATCH(D$1,役男大表!$A$3:$BF$3,0)  )                  )  )  )," ",""),"")</f>
        <v>x</v>
      </c>
      <c r="E25" s="278" t="str">
        <f>_xlfn.IFNA(  SUBSTITUTE(     IF(  INDEX(役男大表!$A$1:$BF$95,MATCH($A25,役男大表!$A$1:$A$97,0),   MATCH(E$1,役男大表!$A$3:$BF$3,0)  )=0,"",  IF(  INDEX(役男大表!$A$1:$BF$95,MATCH($A25,役男大表!$A$1:$A$97,0),   MATCH(E$1,役男大表!$A$3:$BF$3,0)  )="榮","x",  IF(  INDEX(役男大表!$A$1:$BF$95,MATCH($A25,役男大表!$A$1:$A$97,0),   MATCH(E$1,役男大表!$A$3:$BF$3,0)  )="榮-22",  "x榮18-22",               INDEX(役男大表!$A$1:$BF$95,MATCH($A25,役男大表!$A$1:$A$97,0),   MATCH(E$1,役男大表!$A$3:$BF$3,0)  )                  )  )  )," ",""),"")</f>
        <v>x榮18-22</v>
      </c>
      <c r="F25" s="278" t="str">
        <f>_xlfn.IFNA(  SUBSTITUTE(     IF(  INDEX(役男大表!$A$1:$BF$95,MATCH($A25,役男大表!$A$1:$A$97,0),   MATCH(F$1,役男大表!$A$3:$BF$3,0)  )=0,"",  IF(  INDEX(役男大表!$A$1:$BF$95,MATCH($A25,役男大表!$A$1:$A$97,0),   MATCH(F$1,役男大表!$A$3:$BF$3,0)  )="榮","x",  IF(  INDEX(役男大表!$A$1:$BF$95,MATCH($A25,役男大表!$A$1:$A$97,0),   MATCH(F$1,役男大表!$A$3:$BF$3,0)  )="榮-22",  "x榮18-22",               INDEX(役男大表!$A$1:$BF$95,MATCH($A25,役男大表!$A$1:$A$97,0),   MATCH(F$1,役男大表!$A$3:$BF$3,0)  )                  )  )  )," ",""),"")</f>
        <v/>
      </c>
      <c r="G25" s="278" t="str">
        <f>_xlfn.IFNA(  SUBSTITUTE(     IF(  INDEX(役男大表!$A$1:$BF$95,MATCH($A25,役男大表!$A$1:$A$97,0),   MATCH(G$1,役男大表!$A$3:$BF$3,0)  )=0,"",  IF(  INDEX(役男大表!$A$1:$BF$95,MATCH($A25,役男大表!$A$1:$A$97,0),   MATCH(G$1,役男大表!$A$3:$BF$3,0)  )="榮","x",  IF(  INDEX(役男大表!$A$1:$BF$95,MATCH($A25,役男大表!$A$1:$A$97,0),   MATCH(G$1,役男大表!$A$3:$BF$3,0)  )="榮-22",  "x榮18-22",               INDEX(役男大表!$A$1:$BF$95,MATCH($A25,役男大表!$A$1:$A$97,0),   MATCH(G$1,役男大表!$A$3:$BF$3,0)  )                  )  )  )," ",""),"")</f>
        <v/>
      </c>
      <c r="H25" s="278" t="str">
        <f>_xlfn.IFNA(  SUBSTITUTE(     IF(  INDEX(役男大表!$A$1:$BF$95,MATCH($A25,役男大表!$A$1:$A$97,0),   MATCH(H$1,役男大表!$A$3:$BF$3,0)  )=0,"",  IF(  INDEX(役男大表!$A$1:$BF$95,MATCH($A25,役男大表!$A$1:$A$97,0),   MATCH(H$1,役男大表!$A$3:$BF$3,0)  )="榮","x",  IF(  INDEX(役男大表!$A$1:$BF$95,MATCH($A25,役男大表!$A$1:$A$97,0),   MATCH(H$1,役男大表!$A$3:$BF$3,0)  )="榮-22",  "x榮18-22",               INDEX(役男大表!$A$1:$BF$95,MATCH($A25,役男大表!$A$1:$A$97,0),   MATCH(H$1,役男大表!$A$3:$BF$3,0)  )                  )  )  )," ",""),"")</f>
        <v/>
      </c>
      <c r="I25" s="278" t="str">
        <f>_xlfn.IFNA(  SUBSTITUTE(     IF(  INDEX(役男大表!$A$1:$BF$95,MATCH($A25,役男大表!$A$1:$A$97,0),   MATCH(I$1,役男大表!$A$3:$BF$3,0)  )=0,"",  IF(  INDEX(役男大表!$A$1:$BF$95,MATCH($A25,役男大表!$A$1:$A$97,0),   MATCH(I$1,役男大表!$A$3:$BF$3,0)  )="榮","x",  IF(  INDEX(役男大表!$A$1:$BF$95,MATCH($A25,役男大表!$A$1:$A$97,0),   MATCH(I$1,役男大表!$A$3:$BF$3,0)  )="榮-22",  "x榮18-22",               INDEX(役男大表!$A$1:$BF$95,MATCH($A25,役男大表!$A$1:$A$97,0),   MATCH(I$1,役男大表!$A$3:$BF$3,0)  )                  )  )  )," ",""),"")</f>
        <v/>
      </c>
      <c r="J25" s="278" t="str">
        <f>_xlfn.IFNA(  SUBSTITUTE(     IF(  INDEX(役男大表!$A$1:$BF$95,MATCH($A25,役男大表!$A$1:$A$97,0),   MATCH(J$1,役男大表!$A$3:$BF$3,0)  )=0,"",  IF(  INDEX(役男大表!$A$1:$BF$95,MATCH($A25,役男大表!$A$1:$A$97,0),   MATCH(J$1,役男大表!$A$3:$BF$3,0)  )="榮","x",  IF(  INDEX(役男大表!$A$1:$BF$95,MATCH($A25,役男大表!$A$1:$A$97,0),   MATCH(J$1,役男大表!$A$3:$BF$3,0)  )="榮-22",  "x榮18-22",               INDEX(役男大表!$A$1:$BF$95,MATCH($A25,役男大表!$A$1:$A$97,0),   MATCH(J$1,役男大表!$A$3:$BF$3,0)  )                  )  )  )," ",""),"")</f>
        <v/>
      </c>
      <c r="K25" s="278" t="str">
        <f>_xlfn.IFNA(  SUBSTITUTE(     IF(  INDEX(役男大表!$A$1:$BF$95,MATCH($A25,役男大表!$A$1:$A$97,0),   MATCH(K$1,役男大表!$A$3:$BF$3,0)  )=0,"",  IF(  INDEX(役男大表!$A$1:$BF$95,MATCH($A25,役男大表!$A$1:$A$97,0),   MATCH(K$1,役男大表!$A$3:$BF$3,0)  )="榮","x",  IF(  INDEX(役男大表!$A$1:$BF$95,MATCH($A25,役男大表!$A$1:$A$97,0),   MATCH(K$1,役男大表!$A$3:$BF$3,0)  )="榮-22",  "x榮18-22",               INDEX(役男大表!$A$1:$BF$95,MATCH($A25,役男大表!$A$1:$A$97,0),   MATCH(K$1,役男大表!$A$3:$BF$3,0)  )                  )  )  )," ",""),"")</f>
        <v/>
      </c>
      <c r="L25" s="278" t="str">
        <f>_xlfn.IFNA(  SUBSTITUTE(     IF(  INDEX(役男大表!$A$1:$BF$95,MATCH($A25,役男大表!$A$1:$A$97,0),   MATCH(L$1,役男大表!$A$3:$BF$3,0)  )=0,"",  IF(  INDEX(役男大表!$A$1:$BF$95,MATCH($A25,役男大表!$A$1:$A$97,0),   MATCH(L$1,役男大表!$A$3:$BF$3,0)  )="榮","x",  IF(  INDEX(役男大表!$A$1:$BF$95,MATCH($A25,役男大表!$A$1:$A$97,0),   MATCH(L$1,役男大表!$A$3:$BF$3,0)  )="榮-22",  "x榮18-22",               INDEX(役男大表!$A$1:$BF$95,MATCH($A25,役男大表!$A$1:$A$97,0),   MATCH(L$1,役男大表!$A$3:$BF$3,0)  )                  )  )  )," ",""),"")</f>
        <v/>
      </c>
      <c r="M25" s="278" t="str">
        <f>_xlfn.IFNA(  SUBSTITUTE(     IF(  INDEX(役男大表!$A$1:$BF$95,MATCH($A25,役男大表!$A$1:$A$97,0),   MATCH(M$1,役男大表!$A$3:$BF$3,0)  )=0,"",  IF(  INDEX(役男大表!$A$1:$BF$95,MATCH($A25,役男大表!$A$1:$A$97,0),   MATCH(M$1,役男大表!$A$3:$BF$3,0)  )="榮","x",  IF(  INDEX(役男大表!$A$1:$BF$95,MATCH($A25,役男大表!$A$1:$A$97,0),   MATCH(M$1,役男大表!$A$3:$BF$3,0)  )="榮-22",  "x榮18-22",               INDEX(役男大表!$A$1:$BF$95,MATCH($A25,役男大表!$A$1:$A$97,0),   MATCH(M$1,役男大表!$A$3:$BF$3,0)  )                  )  )  )," ",""),"")</f>
        <v/>
      </c>
      <c r="N25" s="278" t="str">
        <f>_xlfn.IFNA(  SUBSTITUTE(     IF(  INDEX(役男大表!$A$1:$BF$95,MATCH($A25,役男大表!$A$1:$A$97,0),   MATCH(N$1,役男大表!$A$3:$BF$3,0)  )=0,"",  IF(  INDEX(役男大表!$A$1:$BF$95,MATCH($A25,役男大表!$A$1:$A$97,0),   MATCH(N$1,役男大表!$A$3:$BF$3,0)  )="榮","x",  IF(  INDEX(役男大表!$A$1:$BF$95,MATCH($A25,役男大表!$A$1:$A$97,0),   MATCH(N$1,役男大表!$A$3:$BF$3,0)  )="榮-22",  "x榮18-22",               INDEX(役男大表!$A$1:$BF$95,MATCH($A25,役男大表!$A$1:$A$97,0),   MATCH(N$1,役男大表!$A$3:$BF$3,0)  )                  )  )  )," ",""),"")</f>
        <v/>
      </c>
      <c r="O25" s="278" t="str">
        <f>_xlfn.IFNA(  SUBSTITUTE(     IF(  INDEX(役男大表!$A$1:$BF$95,MATCH($A25,役男大表!$A$1:$A$97,0),   MATCH(O$1,役男大表!$A$3:$BF$3,0)  )=0,"",  IF(  INDEX(役男大表!$A$1:$BF$95,MATCH($A25,役男大表!$A$1:$A$97,0),   MATCH(O$1,役男大表!$A$3:$BF$3,0)  )="榮","x",  IF(  INDEX(役男大表!$A$1:$BF$95,MATCH($A25,役男大表!$A$1:$A$97,0),   MATCH(O$1,役男大表!$A$3:$BF$3,0)  )="榮-22",  "x榮18-22",               INDEX(役男大表!$A$1:$BF$95,MATCH($A25,役男大表!$A$1:$A$97,0),   MATCH(O$1,役男大表!$A$3:$BF$3,0)  )                  )  )  )," ",""),"")</f>
        <v>x</v>
      </c>
      <c r="P25" s="278" t="str">
        <f>_xlfn.IFNA(  SUBSTITUTE(     IF(  INDEX(役男大表!$A$1:$BF$95,MATCH($A25,役男大表!$A$1:$A$97,0),   MATCH(P$1,役男大表!$A$3:$BF$3,0)  )=0,"",  IF(  INDEX(役男大表!$A$1:$BF$95,MATCH($A25,役男大表!$A$1:$A$97,0),   MATCH(P$1,役男大表!$A$3:$BF$3,0)  )="榮","x",  IF(  INDEX(役男大表!$A$1:$BF$95,MATCH($A25,役男大表!$A$1:$A$97,0),   MATCH(P$1,役男大表!$A$3:$BF$3,0)  )="榮-22",  "x榮18-22",               INDEX(役男大表!$A$1:$BF$95,MATCH($A25,役男大表!$A$1:$A$97,0),   MATCH(P$1,役男大表!$A$3:$BF$3,0)  )                  )  )  )," ",""),"")</f>
        <v>x</v>
      </c>
      <c r="Q25" s="278" t="str">
        <f>_xlfn.IFNA(  SUBSTITUTE(     IF(  INDEX(役男大表!$A$1:$BF$95,MATCH($A25,役男大表!$A$1:$A$97,0),   MATCH(Q$1,役男大表!$A$3:$BF$3,0)  )=0,"",  IF(  INDEX(役男大表!$A$1:$BF$95,MATCH($A25,役男大表!$A$1:$A$97,0),   MATCH(Q$1,役男大表!$A$3:$BF$3,0)  )="榮","x",  IF(  INDEX(役男大表!$A$1:$BF$95,MATCH($A25,役男大表!$A$1:$A$97,0),   MATCH(Q$1,役男大表!$A$3:$BF$3,0)  )="榮-22",  "x榮18-22",               INDEX(役男大表!$A$1:$BF$95,MATCH($A25,役男大表!$A$1:$A$97,0),   MATCH(Q$1,役男大表!$A$3:$BF$3,0)  )                  )  )  )," ",""),"")</f>
        <v>x</v>
      </c>
      <c r="R25" s="278" t="str">
        <f>_xlfn.IFNA(  SUBSTITUTE(     IF(  INDEX(役男大表!$A$1:$BF$95,MATCH($A25,役男大表!$A$1:$A$97,0),   MATCH(R$1,役男大表!$A$3:$BF$3,0)  )=0,"",  IF(  INDEX(役男大表!$A$1:$BF$95,MATCH($A25,役男大表!$A$1:$A$97,0),   MATCH(R$1,役男大表!$A$3:$BF$3,0)  )="榮","x",  IF(  INDEX(役男大表!$A$1:$BF$95,MATCH($A25,役男大表!$A$1:$A$97,0),   MATCH(R$1,役男大表!$A$3:$BF$3,0)  )="榮-22",  "x榮18-22",               INDEX(役男大表!$A$1:$BF$95,MATCH($A25,役男大表!$A$1:$A$97,0),   MATCH(R$1,役男大表!$A$3:$BF$3,0)  )                  )  )  )," ",""),"")</f>
        <v/>
      </c>
      <c r="S25" s="278" t="str">
        <f>_xlfn.IFNA(  SUBSTITUTE(     IF(  INDEX(役男大表!$A$1:$BF$95,MATCH($A25,役男大表!$A$1:$A$97,0),   MATCH(S$1,役男大表!$A$3:$BF$3,0)  )=0,"",  IF(  INDEX(役男大表!$A$1:$BF$95,MATCH($A25,役男大表!$A$1:$A$97,0),   MATCH(S$1,役男大表!$A$3:$BF$3,0)  )="榮","x",  IF(  INDEX(役男大表!$A$1:$BF$95,MATCH($A25,役男大表!$A$1:$A$97,0),   MATCH(S$1,役男大表!$A$3:$BF$3,0)  )="榮-22",  "x榮18-22",               INDEX(役男大表!$A$1:$BF$95,MATCH($A25,役男大表!$A$1:$A$97,0),   MATCH(S$1,役男大表!$A$3:$BF$3,0)  )                  )  )  )," ",""),"")</f>
        <v/>
      </c>
      <c r="T25" s="278" t="str">
        <f>_xlfn.IFNA(  SUBSTITUTE(     IF(  INDEX(役男大表!$A$1:$BF$95,MATCH($A25,役男大表!$A$1:$A$97,0),   MATCH(T$1,役男大表!$A$3:$BF$3,0)  )=0,"",  IF(  INDEX(役男大表!$A$1:$BF$95,MATCH($A25,役男大表!$A$1:$A$97,0),   MATCH(T$1,役男大表!$A$3:$BF$3,0)  )="榮","x",  IF(  INDEX(役男大表!$A$1:$BF$95,MATCH($A25,役男大表!$A$1:$A$97,0),   MATCH(T$1,役男大表!$A$3:$BF$3,0)  )="榮-22",  "x榮18-22",               INDEX(役男大表!$A$1:$BF$95,MATCH($A25,役男大表!$A$1:$A$97,0),   MATCH(T$1,役男大表!$A$3:$BF$3,0)  )                  )  )  )," ",""),"")</f>
        <v/>
      </c>
      <c r="U25" s="278" t="str">
        <f>_xlfn.IFNA(  SUBSTITUTE(     IF(  INDEX(役男大表!$A$1:$BF$95,MATCH($A25,役男大表!$A$1:$A$97,0),   MATCH(U$1,役男大表!$A$3:$BF$3,0)  )=0,"",  IF(  INDEX(役男大表!$A$1:$BF$95,MATCH($A25,役男大表!$A$1:$A$97,0),   MATCH(U$1,役男大表!$A$3:$BF$3,0)  )="榮","x",  IF(  INDEX(役男大表!$A$1:$BF$95,MATCH($A25,役男大表!$A$1:$A$97,0),   MATCH(U$1,役男大表!$A$3:$BF$3,0)  )="榮-22",  "x榮18-22",               INDEX(役男大表!$A$1:$BF$95,MATCH($A25,役男大表!$A$1:$A$97,0),   MATCH(U$1,役男大表!$A$3:$BF$3,0)  )                  )  )  )," ",""),"")</f>
        <v/>
      </c>
      <c r="V25" s="278" t="str">
        <f>_xlfn.IFNA(  SUBSTITUTE(     IF(  INDEX(役男大表!$A$1:$BF$95,MATCH($A25,役男大表!$A$1:$A$97,0),   MATCH(V$1,役男大表!$A$3:$BF$3,0)  )=0,"",  IF(  INDEX(役男大表!$A$1:$BF$95,MATCH($A25,役男大表!$A$1:$A$97,0),   MATCH(V$1,役男大表!$A$3:$BF$3,0)  )="榮","x",  IF(  INDEX(役男大表!$A$1:$BF$95,MATCH($A25,役男大表!$A$1:$A$97,0),   MATCH(V$1,役男大表!$A$3:$BF$3,0)  )="榮-22",  "x榮18-22",               INDEX(役男大表!$A$1:$BF$95,MATCH($A25,役男大表!$A$1:$A$97,0),   MATCH(V$1,役男大表!$A$3:$BF$3,0)  )                  )  )  )," ",""),"")</f>
        <v/>
      </c>
      <c r="W25" s="278" t="str">
        <f>_xlfn.IFNA(  SUBSTITUTE(     IF(  INDEX(役男大表!$A$1:$BF$95,MATCH($A25,役男大表!$A$1:$A$97,0),   MATCH(W$1,役男大表!$A$3:$BF$3,0)  )=0,"",  IF(  INDEX(役男大表!$A$1:$BF$95,MATCH($A25,役男大表!$A$1:$A$97,0),   MATCH(W$1,役男大表!$A$3:$BF$3,0)  )="榮","x",  IF(  INDEX(役男大表!$A$1:$BF$95,MATCH($A25,役男大表!$A$1:$A$97,0),   MATCH(W$1,役男大表!$A$3:$BF$3,0)  )="榮-22",  "x榮18-22",               INDEX(役男大表!$A$1:$BF$95,MATCH($A25,役男大表!$A$1:$A$97,0),   MATCH(W$1,役男大表!$A$3:$BF$3,0)  )                  )  )  )," ",""),"")</f>
        <v/>
      </c>
      <c r="X25" s="278" t="str">
        <f>_xlfn.IFNA(  SUBSTITUTE(     IF(  INDEX(役男大表!$A$1:$BF$95,MATCH($A25,役男大表!$A$1:$A$97,0),   MATCH(X$1,役男大表!$A$3:$BF$3,0)  )=0,"",  IF(  INDEX(役男大表!$A$1:$BF$95,MATCH($A25,役男大表!$A$1:$A$97,0),   MATCH(X$1,役男大表!$A$3:$BF$3,0)  )="榮","x",  IF(  INDEX(役男大表!$A$1:$BF$95,MATCH($A25,役男大表!$A$1:$A$97,0),   MATCH(X$1,役男大表!$A$3:$BF$3,0)  )="榮-22",  "x榮18-22",               INDEX(役男大表!$A$1:$BF$95,MATCH($A25,役男大表!$A$1:$A$97,0),   MATCH(X$1,役男大表!$A$3:$BF$3,0)  )                  )  )  )," ",""),"")</f>
        <v>x</v>
      </c>
      <c r="Y25" s="278" t="str">
        <f>_xlfn.IFNA(  SUBSTITUTE(     IF(  INDEX(役男大表!$A$1:$BF$95,MATCH($A25,役男大表!$A$1:$A$97,0),   MATCH(Y$1,役男大表!$A$3:$BF$3,0)  )=0,"",  IF(  INDEX(役男大表!$A$1:$BF$95,MATCH($A25,役男大表!$A$1:$A$97,0),   MATCH(Y$1,役男大表!$A$3:$BF$3,0)  )="榮","x",  IF(  INDEX(役男大表!$A$1:$BF$95,MATCH($A25,役男大表!$A$1:$A$97,0),   MATCH(Y$1,役男大表!$A$3:$BF$3,0)  )="榮-22",  "x榮18-22",               INDEX(役男大表!$A$1:$BF$95,MATCH($A25,役男大表!$A$1:$A$97,0),   MATCH(Y$1,役男大表!$A$3:$BF$3,0)  )                  )  )  )," ",""),"")</f>
        <v>x榮18-22</v>
      </c>
      <c r="Z25" s="278" t="str">
        <f>_xlfn.IFNA(  SUBSTITUTE(     IF(  INDEX(役男大表!$A$1:$BF$95,MATCH($A25,役男大表!$A$1:$A$97,0),   MATCH(Z$1,役男大表!$A$3:$BF$3,0)  )=0,"",  IF(  INDEX(役男大表!$A$1:$BF$95,MATCH($A25,役男大表!$A$1:$A$97,0),   MATCH(Z$1,役男大表!$A$3:$BF$3,0)  )="榮","x",  IF(  INDEX(役男大表!$A$1:$BF$95,MATCH($A25,役男大表!$A$1:$A$97,0),   MATCH(Z$1,役男大表!$A$3:$BF$3,0)  )="榮-22",  "x榮18-22",               INDEX(役男大表!$A$1:$BF$95,MATCH($A25,役男大表!$A$1:$A$97,0),   MATCH(Z$1,役男大表!$A$3:$BF$3,0)  )                  )  )  )," ",""),"")</f>
        <v/>
      </c>
      <c r="AA25" s="278" t="str">
        <f>_xlfn.IFNA(  SUBSTITUTE(     IF(  INDEX(役男大表!$A$1:$BF$95,MATCH($A25,役男大表!$A$1:$A$97,0),   MATCH(AA$1,役男大表!$A$3:$BF$3,0)  )=0,"",  IF(  INDEX(役男大表!$A$1:$BF$95,MATCH($A25,役男大表!$A$1:$A$97,0),   MATCH(AA$1,役男大表!$A$3:$BF$3,0)  )="榮","x",  IF(  INDEX(役男大表!$A$1:$BF$95,MATCH($A25,役男大表!$A$1:$A$97,0),   MATCH(AA$1,役男大表!$A$3:$BF$3,0)  )="榮-22",  "x榮18-22",               INDEX(役男大表!$A$1:$BF$95,MATCH($A25,役男大表!$A$1:$A$97,0),   MATCH(AA$1,役男大表!$A$3:$BF$3,0)  )                  )  )  )," ",""),"")</f>
        <v/>
      </c>
      <c r="AB25" s="278" t="str">
        <f>_xlfn.IFNA(  SUBSTITUTE(     IF(  INDEX(役男大表!$A$1:$BF$95,MATCH($A25,役男大表!$A$1:$A$97,0),   MATCH(AB$1,役男大表!$A$3:$BF$3,0)  )=0,"",  IF(  INDEX(役男大表!$A$1:$BF$95,MATCH($A25,役男大表!$A$1:$A$97,0),   MATCH(AB$1,役男大表!$A$3:$BF$3,0)  )="榮","x",  IF(  INDEX(役男大表!$A$1:$BF$95,MATCH($A25,役男大表!$A$1:$A$97,0),   MATCH(AB$1,役男大表!$A$3:$BF$3,0)  )="榮-22",  "x榮18-22",               INDEX(役男大表!$A$1:$BF$95,MATCH($A25,役男大表!$A$1:$A$97,0),   MATCH(AB$1,役男大表!$A$3:$BF$3,0)  )                  )  )  )," ",""),"")</f>
        <v/>
      </c>
      <c r="AC25" s="278" t="str">
        <f>_xlfn.IFNA(  SUBSTITUTE(     IF(  INDEX(役男大表!$A$1:$BF$95,MATCH($A25,役男大表!$A$1:$A$97,0),   MATCH(AC$1,役男大表!$A$3:$BF$3,0)  )=0,"",  IF(  INDEX(役男大表!$A$1:$BF$95,MATCH($A25,役男大表!$A$1:$A$97,0),   MATCH(AC$1,役男大表!$A$3:$BF$3,0)  )="榮","x",  IF(  INDEX(役男大表!$A$1:$BF$95,MATCH($A25,役男大表!$A$1:$A$97,0),   MATCH(AC$1,役男大表!$A$3:$BF$3,0)  )="榮-22",  "x榮18-22",               INDEX(役男大表!$A$1:$BF$95,MATCH($A25,役男大表!$A$1:$A$97,0),   MATCH(AC$1,役男大表!$A$3:$BF$3,0)  )                  )  )  )," ",""),"")</f>
        <v/>
      </c>
      <c r="AD25" s="278" t="str">
        <f>_xlfn.IFNA(  SUBSTITUTE(     IF(  INDEX(役男大表!$A$1:$BF$95,MATCH($A25,役男大表!$A$1:$A$97,0),   MATCH(AD$1,役男大表!$A$3:$BF$3,0)  )=0,"",  IF(  INDEX(役男大表!$A$1:$BF$95,MATCH($A25,役男大表!$A$1:$A$97,0),   MATCH(AD$1,役男大表!$A$3:$BF$3,0)  )="榮","x",  IF(  INDEX(役男大表!$A$1:$BF$95,MATCH($A25,役男大表!$A$1:$A$97,0),   MATCH(AD$1,役男大表!$A$3:$BF$3,0)  )="榮-22",  "x榮18-22",               INDEX(役男大表!$A$1:$BF$95,MATCH($A25,役男大表!$A$1:$A$97,0),   MATCH(AD$1,役男大表!$A$3:$BF$3,0)  )                  )  )  )," ",""),"")</f>
        <v/>
      </c>
      <c r="AE25" s="278" t="str">
        <f>_xlfn.IFNA(  SUBSTITUTE(     IF(  INDEX(役男大表!$A$1:$BF$95,MATCH($A25,役男大表!$A$1:$A$97,0),   MATCH(AE$1,役男大表!$A$3:$BF$3,0)  )=0,"",  IF(  INDEX(役男大表!$A$1:$BF$95,MATCH($A25,役男大表!$A$1:$A$97,0),   MATCH(AE$1,役男大表!$A$3:$BF$3,0)  )="榮","x",  IF(  INDEX(役男大表!$A$1:$BF$95,MATCH($A25,役男大表!$A$1:$A$97,0),   MATCH(AE$1,役男大表!$A$3:$BF$3,0)  )="榮-22",  "x榮18-22",               INDEX(役男大表!$A$1:$BF$95,MATCH($A25,役男大表!$A$1:$A$97,0),   MATCH(AE$1,役男大表!$A$3:$BF$3,0)  )                  )  )  )," ",""),"")</f>
        <v/>
      </c>
      <c r="AF25" s="278" t="str">
        <f>_xlfn.IFNA(  SUBSTITUTE(     IF(  INDEX(役男大表!$A$1:$BF$95,MATCH($A25,役男大表!$A$1:$A$97,0),   MATCH(AF$1,役男大表!$A$3:$BF$3,0)  )=0,"",  IF(  INDEX(役男大表!$A$1:$BF$95,MATCH($A25,役男大表!$A$1:$A$97,0),   MATCH(AF$1,役男大表!$A$3:$BF$3,0)  )="榮","x",  IF(  INDEX(役男大表!$A$1:$BF$95,MATCH($A25,役男大表!$A$1:$A$97,0),   MATCH(AF$1,役男大表!$A$3:$BF$3,0)  )="榮-22",  "x榮18-22",               INDEX(役男大表!$A$1:$BF$95,MATCH($A25,役男大表!$A$1:$A$97,0),   MATCH(AF$1,役男大表!$A$3:$BF$3,0)  )                  )  )  )," ",""),"")</f>
        <v>x</v>
      </c>
      <c r="AG25" s="278" t="str">
        <f>_xlfn.IFNA(  SUBSTITUTE(     IF(  INDEX(役男大表!$A$1:$BF$95,MATCH($A25,役男大表!$A$1:$A$97,0),   MATCH(AG$1,役男大表!$A$3:$BF$3,0)  )=0,"",  IF(  INDEX(役男大表!$A$1:$BF$95,MATCH($A25,役男大表!$A$1:$A$97,0),   MATCH(AG$1,役男大表!$A$3:$BF$3,0)  )="榮","x",  IF(  INDEX(役男大表!$A$1:$BF$95,MATCH($A25,役男大表!$A$1:$A$97,0),   MATCH(AG$1,役男大表!$A$3:$BF$3,0)  )="榮-22",  "x榮18-22",               INDEX(役男大表!$A$1:$BF$95,MATCH($A25,役男大表!$A$1:$A$97,0),   MATCH(AG$1,役男大表!$A$3:$BF$3,0)  )                  )  )  )," ",""),"")</f>
        <v>x</v>
      </c>
      <c r="AH25" s="278" t="str">
        <f>_xlfn.IFNA(  SUBSTITUTE(     IF(  INDEX(役男大表!$A$1:$BF$95,MATCH($A25,役男大表!$A$1:$A$97,0),   MATCH(AH$1,役男大表!$A$3:$BF$3,0)  )=0,"",  IF(  INDEX(役男大表!$A$1:$BF$95,MATCH($A25,役男大表!$A$1:$A$97,0),   MATCH(AH$1,役男大表!$A$3:$BF$3,0)  )="榮","x",  IF(  INDEX(役男大表!$A$1:$BF$95,MATCH($A25,役男大表!$A$1:$A$97,0),   MATCH(AH$1,役男大表!$A$3:$BF$3,0)  )="榮-22",  "x榮18-22",               INDEX(役男大表!$A$1:$BF$95,MATCH($A25,役男大表!$A$1:$A$97,0),   MATCH(AH$1,役男大表!$A$3:$BF$3,0)  )                  )  )  )," ",""),"")</f>
        <v/>
      </c>
      <c r="AI25" s="278" t="str">
        <f>_xlfn.IFNA(  SUBSTITUTE(     IF(  INDEX(役男大表!$A$1:$BF$95,MATCH($A25,役男大表!$A$1:$A$97,0),   MATCH(AI$1,役男大表!$A$3:$BF$3,0)  )=0,"",  IF(  INDEX(役男大表!$A$1:$BF$95,MATCH($A25,役男大表!$A$1:$A$97,0),   MATCH(AI$1,役男大表!$A$3:$BF$3,0)  )="榮","x",  IF(  INDEX(役男大表!$A$1:$BF$95,MATCH($A25,役男大表!$A$1:$A$97,0),   MATCH(AI$1,役男大表!$A$3:$BF$3,0)  )="榮-22",  "x榮18-22",               INDEX(役男大表!$A$1:$BF$95,MATCH($A25,役男大表!$A$1:$A$97,0),   MATCH(AI$1,役男大表!$A$3:$BF$3,0)  )                  )  )  )," ",""),"")</f>
        <v/>
      </c>
      <c r="AJ25" s="278" t="str">
        <f>_xlfn.IFNA(  SUBSTITUTE(     IF(  INDEX(役男大表!$A$1:$BF$95,MATCH($A25,役男大表!$A$1:$A$97,0),   MATCH(AJ$1,役男大表!$A$3:$BF$3,0)  )=0,"",  IF(  INDEX(役男大表!$A$1:$BF$95,MATCH($A25,役男大表!$A$1:$A$97,0),   MATCH(AJ$1,役男大表!$A$3:$BF$3,0)  )="榮","x",  IF(  INDEX(役男大表!$A$1:$BF$95,MATCH($A25,役男大表!$A$1:$A$97,0),   MATCH(AJ$1,役男大表!$A$3:$BF$3,0)  )="榮-22",  "x榮18-22",               INDEX(役男大表!$A$1:$BF$95,MATCH($A25,役男大表!$A$1:$A$97,0),   MATCH(AJ$1,役男大表!$A$3:$BF$3,0)  )                  )  )  )," ",""),"")</f>
        <v/>
      </c>
      <c r="AM25" s="66">
        <f t="shared" si="1"/>
        <v>24</v>
      </c>
      <c r="AN25" s="66" t="str">
        <f t="shared" si="2"/>
        <v>黃品傑</v>
      </c>
      <c r="AO25" s="71" t="str">
        <f>IF(  AND(  INDEX(   $A$42:$AJ$79, MATCH(AM25,$A$42:$A$79,0),MATCH(  日期輸入!$C$3,$A$42:$AL$42,0  )  )="全日勤",  AV25="免"  ),  "全日勤免勤教",  IF(  AND(  INDEX(   $A$42:$AJ$79, MATCH(AM25,$A$42:$A$79,0),MATCH(  日期輸入!$C$3,$A$42:$AL$42,0  )  )="18放",  AV25="免"  ),  "18放早走",  INDEX(   $A$42:$AJ$79, MATCH(AM25,$A$42:$A$79,0),MATCH(  日期輸入!$C$3,$A$42:$AL$42,0  )  )  )  )</f>
        <v>18收</v>
      </c>
      <c r="AP25" s="66" t="str">
        <f>_xlfn.IFNA(IF((ROW(AP25)-1)&lt;=暫1!$B$2,IF(VALUE($AM25)=暫1!B$3,"家因",IF(VALUE($AM25)=暫1!C$3,"家因",IF(VALUE($AM25)=暫1!D$3,"家因",IF(VALUE($AM25)=暫1!E$3,"家因",IF(VALUE($AM25)=暫1!F$3,"家因",IF(VALUE($AM25)=暫1!G$3,"家因",IF(VALUE($AM25)=暫1!H$3,"家因",IF(VALUE($AM25)=暫1!I$3,"家因",IF(VALUE($AM25)=暫1!J$3,"家因",IF(VALUE($AM25)=暫1!K$3,"家因",IF(VALUE($AM25)=暫1!L$3,"家因",IF(VALUE($AM25)=暫1!M$3,"家因",IF(VALUE($AM25)=暫1!N$3,"家因",IF(VALUE($AM25)=暫1!O$3,"家因",IF(VALUE($AM25)=暫1!P$3,"家因",IF(VALUE($AM25)=暫1!Q$3,"家因",IF(VALUE($AM25)=暫1!R$3,"家因",IF(VALUE($AM25)=暫1!S$3,"家因",IF(VALUE($AM25)=暫1!T$3,"家因",IF(VALUE($AM25)=暫1!U$3,"家因","")))))))))))))))))))),""),"")</f>
        <v/>
      </c>
      <c r="AQ25" s="66" t="str">
        <f>IF((ROW(AQ25)-1)&lt;=暫1!$B$2,_xlfn.IFNA(IF(INDEX($A$1:$AJ$41,MATCH($AN25,$B$1:$B$101,0),VALUE($AQ$1+3))="成","補",INDEX($A$1:$AJ$41,MATCH($AN25,$B$1:$B$101,0),VALUE($AQ$1+3))),""),"")</f>
        <v>x</v>
      </c>
      <c r="AR25" s="66" t="str">
        <f>IF((ROW(AR25)-1)&lt;=暫1!$B$2,_xlfn.IFNA(IF(INDEX($A$1:$AJ$41,MATCH($AN25,$B$1:$B$101,0),VALUE($AR$1+3))="成","補",INDEX($A$1:$AJ$41,MATCH($AN25,$B$1:$B$101,0),VALUE($AR$1+3))),""),"")</f>
        <v/>
      </c>
      <c r="AS25" s="66" t="str">
        <f>IF((ROW(AS25)-1)&lt;=暫1!$B$2,_xlfn.IFNA(IF(INDEX($A$1:$AJ$41,MATCH($AN25,$B$1:$B$101,0),VALUE($AS$1+3))="成","補",INDEX($A$1:$AJ$41,MATCH($AN25,$B$1:$B$101,0),VALUE($AS$1+3))),""),"")</f>
        <v/>
      </c>
      <c r="AT25" s="66" t="str">
        <f>IF(  OR(  LEN(  INDEX(   $A$1:$AJ$39, MATCH(AM25,$A$1:$A$39,0),MATCH(  日期輸入!$C$3,$A$1:$AP$1,0  )  )  )&gt;LEN(  SUBSTITUTE(  INDEX(   $A$1:$AJ$39, MATCH(AM25,$A$1:$A$39,0),MATCH(  日期輸入!$C$3,$A$1:$AP$1,0  )  ),"榮","")  )  ),   SUBSTITUTE(  SUBSTITUTE(  INDEX(   $A$1:$AJ$39, MATCH(AM25,$A$1:$A$39,0),MATCH(  日期輸入!$C$3,$A$1:$AP$1,0  )  ),"榮",""),"x",""), "")</f>
        <v/>
      </c>
      <c r="AU25" s="66" t="str">
        <f t="shared" si="3"/>
        <v/>
      </c>
      <c r="AV25" s="66" t="str">
        <f>INDEX(   $A$482:$AJ$519, MATCH(AM25,$A$482:$A$519,0),MATCH(  日期輸入!$C$3,$A$482:$AL$482,0  )  )</f>
        <v/>
      </c>
      <c r="AX25" s="66" t="str">
        <f>IFERROR(IF((ROW(AX25)-1)&lt;=暫1!$B$2,SUBSTITUTE(IF($AO25=$AX$1,$AM25,"")," ",""),""),"")</f>
        <v/>
      </c>
      <c r="AY25" s="66" t="str">
        <f>IFERROR(IF((ROW(AY25)-1)&lt;=暫1!$B$2,SUBSTITUTE(IF($AO25=$AY$1,$AM25,"")," ",""),""),"")</f>
        <v/>
      </c>
      <c r="AZ25" s="66" t="str">
        <f>IFERROR(IF((ROW(AZ25)-1)&lt;=暫1!$B$2,SUBSTITUTE(IF($AO25=$AZ$1,$AM25,"")," ",""),""),"")</f>
        <v/>
      </c>
      <c r="BA25" s="66" t="str">
        <f>IFERROR(IF((ROW(BA25)-1)&lt;=暫1!$B$2,SUBSTITUTE(IF($AO25=$BA$1,$AM25,"")," ",""),""),"")</f>
        <v>24</v>
      </c>
      <c r="BB25" s="69" t="str">
        <f>IFERROR(IF((ROW(BB25)-1)&lt;=暫1!$B$2,SUBSTITUTE(IF(OR($AO25=$BB$1,$AO25=$AY$1,$AO25=$AZ$1),$AM25,IF($AO25=$AY$1,$AM25,"")),"",""),""),"")</f>
        <v/>
      </c>
      <c r="BC25" s="69" t="str">
        <f>IF(    AND(LEN(BC24)&gt;=2 ),        "、" &amp;  IF(OR(役男人力!$J$2:$J$84="是"),役男人力!$B26,""),  IF(OR(役男人力!$J$2:$J$84="是"),役男人力!$B26,"")  )</f>
        <v/>
      </c>
    </row>
    <row r="26" spans="1:59" ht="25.5" customHeight="1">
      <c r="A26" s="278">
        <v>25</v>
      </c>
      <c r="B26" s="278" t="str">
        <f>_xlfn.IFNA(  INDEX(役男大表!$A$1:$BF$95,MATCH(A26,役男大表!$A$1:$A$97,0),2),"")</f>
        <v>唐正瑋</v>
      </c>
      <c r="C26" s="278" t="str">
        <f>_xlfn.IFNA(  SUBSTITUTE(     IF(  INDEX(役男大表!$A$1:$BF$95,MATCH($A26,役男大表!$A$1:$A$97,0),   MATCH(C$1,役男大表!$A$3:$BF$3,0)  )=0,"",  IF(  INDEX(役男大表!$A$1:$BF$95,MATCH($A26,役男大表!$A$1:$A$97,0),   MATCH(C$1,役男大表!$A$3:$BF$3,0)  )="榮","x",  IF(  INDEX(役男大表!$A$1:$BF$95,MATCH($A26,役男大表!$A$1:$A$97,0),   MATCH(C$1,役男大表!$A$3:$BF$3,0)  )="榮-22",  "x榮18-22",               INDEX(役男大表!$A$1:$BF$95,MATCH($A26,役男大表!$A$1:$A$97,0),   MATCH(C$1,役男大表!$A$3:$BF$3,0)  )                  )  )  )," ",""),"")</f>
        <v/>
      </c>
      <c r="D26" s="278" t="str">
        <f>_xlfn.IFNA(  SUBSTITUTE(     IF(  INDEX(役男大表!$A$1:$BF$95,MATCH($A26,役男大表!$A$1:$A$97,0),   MATCH(D$1,役男大表!$A$3:$BF$3,0)  )=0,"",  IF(  INDEX(役男大表!$A$1:$BF$95,MATCH($A26,役男大表!$A$1:$A$97,0),   MATCH(D$1,役男大表!$A$3:$BF$3,0)  )="榮","x",  IF(  INDEX(役男大表!$A$1:$BF$95,MATCH($A26,役男大表!$A$1:$A$97,0),   MATCH(D$1,役男大表!$A$3:$BF$3,0)  )="榮-22",  "x榮18-22",               INDEX(役男大表!$A$1:$BF$95,MATCH($A26,役男大表!$A$1:$A$97,0),   MATCH(D$1,役男大表!$A$3:$BF$3,0)  )                  )  )  )," ",""),"")</f>
        <v>x</v>
      </c>
      <c r="E26" s="278" t="str">
        <f>_xlfn.IFNA(  SUBSTITUTE(     IF(  INDEX(役男大表!$A$1:$BF$95,MATCH($A26,役男大表!$A$1:$A$97,0),   MATCH(E$1,役男大表!$A$3:$BF$3,0)  )=0,"",  IF(  INDEX(役男大表!$A$1:$BF$95,MATCH($A26,役男大表!$A$1:$A$97,0),   MATCH(E$1,役男大表!$A$3:$BF$3,0)  )="榮","x",  IF(  INDEX(役男大表!$A$1:$BF$95,MATCH($A26,役男大表!$A$1:$A$97,0),   MATCH(E$1,役男大表!$A$3:$BF$3,0)  )="榮-22",  "x榮18-22",               INDEX(役男大表!$A$1:$BF$95,MATCH($A26,役男大表!$A$1:$A$97,0),   MATCH(E$1,役男大表!$A$3:$BF$3,0)  )                  )  )  )," ",""),"")</f>
        <v>x</v>
      </c>
      <c r="F26" s="278" t="str">
        <f>_xlfn.IFNA(  SUBSTITUTE(     IF(  INDEX(役男大表!$A$1:$BF$95,MATCH($A26,役男大表!$A$1:$A$97,0),   MATCH(F$1,役男大表!$A$3:$BF$3,0)  )=0,"",  IF(  INDEX(役男大表!$A$1:$BF$95,MATCH($A26,役男大表!$A$1:$A$97,0),   MATCH(F$1,役男大表!$A$3:$BF$3,0)  )="榮","x",  IF(  INDEX(役男大表!$A$1:$BF$95,MATCH($A26,役男大表!$A$1:$A$97,0),   MATCH(F$1,役男大表!$A$3:$BF$3,0)  )="榮-22",  "x榮18-22",               INDEX(役男大表!$A$1:$BF$95,MATCH($A26,役男大表!$A$1:$A$97,0),   MATCH(F$1,役男大表!$A$3:$BF$3,0)  )                  )  )  )," ",""),"")</f>
        <v>x</v>
      </c>
      <c r="G26" s="278" t="str">
        <f>_xlfn.IFNA(  SUBSTITUTE(     IF(  INDEX(役男大表!$A$1:$BF$95,MATCH($A26,役男大表!$A$1:$A$97,0),   MATCH(G$1,役男大表!$A$3:$BF$3,0)  )=0,"",  IF(  INDEX(役男大表!$A$1:$BF$95,MATCH($A26,役男大表!$A$1:$A$97,0),   MATCH(G$1,役男大表!$A$3:$BF$3,0)  )="榮","x",  IF(  INDEX(役男大表!$A$1:$BF$95,MATCH($A26,役男大表!$A$1:$A$97,0),   MATCH(G$1,役男大表!$A$3:$BF$3,0)  )="榮-22",  "x榮18-22",               INDEX(役男大表!$A$1:$BF$95,MATCH($A26,役男大表!$A$1:$A$97,0),   MATCH(G$1,役男大表!$A$3:$BF$3,0)  )                  )  )  )," ",""),"")</f>
        <v/>
      </c>
      <c r="H26" s="278" t="str">
        <f>_xlfn.IFNA(  SUBSTITUTE(     IF(  INDEX(役男大表!$A$1:$BF$95,MATCH($A26,役男大表!$A$1:$A$97,0),   MATCH(H$1,役男大表!$A$3:$BF$3,0)  )=0,"",  IF(  INDEX(役男大表!$A$1:$BF$95,MATCH($A26,役男大表!$A$1:$A$97,0),   MATCH(H$1,役男大表!$A$3:$BF$3,0)  )="榮","x",  IF(  INDEX(役男大表!$A$1:$BF$95,MATCH($A26,役男大表!$A$1:$A$97,0),   MATCH(H$1,役男大表!$A$3:$BF$3,0)  )="榮-22",  "x榮18-22",               INDEX(役男大表!$A$1:$BF$95,MATCH($A26,役男大表!$A$1:$A$97,0),   MATCH(H$1,役男大表!$A$3:$BF$3,0)  )                  )  )  )," ",""),"")</f>
        <v/>
      </c>
      <c r="I26" s="278" t="str">
        <f>_xlfn.IFNA(  SUBSTITUTE(     IF(  INDEX(役男大表!$A$1:$BF$95,MATCH($A26,役男大表!$A$1:$A$97,0),   MATCH(I$1,役男大表!$A$3:$BF$3,0)  )=0,"",  IF(  INDEX(役男大表!$A$1:$BF$95,MATCH($A26,役男大表!$A$1:$A$97,0),   MATCH(I$1,役男大表!$A$3:$BF$3,0)  )="榮","x",  IF(  INDEX(役男大表!$A$1:$BF$95,MATCH($A26,役男大表!$A$1:$A$97,0),   MATCH(I$1,役男大表!$A$3:$BF$3,0)  )="榮-22",  "x榮18-22",               INDEX(役男大表!$A$1:$BF$95,MATCH($A26,役男大表!$A$1:$A$97,0),   MATCH(I$1,役男大表!$A$3:$BF$3,0)  )                  )  )  )," ",""),"")</f>
        <v>病8-12</v>
      </c>
      <c r="J26" s="278" t="str">
        <f>_xlfn.IFNA(  SUBSTITUTE(     IF(  INDEX(役男大表!$A$1:$BF$95,MATCH($A26,役男大表!$A$1:$A$97,0),   MATCH(J$1,役男大表!$A$3:$BF$3,0)  )=0,"",  IF(  INDEX(役男大表!$A$1:$BF$95,MATCH($A26,役男大表!$A$1:$A$97,0),   MATCH(J$1,役男大表!$A$3:$BF$3,0)  )="榮","x",  IF(  INDEX(役男大表!$A$1:$BF$95,MATCH($A26,役男大表!$A$1:$A$97,0),   MATCH(J$1,役男大表!$A$3:$BF$3,0)  )="榮-22",  "x榮18-22",               INDEX(役男大表!$A$1:$BF$95,MATCH($A26,役男大表!$A$1:$A$97,0),   MATCH(J$1,役男大表!$A$3:$BF$3,0)  )                  )  )  )," ",""),"")</f>
        <v/>
      </c>
      <c r="K26" s="278" t="str">
        <f>_xlfn.IFNA(  SUBSTITUTE(     IF(  INDEX(役男大表!$A$1:$BF$95,MATCH($A26,役男大表!$A$1:$A$97,0),   MATCH(K$1,役男大表!$A$3:$BF$3,0)  )=0,"",  IF(  INDEX(役男大表!$A$1:$BF$95,MATCH($A26,役男大表!$A$1:$A$97,0),   MATCH(K$1,役男大表!$A$3:$BF$3,0)  )="榮","x",  IF(  INDEX(役男大表!$A$1:$BF$95,MATCH($A26,役男大表!$A$1:$A$97,0),   MATCH(K$1,役男大表!$A$3:$BF$3,0)  )="榮-22",  "x榮18-22",               INDEX(役男大表!$A$1:$BF$95,MATCH($A26,役男大表!$A$1:$A$97,0),   MATCH(K$1,役男大表!$A$3:$BF$3,0)  )                  )  )  )," ",""),"")</f>
        <v>x</v>
      </c>
      <c r="L26" s="278" t="str">
        <f>_xlfn.IFNA(  SUBSTITUTE(     IF(  INDEX(役男大表!$A$1:$BF$95,MATCH($A26,役男大表!$A$1:$A$97,0),   MATCH(L$1,役男大表!$A$3:$BF$3,0)  )=0,"",  IF(  INDEX(役男大表!$A$1:$BF$95,MATCH($A26,役男大表!$A$1:$A$97,0),   MATCH(L$1,役男大表!$A$3:$BF$3,0)  )="榮","x",  IF(  INDEX(役男大表!$A$1:$BF$95,MATCH($A26,役男大表!$A$1:$A$97,0),   MATCH(L$1,役男大表!$A$3:$BF$3,0)  )="榮-22",  "x榮18-22",               INDEX(役男大表!$A$1:$BF$95,MATCH($A26,役男大表!$A$1:$A$97,0),   MATCH(L$1,役男大表!$A$3:$BF$3,0)  )                  )  )  )," ",""),"")</f>
        <v>x</v>
      </c>
      <c r="M26" s="278" t="str">
        <f>_xlfn.IFNA(  SUBSTITUTE(     IF(  INDEX(役男大表!$A$1:$BF$95,MATCH($A26,役男大表!$A$1:$A$97,0),   MATCH(M$1,役男大表!$A$3:$BF$3,0)  )=0,"",  IF(  INDEX(役男大表!$A$1:$BF$95,MATCH($A26,役男大表!$A$1:$A$97,0),   MATCH(M$1,役男大表!$A$3:$BF$3,0)  )="榮","x",  IF(  INDEX(役男大表!$A$1:$BF$95,MATCH($A26,役男大表!$A$1:$A$97,0),   MATCH(M$1,役男大表!$A$3:$BF$3,0)  )="榮-22",  "x榮18-22",               INDEX(役男大表!$A$1:$BF$95,MATCH($A26,役男大表!$A$1:$A$97,0),   MATCH(M$1,役男大表!$A$3:$BF$3,0)  )                  )  )  )," ",""),"")</f>
        <v>x</v>
      </c>
      <c r="N26" s="278" t="str">
        <f>_xlfn.IFNA(  SUBSTITUTE(     IF(  INDEX(役男大表!$A$1:$BF$95,MATCH($A26,役男大表!$A$1:$A$97,0),   MATCH(N$1,役男大表!$A$3:$BF$3,0)  )=0,"",  IF(  INDEX(役男大表!$A$1:$BF$95,MATCH($A26,役男大表!$A$1:$A$97,0),   MATCH(N$1,役男大表!$A$3:$BF$3,0)  )="榮","x",  IF(  INDEX(役男大表!$A$1:$BF$95,MATCH($A26,役男大表!$A$1:$A$97,0),   MATCH(N$1,役男大表!$A$3:$BF$3,0)  )="榮-22",  "x榮18-22",               INDEX(役男大表!$A$1:$BF$95,MATCH($A26,役男大表!$A$1:$A$97,0),   MATCH(N$1,役男大表!$A$3:$BF$3,0)  )                  )  )  )," ",""),"")</f>
        <v/>
      </c>
      <c r="O26" s="278" t="str">
        <f>_xlfn.IFNA(  SUBSTITUTE(     IF(  INDEX(役男大表!$A$1:$BF$95,MATCH($A26,役男大表!$A$1:$A$97,0),   MATCH(O$1,役男大表!$A$3:$BF$3,0)  )=0,"",  IF(  INDEX(役男大表!$A$1:$BF$95,MATCH($A26,役男大表!$A$1:$A$97,0),   MATCH(O$1,役男大表!$A$3:$BF$3,0)  )="榮","x",  IF(  INDEX(役男大表!$A$1:$BF$95,MATCH($A26,役男大表!$A$1:$A$97,0),   MATCH(O$1,役男大表!$A$3:$BF$3,0)  )="榮-22",  "x榮18-22",               INDEX(役男大表!$A$1:$BF$95,MATCH($A26,役男大表!$A$1:$A$97,0),   MATCH(O$1,役男大表!$A$3:$BF$3,0)  )                  )  )  )," ",""),"")</f>
        <v/>
      </c>
      <c r="P26" s="278" t="str">
        <f>_xlfn.IFNA(  SUBSTITUTE(     IF(  INDEX(役男大表!$A$1:$BF$95,MATCH($A26,役男大表!$A$1:$A$97,0),   MATCH(P$1,役男大表!$A$3:$BF$3,0)  )=0,"",  IF(  INDEX(役男大表!$A$1:$BF$95,MATCH($A26,役男大表!$A$1:$A$97,0),   MATCH(P$1,役男大表!$A$3:$BF$3,0)  )="榮","x",  IF(  INDEX(役男大表!$A$1:$BF$95,MATCH($A26,役男大表!$A$1:$A$97,0),   MATCH(P$1,役男大表!$A$3:$BF$3,0)  )="榮-22",  "x榮18-22",               INDEX(役男大表!$A$1:$BF$95,MATCH($A26,役男大表!$A$1:$A$97,0),   MATCH(P$1,役男大表!$A$3:$BF$3,0)  )                  )  )  )," ",""),"")</f>
        <v/>
      </c>
      <c r="Q26" s="278" t="str">
        <f>_xlfn.IFNA(  SUBSTITUTE(     IF(  INDEX(役男大表!$A$1:$BF$95,MATCH($A26,役男大表!$A$1:$A$97,0),   MATCH(Q$1,役男大表!$A$3:$BF$3,0)  )=0,"",  IF(  INDEX(役男大表!$A$1:$BF$95,MATCH($A26,役男大表!$A$1:$A$97,0),   MATCH(Q$1,役男大表!$A$3:$BF$3,0)  )="榮","x",  IF(  INDEX(役男大表!$A$1:$BF$95,MATCH($A26,役男大表!$A$1:$A$97,0),   MATCH(Q$1,役男大表!$A$3:$BF$3,0)  )="榮-22",  "x榮18-22",               INDEX(役男大表!$A$1:$BF$95,MATCH($A26,役男大表!$A$1:$A$97,0),   MATCH(Q$1,役男大表!$A$3:$BF$3,0)  )                  )  )  )," ",""),"")</f>
        <v/>
      </c>
      <c r="R26" s="278" t="str">
        <f>_xlfn.IFNA(  SUBSTITUTE(     IF(  INDEX(役男大表!$A$1:$BF$95,MATCH($A26,役男大表!$A$1:$A$97,0),   MATCH(R$1,役男大表!$A$3:$BF$3,0)  )=0,"",  IF(  INDEX(役男大表!$A$1:$BF$95,MATCH($A26,役男大表!$A$1:$A$97,0),   MATCH(R$1,役男大表!$A$3:$BF$3,0)  )="榮","x",  IF(  INDEX(役男大表!$A$1:$BF$95,MATCH($A26,役男大表!$A$1:$A$97,0),   MATCH(R$1,役男大表!$A$3:$BF$3,0)  )="榮-22",  "x榮18-22",               INDEX(役男大表!$A$1:$BF$95,MATCH($A26,役男大表!$A$1:$A$97,0),   MATCH(R$1,役男大表!$A$3:$BF$3,0)  )                  )  )  )," ",""),"")</f>
        <v/>
      </c>
      <c r="S26" s="278" t="str">
        <f>_xlfn.IFNA(  SUBSTITUTE(     IF(  INDEX(役男大表!$A$1:$BF$95,MATCH($A26,役男大表!$A$1:$A$97,0),   MATCH(S$1,役男大表!$A$3:$BF$3,0)  )=0,"",  IF(  INDEX(役男大表!$A$1:$BF$95,MATCH($A26,役男大表!$A$1:$A$97,0),   MATCH(S$1,役男大表!$A$3:$BF$3,0)  )="榮","x",  IF(  INDEX(役男大表!$A$1:$BF$95,MATCH($A26,役男大表!$A$1:$A$97,0),   MATCH(S$1,役男大表!$A$3:$BF$3,0)  )="榮-22",  "x榮18-22",               INDEX(役男大表!$A$1:$BF$95,MATCH($A26,役男大表!$A$1:$A$97,0),   MATCH(S$1,役男大表!$A$3:$BF$3,0)  )                  )  )  )," ",""),"")</f>
        <v/>
      </c>
      <c r="T26" s="278" t="str">
        <f>_xlfn.IFNA(  SUBSTITUTE(     IF(  INDEX(役男大表!$A$1:$BF$95,MATCH($A26,役男大表!$A$1:$A$97,0),   MATCH(T$1,役男大表!$A$3:$BF$3,0)  )=0,"",  IF(  INDEX(役男大表!$A$1:$BF$95,MATCH($A26,役男大表!$A$1:$A$97,0),   MATCH(T$1,役男大表!$A$3:$BF$3,0)  )="榮","x",  IF(  INDEX(役男大表!$A$1:$BF$95,MATCH($A26,役男大表!$A$1:$A$97,0),   MATCH(T$1,役男大表!$A$3:$BF$3,0)  )="榮-22",  "x榮18-22",               INDEX(役男大表!$A$1:$BF$95,MATCH($A26,役男大表!$A$1:$A$97,0),   MATCH(T$1,役男大表!$A$3:$BF$3,0)  )                  )  )  )," ",""),"")</f>
        <v>病13-17</v>
      </c>
      <c r="U26" s="278" t="str">
        <f>_xlfn.IFNA(  SUBSTITUTE(     IF(  INDEX(役男大表!$A$1:$BF$95,MATCH($A26,役男大表!$A$1:$A$97,0),   MATCH(U$1,役男大表!$A$3:$BF$3,0)  )=0,"",  IF(  INDEX(役男大表!$A$1:$BF$95,MATCH($A26,役男大表!$A$1:$A$97,0),   MATCH(U$1,役男大表!$A$3:$BF$3,0)  )="榮","x",  IF(  INDEX(役男大表!$A$1:$BF$95,MATCH($A26,役男大表!$A$1:$A$97,0),   MATCH(U$1,役男大表!$A$3:$BF$3,0)  )="榮-22",  "x榮18-22",               INDEX(役男大表!$A$1:$BF$95,MATCH($A26,役男大表!$A$1:$A$97,0),   MATCH(U$1,役男大表!$A$3:$BF$3,0)  )                  )  )  )," ",""),"")</f>
        <v/>
      </c>
      <c r="V26" s="278" t="str">
        <f>_xlfn.IFNA(  SUBSTITUTE(     IF(  INDEX(役男大表!$A$1:$BF$95,MATCH($A26,役男大表!$A$1:$A$97,0),   MATCH(V$1,役男大表!$A$3:$BF$3,0)  )=0,"",  IF(  INDEX(役男大表!$A$1:$BF$95,MATCH($A26,役男大表!$A$1:$A$97,0),   MATCH(V$1,役男大表!$A$3:$BF$3,0)  )="榮","x",  IF(  INDEX(役男大表!$A$1:$BF$95,MATCH($A26,役男大表!$A$1:$A$97,0),   MATCH(V$1,役男大表!$A$3:$BF$3,0)  )="榮-22",  "x榮18-22",               INDEX(役男大表!$A$1:$BF$95,MATCH($A26,役男大表!$A$1:$A$97,0),   MATCH(V$1,役男大表!$A$3:$BF$3,0)  )                  )  )  )," ",""),"")</f>
        <v/>
      </c>
      <c r="W26" s="278" t="str">
        <f>_xlfn.IFNA(  SUBSTITUTE(     IF(  INDEX(役男大表!$A$1:$BF$95,MATCH($A26,役男大表!$A$1:$A$97,0),   MATCH(W$1,役男大表!$A$3:$BF$3,0)  )=0,"",  IF(  INDEX(役男大表!$A$1:$BF$95,MATCH($A26,役男大表!$A$1:$A$97,0),   MATCH(W$1,役男大表!$A$3:$BF$3,0)  )="榮","x",  IF(  INDEX(役男大表!$A$1:$BF$95,MATCH($A26,役男大表!$A$1:$A$97,0),   MATCH(W$1,役男大表!$A$3:$BF$3,0)  )="榮-22",  "x榮18-22",               INDEX(役男大表!$A$1:$BF$95,MATCH($A26,役男大表!$A$1:$A$97,0),   MATCH(W$1,役男大表!$A$3:$BF$3,0)  )                  )  )  )," ",""),"")</f>
        <v>病8-12</v>
      </c>
      <c r="X26" s="278" t="str">
        <f>_xlfn.IFNA(  SUBSTITUTE(     IF(  INDEX(役男大表!$A$1:$BF$95,MATCH($A26,役男大表!$A$1:$A$97,0),   MATCH(X$1,役男大表!$A$3:$BF$3,0)  )=0,"",  IF(  INDEX(役男大表!$A$1:$BF$95,MATCH($A26,役男大表!$A$1:$A$97,0),   MATCH(X$1,役男大表!$A$3:$BF$3,0)  )="榮","x",  IF(  INDEX(役男大表!$A$1:$BF$95,MATCH($A26,役男大表!$A$1:$A$97,0),   MATCH(X$1,役男大表!$A$3:$BF$3,0)  )="榮-22",  "x榮18-22",               INDEX(役男大表!$A$1:$BF$95,MATCH($A26,役男大表!$A$1:$A$97,0),   MATCH(X$1,役男大表!$A$3:$BF$3,0)  )                  )  )  )," ",""),"")</f>
        <v/>
      </c>
      <c r="Y26" s="278" t="str">
        <f>_xlfn.IFNA(  SUBSTITUTE(     IF(  INDEX(役男大表!$A$1:$BF$95,MATCH($A26,役男大表!$A$1:$A$97,0),   MATCH(Y$1,役男大表!$A$3:$BF$3,0)  )=0,"",  IF(  INDEX(役男大表!$A$1:$BF$95,MATCH($A26,役男大表!$A$1:$A$97,0),   MATCH(Y$1,役男大表!$A$3:$BF$3,0)  )="榮","x",  IF(  INDEX(役男大表!$A$1:$BF$95,MATCH($A26,役男大表!$A$1:$A$97,0),   MATCH(Y$1,役男大表!$A$3:$BF$3,0)  )="榮-22",  "x榮18-22",               INDEX(役男大表!$A$1:$BF$95,MATCH($A26,役男大表!$A$1:$A$97,0),   MATCH(Y$1,役男大表!$A$3:$BF$3,0)  )                  )  )  )," ",""),"")</f>
        <v>x</v>
      </c>
      <c r="Z26" s="278" t="str">
        <f>_xlfn.IFNA(  SUBSTITUTE(     IF(  INDEX(役男大表!$A$1:$BF$95,MATCH($A26,役男大表!$A$1:$A$97,0),   MATCH(Z$1,役男大表!$A$3:$BF$3,0)  )=0,"",  IF(  INDEX(役男大表!$A$1:$BF$95,MATCH($A26,役男大表!$A$1:$A$97,0),   MATCH(Z$1,役男大表!$A$3:$BF$3,0)  )="榮","x",  IF(  INDEX(役男大表!$A$1:$BF$95,MATCH($A26,役男大表!$A$1:$A$97,0),   MATCH(Z$1,役男大表!$A$3:$BF$3,0)  )="榮-22",  "x榮18-22",               INDEX(役男大表!$A$1:$BF$95,MATCH($A26,役男大表!$A$1:$A$97,0),   MATCH(Z$1,役男大表!$A$3:$BF$3,0)  )                  )  )  )," ",""),"")</f>
        <v>x</v>
      </c>
      <c r="AA26" s="278" t="str">
        <f>_xlfn.IFNA(  SUBSTITUTE(     IF(  INDEX(役男大表!$A$1:$BF$95,MATCH($A26,役男大表!$A$1:$A$97,0),   MATCH(AA$1,役男大表!$A$3:$BF$3,0)  )=0,"",  IF(  INDEX(役男大表!$A$1:$BF$95,MATCH($A26,役男大表!$A$1:$A$97,0),   MATCH(AA$1,役男大表!$A$3:$BF$3,0)  )="榮","x",  IF(  INDEX(役男大表!$A$1:$BF$95,MATCH($A26,役男大表!$A$1:$A$97,0),   MATCH(AA$1,役男大表!$A$3:$BF$3,0)  )="榮-22",  "x榮18-22",               INDEX(役男大表!$A$1:$BF$95,MATCH($A26,役男大表!$A$1:$A$97,0),   MATCH(AA$1,役男大表!$A$3:$BF$3,0)  )                  )  )  )," ",""),"")</f>
        <v>x</v>
      </c>
      <c r="AB26" s="278" t="str">
        <f>_xlfn.IFNA(  SUBSTITUTE(     IF(  INDEX(役男大表!$A$1:$BF$95,MATCH($A26,役男大表!$A$1:$A$97,0),   MATCH(AB$1,役男大表!$A$3:$BF$3,0)  )=0,"",  IF(  INDEX(役男大表!$A$1:$BF$95,MATCH($A26,役男大表!$A$1:$A$97,0),   MATCH(AB$1,役男大表!$A$3:$BF$3,0)  )="榮","x",  IF(  INDEX(役男大表!$A$1:$BF$95,MATCH($A26,役男大表!$A$1:$A$97,0),   MATCH(AB$1,役男大表!$A$3:$BF$3,0)  )="榮-22",  "x榮18-22",               INDEX(役男大表!$A$1:$BF$95,MATCH($A26,役男大表!$A$1:$A$97,0),   MATCH(AB$1,役男大表!$A$3:$BF$3,0)  )                  )  )  )," ",""),"")</f>
        <v/>
      </c>
      <c r="AC26" s="278" t="str">
        <f>_xlfn.IFNA(  SUBSTITUTE(     IF(  INDEX(役男大表!$A$1:$BF$95,MATCH($A26,役男大表!$A$1:$A$97,0),   MATCH(AC$1,役男大表!$A$3:$BF$3,0)  )=0,"",  IF(  INDEX(役男大表!$A$1:$BF$95,MATCH($A26,役男大表!$A$1:$A$97,0),   MATCH(AC$1,役男大表!$A$3:$BF$3,0)  )="榮","x",  IF(  INDEX(役男大表!$A$1:$BF$95,MATCH($A26,役男大表!$A$1:$A$97,0),   MATCH(AC$1,役男大表!$A$3:$BF$3,0)  )="榮-22",  "x榮18-22",               INDEX(役男大表!$A$1:$BF$95,MATCH($A26,役男大表!$A$1:$A$97,0),   MATCH(AC$1,役男大表!$A$3:$BF$3,0)  )                  )  )  )," ",""),"")</f>
        <v/>
      </c>
      <c r="AD26" s="278" t="str">
        <f>_xlfn.IFNA(  SUBSTITUTE(     IF(  INDEX(役男大表!$A$1:$BF$95,MATCH($A26,役男大表!$A$1:$A$97,0),   MATCH(AD$1,役男大表!$A$3:$BF$3,0)  )=0,"",  IF(  INDEX(役男大表!$A$1:$BF$95,MATCH($A26,役男大表!$A$1:$A$97,0),   MATCH(AD$1,役男大表!$A$3:$BF$3,0)  )="榮","x",  IF(  INDEX(役男大表!$A$1:$BF$95,MATCH($A26,役男大表!$A$1:$A$97,0),   MATCH(AD$1,役男大表!$A$3:$BF$3,0)  )="榮-22",  "x榮18-22",               INDEX(役男大表!$A$1:$BF$95,MATCH($A26,役男大表!$A$1:$A$97,0),   MATCH(AD$1,役男大表!$A$3:$BF$3,0)  )                  )  )  )," ",""),"")</f>
        <v/>
      </c>
      <c r="AE26" s="278" t="str">
        <f>_xlfn.IFNA(  SUBSTITUTE(     IF(  INDEX(役男大表!$A$1:$BF$95,MATCH($A26,役男大表!$A$1:$A$97,0),   MATCH(AE$1,役男大表!$A$3:$BF$3,0)  )=0,"",  IF(  INDEX(役男大表!$A$1:$BF$95,MATCH($A26,役男大表!$A$1:$A$97,0),   MATCH(AE$1,役男大表!$A$3:$BF$3,0)  )="榮","x",  IF(  INDEX(役男大表!$A$1:$BF$95,MATCH($A26,役男大表!$A$1:$A$97,0),   MATCH(AE$1,役男大表!$A$3:$BF$3,0)  )="榮-22",  "x榮18-22",               INDEX(役男大表!$A$1:$BF$95,MATCH($A26,役男大表!$A$1:$A$97,0),   MATCH(AE$1,役男大表!$A$3:$BF$3,0)  )                  )  )  )," ",""),"")</f>
        <v/>
      </c>
      <c r="AF26" s="278" t="str">
        <f>_xlfn.IFNA(  SUBSTITUTE(     IF(  INDEX(役男大表!$A$1:$BF$95,MATCH($A26,役男大表!$A$1:$A$97,0),   MATCH(AF$1,役男大表!$A$3:$BF$3,0)  )=0,"",  IF(  INDEX(役男大表!$A$1:$BF$95,MATCH($A26,役男大表!$A$1:$A$97,0),   MATCH(AF$1,役男大表!$A$3:$BF$3,0)  )="榮","x",  IF(  INDEX(役男大表!$A$1:$BF$95,MATCH($A26,役男大表!$A$1:$A$97,0),   MATCH(AF$1,役男大表!$A$3:$BF$3,0)  )="榮-22",  "x榮18-22",               INDEX(役男大表!$A$1:$BF$95,MATCH($A26,役男大表!$A$1:$A$97,0),   MATCH(AF$1,役男大表!$A$3:$BF$3,0)  )                  )  )  )," ",""),"")</f>
        <v>x</v>
      </c>
      <c r="AG26" s="278" t="str">
        <f>_xlfn.IFNA(  SUBSTITUTE(     IF(  INDEX(役男大表!$A$1:$BF$95,MATCH($A26,役男大表!$A$1:$A$97,0),   MATCH(AG$1,役男大表!$A$3:$BF$3,0)  )=0,"",  IF(  INDEX(役男大表!$A$1:$BF$95,MATCH($A26,役男大表!$A$1:$A$97,0),   MATCH(AG$1,役男大表!$A$3:$BF$3,0)  )="榮","x",  IF(  INDEX(役男大表!$A$1:$BF$95,MATCH($A26,役男大表!$A$1:$A$97,0),   MATCH(AG$1,役男大表!$A$3:$BF$3,0)  )="榮-22",  "x榮18-22",               INDEX(役男大表!$A$1:$BF$95,MATCH($A26,役男大表!$A$1:$A$97,0),   MATCH(AG$1,役男大表!$A$3:$BF$3,0)  )                  )  )  )," ",""),"")</f>
        <v>x</v>
      </c>
      <c r="AH26" s="278" t="str">
        <f>_xlfn.IFNA(  SUBSTITUTE(     IF(  INDEX(役男大表!$A$1:$BF$95,MATCH($A26,役男大表!$A$1:$A$97,0),   MATCH(AH$1,役男大表!$A$3:$BF$3,0)  )=0,"",  IF(  INDEX(役男大表!$A$1:$BF$95,MATCH($A26,役男大表!$A$1:$A$97,0),   MATCH(AH$1,役男大表!$A$3:$BF$3,0)  )="榮","x",  IF(  INDEX(役男大表!$A$1:$BF$95,MATCH($A26,役男大表!$A$1:$A$97,0),   MATCH(AH$1,役男大表!$A$3:$BF$3,0)  )="榮-22",  "x榮18-22",               INDEX(役男大表!$A$1:$BF$95,MATCH($A26,役男大表!$A$1:$A$97,0),   MATCH(AH$1,役男大表!$A$3:$BF$3,0)  )                  )  )  )," ",""),"")</f>
        <v/>
      </c>
      <c r="AI26" s="278" t="str">
        <f>_xlfn.IFNA(  SUBSTITUTE(     IF(  INDEX(役男大表!$A$1:$BF$95,MATCH($A26,役男大表!$A$1:$A$97,0),   MATCH(AI$1,役男大表!$A$3:$BF$3,0)  )=0,"",  IF(  INDEX(役男大表!$A$1:$BF$95,MATCH($A26,役男大表!$A$1:$A$97,0),   MATCH(AI$1,役男大表!$A$3:$BF$3,0)  )="榮","x",  IF(  INDEX(役男大表!$A$1:$BF$95,MATCH($A26,役男大表!$A$1:$A$97,0),   MATCH(AI$1,役男大表!$A$3:$BF$3,0)  )="榮-22",  "x榮18-22",               INDEX(役男大表!$A$1:$BF$95,MATCH($A26,役男大表!$A$1:$A$97,0),   MATCH(AI$1,役男大表!$A$3:$BF$3,0)  )                  )  )  )," ",""),"")</f>
        <v/>
      </c>
      <c r="AJ26" s="278" t="str">
        <f>_xlfn.IFNA(  SUBSTITUTE(     IF(  INDEX(役男大表!$A$1:$BF$95,MATCH($A26,役男大表!$A$1:$A$97,0),   MATCH(AJ$1,役男大表!$A$3:$BF$3,0)  )=0,"",  IF(  INDEX(役男大表!$A$1:$BF$95,MATCH($A26,役男大表!$A$1:$A$97,0),   MATCH(AJ$1,役男大表!$A$3:$BF$3,0)  )="榮","x",  IF(  INDEX(役男大表!$A$1:$BF$95,MATCH($A26,役男大表!$A$1:$A$97,0),   MATCH(AJ$1,役男大表!$A$3:$BF$3,0)  )="榮-22",  "x榮18-22",               INDEX(役男大表!$A$1:$BF$95,MATCH($A26,役男大表!$A$1:$A$97,0),   MATCH(AJ$1,役男大表!$A$3:$BF$3,0)  )                  )  )  )," ",""),"")</f>
        <v/>
      </c>
      <c r="AM26" s="66">
        <f t="shared" si="1"/>
        <v>25</v>
      </c>
      <c r="AN26" s="66" t="str">
        <f t="shared" si="2"/>
        <v>唐正瑋</v>
      </c>
      <c r="AO26" s="71" t="str">
        <f>IF(  AND(  INDEX(   $A$42:$AJ$79, MATCH(AM26,$A$42:$A$79,0),MATCH(  日期輸入!$C$3,$A$42:$AL$42,0  )  )="全日勤",  AV26="免"  ),  "全日勤免勤教",  IF(  AND(  INDEX(   $A$42:$AJ$79, MATCH(AM26,$A$42:$A$79,0),MATCH(  日期輸入!$C$3,$A$42:$AL$42,0  )  )="18放",  AV26="免"  ),  "18放早走",  INDEX(   $A$42:$AJ$79, MATCH(AM26,$A$42:$A$79,0),MATCH(  日期輸入!$C$3,$A$42:$AL$42,0  )  )  )  )</f>
        <v>18收</v>
      </c>
      <c r="AP26" s="66" t="str">
        <f>_xlfn.IFNA(IF((ROW(AP26)-1)&lt;=暫1!$B$2,IF(VALUE($AM26)=暫1!B$3,"家因",IF(VALUE($AM26)=暫1!C$3,"家因",IF(VALUE($AM26)=暫1!D$3,"家因",IF(VALUE($AM26)=暫1!E$3,"家因",IF(VALUE($AM26)=暫1!F$3,"家因",IF(VALUE($AM26)=暫1!G$3,"家因",IF(VALUE($AM26)=暫1!H$3,"家因",IF(VALUE($AM26)=暫1!I$3,"家因",IF(VALUE($AM26)=暫1!J$3,"家因",IF(VALUE($AM26)=暫1!K$3,"家因",IF(VALUE($AM26)=暫1!L$3,"家因",IF(VALUE($AM26)=暫1!M$3,"家因",IF(VALUE($AM26)=暫1!N$3,"家因",IF(VALUE($AM26)=暫1!O$3,"家因",IF(VALUE($AM26)=暫1!P$3,"家因",IF(VALUE($AM26)=暫1!Q$3,"家因",IF(VALUE($AM26)=暫1!R$3,"家因",IF(VALUE($AM26)=暫1!S$3,"家因",IF(VALUE($AM26)=暫1!T$3,"家因",IF(VALUE($AM26)=暫1!U$3,"家因","")))))))))))))))))))),""),"")</f>
        <v/>
      </c>
      <c r="AQ26" s="66" t="str">
        <f>IF((ROW(AQ26)-1)&lt;=暫1!$B$2,_xlfn.IFNA(IF(INDEX($A$1:$AJ$41,MATCH($AN26,$B$1:$B$101,0),VALUE($AQ$1+3))="成","補",INDEX($A$1:$AJ$41,MATCH($AN26,$B$1:$B$101,0),VALUE($AQ$1+3))),""),"")</f>
        <v>x</v>
      </c>
      <c r="AR26" s="66" t="str">
        <f>IF((ROW(AR26)-1)&lt;=暫1!$B$2,_xlfn.IFNA(IF(INDEX($A$1:$AJ$41,MATCH($AN26,$B$1:$B$101,0),VALUE($AR$1+3))="成","補",INDEX($A$1:$AJ$41,MATCH($AN26,$B$1:$B$101,0),VALUE($AR$1+3))),""),"")</f>
        <v/>
      </c>
      <c r="AS26" s="66" t="str">
        <f>IF((ROW(AS26)-1)&lt;=暫1!$B$2,_xlfn.IFNA(IF(INDEX($A$1:$AJ$41,MATCH($AN26,$B$1:$B$101,0),VALUE($AS$1+3))="成","補",INDEX($A$1:$AJ$41,MATCH($AN26,$B$1:$B$101,0),VALUE($AS$1+3))),""),"")</f>
        <v/>
      </c>
      <c r="AT26" s="66" t="str">
        <f>IF(  OR(  LEN(  INDEX(   $A$1:$AJ$39, MATCH(AM26,$A$1:$A$39,0),MATCH(  日期輸入!$C$3,$A$1:$AP$1,0  )  )  )&gt;LEN(  SUBSTITUTE(  INDEX(   $A$1:$AJ$39, MATCH(AM26,$A$1:$A$39,0),MATCH(  日期輸入!$C$3,$A$1:$AP$1,0  )  ),"榮","")  )  ),   SUBSTITUTE(  SUBSTITUTE(  INDEX(   $A$1:$AJ$39, MATCH(AM26,$A$1:$A$39,0),MATCH(  日期輸入!$C$3,$A$1:$AP$1,0  )  ),"榮",""),"x",""), "")</f>
        <v/>
      </c>
      <c r="AU26" s="66" t="str">
        <f t="shared" si="3"/>
        <v/>
      </c>
      <c r="AV26" s="66" t="str">
        <f>INDEX(   $A$482:$AJ$519, MATCH(AM26,$A$482:$A$519,0),MATCH(  日期輸入!$C$3,$A$482:$AL$482,0  )  )</f>
        <v/>
      </c>
      <c r="AX26" s="66" t="str">
        <f>IFERROR(IF((ROW(AX26)-1)&lt;=暫1!$B$2,SUBSTITUTE(IF($AO26=$AX$1,$AM26,"")," ",""),""),"")</f>
        <v/>
      </c>
      <c r="AY26" s="66" t="str">
        <f>IFERROR(IF((ROW(AY26)-1)&lt;=暫1!$B$2,SUBSTITUTE(IF($AO26=$AY$1,$AM26,"")," ",""),""),"")</f>
        <v/>
      </c>
      <c r="AZ26" s="66" t="str">
        <f>IFERROR(IF((ROW(AZ26)-1)&lt;=暫1!$B$2,SUBSTITUTE(IF($AO26=$AZ$1,$AM26,"")," ",""),""),"")</f>
        <v/>
      </c>
      <c r="BA26" s="66" t="str">
        <f>IFERROR(IF((ROW(BA26)-1)&lt;=暫1!$B$2,SUBSTITUTE(IF($AO26=$BA$1,$AM26,"")," ",""),""),"")</f>
        <v>25</v>
      </c>
      <c r="BB26" s="69" t="str">
        <f>IFERROR(IF((ROW(BB26)-1)&lt;=暫1!$B$2,SUBSTITUTE(IF(OR($AO26=$BB$1,$AO26=$AY$1,$AO26=$AZ$1),$AM26,IF($AO26=$AY$1,$AM26,"")),"",""),""),"")</f>
        <v/>
      </c>
      <c r="BC26" s="69" t="str">
        <f>IF(    AND(LEN(BC25)&gt;=2 ),        "、" &amp;  IF(OR(役男人力!$J$2:$J$84="是"),役男人力!$B27,""),  IF(OR(役男人力!$J$2:$J$84="是"),役男人力!$B27,"")  )</f>
        <v/>
      </c>
    </row>
    <row r="27" spans="1:59" ht="25.5" customHeight="1">
      <c r="A27" s="278">
        <v>26</v>
      </c>
      <c r="B27" s="278" t="str">
        <f>_xlfn.IFNA(  INDEX(役男大表!$A$1:$BF$95,MATCH(A27,役男大表!$A$1:$A$97,0),2),"")</f>
        <v>曾慶鈞</v>
      </c>
      <c r="C27" s="278" t="str">
        <f>_xlfn.IFNA(  SUBSTITUTE(     IF(  INDEX(役男大表!$A$1:$BF$95,MATCH($A27,役男大表!$A$1:$A$97,0),   MATCH(C$1,役男大表!$A$3:$BF$3,0)  )=0,"",  IF(  INDEX(役男大表!$A$1:$BF$95,MATCH($A27,役男大表!$A$1:$A$97,0),   MATCH(C$1,役男大表!$A$3:$BF$3,0)  )="榮","x",  IF(  INDEX(役男大表!$A$1:$BF$95,MATCH($A27,役男大表!$A$1:$A$97,0),   MATCH(C$1,役男大表!$A$3:$BF$3,0)  )="榮-22",  "x榮18-22",               INDEX(役男大表!$A$1:$BF$95,MATCH($A27,役男大表!$A$1:$A$97,0),   MATCH(C$1,役男大表!$A$3:$BF$3,0)  )                  )  )  )," ",""),"")</f>
        <v/>
      </c>
      <c r="D27" s="278" t="str">
        <f>_xlfn.IFNA(  SUBSTITUTE(     IF(  INDEX(役男大表!$A$1:$BF$95,MATCH($A27,役男大表!$A$1:$A$97,0),   MATCH(D$1,役男大表!$A$3:$BF$3,0)  )=0,"",  IF(  INDEX(役男大表!$A$1:$BF$95,MATCH($A27,役男大表!$A$1:$A$97,0),   MATCH(D$1,役男大表!$A$3:$BF$3,0)  )="榮","x",  IF(  INDEX(役男大表!$A$1:$BF$95,MATCH($A27,役男大表!$A$1:$A$97,0),   MATCH(D$1,役男大表!$A$3:$BF$3,0)  )="榮-22",  "x榮18-22",               INDEX(役男大表!$A$1:$BF$95,MATCH($A27,役男大表!$A$1:$A$97,0),   MATCH(D$1,役男大表!$A$3:$BF$3,0)  )                  )  )  )," ",""),"")</f>
        <v/>
      </c>
      <c r="E27" s="278" t="str">
        <f>_xlfn.IFNA(  SUBSTITUTE(     IF(  INDEX(役男大表!$A$1:$BF$95,MATCH($A27,役男大表!$A$1:$A$97,0),   MATCH(E$1,役男大表!$A$3:$BF$3,0)  )=0,"",  IF(  INDEX(役男大表!$A$1:$BF$95,MATCH($A27,役男大表!$A$1:$A$97,0),   MATCH(E$1,役男大表!$A$3:$BF$3,0)  )="榮","x",  IF(  INDEX(役男大表!$A$1:$BF$95,MATCH($A27,役男大表!$A$1:$A$97,0),   MATCH(E$1,役男大表!$A$3:$BF$3,0)  )="榮-22",  "x榮18-22",               INDEX(役男大表!$A$1:$BF$95,MATCH($A27,役男大表!$A$1:$A$97,0),   MATCH(E$1,役男大表!$A$3:$BF$3,0)  )                  )  )  )," ",""),"")</f>
        <v/>
      </c>
      <c r="F27" s="278" t="str">
        <f>_xlfn.IFNA(  SUBSTITUTE(     IF(  INDEX(役男大表!$A$1:$BF$95,MATCH($A27,役男大表!$A$1:$A$97,0),   MATCH(F$1,役男大表!$A$3:$BF$3,0)  )=0,"",  IF(  INDEX(役男大表!$A$1:$BF$95,MATCH($A27,役男大表!$A$1:$A$97,0),   MATCH(F$1,役男大表!$A$3:$BF$3,0)  )="榮","x",  IF(  INDEX(役男大表!$A$1:$BF$95,MATCH($A27,役男大表!$A$1:$A$97,0),   MATCH(F$1,役男大表!$A$3:$BF$3,0)  )="榮-22",  "x榮18-22",               INDEX(役男大表!$A$1:$BF$95,MATCH($A27,役男大表!$A$1:$A$97,0),   MATCH(F$1,役男大表!$A$3:$BF$3,0)  )                  )  )  )," ",""),"")</f>
        <v/>
      </c>
      <c r="G27" s="278" t="str">
        <f>_xlfn.IFNA(  SUBSTITUTE(     IF(  INDEX(役男大表!$A$1:$BF$95,MATCH($A27,役男大表!$A$1:$A$97,0),   MATCH(G$1,役男大表!$A$3:$BF$3,0)  )=0,"",  IF(  INDEX(役男大表!$A$1:$BF$95,MATCH($A27,役男大表!$A$1:$A$97,0),   MATCH(G$1,役男大表!$A$3:$BF$3,0)  )="榮","x",  IF(  INDEX(役男大表!$A$1:$BF$95,MATCH($A27,役男大表!$A$1:$A$97,0),   MATCH(G$1,役男大表!$A$3:$BF$3,0)  )="榮-22",  "x榮18-22",               INDEX(役男大表!$A$1:$BF$95,MATCH($A27,役男大表!$A$1:$A$97,0),   MATCH(G$1,役男大表!$A$3:$BF$3,0)  )                  )  )  )," ",""),"")</f>
        <v/>
      </c>
      <c r="H27" s="278" t="str">
        <f>_xlfn.IFNA(  SUBSTITUTE(     IF(  INDEX(役男大表!$A$1:$BF$95,MATCH($A27,役男大表!$A$1:$A$97,0),   MATCH(H$1,役男大表!$A$3:$BF$3,0)  )=0,"",  IF(  INDEX(役男大表!$A$1:$BF$95,MATCH($A27,役男大表!$A$1:$A$97,0),   MATCH(H$1,役男大表!$A$3:$BF$3,0)  )="榮","x",  IF(  INDEX(役男大表!$A$1:$BF$95,MATCH($A27,役男大表!$A$1:$A$97,0),   MATCH(H$1,役男大表!$A$3:$BF$3,0)  )="榮-22",  "x榮18-22",               INDEX(役男大表!$A$1:$BF$95,MATCH($A27,役男大表!$A$1:$A$97,0),   MATCH(H$1,役男大表!$A$3:$BF$3,0)  )                  )  )  )," ",""),"")</f>
        <v/>
      </c>
      <c r="I27" s="278" t="str">
        <f>_xlfn.IFNA(  SUBSTITUTE(     IF(  INDEX(役男大表!$A$1:$BF$95,MATCH($A27,役男大表!$A$1:$A$97,0),   MATCH(I$1,役男大表!$A$3:$BF$3,0)  )=0,"",  IF(  INDEX(役男大表!$A$1:$BF$95,MATCH($A27,役男大表!$A$1:$A$97,0),   MATCH(I$1,役男大表!$A$3:$BF$3,0)  )="榮","x",  IF(  INDEX(役男大表!$A$1:$BF$95,MATCH($A27,役男大表!$A$1:$A$97,0),   MATCH(I$1,役男大表!$A$3:$BF$3,0)  )="榮-22",  "x榮18-22",               INDEX(役男大表!$A$1:$BF$95,MATCH($A27,役男大表!$A$1:$A$97,0),   MATCH(I$1,役男大表!$A$3:$BF$3,0)  )                  )  )  )," ",""),"")</f>
        <v/>
      </c>
      <c r="J27" s="278" t="str">
        <f>_xlfn.IFNA(  SUBSTITUTE(     IF(  INDEX(役男大表!$A$1:$BF$95,MATCH($A27,役男大表!$A$1:$A$97,0),   MATCH(J$1,役男大表!$A$3:$BF$3,0)  )=0,"",  IF(  INDEX(役男大表!$A$1:$BF$95,MATCH($A27,役男大表!$A$1:$A$97,0),   MATCH(J$1,役男大表!$A$3:$BF$3,0)  )="榮","x",  IF(  INDEX(役男大表!$A$1:$BF$95,MATCH($A27,役男大表!$A$1:$A$97,0),   MATCH(J$1,役男大表!$A$3:$BF$3,0)  )="榮-22",  "x榮18-22",               INDEX(役男大表!$A$1:$BF$95,MATCH($A27,役男大表!$A$1:$A$97,0),   MATCH(J$1,役男大表!$A$3:$BF$3,0)  )                  )  )  )," ",""),"")</f>
        <v/>
      </c>
      <c r="K27" s="278" t="str">
        <f>_xlfn.IFNA(  SUBSTITUTE(     IF(  INDEX(役男大表!$A$1:$BF$95,MATCH($A27,役男大表!$A$1:$A$97,0),   MATCH(K$1,役男大表!$A$3:$BF$3,0)  )=0,"",  IF(  INDEX(役男大表!$A$1:$BF$95,MATCH($A27,役男大表!$A$1:$A$97,0),   MATCH(K$1,役男大表!$A$3:$BF$3,0)  )="榮","x",  IF(  INDEX(役男大表!$A$1:$BF$95,MATCH($A27,役男大表!$A$1:$A$97,0),   MATCH(K$1,役男大表!$A$3:$BF$3,0)  )="榮-22",  "x榮18-22",               INDEX(役男大表!$A$1:$BF$95,MATCH($A27,役男大表!$A$1:$A$97,0),   MATCH(K$1,役男大表!$A$3:$BF$3,0)  )                  )  )  )," ",""),"")</f>
        <v/>
      </c>
      <c r="L27" s="278" t="str">
        <f>_xlfn.IFNA(  SUBSTITUTE(     IF(  INDEX(役男大表!$A$1:$BF$95,MATCH($A27,役男大表!$A$1:$A$97,0),   MATCH(L$1,役男大表!$A$3:$BF$3,0)  )=0,"",  IF(  INDEX(役男大表!$A$1:$BF$95,MATCH($A27,役男大表!$A$1:$A$97,0),   MATCH(L$1,役男大表!$A$3:$BF$3,0)  )="榮","x",  IF(  INDEX(役男大表!$A$1:$BF$95,MATCH($A27,役男大表!$A$1:$A$97,0),   MATCH(L$1,役男大表!$A$3:$BF$3,0)  )="榮-22",  "x榮18-22",               INDEX(役男大表!$A$1:$BF$95,MATCH($A27,役男大表!$A$1:$A$97,0),   MATCH(L$1,役男大表!$A$3:$BF$3,0)  )                  )  )  )," ",""),"")</f>
        <v/>
      </c>
      <c r="M27" s="278" t="str">
        <f>_xlfn.IFNA(  SUBSTITUTE(     IF(  INDEX(役男大表!$A$1:$BF$95,MATCH($A27,役男大表!$A$1:$A$97,0),   MATCH(M$1,役男大表!$A$3:$BF$3,0)  )=0,"",  IF(  INDEX(役男大表!$A$1:$BF$95,MATCH($A27,役男大表!$A$1:$A$97,0),   MATCH(M$1,役男大表!$A$3:$BF$3,0)  )="榮","x",  IF(  INDEX(役男大表!$A$1:$BF$95,MATCH($A27,役男大表!$A$1:$A$97,0),   MATCH(M$1,役男大表!$A$3:$BF$3,0)  )="榮-22",  "x榮18-22",               INDEX(役男大表!$A$1:$BF$95,MATCH($A27,役男大表!$A$1:$A$97,0),   MATCH(M$1,役男大表!$A$3:$BF$3,0)  )                  )  )  )," ",""),"")</f>
        <v>x</v>
      </c>
      <c r="N27" s="278" t="str">
        <f>_xlfn.IFNA(  SUBSTITUTE(     IF(  INDEX(役男大表!$A$1:$BF$95,MATCH($A27,役男大表!$A$1:$A$97,0),   MATCH(N$1,役男大表!$A$3:$BF$3,0)  )=0,"",  IF(  INDEX(役男大表!$A$1:$BF$95,MATCH($A27,役男大表!$A$1:$A$97,0),   MATCH(N$1,役男大表!$A$3:$BF$3,0)  )="榮","x",  IF(  INDEX(役男大表!$A$1:$BF$95,MATCH($A27,役男大表!$A$1:$A$97,0),   MATCH(N$1,役男大表!$A$3:$BF$3,0)  )="榮-22",  "x榮18-22",               INDEX(役男大表!$A$1:$BF$95,MATCH($A27,役男大表!$A$1:$A$97,0),   MATCH(N$1,役男大表!$A$3:$BF$3,0)  )                  )  )  )," ",""),"")</f>
        <v>x</v>
      </c>
      <c r="O27" s="278" t="str">
        <f>_xlfn.IFNA(  SUBSTITUTE(     IF(  INDEX(役男大表!$A$1:$BF$95,MATCH($A27,役男大表!$A$1:$A$97,0),   MATCH(O$1,役男大表!$A$3:$BF$3,0)  )=0,"",  IF(  INDEX(役男大表!$A$1:$BF$95,MATCH($A27,役男大表!$A$1:$A$97,0),   MATCH(O$1,役男大表!$A$3:$BF$3,0)  )="榮","x",  IF(  INDEX(役男大表!$A$1:$BF$95,MATCH($A27,役男大表!$A$1:$A$97,0),   MATCH(O$1,役男大表!$A$3:$BF$3,0)  )="榮-22",  "x榮18-22",               INDEX(役男大表!$A$1:$BF$95,MATCH($A27,役男大表!$A$1:$A$97,0),   MATCH(O$1,役男大表!$A$3:$BF$3,0)  )                  )  )  )," ",""),"")</f>
        <v>x</v>
      </c>
      <c r="P27" s="278" t="str">
        <f>_xlfn.IFNA(  SUBSTITUTE(     IF(  INDEX(役男大表!$A$1:$BF$95,MATCH($A27,役男大表!$A$1:$A$97,0),   MATCH(P$1,役男大表!$A$3:$BF$3,0)  )=0,"",  IF(  INDEX(役男大表!$A$1:$BF$95,MATCH($A27,役男大表!$A$1:$A$97,0),   MATCH(P$1,役男大表!$A$3:$BF$3,0)  )="榮","x",  IF(  INDEX(役男大表!$A$1:$BF$95,MATCH($A27,役男大表!$A$1:$A$97,0),   MATCH(P$1,役男大表!$A$3:$BF$3,0)  )="榮-22",  "x榮18-22",               INDEX(役男大表!$A$1:$BF$95,MATCH($A27,役男大表!$A$1:$A$97,0),   MATCH(P$1,役男大表!$A$3:$BF$3,0)  )                  )  )  )," ",""),"")</f>
        <v/>
      </c>
      <c r="Q27" s="278" t="str">
        <f>_xlfn.IFNA(  SUBSTITUTE(     IF(  INDEX(役男大表!$A$1:$BF$95,MATCH($A27,役男大表!$A$1:$A$97,0),   MATCH(Q$1,役男大表!$A$3:$BF$3,0)  )=0,"",  IF(  INDEX(役男大表!$A$1:$BF$95,MATCH($A27,役男大表!$A$1:$A$97,0),   MATCH(Q$1,役男大表!$A$3:$BF$3,0)  )="榮","x",  IF(  INDEX(役男大表!$A$1:$BF$95,MATCH($A27,役男大表!$A$1:$A$97,0),   MATCH(Q$1,役男大表!$A$3:$BF$3,0)  )="榮-22",  "x榮18-22",               INDEX(役男大表!$A$1:$BF$95,MATCH($A27,役男大表!$A$1:$A$97,0),   MATCH(Q$1,役男大表!$A$3:$BF$3,0)  )                  )  )  )," ",""),"")</f>
        <v/>
      </c>
      <c r="R27" s="278" t="str">
        <f>_xlfn.IFNA(  SUBSTITUTE(     IF(  INDEX(役男大表!$A$1:$BF$95,MATCH($A27,役男大表!$A$1:$A$97,0),   MATCH(R$1,役男大表!$A$3:$BF$3,0)  )=0,"",  IF(  INDEX(役男大表!$A$1:$BF$95,MATCH($A27,役男大表!$A$1:$A$97,0),   MATCH(R$1,役男大表!$A$3:$BF$3,0)  )="榮","x",  IF(  INDEX(役男大表!$A$1:$BF$95,MATCH($A27,役男大表!$A$1:$A$97,0),   MATCH(R$1,役男大表!$A$3:$BF$3,0)  )="榮-22",  "x榮18-22",               INDEX(役男大表!$A$1:$BF$95,MATCH($A27,役男大表!$A$1:$A$97,0),   MATCH(R$1,役男大表!$A$3:$BF$3,0)  )                  )  )  )," ",""),"")</f>
        <v/>
      </c>
      <c r="S27" s="278" t="str">
        <f>_xlfn.IFNA(  SUBSTITUTE(     IF(  INDEX(役男大表!$A$1:$BF$95,MATCH($A27,役男大表!$A$1:$A$97,0),   MATCH(S$1,役男大表!$A$3:$BF$3,0)  )=0,"",  IF(  INDEX(役男大表!$A$1:$BF$95,MATCH($A27,役男大表!$A$1:$A$97,0),   MATCH(S$1,役男大表!$A$3:$BF$3,0)  )="榮","x",  IF(  INDEX(役男大表!$A$1:$BF$95,MATCH($A27,役男大表!$A$1:$A$97,0),   MATCH(S$1,役男大表!$A$3:$BF$3,0)  )="榮-22",  "x榮18-22",               INDEX(役男大表!$A$1:$BF$95,MATCH($A27,役男大表!$A$1:$A$97,0),   MATCH(S$1,役男大表!$A$3:$BF$3,0)  )                  )  )  )," ",""),"")</f>
        <v>x</v>
      </c>
      <c r="T27" s="278" t="str">
        <f>_xlfn.IFNA(  SUBSTITUTE(     IF(  INDEX(役男大表!$A$1:$BF$95,MATCH($A27,役男大表!$A$1:$A$97,0),   MATCH(T$1,役男大表!$A$3:$BF$3,0)  )=0,"",  IF(  INDEX(役男大表!$A$1:$BF$95,MATCH($A27,役男大表!$A$1:$A$97,0),   MATCH(T$1,役男大表!$A$3:$BF$3,0)  )="榮","x",  IF(  INDEX(役男大表!$A$1:$BF$95,MATCH($A27,役男大表!$A$1:$A$97,0),   MATCH(T$1,役男大表!$A$3:$BF$3,0)  )="榮-22",  "x榮18-22",               INDEX(役男大表!$A$1:$BF$95,MATCH($A27,役男大表!$A$1:$A$97,0),   MATCH(T$1,役男大表!$A$3:$BF$3,0)  )                  )  )  )," ",""),"")</f>
        <v>x</v>
      </c>
      <c r="U27" s="278" t="str">
        <f>_xlfn.IFNA(  SUBSTITUTE(     IF(  INDEX(役男大表!$A$1:$BF$95,MATCH($A27,役男大表!$A$1:$A$97,0),   MATCH(U$1,役男大表!$A$3:$BF$3,0)  )=0,"",  IF(  INDEX(役男大表!$A$1:$BF$95,MATCH($A27,役男大表!$A$1:$A$97,0),   MATCH(U$1,役男大表!$A$3:$BF$3,0)  )="榮","x",  IF(  INDEX(役男大表!$A$1:$BF$95,MATCH($A27,役男大表!$A$1:$A$97,0),   MATCH(U$1,役男大表!$A$3:$BF$3,0)  )="榮-22",  "x榮18-22",               INDEX(役男大表!$A$1:$BF$95,MATCH($A27,役男大表!$A$1:$A$97,0),   MATCH(U$1,役男大表!$A$3:$BF$3,0)  )                  )  )  )," ",""),"")</f>
        <v>x</v>
      </c>
      <c r="V27" s="278" t="str">
        <f>_xlfn.IFNA(  SUBSTITUTE(     IF(  INDEX(役男大表!$A$1:$BF$95,MATCH($A27,役男大表!$A$1:$A$97,0),   MATCH(V$1,役男大表!$A$3:$BF$3,0)  )=0,"",  IF(  INDEX(役男大表!$A$1:$BF$95,MATCH($A27,役男大表!$A$1:$A$97,0),   MATCH(V$1,役男大表!$A$3:$BF$3,0)  )="榮","x",  IF(  INDEX(役男大表!$A$1:$BF$95,MATCH($A27,役男大表!$A$1:$A$97,0),   MATCH(V$1,役男大表!$A$3:$BF$3,0)  )="榮-22",  "x榮18-22",               INDEX(役男大表!$A$1:$BF$95,MATCH($A27,役男大表!$A$1:$A$97,0),   MATCH(V$1,役男大表!$A$3:$BF$3,0)  )                  )  )  )," ",""),"")</f>
        <v>x</v>
      </c>
      <c r="W27" s="278" t="str">
        <f>_xlfn.IFNA(  SUBSTITUTE(     IF(  INDEX(役男大表!$A$1:$BF$95,MATCH($A27,役男大表!$A$1:$A$97,0),   MATCH(W$1,役男大表!$A$3:$BF$3,0)  )=0,"",  IF(  INDEX(役男大表!$A$1:$BF$95,MATCH($A27,役男大表!$A$1:$A$97,0),   MATCH(W$1,役男大表!$A$3:$BF$3,0)  )="榮","x",  IF(  INDEX(役男大表!$A$1:$BF$95,MATCH($A27,役男大表!$A$1:$A$97,0),   MATCH(W$1,役男大表!$A$3:$BF$3,0)  )="榮-22",  "x榮18-22",               INDEX(役男大表!$A$1:$BF$95,MATCH($A27,役男大表!$A$1:$A$97,0),   MATCH(W$1,役男大表!$A$3:$BF$3,0)  )                  )  )  )," ",""),"")</f>
        <v/>
      </c>
      <c r="X27" s="278" t="str">
        <f>_xlfn.IFNA(  SUBSTITUTE(     IF(  INDEX(役男大表!$A$1:$BF$95,MATCH($A27,役男大表!$A$1:$A$97,0),   MATCH(X$1,役男大表!$A$3:$BF$3,0)  )=0,"",  IF(  INDEX(役男大表!$A$1:$BF$95,MATCH($A27,役男大表!$A$1:$A$97,0),   MATCH(X$1,役男大表!$A$3:$BF$3,0)  )="榮","x",  IF(  INDEX(役男大表!$A$1:$BF$95,MATCH($A27,役男大表!$A$1:$A$97,0),   MATCH(X$1,役男大表!$A$3:$BF$3,0)  )="榮-22",  "x榮18-22",               INDEX(役男大表!$A$1:$BF$95,MATCH($A27,役男大表!$A$1:$A$97,0),   MATCH(X$1,役男大表!$A$3:$BF$3,0)  )                  )  )  )," ",""),"")</f>
        <v/>
      </c>
      <c r="Y27" s="278" t="str">
        <f>_xlfn.IFNA(  SUBSTITUTE(     IF(  INDEX(役男大表!$A$1:$BF$95,MATCH($A27,役男大表!$A$1:$A$97,0),   MATCH(Y$1,役男大表!$A$3:$BF$3,0)  )=0,"",  IF(  INDEX(役男大表!$A$1:$BF$95,MATCH($A27,役男大表!$A$1:$A$97,0),   MATCH(Y$1,役男大表!$A$3:$BF$3,0)  )="榮","x",  IF(  INDEX(役男大表!$A$1:$BF$95,MATCH($A27,役男大表!$A$1:$A$97,0),   MATCH(Y$1,役男大表!$A$3:$BF$3,0)  )="榮-22",  "x榮18-22",               INDEX(役男大表!$A$1:$BF$95,MATCH($A27,役男大表!$A$1:$A$97,0),   MATCH(Y$1,役男大表!$A$3:$BF$3,0)  )                  )  )  )," ",""),"")</f>
        <v/>
      </c>
      <c r="Z27" s="278" t="str">
        <f>_xlfn.IFNA(  SUBSTITUTE(     IF(  INDEX(役男大表!$A$1:$BF$95,MATCH($A27,役男大表!$A$1:$A$97,0),   MATCH(Z$1,役男大表!$A$3:$BF$3,0)  )=0,"",  IF(  INDEX(役男大表!$A$1:$BF$95,MATCH($A27,役男大表!$A$1:$A$97,0),   MATCH(Z$1,役男大表!$A$3:$BF$3,0)  )="榮","x",  IF(  INDEX(役男大表!$A$1:$BF$95,MATCH($A27,役男大表!$A$1:$A$97,0),   MATCH(Z$1,役男大表!$A$3:$BF$3,0)  )="榮-22",  "x榮18-22",               INDEX(役男大表!$A$1:$BF$95,MATCH($A27,役男大表!$A$1:$A$97,0),   MATCH(Z$1,役男大表!$A$3:$BF$3,0)  )                  )  )  )," ",""),"")</f>
        <v/>
      </c>
      <c r="AA27" s="278" t="str">
        <f>_xlfn.IFNA(  SUBSTITUTE(     IF(  INDEX(役男大表!$A$1:$BF$95,MATCH($A27,役男大表!$A$1:$A$97,0),   MATCH(AA$1,役男大表!$A$3:$BF$3,0)  )=0,"",  IF(  INDEX(役男大表!$A$1:$BF$95,MATCH($A27,役男大表!$A$1:$A$97,0),   MATCH(AA$1,役男大表!$A$3:$BF$3,0)  )="榮","x",  IF(  INDEX(役男大表!$A$1:$BF$95,MATCH($A27,役男大表!$A$1:$A$97,0),   MATCH(AA$1,役男大表!$A$3:$BF$3,0)  )="榮-22",  "x榮18-22",               INDEX(役男大表!$A$1:$BF$95,MATCH($A27,役男大表!$A$1:$A$97,0),   MATCH(AA$1,役男大表!$A$3:$BF$3,0)  )                  )  )  )," ",""),"")</f>
        <v/>
      </c>
      <c r="AB27" s="278" t="str">
        <f>_xlfn.IFNA(  SUBSTITUTE(     IF(  INDEX(役男大表!$A$1:$BF$95,MATCH($A27,役男大表!$A$1:$A$97,0),   MATCH(AB$1,役男大表!$A$3:$BF$3,0)  )=0,"",  IF(  INDEX(役男大表!$A$1:$BF$95,MATCH($A27,役男大表!$A$1:$A$97,0),   MATCH(AB$1,役男大表!$A$3:$BF$3,0)  )="榮","x",  IF(  INDEX(役男大表!$A$1:$BF$95,MATCH($A27,役男大表!$A$1:$A$97,0),   MATCH(AB$1,役男大表!$A$3:$BF$3,0)  )="榮-22",  "x榮18-22",               INDEX(役男大表!$A$1:$BF$95,MATCH($A27,役男大表!$A$1:$A$97,0),   MATCH(AB$1,役男大表!$A$3:$BF$3,0)  )                  )  )  )," ",""),"")</f>
        <v>x</v>
      </c>
      <c r="AC27" s="278" t="str">
        <f>_xlfn.IFNA(  SUBSTITUTE(     IF(  INDEX(役男大表!$A$1:$BF$95,MATCH($A27,役男大表!$A$1:$A$97,0),   MATCH(AC$1,役男大表!$A$3:$BF$3,0)  )=0,"",  IF(  INDEX(役男大表!$A$1:$BF$95,MATCH($A27,役男大表!$A$1:$A$97,0),   MATCH(AC$1,役男大表!$A$3:$BF$3,0)  )="榮","x",  IF(  INDEX(役男大表!$A$1:$BF$95,MATCH($A27,役男大表!$A$1:$A$97,0),   MATCH(AC$1,役男大表!$A$3:$BF$3,0)  )="榮-22",  "x榮18-22",               INDEX(役男大表!$A$1:$BF$95,MATCH($A27,役男大表!$A$1:$A$97,0),   MATCH(AC$1,役男大表!$A$3:$BF$3,0)  )                  )  )  )," ",""),"")</f>
        <v>x</v>
      </c>
      <c r="AD27" s="278" t="str">
        <f>_xlfn.IFNA(  SUBSTITUTE(     IF(  INDEX(役男大表!$A$1:$BF$95,MATCH($A27,役男大表!$A$1:$A$97,0),   MATCH(AD$1,役男大表!$A$3:$BF$3,0)  )=0,"",  IF(  INDEX(役男大表!$A$1:$BF$95,MATCH($A27,役男大表!$A$1:$A$97,0),   MATCH(AD$1,役男大表!$A$3:$BF$3,0)  )="榮","x",  IF(  INDEX(役男大表!$A$1:$BF$95,MATCH($A27,役男大表!$A$1:$A$97,0),   MATCH(AD$1,役男大表!$A$3:$BF$3,0)  )="榮-22",  "x榮18-22",               INDEX(役男大表!$A$1:$BF$95,MATCH($A27,役男大表!$A$1:$A$97,0),   MATCH(AD$1,役男大表!$A$3:$BF$3,0)  )                  )  )  )," ",""),"")</f>
        <v>x</v>
      </c>
      <c r="AE27" s="278" t="str">
        <f>_xlfn.IFNA(  SUBSTITUTE(     IF(  INDEX(役男大表!$A$1:$BF$95,MATCH($A27,役男大表!$A$1:$A$97,0),   MATCH(AE$1,役男大表!$A$3:$BF$3,0)  )=0,"",  IF(  INDEX(役男大表!$A$1:$BF$95,MATCH($A27,役男大表!$A$1:$A$97,0),   MATCH(AE$1,役男大表!$A$3:$BF$3,0)  )="榮","x",  IF(  INDEX(役男大表!$A$1:$BF$95,MATCH($A27,役男大表!$A$1:$A$97,0),   MATCH(AE$1,役男大表!$A$3:$BF$3,0)  )="榮-22",  "x榮18-22",               INDEX(役男大表!$A$1:$BF$95,MATCH($A27,役男大表!$A$1:$A$97,0),   MATCH(AE$1,役男大表!$A$3:$BF$3,0)  )                  )  )  )," ",""),"")</f>
        <v>x</v>
      </c>
      <c r="AF27" s="278" t="str">
        <f>_xlfn.IFNA(  SUBSTITUTE(     IF(  INDEX(役男大表!$A$1:$BF$95,MATCH($A27,役男大表!$A$1:$A$97,0),   MATCH(AF$1,役男大表!$A$3:$BF$3,0)  )=0,"",  IF(  INDEX(役男大表!$A$1:$BF$95,MATCH($A27,役男大表!$A$1:$A$97,0),   MATCH(AF$1,役男大表!$A$3:$BF$3,0)  )="榮","x",  IF(  INDEX(役男大表!$A$1:$BF$95,MATCH($A27,役男大表!$A$1:$A$97,0),   MATCH(AF$1,役男大表!$A$3:$BF$3,0)  )="榮-22",  "x榮18-22",               INDEX(役男大表!$A$1:$BF$95,MATCH($A27,役男大表!$A$1:$A$97,0),   MATCH(AF$1,役男大表!$A$3:$BF$3,0)  )                  )  )  )," ",""),"")</f>
        <v/>
      </c>
      <c r="AG27" s="278" t="str">
        <f>_xlfn.IFNA(  SUBSTITUTE(     IF(  INDEX(役男大表!$A$1:$BF$95,MATCH($A27,役男大表!$A$1:$A$97,0),   MATCH(AG$1,役男大表!$A$3:$BF$3,0)  )=0,"",  IF(  INDEX(役男大表!$A$1:$BF$95,MATCH($A27,役男大表!$A$1:$A$97,0),   MATCH(AG$1,役男大表!$A$3:$BF$3,0)  )="榮","x",  IF(  INDEX(役男大表!$A$1:$BF$95,MATCH($A27,役男大表!$A$1:$A$97,0),   MATCH(AG$1,役男大表!$A$3:$BF$3,0)  )="榮-22",  "x榮18-22",               INDEX(役男大表!$A$1:$BF$95,MATCH($A27,役男大表!$A$1:$A$97,0),   MATCH(AG$1,役男大表!$A$3:$BF$3,0)  )                  )  )  )," ",""),"")</f>
        <v/>
      </c>
      <c r="AH27" s="278" t="str">
        <f>_xlfn.IFNA(  SUBSTITUTE(     IF(  INDEX(役男大表!$A$1:$BF$95,MATCH($A27,役男大表!$A$1:$A$97,0),   MATCH(AH$1,役男大表!$A$3:$BF$3,0)  )=0,"",  IF(  INDEX(役男大表!$A$1:$BF$95,MATCH($A27,役男大表!$A$1:$A$97,0),   MATCH(AH$1,役男大表!$A$3:$BF$3,0)  )="榮","x",  IF(  INDEX(役男大表!$A$1:$BF$95,MATCH($A27,役男大表!$A$1:$A$97,0),   MATCH(AH$1,役男大表!$A$3:$BF$3,0)  )="榮-22",  "x榮18-22",               INDEX(役男大表!$A$1:$BF$95,MATCH($A27,役男大表!$A$1:$A$97,0),   MATCH(AH$1,役男大表!$A$3:$BF$3,0)  )                  )  )  )," ",""),"")</f>
        <v/>
      </c>
      <c r="AI27" s="278" t="str">
        <f>_xlfn.IFNA(  SUBSTITUTE(     IF(  INDEX(役男大表!$A$1:$BF$95,MATCH($A27,役男大表!$A$1:$A$97,0),   MATCH(AI$1,役男大表!$A$3:$BF$3,0)  )=0,"",  IF(  INDEX(役男大表!$A$1:$BF$95,MATCH($A27,役男大表!$A$1:$A$97,0),   MATCH(AI$1,役男大表!$A$3:$BF$3,0)  )="榮","x",  IF(  INDEX(役男大表!$A$1:$BF$95,MATCH($A27,役男大表!$A$1:$A$97,0),   MATCH(AI$1,役男大表!$A$3:$BF$3,0)  )="榮-22",  "x榮18-22",               INDEX(役男大表!$A$1:$BF$95,MATCH($A27,役男大表!$A$1:$A$97,0),   MATCH(AI$1,役男大表!$A$3:$BF$3,0)  )                  )  )  )," ",""),"")</f>
        <v/>
      </c>
      <c r="AJ27" s="278" t="str">
        <f>_xlfn.IFNA(  SUBSTITUTE(     IF(  INDEX(役男大表!$A$1:$BF$95,MATCH($A27,役男大表!$A$1:$A$97,0),   MATCH(AJ$1,役男大表!$A$3:$BF$3,0)  )=0,"",  IF(  INDEX(役男大表!$A$1:$BF$95,MATCH($A27,役男大表!$A$1:$A$97,0),   MATCH(AJ$1,役男大表!$A$3:$BF$3,0)  )="榮","x",  IF(  INDEX(役男大表!$A$1:$BF$95,MATCH($A27,役男大表!$A$1:$A$97,0),   MATCH(AJ$1,役男大表!$A$3:$BF$3,0)  )="榮-22",  "x榮18-22",               INDEX(役男大表!$A$1:$BF$95,MATCH($A27,役男大表!$A$1:$A$97,0),   MATCH(AJ$1,役男大表!$A$3:$BF$3,0)  )                  )  )  )," ",""),"")</f>
        <v/>
      </c>
      <c r="AM27" s="66">
        <f t="shared" si="1"/>
        <v>26</v>
      </c>
      <c r="AN27" s="66" t="str">
        <f t="shared" si="2"/>
        <v>曾慶鈞</v>
      </c>
      <c r="AO27" s="71" t="str">
        <f>IF(  AND(  INDEX(   $A$42:$AJ$79, MATCH(AM27,$A$42:$A$79,0),MATCH(  日期輸入!$C$3,$A$42:$AL$42,0  )  )="全日勤",  AV27="免"  ),  "全日勤免勤教",  IF(  AND(  INDEX(   $A$42:$AJ$79, MATCH(AM27,$A$42:$A$79,0),MATCH(  日期輸入!$C$3,$A$42:$AL$42,0  )  )="18放",  AV27="免"  ),  "18放早走",  INDEX(   $A$42:$AJ$79, MATCH(AM27,$A$42:$A$79,0),MATCH(  日期輸入!$C$3,$A$42:$AL$42,0  )  )  )  )</f>
        <v>全日勤</v>
      </c>
      <c r="AP27" s="66" t="str">
        <f>_xlfn.IFNA(IF((ROW(AP27)-1)&lt;=暫1!$B$2,IF(VALUE($AM27)=暫1!B$3,"家因",IF(VALUE($AM27)=暫1!C$3,"家因",IF(VALUE($AM27)=暫1!D$3,"家因",IF(VALUE($AM27)=暫1!E$3,"家因",IF(VALUE($AM27)=暫1!F$3,"家因",IF(VALUE($AM27)=暫1!G$3,"家因",IF(VALUE($AM27)=暫1!H$3,"家因",IF(VALUE($AM27)=暫1!I$3,"家因",IF(VALUE($AM27)=暫1!J$3,"家因",IF(VALUE($AM27)=暫1!K$3,"家因",IF(VALUE($AM27)=暫1!L$3,"家因",IF(VALUE($AM27)=暫1!M$3,"家因",IF(VALUE($AM27)=暫1!N$3,"家因",IF(VALUE($AM27)=暫1!O$3,"家因",IF(VALUE($AM27)=暫1!P$3,"家因",IF(VALUE($AM27)=暫1!Q$3,"家因",IF(VALUE($AM27)=暫1!R$3,"家因",IF(VALUE($AM27)=暫1!S$3,"家因",IF(VALUE($AM27)=暫1!T$3,"家因",IF(VALUE($AM27)=暫1!U$3,"家因","")))))))))))))))))))),""),"")</f>
        <v/>
      </c>
      <c r="AQ27" s="66" t="str">
        <f>IF((ROW(AQ27)-1)&lt;=暫1!$B$2,_xlfn.IFNA(IF(INDEX($A$1:$AJ$41,MATCH($AN27,$B$1:$B$101,0),VALUE($AQ$1+3))="成","補",INDEX($A$1:$AJ$41,MATCH($AN27,$B$1:$B$101,0),VALUE($AQ$1+3))),""),"")</f>
        <v/>
      </c>
      <c r="AR27" s="66" t="str">
        <f>IF((ROW(AR27)-1)&lt;=暫1!$B$2,_xlfn.IFNA(IF(INDEX($A$1:$AJ$41,MATCH($AN27,$B$1:$B$101,0),VALUE($AR$1+3))="成","補",INDEX($A$1:$AJ$41,MATCH($AN27,$B$1:$B$101,0),VALUE($AR$1+3))),""),"")</f>
        <v/>
      </c>
      <c r="AS27" s="66" t="str">
        <f>IF((ROW(AS27)-1)&lt;=暫1!$B$2,_xlfn.IFNA(IF(INDEX($A$1:$AJ$41,MATCH($AN27,$B$1:$B$101,0),VALUE($AS$1+3))="成","補",INDEX($A$1:$AJ$41,MATCH($AN27,$B$1:$B$101,0),VALUE($AS$1+3))),""),"")</f>
        <v/>
      </c>
      <c r="AT27" s="66" t="str">
        <f>IF(  OR(  LEN(  INDEX(   $A$1:$AJ$39, MATCH(AM27,$A$1:$A$39,0),MATCH(  日期輸入!$C$3,$A$1:$AP$1,0  )  )  )&gt;LEN(  SUBSTITUTE(  INDEX(   $A$1:$AJ$39, MATCH(AM27,$A$1:$A$39,0),MATCH(  日期輸入!$C$3,$A$1:$AP$1,0  )  ),"榮","")  )  ),   SUBSTITUTE(  SUBSTITUTE(  INDEX(   $A$1:$AJ$39, MATCH(AM27,$A$1:$A$39,0),MATCH(  日期輸入!$C$3,$A$1:$AP$1,0  )  ),"榮",""),"x",""), "")</f>
        <v/>
      </c>
      <c r="AU27" s="66" t="str">
        <f t="shared" si="3"/>
        <v/>
      </c>
      <c r="AV27" s="66" t="str">
        <f>INDEX(   $A$482:$AJ$519, MATCH(AM27,$A$482:$A$519,0),MATCH(  日期輸入!$C$3,$A$482:$AL$482,0  )  )</f>
        <v/>
      </c>
      <c r="AX27" s="66" t="str">
        <f>IFERROR(IF((ROW(AX27)-1)&lt;=暫1!$B$2,SUBSTITUTE(IF($AO27=$AX$1,$AM27,"")," ",""),""),"")</f>
        <v/>
      </c>
      <c r="AY27" s="66" t="str">
        <f>IFERROR(IF((ROW(AY27)-1)&lt;=暫1!$B$2,SUBSTITUTE(IF($AO27=$AY$1,$AM27,"")," ",""),""),"")</f>
        <v/>
      </c>
      <c r="AZ27" s="66" t="str">
        <f>IFERROR(IF((ROW(AZ27)-1)&lt;=暫1!$B$2,SUBSTITUTE(IF($AO27=$AZ$1,$AM27,"")," ",""),""),"")</f>
        <v/>
      </c>
      <c r="BA27" s="66" t="str">
        <f>IFERROR(IF((ROW(BA27)-1)&lt;=暫1!$B$2,SUBSTITUTE(IF($AO27=$BA$1,$AM27,"")," ",""),""),"")</f>
        <v/>
      </c>
      <c r="BB27" s="69" t="str">
        <f>IFERROR(IF((ROW(BB27)-1)&lt;=暫1!$B$2,SUBSTITUTE(IF(OR($AO27=$BB$1,$AO27=$AY$1,$AO27=$AZ$1),$AM27,IF($AO27=$AY$1,$AM27,"")),"",""),""),"")</f>
        <v>26</v>
      </c>
      <c r="BC27" s="69" t="str">
        <f>IF(    AND(LEN(BC26)&gt;=2 ),        "、" &amp;  IF(OR(役男人力!$J$2:$J$84="是"),役男人力!$B28,""),  IF(OR(役男人力!$J$2:$J$84="是"),役男人力!$B28,"")  )</f>
        <v>游瀚翔</v>
      </c>
    </row>
    <row r="28" spans="1:59" ht="25.5" customHeight="1">
      <c r="A28" s="278">
        <v>27</v>
      </c>
      <c r="B28" s="278" t="str">
        <f>_xlfn.IFNA(  INDEX(役男大表!$A$1:$BF$95,MATCH(A28,役男大表!$A$1:$A$97,0),2),"")</f>
        <v>游瀚翔</v>
      </c>
      <c r="C28" s="278" t="str">
        <f>_xlfn.IFNA(  SUBSTITUTE(     IF(  INDEX(役男大表!$A$1:$BF$95,MATCH($A28,役男大表!$A$1:$A$97,0),   MATCH(C$1,役男大表!$A$3:$BF$3,0)  )=0,"",  IF(  INDEX(役男大表!$A$1:$BF$95,MATCH($A28,役男大表!$A$1:$A$97,0),   MATCH(C$1,役男大表!$A$3:$BF$3,0)  )="榮","x",  IF(  INDEX(役男大表!$A$1:$BF$95,MATCH($A28,役男大表!$A$1:$A$97,0),   MATCH(C$1,役男大表!$A$3:$BF$3,0)  )="榮-22",  "x榮18-22",               INDEX(役男大表!$A$1:$BF$95,MATCH($A28,役男大表!$A$1:$A$97,0),   MATCH(C$1,役男大表!$A$3:$BF$3,0)  )                  )  )  )," ",""),"")</f>
        <v/>
      </c>
      <c r="D28" s="278" t="str">
        <f>_xlfn.IFNA(  SUBSTITUTE(     IF(  INDEX(役男大表!$A$1:$BF$95,MATCH($A28,役男大表!$A$1:$A$97,0),   MATCH(D$1,役男大表!$A$3:$BF$3,0)  )=0,"",  IF(  INDEX(役男大表!$A$1:$BF$95,MATCH($A28,役男大表!$A$1:$A$97,0),   MATCH(D$1,役男大表!$A$3:$BF$3,0)  )="榮","x",  IF(  INDEX(役男大表!$A$1:$BF$95,MATCH($A28,役男大表!$A$1:$A$97,0),   MATCH(D$1,役男大表!$A$3:$BF$3,0)  )="榮-22",  "x榮18-22",               INDEX(役男大表!$A$1:$BF$95,MATCH($A28,役男大表!$A$1:$A$97,0),   MATCH(D$1,役男大表!$A$3:$BF$3,0)  )                  )  )  )," ",""),"")</f>
        <v>x</v>
      </c>
      <c r="E28" s="278" t="str">
        <f>_xlfn.IFNA(  SUBSTITUTE(     IF(  INDEX(役男大表!$A$1:$BF$95,MATCH($A28,役男大表!$A$1:$A$97,0),   MATCH(E$1,役男大表!$A$3:$BF$3,0)  )=0,"",  IF(  INDEX(役男大表!$A$1:$BF$95,MATCH($A28,役男大表!$A$1:$A$97,0),   MATCH(E$1,役男大表!$A$3:$BF$3,0)  )="榮","x",  IF(  INDEX(役男大表!$A$1:$BF$95,MATCH($A28,役男大表!$A$1:$A$97,0),   MATCH(E$1,役男大表!$A$3:$BF$3,0)  )="榮-22",  "x榮18-22",               INDEX(役男大表!$A$1:$BF$95,MATCH($A28,役男大表!$A$1:$A$97,0),   MATCH(E$1,役男大表!$A$3:$BF$3,0)  )                  )  )  )," ",""),"")</f>
        <v>x18-22</v>
      </c>
      <c r="F28" s="278" t="str">
        <f>_xlfn.IFNA(  SUBSTITUTE(     IF(  INDEX(役男大表!$A$1:$BF$95,MATCH($A28,役男大表!$A$1:$A$97,0),   MATCH(F$1,役男大表!$A$3:$BF$3,0)  )=0,"",  IF(  INDEX(役男大表!$A$1:$BF$95,MATCH($A28,役男大表!$A$1:$A$97,0),   MATCH(F$1,役男大表!$A$3:$BF$3,0)  )="榮","x",  IF(  INDEX(役男大表!$A$1:$BF$95,MATCH($A28,役男大表!$A$1:$A$97,0),   MATCH(F$1,役男大表!$A$3:$BF$3,0)  )="榮-22",  "x榮18-22",               INDEX(役男大表!$A$1:$BF$95,MATCH($A28,役男大表!$A$1:$A$97,0),   MATCH(F$1,役男大表!$A$3:$BF$3,0)  )                  )  )  )," ",""),"")</f>
        <v/>
      </c>
      <c r="G28" s="278" t="str">
        <f>_xlfn.IFNA(  SUBSTITUTE(     IF(  INDEX(役男大表!$A$1:$BF$95,MATCH($A28,役男大表!$A$1:$A$97,0),   MATCH(G$1,役男大表!$A$3:$BF$3,0)  )=0,"",  IF(  INDEX(役男大表!$A$1:$BF$95,MATCH($A28,役男大表!$A$1:$A$97,0),   MATCH(G$1,役男大表!$A$3:$BF$3,0)  )="榮","x",  IF(  INDEX(役男大表!$A$1:$BF$95,MATCH($A28,役男大表!$A$1:$A$97,0),   MATCH(G$1,役男大表!$A$3:$BF$3,0)  )="榮-22",  "x榮18-22",               INDEX(役男大表!$A$1:$BF$95,MATCH($A28,役男大表!$A$1:$A$97,0),   MATCH(G$1,役男大表!$A$3:$BF$3,0)  )                  )  )  )," ",""),"")</f>
        <v/>
      </c>
      <c r="H28" s="278" t="str">
        <f>_xlfn.IFNA(  SUBSTITUTE(     IF(  INDEX(役男大表!$A$1:$BF$95,MATCH($A28,役男大表!$A$1:$A$97,0),   MATCH(H$1,役男大表!$A$3:$BF$3,0)  )=0,"",  IF(  INDEX(役男大表!$A$1:$BF$95,MATCH($A28,役男大表!$A$1:$A$97,0),   MATCH(H$1,役男大表!$A$3:$BF$3,0)  )="榮","x",  IF(  INDEX(役男大表!$A$1:$BF$95,MATCH($A28,役男大表!$A$1:$A$97,0),   MATCH(H$1,役男大表!$A$3:$BF$3,0)  )="榮-22",  "x榮18-22",               INDEX(役男大表!$A$1:$BF$95,MATCH($A28,役男大表!$A$1:$A$97,0),   MATCH(H$1,役男大表!$A$3:$BF$3,0)  )                  )  )  )," ",""),"")</f>
        <v/>
      </c>
      <c r="I28" s="278" t="str">
        <f>_xlfn.IFNA(  SUBSTITUTE(     IF(  INDEX(役男大表!$A$1:$BF$95,MATCH($A28,役男大表!$A$1:$A$97,0),   MATCH(I$1,役男大表!$A$3:$BF$3,0)  )=0,"",  IF(  INDEX(役男大表!$A$1:$BF$95,MATCH($A28,役男大表!$A$1:$A$97,0),   MATCH(I$1,役男大表!$A$3:$BF$3,0)  )="榮","x",  IF(  INDEX(役男大表!$A$1:$BF$95,MATCH($A28,役男大表!$A$1:$A$97,0),   MATCH(I$1,役男大表!$A$3:$BF$3,0)  )="榮-22",  "x榮18-22",               INDEX(役男大表!$A$1:$BF$95,MATCH($A28,役男大表!$A$1:$A$97,0),   MATCH(I$1,役男大表!$A$3:$BF$3,0)  )                  )  )  )," ",""),"")</f>
        <v/>
      </c>
      <c r="J28" s="278" t="str">
        <f>_xlfn.IFNA(  SUBSTITUTE(     IF(  INDEX(役男大表!$A$1:$BF$95,MATCH($A28,役男大表!$A$1:$A$97,0),   MATCH(J$1,役男大表!$A$3:$BF$3,0)  )=0,"",  IF(  INDEX(役男大表!$A$1:$BF$95,MATCH($A28,役男大表!$A$1:$A$97,0),   MATCH(J$1,役男大表!$A$3:$BF$3,0)  )="榮","x",  IF(  INDEX(役男大表!$A$1:$BF$95,MATCH($A28,役男大表!$A$1:$A$97,0),   MATCH(J$1,役男大表!$A$3:$BF$3,0)  )="榮-22",  "x榮18-22",               INDEX(役男大表!$A$1:$BF$95,MATCH($A28,役男大表!$A$1:$A$97,0),   MATCH(J$1,役男大表!$A$3:$BF$3,0)  )                  )  )  )," ",""),"")</f>
        <v>x</v>
      </c>
      <c r="K28" s="278" t="str">
        <f>_xlfn.IFNA(  SUBSTITUTE(     IF(  INDEX(役男大表!$A$1:$BF$95,MATCH($A28,役男大表!$A$1:$A$97,0),   MATCH(K$1,役男大表!$A$3:$BF$3,0)  )=0,"",  IF(  INDEX(役男大表!$A$1:$BF$95,MATCH($A28,役男大表!$A$1:$A$97,0),   MATCH(K$1,役男大表!$A$3:$BF$3,0)  )="榮","x",  IF(  INDEX(役男大表!$A$1:$BF$95,MATCH($A28,役男大表!$A$1:$A$97,0),   MATCH(K$1,役男大表!$A$3:$BF$3,0)  )="榮-22",  "x榮18-22",               INDEX(役男大表!$A$1:$BF$95,MATCH($A28,役男大表!$A$1:$A$97,0),   MATCH(K$1,役男大表!$A$3:$BF$3,0)  )                  )  )  )," ",""),"")</f>
        <v>x</v>
      </c>
      <c r="L28" s="278" t="str">
        <f>_xlfn.IFNA(  SUBSTITUTE(     IF(  INDEX(役男大表!$A$1:$BF$95,MATCH($A28,役男大表!$A$1:$A$97,0),   MATCH(L$1,役男大表!$A$3:$BF$3,0)  )=0,"",  IF(  INDEX(役男大表!$A$1:$BF$95,MATCH($A28,役男大表!$A$1:$A$97,0),   MATCH(L$1,役男大表!$A$3:$BF$3,0)  )="榮","x",  IF(  INDEX(役男大表!$A$1:$BF$95,MATCH($A28,役男大表!$A$1:$A$97,0),   MATCH(L$1,役男大表!$A$3:$BF$3,0)  )="榮-22",  "x榮18-22",               INDEX(役男大表!$A$1:$BF$95,MATCH($A28,役男大表!$A$1:$A$97,0),   MATCH(L$1,役男大表!$A$3:$BF$3,0)  )                  )  )  )," ",""),"")</f>
        <v>x榮18-22</v>
      </c>
      <c r="M28" s="278" t="str">
        <f>_xlfn.IFNA(  SUBSTITUTE(     IF(  INDEX(役男大表!$A$1:$BF$95,MATCH($A28,役男大表!$A$1:$A$97,0),   MATCH(M$1,役男大表!$A$3:$BF$3,0)  )=0,"",  IF(  INDEX(役男大表!$A$1:$BF$95,MATCH($A28,役男大表!$A$1:$A$97,0),   MATCH(M$1,役男大表!$A$3:$BF$3,0)  )="榮","x",  IF(  INDEX(役男大表!$A$1:$BF$95,MATCH($A28,役男大表!$A$1:$A$97,0),   MATCH(M$1,役男大表!$A$3:$BF$3,0)  )="榮-22",  "x榮18-22",               INDEX(役男大表!$A$1:$BF$95,MATCH($A28,役男大表!$A$1:$A$97,0),   MATCH(M$1,役男大表!$A$3:$BF$3,0)  )                  )  )  )," ",""),"")</f>
        <v>病17-21</v>
      </c>
      <c r="N28" s="278" t="str">
        <f>_xlfn.IFNA(  SUBSTITUTE(     IF(  INDEX(役男大表!$A$1:$BF$95,MATCH($A28,役男大表!$A$1:$A$97,0),   MATCH(N$1,役男大表!$A$3:$BF$3,0)  )=0,"",  IF(  INDEX(役男大表!$A$1:$BF$95,MATCH($A28,役男大表!$A$1:$A$97,0),   MATCH(N$1,役男大表!$A$3:$BF$3,0)  )="榮","x",  IF(  INDEX(役男大表!$A$1:$BF$95,MATCH($A28,役男大表!$A$1:$A$97,0),   MATCH(N$1,役男大表!$A$3:$BF$3,0)  )="榮-22",  "x榮18-22",               INDEX(役男大表!$A$1:$BF$95,MATCH($A28,役男大表!$A$1:$A$97,0),   MATCH(N$1,役男大表!$A$3:$BF$3,0)  )                  )  )  )," ",""),"")</f>
        <v>榮18-22</v>
      </c>
      <c r="O28" s="278" t="str">
        <f>_xlfn.IFNA(  SUBSTITUTE(     IF(  INDEX(役男大表!$A$1:$BF$95,MATCH($A28,役男大表!$A$1:$A$97,0),   MATCH(O$1,役男大表!$A$3:$BF$3,0)  )=0,"",  IF(  INDEX(役男大表!$A$1:$BF$95,MATCH($A28,役男大表!$A$1:$A$97,0),   MATCH(O$1,役男大表!$A$3:$BF$3,0)  )="榮","x",  IF(  INDEX(役男大表!$A$1:$BF$95,MATCH($A28,役男大表!$A$1:$A$97,0),   MATCH(O$1,役男大表!$A$3:$BF$3,0)  )="榮-22",  "x榮18-22",               INDEX(役男大表!$A$1:$BF$95,MATCH($A28,役男大表!$A$1:$A$97,0),   MATCH(O$1,役男大表!$A$3:$BF$3,0)  )                  )  )  )," ",""),"")</f>
        <v/>
      </c>
      <c r="P28" s="278" t="str">
        <f>_xlfn.IFNA(  SUBSTITUTE(     IF(  INDEX(役男大表!$A$1:$BF$95,MATCH($A28,役男大表!$A$1:$A$97,0),   MATCH(P$1,役男大表!$A$3:$BF$3,0)  )=0,"",  IF(  INDEX(役男大表!$A$1:$BF$95,MATCH($A28,役男大表!$A$1:$A$97,0),   MATCH(P$1,役男大表!$A$3:$BF$3,0)  )="榮","x",  IF(  INDEX(役男大表!$A$1:$BF$95,MATCH($A28,役男大表!$A$1:$A$97,0),   MATCH(P$1,役男大表!$A$3:$BF$3,0)  )="榮-22",  "x榮18-22",               INDEX(役男大表!$A$1:$BF$95,MATCH($A28,役男大表!$A$1:$A$97,0),   MATCH(P$1,役男大表!$A$3:$BF$3,0)  )                  )  )  )," ",""),"")</f>
        <v/>
      </c>
      <c r="Q28" s="278" t="str">
        <f>_xlfn.IFNA(  SUBSTITUTE(     IF(  INDEX(役男大表!$A$1:$BF$95,MATCH($A28,役男大表!$A$1:$A$97,0),   MATCH(Q$1,役男大表!$A$3:$BF$3,0)  )=0,"",  IF(  INDEX(役男大表!$A$1:$BF$95,MATCH($A28,役男大表!$A$1:$A$97,0),   MATCH(Q$1,役男大表!$A$3:$BF$3,0)  )="榮","x",  IF(  INDEX(役男大表!$A$1:$BF$95,MATCH($A28,役男大表!$A$1:$A$97,0),   MATCH(Q$1,役男大表!$A$3:$BF$3,0)  )="榮-22",  "x榮18-22",               INDEX(役男大表!$A$1:$BF$95,MATCH($A28,役男大表!$A$1:$A$97,0),   MATCH(Q$1,役男大表!$A$3:$BF$3,0)  )                  )  )  )," ",""),"")</f>
        <v/>
      </c>
      <c r="R28" s="278" t="str">
        <f>_xlfn.IFNA(  SUBSTITUTE(     IF(  INDEX(役男大表!$A$1:$BF$95,MATCH($A28,役男大表!$A$1:$A$97,0),   MATCH(R$1,役男大表!$A$3:$BF$3,0)  )=0,"",  IF(  INDEX(役男大表!$A$1:$BF$95,MATCH($A28,役男大表!$A$1:$A$97,0),   MATCH(R$1,役男大表!$A$3:$BF$3,0)  )="榮","x",  IF(  INDEX(役男大表!$A$1:$BF$95,MATCH($A28,役男大表!$A$1:$A$97,0),   MATCH(R$1,役男大表!$A$3:$BF$3,0)  )="榮-22",  "x榮18-22",               INDEX(役男大表!$A$1:$BF$95,MATCH($A28,役男大表!$A$1:$A$97,0),   MATCH(R$1,役男大表!$A$3:$BF$3,0)  )                  )  )  )," ",""),"")</f>
        <v>x</v>
      </c>
      <c r="S28" s="278" t="str">
        <f>_xlfn.IFNA(  SUBSTITUTE(     IF(  INDEX(役男大表!$A$1:$BF$95,MATCH($A28,役男大表!$A$1:$A$97,0),   MATCH(S$1,役男大表!$A$3:$BF$3,0)  )=0,"",  IF(  INDEX(役男大表!$A$1:$BF$95,MATCH($A28,役男大表!$A$1:$A$97,0),   MATCH(S$1,役男大表!$A$3:$BF$3,0)  )="榮","x",  IF(  INDEX(役男大表!$A$1:$BF$95,MATCH($A28,役男大表!$A$1:$A$97,0),   MATCH(S$1,役男大表!$A$3:$BF$3,0)  )="榮-22",  "x榮18-22",               INDEX(役男大表!$A$1:$BF$95,MATCH($A28,役男大表!$A$1:$A$97,0),   MATCH(S$1,役男大表!$A$3:$BF$3,0)  )                  )  )  )," ",""),"")</f>
        <v>x榮18-22</v>
      </c>
      <c r="T28" s="278" t="str">
        <f>_xlfn.IFNA(  SUBSTITUTE(     IF(  INDEX(役男大表!$A$1:$BF$95,MATCH($A28,役男大表!$A$1:$A$97,0),   MATCH(T$1,役男大表!$A$3:$BF$3,0)  )=0,"",  IF(  INDEX(役男大表!$A$1:$BF$95,MATCH($A28,役男大表!$A$1:$A$97,0),   MATCH(T$1,役男大表!$A$3:$BF$3,0)  )="榮","x",  IF(  INDEX(役男大表!$A$1:$BF$95,MATCH($A28,役男大表!$A$1:$A$97,0),   MATCH(T$1,役男大表!$A$3:$BF$3,0)  )="榮-22",  "x榮18-22",               INDEX(役男大表!$A$1:$BF$95,MATCH($A28,役男大表!$A$1:$A$97,0),   MATCH(T$1,役男大表!$A$3:$BF$3,0)  )                  )  )  )," ",""),"")</f>
        <v>病17-21</v>
      </c>
      <c r="U28" s="278" t="str">
        <f>_xlfn.IFNA(  SUBSTITUTE(     IF(  INDEX(役男大表!$A$1:$BF$95,MATCH($A28,役男大表!$A$1:$A$97,0),   MATCH(U$1,役男大表!$A$3:$BF$3,0)  )=0,"",  IF(  INDEX(役男大表!$A$1:$BF$95,MATCH($A28,役男大表!$A$1:$A$97,0),   MATCH(U$1,役男大表!$A$3:$BF$3,0)  )="榮","x",  IF(  INDEX(役男大表!$A$1:$BF$95,MATCH($A28,役男大表!$A$1:$A$97,0),   MATCH(U$1,役男大表!$A$3:$BF$3,0)  )="榮-22",  "x榮18-22",               INDEX(役男大表!$A$1:$BF$95,MATCH($A28,役男大表!$A$1:$A$97,0),   MATCH(U$1,役男大表!$A$3:$BF$3,0)  )                  )  )  )," ",""),"")</f>
        <v>病17-21</v>
      </c>
      <c r="V28" s="278" t="str">
        <f>_xlfn.IFNA(  SUBSTITUTE(     IF(  INDEX(役男大表!$A$1:$BF$95,MATCH($A28,役男大表!$A$1:$A$97,0),   MATCH(V$1,役男大表!$A$3:$BF$3,0)  )=0,"",  IF(  INDEX(役男大表!$A$1:$BF$95,MATCH($A28,役男大表!$A$1:$A$97,0),   MATCH(V$1,役男大表!$A$3:$BF$3,0)  )="榮","x",  IF(  INDEX(役男大表!$A$1:$BF$95,MATCH($A28,役男大表!$A$1:$A$97,0),   MATCH(V$1,役男大表!$A$3:$BF$3,0)  )="榮-22",  "x榮18-22",               INDEX(役男大表!$A$1:$BF$95,MATCH($A28,役男大表!$A$1:$A$97,0),   MATCH(V$1,役男大表!$A$3:$BF$3,0)  )                  )  )  )," ",""),"")</f>
        <v>榮18-22</v>
      </c>
      <c r="W28" s="278" t="str">
        <f>_xlfn.IFNA(  SUBSTITUTE(     IF(  INDEX(役男大表!$A$1:$BF$95,MATCH($A28,役男大表!$A$1:$A$97,0),   MATCH(W$1,役男大表!$A$3:$BF$3,0)  )=0,"",  IF(  INDEX(役男大表!$A$1:$BF$95,MATCH($A28,役男大表!$A$1:$A$97,0),   MATCH(W$1,役男大表!$A$3:$BF$3,0)  )="榮","x",  IF(  INDEX(役男大表!$A$1:$BF$95,MATCH($A28,役男大表!$A$1:$A$97,0),   MATCH(W$1,役男大表!$A$3:$BF$3,0)  )="榮-22",  "x榮18-22",               INDEX(役男大表!$A$1:$BF$95,MATCH($A28,役男大表!$A$1:$A$97,0),   MATCH(W$1,役男大表!$A$3:$BF$3,0)  )                  )  )  )," ",""),"")</f>
        <v>病17-21</v>
      </c>
      <c r="X28" s="278" t="str">
        <f>_xlfn.IFNA(  SUBSTITUTE(     IF(  INDEX(役男大表!$A$1:$BF$95,MATCH($A28,役男大表!$A$1:$A$97,0),   MATCH(X$1,役男大表!$A$3:$BF$3,0)  )=0,"",  IF(  INDEX(役男大表!$A$1:$BF$95,MATCH($A28,役男大表!$A$1:$A$97,0),   MATCH(X$1,役男大表!$A$3:$BF$3,0)  )="榮","x",  IF(  INDEX(役男大表!$A$1:$BF$95,MATCH($A28,役男大表!$A$1:$A$97,0),   MATCH(X$1,役男大表!$A$3:$BF$3,0)  )="榮-22",  "x榮18-22",               INDEX(役男大表!$A$1:$BF$95,MATCH($A28,役男大表!$A$1:$A$97,0),   MATCH(X$1,役男大表!$A$3:$BF$3,0)  )                  )  )  )," ",""),"")</f>
        <v/>
      </c>
      <c r="Y28" s="278" t="str">
        <f>_xlfn.IFNA(  SUBSTITUTE(     IF(  INDEX(役男大表!$A$1:$BF$95,MATCH($A28,役男大表!$A$1:$A$97,0),   MATCH(Y$1,役男大表!$A$3:$BF$3,0)  )=0,"",  IF(  INDEX(役男大表!$A$1:$BF$95,MATCH($A28,役男大表!$A$1:$A$97,0),   MATCH(Y$1,役男大表!$A$3:$BF$3,0)  )="榮","x",  IF(  INDEX(役男大表!$A$1:$BF$95,MATCH($A28,役男大表!$A$1:$A$97,0),   MATCH(Y$1,役男大表!$A$3:$BF$3,0)  )="榮-22",  "x榮18-22",               INDEX(役男大表!$A$1:$BF$95,MATCH($A28,役男大表!$A$1:$A$97,0),   MATCH(Y$1,役男大表!$A$3:$BF$3,0)  )                  )  )  )," ",""),"")</f>
        <v>x</v>
      </c>
      <c r="Z28" s="278" t="str">
        <f>_xlfn.IFNA(  SUBSTITUTE(     IF(  INDEX(役男大表!$A$1:$BF$95,MATCH($A28,役男大表!$A$1:$A$97,0),   MATCH(Z$1,役男大表!$A$3:$BF$3,0)  )=0,"",  IF(  INDEX(役男大表!$A$1:$BF$95,MATCH($A28,役男大表!$A$1:$A$97,0),   MATCH(Z$1,役男大表!$A$3:$BF$3,0)  )="榮","x",  IF(  INDEX(役男大表!$A$1:$BF$95,MATCH($A28,役男大表!$A$1:$A$97,0),   MATCH(Z$1,役男大表!$A$3:$BF$3,0)  )="榮-22",  "x榮18-22",               INDEX(役男大表!$A$1:$BF$95,MATCH($A28,役男大表!$A$1:$A$97,0),   MATCH(Z$1,役男大表!$A$3:$BF$3,0)  )                  )  )  )," ",""),"")</f>
        <v>x</v>
      </c>
      <c r="AA28" s="278" t="str">
        <f>_xlfn.IFNA(  SUBSTITUTE(     IF(  INDEX(役男大表!$A$1:$BF$95,MATCH($A28,役男大表!$A$1:$A$97,0),   MATCH(AA$1,役男大表!$A$3:$BF$3,0)  )=0,"",  IF(  INDEX(役男大表!$A$1:$BF$95,MATCH($A28,役男大表!$A$1:$A$97,0),   MATCH(AA$1,役男大表!$A$3:$BF$3,0)  )="榮","x",  IF(  INDEX(役男大表!$A$1:$BF$95,MATCH($A28,役男大表!$A$1:$A$97,0),   MATCH(AA$1,役男大表!$A$3:$BF$3,0)  )="榮-22",  "x榮18-22",               INDEX(役男大表!$A$1:$BF$95,MATCH($A28,役男大表!$A$1:$A$97,0),   MATCH(AA$1,役男大表!$A$3:$BF$3,0)  )                  )  )  )," ",""),"")</f>
        <v/>
      </c>
      <c r="AB28" s="278" t="str">
        <f>_xlfn.IFNA(  SUBSTITUTE(     IF(  INDEX(役男大表!$A$1:$BF$95,MATCH($A28,役男大表!$A$1:$A$97,0),   MATCH(AB$1,役男大表!$A$3:$BF$3,0)  )=0,"",  IF(  INDEX(役男大表!$A$1:$BF$95,MATCH($A28,役男大表!$A$1:$A$97,0),   MATCH(AB$1,役男大表!$A$3:$BF$3,0)  )="榮","x",  IF(  INDEX(役男大表!$A$1:$BF$95,MATCH($A28,役男大表!$A$1:$A$97,0),   MATCH(AB$1,役男大表!$A$3:$BF$3,0)  )="榮-22",  "x榮18-22",               INDEX(役男大表!$A$1:$BF$95,MATCH($A28,役男大表!$A$1:$A$97,0),   MATCH(AB$1,役男大表!$A$3:$BF$3,0)  )                  )  )  )," ",""),"")</f>
        <v/>
      </c>
      <c r="AC28" s="278" t="str">
        <f>_xlfn.IFNA(  SUBSTITUTE(     IF(  INDEX(役男大表!$A$1:$BF$95,MATCH($A28,役男大表!$A$1:$A$97,0),   MATCH(AC$1,役男大表!$A$3:$BF$3,0)  )=0,"",  IF(  INDEX(役男大表!$A$1:$BF$95,MATCH($A28,役男大表!$A$1:$A$97,0),   MATCH(AC$1,役男大表!$A$3:$BF$3,0)  )="榮","x",  IF(  INDEX(役男大表!$A$1:$BF$95,MATCH($A28,役男大表!$A$1:$A$97,0),   MATCH(AC$1,役男大表!$A$3:$BF$3,0)  )="榮-22",  "x榮18-22",               INDEX(役男大表!$A$1:$BF$95,MATCH($A28,役男大表!$A$1:$A$97,0),   MATCH(AC$1,役男大表!$A$3:$BF$3,0)  )                  )  )  )," ",""),"")</f>
        <v/>
      </c>
      <c r="AD28" s="278" t="str">
        <f>_xlfn.IFNA(  SUBSTITUTE(     IF(  INDEX(役男大表!$A$1:$BF$95,MATCH($A28,役男大表!$A$1:$A$97,0),   MATCH(AD$1,役男大表!$A$3:$BF$3,0)  )=0,"",  IF(  INDEX(役男大表!$A$1:$BF$95,MATCH($A28,役男大表!$A$1:$A$97,0),   MATCH(AD$1,役男大表!$A$3:$BF$3,0)  )="榮","x",  IF(  INDEX(役男大表!$A$1:$BF$95,MATCH($A28,役男大表!$A$1:$A$97,0),   MATCH(AD$1,役男大表!$A$3:$BF$3,0)  )="榮-22",  "x榮18-22",               INDEX(役男大表!$A$1:$BF$95,MATCH($A28,役男大表!$A$1:$A$97,0),   MATCH(AD$1,役男大表!$A$3:$BF$3,0)  )                  )  )  )," ",""),"")</f>
        <v/>
      </c>
      <c r="AE28" s="278" t="str">
        <f>_xlfn.IFNA(  SUBSTITUTE(     IF(  INDEX(役男大表!$A$1:$BF$95,MATCH($A28,役男大表!$A$1:$A$97,0),   MATCH(AE$1,役男大表!$A$3:$BF$3,0)  )=0,"",  IF(  INDEX(役男大表!$A$1:$BF$95,MATCH($A28,役男大表!$A$1:$A$97,0),   MATCH(AE$1,役男大表!$A$3:$BF$3,0)  )="榮","x",  IF(  INDEX(役男大表!$A$1:$BF$95,MATCH($A28,役男大表!$A$1:$A$97,0),   MATCH(AE$1,役男大表!$A$3:$BF$3,0)  )="榮-22",  "x榮18-22",               INDEX(役男大表!$A$1:$BF$95,MATCH($A28,役男大表!$A$1:$A$97,0),   MATCH(AE$1,役男大表!$A$3:$BF$3,0)  )                  )  )  )," ",""),"")</f>
        <v/>
      </c>
      <c r="AF28" s="278" t="str">
        <f>_xlfn.IFNA(  SUBSTITUTE(     IF(  INDEX(役男大表!$A$1:$BF$95,MATCH($A28,役男大表!$A$1:$A$97,0),   MATCH(AF$1,役男大表!$A$3:$BF$3,0)  )=0,"",  IF(  INDEX(役男大表!$A$1:$BF$95,MATCH($A28,役男大表!$A$1:$A$97,0),   MATCH(AF$1,役男大表!$A$3:$BF$3,0)  )="榮","x",  IF(  INDEX(役男大表!$A$1:$BF$95,MATCH($A28,役男大表!$A$1:$A$97,0),   MATCH(AF$1,役男大表!$A$3:$BF$3,0)  )="榮-22",  "x榮18-22",               INDEX(役男大表!$A$1:$BF$95,MATCH($A28,役男大表!$A$1:$A$97,0),   MATCH(AF$1,役男大表!$A$3:$BF$3,0)  )                  )  )  )," ",""),"")</f>
        <v>x</v>
      </c>
      <c r="AG28" s="278" t="str">
        <f>_xlfn.IFNA(  SUBSTITUTE(     IF(  INDEX(役男大表!$A$1:$BF$95,MATCH($A28,役男大表!$A$1:$A$97,0),   MATCH(AG$1,役男大表!$A$3:$BF$3,0)  )=0,"",  IF(  INDEX(役男大表!$A$1:$BF$95,MATCH($A28,役男大表!$A$1:$A$97,0),   MATCH(AG$1,役男大表!$A$3:$BF$3,0)  )="榮","x",  IF(  INDEX(役男大表!$A$1:$BF$95,MATCH($A28,役男大表!$A$1:$A$97,0),   MATCH(AG$1,役男大表!$A$3:$BF$3,0)  )="榮-22",  "x榮18-22",               INDEX(役男大表!$A$1:$BF$95,MATCH($A28,役男大表!$A$1:$A$97,0),   MATCH(AG$1,役男大表!$A$3:$BF$3,0)  )                  )  )  )," ",""),"")</f>
        <v>x榮18-22</v>
      </c>
      <c r="AH28" s="278" t="str">
        <f>_xlfn.IFNA(  SUBSTITUTE(     IF(  INDEX(役男大表!$A$1:$BF$95,MATCH($A28,役男大表!$A$1:$A$97,0),   MATCH(AH$1,役男大表!$A$3:$BF$3,0)  )=0,"",  IF(  INDEX(役男大表!$A$1:$BF$95,MATCH($A28,役男大表!$A$1:$A$97,0),   MATCH(AH$1,役男大表!$A$3:$BF$3,0)  )="榮","x",  IF(  INDEX(役男大表!$A$1:$BF$95,MATCH($A28,役男大表!$A$1:$A$97,0),   MATCH(AH$1,役男大表!$A$3:$BF$3,0)  )="榮-22",  "x榮18-22",               INDEX(役男大表!$A$1:$BF$95,MATCH($A28,役男大表!$A$1:$A$97,0),   MATCH(AH$1,役男大表!$A$3:$BF$3,0)  )                  )  )  )," ",""),"")</f>
        <v/>
      </c>
      <c r="AI28" s="278" t="str">
        <f>_xlfn.IFNA(  SUBSTITUTE(     IF(  INDEX(役男大表!$A$1:$BF$95,MATCH($A28,役男大表!$A$1:$A$97,0),   MATCH(AI$1,役男大表!$A$3:$BF$3,0)  )=0,"",  IF(  INDEX(役男大表!$A$1:$BF$95,MATCH($A28,役男大表!$A$1:$A$97,0),   MATCH(AI$1,役男大表!$A$3:$BF$3,0)  )="榮","x",  IF(  INDEX(役男大表!$A$1:$BF$95,MATCH($A28,役男大表!$A$1:$A$97,0),   MATCH(AI$1,役男大表!$A$3:$BF$3,0)  )="榮-22",  "x榮18-22",               INDEX(役男大表!$A$1:$BF$95,MATCH($A28,役男大表!$A$1:$A$97,0),   MATCH(AI$1,役男大表!$A$3:$BF$3,0)  )                  )  )  )," ",""),"")</f>
        <v/>
      </c>
      <c r="AJ28" s="278" t="str">
        <f>_xlfn.IFNA(  SUBSTITUTE(     IF(  INDEX(役男大表!$A$1:$BF$95,MATCH($A28,役男大表!$A$1:$A$97,0),   MATCH(AJ$1,役男大表!$A$3:$BF$3,0)  )=0,"",  IF(  INDEX(役男大表!$A$1:$BF$95,MATCH($A28,役男大表!$A$1:$A$97,0),   MATCH(AJ$1,役男大表!$A$3:$BF$3,0)  )="榮","x",  IF(  INDEX(役男大表!$A$1:$BF$95,MATCH($A28,役男大表!$A$1:$A$97,0),   MATCH(AJ$1,役男大表!$A$3:$BF$3,0)  )="榮-22",  "x榮18-22",               INDEX(役男大表!$A$1:$BF$95,MATCH($A28,役男大表!$A$1:$A$97,0),   MATCH(AJ$1,役男大表!$A$3:$BF$3,0)  )                  )  )  )," ",""),"")</f>
        <v/>
      </c>
      <c r="AM28" s="66">
        <f t="shared" si="1"/>
        <v>27</v>
      </c>
      <c r="AN28" s="66" t="str">
        <f t="shared" si="2"/>
        <v>游瀚翔</v>
      </c>
      <c r="AO28" s="71" t="str">
        <f>IF(  AND(  INDEX(   $A$42:$AJ$79, MATCH(AM28,$A$42:$A$79,0),MATCH(  日期輸入!$C$3,$A$42:$AL$42,0  )  )="全日勤",  AV28="免"  ),  "全日勤免勤教",  IF(  AND(  INDEX(   $A$42:$AJ$79, MATCH(AM28,$A$42:$A$79,0),MATCH(  日期輸入!$C$3,$A$42:$AL$42,0  )  )="18放",  AV28="免"  ),  "18放早走",  INDEX(   $A$42:$AJ$79, MATCH(AM28,$A$42:$A$79,0),MATCH(  日期輸入!$C$3,$A$42:$AL$42,0  )  )  )  )</f>
        <v>18收</v>
      </c>
      <c r="AP28" s="66" t="str">
        <f>_xlfn.IFNA(IF((ROW(AP28)-1)&lt;=暫1!$B$2,IF(VALUE($AM28)=暫1!B$3,"家因",IF(VALUE($AM28)=暫1!C$3,"家因",IF(VALUE($AM28)=暫1!D$3,"家因",IF(VALUE($AM28)=暫1!E$3,"家因",IF(VALUE($AM28)=暫1!F$3,"家因",IF(VALUE($AM28)=暫1!G$3,"家因",IF(VALUE($AM28)=暫1!H$3,"家因",IF(VALUE($AM28)=暫1!I$3,"家因",IF(VALUE($AM28)=暫1!J$3,"家因",IF(VALUE($AM28)=暫1!K$3,"家因",IF(VALUE($AM28)=暫1!L$3,"家因",IF(VALUE($AM28)=暫1!M$3,"家因",IF(VALUE($AM28)=暫1!N$3,"家因",IF(VALUE($AM28)=暫1!O$3,"家因",IF(VALUE($AM28)=暫1!P$3,"家因",IF(VALUE($AM28)=暫1!Q$3,"家因",IF(VALUE($AM28)=暫1!R$3,"家因",IF(VALUE($AM28)=暫1!S$3,"家因",IF(VALUE($AM28)=暫1!T$3,"家因",IF(VALUE($AM28)=暫1!U$3,"家因","")))))))))))))))))))),""),"")</f>
        <v/>
      </c>
      <c r="AQ28" s="66" t="str">
        <f>IF((ROW(AQ28)-1)&lt;=暫1!$B$2,_xlfn.IFNA(IF(INDEX($A$1:$AJ$41,MATCH($AN28,$B$1:$B$101,0),VALUE($AQ$1+3))="成","補",INDEX($A$1:$AJ$41,MATCH($AN28,$B$1:$B$101,0),VALUE($AQ$1+3))),""),"")</f>
        <v>x榮18-22</v>
      </c>
      <c r="AR28" s="66" t="str">
        <f>IF((ROW(AR28)-1)&lt;=暫1!$B$2,_xlfn.IFNA(IF(INDEX($A$1:$AJ$41,MATCH($AN28,$B$1:$B$101,0),VALUE($AR$1+3))="成","補",INDEX($A$1:$AJ$41,MATCH($AN28,$B$1:$B$101,0),VALUE($AR$1+3))),""),"")</f>
        <v/>
      </c>
      <c r="AS28" s="66" t="str">
        <f>IF((ROW(AS28)-1)&lt;=暫1!$B$2,_xlfn.IFNA(IF(INDEX($A$1:$AJ$41,MATCH($AN28,$B$1:$B$101,0),VALUE($AS$1+3))="成","補",INDEX($A$1:$AJ$41,MATCH($AN28,$B$1:$B$101,0),VALUE($AS$1+3))),""),"")</f>
        <v/>
      </c>
      <c r="AT28" s="66" t="str">
        <f>IF(  OR(  LEN(  INDEX(   $A$1:$AJ$39, MATCH(AM28,$A$1:$A$39,0),MATCH(  日期輸入!$C$3,$A$1:$AP$1,0  )  )  )&gt;LEN(  SUBSTITUTE(  INDEX(   $A$1:$AJ$39, MATCH(AM28,$A$1:$A$39,0),MATCH(  日期輸入!$C$3,$A$1:$AP$1,0  )  ),"榮","")  )  ),   SUBSTITUTE(  SUBSTITUTE(  INDEX(   $A$1:$AJ$39, MATCH(AM28,$A$1:$A$39,0),MATCH(  日期輸入!$C$3,$A$1:$AP$1,0  )  ),"榮",""),"x",""), "")</f>
        <v>18-22</v>
      </c>
      <c r="AU28" s="66" t="str">
        <f t="shared" si="3"/>
        <v>27(18-22時)</v>
      </c>
      <c r="AV28" s="66" t="str">
        <f>INDEX(   $A$482:$AJ$519, MATCH(AM28,$A$482:$A$519,0),MATCH(  日期輸入!$C$3,$A$482:$AL$482,0  )  )</f>
        <v/>
      </c>
      <c r="AX28" s="66" t="str">
        <f>IFERROR(IF((ROW(AX28)-1)&lt;=暫1!$B$2,SUBSTITUTE(IF($AO28=$AX$1,$AM28,"")," ",""),""),"")</f>
        <v/>
      </c>
      <c r="AY28" s="66" t="str">
        <f>IFERROR(IF((ROW(AY28)-1)&lt;=暫1!$B$2,SUBSTITUTE(IF($AO28=$AY$1,$AM28,"")," ",""),""),"")</f>
        <v/>
      </c>
      <c r="AZ28" s="66" t="str">
        <f>IFERROR(IF((ROW(AZ28)-1)&lt;=暫1!$B$2,SUBSTITUTE(IF($AO28=$AZ$1,$AM28,"")," ",""),""),"")</f>
        <v/>
      </c>
      <c r="BA28" s="66" t="str">
        <f>IFERROR(IF((ROW(BA28)-1)&lt;=暫1!$B$2,SUBSTITUTE(IF($AO28=$BA$1,$AM28,"")," ",""),""),"")</f>
        <v>27</v>
      </c>
      <c r="BB28" s="69" t="str">
        <f>IFERROR(IF((ROW(BB28)-1)&lt;=暫1!$B$2,SUBSTITUTE(IF(OR($AO28=$BB$1,$AO28=$AY$1,$AO28=$AZ$1),$AM28,IF($AO28=$AY$1,$AM28,"")),"",""),""),"")</f>
        <v/>
      </c>
      <c r="BC28" s="69" t="str">
        <f>IF(    AND(LEN(BC27)&gt;=2 ),        "、" &amp;  IF(OR(役男人力!$J$2:$J$84="是"),役男人力!#REF!,""),  IF(OR(役男人力!$J$2:$J$84="是"),役男人力!#REF!,"")  )</f>
        <v>、</v>
      </c>
    </row>
    <row r="29" spans="1:59" ht="25.5" customHeight="1">
      <c r="A29" s="278">
        <v>28</v>
      </c>
      <c r="B29" s="278" t="str">
        <f>_xlfn.IFNA(  INDEX(役男大表!$A$1:$BF$95,MATCH(A29,役男大表!$A$1:$A$97,0),2),"")</f>
        <v>高仲廷</v>
      </c>
      <c r="C29" s="278" t="str">
        <f>_xlfn.IFNA(  SUBSTITUTE(     IF(  INDEX(役男大表!$A$1:$BF$95,MATCH($A29,役男大表!$A$1:$A$97,0),   MATCH(C$1,役男大表!$A$3:$BF$3,0)  )=0,"",  IF(  INDEX(役男大表!$A$1:$BF$95,MATCH($A29,役男大表!$A$1:$A$97,0),   MATCH(C$1,役男大表!$A$3:$BF$3,0)  )="榮","x",  IF(  INDEX(役男大表!$A$1:$BF$95,MATCH($A29,役男大表!$A$1:$A$97,0),   MATCH(C$1,役男大表!$A$3:$BF$3,0)  )="榮-22",  "x榮18-22",               INDEX(役男大表!$A$1:$BF$95,MATCH($A29,役男大表!$A$1:$A$97,0),   MATCH(C$1,役男大表!$A$3:$BF$3,0)  )                  )  )  )," ",""),"")</f>
        <v/>
      </c>
      <c r="D29" s="278" t="str">
        <f>_xlfn.IFNA(  SUBSTITUTE(     IF(  INDEX(役男大表!$A$1:$BF$95,MATCH($A29,役男大表!$A$1:$A$97,0),   MATCH(D$1,役男大表!$A$3:$BF$3,0)  )=0,"",  IF(  INDEX(役男大表!$A$1:$BF$95,MATCH($A29,役男大表!$A$1:$A$97,0),   MATCH(D$1,役男大表!$A$3:$BF$3,0)  )="榮","x",  IF(  INDEX(役男大表!$A$1:$BF$95,MATCH($A29,役男大表!$A$1:$A$97,0),   MATCH(D$1,役男大表!$A$3:$BF$3,0)  )="榮-22",  "x榮18-22",               INDEX(役男大表!$A$1:$BF$95,MATCH($A29,役男大表!$A$1:$A$97,0),   MATCH(D$1,役男大表!$A$3:$BF$3,0)  )                  )  )  )," ",""),"")</f>
        <v/>
      </c>
      <c r="E29" s="278" t="str">
        <f>_xlfn.IFNA(  SUBSTITUTE(     IF(  INDEX(役男大表!$A$1:$BF$95,MATCH($A29,役男大表!$A$1:$A$97,0),   MATCH(E$1,役男大表!$A$3:$BF$3,0)  )=0,"",  IF(  INDEX(役男大表!$A$1:$BF$95,MATCH($A29,役男大表!$A$1:$A$97,0),   MATCH(E$1,役男大表!$A$3:$BF$3,0)  )="榮","x",  IF(  INDEX(役男大表!$A$1:$BF$95,MATCH($A29,役男大表!$A$1:$A$97,0),   MATCH(E$1,役男大表!$A$3:$BF$3,0)  )="榮-22",  "x榮18-22",               INDEX(役男大表!$A$1:$BF$95,MATCH($A29,役男大表!$A$1:$A$97,0),   MATCH(E$1,役男大表!$A$3:$BF$3,0)  )                  )  )  )," ",""),"")</f>
        <v>x</v>
      </c>
      <c r="F29" s="278" t="str">
        <f>_xlfn.IFNA(  SUBSTITUTE(     IF(  INDEX(役男大表!$A$1:$BF$95,MATCH($A29,役男大表!$A$1:$A$97,0),   MATCH(F$1,役男大表!$A$3:$BF$3,0)  )=0,"",  IF(  INDEX(役男大表!$A$1:$BF$95,MATCH($A29,役男大表!$A$1:$A$97,0),   MATCH(F$1,役男大表!$A$3:$BF$3,0)  )="榮","x",  IF(  INDEX(役男大表!$A$1:$BF$95,MATCH($A29,役男大表!$A$1:$A$97,0),   MATCH(F$1,役男大表!$A$3:$BF$3,0)  )="榮-22",  "x榮18-22",               INDEX(役男大表!$A$1:$BF$95,MATCH($A29,役男大表!$A$1:$A$97,0),   MATCH(F$1,役男大表!$A$3:$BF$3,0)  )                  )  )  )," ",""),"")</f>
        <v>x榮18-22</v>
      </c>
      <c r="G29" s="278" t="str">
        <f>_xlfn.IFNA(  SUBSTITUTE(     IF(  INDEX(役男大表!$A$1:$BF$95,MATCH($A29,役男大表!$A$1:$A$97,0),   MATCH(G$1,役男大表!$A$3:$BF$3,0)  )=0,"",  IF(  INDEX(役男大表!$A$1:$BF$95,MATCH($A29,役男大表!$A$1:$A$97,0),   MATCH(G$1,役男大表!$A$3:$BF$3,0)  )="榮","x",  IF(  INDEX(役男大表!$A$1:$BF$95,MATCH($A29,役男大表!$A$1:$A$97,0),   MATCH(G$1,役男大表!$A$3:$BF$3,0)  )="榮-22",  "x榮18-22",               INDEX(役男大表!$A$1:$BF$95,MATCH($A29,役男大表!$A$1:$A$97,0),   MATCH(G$1,役男大表!$A$3:$BF$3,0)  )                  )  )  )," ",""),"")</f>
        <v/>
      </c>
      <c r="H29" s="278" t="str">
        <f>_xlfn.IFNA(  SUBSTITUTE(     IF(  INDEX(役男大表!$A$1:$BF$95,MATCH($A29,役男大表!$A$1:$A$97,0),   MATCH(H$1,役男大表!$A$3:$BF$3,0)  )=0,"",  IF(  INDEX(役男大表!$A$1:$BF$95,MATCH($A29,役男大表!$A$1:$A$97,0),   MATCH(H$1,役男大表!$A$3:$BF$3,0)  )="榮","x",  IF(  INDEX(役男大表!$A$1:$BF$95,MATCH($A29,役男大表!$A$1:$A$97,0),   MATCH(H$1,役男大表!$A$3:$BF$3,0)  )="榮-22",  "x榮18-22",               INDEX(役男大表!$A$1:$BF$95,MATCH($A29,役男大表!$A$1:$A$97,0),   MATCH(H$1,役男大表!$A$3:$BF$3,0)  )                  )  )  )," ",""),"")</f>
        <v/>
      </c>
      <c r="I29" s="278" t="str">
        <f>_xlfn.IFNA(  SUBSTITUTE(     IF(  INDEX(役男大表!$A$1:$BF$95,MATCH($A29,役男大表!$A$1:$A$97,0),   MATCH(I$1,役男大表!$A$3:$BF$3,0)  )=0,"",  IF(  INDEX(役男大表!$A$1:$BF$95,MATCH($A29,役男大表!$A$1:$A$97,0),   MATCH(I$1,役男大表!$A$3:$BF$3,0)  )="榮","x",  IF(  INDEX(役男大表!$A$1:$BF$95,MATCH($A29,役男大表!$A$1:$A$97,0),   MATCH(I$1,役男大表!$A$3:$BF$3,0)  )="榮-22",  "x榮18-22",               INDEX(役男大表!$A$1:$BF$95,MATCH($A29,役男大表!$A$1:$A$97,0),   MATCH(I$1,役男大表!$A$3:$BF$3,0)  )                  )  )  )," ",""),"")</f>
        <v/>
      </c>
      <c r="J29" s="278" t="str">
        <f>_xlfn.IFNA(  SUBSTITUTE(     IF(  INDEX(役男大表!$A$1:$BF$95,MATCH($A29,役男大表!$A$1:$A$97,0),   MATCH(J$1,役男大表!$A$3:$BF$3,0)  )=0,"",  IF(  INDEX(役男大表!$A$1:$BF$95,MATCH($A29,役男大表!$A$1:$A$97,0),   MATCH(J$1,役男大表!$A$3:$BF$3,0)  )="榮","x",  IF(  INDEX(役男大表!$A$1:$BF$95,MATCH($A29,役男大表!$A$1:$A$97,0),   MATCH(J$1,役男大表!$A$3:$BF$3,0)  )="榮-22",  "x榮18-22",               INDEX(役男大表!$A$1:$BF$95,MATCH($A29,役男大表!$A$1:$A$97,0),   MATCH(J$1,役男大表!$A$3:$BF$3,0)  )                  )  )  )," ",""),"")</f>
        <v/>
      </c>
      <c r="K29" s="278" t="str">
        <f>_xlfn.IFNA(  SUBSTITUTE(     IF(  INDEX(役男大表!$A$1:$BF$95,MATCH($A29,役男大表!$A$1:$A$97,0),   MATCH(K$1,役男大表!$A$3:$BF$3,0)  )=0,"",  IF(  INDEX(役男大表!$A$1:$BF$95,MATCH($A29,役男大表!$A$1:$A$97,0),   MATCH(K$1,役男大表!$A$3:$BF$3,0)  )="榮","x",  IF(  INDEX(役男大表!$A$1:$BF$95,MATCH($A29,役男大表!$A$1:$A$97,0),   MATCH(K$1,役男大表!$A$3:$BF$3,0)  )="榮-22",  "x榮18-22",               INDEX(役男大表!$A$1:$BF$95,MATCH($A29,役男大表!$A$1:$A$97,0),   MATCH(K$1,役男大表!$A$3:$BF$3,0)  )                  )  )  )," ",""),"")</f>
        <v/>
      </c>
      <c r="L29" s="278" t="str">
        <f>_xlfn.IFNA(  SUBSTITUTE(     IF(  INDEX(役男大表!$A$1:$BF$95,MATCH($A29,役男大表!$A$1:$A$97,0),   MATCH(L$1,役男大表!$A$3:$BF$3,0)  )=0,"",  IF(  INDEX(役男大表!$A$1:$BF$95,MATCH($A29,役男大表!$A$1:$A$97,0),   MATCH(L$1,役男大表!$A$3:$BF$3,0)  )="榮","x",  IF(  INDEX(役男大表!$A$1:$BF$95,MATCH($A29,役男大表!$A$1:$A$97,0),   MATCH(L$1,役男大表!$A$3:$BF$3,0)  )="榮-22",  "x榮18-22",               INDEX(役男大表!$A$1:$BF$95,MATCH($A29,役男大表!$A$1:$A$97,0),   MATCH(L$1,役男大表!$A$3:$BF$3,0)  )                  )  )  )," ",""),"")</f>
        <v>x</v>
      </c>
      <c r="M29" s="278" t="str">
        <f>_xlfn.IFNA(  SUBSTITUTE(     IF(  INDEX(役男大表!$A$1:$BF$95,MATCH($A29,役男大表!$A$1:$A$97,0),   MATCH(M$1,役男大表!$A$3:$BF$3,0)  )=0,"",  IF(  INDEX(役男大表!$A$1:$BF$95,MATCH($A29,役男大表!$A$1:$A$97,0),   MATCH(M$1,役男大表!$A$3:$BF$3,0)  )="榮","x",  IF(  INDEX(役男大表!$A$1:$BF$95,MATCH($A29,役男大表!$A$1:$A$97,0),   MATCH(M$1,役男大表!$A$3:$BF$3,0)  )="榮-22",  "x榮18-22",               INDEX(役男大表!$A$1:$BF$95,MATCH($A29,役男大表!$A$1:$A$97,0),   MATCH(M$1,役男大表!$A$3:$BF$3,0)  )                  )  )  )," ",""),"")</f>
        <v>x</v>
      </c>
      <c r="N29" s="278" t="str">
        <f>_xlfn.IFNA(  SUBSTITUTE(     IF(  INDEX(役男大表!$A$1:$BF$95,MATCH($A29,役男大表!$A$1:$A$97,0),   MATCH(N$1,役男大表!$A$3:$BF$3,0)  )=0,"",  IF(  INDEX(役男大表!$A$1:$BF$95,MATCH($A29,役男大表!$A$1:$A$97,0),   MATCH(N$1,役男大表!$A$3:$BF$3,0)  )="榮","x",  IF(  INDEX(役男大表!$A$1:$BF$95,MATCH($A29,役男大表!$A$1:$A$97,0),   MATCH(N$1,役男大表!$A$3:$BF$3,0)  )="榮-22",  "x榮18-22",               INDEX(役男大表!$A$1:$BF$95,MATCH($A29,役男大表!$A$1:$A$97,0),   MATCH(N$1,役男大表!$A$3:$BF$3,0)  )                  )  )  )," ",""),"")</f>
        <v>x榮18-22</v>
      </c>
      <c r="O29" s="278" t="str">
        <f>_xlfn.IFNA(  SUBSTITUTE(     IF(  INDEX(役男大表!$A$1:$BF$95,MATCH($A29,役男大表!$A$1:$A$97,0),   MATCH(O$1,役男大表!$A$3:$BF$3,0)  )=0,"",  IF(  INDEX(役男大表!$A$1:$BF$95,MATCH($A29,役男大表!$A$1:$A$97,0),   MATCH(O$1,役男大表!$A$3:$BF$3,0)  )="榮","x",  IF(  INDEX(役男大表!$A$1:$BF$95,MATCH($A29,役男大表!$A$1:$A$97,0),   MATCH(O$1,役男大表!$A$3:$BF$3,0)  )="榮-22",  "x榮18-22",               INDEX(役男大表!$A$1:$BF$95,MATCH($A29,役男大表!$A$1:$A$97,0),   MATCH(O$1,役男大表!$A$3:$BF$3,0)  )                  )  )  )," ",""),"")</f>
        <v/>
      </c>
      <c r="P29" s="278" t="str">
        <f>_xlfn.IFNA(  SUBSTITUTE(     IF(  INDEX(役男大表!$A$1:$BF$95,MATCH($A29,役男大表!$A$1:$A$97,0),   MATCH(P$1,役男大表!$A$3:$BF$3,0)  )=0,"",  IF(  INDEX(役男大表!$A$1:$BF$95,MATCH($A29,役男大表!$A$1:$A$97,0),   MATCH(P$1,役男大表!$A$3:$BF$3,0)  )="榮","x",  IF(  INDEX(役男大表!$A$1:$BF$95,MATCH($A29,役男大表!$A$1:$A$97,0),   MATCH(P$1,役男大表!$A$3:$BF$3,0)  )="榮-22",  "x榮18-22",               INDEX(役男大表!$A$1:$BF$95,MATCH($A29,役男大表!$A$1:$A$97,0),   MATCH(P$1,役男大表!$A$3:$BF$3,0)  )                  )  )  )," ",""),"")</f>
        <v/>
      </c>
      <c r="Q29" s="278" t="str">
        <f>_xlfn.IFNA(  SUBSTITUTE(     IF(  INDEX(役男大表!$A$1:$BF$95,MATCH($A29,役男大表!$A$1:$A$97,0),   MATCH(Q$1,役男大表!$A$3:$BF$3,0)  )=0,"",  IF(  INDEX(役男大表!$A$1:$BF$95,MATCH($A29,役男大表!$A$1:$A$97,0),   MATCH(Q$1,役男大表!$A$3:$BF$3,0)  )="榮","x",  IF(  INDEX(役男大表!$A$1:$BF$95,MATCH($A29,役男大表!$A$1:$A$97,0),   MATCH(Q$1,役男大表!$A$3:$BF$3,0)  )="榮-22",  "x榮18-22",               INDEX(役男大表!$A$1:$BF$95,MATCH($A29,役男大表!$A$1:$A$97,0),   MATCH(Q$1,役男大表!$A$3:$BF$3,0)  )                  )  )  )," ",""),"")</f>
        <v/>
      </c>
      <c r="R29" s="278" t="str">
        <f>_xlfn.IFNA(  SUBSTITUTE(     IF(  INDEX(役男大表!$A$1:$BF$95,MATCH($A29,役男大表!$A$1:$A$97,0),   MATCH(R$1,役男大表!$A$3:$BF$3,0)  )=0,"",  IF(  INDEX(役男大表!$A$1:$BF$95,MATCH($A29,役男大表!$A$1:$A$97,0),   MATCH(R$1,役男大表!$A$3:$BF$3,0)  )="榮","x",  IF(  INDEX(役男大表!$A$1:$BF$95,MATCH($A29,役男大表!$A$1:$A$97,0),   MATCH(R$1,役男大表!$A$3:$BF$3,0)  )="榮-22",  "x榮18-22",               INDEX(役男大表!$A$1:$BF$95,MATCH($A29,役男大表!$A$1:$A$97,0),   MATCH(R$1,役男大表!$A$3:$BF$3,0)  )                  )  )  )," ",""),"")</f>
        <v/>
      </c>
      <c r="S29" s="278" t="str">
        <f>_xlfn.IFNA(  SUBSTITUTE(     IF(  INDEX(役男大表!$A$1:$BF$95,MATCH($A29,役男大表!$A$1:$A$97,0),   MATCH(S$1,役男大表!$A$3:$BF$3,0)  )=0,"",  IF(  INDEX(役男大表!$A$1:$BF$95,MATCH($A29,役男大表!$A$1:$A$97,0),   MATCH(S$1,役男大表!$A$3:$BF$3,0)  )="榮","x",  IF(  INDEX(役男大表!$A$1:$BF$95,MATCH($A29,役男大表!$A$1:$A$97,0),   MATCH(S$1,役男大表!$A$3:$BF$3,0)  )="榮-22",  "x榮18-22",               INDEX(役男大表!$A$1:$BF$95,MATCH($A29,役男大表!$A$1:$A$97,0),   MATCH(S$1,役男大表!$A$3:$BF$3,0)  )                  )  )  )," ",""),"")</f>
        <v/>
      </c>
      <c r="T29" s="278" t="str">
        <f>_xlfn.IFNA(  SUBSTITUTE(     IF(  INDEX(役男大表!$A$1:$BF$95,MATCH($A29,役男大表!$A$1:$A$97,0),   MATCH(T$1,役男大表!$A$3:$BF$3,0)  )=0,"",  IF(  INDEX(役男大表!$A$1:$BF$95,MATCH($A29,役男大表!$A$1:$A$97,0),   MATCH(T$1,役男大表!$A$3:$BF$3,0)  )="榮","x",  IF(  INDEX(役男大表!$A$1:$BF$95,MATCH($A29,役男大表!$A$1:$A$97,0),   MATCH(T$1,役男大表!$A$3:$BF$3,0)  )="榮-22",  "x榮18-22",               INDEX(役男大表!$A$1:$BF$95,MATCH($A29,役男大表!$A$1:$A$97,0),   MATCH(T$1,役男大表!$A$3:$BF$3,0)  )                  )  )  )," ",""),"")</f>
        <v>x</v>
      </c>
      <c r="U29" s="278" t="str">
        <f>_xlfn.IFNA(  SUBSTITUTE(     IF(  INDEX(役男大表!$A$1:$BF$95,MATCH($A29,役男大表!$A$1:$A$97,0),   MATCH(U$1,役男大表!$A$3:$BF$3,0)  )=0,"",  IF(  INDEX(役男大表!$A$1:$BF$95,MATCH($A29,役男大表!$A$1:$A$97,0),   MATCH(U$1,役男大表!$A$3:$BF$3,0)  )="榮","x",  IF(  INDEX(役男大表!$A$1:$BF$95,MATCH($A29,役男大表!$A$1:$A$97,0),   MATCH(U$1,役男大表!$A$3:$BF$3,0)  )="榮-22",  "x榮18-22",               INDEX(役男大表!$A$1:$BF$95,MATCH($A29,役男大表!$A$1:$A$97,0),   MATCH(U$1,役男大表!$A$3:$BF$3,0)  )                  )  )  )," ",""),"")</f>
        <v>x榮18-22</v>
      </c>
      <c r="V29" s="278" t="str">
        <f>_xlfn.IFNA(  SUBSTITUTE(     IF(  INDEX(役男大表!$A$1:$BF$95,MATCH($A29,役男大表!$A$1:$A$97,0),   MATCH(V$1,役男大表!$A$3:$BF$3,0)  )=0,"",  IF(  INDEX(役男大表!$A$1:$BF$95,MATCH($A29,役男大表!$A$1:$A$97,0),   MATCH(V$1,役男大表!$A$3:$BF$3,0)  )="榮","x",  IF(  INDEX(役男大表!$A$1:$BF$95,MATCH($A29,役男大表!$A$1:$A$97,0),   MATCH(V$1,役男大表!$A$3:$BF$3,0)  )="榮-22",  "x榮18-22",               INDEX(役男大表!$A$1:$BF$95,MATCH($A29,役男大表!$A$1:$A$97,0),   MATCH(V$1,役男大表!$A$3:$BF$3,0)  )                  )  )  )," ",""),"")</f>
        <v/>
      </c>
      <c r="W29" s="278" t="str">
        <f>_xlfn.IFNA(  SUBSTITUTE(     IF(  INDEX(役男大表!$A$1:$BF$95,MATCH($A29,役男大表!$A$1:$A$97,0),   MATCH(W$1,役男大表!$A$3:$BF$3,0)  )=0,"",  IF(  INDEX(役男大表!$A$1:$BF$95,MATCH($A29,役男大表!$A$1:$A$97,0),   MATCH(W$1,役男大表!$A$3:$BF$3,0)  )="榮","x",  IF(  INDEX(役男大表!$A$1:$BF$95,MATCH($A29,役男大表!$A$1:$A$97,0),   MATCH(W$1,役男大表!$A$3:$BF$3,0)  )="榮-22",  "x榮18-22",               INDEX(役男大表!$A$1:$BF$95,MATCH($A29,役男大表!$A$1:$A$97,0),   MATCH(W$1,役男大表!$A$3:$BF$3,0)  )                  )  )  )," ",""),"")</f>
        <v>榮14-22</v>
      </c>
      <c r="X29" s="278" t="str">
        <f>_xlfn.IFNA(  SUBSTITUTE(     IF(  INDEX(役男大表!$A$1:$BF$95,MATCH($A29,役男大表!$A$1:$A$97,0),   MATCH(X$1,役男大表!$A$3:$BF$3,0)  )=0,"",  IF(  INDEX(役男大表!$A$1:$BF$95,MATCH($A29,役男大表!$A$1:$A$97,0),   MATCH(X$1,役男大表!$A$3:$BF$3,0)  )="榮","x",  IF(  INDEX(役男大表!$A$1:$BF$95,MATCH($A29,役男大表!$A$1:$A$97,0),   MATCH(X$1,役男大表!$A$3:$BF$3,0)  )="榮-22",  "x榮18-22",               INDEX(役男大表!$A$1:$BF$95,MATCH($A29,役男大表!$A$1:$A$97,0),   MATCH(X$1,役男大表!$A$3:$BF$3,0)  )                  )  )  )," ",""),"")</f>
        <v>榮14-18</v>
      </c>
      <c r="Y29" s="278" t="str">
        <f>_xlfn.IFNA(  SUBSTITUTE(     IF(  INDEX(役男大表!$A$1:$BF$95,MATCH($A29,役男大表!$A$1:$A$97,0),   MATCH(Y$1,役男大表!$A$3:$BF$3,0)  )=0,"",  IF(  INDEX(役男大表!$A$1:$BF$95,MATCH($A29,役男大表!$A$1:$A$97,0),   MATCH(Y$1,役男大表!$A$3:$BF$3,0)  )="榮","x",  IF(  INDEX(役男大表!$A$1:$BF$95,MATCH($A29,役男大表!$A$1:$A$97,0),   MATCH(Y$1,役男大表!$A$3:$BF$3,0)  )="榮-22",  "x榮18-22",               INDEX(役男大表!$A$1:$BF$95,MATCH($A29,役男大表!$A$1:$A$97,0),   MATCH(Y$1,役男大表!$A$3:$BF$3,0)  )                  )  )  )," ",""),"")</f>
        <v>x</v>
      </c>
      <c r="Z29" s="278" t="str">
        <f>_xlfn.IFNA(  SUBSTITUTE(     IF(  INDEX(役男大表!$A$1:$BF$95,MATCH($A29,役男大表!$A$1:$A$97,0),   MATCH(Z$1,役男大表!$A$3:$BF$3,0)  )=0,"",  IF(  INDEX(役男大表!$A$1:$BF$95,MATCH($A29,役男大表!$A$1:$A$97,0),   MATCH(Z$1,役男大表!$A$3:$BF$3,0)  )="榮","x",  IF(  INDEX(役男大表!$A$1:$BF$95,MATCH($A29,役男大表!$A$1:$A$97,0),   MATCH(Z$1,役男大表!$A$3:$BF$3,0)  )="榮-22",  "x榮18-22",               INDEX(役男大表!$A$1:$BF$95,MATCH($A29,役男大表!$A$1:$A$97,0),   MATCH(Z$1,役男大表!$A$3:$BF$3,0)  )                  )  )  )," ",""),"")</f>
        <v>x</v>
      </c>
      <c r="AA29" s="278" t="str">
        <f>_xlfn.IFNA(  SUBSTITUTE(     IF(  INDEX(役男大表!$A$1:$BF$95,MATCH($A29,役男大表!$A$1:$A$97,0),   MATCH(AA$1,役男大表!$A$3:$BF$3,0)  )=0,"",  IF(  INDEX(役男大表!$A$1:$BF$95,MATCH($A29,役男大表!$A$1:$A$97,0),   MATCH(AA$1,役男大表!$A$3:$BF$3,0)  )="榮","x",  IF(  INDEX(役男大表!$A$1:$BF$95,MATCH($A29,役男大表!$A$1:$A$97,0),   MATCH(AA$1,役男大表!$A$3:$BF$3,0)  )="榮-22",  "x榮18-22",               INDEX(役男大表!$A$1:$BF$95,MATCH($A29,役男大表!$A$1:$A$97,0),   MATCH(AA$1,役男大表!$A$3:$BF$3,0)  )                  )  )  )," ",""),"")</f>
        <v>x</v>
      </c>
      <c r="AB29" s="278" t="str">
        <f>_xlfn.IFNA(  SUBSTITUTE(     IF(  INDEX(役男大表!$A$1:$BF$95,MATCH($A29,役男大表!$A$1:$A$97,0),   MATCH(AB$1,役男大表!$A$3:$BF$3,0)  )=0,"",  IF(  INDEX(役男大表!$A$1:$BF$95,MATCH($A29,役男大表!$A$1:$A$97,0),   MATCH(AB$1,役男大表!$A$3:$BF$3,0)  )="榮","x",  IF(  INDEX(役男大表!$A$1:$BF$95,MATCH($A29,役男大表!$A$1:$A$97,0),   MATCH(AB$1,役男大表!$A$3:$BF$3,0)  )="榮-22",  "x榮18-22",               INDEX(役男大表!$A$1:$BF$95,MATCH($A29,役男大表!$A$1:$A$97,0),   MATCH(AB$1,役男大表!$A$3:$BF$3,0)  )                  )  )  )," ",""),"")</f>
        <v/>
      </c>
      <c r="AC29" s="278" t="str">
        <f>_xlfn.IFNA(  SUBSTITUTE(     IF(  INDEX(役男大表!$A$1:$BF$95,MATCH($A29,役男大表!$A$1:$A$97,0),   MATCH(AC$1,役男大表!$A$3:$BF$3,0)  )=0,"",  IF(  INDEX(役男大表!$A$1:$BF$95,MATCH($A29,役男大表!$A$1:$A$97,0),   MATCH(AC$1,役男大表!$A$3:$BF$3,0)  )="榮","x",  IF(  INDEX(役男大表!$A$1:$BF$95,MATCH($A29,役男大表!$A$1:$A$97,0),   MATCH(AC$1,役男大表!$A$3:$BF$3,0)  )="榮-22",  "x榮18-22",               INDEX(役男大表!$A$1:$BF$95,MATCH($A29,役男大表!$A$1:$A$97,0),   MATCH(AC$1,役男大表!$A$3:$BF$3,0)  )                  )  )  )," ",""),"")</f>
        <v/>
      </c>
      <c r="AD29" s="278" t="str">
        <f>_xlfn.IFNA(  SUBSTITUTE(     IF(  INDEX(役男大表!$A$1:$BF$95,MATCH($A29,役男大表!$A$1:$A$97,0),   MATCH(AD$1,役男大表!$A$3:$BF$3,0)  )=0,"",  IF(  INDEX(役男大表!$A$1:$BF$95,MATCH($A29,役男大表!$A$1:$A$97,0),   MATCH(AD$1,役男大表!$A$3:$BF$3,0)  )="榮","x",  IF(  INDEX(役男大表!$A$1:$BF$95,MATCH($A29,役男大表!$A$1:$A$97,0),   MATCH(AD$1,役男大表!$A$3:$BF$3,0)  )="榮-22",  "x榮18-22",               INDEX(役男大表!$A$1:$BF$95,MATCH($A29,役男大表!$A$1:$A$97,0),   MATCH(AD$1,役男大表!$A$3:$BF$3,0)  )                  )  )  )," ",""),"")</f>
        <v/>
      </c>
      <c r="AE29" s="278" t="str">
        <f>_xlfn.IFNA(  SUBSTITUTE(     IF(  INDEX(役男大表!$A$1:$BF$95,MATCH($A29,役男大表!$A$1:$A$97,0),   MATCH(AE$1,役男大表!$A$3:$BF$3,0)  )=0,"",  IF(  INDEX(役男大表!$A$1:$BF$95,MATCH($A29,役男大表!$A$1:$A$97,0),   MATCH(AE$1,役男大表!$A$3:$BF$3,0)  )="榮","x",  IF(  INDEX(役男大表!$A$1:$BF$95,MATCH($A29,役男大表!$A$1:$A$97,0),   MATCH(AE$1,役男大表!$A$3:$BF$3,0)  )="榮-22",  "x榮18-22",               INDEX(役男大表!$A$1:$BF$95,MATCH($A29,役男大表!$A$1:$A$97,0),   MATCH(AE$1,役男大表!$A$3:$BF$3,0)  )                  )  )  )," ",""),"")</f>
        <v/>
      </c>
      <c r="AF29" s="278" t="str">
        <f>_xlfn.IFNA(  SUBSTITUTE(     IF(  INDEX(役男大表!$A$1:$BF$95,MATCH($A29,役男大表!$A$1:$A$97,0),   MATCH(AF$1,役男大表!$A$3:$BF$3,0)  )=0,"",  IF(  INDEX(役男大表!$A$1:$BF$95,MATCH($A29,役男大表!$A$1:$A$97,0),   MATCH(AF$1,役男大表!$A$3:$BF$3,0)  )="榮","x",  IF(  INDEX(役男大表!$A$1:$BF$95,MATCH($A29,役男大表!$A$1:$A$97,0),   MATCH(AF$1,役男大表!$A$3:$BF$3,0)  )="榮-22",  "x榮18-22",               INDEX(役男大表!$A$1:$BF$95,MATCH($A29,役男大表!$A$1:$A$97,0),   MATCH(AF$1,役男大表!$A$3:$BF$3,0)  )                  )  )  )," ",""),"")</f>
        <v/>
      </c>
      <c r="AG29" s="278" t="str">
        <f>_xlfn.IFNA(  SUBSTITUTE(     IF(  INDEX(役男大表!$A$1:$BF$95,MATCH($A29,役男大表!$A$1:$A$97,0),   MATCH(AG$1,役男大表!$A$3:$BF$3,0)  )=0,"",  IF(  INDEX(役男大表!$A$1:$BF$95,MATCH($A29,役男大表!$A$1:$A$97,0),   MATCH(AG$1,役男大表!$A$3:$BF$3,0)  )="榮","x",  IF(  INDEX(役男大表!$A$1:$BF$95,MATCH($A29,役男大表!$A$1:$A$97,0),   MATCH(AG$1,役男大表!$A$3:$BF$3,0)  )="榮-22",  "x榮18-22",               INDEX(役男大表!$A$1:$BF$95,MATCH($A29,役男大表!$A$1:$A$97,0),   MATCH(AG$1,役男大表!$A$3:$BF$3,0)  )                  )  )  )," ",""),"")</f>
        <v>x</v>
      </c>
      <c r="AH29" s="278" t="str">
        <f>_xlfn.IFNA(  SUBSTITUTE(     IF(  INDEX(役男大表!$A$1:$BF$95,MATCH($A29,役男大表!$A$1:$A$97,0),   MATCH(AH$1,役男大表!$A$3:$BF$3,0)  )=0,"",  IF(  INDEX(役男大表!$A$1:$BF$95,MATCH($A29,役男大表!$A$1:$A$97,0),   MATCH(AH$1,役男大表!$A$3:$BF$3,0)  )="榮","x",  IF(  INDEX(役男大表!$A$1:$BF$95,MATCH($A29,役男大表!$A$1:$A$97,0),   MATCH(AH$1,役男大表!$A$3:$BF$3,0)  )="榮-22",  "x榮18-22",               INDEX(役男大表!$A$1:$BF$95,MATCH($A29,役男大表!$A$1:$A$97,0),   MATCH(AH$1,役男大表!$A$3:$BF$3,0)  )                  )  )  )," ",""),"")</f>
        <v/>
      </c>
      <c r="AI29" s="278" t="str">
        <f>_xlfn.IFNA(  SUBSTITUTE(     IF(  INDEX(役男大表!$A$1:$BF$95,MATCH($A29,役男大表!$A$1:$A$97,0),   MATCH(AI$1,役男大表!$A$3:$BF$3,0)  )=0,"",  IF(  INDEX(役男大表!$A$1:$BF$95,MATCH($A29,役男大表!$A$1:$A$97,0),   MATCH(AI$1,役男大表!$A$3:$BF$3,0)  )="榮","x",  IF(  INDEX(役男大表!$A$1:$BF$95,MATCH($A29,役男大表!$A$1:$A$97,0),   MATCH(AI$1,役男大表!$A$3:$BF$3,0)  )="榮-22",  "x榮18-22",               INDEX(役男大表!$A$1:$BF$95,MATCH($A29,役男大表!$A$1:$A$97,0),   MATCH(AI$1,役男大表!$A$3:$BF$3,0)  )                  )  )  )," ",""),"")</f>
        <v/>
      </c>
      <c r="AJ29" s="278" t="str">
        <f>_xlfn.IFNA(  SUBSTITUTE(     IF(  INDEX(役男大表!$A$1:$BF$95,MATCH($A29,役男大表!$A$1:$A$97,0),   MATCH(AJ$1,役男大表!$A$3:$BF$3,0)  )=0,"",  IF(  INDEX(役男大表!$A$1:$BF$95,MATCH($A29,役男大表!$A$1:$A$97,0),   MATCH(AJ$1,役男大表!$A$3:$BF$3,0)  )="榮","x",  IF(  INDEX(役男大表!$A$1:$BF$95,MATCH($A29,役男大表!$A$1:$A$97,0),   MATCH(AJ$1,役男大表!$A$3:$BF$3,0)  )="榮-22",  "x榮18-22",               INDEX(役男大表!$A$1:$BF$95,MATCH($A29,役男大表!$A$1:$A$97,0),   MATCH(AJ$1,役男大表!$A$3:$BF$3,0)  )                  )  )  )," ",""),"")</f>
        <v/>
      </c>
      <c r="AM29" s="66">
        <f t="shared" si="1"/>
        <v>28</v>
      </c>
      <c r="AN29" s="66" t="str">
        <f t="shared" si="2"/>
        <v>高仲廷</v>
      </c>
      <c r="AO29" s="71" t="str">
        <f>IF(  AND(  INDEX(   $A$42:$AJ$79, MATCH(AM29,$A$42:$A$79,0),MATCH(  日期輸入!$C$3,$A$42:$AL$42,0  )  )="全日勤",  AV29="免"  ),  "全日勤免勤教",  IF(  AND(  INDEX(   $A$42:$AJ$79, MATCH(AM29,$A$42:$A$79,0),MATCH(  日期輸入!$C$3,$A$42:$AL$42,0  )  )="18放",  AV29="免"  ),  "18放早走",  INDEX(   $A$42:$AJ$79, MATCH(AM29,$A$42:$A$79,0),MATCH(  日期輸入!$C$3,$A$42:$AL$42,0  )  )  )  )</f>
        <v>18收</v>
      </c>
      <c r="AP29" s="66" t="str">
        <f>_xlfn.IFNA(IF((ROW(AP29)-1)&lt;=暫1!$B$2,IF(VALUE($AM29)=暫1!B$3,"家因",IF(VALUE($AM29)=暫1!C$3,"家因",IF(VALUE($AM29)=暫1!D$3,"家因",IF(VALUE($AM29)=暫1!E$3,"家因",IF(VALUE($AM29)=暫1!F$3,"家因",IF(VALUE($AM29)=暫1!G$3,"家因",IF(VALUE($AM29)=暫1!H$3,"家因",IF(VALUE($AM29)=暫1!I$3,"家因",IF(VALUE($AM29)=暫1!J$3,"家因",IF(VALUE($AM29)=暫1!K$3,"家因",IF(VALUE($AM29)=暫1!L$3,"家因",IF(VALUE($AM29)=暫1!M$3,"家因",IF(VALUE($AM29)=暫1!N$3,"家因",IF(VALUE($AM29)=暫1!O$3,"家因",IF(VALUE($AM29)=暫1!P$3,"家因",IF(VALUE($AM29)=暫1!Q$3,"家因",IF(VALUE($AM29)=暫1!R$3,"家因",IF(VALUE($AM29)=暫1!S$3,"家因",IF(VALUE($AM29)=暫1!T$3,"家因",IF(VALUE($AM29)=暫1!U$3,"家因","")))))))))))))))))))),""),"")</f>
        <v/>
      </c>
      <c r="AQ29" s="66" t="str">
        <f>IF((ROW(AQ29)-1)&lt;=暫1!$B$2,_xlfn.IFNA(IF(INDEX($A$1:$AJ$41,MATCH($AN29,$B$1:$B$101,0),VALUE($AQ$1+3))="成","補",INDEX($A$1:$AJ$41,MATCH($AN29,$B$1:$B$101,0),VALUE($AQ$1+3))),""),"")</f>
        <v>x</v>
      </c>
      <c r="AR29" s="66" t="str">
        <f>IF((ROW(AR29)-1)&lt;=暫1!$B$2,_xlfn.IFNA(IF(INDEX($A$1:$AJ$41,MATCH($AN29,$B$1:$B$101,0),VALUE($AR$1+3))="成","補",INDEX($A$1:$AJ$41,MATCH($AN29,$B$1:$B$101,0),VALUE($AR$1+3))),""),"")</f>
        <v/>
      </c>
      <c r="AS29" s="66" t="str">
        <f>IF((ROW(AS29)-1)&lt;=暫1!$B$2,_xlfn.IFNA(IF(INDEX($A$1:$AJ$41,MATCH($AN29,$B$1:$B$101,0),VALUE($AS$1+3))="成","補",INDEX($A$1:$AJ$41,MATCH($AN29,$B$1:$B$101,0),VALUE($AS$1+3))),""),"")</f>
        <v/>
      </c>
      <c r="AT29" s="66" t="str">
        <f>IF(  OR(  LEN(  INDEX(   $A$1:$AJ$39, MATCH(AM29,$A$1:$A$39,0),MATCH(  日期輸入!$C$3,$A$1:$AP$1,0  )  )  )&gt;LEN(  SUBSTITUTE(  INDEX(   $A$1:$AJ$39, MATCH(AM29,$A$1:$A$39,0),MATCH(  日期輸入!$C$3,$A$1:$AP$1,0  )  ),"榮","")  )  ),   SUBSTITUTE(  SUBSTITUTE(  INDEX(   $A$1:$AJ$39, MATCH(AM29,$A$1:$A$39,0),MATCH(  日期輸入!$C$3,$A$1:$AP$1,0  )  ),"榮",""),"x",""), "")</f>
        <v/>
      </c>
      <c r="AU29" s="66" t="str">
        <f t="shared" si="3"/>
        <v/>
      </c>
      <c r="AV29" s="66" t="str">
        <f>INDEX(   $A$482:$AJ$519, MATCH(AM29,$A$482:$A$519,0),MATCH(  日期輸入!$C$3,$A$482:$AL$482,0  )  )</f>
        <v/>
      </c>
      <c r="AX29" s="66" t="str">
        <f>IFERROR(IF((ROW(AX29)-1)&lt;=暫1!$B$2,SUBSTITUTE(IF($AO29=$AX$1,$AM29,"")," ",""),""),"")</f>
        <v/>
      </c>
      <c r="AY29" s="66" t="str">
        <f>IFERROR(IF((ROW(AY29)-1)&lt;=暫1!$B$2,SUBSTITUTE(IF($AO29=$AY$1,$AM29,"")," ",""),""),"")</f>
        <v/>
      </c>
      <c r="AZ29" s="66" t="str">
        <f>IFERROR(IF((ROW(AZ29)-1)&lt;=暫1!$B$2,SUBSTITUTE(IF($AO29=$AZ$1,$AM29,"")," ",""),""),"")</f>
        <v/>
      </c>
      <c r="BA29" s="66" t="str">
        <f>IFERROR(IF((ROW(BA29)-1)&lt;=暫1!$B$2,SUBSTITUTE(IF($AO29=$BA$1,$AM29,"")," ",""),""),"")</f>
        <v>28</v>
      </c>
      <c r="BB29" s="69" t="str">
        <f>IFERROR(IF((ROW(BB29)-1)&lt;=暫1!$B$2,SUBSTITUTE(IF(OR($AO29=$BB$1,$AO29=$AY$1,$AO29=$AZ$1),$AM29,IF($AO29=$AY$1,$AM29,"")),"",""),""),"")</f>
        <v/>
      </c>
      <c r="BC29" s="69" t="str">
        <f>IF(    AND(LEN(BC28)&gt;=2 ),        "、" &amp;  IF(OR(役男人力!$J$2:$J$84="是"),役男人力!$B29,""),  IF(OR(役男人力!$J$2:$J$84="是"),役男人力!$B29,"")  )</f>
        <v/>
      </c>
    </row>
    <row r="30" spans="1:59" ht="25.5" customHeight="1">
      <c r="A30" s="278">
        <v>29</v>
      </c>
      <c r="B30" s="278" t="str">
        <f>_xlfn.IFNA(  INDEX(役男大表!$A$1:$BF$95,MATCH(A30,役男大表!$A$1:$A$97,0),2),"")</f>
        <v>陳羲</v>
      </c>
      <c r="C30" s="278" t="str">
        <f>_xlfn.IFNA(  SUBSTITUTE(     IF(  INDEX(役男大表!$A$1:$BF$95,MATCH($A30,役男大表!$A$1:$A$97,0),   MATCH(C$1,役男大表!$A$3:$BF$3,0)  )=0,"",  IF(  INDEX(役男大表!$A$1:$BF$95,MATCH($A30,役男大表!$A$1:$A$97,0),   MATCH(C$1,役男大表!$A$3:$BF$3,0)  )="榮","x",  IF(  INDEX(役男大表!$A$1:$BF$95,MATCH($A30,役男大表!$A$1:$A$97,0),   MATCH(C$1,役男大表!$A$3:$BF$3,0)  )="榮-22",  "x榮18-22",               INDEX(役男大表!$A$1:$BF$95,MATCH($A30,役男大表!$A$1:$A$97,0),   MATCH(C$1,役男大表!$A$3:$BF$3,0)  )                  )  )  )," ",""),"")</f>
        <v/>
      </c>
      <c r="D30" s="278" t="str">
        <f>_xlfn.IFNA(  SUBSTITUTE(     IF(  INDEX(役男大表!$A$1:$BF$95,MATCH($A30,役男大表!$A$1:$A$97,0),   MATCH(D$1,役男大表!$A$3:$BF$3,0)  )=0,"",  IF(  INDEX(役男大表!$A$1:$BF$95,MATCH($A30,役男大表!$A$1:$A$97,0),   MATCH(D$1,役男大表!$A$3:$BF$3,0)  )="榮","x",  IF(  INDEX(役男大表!$A$1:$BF$95,MATCH($A30,役男大表!$A$1:$A$97,0),   MATCH(D$1,役男大表!$A$3:$BF$3,0)  )="榮-22",  "x榮18-22",               INDEX(役男大表!$A$1:$BF$95,MATCH($A30,役男大表!$A$1:$A$97,0),   MATCH(D$1,役男大表!$A$3:$BF$3,0)  )                  )  )  )," ",""),"")</f>
        <v/>
      </c>
      <c r="E30" s="278" t="str">
        <f>_xlfn.IFNA(  SUBSTITUTE(     IF(  INDEX(役男大表!$A$1:$BF$95,MATCH($A30,役男大表!$A$1:$A$97,0),   MATCH(E$1,役男大表!$A$3:$BF$3,0)  )=0,"",  IF(  INDEX(役男大表!$A$1:$BF$95,MATCH($A30,役男大表!$A$1:$A$97,0),   MATCH(E$1,役男大表!$A$3:$BF$3,0)  )="榮","x",  IF(  INDEX(役男大表!$A$1:$BF$95,MATCH($A30,役男大表!$A$1:$A$97,0),   MATCH(E$1,役男大表!$A$3:$BF$3,0)  )="榮-22",  "x榮18-22",               INDEX(役男大表!$A$1:$BF$95,MATCH($A30,役男大表!$A$1:$A$97,0),   MATCH(E$1,役男大表!$A$3:$BF$3,0)  )                  )  )  )," ",""),"")</f>
        <v/>
      </c>
      <c r="F30" s="278" t="str">
        <f>_xlfn.IFNA(  SUBSTITUTE(     IF(  INDEX(役男大表!$A$1:$BF$95,MATCH($A30,役男大表!$A$1:$A$97,0),   MATCH(F$1,役男大表!$A$3:$BF$3,0)  )=0,"",  IF(  INDEX(役男大表!$A$1:$BF$95,MATCH($A30,役男大表!$A$1:$A$97,0),   MATCH(F$1,役男大表!$A$3:$BF$3,0)  )="榮","x",  IF(  INDEX(役男大表!$A$1:$BF$95,MATCH($A30,役男大表!$A$1:$A$97,0),   MATCH(F$1,役男大表!$A$3:$BF$3,0)  )="榮-22",  "x榮18-22",               INDEX(役男大表!$A$1:$BF$95,MATCH($A30,役男大表!$A$1:$A$97,0),   MATCH(F$1,役男大表!$A$3:$BF$3,0)  )                  )  )  )," ",""),"")</f>
        <v/>
      </c>
      <c r="G30" s="278" t="str">
        <f>_xlfn.IFNA(  SUBSTITUTE(     IF(  INDEX(役男大表!$A$1:$BF$95,MATCH($A30,役男大表!$A$1:$A$97,0),   MATCH(G$1,役男大表!$A$3:$BF$3,0)  )=0,"",  IF(  INDEX(役男大表!$A$1:$BF$95,MATCH($A30,役男大表!$A$1:$A$97,0),   MATCH(G$1,役男大表!$A$3:$BF$3,0)  )="榮","x",  IF(  INDEX(役男大表!$A$1:$BF$95,MATCH($A30,役男大表!$A$1:$A$97,0),   MATCH(G$1,役男大表!$A$3:$BF$3,0)  )="榮-22",  "x榮18-22",               INDEX(役男大表!$A$1:$BF$95,MATCH($A30,役男大表!$A$1:$A$97,0),   MATCH(G$1,役男大表!$A$3:$BF$3,0)  )                  )  )  )," ",""),"")</f>
        <v>x</v>
      </c>
      <c r="H30" s="278" t="str">
        <f>_xlfn.IFNA(  SUBSTITUTE(     IF(  INDEX(役男大表!$A$1:$BF$95,MATCH($A30,役男大表!$A$1:$A$97,0),   MATCH(H$1,役男大表!$A$3:$BF$3,0)  )=0,"",  IF(  INDEX(役男大表!$A$1:$BF$95,MATCH($A30,役男大表!$A$1:$A$97,0),   MATCH(H$1,役男大表!$A$3:$BF$3,0)  )="榮","x",  IF(  INDEX(役男大表!$A$1:$BF$95,MATCH($A30,役男大表!$A$1:$A$97,0),   MATCH(H$1,役男大表!$A$3:$BF$3,0)  )="榮-22",  "x榮18-22",               INDEX(役男大表!$A$1:$BF$95,MATCH($A30,役男大表!$A$1:$A$97,0),   MATCH(H$1,役男大表!$A$3:$BF$3,0)  )                  )  )  )," ",""),"")</f>
        <v/>
      </c>
      <c r="I30" s="278" t="str">
        <f>_xlfn.IFNA(  SUBSTITUTE(     IF(  INDEX(役男大表!$A$1:$BF$95,MATCH($A30,役男大表!$A$1:$A$97,0),   MATCH(I$1,役男大表!$A$3:$BF$3,0)  )=0,"",  IF(  INDEX(役男大表!$A$1:$BF$95,MATCH($A30,役男大表!$A$1:$A$97,0),   MATCH(I$1,役男大表!$A$3:$BF$3,0)  )="榮","x",  IF(  INDEX(役男大表!$A$1:$BF$95,MATCH($A30,役男大表!$A$1:$A$97,0),   MATCH(I$1,役男大表!$A$3:$BF$3,0)  )="榮-22",  "x榮18-22",               INDEX(役男大表!$A$1:$BF$95,MATCH($A30,役男大表!$A$1:$A$97,0),   MATCH(I$1,役男大表!$A$3:$BF$3,0)  )                  )  )  )," ",""),"")</f>
        <v>x榮18-22</v>
      </c>
      <c r="J30" s="278" t="str">
        <f>_xlfn.IFNA(  SUBSTITUTE(     IF(  INDEX(役男大表!$A$1:$BF$95,MATCH($A30,役男大表!$A$1:$A$97,0),   MATCH(J$1,役男大表!$A$3:$BF$3,0)  )=0,"",  IF(  INDEX(役男大表!$A$1:$BF$95,MATCH($A30,役男大表!$A$1:$A$97,0),   MATCH(J$1,役男大表!$A$3:$BF$3,0)  )="榮","x",  IF(  INDEX(役男大表!$A$1:$BF$95,MATCH($A30,役男大表!$A$1:$A$97,0),   MATCH(J$1,役男大表!$A$3:$BF$3,0)  )="榮-22",  "x榮18-22",               INDEX(役男大表!$A$1:$BF$95,MATCH($A30,役男大表!$A$1:$A$97,0),   MATCH(J$1,役男大表!$A$3:$BF$3,0)  )                  )  )  )," ",""),"")</f>
        <v/>
      </c>
      <c r="K30" s="278" t="str">
        <f>_xlfn.IFNA(  SUBSTITUTE(     IF(  INDEX(役男大表!$A$1:$BF$95,MATCH($A30,役男大表!$A$1:$A$97,0),   MATCH(K$1,役男大表!$A$3:$BF$3,0)  )=0,"",  IF(  INDEX(役男大表!$A$1:$BF$95,MATCH($A30,役男大表!$A$1:$A$97,0),   MATCH(K$1,役男大表!$A$3:$BF$3,0)  )="榮","x",  IF(  INDEX(役男大表!$A$1:$BF$95,MATCH($A30,役男大表!$A$1:$A$97,0),   MATCH(K$1,役男大表!$A$3:$BF$3,0)  )="榮-22",  "x榮18-22",               INDEX(役男大表!$A$1:$BF$95,MATCH($A30,役男大表!$A$1:$A$97,0),   MATCH(K$1,役男大表!$A$3:$BF$3,0)  )                  )  )  )," ",""),"")</f>
        <v/>
      </c>
      <c r="L30" s="278" t="str">
        <f>_xlfn.IFNA(  SUBSTITUTE(     IF(  INDEX(役男大表!$A$1:$BF$95,MATCH($A30,役男大表!$A$1:$A$97,0),   MATCH(L$1,役男大表!$A$3:$BF$3,0)  )=0,"",  IF(  INDEX(役男大表!$A$1:$BF$95,MATCH($A30,役男大表!$A$1:$A$97,0),   MATCH(L$1,役男大表!$A$3:$BF$3,0)  )="榮","x",  IF(  INDEX(役男大表!$A$1:$BF$95,MATCH($A30,役男大表!$A$1:$A$97,0),   MATCH(L$1,役男大表!$A$3:$BF$3,0)  )="榮-22",  "x榮18-22",               INDEX(役男大表!$A$1:$BF$95,MATCH($A30,役男大表!$A$1:$A$97,0),   MATCH(L$1,役男大表!$A$3:$BF$3,0)  )                  )  )  )," ",""),"")</f>
        <v/>
      </c>
      <c r="M30" s="278" t="str">
        <f>_xlfn.IFNA(  SUBSTITUTE(     IF(  INDEX(役男大表!$A$1:$BF$95,MATCH($A30,役男大表!$A$1:$A$97,0),   MATCH(M$1,役男大表!$A$3:$BF$3,0)  )=0,"",  IF(  INDEX(役男大表!$A$1:$BF$95,MATCH($A30,役男大表!$A$1:$A$97,0),   MATCH(M$1,役男大表!$A$3:$BF$3,0)  )="榮","x",  IF(  INDEX(役男大表!$A$1:$BF$95,MATCH($A30,役男大表!$A$1:$A$97,0),   MATCH(M$1,役男大表!$A$3:$BF$3,0)  )="榮-22",  "x榮18-22",               INDEX(役男大表!$A$1:$BF$95,MATCH($A30,役男大表!$A$1:$A$97,0),   MATCH(M$1,役男大表!$A$3:$BF$3,0)  )                  )  )  )," ",""),"")</f>
        <v/>
      </c>
      <c r="N30" s="278" t="str">
        <f>_xlfn.IFNA(  SUBSTITUTE(     IF(  INDEX(役男大表!$A$1:$BF$95,MATCH($A30,役男大表!$A$1:$A$97,0),   MATCH(N$1,役男大表!$A$3:$BF$3,0)  )=0,"",  IF(  INDEX(役男大表!$A$1:$BF$95,MATCH($A30,役男大表!$A$1:$A$97,0),   MATCH(N$1,役男大表!$A$3:$BF$3,0)  )="榮","x",  IF(  INDEX(役男大表!$A$1:$BF$95,MATCH($A30,役男大表!$A$1:$A$97,0),   MATCH(N$1,役男大表!$A$3:$BF$3,0)  )="榮-22",  "x榮18-22",               INDEX(役男大表!$A$1:$BF$95,MATCH($A30,役男大表!$A$1:$A$97,0),   MATCH(N$1,役男大表!$A$3:$BF$3,0)  )                  )  )  )," ",""),"")</f>
        <v>x</v>
      </c>
      <c r="O30" s="278" t="str">
        <f>_xlfn.IFNA(  SUBSTITUTE(     IF(  INDEX(役男大表!$A$1:$BF$95,MATCH($A30,役男大表!$A$1:$A$97,0),   MATCH(O$1,役男大表!$A$3:$BF$3,0)  )=0,"",  IF(  INDEX(役男大表!$A$1:$BF$95,MATCH($A30,役男大表!$A$1:$A$97,0),   MATCH(O$1,役男大表!$A$3:$BF$3,0)  )="榮","x",  IF(  INDEX(役男大表!$A$1:$BF$95,MATCH($A30,役男大表!$A$1:$A$97,0),   MATCH(O$1,役男大表!$A$3:$BF$3,0)  )="榮-22",  "x榮18-22",               INDEX(役男大表!$A$1:$BF$95,MATCH($A30,役男大表!$A$1:$A$97,0),   MATCH(O$1,役男大表!$A$3:$BF$3,0)  )                  )  )  )," ",""),"")</f>
        <v>x</v>
      </c>
      <c r="P30" s="278" t="str">
        <f>_xlfn.IFNA(  SUBSTITUTE(     IF(  INDEX(役男大表!$A$1:$BF$95,MATCH($A30,役男大表!$A$1:$A$97,0),   MATCH(P$1,役男大表!$A$3:$BF$3,0)  )=0,"",  IF(  INDEX(役男大表!$A$1:$BF$95,MATCH($A30,役男大表!$A$1:$A$97,0),   MATCH(P$1,役男大表!$A$3:$BF$3,0)  )="榮","x",  IF(  INDEX(役男大表!$A$1:$BF$95,MATCH($A30,役男大表!$A$1:$A$97,0),   MATCH(P$1,役男大表!$A$3:$BF$3,0)  )="榮-22",  "x榮18-22",               INDEX(役男大表!$A$1:$BF$95,MATCH($A30,役男大表!$A$1:$A$97,0),   MATCH(P$1,役男大表!$A$3:$BF$3,0)  )                  )  )  )," ",""),"")</f>
        <v>x</v>
      </c>
      <c r="Q30" s="278" t="str">
        <f>_xlfn.IFNA(  SUBSTITUTE(     IF(  INDEX(役男大表!$A$1:$BF$95,MATCH($A30,役男大表!$A$1:$A$97,0),   MATCH(Q$1,役男大表!$A$3:$BF$3,0)  )=0,"",  IF(  INDEX(役男大表!$A$1:$BF$95,MATCH($A30,役男大表!$A$1:$A$97,0),   MATCH(Q$1,役男大表!$A$3:$BF$3,0)  )="榮","x",  IF(  INDEX(役男大表!$A$1:$BF$95,MATCH($A30,役男大表!$A$1:$A$97,0),   MATCH(Q$1,役男大表!$A$3:$BF$3,0)  )="榮-22",  "x榮18-22",               INDEX(役男大表!$A$1:$BF$95,MATCH($A30,役男大表!$A$1:$A$97,0),   MATCH(Q$1,役男大表!$A$3:$BF$3,0)  )                  )  )  )," ",""),"")</f>
        <v/>
      </c>
      <c r="R30" s="278" t="str">
        <f>_xlfn.IFNA(  SUBSTITUTE(     IF(  INDEX(役男大表!$A$1:$BF$95,MATCH($A30,役男大表!$A$1:$A$97,0),   MATCH(R$1,役男大表!$A$3:$BF$3,0)  )=0,"",  IF(  INDEX(役男大表!$A$1:$BF$95,MATCH($A30,役男大表!$A$1:$A$97,0),   MATCH(R$1,役男大表!$A$3:$BF$3,0)  )="榮","x",  IF(  INDEX(役男大表!$A$1:$BF$95,MATCH($A30,役男大表!$A$1:$A$97,0),   MATCH(R$1,役男大表!$A$3:$BF$3,0)  )="榮-22",  "x榮18-22",               INDEX(役男大表!$A$1:$BF$95,MATCH($A30,役男大表!$A$1:$A$97,0),   MATCH(R$1,役男大表!$A$3:$BF$3,0)  )                  )  )  )," ",""),"")</f>
        <v/>
      </c>
      <c r="S30" s="278" t="str">
        <f>_xlfn.IFNA(  SUBSTITUTE(     IF(  INDEX(役男大表!$A$1:$BF$95,MATCH($A30,役男大表!$A$1:$A$97,0),   MATCH(S$1,役男大表!$A$3:$BF$3,0)  )=0,"",  IF(  INDEX(役男大表!$A$1:$BF$95,MATCH($A30,役男大表!$A$1:$A$97,0),   MATCH(S$1,役男大表!$A$3:$BF$3,0)  )="榮","x",  IF(  INDEX(役男大表!$A$1:$BF$95,MATCH($A30,役男大表!$A$1:$A$97,0),   MATCH(S$1,役男大表!$A$3:$BF$3,0)  )="榮-22",  "x榮18-22",               INDEX(役男大表!$A$1:$BF$95,MATCH($A30,役男大表!$A$1:$A$97,0),   MATCH(S$1,役男大表!$A$3:$BF$3,0)  )                  )  )  )," ",""),"")</f>
        <v/>
      </c>
      <c r="T30" s="278" t="str">
        <f>_xlfn.IFNA(  SUBSTITUTE(     IF(  INDEX(役男大表!$A$1:$BF$95,MATCH($A30,役男大表!$A$1:$A$97,0),   MATCH(T$1,役男大表!$A$3:$BF$3,0)  )=0,"",  IF(  INDEX(役男大表!$A$1:$BF$95,MATCH($A30,役男大表!$A$1:$A$97,0),   MATCH(T$1,役男大表!$A$3:$BF$3,0)  )="榮","x",  IF(  INDEX(役男大表!$A$1:$BF$95,MATCH($A30,役男大表!$A$1:$A$97,0),   MATCH(T$1,役男大表!$A$3:$BF$3,0)  )="榮-22",  "x榮18-22",               INDEX(役男大表!$A$1:$BF$95,MATCH($A30,役男大表!$A$1:$A$97,0),   MATCH(T$1,役男大表!$A$3:$BF$3,0)  )                  )  )  )," ",""),"")</f>
        <v/>
      </c>
      <c r="U30" s="278" t="str">
        <f>_xlfn.IFNA(  SUBSTITUTE(     IF(  INDEX(役男大表!$A$1:$BF$95,MATCH($A30,役男大表!$A$1:$A$97,0),   MATCH(U$1,役男大表!$A$3:$BF$3,0)  )=0,"",  IF(  INDEX(役男大表!$A$1:$BF$95,MATCH($A30,役男大表!$A$1:$A$97,0),   MATCH(U$1,役男大表!$A$3:$BF$3,0)  )="榮","x",  IF(  INDEX(役男大表!$A$1:$BF$95,MATCH($A30,役男大表!$A$1:$A$97,0),   MATCH(U$1,役男大表!$A$3:$BF$3,0)  )="榮-22",  "x榮18-22",               INDEX(役男大表!$A$1:$BF$95,MATCH($A30,役男大表!$A$1:$A$97,0),   MATCH(U$1,役男大表!$A$3:$BF$3,0)  )                  )  )  )," ",""),"")</f>
        <v>x</v>
      </c>
      <c r="V30" s="278" t="str">
        <f>_xlfn.IFNA(  SUBSTITUTE(     IF(  INDEX(役男大表!$A$1:$BF$95,MATCH($A30,役男大表!$A$1:$A$97,0),   MATCH(V$1,役男大表!$A$3:$BF$3,0)  )=0,"",  IF(  INDEX(役男大表!$A$1:$BF$95,MATCH($A30,役男大表!$A$1:$A$97,0),   MATCH(V$1,役男大表!$A$3:$BF$3,0)  )="榮","x",  IF(  INDEX(役男大表!$A$1:$BF$95,MATCH($A30,役男大表!$A$1:$A$97,0),   MATCH(V$1,役男大表!$A$3:$BF$3,0)  )="榮-22",  "x榮18-22",               INDEX(役男大表!$A$1:$BF$95,MATCH($A30,役男大表!$A$1:$A$97,0),   MATCH(V$1,役男大表!$A$3:$BF$3,0)  )                  )  )  )," ",""),"")</f>
        <v/>
      </c>
      <c r="W30" s="278" t="str">
        <f>_xlfn.IFNA(  SUBSTITUTE(     IF(  INDEX(役男大表!$A$1:$BF$95,MATCH($A30,役男大表!$A$1:$A$97,0),   MATCH(W$1,役男大表!$A$3:$BF$3,0)  )=0,"",  IF(  INDEX(役男大表!$A$1:$BF$95,MATCH($A30,役男大表!$A$1:$A$97,0),   MATCH(W$1,役男大表!$A$3:$BF$3,0)  )="榮","x",  IF(  INDEX(役男大表!$A$1:$BF$95,MATCH($A30,役男大表!$A$1:$A$97,0),   MATCH(W$1,役男大表!$A$3:$BF$3,0)  )="榮-22",  "x榮18-22",               INDEX(役男大表!$A$1:$BF$95,MATCH($A30,役男大表!$A$1:$A$97,0),   MATCH(W$1,役男大表!$A$3:$BF$3,0)  )                  )  )  )," ",""),"")</f>
        <v>x榮18-22</v>
      </c>
      <c r="X30" s="278" t="str">
        <f>_xlfn.IFNA(  SUBSTITUTE(     IF(  INDEX(役男大表!$A$1:$BF$95,MATCH($A30,役男大表!$A$1:$A$97,0),   MATCH(X$1,役男大表!$A$3:$BF$3,0)  )=0,"",  IF(  INDEX(役男大表!$A$1:$BF$95,MATCH($A30,役男大表!$A$1:$A$97,0),   MATCH(X$1,役男大表!$A$3:$BF$3,0)  )="榮","x",  IF(  INDEX(役男大表!$A$1:$BF$95,MATCH($A30,役男大表!$A$1:$A$97,0),   MATCH(X$1,役男大表!$A$3:$BF$3,0)  )="榮-22",  "x榮18-22",               INDEX(役男大表!$A$1:$BF$95,MATCH($A30,役男大表!$A$1:$A$97,0),   MATCH(X$1,役男大表!$A$3:$BF$3,0)  )                  )  )  )," ",""),"")</f>
        <v/>
      </c>
      <c r="Y30" s="278" t="str">
        <f>_xlfn.IFNA(  SUBSTITUTE(     IF(  INDEX(役男大表!$A$1:$BF$95,MATCH($A30,役男大表!$A$1:$A$97,0),   MATCH(Y$1,役男大表!$A$3:$BF$3,0)  )=0,"",  IF(  INDEX(役男大表!$A$1:$BF$95,MATCH($A30,役男大表!$A$1:$A$97,0),   MATCH(Y$1,役男大表!$A$3:$BF$3,0)  )="榮","x",  IF(  INDEX(役男大表!$A$1:$BF$95,MATCH($A30,役男大表!$A$1:$A$97,0),   MATCH(Y$1,役男大表!$A$3:$BF$3,0)  )="榮-22",  "x榮18-22",               INDEX(役男大表!$A$1:$BF$95,MATCH($A30,役男大表!$A$1:$A$97,0),   MATCH(Y$1,役男大表!$A$3:$BF$3,0)  )                  )  )  )," ",""),"")</f>
        <v/>
      </c>
      <c r="Z30" s="278" t="str">
        <f>_xlfn.IFNA(  SUBSTITUTE(     IF(  INDEX(役男大表!$A$1:$BF$95,MATCH($A30,役男大表!$A$1:$A$97,0),   MATCH(Z$1,役男大表!$A$3:$BF$3,0)  )=0,"",  IF(  INDEX(役男大表!$A$1:$BF$95,MATCH($A30,役男大表!$A$1:$A$97,0),   MATCH(Z$1,役男大表!$A$3:$BF$3,0)  )="榮","x",  IF(  INDEX(役男大表!$A$1:$BF$95,MATCH($A30,役男大表!$A$1:$A$97,0),   MATCH(Z$1,役男大表!$A$3:$BF$3,0)  )="榮-22",  "x榮18-22",               INDEX(役男大表!$A$1:$BF$95,MATCH($A30,役男大表!$A$1:$A$97,0),   MATCH(Z$1,役男大表!$A$3:$BF$3,0)  )                  )  )  )," ",""),"")</f>
        <v/>
      </c>
      <c r="AA30" s="278" t="str">
        <f>_xlfn.IFNA(  SUBSTITUTE(     IF(  INDEX(役男大表!$A$1:$BF$95,MATCH($A30,役男大表!$A$1:$A$97,0),   MATCH(AA$1,役男大表!$A$3:$BF$3,0)  )=0,"",  IF(  INDEX(役男大表!$A$1:$BF$95,MATCH($A30,役男大表!$A$1:$A$97,0),   MATCH(AA$1,役男大表!$A$3:$BF$3,0)  )="榮","x",  IF(  INDEX(役男大表!$A$1:$BF$95,MATCH($A30,役男大表!$A$1:$A$97,0),   MATCH(AA$1,役男大表!$A$3:$BF$3,0)  )="榮-22",  "x榮18-22",               INDEX(役男大表!$A$1:$BF$95,MATCH($A30,役男大表!$A$1:$A$97,0),   MATCH(AA$1,役男大表!$A$3:$BF$3,0)  )                  )  )  )," ",""),"")</f>
        <v/>
      </c>
      <c r="AB30" s="278" t="str">
        <f>_xlfn.IFNA(  SUBSTITUTE(     IF(  INDEX(役男大表!$A$1:$BF$95,MATCH($A30,役男大表!$A$1:$A$97,0),   MATCH(AB$1,役男大表!$A$3:$BF$3,0)  )=0,"",  IF(  INDEX(役男大表!$A$1:$BF$95,MATCH($A30,役男大表!$A$1:$A$97,0),   MATCH(AB$1,役男大表!$A$3:$BF$3,0)  )="榮","x",  IF(  INDEX(役男大表!$A$1:$BF$95,MATCH($A30,役男大表!$A$1:$A$97,0),   MATCH(AB$1,役男大表!$A$3:$BF$3,0)  )="榮-22",  "x榮18-22",               INDEX(役男大表!$A$1:$BF$95,MATCH($A30,役男大表!$A$1:$A$97,0),   MATCH(AB$1,役男大表!$A$3:$BF$3,0)  )                  )  )  )," ",""),"")</f>
        <v>x</v>
      </c>
      <c r="AC30" s="278" t="str">
        <f>_xlfn.IFNA(  SUBSTITUTE(     IF(  INDEX(役男大表!$A$1:$BF$95,MATCH($A30,役男大表!$A$1:$A$97,0),   MATCH(AC$1,役男大表!$A$3:$BF$3,0)  )=0,"",  IF(  INDEX(役男大表!$A$1:$BF$95,MATCH($A30,役男大表!$A$1:$A$97,0),   MATCH(AC$1,役男大表!$A$3:$BF$3,0)  )="榮","x",  IF(  INDEX(役男大表!$A$1:$BF$95,MATCH($A30,役男大表!$A$1:$A$97,0),   MATCH(AC$1,役男大表!$A$3:$BF$3,0)  )="榮-22",  "x榮18-22",               INDEX(役男大表!$A$1:$BF$95,MATCH($A30,役男大表!$A$1:$A$97,0),   MATCH(AC$1,役男大表!$A$3:$BF$3,0)  )                  )  )  )," ",""),"")</f>
        <v/>
      </c>
      <c r="AD30" s="278" t="str">
        <f>_xlfn.IFNA(  SUBSTITUTE(     IF(  INDEX(役男大表!$A$1:$BF$95,MATCH($A30,役男大表!$A$1:$A$97,0),   MATCH(AD$1,役男大表!$A$3:$BF$3,0)  )=0,"",  IF(  INDEX(役男大表!$A$1:$BF$95,MATCH($A30,役男大表!$A$1:$A$97,0),   MATCH(AD$1,役男大表!$A$3:$BF$3,0)  )="榮","x",  IF(  INDEX(役男大表!$A$1:$BF$95,MATCH($A30,役男大表!$A$1:$A$97,0),   MATCH(AD$1,役男大表!$A$3:$BF$3,0)  )="榮-22",  "x榮18-22",               INDEX(役男大表!$A$1:$BF$95,MATCH($A30,役男大表!$A$1:$A$97,0),   MATCH(AD$1,役男大表!$A$3:$BF$3,0)  )                  )  )  )," ",""),"")</f>
        <v>x</v>
      </c>
      <c r="AE30" s="278" t="str">
        <f>_xlfn.IFNA(  SUBSTITUTE(     IF(  INDEX(役男大表!$A$1:$BF$95,MATCH($A30,役男大表!$A$1:$A$97,0),   MATCH(AE$1,役男大表!$A$3:$BF$3,0)  )=0,"",  IF(  INDEX(役男大表!$A$1:$BF$95,MATCH($A30,役男大表!$A$1:$A$97,0),   MATCH(AE$1,役男大表!$A$3:$BF$3,0)  )="榮","x",  IF(  INDEX(役男大表!$A$1:$BF$95,MATCH($A30,役男大表!$A$1:$A$97,0),   MATCH(AE$1,役男大表!$A$3:$BF$3,0)  )="榮-22",  "x榮18-22",               INDEX(役男大表!$A$1:$BF$95,MATCH($A30,役男大表!$A$1:$A$97,0),   MATCH(AE$1,役男大表!$A$3:$BF$3,0)  )                  )  )  )," ",""),"")</f>
        <v/>
      </c>
      <c r="AF30" s="278" t="str">
        <f>_xlfn.IFNA(  SUBSTITUTE(     IF(  INDEX(役男大表!$A$1:$BF$95,MATCH($A30,役男大表!$A$1:$A$97,0),   MATCH(AF$1,役男大表!$A$3:$BF$3,0)  )=0,"",  IF(  INDEX(役男大表!$A$1:$BF$95,MATCH($A30,役男大表!$A$1:$A$97,0),   MATCH(AF$1,役男大表!$A$3:$BF$3,0)  )="榮","x",  IF(  INDEX(役男大表!$A$1:$BF$95,MATCH($A30,役男大表!$A$1:$A$97,0),   MATCH(AF$1,役男大表!$A$3:$BF$3,0)  )="榮-22",  "x榮18-22",               INDEX(役男大表!$A$1:$BF$95,MATCH($A30,役男大表!$A$1:$A$97,0),   MATCH(AF$1,役男大表!$A$3:$BF$3,0)  )                  )  )  )," ",""),"")</f>
        <v/>
      </c>
      <c r="AG30" s="278" t="str">
        <f>_xlfn.IFNA(  SUBSTITUTE(     IF(  INDEX(役男大表!$A$1:$BF$95,MATCH($A30,役男大表!$A$1:$A$97,0),   MATCH(AG$1,役男大表!$A$3:$BF$3,0)  )=0,"",  IF(  INDEX(役男大表!$A$1:$BF$95,MATCH($A30,役男大表!$A$1:$A$97,0),   MATCH(AG$1,役男大表!$A$3:$BF$3,0)  )="榮","x",  IF(  INDEX(役男大表!$A$1:$BF$95,MATCH($A30,役男大表!$A$1:$A$97,0),   MATCH(AG$1,役男大表!$A$3:$BF$3,0)  )="榮-22",  "x榮18-22",               INDEX(役男大表!$A$1:$BF$95,MATCH($A30,役男大表!$A$1:$A$97,0),   MATCH(AG$1,役男大表!$A$3:$BF$3,0)  )                  )  )  )," ",""),"")</f>
        <v/>
      </c>
      <c r="AH30" s="278" t="str">
        <f>_xlfn.IFNA(  SUBSTITUTE(     IF(  INDEX(役男大表!$A$1:$BF$95,MATCH($A30,役男大表!$A$1:$A$97,0),   MATCH(AH$1,役男大表!$A$3:$BF$3,0)  )=0,"",  IF(  INDEX(役男大表!$A$1:$BF$95,MATCH($A30,役男大表!$A$1:$A$97,0),   MATCH(AH$1,役男大表!$A$3:$BF$3,0)  )="榮","x",  IF(  INDEX(役男大表!$A$1:$BF$95,MATCH($A30,役男大表!$A$1:$A$97,0),   MATCH(AH$1,役男大表!$A$3:$BF$3,0)  )="榮-22",  "x榮18-22",               INDEX(役男大表!$A$1:$BF$95,MATCH($A30,役男大表!$A$1:$A$97,0),   MATCH(AH$1,役男大表!$A$3:$BF$3,0)  )                  )  )  )," ",""),"")</f>
        <v/>
      </c>
      <c r="AI30" s="278" t="str">
        <f>_xlfn.IFNA(  SUBSTITUTE(     IF(  INDEX(役男大表!$A$1:$BF$95,MATCH($A30,役男大表!$A$1:$A$97,0),   MATCH(AI$1,役男大表!$A$3:$BF$3,0)  )=0,"",  IF(  INDEX(役男大表!$A$1:$BF$95,MATCH($A30,役男大表!$A$1:$A$97,0),   MATCH(AI$1,役男大表!$A$3:$BF$3,0)  )="榮","x",  IF(  INDEX(役男大表!$A$1:$BF$95,MATCH($A30,役男大表!$A$1:$A$97,0),   MATCH(AI$1,役男大表!$A$3:$BF$3,0)  )="榮-22",  "x榮18-22",               INDEX(役男大表!$A$1:$BF$95,MATCH($A30,役男大表!$A$1:$A$97,0),   MATCH(AI$1,役男大表!$A$3:$BF$3,0)  )                  )  )  )," ",""),"")</f>
        <v/>
      </c>
      <c r="AJ30" s="278" t="str">
        <f>_xlfn.IFNA(  SUBSTITUTE(     IF(  INDEX(役男大表!$A$1:$BF$95,MATCH($A30,役男大表!$A$1:$A$97,0),   MATCH(AJ$1,役男大表!$A$3:$BF$3,0)  )=0,"",  IF(  INDEX(役男大表!$A$1:$BF$95,MATCH($A30,役男大表!$A$1:$A$97,0),   MATCH(AJ$1,役男大表!$A$3:$BF$3,0)  )="榮","x",  IF(  INDEX(役男大表!$A$1:$BF$95,MATCH($A30,役男大表!$A$1:$A$97,0),   MATCH(AJ$1,役男大表!$A$3:$BF$3,0)  )="榮-22",  "x榮18-22",               INDEX(役男大表!$A$1:$BF$95,MATCH($A30,役男大表!$A$1:$A$97,0),   MATCH(AJ$1,役男大表!$A$3:$BF$3,0)  )                  )  )  )," ",""),"")</f>
        <v/>
      </c>
      <c r="AM30" s="66">
        <f t="shared" si="1"/>
        <v>29</v>
      </c>
      <c r="AN30" s="66" t="str">
        <f t="shared" si="2"/>
        <v>陳羲</v>
      </c>
      <c r="AO30" s="71" t="str">
        <f>IF(  AND(  INDEX(   $A$42:$AJ$79, MATCH(AM30,$A$42:$A$79,0),MATCH(  日期輸入!$C$3,$A$42:$AL$42,0  )  )="全日勤",  AV30="免"  ),  "全日勤免勤教",  IF(  AND(  INDEX(   $A$42:$AJ$79, MATCH(AM30,$A$42:$A$79,0),MATCH(  日期輸入!$C$3,$A$42:$AL$42,0  )  )="18放",  AV30="免"  ),  "18放早走",  INDEX(   $A$42:$AJ$79, MATCH(AM30,$A$42:$A$79,0),MATCH(  日期輸入!$C$3,$A$42:$AL$42,0  )  )  )  )</f>
        <v>全日勤</v>
      </c>
      <c r="AP30" s="66" t="str">
        <f>_xlfn.IFNA(IF((ROW(AP30)-1)&lt;=暫1!$B$2,IF(VALUE($AM30)=暫1!B$3,"家因",IF(VALUE($AM30)=暫1!C$3,"家因",IF(VALUE($AM30)=暫1!D$3,"家因",IF(VALUE($AM30)=暫1!E$3,"家因",IF(VALUE($AM30)=暫1!F$3,"家因",IF(VALUE($AM30)=暫1!G$3,"家因",IF(VALUE($AM30)=暫1!H$3,"家因",IF(VALUE($AM30)=暫1!I$3,"家因",IF(VALUE($AM30)=暫1!J$3,"家因",IF(VALUE($AM30)=暫1!K$3,"家因",IF(VALUE($AM30)=暫1!L$3,"家因",IF(VALUE($AM30)=暫1!M$3,"家因",IF(VALUE($AM30)=暫1!N$3,"家因",IF(VALUE($AM30)=暫1!O$3,"家因",IF(VALUE($AM30)=暫1!P$3,"家因",IF(VALUE($AM30)=暫1!Q$3,"家因",IF(VALUE($AM30)=暫1!R$3,"家因",IF(VALUE($AM30)=暫1!S$3,"家因",IF(VALUE($AM30)=暫1!T$3,"家因",IF(VALUE($AM30)=暫1!U$3,"家因","")))))))))))))))))))),""),"")</f>
        <v/>
      </c>
      <c r="AQ30" s="66" t="str">
        <f>IF((ROW(AQ30)-1)&lt;=暫1!$B$2,_xlfn.IFNA(IF(INDEX($A$1:$AJ$41,MATCH($AN30,$B$1:$B$101,0),VALUE($AQ$1+3))="成","補",INDEX($A$1:$AJ$41,MATCH($AN30,$B$1:$B$101,0),VALUE($AQ$1+3))),""),"")</f>
        <v/>
      </c>
      <c r="AR30" s="66" t="str">
        <f>IF((ROW(AR30)-1)&lt;=暫1!$B$2,_xlfn.IFNA(IF(INDEX($A$1:$AJ$41,MATCH($AN30,$B$1:$B$101,0),VALUE($AR$1+3))="成","補",INDEX($A$1:$AJ$41,MATCH($AN30,$B$1:$B$101,0),VALUE($AR$1+3))),""),"")</f>
        <v/>
      </c>
      <c r="AS30" s="66" t="str">
        <f>IF((ROW(AS30)-1)&lt;=暫1!$B$2,_xlfn.IFNA(IF(INDEX($A$1:$AJ$41,MATCH($AN30,$B$1:$B$101,0),VALUE($AS$1+3))="成","補",INDEX($A$1:$AJ$41,MATCH($AN30,$B$1:$B$101,0),VALUE($AS$1+3))),""),"")</f>
        <v/>
      </c>
      <c r="AT30" s="66" t="str">
        <f>IF(  OR(  LEN(  INDEX(   $A$1:$AJ$39, MATCH(AM30,$A$1:$A$39,0),MATCH(  日期輸入!$C$3,$A$1:$AP$1,0  )  )  )&gt;LEN(  SUBSTITUTE(  INDEX(   $A$1:$AJ$39, MATCH(AM30,$A$1:$A$39,0),MATCH(  日期輸入!$C$3,$A$1:$AP$1,0  )  ),"榮","")  )  ),   SUBSTITUTE(  SUBSTITUTE(  INDEX(   $A$1:$AJ$39, MATCH(AM30,$A$1:$A$39,0),MATCH(  日期輸入!$C$3,$A$1:$AP$1,0  )  ),"榮",""),"x",""), "")</f>
        <v/>
      </c>
      <c r="AU30" s="66" t="str">
        <f t="shared" si="3"/>
        <v/>
      </c>
      <c r="AV30" s="66" t="str">
        <f>INDEX(   $A$482:$AJ$519, MATCH(AM30,$A$482:$A$519,0),MATCH(  日期輸入!$C$3,$A$482:$AL$482,0  )  )</f>
        <v/>
      </c>
      <c r="AX30" s="66" t="str">
        <f>IFERROR(IF((ROW(AX30)-1)&lt;=暫1!$B$2,SUBSTITUTE(IF($AO30=$AX$1,$AM30,"")," ",""),""),"")</f>
        <v/>
      </c>
      <c r="AY30" s="66" t="str">
        <f>IFERROR(IF((ROW(AY30)-1)&lt;=暫1!$B$2,SUBSTITUTE(IF($AO30=$AY$1,$AM30,"")," ",""),""),"")</f>
        <v/>
      </c>
      <c r="AZ30" s="66" t="str">
        <f>IFERROR(IF((ROW(AZ30)-1)&lt;=暫1!$B$2,SUBSTITUTE(IF($AO30=$AZ$1,$AM30,"")," ",""),""),"")</f>
        <v/>
      </c>
      <c r="BA30" s="66" t="str">
        <f>IFERROR(IF((ROW(BA30)-1)&lt;=暫1!$B$2,SUBSTITUTE(IF($AO30=$BA$1,$AM30,"")," ",""),""),"")</f>
        <v/>
      </c>
      <c r="BB30" s="69" t="str">
        <f>IFERROR(IF((ROW(BB30)-1)&lt;=暫1!$B$2,SUBSTITUTE(IF(OR($AO30=$BB$1,$AO30=$AY$1,$AO30=$AZ$1),$AM30,IF($AO30=$AY$1,$AM30,"")),"",""),""),"")</f>
        <v>29</v>
      </c>
      <c r="BC30" s="69" t="str">
        <f>IF(    AND(LEN(BC29)&gt;=2 ),        "、" &amp;  IF(OR(役男人力!$J$2:$J$84="是"),役男人力!$B30,""),  IF(OR(役男人力!$J$2:$J$84="是"),役男人力!$B30,"")  )</f>
        <v>陳羲</v>
      </c>
    </row>
    <row r="31" spans="1:59" ht="25.5" customHeight="1">
      <c r="A31" s="278">
        <v>30</v>
      </c>
      <c r="B31" s="278" t="str">
        <f>_xlfn.IFNA(  INDEX(役男大表!$A$1:$BF$95,MATCH(A31,役男大表!$A$1:$A$97,0),2),"")</f>
        <v>謝昕融</v>
      </c>
      <c r="C31" s="278" t="str">
        <f>_xlfn.IFNA(  SUBSTITUTE(     IF(  INDEX(役男大表!$A$1:$BF$95,MATCH($A31,役男大表!$A$1:$A$97,0),   MATCH(C$1,役男大表!$A$3:$BF$3,0)  )=0,"",  IF(  INDEX(役男大表!$A$1:$BF$95,MATCH($A31,役男大表!$A$1:$A$97,0),   MATCH(C$1,役男大表!$A$3:$BF$3,0)  )="榮","x",  IF(  INDEX(役男大表!$A$1:$BF$95,MATCH($A31,役男大表!$A$1:$A$97,0),   MATCH(C$1,役男大表!$A$3:$BF$3,0)  )="榮-22",  "x榮18-22",               INDEX(役男大表!$A$1:$BF$95,MATCH($A31,役男大表!$A$1:$A$97,0),   MATCH(C$1,役男大表!$A$3:$BF$3,0)  )                  )  )  )," ",""),"")</f>
        <v>病</v>
      </c>
      <c r="D31" s="278" t="str">
        <f>_xlfn.IFNA(  SUBSTITUTE(     IF(  INDEX(役男大表!$A$1:$BF$95,MATCH($A31,役男大表!$A$1:$A$97,0),   MATCH(D$1,役男大表!$A$3:$BF$3,0)  )=0,"",  IF(  INDEX(役男大表!$A$1:$BF$95,MATCH($A31,役男大表!$A$1:$A$97,0),   MATCH(D$1,役男大表!$A$3:$BF$3,0)  )="榮","x",  IF(  INDEX(役男大表!$A$1:$BF$95,MATCH($A31,役男大表!$A$1:$A$97,0),   MATCH(D$1,役男大表!$A$3:$BF$3,0)  )="榮-22",  "x榮18-22",               INDEX(役男大表!$A$1:$BF$95,MATCH($A31,役男大表!$A$1:$A$97,0),   MATCH(D$1,役男大表!$A$3:$BF$3,0)  )                  )  )  )," ",""),"")</f>
        <v>病</v>
      </c>
      <c r="E31" s="278" t="str">
        <f>_xlfn.IFNA(  SUBSTITUTE(     IF(  INDEX(役男大表!$A$1:$BF$95,MATCH($A31,役男大表!$A$1:$A$97,0),   MATCH(E$1,役男大表!$A$3:$BF$3,0)  )=0,"",  IF(  INDEX(役男大表!$A$1:$BF$95,MATCH($A31,役男大表!$A$1:$A$97,0),   MATCH(E$1,役男大表!$A$3:$BF$3,0)  )="榮","x",  IF(  INDEX(役男大表!$A$1:$BF$95,MATCH($A31,役男大表!$A$1:$A$97,0),   MATCH(E$1,役男大表!$A$3:$BF$3,0)  )="榮-22",  "x榮18-22",               INDEX(役男大表!$A$1:$BF$95,MATCH($A31,役男大表!$A$1:$A$97,0),   MATCH(E$1,役男大表!$A$3:$BF$3,0)  )                  )  )  )," ",""),"")</f>
        <v/>
      </c>
      <c r="F31" s="278" t="str">
        <f>_xlfn.IFNA(  SUBSTITUTE(     IF(  INDEX(役男大表!$A$1:$BF$95,MATCH($A31,役男大表!$A$1:$A$97,0),   MATCH(F$1,役男大表!$A$3:$BF$3,0)  )=0,"",  IF(  INDEX(役男大表!$A$1:$BF$95,MATCH($A31,役男大表!$A$1:$A$97,0),   MATCH(F$1,役男大表!$A$3:$BF$3,0)  )="榮","x",  IF(  INDEX(役男大表!$A$1:$BF$95,MATCH($A31,役男大表!$A$1:$A$97,0),   MATCH(F$1,役男大表!$A$3:$BF$3,0)  )="榮-22",  "x榮18-22",               INDEX(役男大表!$A$1:$BF$95,MATCH($A31,役男大表!$A$1:$A$97,0),   MATCH(F$1,役男大表!$A$3:$BF$3,0)  )                  )  )  )," ",""),"")</f>
        <v/>
      </c>
      <c r="G31" s="278" t="str">
        <f>_xlfn.IFNA(  SUBSTITUTE(     IF(  INDEX(役男大表!$A$1:$BF$95,MATCH($A31,役男大表!$A$1:$A$97,0),   MATCH(G$1,役男大表!$A$3:$BF$3,0)  )=0,"",  IF(  INDEX(役男大表!$A$1:$BF$95,MATCH($A31,役男大表!$A$1:$A$97,0),   MATCH(G$1,役男大表!$A$3:$BF$3,0)  )="榮","x",  IF(  INDEX(役男大表!$A$1:$BF$95,MATCH($A31,役男大表!$A$1:$A$97,0),   MATCH(G$1,役男大表!$A$3:$BF$3,0)  )="榮-22",  "x榮18-22",               INDEX(役男大表!$A$1:$BF$95,MATCH($A31,役男大表!$A$1:$A$97,0),   MATCH(G$1,役男大表!$A$3:$BF$3,0)  )                  )  )  )," ",""),"")</f>
        <v/>
      </c>
      <c r="H31" s="278" t="str">
        <f>_xlfn.IFNA(  SUBSTITUTE(     IF(  INDEX(役男大表!$A$1:$BF$95,MATCH($A31,役男大表!$A$1:$A$97,0),   MATCH(H$1,役男大表!$A$3:$BF$3,0)  )=0,"",  IF(  INDEX(役男大表!$A$1:$BF$95,MATCH($A31,役男大表!$A$1:$A$97,0),   MATCH(H$1,役男大表!$A$3:$BF$3,0)  )="榮","x",  IF(  INDEX(役男大表!$A$1:$BF$95,MATCH($A31,役男大表!$A$1:$A$97,0),   MATCH(H$1,役男大表!$A$3:$BF$3,0)  )="榮-22",  "x榮18-22",               INDEX(役男大表!$A$1:$BF$95,MATCH($A31,役男大表!$A$1:$A$97,0),   MATCH(H$1,役男大表!$A$3:$BF$3,0)  )                  )  )  )," ",""),"")</f>
        <v/>
      </c>
      <c r="I31" s="278" t="str">
        <f>_xlfn.IFNA(  SUBSTITUTE(     IF(  INDEX(役男大表!$A$1:$BF$95,MATCH($A31,役男大表!$A$1:$A$97,0),   MATCH(I$1,役男大表!$A$3:$BF$3,0)  )=0,"",  IF(  INDEX(役男大表!$A$1:$BF$95,MATCH($A31,役男大表!$A$1:$A$97,0),   MATCH(I$1,役男大表!$A$3:$BF$3,0)  )="榮","x",  IF(  INDEX(役男大表!$A$1:$BF$95,MATCH($A31,役男大表!$A$1:$A$97,0),   MATCH(I$1,役男大表!$A$3:$BF$3,0)  )="榮-22",  "x榮18-22",               INDEX(役男大表!$A$1:$BF$95,MATCH($A31,役男大表!$A$1:$A$97,0),   MATCH(I$1,役男大表!$A$3:$BF$3,0)  )                  )  )  )," ",""),"")</f>
        <v/>
      </c>
      <c r="J31" s="278" t="str">
        <f>_xlfn.IFNA(  SUBSTITUTE(     IF(  INDEX(役男大表!$A$1:$BF$95,MATCH($A31,役男大表!$A$1:$A$97,0),   MATCH(J$1,役男大表!$A$3:$BF$3,0)  )=0,"",  IF(  INDEX(役男大表!$A$1:$BF$95,MATCH($A31,役男大表!$A$1:$A$97,0),   MATCH(J$1,役男大表!$A$3:$BF$3,0)  )="榮","x",  IF(  INDEX(役男大表!$A$1:$BF$95,MATCH($A31,役男大表!$A$1:$A$97,0),   MATCH(J$1,役男大表!$A$3:$BF$3,0)  )="榮-22",  "x榮18-22",               INDEX(役男大表!$A$1:$BF$95,MATCH($A31,役男大表!$A$1:$A$97,0),   MATCH(J$1,役男大表!$A$3:$BF$3,0)  )                  )  )  )," ",""),"")</f>
        <v>x</v>
      </c>
      <c r="K31" s="278" t="str">
        <f>_xlfn.IFNA(  SUBSTITUTE(     IF(  INDEX(役男大表!$A$1:$BF$95,MATCH($A31,役男大表!$A$1:$A$97,0),   MATCH(K$1,役男大表!$A$3:$BF$3,0)  )=0,"",  IF(  INDEX(役男大表!$A$1:$BF$95,MATCH($A31,役男大表!$A$1:$A$97,0),   MATCH(K$1,役男大表!$A$3:$BF$3,0)  )="榮","x",  IF(  INDEX(役男大表!$A$1:$BF$95,MATCH($A31,役男大表!$A$1:$A$97,0),   MATCH(K$1,役男大表!$A$3:$BF$3,0)  )="榮-22",  "x榮18-22",               INDEX(役男大表!$A$1:$BF$95,MATCH($A31,役男大表!$A$1:$A$97,0),   MATCH(K$1,役男大表!$A$3:$BF$3,0)  )                  )  )  )," ",""),"")</f>
        <v>x</v>
      </c>
      <c r="L31" s="278" t="str">
        <f>_xlfn.IFNA(  SUBSTITUTE(     IF(  INDEX(役男大表!$A$1:$BF$95,MATCH($A31,役男大表!$A$1:$A$97,0),   MATCH(L$1,役男大表!$A$3:$BF$3,0)  )=0,"",  IF(  INDEX(役男大表!$A$1:$BF$95,MATCH($A31,役男大表!$A$1:$A$97,0),   MATCH(L$1,役男大表!$A$3:$BF$3,0)  )="榮","x",  IF(  INDEX(役男大表!$A$1:$BF$95,MATCH($A31,役男大表!$A$1:$A$97,0),   MATCH(L$1,役男大表!$A$3:$BF$3,0)  )="榮-22",  "x榮18-22",               INDEX(役男大表!$A$1:$BF$95,MATCH($A31,役男大表!$A$1:$A$97,0),   MATCH(L$1,役男大表!$A$3:$BF$3,0)  )                  )  )  )," ",""),"")</f>
        <v>x</v>
      </c>
      <c r="M31" s="278" t="str">
        <f>_xlfn.IFNA(  SUBSTITUTE(     IF(  INDEX(役男大表!$A$1:$BF$95,MATCH($A31,役男大表!$A$1:$A$97,0),   MATCH(M$1,役男大表!$A$3:$BF$3,0)  )=0,"",  IF(  INDEX(役男大表!$A$1:$BF$95,MATCH($A31,役男大表!$A$1:$A$97,0),   MATCH(M$1,役男大表!$A$3:$BF$3,0)  )="榮","x",  IF(  INDEX(役男大表!$A$1:$BF$95,MATCH($A31,役男大表!$A$1:$A$97,0),   MATCH(M$1,役男大表!$A$3:$BF$3,0)  )="榮-22",  "x榮18-22",               INDEX(役男大表!$A$1:$BF$95,MATCH($A31,役男大表!$A$1:$A$97,0),   MATCH(M$1,役男大表!$A$3:$BF$3,0)  )                  )  )  )," ",""),"")</f>
        <v>x</v>
      </c>
      <c r="N31" s="278" t="str">
        <f>_xlfn.IFNA(  SUBSTITUTE(     IF(  INDEX(役男大表!$A$1:$BF$95,MATCH($A31,役男大表!$A$1:$A$97,0),   MATCH(N$1,役男大表!$A$3:$BF$3,0)  )=0,"",  IF(  INDEX(役男大表!$A$1:$BF$95,MATCH($A31,役男大表!$A$1:$A$97,0),   MATCH(N$1,役男大表!$A$3:$BF$3,0)  )="榮","x",  IF(  INDEX(役男大表!$A$1:$BF$95,MATCH($A31,役男大表!$A$1:$A$97,0),   MATCH(N$1,役男大表!$A$3:$BF$3,0)  )="榮-22",  "x榮18-22",               INDEX(役男大表!$A$1:$BF$95,MATCH($A31,役男大表!$A$1:$A$97,0),   MATCH(N$1,役男大表!$A$3:$BF$3,0)  )                  )  )  )," ",""),"")</f>
        <v>x</v>
      </c>
      <c r="O31" s="278" t="str">
        <f>_xlfn.IFNA(  SUBSTITUTE(     IF(  INDEX(役男大表!$A$1:$BF$95,MATCH($A31,役男大表!$A$1:$A$97,0),   MATCH(O$1,役男大表!$A$3:$BF$3,0)  )=0,"",  IF(  INDEX(役男大表!$A$1:$BF$95,MATCH($A31,役男大表!$A$1:$A$97,0),   MATCH(O$1,役男大表!$A$3:$BF$3,0)  )="榮","x",  IF(  INDEX(役男大表!$A$1:$BF$95,MATCH($A31,役男大表!$A$1:$A$97,0),   MATCH(O$1,役男大表!$A$3:$BF$3,0)  )="榮-22",  "x榮18-22",               INDEX(役男大表!$A$1:$BF$95,MATCH($A31,役男大表!$A$1:$A$97,0),   MATCH(O$1,役男大表!$A$3:$BF$3,0)  )                  )  )  )," ",""),"")</f>
        <v/>
      </c>
      <c r="P31" s="278" t="str">
        <f>_xlfn.IFNA(  SUBSTITUTE(     IF(  INDEX(役男大表!$A$1:$BF$95,MATCH($A31,役男大表!$A$1:$A$97,0),   MATCH(P$1,役男大表!$A$3:$BF$3,0)  )=0,"",  IF(  INDEX(役男大表!$A$1:$BF$95,MATCH($A31,役男大表!$A$1:$A$97,0),   MATCH(P$1,役男大表!$A$3:$BF$3,0)  )="榮","x",  IF(  INDEX(役男大表!$A$1:$BF$95,MATCH($A31,役男大表!$A$1:$A$97,0),   MATCH(P$1,役男大表!$A$3:$BF$3,0)  )="榮-22",  "x榮18-22",               INDEX(役男大表!$A$1:$BF$95,MATCH($A31,役男大表!$A$1:$A$97,0),   MATCH(P$1,役男大表!$A$3:$BF$3,0)  )                  )  )  )," ",""),"")</f>
        <v/>
      </c>
      <c r="Q31" s="278" t="str">
        <f>_xlfn.IFNA(  SUBSTITUTE(     IF(  INDEX(役男大表!$A$1:$BF$95,MATCH($A31,役男大表!$A$1:$A$97,0),   MATCH(Q$1,役男大表!$A$3:$BF$3,0)  )=0,"",  IF(  INDEX(役男大表!$A$1:$BF$95,MATCH($A31,役男大表!$A$1:$A$97,0),   MATCH(Q$1,役男大表!$A$3:$BF$3,0)  )="榮","x",  IF(  INDEX(役男大表!$A$1:$BF$95,MATCH($A31,役男大表!$A$1:$A$97,0),   MATCH(Q$1,役男大表!$A$3:$BF$3,0)  )="榮-22",  "x榮18-22",               INDEX(役男大表!$A$1:$BF$95,MATCH($A31,役男大表!$A$1:$A$97,0),   MATCH(Q$1,役男大表!$A$3:$BF$3,0)  )                  )  )  )," ",""),"")</f>
        <v/>
      </c>
      <c r="R31" s="278" t="str">
        <f>_xlfn.IFNA(  SUBSTITUTE(     IF(  INDEX(役男大表!$A$1:$BF$95,MATCH($A31,役男大表!$A$1:$A$97,0),   MATCH(R$1,役男大表!$A$3:$BF$3,0)  )=0,"",  IF(  INDEX(役男大表!$A$1:$BF$95,MATCH($A31,役男大表!$A$1:$A$97,0),   MATCH(R$1,役男大表!$A$3:$BF$3,0)  )="榮","x",  IF(  INDEX(役男大表!$A$1:$BF$95,MATCH($A31,役男大表!$A$1:$A$97,0),   MATCH(R$1,役男大表!$A$3:$BF$3,0)  )="榮-22",  "x榮18-22",               INDEX(役男大表!$A$1:$BF$95,MATCH($A31,役男大表!$A$1:$A$97,0),   MATCH(R$1,役男大表!$A$3:$BF$3,0)  )                  )  )  )," ",""),"")</f>
        <v/>
      </c>
      <c r="S31" s="278" t="str">
        <f>_xlfn.IFNA(  SUBSTITUTE(     IF(  INDEX(役男大表!$A$1:$BF$95,MATCH($A31,役男大表!$A$1:$A$97,0),   MATCH(S$1,役男大表!$A$3:$BF$3,0)  )=0,"",  IF(  INDEX(役男大表!$A$1:$BF$95,MATCH($A31,役男大表!$A$1:$A$97,0),   MATCH(S$1,役男大表!$A$3:$BF$3,0)  )="榮","x",  IF(  INDEX(役男大表!$A$1:$BF$95,MATCH($A31,役男大表!$A$1:$A$97,0),   MATCH(S$1,役男大表!$A$3:$BF$3,0)  )="榮-22",  "x榮18-22",               INDEX(役男大表!$A$1:$BF$95,MATCH($A31,役男大表!$A$1:$A$97,0),   MATCH(S$1,役男大表!$A$3:$BF$3,0)  )                  )  )  )," ",""),"")</f>
        <v/>
      </c>
      <c r="T31" s="278" t="str">
        <f>_xlfn.IFNA(  SUBSTITUTE(     IF(  INDEX(役男大表!$A$1:$BF$95,MATCH($A31,役男大表!$A$1:$A$97,0),   MATCH(T$1,役男大表!$A$3:$BF$3,0)  )=0,"",  IF(  INDEX(役男大表!$A$1:$BF$95,MATCH($A31,役男大表!$A$1:$A$97,0),   MATCH(T$1,役男大表!$A$3:$BF$3,0)  )="榮","x",  IF(  INDEX(役男大表!$A$1:$BF$95,MATCH($A31,役男大表!$A$1:$A$97,0),   MATCH(T$1,役男大表!$A$3:$BF$3,0)  )="榮-22",  "x榮18-22",               INDEX(役男大表!$A$1:$BF$95,MATCH($A31,役男大表!$A$1:$A$97,0),   MATCH(T$1,役男大表!$A$3:$BF$3,0)  )                  )  )  )," ",""),"")</f>
        <v>x</v>
      </c>
      <c r="U31" s="278" t="str">
        <f>_xlfn.IFNA(  SUBSTITUTE(     IF(  INDEX(役男大表!$A$1:$BF$95,MATCH($A31,役男大表!$A$1:$A$97,0),   MATCH(U$1,役男大表!$A$3:$BF$3,0)  )=0,"",  IF(  INDEX(役男大表!$A$1:$BF$95,MATCH($A31,役男大表!$A$1:$A$97,0),   MATCH(U$1,役男大表!$A$3:$BF$3,0)  )="榮","x",  IF(  INDEX(役男大表!$A$1:$BF$95,MATCH($A31,役男大表!$A$1:$A$97,0),   MATCH(U$1,役男大表!$A$3:$BF$3,0)  )="榮-22",  "x榮18-22",               INDEX(役男大表!$A$1:$BF$95,MATCH($A31,役男大表!$A$1:$A$97,0),   MATCH(U$1,役男大表!$A$3:$BF$3,0)  )                  )  )  )," ",""),"")</f>
        <v>x</v>
      </c>
      <c r="V31" s="278" t="str">
        <f>_xlfn.IFNA(  SUBSTITUTE(     IF(  INDEX(役男大表!$A$1:$BF$95,MATCH($A31,役男大表!$A$1:$A$97,0),   MATCH(V$1,役男大表!$A$3:$BF$3,0)  )=0,"",  IF(  INDEX(役男大表!$A$1:$BF$95,MATCH($A31,役男大表!$A$1:$A$97,0),   MATCH(V$1,役男大表!$A$3:$BF$3,0)  )="榮","x",  IF(  INDEX(役男大表!$A$1:$BF$95,MATCH($A31,役男大表!$A$1:$A$97,0),   MATCH(V$1,役男大表!$A$3:$BF$3,0)  )="榮-22",  "x榮18-22",               INDEX(役男大表!$A$1:$BF$95,MATCH($A31,役男大表!$A$1:$A$97,0),   MATCH(V$1,役男大表!$A$3:$BF$3,0)  )                  )  )  )," ",""),"")</f>
        <v/>
      </c>
      <c r="W31" s="278" t="str">
        <f>_xlfn.IFNA(  SUBSTITUTE(     IF(  INDEX(役男大表!$A$1:$BF$95,MATCH($A31,役男大表!$A$1:$A$97,0),   MATCH(W$1,役男大表!$A$3:$BF$3,0)  )=0,"",  IF(  INDEX(役男大表!$A$1:$BF$95,MATCH($A31,役男大表!$A$1:$A$97,0),   MATCH(W$1,役男大表!$A$3:$BF$3,0)  )="榮","x",  IF(  INDEX(役男大表!$A$1:$BF$95,MATCH($A31,役男大表!$A$1:$A$97,0),   MATCH(W$1,役男大表!$A$3:$BF$3,0)  )="榮-22",  "x榮18-22",               INDEX(役男大表!$A$1:$BF$95,MATCH($A31,役男大表!$A$1:$A$97,0),   MATCH(W$1,役男大表!$A$3:$BF$3,0)  )                  )  )  )," ",""),"")</f>
        <v/>
      </c>
      <c r="X31" s="278" t="str">
        <f>_xlfn.IFNA(  SUBSTITUTE(     IF(  INDEX(役男大表!$A$1:$BF$95,MATCH($A31,役男大表!$A$1:$A$97,0),   MATCH(X$1,役男大表!$A$3:$BF$3,0)  )=0,"",  IF(  INDEX(役男大表!$A$1:$BF$95,MATCH($A31,役男大表!$A$1:$A$97,0),   MATCH(X$1,役男大表!$A$3:$BF$3,0)  )="榮","x",  IF(  INDEX(役男大表!$A$1:$BF$95,MATCH($A31,役男大表!$A$1:$A$97,0),   MATCH(X$1,役男大表!$A$3:$BF$3,0)  )="榮-22",  "x榮18-22",               INDEX(役男大表!$A$1:$BF$95,MATCH($A31,役男大表!$A$1:$A$97,0),   MATCH(X$1,役男大表!$A$3:$BF$3,0)  )                  )  )  )," ",""),"")</f>
        <v/>
      </c>
      <c r="Y31" s="278" t="str">
        <f>_xlfn.IFNA(  SUBSTITUTE(     IF(  INDEX(役男大表!$A$1:$BF$95,MATCH($A31,役男大表!$A$1:$A$97,0),   MATCH(Y$1,役男大表!$A$3:$BF$3,0)  )=0,"",  IF(  INDEX(役男大表!$A$1:$BF$95,MATCH($A31,役男大表!$A$1:$A$97,0),   MATCH(Y$1,役男大表!$A$3:$BF$3,0)  )="榮","x",  IF(  INDEX(役男大表!$A$1:$BF$95,MATCH($A31,役男大表!$A$1:$A$97,0),   MATCH(Y$1,役男大表!$A$3:$BF$3,0)  )="榮-22",  "x榮18-22",               INDEX(役男大表!$A$1:$BF$95,MATCH($A31,役男大表!$A$1:$A$97,0),   MATCH(Y$1,役男大表!$A$3:$BF$3,0)  )                  )  )  )," ",""),"")</f>
        <v/>
      </c>
      <c r="Z31" s="278" t="str">
        <f>_xlfn.IFNA(  SUBSTITUTE(     IF(  INDEX(役男大表!$A$1:$BF$95,MATCH($A31,役男大表!$A$1:$A$97,0),   MATCH(Z$1,役男大表!$A$3:$BF$3,0)  )=0,"",  IF(  INDEX(役男大表!$A$1:$BF$95,MATCH($A31,役男大表!$A$1:$A$97,0),   MATCH(Z$1,役男大表!$A$3:$BF$3,0)  )="榮","x",  IF(  INDEX(役男大表!$A$1:$BF$95,MATCH($A31,役男大表!$A$1:$A$97,0),   MATCH(Z$1,役男大表!$A$3:$BF$3,0)  )="榮-22",  "x榮18-22",               INDEX(役男大表!$A$1:$BF$95,MATCH($A31,役男大表!$A$1:$A$97,0),   MATCH(Z$1,役男大表!$A$3:$BF$3,0)  )                  )  )  )," ",""),"")</f>
        <v>x</v>
      </c>
      <c r="AA31" s="278" t="str">
        <f>_xlfn.IFNA(  SUBSTITUTE(     IF(  INDEX(役男大表!$A$1:$BF$95,MATCH($A31,役男大表!$A$1:$A$97,0),   MATCH(AA$1,役男大表!$A$3:$BF$3,0)  )=0,"",  IF(  INDEX(役男大表!$A$1:$BF$95,MATCH($A31,役男大表!$A$1:$A$97,0),   MATCH(AA$1,役男大表!$A$3:$BF$3,0)  )="榮","x",  IF(  INDEX(役男大表!$A$1:$BF$95,MATCH($A31,役男大表!$A$1:$A$97,0),   MATCH(AA$1,役男大表!$A$3:$BF$3,0)  )="榮-22",  "x榮18-22",               INDEX(役男大表!$A$1:$BF$95,MATCH($A31,役男大表!$A$1:$A$97,0),   MATCH(AA$1,役男大表!$A$3:$BF$3,0)  )                  )  )  )," ",""),"")</f>
        <v>x</v>
      </c>
      <c r="AB31" s="278" t="str">
        <f>_xlfn.IFNA(  SUBSTITUTE(     IF(  INDEX(役男大表!$A$1:$BF$95,MATCH($A31,役男大表!$A$1:$A$97,0),   MATCH(AB$1,役男大表!$A$3:$BF$3,0)  )=0,"",  IF(  INDEX(役男大表!$A$1:$BF$95,MATCH($A31,役男大表!$A$1:$A$97,0),   MATCH(AB$1,役男大表!$A$3:$BF$3,0)  )="榮","x",  IF(  INDEX(役男大表!$A$1:$BF$95,MATCH($A31,役男大表!$A$1:$A$97,0),   MATCH(AB$1,役男大表!$A$3:$BF$3,0)  )="榮-22",  "x榮18-22",               INDEX(役男大表!$A$1:$BF$95,MATCH($A31,役男大表!$A$1:$A$97,0),   MATCH(AB$1,役男大表!$A$3:$BF$3,0)  )                  )  )  )," ",""),"")</f>
        <v>x</v>
      </c>
      <c r="AC31" s="278" t="str">
        <f>_xlfn.IFNA(  SUBSTITUTE(     IF(  INDEX(役男大表!$A$1:$BF$95,MATCH($A31,役男大表!$A$1:$A$97,0),   MATCH(AC$1,役男大表!$A$3:$BF$3,0)  )=0,"",  IF(  INDEX(役男大表!$A$1:$BF$95,MATCH($A31,役男大表!$A$1:$A$97,0),   MATCH(AC$1,役男大表!$A$3:$BF$3,0)  )="榮","x",  IF(  INDEX(役男大表!$A$1:$BF$95,MATCH($A31,役男大表!$A$1:$A$97,0),   MATCH(AC$1,役男大表!$A$3:$BF$3,0)  )="榮-22",  "x榮18-22",               INDEX(役男大表!$A$1:$BF$95,MATCH($A31,役男大表!$A$1:$A$97,0),   MATCH(AC$1,役男大表!$A$3:$BF$3,0)  )                  )  )  )," ",""),"")</f>
        <v/>
      </c>
      <c r="AD31" s="278" t="str">
        <f>_xlfn.IFNA(  SUBSTITUTE(     IF(  INDEX(役男大表!$A$1:$BF$95,MATCH($A31,役男大表!$A$1:$A$97,0),   MATCH(AD$1,役男大表!$A$3:$BF$3,0)  )=0,"",  IF(  INDEX(役男大表!$A$1:$BF$95,MATCH($A31,役男大表!$A$1:$A$97,0),   MATCH(AD$1,役男大表!$A$3:$BF$3,0)  )="榮","x",  IF(  INDEX(役男大表!$A$1:$BF$95,MATCH($A31,役男大表!$A$1:$A$97,0),   MATCH(AD$1,役男大表!$A$3:$BF$3,0)  )="榮-22",  "x榮18-22",               INDEX(役男大表!$A$1:$BF$95,MATCH($A31,役男大表!$A$1:$A$97,0),   MATCH(AD$1,役男大表!$A$3:$BF$3,0)  )                  )  )  )," ",""),"")</f>
        <v/>
      </c>
      <c r="AE31" s="278" t="str">
        <f>_xlfn.IFNA(  SUBSTITUTE(     IF(  INDEX(役男大表!$A$1:$BF$95,MATCH($A31,役男大表!$A$1:$A$97,0),   MATCH(AE$1,役男大表!$A$3:$BF$3,0)  )=0,"",  IF(  INDEX(役男大表!$A$1:$BF$95,MATCH($A31,役男大表!$A$1:$A$97,0),   MATCH(AE$1,役男大表!$A$3:$BF$3,0)  )="榮","x",  IF(  INDEX(役男大表!$A$1:$BF$95,MATCH($A31,役男大表!$A$1:$A$97,0),   MATCH(AE$1,役男大表!$A$3:$BF$3,0)  )="榮-22",  "x榮18-22",               INDEX(役男大表!$A$1:$BF$95,MATCH($A31,役男大表!$A$1:$A$97,0),   MATCH(AE$1,役男大表!$A$3:$BF$3,0)  )                  )  )  )," ",""),"")</f>
        <v/>
      </c>
      <c r="AF31" s="278" t="str">
        <f>_xlfn.IFNA(  SUBSTITUTE(     IF(  INDEX(役男大表!$A$1:$BF$95,MATCH($A31,役男大表!$A$1:$A$97,0),   MATCH(AF$1,役男大表!$A$3:$BF$3,0)  )=0,"",  IF(  INDEX(役男大表!$A$1:$BF$95,MATCH($A31,役男大表!$A$1:$A$97,0),   MATCH(AF$1,役男大表!$A$3:$BF$3,0)  )="榮","x",  IF(  INDEX(役男大表!$A$1:$BF$95,MATCH($A31,役男大表!$A$1:$A$97,0),   MATCH(AF$1,役男大表!$A$3:$BF$3,0)  )="榮-22",  "x榮18-22",               INDEX(役男大表!$A$1:$BF$95,MATCH($A31,役男大表!$A$1:$A$97,0),   MATCH(AF$1,役男大表!$A$3:$BF$3,0)  )                  )  )  )," ",""),"")</f>
        <v/>
      </c>
      <c r="AG31" s="278" t="str">
        <f>_xlfn.IFNA(  SUBSTITUTE(     IF(  INDEX(役男大表!$A$1:$BF$95,MATCH($A31,役男大表!$A$1:$A$97,0),   MATCH(AG$1,役男大表!$A$3:$BF$3,0)  )=0,"",  IF(  INDEX(役男大表!$A$1:$BF$95,MATCH($A31,役男大表!$A$1:$A$97,0),   MATCH(AG$1,役男大表!$A$3:$BF$3,0)  )="榮","x",  IF(  INDEX(役男大表!$A$1:$BF$95,MATCH($A31,役男大表!$A$1:$A$97,0),   MATCH(AG$1,役男大表!$A$3:$BF$3,0)  )="榮-22",  "x榮18-22",               INDEX(役男大表!$A$1:$BF$95,MATCH($A31,役男大表!$A$1:$A$97,0),   MATCH(AG$1,役男大表!$A$3:$BF$3,0)  )                  )  )  )," ",""),"")</f>
        <v>x</v>
      </c>
      <c r="AH31" s="278" t="str">
        <f>_xlfn.IFNA(  SUBSTITUTE(     IF(  INDEX(役男大表!$A$1:$BF$95,MATCH($A31,役男大表!$A$1:$A$97,0),   MATCH(AH$1,役男大表!$A$3:$BF$3,0)  )=0,"",  IF(  INDEX(役男大表!$A$1:$BF$95,MATCH($A31,役男大表!$A$1:$A$97,0),   MATCH(AH$1,役男大表!$A$3:$BF$3,0)  )="榮","x",  IF(  INDEX(役男大表!$A$1:$BF$95,MATCH($A31,役男大表!$A$1:$A$97,0),   MATCH(AH$1,役男大表!$A$3:$BF$3,0)  )="榮-22",  "x榮18-22",               INDEX(役男大表!$A$1:$BF$95,MATCH($A31,役男大表!$A$1:$A$97,0),   MATCH(AH$1,役男大表!$A$3:$BF$3,0)  )                  )  )  )," ",""),"")</f>
        <v/>
      </c>
      <c r="AI31" s="278" t="str">
        <f>_xlfn.IFNA(  SUBSTITUTE(     IF(  INDEX(役男大表!$A$1:$BF$95,MATCH($A31,役男大表!$A$1:$A$97,0),   MATCH(AI$1,役男大表!$A$3:$BF$3,0)  )=0,"",  IF(  INDEX(役男大表!$A$1:$BF$95,MATCH($A31,役男大表!$A$1:$A$97,0),   MATCH(AI$1,役男大表!$A$3:$BF$3,0)  )="榮","x",  IF(  INDEX(役男大表!$A$1:$BF$95,MATCH($A31,役男大表!$A$1:$A$97,0),   MATCH(AI$1,役男大表!$A$3:$BF$3,0)  )="榮-22",  "x榮18-22",               INDEX(役男大表!$A$1:$BF$95,MATCH($A31,役男大表!$A$1:$A$97,0),   MATCH(AI$1,役男大表!$A$3:$BF$3,0)  )                  )  )  )," ",""),"")</f>
        <v/>
      </c>
      <c r="AJ31" s="278" t="str">
        <f>_xlfn.IFNA(  SUBSTITUTE(     IF(  INDEX(役男大表!$A$1:$BF$95,MATCH($A31,役男大表!$A$1:$A$97,0),   MATCH(AJ$1,役男大表!$A$3:$BF$3,0)  )=0,"",  IF(  INDEX(役男大表!$A$1:$BF$95,MATCH($A31,役男大表!$A$1:$A$97,0),   MATCH(AJ$1,役男大表!$A$3:$BF$3,0)  )="榮","x",  IF(  INDEX(役男大表!$A$1:$BF$95,MATCH($A31,役男大表!$A$1:$A$97,0),   MATCH(AJ$1,役男大表!$A$3:$BF$3,0)  )="榮-22",  "x榮18-22",               INDEX(役男大表!$A$1:$BF$95,MATCH($A31,役男大表!$A$1:$A$97,0),   MATCH(AJ$1,役男大表!$A$3:$BF$3,0)  )                  )  )  )," ",""),"")</f>
        <v/>
      </c>
      <c r="AM31" s="66">
        <f t="shared" si="1"/>
        <v>30</v>
      </c>
      <c r="AN31" s="66" t="str">
        <f t="shared" si="2"/>
        <v>謝昕融</v>
      </c>
      <c r="AO31" s="71" t="str">
        <f>IF(  AND(  INDEX(   $A$42:$AJ$79, MATCH(AM31,$A$42:$A$79,0),MATCH(  日期輸入!$C$3,$A$42:$AL$42,0  )  )="全日勤",  AV31="免"  ),  "全日勤免勤教",  IF(  AND(  INDEX(   $A$42:$AJ$79, MATCH(AM31,$A$42:$A$79,0),MATCH(  日期輸入!$C$3,$A$42:$AL$42,0  )  )="18放",  AV31="免"  ),  "18放早走",  INDEX(   $A$42:$AJ$79, MATCH(AM31,$A$42:$A$79,0),MATCH(  日期輸入!$C$3,$A$42:$AL$42,0  )  )  )  )</f>
        <v>18收</v>
      </c>
      <c r="AP31" s="66" t="str">
        <f>_xlfn.IFNA(IF((ROW(AP31)-1)&lt;=暫1!$B$2,IF(VALUE($AM31)=暫1!B$3,"家因",IF(VALUE($AM31)=暫1!C$3,"家因",IF(VALUE($AM31)=暫1!D$3,"家因",IF(VALUE($AM31)=暫1!E$3,"家因",IF(VALUE($AM31)=暫1!F$3,"家因",IF(VALUE($AM31)=暫1!G$3,"家因",IF(VALUE($AM31)=暫1!H$3,"家因",IF(VALUE($AM31)=暫1!I$3,"家因",IF(VALUE($AM31)=暫1!J$3,"家因",IF(VALUE($AM31)=暫1!K$3,"家因",IF(VALUE($AM31)=暫1!L$3,"家因",IF(VALUE($AM31)=暫1!M$3,"家因",IF(VALUE($AM31)=暫1!N$3,"家因",IF(VALUE($AM31)=暫1!O$3,"家因",IF(VALUE($AM31)=暫1!P$3,"家因",IF(VALUE($AM31)=暫1!Q$3,"家因",IF(VALUE($AM31)=暫1!R$3,"家因",IF(VALUE($AM31)=暫1!S$3,"家因",IF(VALUE($AM31)=暫1!T$3,"家因",IF(VALUE($AM31)=暫1!U$3,"家因","")))))))))))))))))))),""),"")</f>
        <v/>
      </c>
      <c r="AQ31" s="66" t="str">
        <f>IF((ROW(AQ31)-1)&lt;=暫1!$B$2,_xlfn.IFNA(IF(INDEX($A$1:$AJ$41,MATCH($AN31,$B$1:$B$101,0),VALUE($AQ$1+3))="成","補",INDEX($A$1:$AJ$41,MATCH($AN31,$B$1:$B$101,0),VALUE($AQ$1+3))),""),"")</f>
        <v>x</v>
      </c>
      <c r="AR31" s="66" t="str">
        <f>IF((ROW(AR31)-1)&lt;=暫1!$B$2,_xlfn.IFNA(IF(INDEX($A$1:$AJ$41,MATCH($AN31,$B$1:$B$101,0),VALUE($AR$1+3))="成","補",INDEX($A$1:$AJ$41,MATCH($AN31,$B$1:$B$101,0),VALUE($AR$1+3))),""),"")</f>
        <v/>
      </c>
      <c r="AS31" s="66" t="str">
        <f>IF((ROW(AS31)-1)&lt;=暫1!$B$2,_xlfn.IFNA(IF(INDEX($A$1:$AJ$41,MATCH($AN31,$B$1:$B$101,0),VALUE($AS$1+3))="成","補",INDEX($A$1:$AJ$41,MATCH($AN31,$B$1:$B$101,0),VALUE($AS$1+3))),""),"")</f>
        <v/>
      </c>
      <c r="AT31" s="66" t="str">
        <f>IF(  OR(  LEN(  INDEX(   $A$1:$AJ$39, MATCH(AM31,$A$1:$A$39,0),MATCH(  日期輸入!$C$3,$A$1:$AP$1,0  )  )  )&gt;LEN(  SUBSTITUTE(  INDEX(   $A$1:$AJ$39, MATCH(AM31,$A$1:$A$39,0),MATCH(  日期輸入!$C$3,$A$1:$AP$1,0  )  ),"榮","")  )  ),   SUBSTITUTE(  SUBSTITUTE(  INDEX(   $A$1:$AJ$39, MATCH(AM31,$A$1:$A$39,0),MATCH(  日期輸入!$C$3,$A$1:$AP$1,0  )  ),"榮",""),"x",""), "")</f>
        <v/>
      </c>
      <c r="AU31" s="66" t="str">
        <f t="shared" si="3"/>
        <v/>
      </c>
      <c r="AV31" s="66" t="str">
        <f>INDEX(   $A$482:$AJ$519, MATCH(AM31,$A$482:$A$519,0),MATCH(  日期輸入!$C$3,$A$482:$AL$482,0  )  )</f>
        <v/>
      </c>
      <c r="AX31" s="66" t="str">
        <f>IFERROR(IF((ROW(AX31)-1)&lt;=暫1!$B$2,SUBSTITUTE(IF($AO31=$AX$1,$AM31,"")," ",""),""),"")</f>
        <v/>
      </c>
      <c r="AY31" s="66" t="str">
        <f>IFERROR(IF((ROW(AY31)-1)&lt;=暫1!$B$2,SUBSTITUTE(IF($AO31=$AY$1,$AM31,"")," ",""),""),"")</f>
        <v/>
      </c>
      <c r="AZ31" s="66" t="str">
        <f>IFERROR(IF((ROW(AZ31)-1)&lt;=暫1!$B$2,SUBSTITUTE(IF($AO31=$AZ$1,$AM31,"")," ",""),""),"")</f>
        <v/>
      </c>
      <c r="BA31" s="66" t="str">
        <f>IFERROR(IF((ROW(BA31)-1)&lt;=暫1!$B$2,SUBSTITUTE(IF($AO31=$BA$1,$AM31,"")," ",""),""),"")</f>
        <v>30</v>
      </c>
      <c r="BB31" s="69" t="str">
        <f>IFERROR(IF((ROW(BB31)-1)&lt;=暫1!$B$2,SUBSTITUTE(IF(OR($AO31=$BB$1,$AO31=$AY$1,$AO31=$AZ$1),$AM31,IF($AO31=$AY$1,$AM31,"")),"",""),""),"")</f>
        <v/>
      </c>
      <c r="BC31" s="69" t="str">
        <f>IF(    AND(LEN(BC30)&gt;=2 ),        "、" &amp;  IF(OR(役男人力!$J$2:$J$84="是"),役男人力!$B31,""),  IF(OR(役男人力!$J$2:$J$84="是"),役男人力!$B31,"")  )</f>
        <v>、</v>
      </c>
    </row>
    <row r="32" spans="1:59" ht="25.5" customHeight="1">
      <c r="A32" s="278">
        <v>31</v>
      </c>
      <c r="B32" s="278" t="str">
        <f>_xlfn.IFNA(  INDEX(役男大表!$A$1:$BF$95,MATCH(A32,役男大表!$A$1:$A$97,0),2),"")</f>
        <v>許峰銘</v>
      </c>
      <c r="C32" s="278" t="str">
        <f>_xlfn.IFNA(  SUBSTITUTE(     IF(  INDEX(役男大表!$A$1:$BF$95,MATCH($A32,役男大表!$A$1:$A$97,0),   MATCH(C$1,役男大表!$A$3:$BF$3,0)  )=0,"",  IF(  INDEX(役男大表!$A$1:$BF$95,MATCH($A32,役男大表!$A$1:$A$97,0),   MATCH(C$1,役男大表!$A$3:$BF$3,0)  )="榮","x",  IF(  INDEX(役男大表!$A$1:$BF$95,MATCH($A32,役男大表!$A$1:$A$97,0),   MATCH(C$1,役男大表!$A$3:$BF$3,0)  )="榮-22",  "x榮18-22",               INDEX(役男大表!$A$1:$BF$95,MATCH($A32,役男大表!$A$1:$A$97,0),   MATCH(C$1,役男大表!$A$3:$BF$3,0)  )                  )  )  )," ",""),"")</f>
        <v/>
      </c>
      <c r="D32" s="278" t="str">
        <f>_xlfn.IFNA(  SUBSTITUTE(     IF(  INDEX(役男大表!$A$1:$BF$95,MATCH($A32,役男大表!$A$1:$A$97,0),   MATCH(D$1,役男大表!$A$3:$BF$3,0)  )=0,"",  IF(  INDEX(役男大表!$A$1:$BF$95,MATCH($A32,役男大表!$A$1:$A$97,0),   MATCH(D$1,役男大表!$A$3:$BF$3,0)  )="榮","x",  IF(  INDEX(役男大表!$A$1:$BF$95,MATCH($A32,役男大表!$A$1:$A$97,0),   MATCH(D$1,役男大表!$A$3:$BF$3,0)  )="榮-22",  "x榮18-22",               INDEX(役男大表!$A$1:$BF$95,MATCH($A32,役男大表!$A$1:$A$97,0),   MATCH(D$1,役男大表!$A$3:$BF$3,0)  )                  )  )  )," ",""),"")</f>
        <v/>
      </c>
      <c r="E32" s="278" t="str">
        <f>_xlfn.IFNA(  SUBSTITUTE(     IF(  INDEX(役男大表!$A$1:$BF$95,MATCH($A32,役男大表!$A$1:$A$97,0),   MATCH(E$1,役男大表!$A$3:$BF$3,0)  )=0,"",  IF(  INDEX(役男大表!$A$1:$BF$95,MATCH($A32,役男大表!$A$1:$A$97,0),   MATCH(E$1,役男大表!$A$3:$BF$3,0)  )="榮","x",  IF(  INDEX(役男大表!$A$1:$BF$95,MATCH($A32,役男大表!$A$1:$A$97,0),   MATCH(E$1,役男大表!$A$3:$BF$3,0)  )="榮-22",  "x榮18-22",               INDEX(役男大表!$A$1:$BF$95,MATCH($A32,役男大表!$A$1:$A$97,0),   MATCH(E$1,役男大表!$A$3:$BF$3,0)  )                  )  )  )," ",""),"")</f>
        <v>榮14-18</v>
      </c>
      <c r="F32" s="278" t="str">
        <f>_xlfn.IFNA(  SUBSTITUTE(     IF(  INDEX(役男大表!$A$1:$BF$95,MATCH($A32,役男大表!$A$1:$A$97,0),   MATCH(F$1,役男大表!$A$3:$BF$3,0)  )=0,"",  IF(  INDEX(役男大表!$A$1:$BF$95,MATCH($A32,役男大表!$A$1:$A$97,0),   MATCH(F$1,役男大表!$A$3:$BF$3,0)  )="榮","x",  IF(  INDEX(役男大表!$A$1:$BF$95,MATCH($A32,役男大表!$A$1:$A$97,0),   MATCH(F$1,役男大表!$A$3:$BF$3,0)  )="榮-22",  "x榮18-22",               INDEX(役男大表!$A$1:$BF$95,MATCH($A32,役男大表!$A$1:$A$97,0),   MATCH(F$1,役男大表!$A$3:$BF$3,0)  )                  )  )  )," ",""),"")</f>
        <v>x</v>
      </c>
      <c r="G32" s="278" t="str">
        <f>_xlfn.IFNA(  SUBSTITUTE(     IF(  INDEX(役男大表!$A$1:$BF$95,MATCH($A32,役男大表!$A$1:$A$97,0),   MATCH(G$1,役男大表!$A$3:$BF$3,0)  )=0,"",  IF(  INDEX(役男大表!$A$1:$BF$95,MATCH($A32,役男大表!$A$1:$A$97,0),   MATCH(G$1,役男大表!$A$3:$BF$3,0)  )="榮","x",  IF(  INDEX(役男大表!$A$1:$BF$95,MATCH($A32,役男大表!$A$1:$A$97,0),   MATCH(G$1,役男大表!$A$3:$BF$3,0)  )="榮-22",  "x榮18-22",               INDEX(役男大表!$A$1:$BF$95,MATCH($A32,役男大表!$A$1:$A$97,0),   MATCH(G$1,役男大表!$A$3:$BF$3,0)  )                  )  )  )," ",""),"")</f>
        <v>x</v>
      </c>
      <c r="H32" s="278" t="str">
        <f>_xlfn.IFNA(  SUBSTITUTE(     IF(  INDEX(役男大表!$A$1:$BF$95,MATCH($A32,役男大表!$A$1:$A$97,0),   MATCH(H$1,役男大表!$A$3:$BF$3,0)  )=0,"",  IF(  INDEX(役男大表!$A$1:$BF$95,MATCH($A32,役男大表!$A$1:$A$97,0),   MATCH(H$1,役男大表!$A$3:$BF$3,0)  )="榮","x",  IF(  INDEX(役男大表!$A$1:$BF$95,MATCH($A32,役男大表!$A$1:$A$97,0),   MATCH(H$1,役男大表!$A$3:$BF$3,0)  )="榮-22",  "x榮18-22",               INDEX(役男大表!$A$1:$BF$95,MATCH($A32,役男大表!$A$1:$A$97,0),   MATCH(H$1,役男大表!$A$3:$BF$3,0)  )                  )  )  )," ",""),"")</f>
        <v>x</v>
      </c>
      <c r="I32" s="278" t="str">
        <f>_xlfn.IFNA(  SUBSTITUTE(     IF(  INDEX(役男大表!$A$1:$BF$95,MATCH($A32,役男大表!$A$1:$A$97,0),   MATCH(I$1,役男大表!$A$3:$BF$3,0)  )=0,"",  IF(  INDEX(役男大表!$A$1:$BF$95,MATCH($A32,役男大表!$A$1:$A$97,0),   MATCH(I$1,役男大表!$A$3:$BF$3,0)  )="榮","x",  IF(  INDEX(役男大表!$A$1:$BF$95,MATCH($A32,役男大表!$A$1:$A$97,0),   MATCH(I$1,役男大表!$A$3:$BF$3,0)  )="榮-22",  "x榮18-22",               INDEX(役男大表!$A$1:$BF$95,MATCH($A32,役男大表!$A$1:$A$97,0),   MATCH(I$1,役男大表!$A$3:$BF$3,0)  )                  )  )  )," ",""),"")</f>
        <v/>
      </c>
      <c r="J32" s="278" t="str">
        <f>_xlfn.IFNA(  SUBSTITUTE(     IF(  INDEX(役男大表!$A$1:$BF$95,MATCH($A32,役男大表!$A$1:$A$97,0),   MATCH(J$1,役男大表!$A$3:$BF$3,0)  )=0,"",  IF(  INDEX(役男大表!$A$1:$BF$95,MATCH($A32,役男大表!$A$1:$A$97,0),   MATCH(J$1,役男大表!$A$3:$BF$3,0)  )="榮","x",  IF(  INDEX(役男大表!$A$1:$BF$95,MATCH($A32,役男大表!$A$1:$A$97,0),   MATCH(J$1,役男大表!$A$3:$BF$3,0)  )="榮-22",  "x榮18-22",               INDEX(役男大表!$A$1:$BF$95,MATCH($A32,役男大表!$A$1:$A$97,0),   MATCH(J$1,役男大表!$A$3:$BF$3,0)  )                  )  )  )," ",""),"")</f>
        <v/>
      </c>
      <c r="K32" s="278" t="str">
        <f>_xlfn.IFNA(  SUBSTITUTE(     IF(  INDEX(役男大表!$A$1:$BF$95,MATCH($A32,役男大表!$A$1:$A$97,0),   MATCH(K$1,役男大表!$A$3:$BF$3,0)  )=0,"",  IF(  INDEX(役男大表!$A$1:$BF$95,MATCH($A32,役男大表!$A$1:$A$97,0),   MATCH(K$1,役男大表!$A$3:$BF$3,0)  )="榮","x",  IF(  INDEX(役男大表!$A$1:$BF$95,MATCH($A32,役男大表!$A$1:$A$97,0),   MATCH(K$1,役男大表!$A$3:$BF$3,0)  )="榮-22",  "x榮18-22",               INDEX(役男大表!$A$1:$BF$95,MATCH($A32,役男大表!$A$1:$A$97,0),   MATCH(K$1,役男大表!$A$3:$BF$3,0)  )                  )  )  )," ",""),"")</f>
        <v/>
      </c>
      <c r="L32" s="278" t="str">
        <f>_xlfn.IFNA(  SUBSTITUTE(     IF(  INDEX(役男大表!$A$1:$BF$95,MATCH($A32,役男大表!$A$1:$A$97,0),   MATCH(L$1,役男大表!$A$3:$BF$3,0)  )=0,"",  IF(  INDEX(役男大表!$A$1:$BF$95,MATCH($A32,役男大表!$A$1:$A$97,0),   MATCH(L$1,役男大表!$A$3:$BF$3,0)  )="榮","x",  IF(  INDEX(役男大表!$A$1:$BF$95,MATCH($A32,役男大表!$A$1:$A$97,0),   MATCH(L$1,役男大表!$A$3:$BF$3,0)  )="榮-22",  "x榮18-22",               INDEX(役男大表!$A$1:$BF$95,MATCH($A32,役男大表!$A$1:$A$97,0),   MATCH(L$1,役男大表!$A$3:$BF$3,0)  )                  )  )  )," ",""),"")</f>
        <v/>
      </c>
      <c r="M32" s="278" t="str">
        <f>_xlfn.IFNA(  SUBSTITUTE(     IF(  INDEX(役男大表!$A$1:$BF$95,MATCH($A32,役男大表!$A$1:$A$97,0),   MATCH(M$1,役男大表!$A$3:$BF$3,0)  )=0,"",  IF(  INDEX(役男大表!$A$1:$BF$95,MATCH($A32,役男大表!$A$1:$A$97,0),   MATCH(M$1,役男大表!$A$3:$BF$3,0)  )="榮","x",  IF(  INDEX(役男大表!$A$1:$BF$95,MATCH($A32,役男大表!$A$1:$A$97,0),   MATCH(M$1,役男大表!$A$3:$BF$3,0)  )="榮-22",  "x榮18-22",               INDEX(役男大表!$A$1:$BF$95,MATCH($A32,役男大表!$A$1:$A$97,0),   MATCH(M$1,役男大表!$A$3:$BF$3,0)  )                  )  )  )," ",""),"")</f>
        <v/>
      </c>
      <c r="N32" s="278" t="str">
        <f>_xlfn.IFNA(  SUBSTITUTE(     IF(  INDEX(役男大表!$A$1:$BF$95,MATCH($A32,役男大表!$A$1:$A$97,0),   MATCH(N$1,役男大表!$A$3:$BF$3,0)  )=0,"",  IF(  INDEX(役男大表!$A$1:$BF$95,MATCH($A32,役男大表!$A$1:$A$97,0),   MATCH(N$1,役男大表!$A$3:$BF$3,0)  )="榮","x",  IF(  INDEX(役男大表!$A$1:$BF$95,MATCH($A32,役男大表!$A$1:$A$97,0),   MATCH(N$1,役男大表!$A$3:$BF$3,0)  )="榮-22",  "x榮18-22",               INDEX(役男大表!$A$1:$BF$95,MATCH($A32,役男大表!$A$1:$A$97,0),   MATCH(N$1,役男大表!$A$3:$BF$3,0)  )                  )  )  )," ",""),"")</f>
        <v>x</v>
      </c>
      <c r="O32" s="278" t="str">
        <f>_xlfn.IFNA(  SUBSTITUTE(     IF(  INDEX(役男大表!$A$1:$BF$95,MATCH($A32,役男大表!$A$1:$A$97,0),   MATCH(O$1,役男大表!$A$3:$BF$3,0)  )=0,"",  IF(  INDEX(役男大表!$A$1:$BF$95,MATCH($A32,役男大表!$A$1:$A$97,0),   MATCH(O$1,役男大表!$A$3:$BF$3,0)  )="榮","x",  IF(  INDEX(役男大表!$A$1:$BF$95,MATCH($A32,役男大表!$A$1:$A$97,0),   MATCH(O$1,役男大表!$A$3:$BF$3,0)  )="榮-22",  "x榮18-22",               INDEX(役男大表!$A$1:$BF$95,MATCH($A32,役男大表!$A$1:$A$97,0),   MATCH(O$1,役男大表!$A$3:$BF$3,0)  )                  )  )  )," ",""),"")</f>
        <v>x</v>
      </c>
      <c r="P32" s="278" t="str">
        <f>_xlfn.IFNA(  SUBSTITUTE(     IF(  INDEX(役男大表!$A$1:$BF$95,MATCH($A32,役男大表!$A$1:$A$97,0),   MATCH(P$1,役男大表!$A$3:$BF$3,0)  )=0,"",  IF(  INDEX(役男大表!$A$1:$BF$95,MATCH($A32,役男大表!$A$1:$A$97,0),   MATCH(P$1,役男大表!$A$3:$BF$3,0)  )="榮","x",  IF(  INDEX(役男大表!$A$1:$BF$95,MATCH($A32,役男大表!$A$1:$A$97,0),   MATCH(P$1,役男大表!$A$3:$BF$3,0)  )="榮-22",  "x榮18-22",               INDEX(役男大表!$A$1:$BF$95,MATCH($A32,役男大表!$A$1:$A$97,0),   MATCH(P$1,役男大表!$A$3:$BF$3,0)  )                  )  )  )," ",""),"")</f>
        <v/>
      </c>
      <c r="Q32" s="278" t="str">
        <f>_xlfn.IFNA(  SUBSTITUTE(     IF(  INDEX(役男大表!$A$1:$BF$95,MATCH($A32,役男大表!$A$1:$A$97,0),   MATCH(Q$1,役男大表!$A$3:$BF$3,0)  )=0,"",  IF(  INDEX(役男大表!$A$1:$BF$95,MATCH($A32,役男大表!$A$1:$A$97,0),   MATCH(Q$1,役男大表!$A$3:$BF$3,0)  )="榮","x",  IF(  INDEX(役男大表!$A$1:$BF$95,MATCH($A32,役男大表!$A$1:$A$97,0),   MATCH(Q$1,役男大表!$A$3:$BF$3,0)  )="榮-22",  "x榮18-22",               INDEX(役男大表!$A$1:$BF$95,MATCH($A32,役男大表!$A$1:$A$97,0),   MATCH(Q$1,役男大表!$A$3:$BF$3,0)  )                  )  )  )," ",""),"")</f>
        <v/>
      </c>
      <c r="R32" s="278" t="str">
        <f>_xlfn.IFNA(  SUBSTITUTE(     IF(  INDEX(役男大表!$A$1:$BF$95,MATCH($A32,役男大表!$A$1:$A$97,0),   MATCH(R$1,役男大表!$A$3:$BF$3,0)  )=0,"",  IF(  INDEX(役男大表!$A$1:$BF$95,MATCH($A32,役男大表!$A$1:$A$97,0),   MATCH(R$1,役男大表!$A$3:$BF$3,0)  )="榮","x",  IF(  INDEX(役男大表!$A$1:$BF$95,MATCH($A32,役男大表!$A$1:$A$97,0),   MATCH(R$1,役男大表!$A$3:$BF$3,0)  )="榮-22",  "x榮18-22",               INDEX(役男大表!$A$1:$BF$95,MATCH($A32,役男大表!$A$1:$A$97,0),   MATCH(R$1,役男大表!$A$3:$BF$3,0)  )                  )  )  )," ",""),"")</f>
        <v/>
      </c>
      <c r="S32" s="278" t="str">
        <f>_xlfn.IFNA(  SUBSTITUTE(     IF(  INDEX(役男大表!$A$1:$BF$95,MATCH($A32,役男大表!$A$1:$A$97,0),   MATCH(S$1,役男大表!$A$3:$BF$3,0)  )=0,"",  IF(  INDEX(役男大表!$A$1:$BF$95,MATCH($A32,役男大表!$A$1:$A$97,0),   MATCH(S$1,役男大表!$A$3:$BF$3,0)  )="榮","x",  IF(  INDEX(役男大表!$A$1:$BF$95,MATCH($A32,役男大表!$A$1:$A$97,0),   MATCH(S$1,役男大表!$A$3:$BF$3,0)  )="榮-22",  "x榮18-22",               INDEX(役男大表!$A$1:$BF$95,MATCH($A32,役男大表!$A$1:$A$97,0),   MATCH(S$1,役男大表!$A$3:$BF$3,0)  )                  )  )  )," ",""),"")</f>
        <v>x</v>
      </c>
      <c r="T32" s="278" t="str">
        <f>_xlfn.IFNA(  SUBSTITUTE(     IF(  INDEX(役男大表!$A$1:$BF$95,MATCH($A32,役男大表!$A$1:$A$97,0),   MATCH(T$1,役男大表!$A$3:$BF$3,0)  )=0,"",  IF(  INDEX(役男大表!$A$1:$BF$95,MATCH($A32,役男大表!$A$1:$A$97,0),   MATCH(T$1,役男大表!$A$3:$BF$3,0)  )="榮","x",  IF(  INDEX(役男大表!$A$1:$BF$95,MATCH($A32,役男大表!$A$1:$A$97,0),   MATCH(T$1,役男大表!$A$3:$BF$3,0)  )="榮-22",  "x榮18-22",               INDEX(役男大表!$A$1:$BF$95,MATCH($A32,役男大表!$A$1:$A$97,0),   MATCH(T$1,役男大表!$A$3:$BF$3,0)  )                  )  )  )," ",""),"")</f>
        <v>x</v>
      </c>
      <c r="U32" s="278" t="str">
        <f>_xlfn.IFNA(  SUBSTITUTE(     IF(  INDEX(役男大表!$A$1:$BF$95,MATCH($A32,役男大表!$A$1:$A$97,0),   MATCH(U$1,役男大表!$A$3:$BF$3,0)  )=0,"",  IF(  INDEX(役男大表!$A$1:$BF$95,MATCH($A32,役男大表!$A$1:$A$97,0),   MATCH(U$1,役男大表!$A$3:$BF$3,0)  )="榮","x",  IF(  INDEX(役男大表!$A$1:$BF$95,MATCH($A32,役男大表!$A$1:$A$97,0),   MATCH(U$1,役男大表!$A$3:$BF$3,0)  )="榮-22",  "x榮18-22",               INDEX(役男大表!$A$1:$BF$95,MATCH($A32,役男大表!$A$1:$A$97,0),   MATCH(U$1,役男大表!$A$3:$BF$3,0)  )                  )  )  )," ",""),"")</f>
        <v/>
      </c>
      <c r="V32" s="278" t="str">
        <f>_xlfn.IFNA(  SUBSTITUTE(     IF(  INDEX(役男大表!$A$1:$BF$95,MATCH($A32,役男大表!$A$1:$A$97,0),   MATCH(V$1,役男大表!$A$3:$BF$3,0)  )=0,"",  IF(  INDEX(役男大表!$A$1:$BF$95,MATCH($A32,役男大表!$A$1:$A$97,0),   MATCH(V$1,役男大表!$A$3:$BF$3,0)  )="榮","x",  IF(  INDEX(役男大表!$A$1:$BF$95,MATCH($A32,役男大表!$A$1:$A$97,0),   MATCH(V$1,役男大表!$A$3:$BF$3,0)  )="榮-22",  "x榮18-22",               INDEX(役男大表!$A$1:$BF$95,MATCH($A32,役男大表!$A$1:$A$97,0),   MATCH(V$1,役男大表!$A$3:$BF$3,0)  )                  )  )  )," ",""),"")</f>
        <v/>
      </c>
      <c r="W32" s="278" t="str">
        <f>_xlfn.IFNA(  SUBSTITUTE(     IF(  INDEX(役男大表!$A$1:$BF$95,MATCH($A32,役男大表!$A$1:$A$97,0),   MATCH(W$1,役男大表!$A$3:$BF$3,0)  )=0,"",  IF(  INDEX(役男大表!$A$1:$BF$95,MATCH($A32,役男大表!$A$1:$A$97,0),   MATCH(W$1,役男大表!$A$3:$BF$3,0)  )="榮","x",  IF(  INDEX(役男大表!$A$1:$BF$95,MATCH($A32,役男大表!$A$1:$A$97,0),   MATCH(W$1,役男大表!$A$3:$BF$3,0)  )="榮-22",  "x榮18-22",               INDEX(役男大表!$A$1:$BF$95,MATCH($A32,役男大表!$A$1:$A$97,0),   MATCH(W$1,役男大表!$A$3:$BF$3,0)  )                  )  )  )," ",""),"")</f>
        <v/>
      </c>
      <c r="X32" s="278" t="str">
        <f>_xlfn.IFNA(  SUBSTITUTE(     IF(  INDEX(役男大表!$A$1:$BF$95,MATCH($A32,役男大表!$A$1:$A$97,0),   MATCH(X$1,役男大表!$A$3:$BF$3,0)  )=0,"",  IF(  INDEX(役男大表!$A$1:$BF$95,MATCH($A32,役男大表!$A$1:$A$97,0),   MATCH(X$1,役男大表!$A$3:$BF$3,0)  )="榮","x",  IF(  INDEX(役男大表!$A$1:$BF$95,MATCH($A32,役男大表!$A$1:$A$97,0),   MATCH(X$1,役男大表!$A$3:$BF$3,0)  )="榮-22",  "x榮18-22",               INDEX(役男大表!$A$1:$BF$95,MATCH($A32,役男大表!$A$1:$A$97,0),   MATCH(X$1,役男大表!$A$3:$BF$3,0)  )                  )  )  )," ",""),"")</f>
        <v/>
      </c>
      <c r="Y32" s="278" t="str">
        <f>_xlfn.IFNA(  SUBSTITUTE(     IF(  INDEX(役男大表!$A$1:$BF$95,MATCH($A32,役男大表!$A$1:$A$97,0),   MATCH(Y$1,役男大表!$A$3:$BF$3,0)  )=0,"",  IF(  INDEX(役男大表!$A$1:$BF$95,MATCH($A32,役男大表!$A$1:$A$97,0),   MATCH(Y$1,役男大表!$A$3:$BF$3,0)  )="榮","x",  IF(  INDEX(役男大表!$A$1:$BF$95,MATCH($A32,役男大表!$A$1:$A$97,0),   MATCH(Y$1,役男大表!$A$3:$BF$3,0)  )="榮-22",  "x榮18-22",               INDEX(役男大表!$A$1:$BF$95,MATCH($A32,役男大表!$A$1:$A$97,0),   MATCH(Y$1,役男大表!$A$3:$BF$3,0)  )                  )  )  )," ",""),"")</f>
        <v>x</v>
      </c>
      <c r="Z32" s="278" t="str">
        <f>_xlfn.IFNA(  SUBSTITUTE(     IF(  INDEX(役男大表!$A$1:$BF$95,MATCH($A32,役男大表!$A$1:$A$97,0),   MATCH(Z$1,役男大表!$A$3:$BF$3,0)  )=0,"",  IF(  INDEX(役男大表!$A$1:$BF$95,MATCH($A32,役男大表!$A$1:$A$97,0),   MATCH(Z$1,役男大表!$A$3:$BF$3,0)  )="榮","x",  IF(  INDEX(役男大表!$A$1:$BF$95,MATCH($A32,役男大表!$A$1:$A$97,0),   MATCH(Z$1,役男大表!$A$3:$BF$3,0)  )="榮-22",  "x榮18-22",               INDEX(役男大表!$A$1:$BF$95,MATCH($A32,役男大表!$A$1:$A$97,0),   MATCH(Z$1,役男大表!$A$3:$BF$3,0)  )                  )  )  )," ",""),"")</f>
        <v>x</v>
      </c>
      <c r="AA32" s="278" t="str">
        <f>_xlfn.IFNA(  SUBSTITUTE(     IF(  INDEX(役男大表!$A$1:$BF$95,MATCH($A32,役男大表!$A$1:$A$97,0),   MATCH(AA$1,役男大表!$A$3:$BF$3,0)  )=0,"",  IF(  INDEX(役男大表!$A$1:$BF$95,MATCH($A32,役男大表!$A$1:$A$97,0),   MATCH(AA$1,役男大表!$A$3:$BF$3,0)  )="榮","x",  IF(  INDEX(役男大表!$A$1:$BF$95,MATCH($A32,役男大表!$A$1:$A$97,0),   MATCH(AA$1,役男大表!$A$3:$BF$3,0)  )="榮-22",  "x榮18-22",               INDEX(役男大表!$A$1:$BF$95,MATCH($A32,役男大表!$A$1:$A$97,0),   MATCH(AA$1,役男大表!$A$3:$BF$3,0)  )                  )  )  )," ",""),"")</f>
        <v>x</v>
      </c>
      <c r="AB32" s="278" t="str">
        <f>_xlfn.IFNA(  SUBSTITUTE(     IF(  INDEX(役男大表!$A$1:$BF$95,MATCH($A32,役男大表!$A$1:$A$97,0),   MATCH(AB$1,役男大表!$A$3:$BF$3,0)  )=0,"",  IF(  INDEX(役男大表!$A$1:$BF$95,MATCH($A32,役男大表!$A$1:$A$97,0),   MATCH(AB$1,役男大表!$A$3:$BF$3,0)  )="榮","x",  IF(  INDEX(役男大表!$A$1:$BF$95,MATCH($A32,役男大表!$A$1:$A$97,0),   MATCH(AB$1,役男大表!$A$3:$BF$3,0)  )="榮-22",  "x榮18-22",               INDEX(役男大表!$A$1:$BF$95,MATCH($A32,役男大表!$A$1:$A$97,0),   MATCH(AB$1,役男大表!$A$3:$BF$3,0)  )                  )  )  )," ",""),"")</f>
        <v/>
      </c>
      <c r="AC32" s="278" t="str">
        <f>_xlfn.IFNA(  SUBSTITUTE(     IF(  INDEX(役男大表!$A$1:$BF$95,MATCH($A32,役男大表!$A$1:$A$97,0),   MATCH(AC$1,役男大表!$A$3:$BF$3,0)  )=0,"",  IF(  INDEX(役男大表!$A$1:$BF$95,MATCH($A32,役男大表!$A$1:$A$97,0),   MATCH(AC$1,役男大表!$A$3:$BF$3,0)  )="榮","x",  IF(  INDEX(役男大表!$A$1:$BF$95,MATCH($A32,役男大表!$A$1:$A$97,0),   MATCH(AC$1,役男大表!$A$3:$BF$3,0)  )="榮-22",  "x榮18-22",               INDEX(役男大表!$A$1:$BF$95,MATCH($A32,役男大表!$A$1:$A$97,0),   MATCH(AC$1,役男大表!$A$3:$BF$3,0)  )                  )  )  )," ",""),"")</f>
        <v/>
      </c>
      <c r="AD32" s="278" t="str">
        <f>_xlfn.IFNA(  SUBSTITUTE(     IF(  INDEX(役男大表!$A$1:$BF$95,MATCH($A32,役男大表!$A$1:$A$97,0),   MATCH(AD$1,役男大表!$A$3:$BF$3,0)  )=0,"",  IF(  INDEX(役男大表!$A$1:$BF$95,MATCH($A32,役男大表!$A$1:$A$97,0),   MATCH(AD$1,役男大表!$A$3:$BF$3,0)  )="榮","x",  IF(  INDEX(役男大表!$A$1:$BF$95,MATCH($A32,役男大表!$A$1:$A$97,0),   MATCH(AD$1,役男大表!$A$3:$BF$3,0)  )="榮-22",  "x榮18-22",               INDEX(役男大表!$A$1:$BF$95,MATCH($A32,役男大表!$A$1:$A$97,0),   MATCH(AD$1,役男大表!$A$3:$BF$3,0)  )                  )  )  )," ",""),"")</f>
        <v/>
      </c>
      <c r="AE32" s="278" t="str">
        <f>_xlfn.IFNA(  SUBSTITUTE(     IF(  INDEX(役男大表!$A$1:$BF$95,MATCH($A32,役男大表!$A$1:$A$97,0),   MATCH(AE$1,役男大表!$A$3:$BF$3,0)  )=0,"",  IF(  INDEX(役男大表!$A$1:$BF$95,MATCH($A32,役男大表!$A$1:$A$97,0),   MATCH(AE$1,役男大表!$A$3:$BF$3,0)  )="榮","x",  IF(  INDEX(役男大表!$A$1:$BF$95,MATCH($A32,役男大表!$A$1:$A$97,0),   MATCH(AE$1,役男大表!$A$3:$BF$3,0)  )="榮-22",  "x榮18-22",               INDEX(役男大表!$A$1:$BF$95,MATCH($A32,役男大表!$A$1:$A$97,0),   MATCH(AE$1,役男大表!$A$3:$BF$3,0)  )                  )  )  )," ",""),"")</f>
        <v/>
      </c>
      <c r="AF32" s="278" t="str">
        <f>_xlfn.IFNA(  SUBSTITUTE(     IF(  INDEX(役男大表!$A$1:$BF$95,MATCH($A32,役男大表!$A$1:$A$97,0),   MATCH(AF$1,役男大表!$A$3:$BF$3,0)  )=0,"",  IF(  INDEX(役男大表!$A$1:$BF$95,MATCH($A32,役男大表!$A$1:$A$97,0),   MATCH(AF$1,役男大表!$A$3:$BF$3,0)  )="榮","x",  IF(  INDEX(役男大表!$A$1:$BF$95,MATCH($A32,役男大表!$A$1:$A$97,0),   MATCH(AF$1,役男大表!$A$3:$BF$3,0)  )="榮-22",  "x榮18-22",               INDEX(役男大表!$A$1:$BF$95,MATCH($A32,役男大表!$A$1:$A$97,0),   MATCH(AF$1,役男大表!$A$3:$BF$3,0)  )                  )  )  )," ",""),"")</f>
        <v>x</v>
      </c>
      <c r="AG32" s="278" t="str">
        <f>_xlfn.IFNA(  SUBSTITUTE(     IF(  INDEX(役男大表!$A$1:$BF$95,MATCH($A32,役男大表!$A$1:$A$97,0),   MATCH(AG$1,役男大表!$A$3:$BF$3,0)  )=0,"",  IF(  INDEX(役男大表!$A$1:$BF$95,MATCH($A32,役男大表!$A$1:$A$97,0),   MATCH(AG$1,役男大表!$A$3:$BF$3,0)  )="榮","x",  IF(  INDEX(役男大表!$A$1:$BF$95,MATCH($A32,役男大表!$A$1:$A$97,0),   MATCH(AG$1,役男大表!$A$3:$BF$3,0)  )="榮-22",  "x榮18-22",               INDEX(役男大表!$A$1:$BF$95,MATCH($A32,役男大表!$A$1:$A$97,0),   MATCH(AG$1,役男大表!$A$3:$BF$3,0)  )                  )  )  )," ",""),"")</f>
        <v>x</v>
      </c>
      <c r="AH32" s="278" t="str">
        <f>_xlfn.IFNA(  SUBSTITUTE(     IF(  INDEX(役男大表!$A$1:$BF$95,MATCH($A32,役男大表!$A$1:$A$97,0),   MATCH(AH$1,役男大表!$A$3:$BF$3,0)  )=0,"",  IF(  INDEX(役男大表!$A$1:$BF$95,MATCH($A32,役男大表!$A$1:$A$97,0),   MATCH(AH$1,役男大表!$A$3:$BF$3,0)  )="榮","x",  IF(  INDEX(役男大表!$A$1:$BF$95,MATCH($A32,役男大表!$A$1:$A$97,0),   MATCH(AH$1,役男大表!$A$3:$BF$3,0)  )="榮-22",  "x榮18-22",               INDEX(役男大表!$A$1:$BF$95,MATCH($A32,役男大表!$A$1:$A$97,0),   MATCH(AH$1,役男大表!$A$3:$BF$3,0)  )                  )  )  )," ",""),"")</f>
        <v/>
      </c>
      <c r="AI32" s="278" t="str">
        <f>_xlfn.IFNA(  SUBSTITUTE(     IF(  INDEX(役男大表!$A$1:$BF$95,MATCH($A32,役男大表!$A$1:$A$97,0),   MATCH(AI$1,役男大表!$A$3:$BF$3,0)  )=0,"",  IF(  INDEX(役男大表!$A$1:$BF$95,MATCH($A32,役男大表!$A$1:$A$97,0),   MATCH(AI$1,役男大表!$A$3:$BF$3,0)  )="榮","x",  IF(  INDEX(役男大表!$A$1:$BF$95,MATCH($A32,役男大表!$A$1:$A$97,0),   MATCH(AI$1,役男大表!$A$3:$BF$3,0)  )="榮-22",  "x榮18-22",               INDEX(役男大表!$A$1:$BF$95,MATCH($A32,役男大表!$A$1:$A$97,0),   MATCH(AI$1,役男大表!$A$3:$BF$3,0)  )                  )  )  )," ",""),"")</f>
        <v/>
      </c>
      <c r="AJ32" s="278" t="str">
        <f>_xlfn.IFNA(  SUBSTITUTE(     IF(  INDEX(役男大表!$A$1:$BF$95,MATCH($A32,役男大表!$A$1:$A$97,0),   MATCH(AJ$1,役男大表!$A$3:$BF$3,0)  )=0,"",  IF(  INDEX(役男大表!$A$1:$BF$95,MATCH($A32,役男大表!$A$1:$A$97,0),   MATCH(AJ$1,役男大表!$A$3:$BF$3,0)  )="榮","x",  IF(  INDEX(役男大表!$A$1:$BF$95,MATCH($A32,役男大表!$A$1:$A$97,0),   MATCH(AJ$1,役男大表!$A$3:$BF$3,0)  )="榮-22",  "x榮18-22",               INDEX(役男大表!$A$1:$BF$95,MATCH($A32,役男大表!$A$1:$A$97,0),   MATCH(AJ$1,役男大表!$A$3:$BF$3,0)  )                  )  )  )," ",""),"")</f>
        <v/>
      </c>
      <c r="AM32" s="66">
        <f t="shared" si="1"/>
        <v>31</v>
      </c>
      <c r="AN32" s="66" t="str">
        <f t="shared" si="2"/>
        <v>許峰銘</v>
      </c>
      <c r="AO32" s="71" t="str">
        <f>IF(  AND(  INDEX(   $A$42:$AJ$79, MATCH(AM32,$A$42:$A$79,0),MATCH(  日期輸入!$C$3,$A$42:$AL$42,0  )  )="全日勤",  AV32="免"  ),  "全日勤免勤教",  IF(  AND(  INDEX(   $A$42:$AJ$79, MATCH(AM32,$A$42:$A$79,0),MATCH(  日期輸入!$C$3,$A$42:$AL$42,0  )  )="18放",  AV32="免"  ),  "18放早走",  INDEX(   $A$42:$AJ$79, MATCH(AM32,$A$42:$A$79,0),MATCH(  日期輸入!$C$3,$A$42:$AL$42,0  )  )  )  )</f>
        <v>18收</v>
      </c>
      <c r="AP32" s="66" t="str">
        <f>_xlfn.IFNA(IF((ROW(AP32)-1)&lt;=暫1!$B$2,IF(VALUE($AM32)=暫1!B$3,"家因",IF(VALUE($AM32)=暫1!C$3,"家因",IF(VALUE($AM32)=暫1!D$3,"家因",IF(VALUE($AM32)=暫1!E$3,"家因",IF(VALUE($AM32)=暫1!F$3,"家因",IF(VALUE($AM32)=暫1!G$3,"家因",IF(VALUE($AM32)=暫1!H$3,"家因",IF(VALUE($AM32)=暫1!I$3,"家因",IF(VALUE($AM32)=暫1!J$3,"家因",IF(VALUE($AM32)=暫1!K$3,"家因",IF(VALUE($AM32)=暫1!L$3,"家因",IF(VALUE($AM32)=暫1!M$3,"家因",IF(VALUE($AM32)=暫1!N$3,"家因",IF(VALUE($AM32)=暫1!O$3,"家因",IF(VALUE($AM32)=暫1!P$3,"家因",IF(VALUE($AM32)=暫1!Q$3,"家因",IF(VALUE($AM32)=暫1!R$3,"家因",IF(VALUE($AM32)=暫1!S$3,"家因",IF(VALUE($AM32)=暫1!T$3,"家因",IF(VALUE($AM32)=暫1!U$3,"家因","")))))))))))))))))))),""),"")</f>
        <v/>
      </c>
      <c r="AQ32" s="66" t="str">
        <f>IF((ROW(AQ32)-1)&lt;=暫1!$B$2,_xlfn.IFNA(IF(INDEX($A$1:$AJ$41,MATCH($AN32,$B$1:$B$101,0),VALUE($AQ$1+3))="成","補",INDEX($A$1:$AJ$41,MATCH($AN32,$B$1:$B$101,0),VALUE($AQ$1+3))),""),"")</f>
        <v>x</v>
      </c>
      <c r="AR32" s="66" t="str">
        <f>IF((ROW(AR32)-1)&lt;=暫1!$B$2,_xlfn.IFNA(IF(INDEX($A$1:$AJ$41,MATCH($AN32,$B$1:$B$101,0),VALUE($AR$1+3))="成","補",INDEX($A$1:$AJ$41,MATCH($AN32,$B$1:$B$101,0),VALUE($AR$1+3))),""),"")</f>
        <v/>
      </c>
      <c r="AS32" s="66" t="str">
        <f>IF((ROW(AS32)-1)&lt;=暫1!$B$2,_xlfn.IFNA(IF(INDEX($A$1:$AJ$41,MATCH($AN32,$B$1:$B$101,0),VALUE($AS$1+3))="成","補",INDEX($A$1:$AJ$41,MATCH($AN32,$B$1:$B$101,0),VALUE($AS$1+3))),""),"")</f>
        <v/>
      </c>
      <c r="AT32" s="66" t="str">
        <f>IF(  OR(  LEN(  INDEX(   $A$1:$AJ$39, MATCH(AM32,$A$1:$A$39,0),MATCH(  日期輸入!$C$3,$A$1:$AP$1,0  )  )  )&gt;LEN(  SUBSTITUTE(  INDEX(   $A$1:$AJ$39, MATCH(AM32,$A$1:$A$39,0),MATCH(  日期輸入!$C$3,$A$1:$AP$1,0  )  ),"榮","")  )  ),   SUBSTITUTE(  SUBSTITUTE(  INDEX(   $A$1:$AJ$39, MATCH(AM32,$A$1:$A$39,0),MATCH(  日期輸入!$C$3,$A$1:$AP$1,0  )  ),"榮",""),"x",""), "")</f>
        <v/>
      </c>
      <c r="AU32" s="66" t="str">
        <f t="shared" si="3"/>
        <v/>
      </c>
      <c r="AV32" s="66" t="str">
        <f>INDEX(   $A$482:$AJ$519, MATCH(AM32,$A$482:$A$519,0),MATCH(  日期輸入!$C$3,$A$482:$AL$482,0  )  )</f>
        <v/>
      </c>
      <c r="AX32" s="66" t="str">
        <f>IFERROR(IF((ROW(AX32)-1)&lt;=暫1!$B$2,SUBSTITUTE(IF($AO32=$AX$1,$AM32,"")," ",""),""),"")</f>
        <v/>
      </c>
      <c r="AY32" s="66" t="str">
        <f>IFERROR(IF((ROW(AY32)-1)&lt;=暫1!$B$2,SUBSTITUTE(IF($AO32=$AY$1,$AM32,"")," ",""),""),"")</f>
        <v/>
      </c>
      <c r="AZ32" s="66" t="str">
        <f>IFERROR(IF((ROW(AZ32)-1)&lt;=暫1!$B$2,SUBSTITUTE(IF($AO32=$AZ$1,$AM32,"")," ",""),""),"")</f>
        <v/>
      </c>
      <c r="BA32" s="66" t="str">
        <f>IFERROR(IF((ROW(BA32)-1)&lt;=暫1!$B$2,SUBSTITUTE(IF($AO32=$BA$1,$AM32,"")," ",""),""),"")</f>
        <v>31</v>
      </c>
      <c r="BB32" s="69" t="str">
        <f>IFERROR(IF((ROW(BB32)-1)&lt;=暫1!$B$2,SUBSTITUTE(IF(OR($AO32=$BB$1,$AO32=$AY$1,$AO32=$AZ$1),$AM32,IF($AO32=$AY$1,$AM32,"")),"",""),""),"")</f>
        <v/>
      </c>
      <c r="BC32" s="69" t="str">
        <f>IF(    AND(LEN(BC31)&gt;=2 ),        "、" &amp;  IF(OR(役男人力!$J$2:$J$84="是"),役男人力!$B32,""),  IF(OR(役男人力!$J$2:$J$84="是"),役男人力!$B32,"")  )</f>
        <v/>
      </c>
    </row>
    <row r="33" spans="1:55" ht="25.5" customHeight="1">
      <c r="A33" s="278">
        <v>32</v>
      </c>
      <c r="B33" s="278" t="str">
        <f>_xlfn.IFNA(  INDEX(役男大表!$A$1:$BF$95,MATCH(A33,役男大表!$A$1:$A$97,0),2),"")</f>
        <v>莊博竣</v>
      </c>
      <c r="C33" s="278" t="str">
        <f>_xlfn.IFNA(  SUBSTITUTE(     IF(  INDEX(役男大表!$A$1:$BF$95,MATCH($A33,役男大表!$A$1:$A$97,0),   MATCH(C$1,役男大表!$A$3:$BF$3,0)  )=0,"",  IF(  INDEX(役男大表!$A$1:$BF$95,MATCH($A33,役男大表!$A$1:$A$97,0),   MATCH(C$1,役男大表!$A$3:$BF$3,0)  )="榮","x",  IF(  INDEX(役男大表!$A$1:$BF$95,MATCH($A33,役男大表!$A$1:$A$97,0),   MATCH(C$1,役男大表!$A$3:$BF$3,0)  )="榮-22",  "x榮18-22",               INDEX(役男大表!$A$1:$BF$95,MATCH($A33,役男大表!$A$1:$A$97,0),   MATCH(C$1,役男大表!$A$3:$BF$3,0)  )                  )  )  )," ",""),"")</f>
        <v>病</v>
      </c>
      <c r="D33" s="278" t="str">
        <f>_xlfn.IFNA(  SUBSTITUTE(     IF(  INDEX(役男大表!$A$1:$BF$95,MATCH($A33,役男大表!$A$1:$A$97,0),   MATCH(D$1,役男大表!$A$3:$BF$3,0)  )=0,"",  IF(  INDEX(役男大表!$A$1:$BF$95,MATCH($A33,役男大表!$A$1:$A$97,0),   MATCH(D$1,役男大表!$A$3:$BF$3,0)  )="榮","x",  IF(  INDEX(役男大表!$A$1:$BF$95,MATCH($A33,役男大表!$A$1:$A$97,0),   MATCH(D$1,役男大表!$A$3:$BF$3,0)  )="榮-22",  "x榮18-22",               INDEX(役男大表!$A$1:$BF$95,MATCH($A33,役男大表!$A$1:$A$97,0),   MATCH(D$1,役男大表!$A$3:$BF$3,0)  )                  )  )  )," ",""),"")</f>
        <v>病</v>
      </c>
      <c r="E33" s="278" t="str">
        <f>_xlfn.IFNA(  SUBSTITUTE(     IF(  INDEX(役男大表!$A$1:$BF$95,MATCH($A33,役男大表!$A$1:$A$97,0),   MATCH(E$1,役男大表!$A$3:$BF$3,0)  )=0,"",  IF(  INDEX(役男大表!$A$1:$BF$95,MATCH($A33,役男大表!$A$1:$A$97,0),   MATCH(E$1,役男大表!$A$3:$BF$3,0)  )="榮","x",  IF(  INDEX(役男大表!$A$1:$BF$95,MATCH($A33,役男大表!$A$1:$A$97,0),   MATCH(E$1,役男大表!$A$3:$BF$3,0)  )="榮-22",  "x榮18-22",               INDEX(役男大表!$A$1:$BF$95,MATCH($A33,役男大表!$A$1:$A$97,0),   MATCH(E$1,役男大表!$A$3:$BF$3,0)  )                  )  )  )," ",""),"")</f>
        <v>病</v>
      </c>
      <c r="F33" s="278" t="str">
        <f>_xlfn.IFNA(  SUBSTITUTE(     IF(  INDEX(役男大表!$A$1:$BF$95,MATCH($A33,役男大表!$A$1:$A$97,0),   MATCH(F$1,役男大表!$A$3:$BF$3,0)  )=0,"",  IF(  INDEX(役男大表!$A$1:$BF$95,MATCH($A33,役男大表!$A$1:$A$97,0),   MATCH(F$1,役男大表!$A$3:$BF$3,0)  )="榮","x",  IF(  INDEX(役男大表!$A$1:$BF$95,MATCH($A33,役男大表!$A$1:$A$97,0),   MATCH(F$1,役男大表!$A$3:$BF$3,0)  )="榮-22",  "x榮18-22",               INDEX(役男大表!$A$1:$BF$95,MATCH($A33,役男大表!$A$1:$A$97,0),   MATCH(F$1,役男大表!$A$3:$BF$3,0)  )                  )  )  )," ",""),"")</f>
        <v>病</v>
      </c>
      <c r="G33" s="278" t="str">
        <f>_xlfn.IFNA(  SUBSTITUTE(     IF(  INDEX(役男大表!$A$1:$BF$95,MATCH($A33,役男大表!$A$1:$A$97,0),   MATCH(G$1,役男大表!$A$3:$BF$3,0)  )=0,"",  IF(  INDEX(役男大表!$A$1:$BF$95,MATCH($A33,役男大表!$A$1:$A$97,0),   MATCH(G$1,役男大表!$A$3:$BF$3,0)  )="榮","x",  IF(  INDEX(役男大表!$A$1:$BF$95,MATCH($A33,役男大表!$A$1:$A$97,0),   MATCH(G$1,役男大表!$A$3:$BF$3,0)  )="榮-22",  "x榮18-22",               INDEX(役男大表!$A$1:$BF$95,MATCH($A33,役男大表!$A$1:$A$97,0),   MATCH(G$1,役男大表!$A$3:$BF$3,0)  )                  )  )  )," ",""),"")</f>
        <v>病</v>
      </c>
      <c r="H33" s="278" t="str">
        <f>_xlfn.IFNA(  SUBSTITUTE(     IF(  INDEX(役男大表!$A$1:$BF$95,MATCH($A33,役男大表!$A$1:$A$97,0),   MATCH(H$1,役男大表!$A$3:$BF$3,0)  )=0,"",  IF(  INDEX(役男大表!$A$1:$BF$95,MATCH($A33,役男大表!$A$1:$A$97,0),   MATCH(H$1,役男大表!$A$3:$BF$3,0)  )="榮","x",  IF(  INDEX(役男大表!$A$1:$BF$95,MATCH($A33,役男大表!$A$1:$A$97,0),   MATCH(H$1,役男大表!$A$3:$BF$3,0)  )="榮-22",  "x榮18-22",               INDEX(役男大表!$A$1:$BF$95,MATCH($A33,役男大表!$A$1:$A$97,0),   MATCH(H$1,役男大表!$A$3:$BF$3,0)  )                  )  )  )," ",""),"")</f>
        <v>病</v>
      </c>
      <c r="I33" s="278" t="str">
        <f>_xlfn.IFNA(  SUBSTITUTE(     IF(  INDEX(役男大表!$A$1:$BF$95,MATCH($A33,役男大表!$A$1:$A$97,0),   MATCH(I$1,役男大表!$A$3:$BF$3,0)  )=0,"",  IF(  INDEX(役男大表!$A$1:$BF$95,MATCH($A33,役男大表!$A$1:$A$97,0),   MATCH(I$1,役男大表!$A$3:$BF$3,0)  )="榮","x",  IF(  INDEX(役男大表!$A$1:$BF$95,MATCH($A33,役男大表!$A$1:$A$97,0),   MATCH(I$1,役男大表!$A$3:$BF$3,0)  )="榮-22",  "x榮18-22",               INDEX(役男大表!$A$1:$BF$95,MATCH($A33,役男大表!$A$1:$A$97,0),   MATCH(I$1,役男大表!$A$3:$BF$3,0)  )                  )  )  )," ",""),"")</f>
        <v>病</v>
      </c>
      <c r="J33" s="278" t="str">
        <f>_xlfn.IFNA(  SUBSTITUTE(     IF(  INDEX(役男大表!$A$1:$BF$95,MATCH($A33,役男大表!$A$1:$A$97,0),   MATCH(J$1,役男大表!$A$3:$BF$3,0)  )=0,"",  IF(  INDEX(役男大表!$A$1:$BF$95,MATCH($A33,役男大表!$A$1:$A$97,0),   MATCH(J$1,役男大表!$A$3:$BF$3,0)  )="榮","x",  IF(  INDEX(役男大表!$A$1:$BF$95,MATCH($A33,役男大表!$A$1:$A$97,0),   MATCH(J$1,役男大表!$A$3:$BF$3,0)  )="榮-22",  "x榮18-22",               INDEX(役男大表!$A$1:$BF$95,MATCH($A33,役男大表!$A$1:$A$97,0),   MATCH(J$1,役男大表!$A$3:$BF$3,0)  )                  )  )  )," ",""),"")</f>
        <v>病</v>
      </c>
      <c r="K33" s="278" t="str">
        <f>_xlfn.IFNA(  SUBSTITUTE(     IF(  INDEX(役男大表!$A$1:$BF$95,MATCH($A33,役男大表!$A$1:$A$97,0),   MATCH(K$1,役男大表!$A$3:$BF$3,0)  )=0,"",  IF(  INDEX(役男大表!$A$1:$BF$95,MATCH($A33,役男大表!$A$1:$A$97,0),   MATCH(K$1,役男大表!$A$3:$BF$3,0)  )="榮","x",  IF(  INDEX(役男大表!$A$1:$BF$95,MATCH($A33,役男大表!$A$1:$A$97,0),   MATCH(K$1,役男大表!$A$3:$BF$3,0)  )="榮-22",  "x榮18-22",               INDEX(役男大表!$A$1:$BF$95,MATCH($A33,役男大表!$A$1:$A$97,0),   MATCH(K$1,役男大表!$A$3:$BF$3,0)  )                  )  )  )," ",""),"")</f>
        <v>病</v>
      </c>
      <c r="L33" s="278" t="str">
        <f>_xlfn.IFNA(  SUBSTITUTE(     IF(  INDEX(役男大表!$A$1:$BF$95,MATCH($A33,役男大表!$A$1:$A$97,0),   MATCH(L$1,役男大表!$A$3:$BF$3,0)  )=0,"",  IF(  INDEX(役男大表!$A$1:$BF$95,MATCH($A33,役男大表!$A$1:$A$97,0),   MATCH(L$1,役男大表!$A$3:$BF$3,0)  )="榮","x",  IF(  INDEX(役男大表!$A$1:$BF$95,MATCH($A33,役男大表!$A$1:$A$97,0),   MATCH(L$1,役男大表!$A$3:$BF$3,0)  )="榮-22",  "x榮18-22",               INDEX(役男大表!$A$1:$BF$95,MATCH($A33,役男大表!$A$1:$A$97,0),   MATCH(L$1,役男大表!$A$3:$BF$3,0)  )                  )  )  )," ",""),"")</f>
        <v>病</v>
      </c>
      <c r="M33" s="278" t="str">
        <f>_xlfn.IFNA(  SUBSTITUTE(     IF(  INDEX(役男大表!$A$1:$BF$95,MATCH($A33,役男大表!$A$1:$A$97,0),   MATCH(M$1,役男大表!$A$3:$BF$3,0)  )=0,"",  IF(  INDEX(役男大表!$A$1:$BF$95,MATCH($A33,役男大表!$A$1:$A$97,0),   MATCH(M$1,役男大表!$A$3:$BF$3,0)  )="榮","x",  IF(  INDEX(役男大表!$A$1:$BF$95,MATCH($A33,役男大表!$A$1:$A$97,0),   MATCH(M$1,役男大表!$A$3:$BF$3,0)  )="榮-22",  "x榮18-22",               INDEX(役男大表!$A$1:$BF$95,MATCH($A33,役男大表!$A$1:$A$97,0),   MATCH(M$1,役男大表!$A$3:$BF$3,0)  )                  )  )  )," ",""),"")</f>
        <v>病</v>
      </c>
      <c r="N33" s="278" t="str">
        <f>_xlfn.IFNA(  SUBSTITUTE(     IF(  INDEX(役男大表!$A$1:$BF$95,MATCH($A33,役男大表!$A$1:$A$97,0),   MATCH(N$1,役男大表!$A$3:$BF$3,0)  )=0,"",  IF(  INDEX(役男大表!$A$1:$BF$95,MATCH($A33,役男大表!$A$1:$A$97,0),   MATCH(N$1,役男大表!$A$3:$BF$3,0)  )="榮","x",  IF(  INDEX(役男大表!$A$1:$BF$95,MATCH($A33,役男大表!$A$1:$A$97,0),   MATCH(N$1,役男大表!$A$3:$BF$3,0)  )="榮-22",  "x榮18-22",               INDEX(役男大表!$A$1:$BF$95,MATCH($A33,役男大表!$A$1:$A$97,0),   MATCH(N$1,役男大表!$A$3:$BF$3,0)  )                  )  )  )," ",""),"")</f>
        <v>病</v>
      </c>
      <c r="O33" s="278" t="str">
        <f>_xlfn.IFNA(  SUBSTITUTE(     IF(  INDEX(役男大表!$A$1:$BF$95,MATCH($A33,役男大表!$A$1:$A$97,0),   MATCH(O$1,役男大表!$A$3:$BF$3,0)  )=0,"",  IF(  INDEX(役男大表!$A$1:$BF$95,MATCH($A33,役男大表!$A$1:$A$97,0),   MATCH(O$1,役男大表!$A$3:$BF$3,0)  )="榮","x",  IF(  INDEX(役男大表!$A$1:$BF$95,MATCH($A33,役男大表!$A$1:$A$97,0),   MATCH(O$1,役男大表!$A$3:$BF$3,0)  )="榮-22",  "x榮18-22",               INDEX(役男大表!$A$1:$BF$95,MATCH($A33,役男大表!$A$1:$A$97,0),   MATCH(O$1,役男大表!$A$3:$BF$3,0)  )                  )  )  )," ",""),"")</f>
        <v>病</v>
      </c>
      <c r="P33" s="278" t="str">
        <f>_xlfn.IFNA(  SUBSTITUTE(     IF(  INDEX(役男大表!$A$1:$BF$95,MATCH($A33,役男大表!$A$1:$A$97,0),   MATCH(P$1,役男大表!$A$3:$BF$3,0)  )=0,"",  IF(  INDEX(役男大表!$A$1:$BF$95,MATCH($A33,役男大表!$A$1:$A$97,0),   MATCH(P$1,役男大表!$A$3:$BF$3,0)  )="榮","x",  IF(  INDEX(役男大表!$A$1:$BF$95,MATCH($A33,役男大表!$A$1:$A$97,0),   MATCH(P$1,役男大表!$A$3:$BF$3,0)  )="榮-22",  "x榮18-22",               INDEX(役男大表!$A$1:$BF$95,MATCH($A33,役男大表!$A$1:$A$97,0),   MATCH(P$1,役男大表!$A$3:$BF$3,0)  )                  )  )  )," ",""),"")</f>
        <v>病</v>
      </c>
      <c r="Q33" s="278" t="str">
        <f>_xlfn.IFNA(  SUBSTITUTE(     IF(  INDEX(役男大表!$A$1:$BF$95,MATCH($A33,役男大表!$A$1:$A$97,0),   MATCH(Q$1,役男大表!$A$3:$BF$3,0)  )=0,"",  IF(  INDEX(役男大表!$A$1:$BF$95,MATCH($A33,役男大表!$A$1:$A$97,0),   MATCH(Q$1,役男大表!$A$3:$BF$3,0)  )="榮","x",  IF(  INDEX(役男大表!$A$1:$BF$95,MATCH($A33,役男大表!$A$1:$A$97,0),   MATCH(Q$1,役男大表!$A$3:$BF$3,0)  )="榮-22",  "x榮18-22",               INDEX(役男大表!$A$1:$BF$95,MATCH($A33,役男大表!$A$1:$A$97,0),   MATCH(Q$1,役男大表!$A$3:$BF$3,0)  )                  )  )  )," ",""),"")</f>
        <v>病</v>
      </c>
      <c r="R33" s="278" t="str">
        <f>_xlfn.IFNA(  SUBSTITUTE(     IF(  INDEX(役男大表!$A$1:$BF$95,MATCH($A33,役男大表!$A$1:$A$97,0),   MATCH(R$1,役男大表!$A$3:$BF$3,0)  )=0,"",  IF(  INDEX(役男大表!$A$1:$BF$95,MATCH($A33,役男大表!$A$1:$A$97,0),   MATCH(R$1,役男大表!$A$3:$BF$3,0)  )="榮","x",  IF(  INDEX(役男大表!$A$1:$BF$95,MATCH($A33,役男大表!$A$1:$A$97,0),   MATCH(R$1,役男大表!$A$3:$BF$3,0)  )="榮-22",  "x榮18-22",               INDEX(役男大表!$A$1:$BF$95,MATCH($A33,役男大表!$A$1:$A$97,0),   MATCH(R$1,役男大表!$A$3:$BF$3,0)  )                  )  )  )," ",""),"")</f>
        <v>病</v>
      </c>
      <c r="S33" s="278" t="str">
        <f>_xlfn.IFNA(  SUBSTITUTE(     IF(  INDEX(役男大表!$A$1:$BF$95,MATCH($A33,役男大表!$A$1:$A$97,0),   MATCH(S$1,役男大表!$A$3:$BF$3,0)  )=0,"",  IF(  INDEX(役男大表!$A$1:$BF$95,MATCH($A33,役男大表!$A$1:$A$97,0),   MATCH(S$1,役男大表!$A$3:$BF$3,0)  )="榮","x",  IF(  INDEX(役男大表!$A$1:$BF$95,MATCH($A33,役男大表!$A$1:$A$97,0),   MATCH(S$1,役男大表!$A$3:$BF$3,0)  )="榮-22",  "x榮18-22",               INDEX(役男大表!$A$1:$BF$95,MATCH($A33,役男大表!$A$1:$A$97,0),   MATCH(S$1,役男大表!$A$3:$BF$3,0)  )                  )  )  )," ",""),"")</f>
        <v>病</v>
      </c>
      <c r="T33" s="278" t="str">
        <f>_xlfn.IFNA(  SUBSTITUTE(     IF(  INDEX(役男大表!$A$1:$BF$95,MATCH($A33,役男大表!$A$1:$A$97,0),   MATCH(T$1,役男大表!$A$3:$BF$3,0)  )=0,"",  IF(  INDEX(役男大表!$A$1:$BF$95,MATCH($A33,役男大表!$A$1:$A$97,0),   MATCH(T$1,役男大表!$A$3:$BF$3,0)  )="榮","x",  IF(  INDEX(役男大表!$A$1:$BF$95,MATCH($A33,役男大表!$A$1:$A$97,0),   MATCH(T$1,役男大表!$A$3:$BF$3,0)  )="榮-22",  "x榮18-22",               INDEX(役男大表!$A$1:$BF$95,MATCH($A33,役男大表!$A$1:$A$97,0),   MATCH(T$1,役男大表!$A$3:$BF$3,0)  )                  )  )  )," ",""),"")</f>
        <v>病</v>
      </c>
      <c r="U33" s="278" t="str">
        <f>_xlfn.IFNA(  SUBSTITUTE(     IF(  INDEX(役男大表!$A$1:$BF$95,MATCH($A33,役男大表!$A$1:$A$97,0),   MATCH(U$1,役男大表!$A$3:$BF$3,0)  )=0,"",  IF(  INDEX(役男大表!$A$1:$BF$95,MATCH($A33,役男大表!$A$1:$A$97,0),   MATCH(U$1,役男大表!$A$3:$BF$3,0)  )="榮","x",  IF(  INDEX(役男大表!$A$1:$BF$95,MATCH($A33,役男大表!$A$1:$A$97,0),   MATCH(U$1,役男大表!$A$3:$BF$3,0)  )="榮-22",  "x榮18-22",               INDEX(役男大表!$A$1:$BF$95,MATCH($A33,役男大表!$A$1:$A$97,0),   MATCH(U$1,役男大表!$A$3:$BF$3,0)  )                  )  )  )," ",""),"")</f>
        <v>病</v>
      </c>
      <c r="V33" s="278" t="str">
        <f>_xlfn.IFNA(  SUBSTITUTE(     IF(  INDEX(役男大表!$A$1:$BF$95,MATCH($A33,役男大表!$A$1:$A$97,0),   MATCH(V$1,役男大表!$A$3:$BF$3,0)  )=0,"",  IF(  INDEX(役男大表!$A$1:$BF$95,MATCH($A33,役男大表!$A$1:$A$97,0),   MATCH(V$1,役男大表!$A$3:$BF$3,0)  )="榮","x",  IF(  INDEX(役男大表!$A$1:$BF$95,MATCH($A33,役男大表!$A$1:$A$97,0),   MATCH(V$1,役男大表!$A$3:$BF$3,0)  )="榮-22",  "x榮18-22",               INDEX(役男大表!$A$1:$BF$95,MATCH($A33,役男大表!$A$1:$A$97,0),   MATCH(V$1,役男大表!$A$3:$BF$3,0)  )                  )  )  )," ",""),"")</f>
        <v>病</v>
      </c>
      <c r="W33" s="278" t="str">
        <f>_xlfn.IFNA(  SUBSTITUTE(     IF(  INDEX(役男大表!$A$1:$BF$95,MATCH($A33,役男大表!$A$1:$A$97,0),   MATCH(W$1,役男大表!$A$3:$BF$3,0)  )=0,"",  IF(  INDEX(役男大表!$A$1:$BF$95,MATCH($A33,役男大表!$A$1:$A$97,0),   MATCH(W$1,役男大表!$A$3:$BF$3,0)  )="榮","x",  IF(  INDEX(役男大表!$A$1:$BF$95,MATCH($A33,役男大表!$A$1:$A$97,0),   MATCH(W$1,役男大表!$A$3:$BF$3,0)  )="榮-22",  "x榮18-22",               INDEX(役男大表!$A$1:$BF$95,MATCH($A33,役男大表!$A$1:$A$97,0),   MATCH(W$1,役男大表!$A$3:$BF$3,0)  )                  )  )  )," ",""),"")</f>
        <v>病</v>
      </c>
      <c r="X33" s="278" t="str">
        <f>_xlfn.IFNA(  SUBSTITUTE(     IF(  INDEX(役男大表!$A$1:$BF$95,MATCH($A33,役男大表!$A$1:$A$97,0),   MATCH(X$1,役男大表!$A$3:$BF$3,0)  )=0,"",  IF(  INDEX(役男大表!$A$1:$BF$95,MATCH($A33,役男大表!$A$1:$A$97,0),   MATCH(X$1,役男大表!$A$3:$BF$3,0)  )="榮","x",  IF(  INDEX(役男大表!$A$1:$BF$95,MATCH($A33,役男大表!$A$1:$A$97,0),   MATCH(X$1,役男大表!$A$3:$BF$3,0)  )="榮-22",  "x榮18-22",               INDEX(役男大表!$A$1:$BF$95,MATCH($A33,役男大表!$A$1:$A$97,0),   MATCH(X$1,役男大表!$A$3:$BF$3,0)  )                  )  )  )," ",""),"")</f>
        <v>病</v>
      </c>
      <c r="Y33" s="278" t="str">
        <f>_xlfn.IFNA(  SUBSTITUTE(     IF(  INDEX(役男大表!$A$1:$BF$95,MATCH($A33,役男大表!$A$1:$A$97,0),   MATCH(Y$1,役男大表!$A$3:$BF$3,0)  )=0,"",  IF(  INDEX(役男大表!$A$1:$BF$95,MATCH($A33,役男大表!$A$1:$A$97,0),   MATCH(Y$1,役男大表!$A$3:$BF$3,0)  )="榮","x",  IF(  INDEX(役男大表!$A$1:$BF$95,MATCH($A33,役男大表!$A$1:$A$97,0),   MATCH(Y$1,役男大表!$A$3:$BF$3,0)  )="榮-22",  "x榮18-22",               INDEX(役男大表!$A$1:$BF$95,MATCH($A33,役男大表!$A$1:$A$97,0),   MATCH(Y$1,役男大表!$A$3:$BF$3,0)  )                  )  )  )," ",""),"")</f>
        <v>病</v>
      </c>
      <c r="Z33" s="278" t="str">
        <f>_xlfn.IFNA(  SUBSTITUTE(     IF(  INDEX(役男大表!$A$1:$BF$95,MATCH($A33,役男大表!$A$1:$A$97,0),   MATCH(Z$1,役男大表!$A$3:$BF$3,0)  )=0,"",  IF(  INDEX(役男大表!$A$1:$BF$95,MATCH($A33,役男大表!$A$1:$A$97,0),   MATCH(Z$1,役男大表!$A$3:$BF$3,0)  )="榮","x",  IF(  INDEX(役男大表!$A$1:$BF$95,MATCH($A33,役男大表!$A$1:$A$97,0),   MATCH(Z$1,役男大表!$A$3:$BF$3,0)  )="榮-22",  "x榮18-22",               INDEX(役男大表!$A$1:$BF$95,MATCH($A33,役男大表!$A$1:$A$97,0),   MATCH(Z$1,役男大表!$A$3:$BF$3,0)  )                  )  )  )," ",""),"")</f>
        <v>病</v>
      </c>
      <c r="AA33" s="278" t="str">
        <f>_xlfn.IFNA(  SUBSTITUTE(     IF(  INDEX(役男大表!$A$1:$BF$95,MATCH($A33,役男大表!$A$1:$A$97,0),   MATCH(AA$1,役男大表!$A$3:$BF$3,0)  )=0,"",  IF(  INDEX(役男大表!$A$1:$BF$95,MATCH($A33,役男大表!$A$1:$A$97,0),   MATCH(AA$1,役男大表!$A$3:$BF$3,0)  )="榮","x",  IF(  INDEX(役男大表!$A$1:$BF$95,MATCH($A33,役男大表!$A$1:$A$97,0),   MATCH(AA$1,役男大表!$A$3:$BF$3,0)  )="榮-22",  "x榮18-22",               INDEX(役男大表!$A$1:$BF$95,MATCH($A33,役男大表!$A$1:$A$97,0),   MATCH(AA$1,役男大表!$A$3:$BF$3,0)  )                  )  )  )," ",""),"")</f>
        <v>病</v>
      </c>
      <c r="AB33" s="278" t="str">
        <f>_xlfn.IFNA(  SUBSTITUTE(     IF(  INDEX(役男大表!$A$1:$BF$95,MATCH($A33,役男大表!$A$1:$A$97,0),   MATCH(AB$1,役男大表!$A$3:$BF$3,0)  )=0,"",  IF(  INDEX(役男大表!$A$1:$BF$95,MATCH($A33,役男大表!$A$1:$A$97,0),   MATCH(AB$1,役男大表!$A$3:$BF$3,0)  )="榮","x",  IF(  INDEX(役男大表!$A$1:$BF$95,MATCH($A33,役男大表!$A$1:$A$97,0),   MATCH(AB$1,役男大表!$A$3:$BF$3,0)  )="榮-22",  "x榮18-22",               INDEX(役男大表!$A$1:$BF$95,MATCH($A33,役男大表!$A$1:$A$97,0),   MATCH(AB$1,役男大表!$A$3:$BF$3,0)  )                  )  )  )," ",""),"")</f>
        <v>病</v>
      </c>
      <c r="AC33" s="278" t="str">
        <f>_xlfn.IFNA(  SUBSTITUTE(     IF(  INDEX(役男大表!$A$1:$BF$95,MATCH($A33,役男大表!$A$1:$A$97,0),   MATCH(AC$1,役男大表!$A$3:$BF$3,0)  )=0,"",  IF(  INDEX(役男大表!$A$1:$BF$95,MATCH($A33,役男大表!$A$1:$A$97,0),   MATCH(AC$1,役男大表!$A$3:$BF$3,0)  )="榮","x",  IF(  INDEX(役男大表!$A$1:$BF$95,MATCH($A33,役男大表!$A$1:$A$97,0),   MATCH(AC$1,役男大表!$A$3:$BF$3,0)  )="榮-22",  "x榮18-22",               INDEX(役男大表!$A$1:$BF$95,MATCH($A33,役男大表!$A$1:$A$97,0),   MATCH(AC$1,役男大表!$A$3:$BF$3,0)  )                  )  )  )," ",""),"")</f>
        <v>病</v>
      </c>
      <c r="AD33" s="278" t="str">
        <f>_xlfn.IFNA(  SUBSTITUTE(     IF(  INDEX(役男大表!$A$1:$BF$95,MATCH($A33,役男大表!$A$1:$A$97,0),   MATCH(AD$1,役男大表!$A$3:$BF$3,0)  )=0,"",  IF(  INDEX(役男大表!$A$1:$BF$95,MATCH($A33,役男大表!$A$1:$A$97,0),   MATCH(AD$1,役男大表!$A$3:$BF$3,0)  )="榮","x",  IF(  INDEX(役男大表!$A$1:$BF$95,MATCH($A33,役男大表!$A$1:$A$97,0),   MATCH(AD$1,役男大表!$A$3:$BF$3,0)  )="榮-22",  "x榮18-22",               INDEX(役男大表!$A$1:$BF$95,MATCH($A33,役男大表!$A$1:$A$97,0),   MATCH(AD$1,役男大表!$A$3:$BF$3,0)  )                  )  )  )," ",""),"")</f>
        <v>病</v>
      </c>
      <c r="AE33" s="278" t="str">
        <f>_xlfn.IFNA(  SUBSTITUTE(     IF(  INDEX(役男大表!$A$1:$BF$95,MATCH($A33,役男大表!$A$1:$A$97,0),   MATCH(AE$1,役男大表!$A$3:$BF$3,0)  )=0,"",  IF(  INDEX(役男大表!$A$1:$BF$95,MATCH($A33,役男大表!$A$1:$A$97,0),   MATCH(AE$1,役男大表!$A$3:$BF$3,0)  )="榮","x",  IF(  INDEX(役男大表!$A$1:$BF$95,MATCH($A33,役男大表!$A$1:$A$97,0),   MATCH(AE$1,役男大表!$A$3:$BF$3,0)  )="榮-22",  "x榮18-22",               INDEX(役男大表!$A$1:$BF$95,MATCH($A33,役男大表!$A$1:$A$97,0),   MATCH(AE$1,役男大表!$A$3:$BF$3,0)  )                  )  )  )," ",""),"")</f>
        <v>病</v>
      </c>
      <c r="AF33" s="278" t="str">
        <f>_xlfn.IFNA(  SUBSTITUTE(     IF(  INDEX(役男大表!$A$1:$BF$95,MATCH($A33,役男大表!$A$1:$A$97,0),   MATCH(AF$1,役男大表!$A$3:$BF$3,0)  )=0,"",  IF(  INDEX(役男大表!$A$1:$BF$95,MATCH($A33,役男大表!$A$1:$A$97,0),   MATCH(AF$1,役男大表!$A$3:$BF$3,0)  )="榮","x",  IF(  INDEX(役男大表!$A$1:$BF$95,MATCH($A33,役男大表!$A$1:$A$97,0),   MATCH(AF$1,役男大表!$A$3:$BF$3,0)  )="榮-22",  "x榮18-22",               INDEX(役男大表!$A$1:$BF$95,MATCH($A33,役男大表!$A$1:$A$97,0),   MATCH(AF$1,役男大表!$A$3:$BF$3,0)  )                  )  )  )," ",""),"")</f>
        <v>病</v>
      </c>
      <c r="AG33" s="278" t="str">
        <f>_xlfn.IFNA(  SUBSTITUTE(     IF(  INDEX(役男大表!$A$1:$BF$95,MATCH($A33,役男大表!$A$1:$A$97,0),   MATCH(AG$1,役男大表!$A$3:$BF$3,0)  )=0,"",  IF(  INDEX(役男大表!$A$1:$BF$95,MATCH($A33,役男大表!$A$1:$A$97,0),   MATCH(AG$1,役男大表!$A$3:$BF$3,0)  )="榮","x",  IF(  INDEX(役男大表!$A$1:$BF$95,MATCH($A33,役男大表!$A$1:$A$97,0),   MATCH(AG$1,役男大表!$A$3:$BF$3,0)  )="榮-22",  "x榮18-22",               INDEX(役男大表!$A$1:$BF$95,MATCH($A33,役男大表!$A$1:$A$97,0),   MATCH(AG$1,役男大表!$A$3:$BF$3,0)  )                  )  )  )," ",""),"")</f>
        <v>病</v>
      </c>
      <c r="AH33" s="278" t="str">
        <f>_xlfn.IFNA(  SUBSTITUTE(     IF(  INDEX(役男大表!$A$1:$BF$95,MATCH($A33,役男大表!$A$1:$A$97,0),   MATCH(AH$1,役男大表!$A$3:$BF$3,0)  )=0,"",  IF(  INDEX(役男大表!$A$1:$BF$95,MATCH($A33,役男大表!$A$1:$A$97,0),   MATCH(AH$1,役男大表!$A$3:$BF$3,0)  )="榮","x",  IF(  INDEX(役男大表!$A$1:$BF$95,MATCH($A33,役男大表!$A$1:$A$97,0),   MATCH(AH$1,役男大表!$A$3:$BF$3,0)  )="榮-22",  "x榮18-22",               INDEX(役男大表!$A$1:$BF$95,MATCH($A33,役男大表!$A$1:$A$97,0),   MATCH(AH$1,役男大表!$A$3:$BF$3,0)  )                  )  )  )," ",""),"")</f>
        <v/>
      </c>
      <c r="AI33" s="278" t="str">
        <f>_xlfn.IFNA(  SUBSTITUTE(     IF(  INDEX(役男大表!$A$1:$BF$95,MATCH($A33,役男大表!$A$1:$A$97,0),   MATCH(AI$1,役男大表!$A$3:$BF$3,0)  )=0,"",  IF(  INDEX(役男大表!$A$1:$BF$95,MATCH($A33,役男大表!$A$1:$A$97,0),   MATCH(AI$1,役男大表!$A$3:$BF$3,0)  )="榮","x",  IF(  INDEX(役男大表!$A$1:$BF$95,MATCH($A33,役男大表!$A$1:$A$97,0),   MATCH(AI$1,役男大表!$A$3:$BF$3,0)  )="榮-22",  "x榮18-22",               INDEX(役男大表!$A$1:$BF$95,MATCH($A33,役男大表!$A$1:$A$97,0),   MATCH(AI$1,役男大表!$A$3:$BF$3,0)  )                  )  )  )," ",""),"")</f>
        <v/>
      </c>
      <c r="AJ33" s="278" t="str">
        <f>_xlfn.IFNA(  SUBSTITUTE(     IF(  INDEX(役男大表!$A$1:$BF$95,MATCH($A33,役男大表!$A$1:$A$97,0),   MATCH(AJ$1,役男大表!$A$3:$BF$3,0)  )=0,"",  IF(  INDEX(役男大表!$A$1:$BF$95,MATCH($A33,役男大表!$A$1:$A$97,0),   MATCH(AJ$1,役男大表!$A$3:$BF$3,0)  )="榮","x",  IF(  INDEX(役男大表!$A$1:$BF$95,MATCH($A33,役男大表!$A$1:$A$97,0),   MATCH(AJ$1,役男大表!$A$3:$BF$3,0)  )="榮-22",  "x榮18-22",               INDEX(役男大表!$A$1:$BF$95,MATCH($A33,役男大表!$A$1:$A$97,0),   MATCH(AJ$1,役男大表!$A$3:$BF$3,0)  )                  )  )  )," ",""),"")</f>
        <v/>
      </c>
      <c r="AM33" s="66">
        <f t="shared" si="1"/>
        <v>32</v>
      </c>
      <c r="AN33" s="66" t="str">
        <f t="shared" si="2"/>
        <v>莊博竣</v>
      </c>
      <c r="AO33" s="71" t="str">
        <f>IF(  AND(  INDEX(   $A$42:$AJ$79, MATCH(AM33,$A$42:$A$79,0),MATCH(  日期輸入!$C$3,$A$42:$AL$42,0  )  )="全日勤",  AV33="免"  ),  "全日勤免勤教",  IF(  AND(  INDEX(   $A$42:$AJ$79, MATCH(AM33,$A$42:$A$79,0),MATCH(  日期輸入!$C$3,$A$42:$AL$42,0  )  )="18放",  AV33="免"  ),  "18放早走",  INDEX(   $A$42:$AJ$79, MATCH(AM33,$A$42:$A$79,0),MATCH(  日期輸入!$C$3,$A$42:$AL$42,0  )  )  )  )</f>
        <v>18收</v>
      </c>
      <c r="AP33" s="66" t="str">
        <f>_xlfn.IFNA(IF((ROW(AP33)-1)&lt;=暫1!$B$2,IF(VALUE($AM33)=暫1!B$3,"家因",IF(VALUE($AM33)=暫1!C$3,"家因",IF(VALUE($AM33)=暫1!D$3,"家因",IF(VALUE($AM33)=暫1!E$3,"家因",IF(VALUE($AM33)=暫1!F$3,"家因",IF(VALUE($AM33)=暫1!G$3,"家因",IF(VALUE($AM33)=暫1!H$3,"家因",IF(VALUE($AM33)=暫1!I$3,"家因",IF(VALUE($AM33)=暫1!J$3,"家因",IF(VALUE($AM33)=暫1!K$3,"家因",IF(VALUE($AM33)=暫1!L$3,"家因",IF(VALUE($AM33)=暫1!M$3,"家因",IF(VALUE($AM33)=暫1!N$3,"家因",IF(VALUE($AM33)=暫1!O$3,"家因",IF(VALUE($AM33)=暫1!P$3,"家因",IF(VALUE($AM33)=暫1!Q$3,"家因",IF(VALUE($AM33)=暫1!R$3,"家因",IF(VALUE($AM33)=暫1!S$3,"家因",IF(VALUE($AM33)=暫1!T$3,"家因",IF(VALUE($AM33)=暫1!U$3,"家因","")))))))))))))))))))),""),"")</f>
        <v/>
      </c>
      <c r="AQ33" s="66" t="str">
        <f>IF((ROW(AQ33)-1)&lt;=暫1!$B$2,_xlfn.IFNA(IF(INDEX($A$1:$AJ$41,MATCH($AN33,$B$1:$B$101,0),VALUE($AQ$1+3))="成","補",INDEX($A$1:$AJ$41,MATCH($AN33,$B$1:$B$101,0),VALUE($AQ$1+3))),""),"")</f>
        <v>病</v>
      </c>
      <c r="AR33" s="66" t="str">
        <f>IF((ROW(AR33)-1)&lt;=暫1!$B$2,_xlfn.IFNA(IF(INDEX($A$1:$AJ$41,MATCH($AN33,$B$1:$B$101,0),VALUE($AR$1+3))="成","補",INDEX($A$1:$AJ$41,MATCH($AN33,$B$1:$B$101,0),VALUE($AR$1+3))),""),"")</f>
        <v/>
      </c>
      <c r="AS33" s="66" t="str">
        <f>IF((ROW(AS33)-1)&lt;=暫1!$B$2,_xlfn.IFNA(IF(INDEX($A$1:$AJ$41,MATCH($AN33,$B$1:$B$101,0),VALUE($AS$1+3))="成","補",INDEX($A$1:$AJ$41,MATCH($AN33,$B$1:$B$101,0),VALUE($AS$1+3))),""),"")</f>
        <v/>
      </c>
      <c r="AT33" s="66" t="str">
        <f>IF(  OR(  LEN(  INDEX(   $A$1:$AJ$39, MATCH(AM33,$A$1:$A$39,0),MATCH(  日期輸入!$C$3,$A$1:$AP$1,0  )  )  )&gt;LEN(  SUBSTITUTE(  INDEX(   $A$1:$AJ$39, MATCH(AM33,$A$1:$A$39,0),MATCH(  日期輸入!$C$3,$A$1:$AP$1,0  )  ),"榮","")  )  ),   SUBSTITUTE(  SUBSTITUTE(  INDEX(   $A$1:$AJ$39, MATCH(AM33,$A$1:$A$39,0),MATCH(  日期輸入!$C$3,$A$1:$AP$1,0  )  ),"榮",""),"x",""), "")</f>
        <v/>
      </c>
      <c r="AU33" s="66" t="str">
        <f t="shared" si="3"/>
        <v/>
      </c>
      <c r="AV33" s="66" t="str">
        <f>INDEX(   $A$482:$AJ$519, MATCH(AM33,$A$482:$A$519,0),MATCH(  日期輸入!$C$3,$A$482:$AL$482,0  )  )</f>
        <v/>
      </c>
      <c r="AX33" s="66" t="str">
        <f>IFERROR(IF((ROW(AX33)-1)&lt;=暫1!$B$2,SUBSTITUTE(IF($AO33=$AX$1,$AM33,"")," ",""),""),"")</f>
        <v/>
      </c>
      <c r="AY33" s="66" t="str">
        <f>IFERROR(IF((ROW(AY33)-1)&lt;=暫1!$B$2,SUBSTITUTE(IF($AO33=$AY$1,$AM33,"")," ",""),""),"")</f>
        <v/>
      </c>
      <c r="AZ33" s="66" t="str">
        <f>IFERROR(IF((ROW(AZ33)-1)&lt;=暫1!$B$2,SUBSTITUTE(IF($AO33=$AZ$1,$AM33,"")," ",""),""),"")</f>
        <v/>
      </c>
      <c r="BA33" s="66" t="str">
        <f>IFERROR(IF((ROW(BA33)-1)&lt;=暫1!$B$2,SUBSTITUTE(IF($AO33=$BA$1,$AM33,"")," ",""),""),"")</f>
        <v>32</v>
      </c>
      <c r="BB33" s="69" t="str">
        <f>IFERROR(IF((ROW(BB33)-1)&lt;=暫1!$B$2,SUBSTITUTE(IF(OR($AO33=$BB$1,$AO33=$AY$1,$AO33=$AZ$1),$AM33,IF($AO33=$AY$1,$AM33,"")),"",""),""),"")</f>
        <v/>
      </c>
      <c r="BC33" s="69" t="str">
        <f>IF(    AND(LEN(BC32)&gt;=2 ),        "、" &amp;  IF(OR(役男人力!$J$2:$J$84="是"),役男人力!$B33,""),  IF(OR(役男人力!$J$2:$J$84="是"),役男人力!$B33,"")  )</f>
        <v/>
      </c>
    </row>
    <row r="34" spans="1:55" ht="25.5" customHeight="1">
      <c r="A34" s="278">
        <v>33</v>
      </c>
      <c r="B34" s="278" t="str">
        <f>_xlfn.IFNA(  INDEX(役男大表!$A$1:$BF$95,MATCH(A34,役男大表!$A$1:$A$97,0),2),"")</f>
        <v/>
      </c>
      <c r="C34" s="278" t="str">
        <f>_xlfn.IFNA(  SUBSTITUTE(     IF(  INDEX(役男大表!$A$1:$BF$95,MATCH($A34,役男大表!$A$1:$A$97,0),   MATCH(C$1,役男大表!$A$3:$BF$3,0)  )=0,"",  IF(  INDEX(役男大表!$A$1:$BF$95,MATCH($A34,役男大表!$A$1:$A$97,0),   MATCH(C$1,役男大表!$A$3:$BF$3,0)  )="榮","x",  IF(  INDEX(役男大表!$A$1:$BF$95,MATCH($A34,役男大表!$A$1:$A$97,0),   MATCH(C$1,役男大表!$A$3:$BF$3,0)  )="榮-22",  "x榮18-22",               INDEX(役男大表!$A$1:$BF$95,MATCH($A34,役男大表!$A$1:$A$97,0),   MATCH(C$1,役男大表!$A$3:$BF$3,0)  )                  )  )  )," ",""),"")</f>
        <v/>
      </c>
      <c r="D34" s="278" t="str">
        <f>_xlfn.IFNA(  SUBSTITUTE(     IF(  INDEX(役男大表!$A$1:$BF$95,MATCH($A34,役男大表!$A$1:$A$97,0),   MATCH(D$1,役男大表!$A$3:$BF$3,0)  )=0,"",  IF(  INDEX(役男大表!$A$1:$BF$95,MATCH($A34,役男大表!$A$1:$A$97,0),   MATCH(D$1,役男大表!$A$3:$BF$3,0)  )="榮","x",  IF(  INDEX(役男大表!$A$1:$BF$95,MATCH($A34,役男大表!$A$1:$A$97,0),   MATCH(D$1,役男大表!$A$3:$BF$3,0)  )="榮-22",  "x榮18-22",               INDEX(役男大表!$A$1:$BF$95,MATCH($A34,役男大表!$A$1:$A$97,0),   MATCH(D$1,役男大表!$A$3:$BF$3,0)  )                  )  )  )," ",""),"")</f>
        <v/>
      </c>
      <c r="E34" s="278" t="str">
        <f>_xlfn.IFNA(  SUBSTITUTE(     IF(  INDEX(役男大表!$A$1:$BF$95,MATCH($A34,役男大表!$A$1:$A$97,0),   MATCH(E$1,役男大表!$A$3:$BF$3,0)  )=0,"",  IF(  INDEX(役男大表!$A$1:$BF$95,MATCH($A34,役男大表!$A$1:$A$97,0),   MATCH(E$1,役男大表!$A$3:$BF$3,0)  )="榮","x",  IF(  INDEX(役男大表!$A$1:$BF$95,MATCH($A34,役男大表!$A$1:$A$97,0),   MATCH(E$1,役男大表!$A$3:$BF$3,0)  )="榮-22",  "x榮18-22",               INDEX(役男大表!$A$1:$BF$95,MATCH($A34,役男大表!$A$1:$A$97,0),   MATCH(E$1,役男大表!$A$3:$BF$3,0)  )                  )  )  )," ",""),"")</f>
        <v/>
      </c>
      <c r="F34" s="278" t="str">
        <f>_xlfn.IFNA(  SUBSTITUTE(     IF(  INDEX(役男大表!$A$1:$BF$95,MATCH($A34,役男大表!$A$1:$A$97,0),   MATCH(F$1,役男大表!$A$3:$BF$3,0)  )=0,"",  IF(  INDEX(役男大表!$A$1:$BF$95,MATCH($A34,役男大表!$A$1:$A$97,0),   MATCH(F$1,役男大表!$A$3:$BF$3,0)  )="榮","x",  IF(  INDEX(役男大表!$A$1:$BF$95,MATCH($A34,役男大表!$A$1:$A$97,0),   MATCH(F$1,役男大表!$A$3:$BF$3,0)  )="榮-22",  "x榮18-22",               INDEX(役男大表!$A$1:$BF$95,MATCH($A34,役男大表!$A$1:$A$97,0),   MATCH(F$1,役男大表!$A$3:$BF$3,0)  )                  )  )  )," ",""),"")</f>
        <v/>
      </c>
      <c r="G34" s="278" t="str">
        <f>_xlfn.IFNA(  SUBSTITUTE(     IF(  INDEX(役男大表!$A$1:$BF$95,MATCH($A34,役男大表!$A$1:$A$97,0),   MATCH(G$1,役男大表!$A$3:$BF$3,0)  )=0,"",  IF(  INDEX(役男大表!$A$1:$BF$95,MATCH($A34,役男大表!$A$1:$A$97,0),   MATCH(G$1,役男大表!$A$3:$BF$3,0)  )="榮","x",  IF(  INDEX(役男大表!$A$1:$BF$95,MATCH($A34,役男大表!$A$1:$A$97,0),   MATCH(G$1,役男大表!$A$3:$BF$3,0)  )="榮-22",  "x榮18-22",               INDEX(役男大表!$A$1:$BF$95,MATCH($A34,役男大表!$A$1:$A$97,0),   MATCH(G$1,役男大表!$A$3:$BF$3,0)  )                  )  )  )," ",""),"")</f>
        <v/>
      </c>
      <c r="H34" s="278" t="str">
        <f>_xlfn.IFNA(  SUBSTITUTE(     IF(  INDEX(役男大表!$A$1:$BF$95,MATCH($A34,役男大表!$A$1:$A$97,0),   MATCH(H$1,役男大表!$A$3:$BF$3,0)  )=0,"",  IF(  INDEX(役男大表!$A$1:$BF$95,MATCH($A34,役男大表!$A$1:$A$97,0),   MATCH(H$1,役男大表!$A$3:$BF$3,0)  )="榮","x",  IF(  INDEX(役男大表!$A$1:$BF$95,MATCH($A34,役男大表!$A$1:$A$97,0),   MATCH(H$1,役男大表!$A$3:$BF$3,0)  )="榮-22",  "x榮18-22",               INDEX(役男大表!$A$1:$BF$95,MATCH($A34,役男大表!$A$1:$A$97,0),   MATCH(H$1,役男大表!$A$3:$BF$3,0)  )                  )  )  )," ",""),"")</f>
        <v/>
      </c>
      <c r="I34" s="278" t="str">
        <f>_xlfn.IFNA(  SUBSTITUTE(     IF(  INDEX(役男大表!$A$1:$BF$95,MATCH($A34,役男大表!$A$1:$A$97,0),   MATCH(I$1,役男大表!$A$3:$BF$3,0)  )=0,"",  IF(  INDEX(役男大表!$A$1:$BF$95,MATCH($A34,役男大表!$A$1:$A$97,0),   MATCH(I$1,役男大表!$A$3:$BF$3,0)  )="榮","x",  IF(  INDEX(役男大表!$A$1:$BF$95,MATCH($A34,役男大表!$A$1:$A$97,0),   MATCH(I$1,役男大表!$A$3:$BF$3,0)  )="榮-22",  "x榮18-22",               INDEX(役男大表!$A$1:$BF$95,MATCH($A34,役男大表!$A$1:$A$97,0),   MATCH(I$1,役男大表!$A$3:$BF$3,0)  )                  )  )  )," ",""),"")</f>
        <v/>
      </c>
      <c r="J34" s="278" t="str">
        <f>_xlfn.IFNA(  SUBSTITUTE(     IF(  INDEX(役男大表!$A$1:$BF$95,MATCH($A34,役男大表!$A$1:$A$97,0),   MATCH(J$1,役男大表!$A$3:$BF$3,0)  )=0,"",  IF(  INDEX(役男大表!$A$1:$BF$95,MATCH($A34,役男大表!$A$1:$A$97,0),   MATCH(J$1,役男大表!$A$3:$BF$3,0)  )="榮","x",  IF(  INDEX(役男大表!$A$1:$BF$95,MATCH($A34,役男大表!$A$1:$A$97,0),   MATCH(J$1,役男大表!$A$3:$BF$3,0)  )="榮-22",  "x榮18-22",               INDEX(役男大表!$A$1:$BF$95,MATCH($A34,役男大表!$A$1:$A$97,0),   MATCH(J$1,役男大表!$A$3:$BF$3,0)  )                  )  )  )," ",""),"")</f>
        <v/>
      </c>
      <c r="K34" s="278" t="str">
        <f>_xlfn.IFNA(  SUBSTITUTE(     IF(  INDEX(役男大表!$A$1:$BF$95,MATCH($A34,役男大表!$A$1:$A$97,0),   MATCH(K$1,役男大表!$A$3:$BF$3,0)  )=0,"",  IF(  INDEX(役男大表!$A$1:$BF$95,MATCH($A34,役男大表!$A$1:$A$97,0),   MATCH(K$1,役男大表!$A$3:$BF$3,0)  )="榮","x",  IF(  INDEX(役男大表!$A$1:$BF$95,MATCH($A34,役男大表!$A$1:$A$97,0),   MATCH(K$1,役男大表!$A$3:$BF$3,0)  )="榮-22",  "x榮18-22",               INDEX(役男大表!$A$1:$BF$95,MATCH($A34,役男大表!$A$1:$A$97,0),   MATCH(K$1,役男大表!$A$3:$BF$3,0)  )                  )  )  )," ",""),"")</f>
        <v/>
      </c>
      <c r="L34" s="278" t="str">
        <f>_xlfn.IFNA(  SUBSTITUTE(     IF(  INDEX(役男大表!$A$1:$BF$95,MATCH($A34,役男大表!$A$1:$A$97,0),   MATCH(L$1,役男大表!$A$3:$BF$3,0)  )=0,"",  IF(  INDEX(役男大表!$A$1:$BF$95,MATCH($A34,役男大表!$A$1:$A$97,0),   MATCH(L$1,役男大表!$A$3:$BF$3,0)  )="榮","x",  IF(  INDEX(役男大表!$A$1:$BF$95,MATCH($A34,役男大表!$A$1:$A$97,0),   MATCH(L$1,役男大表!$A$3:$BF$3,0)  )="榮-22",  "x榮18-22",               INDEX(役男大表!$A$1:$BF$95,MATCH($A34,役男大表!$A$1:$A$97,0),   MATCH(L$1,役男大表!$A$3:$BF$3,0)  )                  )  )  )," ",""),"")</f>
        <v/>
      </c>
      <c r="M34" s="278" t="str">
        <f>_xlfn.IFNA(  SUBSTITUTE(     IF(  INDEX(役男大表!$A$1:$BF$95,MATCH($A34,役男大表!$A$1:$A$97,0),   MATCH(M$1,役男大表!$A$3:$BF$3,0)  )=0,"",  IF(  INDEX(役男大表!$A$1:$BF$95,MATCH($A34,役男大表!$A$1:$A$97,0),   MATCH(M$1,役男大表!$A$3:$BF$3,0)  )="榮","x",  IF(  INDEX(役男大表!$A$1:$BF$95,MATCH($A34,役男大表!$A$1:$A$97,0),   MATCH(M$1,役男大表!$A$3:$BF$3,0)  )="榮-22",  "x榮18-22",               INDEX(役男大表!$A$1:$BF$95,MATCH($A34,役男大表!$A$1:$A$97,0),   MATCH(M$1,役男大表!$A$3:$BF$3,0)  )                  )  )  )," ",""),"")</f>
        <v/>
      </c>
      <c r="N34" s="278" t="str">
        <f>_xlfn.IFNA(  SUBSTITUTE(     IF(  INDEX(役男大表!$A$1:$BF$95,MATCH($A34,役男大表!$A$1:$A$97,0),   MATCH(N$1,役男大表!$A$3:$BF$3,0)  )=0,"",  IF(  INDEX(役男大表!$A$1:$BF$95,MATCH($A34,役男大表!$A$1:$A$97,0),   MATCH(N$1,役男大表!$A$3:$BF$3,0)  )="榮","x",  IF(  INDEX(役男大表!$A$1:$BF$95,MATCH($A34,役男大表!$A$1:$A$97,0),   MATCH(N$1,役男大表!$A$3:$BF$3,0)  )="榮-22",  "x榮18-22",               INDEX(役男大表!$A$1:$BF$95,MATCH($A34,役男大表!$A$1:$A$97,0),   MATCH(N$1,役男大表!$A$3:$BF$3,0)  )                  )  )  )," ",""),"")</f>
        <v/>
      </c>
      <c r="O34" s="278" t="str">
        <f>_xlfn.IFNA(  SUBSTITUTE(     IF(  INDEX(役男大表!$A$1:$BF$95,MATCH($A34,役男大表!$A$1:$A$97,0),   MATCH(O$1,役男大表!$A$3:$BF$3,0)  )=0,"",  IF(  INDEX(役男大表!$A$1:$BF$95,MATCH($A34,役男大表!$A$1:$A$97,0),   MATCH(O$1,役男大表!$A$3:$BF$3,0)  )="榮","x",  IF(  INDEX(役男大表!$A$1:$BF$95,MATCH($A34,役男大表!$A$1:$A$97,0),   MATCH(O$1,役男大表!$A$3:$BF$3,0)  )="榮-22",  "x榮18-22",               INDEX(役男大表!$A$1:$BF$95,MATCH($A34,役男大表!$A$1:$A$97,0),   MATCH(O$1,役男大表!$A$3:$BF$3,0)  )                  )  )  )," ",""),"")</f>
        <v/>
      </c>
      <c r="P34" s="278" t="str">
        <f>_xlfn.IFNA(  SUBSTITUTE(     IF(  INDEX(役男大表!$A$1:$BF$95,MATCH($A34,役男大表!$A$1:$A$97,0),   MATCH(P$1,役男大表!$A$3:$BF$3,0)  )=0,"",  IF(  INDEX(役男大表!$A$1:$BF$95,MATCH($A34,役男大表!$A$1:$A$97,0),   MATCH(P$1,役男大表!$A$3:$BF$3,0)  )="榮","x",  IF(  INDEX(役男大表!$A$1:$BF$95,MATCH($A34,役男大表!$A$1:$A$97,0),   MATCH(P$1,役男大表!$A$3:$BF$3,0)  )="榮-22",  "x榮18-22",               INDEX(役男大表!$A$1:$BF$95,MATCH($A34,役男大表!$A$1:$A$97,0),   MATCH(P$1,役男大表!$A$3:$BF$3,0)  )                  )  )  )," ",""),"")</f>
        <v/>
      </c>
      <c r="Q34" s="278" t="str">
        <f>_xlfn.IFNA(  SUBSTITUTE(     IF(  INDEX(役男大表!$A$1:$BF$95,MATCH($A34,役男大表!$A$1:$A$97,0),   MATCH(Q$1,役男大表!$A$3:$BF$3,0)  )=0,"",  IF(  INDEX(役男大表!$A$1:$BF$95,MATCH($A34,役男大表!$A$1:$A$97,0),   MATCH(Q$1,役男大表!$A$3:$BF$3,0)  )="榮","x",  IF(  INDEX(役男大表!$A$1:$BF$95,MATCH($A34,役男大表!$A$1:$A$97,0),   MATCH(Q$1,役男大表!$A$3:$BF$3,0)  )="榮-22",  "x榮18-22",               INDEX(役男大表!$A$1:$BF$95,MATCH($A34,役男大表!$A$1:$A$97,0),   MATCH(Q$1,役男大表!$A$3:$BF$3,0)  )                  )  )  )," ",""),"")</f>
        <v/>
      </c>
      <c r="R34" s="278" t="str">
        <f>_xlfn.IFNA(  SUBSTITUTE(     IF(  INDEX(役男大表!$A$1:$BF$95,MATCH($A34,役男大表!$A$1:$A$97,0),   MATCH(R$1,役男大表!$A$3:$BF$3,0)  )=0,"",  IF(  INDEX(役男大表!$A$1:$BF$95,MATCH($A34,役男大表!$A$1:$A$97,0),   MATCH(R$1,役男大表!$A$3:$BF$3,0)  )="榮","x",  IF(  INDEX(役男大表!$A$1:$BF$95,MATCH($A34,役男大表!$A$1:$A$97,0),   MATCH(R$1,役男大表!$A$3:$BF$3,0)  )="榮-22",  "x榮18-22",               INDEX(役男大表!$A$1:$BF$95,MATCH($A34,役男大表!$A$1:$A$97,0),   MATCH(R$1,役男大表!$A$3:$BF$3,0)  )                  )  )  )," ",""),"")</f>
        <v/>
      </c>
      <c r="S34" s="278" t="str">
        <f>_xlfn.IFNA(  SUBSTITUTE(     IF(  INDEX(役男大表!$A$1:$BF$95,MATCH($A34,役男大表!$A$1:$A$97,0),   MATCH(S$1,役男大表!$A$3:$BF$3,0)  )=0,"",  IF(  INDEX(役男大表!$A$1:$BF$95,MATCH($A34,役男大表!$A$1:$A$97,0),   MATCH(S$1,役男大表!$A$3:$BF$3,0)  )="榮","x",  IF(  INDEX(役男大表!$A$1:$BF$95,MATCH($A34,役男大表!$A$1:$A$97,0),   MATCH(S$1,役男大表!$A$3:$BF$3,0)  )="榮-22",  "x榮18-22",               INDEX(役男大表!$A$1:$BF$95,MATCH($A34,役男大表!$A$1:$A$97,0),   MATCH(S$1,役男大表!$A$3:$BF$3,0)  )                  )  )  )," ",""),"")</f>
        <v/>
      </c>
      <c r="T34" s="278" t="str">
        <f>_xlfn.IFNA(  SUBSTITUTE(     IF(  INDEX(役男大表!$A$1:$BF$95,MATCH($A34,役男大表!$A$1:$A$97,0),   MATCH(T$1,役男大表!$A$3:$BF$3,0)  )=0,"",  IF(  INDEX(役男大表!$A$1:$BF$95,MATCH($A34,役男大表!$A$1:$A$97,0),   MATCH(T$1,役男大表!$A$3:$BF$3,0)  )="榮","x",  IF(  INDEX(役男大表!$A$1:$BF$95,MATCH($A34,役男大表!$A$1:$A$97,0),   MATCH(T$1,役男大表!$A$3:$BF$3,0)  )="榮-22",  "x榮18-22",               INDEX(役男大表!$A$1:$BF$95,MATCH($A34,役男大表!$A$1:$A$97,0),   MATCH(T$1,役男大表!$A$3:$BF$3,0)  )                  )  )  )," ",""),"")</f>
        <v/>
      </c>
      <c r="U34" s="278" t="str">
        <f>_xlfn.IFNA(  SUBSTITUTE(     IF(  INDEX(役男大表!$A$1:$BF$95,MATCH($A34,役男大表!$A$1:$A$97,0),   MATCH(U$1,役男大表!$A$3:$BF$3,0)  )=0,"",  IF(  INDEX(役男大表!$A$1:$BF$95,MATCH($A34,役男大表!$A$1:$A$97,0),   MATCH(U$1,役男大表!$A$3:$BF$3,0)  )="榮","x",  IF(  INDEX(役男大表!$A$1:$BF$95,MATCH($A34,役男大表!$A$1:$A$97,0),   MATCH(U$1,役男大表!$A$3:$BF$3,0)  )="榮-22",  "x榮18-22",               INDEX(役男大表!$A$1:$BF$95,MATCH($A34,役男大表!$A$1:$A$97,0),   MATCH(U$1,役男大表!$A$3:$BF$3,0)  )                  )  )  )," ",""),"")</f>
        <v/>
      </c>
      <c r="V34" s="278" t="str">
        <f>_xlfn.IFNA(  SUBSTITUTE(     IF(  INDEX(役男大表!$A$1:$BF$95,MATCH($A34,役男大表!$A$1:$A$97,0),   MATCH(V$1,役男大表!$A$3:$BF$3,0)  )=0,"",  IF(  INDEX(役男大表!$A$1:$BF$95,MATCH($A34,役男大表!$A$1:$A$97,0),   MATCH(V$1,役男大表!$A$3:$BF$3,0)  )="榮","x",  IF(  INDEX(役男大表!$A$1:$BF$95,MATCH($A34,役男大表!$A$1:$A$97,0),   MATCH(V$1,役男大表!$A$3:$BF$3,0)  )="榮-22",  "x榮18-22",               INDEX(役男大表!$A$1:$BF$95,MATCH($A34,役男大表!$A$1:$A$97,0),   MATCH(V$1,役男大表!$A$3:$BF$3,0)  )                  )  )  )," ",""),"")</f>
        <v/>
      </c>
      <c r="W34" s="278" t="str">
        <f>_xlfn.IFNA(  SUBSTITUTE(     IF(  INDEX(役男大表!$A$1:$BF$95,MATCH($A34,役男大表!$A$1:$A$97,0),   MATCH(W$1,役男大表!$A$3:$BF$3,0)  )=0,"",  IF(  INDEX(役男大表!$A$1:$BF$95,MATCH($A34,役男大表!$A$1:$A$97,0),   MATCH(W$1,役男大表!$A$3:$BF$3,0)  )="榮","x",  IF(  INDEX(役男大表!$A$1:$BF$95,MATCH($A34,役男大表!$A$1:$A$97,0),   MATCH(W$1,役男大表!$A$3:$BF$3,0)  )="榮-22",  "x榮18-22",               INDEX(役男大表!$A$1:$BF$95,MATCH($A34,役男大表!$A$1:$A$97,0),   MATCH(W$1,役男大表!$A$3:$BF$3,0)  )                  )  )  )," ",""),"")</f>
        <v/>
      </c>
      <c r="X34" s="278" t="str">
        <f>_xlfn.IFNA(  SUBSTITUTE(     IF(  INDEX(役男大表!$A$1:$BF$95,MATCH($A34,役男大表!$A$1:$A$97,0),   MATCH(X$1,役男大表!$A$3:$BF$3,0)  )=0,"",  IF(  INDEX(役男大表!$A$1:$BF$95,MATCH($A34,役男大表!$A$1:$A$97,0),   MATCH(X$1,役男大表!$A$3:$BF$3,0)  )="榮","x",  IF(  INDEX(役男大表!$A$1:$BF$95,MATCH($A34,役男大表!$A$1:$A$97,0),   MATCH(X$1,役男大表!$A$3:$BF$3,0)  )="榮-22",  "x榮18-22",               INDEX(役男大表!$A$1:$BF$95,MATCH($A34,役男大表!$A$1:$A$97,0),   MATCH(X$1,役男大表!$A$3:$BF$3,0)  )                  )  )  )," ",""),"")</f>
        <v/>
      </c>
      <c r="Y34" s="278" t="str">
        <f>_xlfn.IFNA(  SUBSTITUTE(     IF(  INDEX(役男大表!$A$1:$BF$95,MATCH($A34,役男大表!$A$1:$A$97,0),   MATCH(Y$1,役男大表!$A$3:$BF$3,0)  )=0,"",  IF(  INDEX(役男大表!$A$1:$BF$95,MATCH($A34,役男大表!$A$1:$A$97,0),   MATCH(Y$1,役男大表!$A$3:$BF$3,0)  )="榮","x",  IF(  INDEX(役男大表!$A$1:$BF$95,MATCH($A34,役男大表!$A$1:$A$97,0),   MATCH(Y$1,役男大表!$A$3:$BF$3,0)  )="榮-22",  "x榮18-22",               INDEX(役男大表!$A$1:$BF$95,MATCH($A34,役男大表!$A$1:$A$97,0),   MATCH(Y$1,役男大表!$A$3:$BF$3,0)  )                  )  )  )," ",""),"")</f>
        <v/>
      </c>
      <c r="Z34" s="278" t="str">
        <f>_xlfn.IFNA(  SUBSTITUTE(     IF(  INDEX(役男大表!$A$1:$BF$95,MATCH($A34,役男大表!$A$1:$A$97,0),   MATCH(Z$1,役男大表!$A$3:$BF$3,0)  )=0,"",  IF(  INDEX(役男大表!$A$1:$BF$95,MATCH($A34,役男大表!$A$1:$A$97,0),   MATCH(Z$1,役男大表!$A$3:$BF$3,0)  )="榮","x",  IF(  INDEX(役男大表!$A$1:$BF$95,MATCH($A34,役男大表!$A$1:$A$97,0),   MATCH(Z$1,役男大表!$A$3:$BF$3,0)  )="榮-22",  "x榮18-22",               INDEX(役男大表!$A$1:$BF$95,MATCH($A34,役男大表!$A$1:$A$97,0),   MATCH(Z$1,役男大表!$A$3:$BF$3,0)  )                  )  )  )," ",""),"")</f>
        <v/>
      </c>
      <c r="AA34" s="278" t="str">
        <f>_xlfn.IFNA(  SUBSTITUTE(     IF(  INDEX(役男大表!$A$1:$BF$95,MATCH($A34,役男大表!$A$1:$A$97,0),   MATCH(AA$1,役男大表!$A$3:$BF$3,0)  )=0,"",  IF(  INDEX(役男大表!$A$1:$BF$95,MATCH($A34,役男大表!$A$1:$A$97,0),   MATCH(AA$1,役男大表!$A$3:$BF$3,0)  )="榮","x",  IF(  INDEX(役男大表!$A$1:$BF$95,MATCH($A34,役男大表!$A$1:$A$97,0),   MATCH(AA$1,役男大表!$A$3:$BF$3,0)  )="榮-22",  "x榮18-22",               INDEX(役男大表!$A$1:$BF$95,MATCH($A34,役男大表!$A$1:$A$97,0),   MATCH(AA$1,役男大表!$A$3:$BF$3,0)  )                  )  )  )," ",""),"")</f>
        <v/>
      </c>
      <c r="AB34" s="278" t="str">
        <f>_xlfn.IFNA(  SUBSTITUTE(     IF(  INDEX(役男大表!$A$1:$BF$95,MATCH($A34,役男大表!$A$1:$A$97,0),   MATCH(AB$1,役男大表!$A$3:$BF$3,0)  )=0,"",  IF(  INDEX(役男大表!$A$1:$BF$95,MATCH($A34,役男大表!$A$1:$A$97,0),   MATCH(AB$1,役男大表!$A$3:$BF$3,0)  )="榮","x",  IF(  INDEX(役男大表!$A$1:$BF$95,MATCH($A34,役男大表!$A$1:$A$97,0),   MATCH(AB$1,役男大表!$A$3:$BF$3,0)  )="榮-22",  "x榮18-22",               INDEX(役男大表!$A$1:$BF$95,MATCH($A34,役男大表!$A$1:$A$97,0),   MATCH(AB$1,役男大表!$A$3:$BF$3,0)  )                  )  )  )," ",""),"")</f>
        <v/>
      </c>
      <c r="AC34" s="278" t="str">
        <f>_xlfn.IFNA(  SUBSTITUTE(     IF(  INDEX(役男大表!$A$1:$BF$95,MATCH($A34,役男大表!$A$1:$A$97,0),   MATCH(AC$1,役男大表!$A$3:$BF$3,0)  )=0,"",  IF(  INDEX(役男大表!$A$1:$BF$95,MATCH($A34,役男大表!$A$1:$A$97,0),   MATCH(AC$1,役男大表!$A$3:$BF$3,0)  )="榮","x",  IF(  INDEX(役男大表!$A$1:$BF$95,MATCH($A34,役男大表!$A$1:$A$97,0),   MATCH(AC$1,役男大表!$A$3:$BF$3,0)  )="榮-22",  "x榮18-22",               INDEX(役男大表!$A$1:$BF$95,MATCH($A34,役男大表!$A$1:$A$97,0),   MATCH(AC$1,役男大表!$A$3:$BF$3,0)  )                  )  )  )," ",""),"")</f>
        <v/>
      </c>
      <c r="AD34" s="278" t="str">
        <f>_xlfn.IFNA(  SUBSTITUTE(     IF(  INDEX(役男大表!$A$1:$BF$95,MATCH($A34,役男大表!$A$1:$A$97,0),   MATCH(AD$1,役男大表!$A$3:$BF$3,0)  )=0,"",  IF(  INDEX(役男大表!$A$1:$BF$95,MATCH($A34,役男大表!$A$1:$A$97,0),   MATCH(AD$1,役男大表!$A$3:$BF$3,0)  )="榮","x",  IF(  INDEX(役男大表!$A$1:$BF$95,MATCH($A34,役男大表!$A$1:$A$97,0),   MATCH(AD$1,役男大表!$A$3:$BF$3,0)  )="榮-22",  "x榮18-22",               INDEX(役男大表!$A$1:$BF$95,MATCH($A34,役男大表!$A$1:$A$97,0),   MATCH(AD$1,役男大表!$A$3:$BF$3,0)  )                  )  )  )," ",""),"")</f>
        <v/>
      </c>
      <c r="AE34" s="278" t="str">
        <f>_xlfn.IFNA(  SUBSTITUTE(     IF(  INDEX(役男大表!$A$1:$BF$95,MATCH($A34,役男大表!$A$1:$A$97,0),   MATCH(AE$1,役男大表!$A$3:$BF$3,0)  )=0,"",  IF(  INDEX(役男大表!$A$1:$BF$95,MATCH($A34,役男大表!$A$1:$A$97,0),   MATCH(AE$1,役男大表!$A$3:$BF$3,0)  )="榮","x",  IF(  INDEX(役男大表!$A$1:$BF$95,MATCH($A34,役男大表!$A$1:$A$97,0),   MATCH(AE$1,役男大表!$A$3:$BF$3,0)  )="榮-22",  "x榮18-22",               INDEX(役男大表!$A$1:$BF$95,MATCH($A34,役男大表!$A$1:$A$97,0),   MATCH(AE$1,役男大表!$A$3:$BF$3,0)  )                  )  )  )," ",""),"")</f>
        <v/>
      </c>
      <c r="AF34" s="278" t="str">
        <f>_xlfn.IFNA(  SUBSTITUTE(     IF(  INDEX(役男大表!$A$1:$BF$95,MATCH($A34,役男大表!$A$1:$A$97,0),   MATCH(AF$1,役男大表!$A$3:$BF$3,0)  )=0,"",  IF(  INDEX(役男大表!$A$1:$BF$95,MATCH($A34,役男大表!$A$1:$A$97,0),   MATCH(AF$1,役男大表!$A$3:$BF$3,0)  )="榮","x",  IF(  INDEX(役男大表!$A$1:$BF$95,MATCH($A34,役男大表!$A$1:$A$97,0),   MATCH(AF$1,役男大表!$A$3:$BF$3,0)  )="榮-22",  "x榮18-22",               INDEX(役男大表!$A$1:$BF$95,MATCH($A34,役男大表!$A$1:$A$97,0),   MATCH(AF$1,役男大表!$A$3:$BF$3,0)  )                  )  )  )," ",""),"")</f>
        <v/>
      </c>
      <c r="AG34" s="278" t="str">
        <f>_xlfn.IFNA(  SUBSTITUTE(     IF(  INDEX(役男大表!$A$1:$BF$95,MATCH($A34,役男大表!$A$1:$A$97,0),   MATCH(AG$1,役男大表!$A$3:$BF$3,0)  )=0,"",  IF(  INDEX(役男大表!$A$1:$BF$95,MATCH($A34,役男大表!$A$1:$A$97,0),   MATCH(AG$1,役男大表!$A$3:$BF$3,0)  )="榮","x",  IF(  INDEX(役男大表!$A$1:$BF$95,MATCH($A34,役男大表!$A$1:$A$97,0),   MATCH(AG$1,役男大表!$A$3:$BF$3,0)  )="榮-22",  "x榮18-22",               INDEX(役男大表!$A$1:$BF$95,MATCH($A34,役男大表!$A$1:$A$97,0),   MATCH(AG$1,役男大表!$A$3:$BF$3,0)  )                  )  )  )," ",""),"")</f>
        <v/>
      </c>
      <c r="AH34" s="278" t="str">
        <f>_xlfn.IFNA(  SUBSTITUTE(     IF(  INDEX(役男大表!$A$1:$BF$95,MATCH($A34,役男大表!$A$1:$A$97,0),   MATCH(AH$1,役男大表!$A$3:$BF$3,0)  )=0,"",  IF(  INDEX(役男大表!$A$1:$BF$95,MATCH($A34,役男大表!$A$1:$A$97,0),   MATCH(AH$1,役男大表!$A$3:$BF$3,0)  )="榮","x",  IF(  INDEX(役男大表!$A$1:$BF$95,MATCH($A34,役男大表!$A$1:$A$97,0),   MATCH(AH$1,役男大表!$A$3:$BF$3,0)  )="榮-22",  "x榮18-22",               INDEX(役男大表!$A$1:$BF$95,MATCH($A34,役男大表!$A$1:$A$97,0),   MATCH(AH$1,役男大表!$A$3:$BF$3,0)  )                  )  )  )," ",""),"")</f>
        <v/>
      </c>
      <c r="AI34" s="278" t="str">
        <f>_xlfn.IFNA(  SUBSTITUTE(     IF(  INDEX(役男大表!$A$1:$BF$95,MATCH($A34,役男大表!$A$1:$A$97,0),   MATCH(AI$1,役男大表!$A$3:$BF$3,0)  )=0,"",  IF(  INDEX(役男大表!$A$1:$BF$95,MATCH($A34,役男大表!$A$1:$A$97,0),   MATCH(AI$1,役男大表!$A$3:$BF$3,0)  )="榮","x",  IF(  INDEX(役男大表!$A$1:$BF$95,MATCH($A34,役男大表!$A$1:$A$97,0),   MATCH(AI$1,役男大表!$A$3:$BF$3,0)  )="榮-22",  "x榮18-22",               INDEX(役男大表!$A$1:$BF$95,MATCH($A34,役男大表!$A$1:$A$97,0),   MATCH(AI$1,役男大表!$A$3:$BF$3,0)  )                  )  )  )," ",""),"")</f>
        <v/>
      </c>
      <c r="AJ34" s="278" t="str">
        <f>_xlfn.IFNA(  SUBSTITUTE(     IF(  INDEX(役男大表!$A$1:$BF$95,MATCH($A34,役男大表!$A$1:$A$97,0),   MATCH(AJ$1,役男大表!$A$3:$BF$3,0)  )=0,"",  IF(  INDEX(役男大表!$A$1:$BF$95,MATCH($A34,役男大表!$A$1:$A$97,0),   MATCH(AJ$1,役男大表!$A$3:$BF$3,0)  )="榮","x",  IF(  INDEX(役男大表!$A$1:$BF$95,MATCH($A34,役男大表!$A$1:$A$97,0),   MATCH(AJ$1,役男大表!$A$3:$BF$3,0)  )="榮-22",  "x榮18-22",               INDEX(役男大表!$A$1:$BF$95,MATCH($A34,役男大表!$A$1:$A$97,0),   MATCH(AJ$1,役男大表!$A$3:$BF$3,0)  )                  )  )  )," ",""),"")</f>
        <v/>
      </c>
      <c r="AM34" s="66">
        <f t="shared" si="1"/>
        <v>33</v>
      </c>
      <c r="AN34" s="66" t="str">
        <f t="shared" si="2"/>
        <v/>
      </c>
      <c r="AO34" s="71" t="str">
        <f>IF(  AND(  INDEX(   $A$42:$AJ$79, MATCH(AM34,$A$42:$A$79,0),MATCH(  日期輸入!$C$3,$A$42:$AL$42,0  )  )="全日勤",  AV34="免"  ),  "全日勤免勤教",  IF(  AND(  INDEX(   $A$42:$AJ$79, MATCH(AM34,$A$42:$A$79,0),MATCH(  日期輸入!$C$3,$A$42:$AL$42,0  )  )="18放",  AV34="免"  ),  "18放早走",  INDEX(   $A$42:$AJ$79, MATCH(AM34,$A$42:$A$79,0),MATCH(  日期輸入!$C$3,$A$42:$AL$42,0  )  )  )  )</f>
        <v/>
      </c>
      <c r="AP34" s="66" t="str">
        <f>_xlfn.IFNA(IF((ROW(AP34)-1)&lt;=暫1!$B$2,IF(VALUE($AM34)=暫1!B$3,"家因",IF(VALUE($AM34)=暫1!C$3,"家因",IF(VALUE($AM34)=暫1!D$3,"家因",IF(VALUE($AM34)=暫1!E$3,"家因",IF(VALUE($AM34)=暫1!F$3,"家因",IF(VALUE($AM34)=暫1!G$3,"家因",IF(VALUE($AM34)=暫1!H$3,"家因",IF(VALUE($AM34)=暫1!I$3,"家因",IF(VALUE($AM34)=暫1!J$3,"家因",IF(VALUE($AM34)=暫1!K$3,"家因",IF(VALUE($AM34)=暫1!L$3,"家因",IF(VALUE($AM34)=暫1!M$3,"家因",IF(VALUE($AM34)=暫1!N$3,"家因",IF(VALUE($AM34)=暫1!O$3,"家因",IF(VALUE($AM34)=暫1!P$3,"家因",IF(VALUE($AM34)=暫1!Q$3,"家因",IF(VALUE($AM34)=暫1!R$3,"家因",IF(VALUE($AM34)=暫1!S$3,"家因",IF(VALUE($AM34)=暫1!T$3,"家因",IF(VALUE($AM34)=暫1!U$3,"家因","")))))))))))))))))))),""),"")</f>
        <v/>
      </c>
      <c r="AQ34" s="66" t="str">
        <f>IF((ROW(AQ34)-1)&lt;=暫1!$B$2,_xlfn.IFNA(IF(INDEX($A$1:$AJ$41,MATCH($AN34,$B$1:$B$101,0),VALUE($AQ$1+3))="成","補",INDEX($A$1:$AJ$41,MATCH($AN34,$B$1:$B$101,0),VALUE($AQ$1+3))),""),"")</f>
        <v/>
      </c>
      <c r="AR34" s="66" t="str">
        <f>IF((ROW(AR34)-1)&lt;=暫1!$B$2,_xlfn.IFNA(IF(INDEX($A$1:$AJ$41,MATCH($AN34,$B$1:$B$101,0),VALUE($AR$1+3))="成","補",INDEX($A$1:$AJ$41,MATCH($AN34,$B$1:$B$101,0),VALUE($AR$1+3))),""),"")</f>
        <v/>
      </c>
      <c r="AS34" s="66" t="str">
        <f>IF((ROW(AS34)-1)&lt;=暫1!$B$2,_xlfn.IFNA(IF(INDEX($A$1:$AJ$41,MATCH($AN34,$B$1:$B$101,0),VALUE($AS$1+3))="成","補",INDEX($A$1:$AJ$41,MATCH($AN34,$B$1:$B$101,0),VALUE($AS$1+3))),""),"")</f>
        <v/>
      </c>
      <c r="AT34" s="66" t="str">
        <f>IF(  OR(  LEN(  INDEX(   $A$1:$AJ$39, MATCH(AM34,$A$1:$A$39,0),MATCH(  日期輸入!$C$3,$A$1:$AP$1,0  )  )  )&gt;LEN(  SUBSTITUTE(  INDEX(   $A$1:$AJ$39, MATCH(AM34,$A$1:$A$39,0),MATCH(  日期輸入!$C$3,$A$1:$AP$1,0  )  ),"榮","")  )  ),   SUBSTITUTE(  SUBSTITUTE(  INDEX(   $A$1:$AJ$39, MATCH(AM34,$A$1:$A$39,0),MATCH(  日期輸入!$C$3,$A$1:$AP$1,0  )  ),"榮",""),"x",""), "")</f>
        <v/>
      </c>
      <c r="AU34" s="66" t="str">
        <f t="shared" si="3"/>
        <v/>
      </c>
      <c r="AV34" s="66" t="str">
        <f>INDEX(   $A$482:$AJ$519, MATCH(AM34,$A$482:$A$519,0),MATCH(  日期輸入!$C$3,$A$482:$AL$482,0  )  )</f>
        <v/>
      </c>
      <c r="AX34" s="66" t="str">
        <f>IFERROR(IF((ROW(AX34)-1)&lt;=暫1!$B$2,SUBSTITUTE(IF($AO34=$AX$1,$AM34,"")," ",""),""),"")</f>
        <v/>
      </c>
      <c r="AY34" s="66" t="str">
        <f>IFERROR(IF((ROW(AY34)-1)&lt;=暫1!$B$2,SUBSTITUTE(IF($AO34=$AY$1,$AM34,"")," ",""),""),"")</f>
        <v/>
      </c>
      <c r="AZ34" s="66" t="str">
        <f>IFERROR(IF((ROW(AZ34)-1)&lt;=暫1!$B$2,SUBSTITUTE(IF($AO34=$AZ$1,$AM34,"")," ",""),""),"")</f>
        <v/>
      </c>
      <c r="BA34" s="66" t="str">
        <f>IFERROR(IF((ROW(BA34)-1)&lt;=暫1!$B$2,SUBSTITUTE(IF($AO34=$BA$1,$AM34,"")," ",""),""),"")</f>
        <v/>
      </c>
      <c r="BB34" s="69" t="str">
        <f>IFERROR(IF((ROW(BB34)-1)&lt;=暫1!$B$2,SUBSTITUTE(IF(OR($AO34=$BB$1,$AO34=$AY$1,$AO34=$AZ$1),$AM34,IF($AO34=$AY$1,$AM34,"")),"",""),""),"")</f>
        <v/>
      </c>
      <c r="BC34" s="69" t="str">
        <f>IF(    AND(LEN(BC33)&gt;=2 ),        "、" &amp;  IF(OR(役男人力!$J$2:$J$84="是"),役男人力!#REF!,""),  IF(OR(役男人力!$J$2:$J$84="是"),役男人力!#REF!,"")  )</f>
        <v/>
      </c>
    </row>
    <row r="35" spans="1:55" ht="25.5" customHeight="1">
      <c r="A35" s="278">
        <v>34</v>
      </c>
      <c r="B35" s="278" t="str">
        <f>_xlfn.IFNA(  INDEX(役男大表!$A$1:$BF$95,MATCH(A35,役男大表!$A$1:$A$97,0),2),"")</f>
        <v/>
      </c>
      <c r="C35" s="278" t="str">
        <f>_xlfn.IFNA(  SUBSTITUTE(     IF(  INDEX(役男大表!$A$1:$BF$95,MATCH($A35,役男大表!$A$1:$A$97,0),   MATCH(C$1,役男大表!$A$3:$BF$3,0)  )=0,"",  IF(  INDEX(役男大表!$A$1:$BF$95,MATCH($A35,役男大表!$A$1:$A$97,0),   MATCH(C$1,役男大表!$A$3:$BF$3,0)  )="榮","x",  IF(  INDEX(役男大表!$A$1:$BF$95,MATCH($A35,役男大表!$A$1:$A$97,0),   MATCH(C$1,役男大表!$A$3:$BF$3,0)  )="榮-22",  "x榮18-22",               INDEX(役男大表!$A$1:$BF$95,MATCH($A35,役男大表!$A$1:$A$97,0),   MATCH(C$1,役男大表!$A$3:$BF$3,0)  )                  )  )  )," ",""),"")</f>
        <v/>
      </c>
      <c r="D35" s="278" t="str">
        <f>_xlfn.IFNA(  SUBSTITUTE(     IF(  INDEX(役男大表!$A$1:$BF$95,MATCH($A35,役男大表!$A$1:$A$97,0),   MATCH(D$1,役男大表!$A$3:$BF$3,0)  )=0,"",  IF(  INDEX(役男大表!$A$1:$BF$95,MATCH($A35,役男大表!$A$1:$A$97,0),   MATCH(D$1,役男大表!$A$3:$BF$3,0)  )="榮","x",  IF(  INDEX(役男大表!$A$1:$BF$95,MATCH($A35,役男大表!$A$1:$A$97,0),   MATCH(D$1,役男大表!$A$3:$BF$3,0)  )="榮-22",  "x榮18-22",               INDEX(役男大表!$A$1:$BF$95,MATCH($A35,役男大表!$A$1:$A$97,0),   MATCH(D$1,役男大表!$A$3:$BF$3,0)  )                  )  )  )," ",""),"")</f>
        <v/>
      </c>
      <c r="E35" s="278" t="str">
        <f>_xlfn.IFNA(  SUBSTITUTE(     IF(  INDEX(役男大表!$A$1:$BF$95,MATCH($A35,役男大表!$A$1:$A$97,0),   MATCH(E$1,役男大表!$A$3:$BF$3,0)  )=0,"",  IF(  INDEX(役男大表!$A$1:$BF$95,MATCH($A35,役男大表!$A$1:$A$97,0),   MATCH(E$1,役男大表!$A$3:$BF$3,0)  )="榮","x",  IF(  INDEX(役男大表!$A$1:$BF$95,MATCH($A35,役男大表!$A$1:$A$97,0),   MATCH(E$1,役男大表!$A$3:$BF$3,0)  )="榮-22",  "x榮18-22",               INDEX(役男大表!$A$1:$BF$95,MATCH($A35,役男大表!$A$1:$A$97,0),   MATCH(E$1,役男大表!$A$3:$BF$3,0)  )                  )  )  )," ",""),"")</f>
        <v/>
      </c>
      <c r="F35" s="278" t="str">
        <f>_xlfn.IFNA(  SUBSTITUTE(     IF(  INDEX(役男大表!$A$1:$BF$95,MATCH($A35,役男大表!$A$1:$A$97,0),   MATCH(F$1,役男大表!$A$3:$BF$3,0)  )=0,"",  IF(  INDEX(役男大表!$A$1:$BF$95,MATCH($A35,役男大表!$A$1:$A$97,0),   MATCH(F$1,役男大表!$A$3:$BF$3,0)  )="榮","x",  IF(  INDEX(役男大表!$A$1:$BF$95,MATCH($A35,役男大表!$A$1:$A$97,0),   MATCH(F$1,役男大表!$A$3:$BF$3,0)  )="榮-22",  "x榮18-22",               INDEX(役男大表!$A$1:$BF$95,MATCH($A35,役男大表!$A$1:$A$97,0),   MATCH(F$1,役男大表!$A$3:$BF$3,0)  )                  )  )  )," ",""),"")</f>
        <v/>
      </c>
      <c r="G35" s="278" t="str">
        <f>_xlfn.IFNA(  SUBSTITUTE(     IF(  INDEX(役男大表!$A$1:$BF$95,MATCH($A35,役男大表!$A$1:$A$97,0),   MATCH(G$1,役男大表!$A$3:$BF$3,0)  )=0,"",  IF(  INDEX(役男大表!$A$1:$BF$95,MATCH($A35,役男大表!$A$1:$A$97,0),   MATCH(G$1,役男大表!$A$3:$BF$3,0)  )="榮","x",  IF(  INDEX(役男大表!$A$1:$BF$95,MATCH($A35,役男大表!$A$1:$A$97,0),   MATCH(G$1,役男大表!$A$3:$BF$3,0)  )="榮-22",  "x榮18-22",               INDEX(役男大表!$A$1:$BF$95,MATCH($A35,役男大表!$A$1:$A$97,0),   MATCH(G$1,役男大表!$A$3:$BF$3,0)  )                  )  )  )," ",""),"")</f>
        <v/>
      </c>
      <c r="H35" s="278" t="str">
        <f>_xlfn.IFNA(  SUBSTITUTE(     IF(  INDEX(役男大表!$A$1:$BF$95,MATCH($A35,役男大表!$A$1:$A$97,0),   MATCH(H$1,役男大表!$A$3:$BF$3,0)  )=0,"",  IF(  INDEX(役男大表!$A$1:$BF$95,MATCH($A35,役男大表!$A$1:$A$97,0),   MATCH(H$1,役男大表!$A$3:$BF$3,0)  )="榮","x",  IF(  INDEX(役男大表!$A$1:$BF$95,MATCH($A35,役男大表!$A$1:$A$97,0),   MATCH(H$1,役男大表!$A$3:$BF$3,0)  )="榮-22",  "x榮18-22",               INDEX(役男大表!$A$1:$BF$95,MATCH($A35,役男大表!$A$1:$A$97,0),   MATCH(H$1,役男大表!$A$3:$BF$3,0)  )                  )  )  )," ",""),"")</f>
        <v/>
      </c>
      <c r="I35" s="278" t="str">
        <f>_xlfn.IFNA(  SUBSTITUTE(     IF(  INDEX(役男大表!$A$1:$BF$95,MATCH($A35,役男大表!$A$1:$A$97,0),   MATCH(I$1,役男大表!$A$3:$BF$3,0)  )=0,"",  IF(  INDEX(役男大表!$A$1:$BF$95,MATCH($A35,役男大表!$A$1:$A$97,0),   MATCH(I$1,役男大表!$A$3:$BF$3,0)  )="榮","x",  IF(  INDEX(役男大表!$A$1:$BF$95,MATCH($A35,役男大表!$A$1:$A$97,0),   MATCH(I$1,役男大表!$A$3:$BF$3,0)  )="榮-22",  "x榮18-22",               INDEX(役男大表!$A$1:$BF$95,MATCH($A35,役男大表!$A$1:$A$97,0),   MATCH(I$1,役男大表!$A$3:$BF$3,0)  )                  )  )  )," ",""),"")</f>
        <v/>
      </c>
      <c r="J35" s="278" t="str">
        <f>_xlfn.IFNA(  SUBSTITUTE(     IF(  INDEX(役男大表!$A$1:$BF$95,MATCH($A35,役男大表!$A$1:$A$97,0),   MATCH(J$1,役男大表!$A$3:$BF$3,0)  )=0,"",  IF(  INDEX(役男大表!$A$1:$BF$95,MATCH($A35,役男大表!$A$1:$A$97,0),   MATCH(J$1,役男大表!$A$3:$BF$3,0)  )="榮","x",  IF(  INDEX(役男大表!$A$1:$BF$95,MATCH($A35,役男大表!$A$1:$A$97,0),   MATCH(J$1,役男大表!$A$3:$BF$3,0)  )="榮-22",  "x榮18-22",               INDEX(役男大表!$A$1:$BF$95,MATCH($A35,役男大表!$A$1:$A$97,0),   MATCH(J$1,役男大表!$A$3:$BF$3,0)  )                  )  )  )," ",""),"")</f>
        <v/>
      </c>
      <c r="K35" s="278" t="str">
        <f>_xlfn.IFNA(  SUBSTITUTE(     IF(  INDEX(役男大表!$A$1:$BF$95,MATCH($A35,役男大表!$A$1:$A$97,0),   MATCH(K$1,役男大表!$A$3:$BF$3,0)  )=0,"",  IF(  INDEX(役男大表!$A$1:$BF$95,MATCH($A35,役男大表!$A$1:$A$97,0),   MATCH(K$1,役男大表!$A$3:$BF$3,0)  )="榮","x",  IF(  INDEX(役男大表!$A$1:$BF$95,MATCH($A35,役男大表!$A$1:$A$97,0),   MATCH(K$1,役男大表!$A$3:$BF$3,0)  )="榮-22",  "x榮18-22",               INDEX(役男大表!$A$1:$BF$95,MATCH($A35,役男大表!$A$1:$A$97,0),   MATCH(K$1,役男大表!$A$3:$BF$3,0)  )                  )  )  )," ",""),"")</f>
        <v/>
      </c>
      <c r="L35" s="278" t="str">
        <f>_xlfn.IFNA(  SUBSTITUTE(     IF(  INDEX(役男大表!$A$1:$BF$95,MATCH($A35,役男大表!$A$1:$A$97,0),   MATCH(L$1,役男大表!$A$3:$BF$3,0)  )=0,"",  IF(  INDEX(役男大表!$A$1:$BF$95,MATCH($A35,役男大表!$A$1:$A$97,0),   MATCH(L$1,役男大表!$A$3:$BF$3,0)  )="榮","x",  IF(  INDEX(役男大表!$A$1:$BF$95,MATCH($A35,役男大表!$A$1:$A$97,0),   MATCH(L$1,役男大表!$A$3:$BF$3,0)  )="榮-22",  "x榮18-22",               INDEX(役男大表!$A$1:$BF$95,MATCH($A35,役男大表!$A$1:$A$97,0),   MATCH(L$1,役男大表!$A$3:$BF$3,0)  )                  )  )  )," ",""),"")</f>
        <v/>
      </c>
      <c r="M35" s="278" t="str">
        <f>_xlfn.IFNA(  SUBSTITUTE(     IF(  INDEX(役男大表!$A$1:$BF$95,MATCH($A35,役男大表!$A$1:$A$97,0),   MATCH(M$1,役男大表!$A$3:$BF$3,0)  )=0,"",  IF(  INDEX(役男大表!$A$1:$BF$95,MATCH($A35,役男大表!$A$1:$A$97,0),   MATCH(M$1,役男大表!$A$3:$BF$3,0)  )="榮","x",  IF(  INDEX(役男大表!$A$1:$BF$95,MATCH($A35,役男大表!$A$1:$A$97,0),   MATCH(M$1,役男大表!$A$3:$BF$3,0)  )="榮-22",  "x榮18-22",               INDEX(役男大表!$A$1:$BF$95,MATCH($A35,役男大表!$A$1:$A$97,0),   MATCH(M$1,役男大表!$A$3:$BF$3,0)  )                  )  )  )," ",""),"")</f>
        <v/>
      </c>
      <c r="N35" s="278" t="str">
        <f>_xlfn.IFNA(  SUBSTITUTE(     IF(  INDEX(役男大表!$A$1:$BF$95,MATCH($A35,役男大表!$A$1:$A$97,0),   MATCH(N$1,役男大表!$A$3:$BF$3,0)  )=0,"",  IF(  INDEX(役男大表!$A$1:$BF$95,MATCH($A35,役男大表!$A$1:$A$97,0),   MATCH(N$1,役男大表!$A$3:$BF$3,0)  )="榮","x",  IF(  INDEX(役男大表!$A$1:$BF$95,MATCH($A35,役男大表!$A$1:$A$97,0),   MATCH(N$1,役男大表!$A$3:$BF$3,0)  )="榮-22",  "x榮18-22",               INDEX(役男大表!$A$1:$BF$95,MATCH($A35,役男大表!$A$1:$A$97,0),   MATCH(N$1,役男大表!$A$3:$BF$3,0)  )                  )  )  )," ",""),"")</f>
        <v/>
      </c>
      <c r="O35" s="278" t="str">
        <f>_xlfn.IFNA(  SUBSTITUTE(     IF(  INDEX(役男大表!$A$1:$BF$95,MATCH($A35,役男大表!$A$1:$A$97,0),   MATCH(O$1,役男大表!$A$3:$BF$3,0)  )=0,"",  IF(  INDEX(役男大表!$A$1:$BF$95,MATCH($A35,役男大表!$A$1:$A$97,0),   MATCH(O$1,役男大表!$A$3:$BF$3,0)  )="榮","x",  IF(  INDEX(役男大表!$A$1:$BF$95,MATCH($A35,役男大表!$A$1:$A$97,0),   MATCH(O$1,役男大表!$A$3:$BF$3,0)  )="榮-22",  "x榮18-22",               INDEX(役男大表!$A$1:$BF$95,MATCH($A35,役男大表!$A$1:$A$97,0),   MATCH(O$1,役男大表!$A$3:$BF$3,0)  )                  )  )  )," ",""),"")</f>
        <v/>
      </c>
      <c r="P35" s="278" t="str">
        <f>_xlfn.IFNA(  SUBSTITUTE(     IF(  INDEX(役男大表!$A$1:$BF$95,MATCH($A35,役男大表!$A$1:$A$97,0),   MATCH(P$1,役男大表!$A$3:$BF$3,0)  )=0,"",  IF(  INDEX(役男大表!$A$1:$BF$95,MATCH($A35,役男大表!$A$1:$A$97,0),   MATCH(P$1,役男大表!$A$3:$BF$3,0)  )="榮","x",  IF(  INDEX(役男大表!$A$1:$BF$95,MATCH($A35,役男大表!$A$1:$A$97,0),   MATCH(P$1,役男大表!$A$3:$BF$3,0)  )="榮-22",  "x榮18-22",               INDEX(役男大表!$A$1:$BF$95,MATCH($A35,役男大表!$A$1:$A$97,0),   MATCH(P$1,役男大表!$A$3:$BF$3,0)  )                  )  )  )," ",""),"")</f>
        <v/>
      </c>
      <c r="Q35" s="278" t="str">
        <f>_xlfn.IFNA(  SUBSTITUTE(     IF(  INDEX(役男大表!$A$1:$BF$95,MATCH($A35,役男大表!$A$1:$A$97,0),   MATCH(Q$1,役男大表!$A$3:$BF$3,0)  )=0,"",  IF(  INDEX(役男大表!$A$1:$BF$95,MATCH($A35,役男大表!$A$1:$A$97,0),   MATCH(Q$1,役男大表!$A$3:$BF$3,0)  )="榮","x",  IF(  INDEX(役男大表!$A$1:$BF$95,MATCH($A35,役男大表!$A$1:$A$97,0),   MATCH(Q$1,役男大表!$A$3:$BF$3,0)  )="榮-22",  "x榮18-22",               INDEX(役男大表!$A$1:$BF$95,MATCH($A35,役男大表!$A$1:$A$97,0),   MATCH(Q$1,役男大表!$A$3:$BF$3,0)  )                  )  )  )," ",""),"")</f>
        <v/>
      </c>
      <c r="R35" s="278" t="str">
        <f>_xlfn.IFNA(  SUBSTITUTE(     IF(  INDEX(役男大表!$A$1:$BF$95,MATCH($A35,役男大表!$A$1:$A$97,0),   MATCH(R$1,役男大表!$A$3:$BF$3,0)  )=0,"",  IF(  INDEX(役男大表!$A$1:$BF$95,MATCH($A35,役男大表!$A$1:$A$97,0),   MATCH(R$1,役男大表!$A$3:$BF$3,0)  )="榮","x",  IF(  INDEX(役男大表!$A$1:$BF$95,MATCH($A35,役男大表!$A$1:$A$97,0),   MATCH(R$1,役男大表!$A$3:$BF$3,0)  )="榮-22",  "x榮18-22",               INDEX(役男大表!$A$1:$BF$95,MATCH($A35,役男大表!$A$1:$A$97,0),   MATCH(R$1,役男大表!$A$3:$BF$3,0)  )                  )  )  )," ",""),"")</f>
        <v/>
      </c>
      <c r="S35" s="278" t="str">
        <f>_xlfn.IFNA(  SUBSTITUTE(     IF(  INDEX(役男大表!$A$1:$BF$95,MATCH($A35,役男大表!$A$1:$A$97,0),   MATCH(S$1,役男大表!$A$3:$BF$3,0)  )=0,"",  IF(  INDEX(役男大表!$A$1:$BF$95,MATCH($A35,役男大表!$A$1:$A$97,0),   MATCH(S$1,役男大表!$A$3:$BF$3,0)  )="榮","x",  IF(  INDEX(役男大表!$A$1:$BF$95,MATCH($A35,役男大表!$A$1:$A$97,0),   MATCH(S$1,役男大表!$A$3:$BF$3,0)  )="榮-22",  "x榮18-22",               INDEX(役男大表!$A$1:$BF$95,MATCH($A35,役男大表!$A$1:$A$97,0),   MATCH(S$1,役男大表!$A$3:$BF$3,0)  )                  )  )  )," ",""),"")</f>
        <v/>
      </c>
      <c r="T35" s="278" t="str">
        <f>_xlfn.IFNA(  SUBSTITUTE(     IF(  INDEX(役男大表!$A$1:$BF$95,MATCH($A35,役男大表!$A$1:$A$97,0),   MATCH(T$1,役男大表!$A$3:$BF$3,0)  )=0,"",  IF(  INDEX(役男大表!$A$1:$BF$95,MATCH($A35,役男大表!$A$1:$A$97,0),   MATCH(T$1,役男大表!$A$3:$BF$3,0)  )="榮","x",  IF(  INDEX(役男大表!$A$1:$BF$95,MATCH($A35,役男大表!$A$1:$A$97,0),   MATCH(T$1,役男大表!$A$3:$BF$3,0)  )="榮-22",  "x榮18-22",               INDEX(役男大表!$A$1:$BF$95,MATCH($A35,役男大表!$A$1:$A$97,0),   MATCH(T$1,役男大表!$A$3:$BF$3,0)  )                  )  )  )," ",""),"")</f>
        <v/>
      </c>
      <c r="U35" s="278" t="str">
        <f>_xlfn.IFNA(  SUBSTITUTE(     IF(  INDEX(役男大表!$A$1:$BF$95,MATCH($A35,役男大表!$A$1:$A$97,0),   MATCH(U$1,役男大表!$A$3:$BF$3,0)  )=0,"",  IF(  INDEX(役男大表!$A$1:$BF$95,MATCH($A35,役男大表!$A$1:$A$97,0),   MATCH(U$1,役男大表!$A$3:$BF$3,0)  )="榮","x",  IF(  INDEX(役男大表!$A$1:$BF$95,MATCH($A35,役男大表!$A$1:$A$97,0),   MATCH(U$1,役男大表!$A$3:$BF$3,0)  )="榮-22",  "x榮18-22",               INDEX(役男大表!$A$1:$BF$95,MATCH($A35,役男大表!$A$1:$A$97,0),   MATCH(U$1,役男大表!$A$3:$BF$3,0)  )                  )  )  )," ",""),"")</f>
        <v/>
      </c>
      <c r="V35" s="278" t="str">
        <f>_xlfn.IFNA(  SUBSTITUTE(     IF(  INDEX(役男大表!$A$1:$BF$95,MATCH($A35,役男大表!$A$1:$A$97,0),   MATCH(V$1,役男大表!$A$3:$BF$3,0)  )=0,"",  IF(  INDEX(役男大表!$A$1:$BF$95,MATCH($A35,役男大表!$A$1:$A$97,0),   MATCH(V$1,役男大表!$A$3:$BF$3,0)  )="榮","x",  IF(  INDEX(役男大表!$A$1:$BF$95,MATCH($A35,役男大表!$A$1:$A$97,0),   MATCH(V$1,役男大表!$A$3:$BF$3,0)  )="榮-22",  "x榮18-22",               INDEX(役男大表!$A$1:$BF$95,MATCH($A35,役男大表!$A$1:$A$97,0),   MATCH(V$1,役男大表!$A$3:$BF$3,0)  )                  )  )  )," ",""),"")</f>
        <v/>
      </c>
      <c r="W35" s="278" t="str">
        <f>_xlfn.IFNA(  SUBSTITUTE(     IF(  INDEX(役男大表!$A$1:$BF$95,MATCH($A35,役男大表!$A$1:$A$97,0),   MATCH(W$1,役男大表!$A$3:$BF$3,0)  )=0,"",  IF(  INDEX(役男大表!$A$1:$BF$95,MATCH($A35,役男大表!$A$1:$A$97,0),   MATCH(W$1,役男大表!$A$3:$BF$3,0)  )="榮","x",  IF(  INDEX(役男大表!$A$1:$BF$95,MATCH($A35,役男大表!$A$1:$A$97,0),   MATCH(W$1,役男大表!$A$3:$BF$3,0)  )="榮-22",  "x榮18-22",               INDEX(役男大表!$A$1:$BF$95,MATCH($A35,役男大表!$A$1:$A$97,0),   MATCH(W$1,役男大表!$A$3:$BF$3,0)  )                  )  )  )," ",""),"")</f>
        <v/>
      </c>
      <c r="X35" s="278" t="str">
        <f>_xlfn.IFNA(  SUBSTITUTE(     IF(  INDEX(役男大表!$A$1:$BF$95,MATCH($A35,役男大表!$A$1:$A$97,0),   MATCH(X$1,役男大表!$A$3:$BF$3,0)  )=0,"",  IF(  INDEX(役男大表!$A$1:$BF$95,MATCH($A35,役男大表!$A$1:$A$97,0),   MATCH(X$1,役男大表!$A$3:$BF$3,0)  )="榮","x",  IF(  INDEX(役男大表!$A$1:$BF$95,MATCH($A35,役男大表!$A$1:$A$97,0),   MATCH(X$1,役男大表!$A$3:$BF$3,0)  )="榮-22",  "x榮18-22",               INDEX(役男大表!$A$1:$BF$95,MATCH($A35,役男大表!$A$1:$A$97,0),   MATCH(X$1,役男大表!$A$3:$BF$3,0)  )                  )  )  )," ",""),"")</f>
        <v/>
      </c>
      <c r="Y35" s="278" t="str">
        <f>_xlfn.IFNA(  SUBSTITUTE(     IF(  INDEX(役男大表!$A$1:$BF$95,MATCH($A35,役男大表!$A$1:$A$97,0),   MATCH(Y$1,役男大表!$A$3:$BF$3,0)  )=0,"",  IF(  INDEX(役男大表!$A$1:$BF$95,MATCH($A35,役男大表!$A$1:$A$97,0),   MATCH(Y$1,役男大表!$A$3:$BF$3,0)  )="榮","x",  IF(  INDEX(役男大表!$A$1:$BF$95,MATCH($A35,役男大表!$A$1:$A$97,0),   MATCH(Y$1,役男大表!$A$3:$BF$3,0)  )="榮-22",  "x榮18-22",               INDEX(役男大表!$A$1:$BF$95,MATCH($A35,役男大表!$A$1:$A$97,0),   MATCH(Y$1,役男大表!$A$3:$BF$3,0)  )                  )  )  )," ",""),"")</f>
        <v/>
      </c>
      <c r="Z35" s="278" t="str">
        <f>_xlfn.IFNA(  SUBSTITUTE(     IF(  INDEX(役男大表!$A$1:$BF$95,MATCH($A35,役男大表!$A$1:$A$97,0),   MATCH(Z$1,役男大表!$A$3:$BF$3,0)  )=0,"",  IF(  INDEX(役男大表!$A$1:$BF$95,MATCH($A35,役男大表!$A$1:$A$97,0),   MATCH(Z$1,役男大表!$A$3:$BF$3,0)  )="榮","x",  IF(  INDEX(役男大表!$A$1:$BF$95,MATCH($A35,役男大表!$A$1:$A$97,0),   MATCH(Z$1,役男大表!$A$3:$BF$3,0)  )="榮-22",  "x榮18-22",               INDEX(役男大表!$A$1:$BF$95,MATCH($A35,役男大表!$A$1:$A$97,0),   MATCH(Z$1,役男大表!$A$3:$BF$3,0)  )                  )  )  )," ",""),"")</f>
        <v/>
      </c>
      <c r="AA35" s="278" t="str">
        <f>_xlfn.IFNA(  SUBSTITUTE(     IF(  INDEX(役男大表!$A$1:$BF$95,MATCH($A35,役男大表!$A$1:$A$97,0),   MATCH(AA$1,役男大表!$A$3:$BF$3,0)  )=0,"",  IF(  INDEX(役男大表!$A$1:$BF$95,MATCH($A35,役男大表!$A$1:$A$97,0),   MATCH(AA$1,役男大表!$A$3:$BF$3,0)  )="榮","x",  IF(  INDEX(役男大表!$A$1:$BF$95,MATCH($A35,役男大表!$A$1:$A$97,0),   MATCH(AA$1,役男大表!$A$3:$BF$3,0)  )="榮-22",  "x榮18-22",               INDEX(役男大表!$A$1:$BF$95,MATCH($A35,役男大表!$A$1:$A$97,0),   MATCH(AA$1,役男大表!$A$3:$BF$3,0)  )                  )  )  )," ",""),"")</f>
        <v/>
      </c>
      <c r="AB35" s="278" t="str">
        <f>_xlfn.IFNA(  SUBSTITUTE(     IF(  INDEX(役男大表!$A$1:$BF$95,MATCH($A35,役男大表!$A$1:$A$97,0),   MATCH(AB$1,役男大表!$A$3:$BF$3,0)  )=0,"",  IF(  INDEX(役男大表!$A$1:$BF$95,MATCH($A35,役男大表!$A$1:$A$97,0),   MATCH(AB$1,役男大表!$A$3:$BF$3,0)  )="榮","x",  IF(  INDEX(役男大表!$A$1:$BF$95,MATCH($A35,役男大表!$A$1:$A$97,0),   MATCH(AB$1,役男大表!$A$3:$BF$3,0)  )="榮-22",  "x榮18-22",               INDEX(役男大表!$A$1:$BF$95,MATCH($A35,役男大表!$A$1:$A$97,0),   MATCH(AB$1,役男大表!$A$3:$BF$3,0)  )                  )  )  )," ",""),"")</f>
        <v/>
      </c>
      <c r="AC35" s="278" t="str">
        <f>_xlfn.IFNA(  SUBSTITUTE(     IF(  INDEX(役男大表!$A$1:$BF$95,MATCH($A35,役男大表!$A$1:$A$97,0),   MATCH(AC$1,役男大表!$A$3:$BF$3,0)  )=0,"",  IF(  INDEX(役男大表!$A$1:$BF$95,MATCH($A35,役男大表!$A$1:$A$97,0),   MATCH(AC$1,役男大表!$A$3:$BF$3,0)  )="榮","x",  IF(  INDEX(役男大表!$A$1:$BF$95,MATCH($A35,役男大表!$A$1:$A$97,0),   MATCH(AC$1,役男大表!$A$3:$BF$3,0)  )="榮-22",  "x榮18-22",               INDEX(役男大表!$A$1:$BF$95,MATCH($A35,役男大表!$A$1:$A$97,0),   MATCH(AC$1,役男大表!$A$3:$BF$3,0)  )                  )  )  )," ",""),"")</f>
        <v/>
      </c>
      <c r="AD35" s="278" t="str">
        <f>_xlfn.IFNA(  SUBSTITUTE(     IF(  INDEX(役男大表!$A$1:$BF$95,MATCH($A35,役男大表!$A$1:$A$97,0),   MATCH(AD$1,役男大表!$A$3:$BF$3,0)  )=0,"",  IF(  INDEX(役男大表!$A$1:$BF$95,MATCH($A35,役男大表!$A$1:$A$97,0),   MATCH(AD$1,役男大表!$A$3:$BF$3,0)  )="榮","x",  IF(  INDEX(役男大表!$A$1:$BF$95,MATCH($A35,役男大表!$A$1:$A$97,0),   MATCH(AD$1,役男大表!$A$3:$BF$3,0)  )="榮-22",  "x榮18-22",               INDEX(役男大表!$A$1:$BF$95,MATCH($A35,役男大表!$A$1:$A$97,0),   MATCH(AD$1,役男大表!$A$3:$BF$3,0)  )                  )  )  )," ",""),"")</f>
        <v/>
      </c>
      <c r="AE35" s="278" t="str">
        <f>_xlfn.IFNA(  SUBSTITUTE(     IF(  INDEX(役男大表!$A$1:$BF$95,MATCH($A35,役男大表!$A$1:$A$97,0),   MATCH(AE$1,役男大表!$A$3:$BF$3,0)  )=0,"",  IF(  INDEX(役男大表!$A$1:$BF$95,MATCH($A35,役男大表!$A$1:$A$97,0),   MATCH(AE$1,役男大表!$A$3:$BF$3,0)  )="榮","x",  IF(  INDEX(役男大表!$A$1:$BF$95,MATCH($A35,役男大表!$A$1:$A$97,0),   MATCH(AE$1,役男大表!$A$3:$BF$3,0)  )="榮-22",  "x榮18-22",               INDEX(役男大表!$A$1:$BF$95,MATCH($A35,役男大表!$A$1:$A$97,0),   MATCH(AE$1,役男大表!$A$3:$BF$3,0)  )                  )  )  )," ",""),"")</f>
        <v/>
      </c>
      <c r="AF35" s="278" t="str">
        <f>_xlfn.IFNA(  SUBSTITUTE(     IF(  INDEX(役男大表!$A$1:$BF$95,MATCH($A35,役男大表!$A$1:$A$97,0),   MATCH(AF$1,役男大表!$A$3:$BF$3,0)  )=0,"",  IF(  INDEX(役男大表!$A$1:$BF$95,MATCH($A35,役男大表!$A$1:$A$97,0),   MATCH(AF$1,役男大表!$A$3:$BF$3,0)  )="榮","x",  IF(  INDEX(役男大表!$A$1:$BF$95,MATCH($A35,役男大表!$A$1:$A$97,0),   MATCH(AF$1,役男大表!$A$3:$BF$3,0)  )="榮-22",  "x榮18-22",               INDEX(役男大表!$A$1:$BF$95,MATCH($A35,役男大表!$A$1:$A$97,0),   MATCH(AF$1,役男大表!$A$3:$BF$3,0)  )                  )  )  )," ",""),"")</f>
        <v/>
      </c>
      <c r="AG35" s="278" t="str">
        <f>_xlfn.IFNA(  SUBSTITUTE(     IF(  INDEX(役男大表!$A$1:$BF$95,MATCH($A35,役男大表!$A$1:$A$97,0),   MATCH(AG$1,役男大表!$A$3:$BF$3,0)  )=0,"",  IF(  INDEX(役男大表!$A$1:$BF$95,MATCH($A35,役男大表!$A$1:$A$97,0),   MATCH(AG$1,役男大表!$A$3:$BF$3,0)  )="榮","x",  IF(  INDEX(役男大表!$A$1:$BF$95,MATCH($A35,役男大表!$A$1:$A$97,0),   MATCH(AG$1,役男大表!$A$3:$BF$3,0)  )="榮-22",  "x榮18-22",               INDEX(役男大表!$A$1:$BF$95,MATCH($A35,役男大表!$A$1:$A$97,0),   MATCH(AG$1,役男大表!$A$3:$BF$3,0)  )                  )  )  )," ",""),"")</f>
        <v/>
      </c>
      <c r="AH35" s="278" t="str">
        <f>_xlfn.IFNA(  SUBSTITUTE(     IF(  INDEX(役男大表!$A$1:$BF$95,MATCH($A35,役男大表!$A$1:$A$97,0),   MATCH(AH$1,役男大表!$A$3:$BF$3,0)  )=0,"",  IF(  INDEX(役男大表!$A$1:$BF$95,MATCH($A35,役男大表!$A$1:$A$97,0),   MATCH(AH$1,役男大表!$A$3:$BF$3,0)  )="榮","x",  IF(  INDEX(役男大表!$A$1:$BF$95,MATCH($A35,役男大表!$A$1:$A$97,0),   MATCH(AH$1,役男大表!$A$3:$BF$3,0)  )="榮-22",  "x榮18-22",               INDEX(役男大表!$A$1:$BF$95,MATCH($A35,役男大表!$A$1:$A$97,0),   MATCH(AH$1,役男大表!$A$3:$BF$3,0)  )                  )  )  )," ",""),"")</f>
        <v/>
      </c>
      <c r="AI35" s="278" t="str">
        <f>_xlfn.IFNA(  SUBSTITUTE(     IF(  INDEX(役男大表!$A$1:$BF$95,MATCH($A35,役男大表!$A$1:$A$97,0),   MATCH(AI$1,役男大表!$A$3:$BF$3,0)  )=0,"",  IF(  INDEX(役男大表!$A$1:$BF$95,MATCH($A35,役男大表!$A$1:$A$97,0),   MATCH(AI$1,役男大表!$A$3:$BF$3,0)  )="榮","x",  IF(  INDEX(役男大表!$A$1:$BF$95,MATCH($A35,役男大表!$A$1:$A$97,0),   MATCH(AI$1,役男大表!$A$3:$BF$3,0)  )="榮-22",  "x榮18-22",               INDEX(役男大表!$A$1:$BF$95,MATCH($A35,役男大表!$A$1:$A$97,0),   MATCH(AI$1,役男大表!$A$3:$BF$3,0)  )                  )  )  )," ",""),"")</f>
        <v/>
      </c>
      <c r="AJ35" s="278" t="str">
        <f>_xlfn.IFNA(  SUBSTITUTE(     IF(  INDEX(役男大表!$A$1:$BF$95,MATCH($A35,役男大表!$A$1:$A$97,0),   MATCH(AJ$1,役男大表!$A$3:$BF$3,0)  )=0,"",  IF(  INDEX(役男大表!$A$1:$BF$95,MATCH($A35,役男大表!$A$1:$A$97,0),   MATCH(AJ$1,役男大表!$A$3:$BF$3,0)  )="榮","x",  IF(  INDEX(役男大表!$A$1:$BF$95,MATCH($A35,役男大表!$A$1:$A$97,0),   MATCH(AJ$1,役男大表!$A$3:$BF$3,0)  )="榮-22",  "x榮18-22",               INDEX(役男大表!$A$1:$BF$95,MATCH($A35,役男大表!$A$1:$A$97,0),   MATCH(AJ$1,役男大表!$A$3:$BF$3,0)  )                  )  )  )," ",""),"")</f>
        <v/>
      </c>
      <c r="AM35" s="66">
        <f t="shared" si="1"/>
        <v>34</v>
      </c>
      <c r="AN35" s="66" t="str">
        <f t="shared" si="2"/>
        <v/>
      </c>
      <c r="AO35" s="71" t="str">
        <f>IF(  AND(  INDEX(   $A$42:$AJ$79, MATCH(AM35,$A$42:$A$79,0),MATCH(  日期輸入!$C$3,$A$42:$AL$42,0  )  )="全日勤",  AV35="免"  ),  "全日勤免勤教",  IF(  AND(  INDEX(   $A$42:$AJ$79, MATCH(AM35,$A$42:$A$79,0),MATCH(  日期輸入!$C$3,$A$42:$AL$42,0  )  )="18放",  AV35="免"  ),  "18放早走",  INDEX(   $A$42:$AJ$79, MATCH(AM35,$A$42:$A$79,0),MATCH(  日期輸入!$C$3,$A$42:$AL$42,0  )  )  )  )</f>
        <v/>
      </c>
      <c r="AP35" s="66" t="str">
        <f>_xlfn.IFNA(IF((ROW(AP35)-1)&lt;=暫1!$B$2,IF(VALUE($AM35)=暫1!B$3,"家因",IF(VALUE($AM35)=暫1!C$3,"家因",IF(VALUE($AM35)=暫1!D$3,"家因",IF(VALUE($AM35)=暫1!E$3,"家因",IF(VALUE($AM35)=暫1!F$3,"家因",IF(VALUE($AM35)=暫1!G$3,"家因",IF(VALUE($AM35)=暫1!H$3,"家因",IF(VALUE($AM35)=暫1!I$3,"家因",IF(VALUE($AM35)=暫1!J$3,"家因",IF(VALUE($AM35)=暫1!K$3,"家因",IF(VALUE($AM35)=暫1!L$3,"家因",IF(VALUE($AM35)=暫1!M$3,"家因",IF(VALUE($AM35)=暫1!N$3,"家因",IF(VALUE($AM35)=暫1!O$3,"家因",IF(VALUE($AM35)=暫1!P$3,"家因",IF(VALUE($AM35)=暫1!Q$3,"家因",IF(VALUE($AM35)=暫1!R$3,"家因",IF(VALUE($AM35)=暫1!S$3,"家因",IF(VALUE($AM35)=暫1!T$3,"家因",IF(VALUE($AM35)=暫1!U$3,"家因","")))))))))))))))))))),""),"")</f>
        <v/>
      </c>
      <c r="AQ35" s="66" t="str">
        <f>IF((ROW(AQ35)-1)&lt;=暫1!$B$2,_xlfn.IFNA(IF(INDEX($A$1:$AJ$41,MATCH($AN35,$B$1:$B$101,0),VALUE($AQ$1+3))="成","補",INDEX($A$1:$AJ$41,MATCH($AN35,$B$1:$B$101,0),VALUE($AQ$1+3))),""),"")</f>
        <v/>
      </c>
      <c r="AR35" s="66" t="str">
        <f>IF((ROW(AR35)-1)&lt;=暫1!$B$2,_xlfn.IFNA(IF(INDEX($A$1:$AJ$41,MATCH($AN35,$B$1:$B$101,0),VALUE($AR$1+3))="成","補",INDEX($A$1:$AJ$41,MATCH($AN35,$B$1:$B$101,0),VALUE($AR$1+3))),""),"")</f>
        <v/>
      </c>
      <c r="AS35" s="66" t="str">
        <f>IF((ROW(AS35)-1)&lt;=暫1!$B$2,_xlfn.IFNA(IF(INDEX($A$1:$AJ$41,MATCH($AN35,$B$1:$B$101,0),VALUE($AS$1+3))="成","補",INDEX($A$1:$AJ$41,MATCH($AN35,$B$1:$B$101,0),VALUE($AS$1+3))),""),"")</f>
        <v/>
      </c>
      <c r="AT35" s="66" t="str">
        <f>IF(  OR(  LEN(  INDEX(   $A$1:$AJ$39, MATCH(AM35,$A$1:$A$39,0),MATCH(  日期輸入!$C$3,$A$1:$AP$1,0  )  )  )&gt;LEN(  SUBSTITUTE(  INDEX(   $A$1:$AJ$39, MATCH(AM35,$A$1:$A$39,0),MATCH(  日期輸入!$C$3,$A$1:$AP$1,0  )  ),"榮","")  )  ),   SUBSTITUTE(  SUBSTITUTE(  INDEX(   $A$1:$AJ$39, MATCH(AM35,$A$1:$A$39,0),MATCH(  日期輸入!$C$3,$A$1:$AP$1,0  )  ),"榮",""),"x",""), "")</f>
        <v/>
      </c>
      <c r="AU35" s="66" t="str">
        <f t="shared" si="3"/>
        <v/>
      </c>
      <c r="AV35" s="66" t="str">
        <f>INDEX(   $A$482:$AJ$519, MATCH(AM35,$A$482:$A$519,0),MATCH(  日期輸入!$C$3,$A$482:$AL$482,0  )  )</f>
        <v/>
      </c>
      <c r="AX35" s="66" t="str">
        <f>IFERROR(IF((ROW(AX35)-1)&lt;=暫1!$B$2,SUBSTITUTE(IF($AO35=$AX$1,$AM35,"")," ",""),""),"")</f>
        <v/>
      </c>
      <c r="AY35" s="66" t="str">
        <f>IFERROR(IF((ROW(AY35)-1)&lt;=暫1!$B$2,SUBSTITUTE(IF($AO35=$AY$1,$AM35,"")," ",""),""),"")</f>
        <v/>
      </c>
      <c r="AZ35" s="66" t="str">
        <f>IFERROR(IF((ROW(AZ35)-1)&lt;=暫1!$B$2,SUBSTITUTE(IF($AO35=$AZ$1,$AM35,"")," ",""),""),"")</f>
        <v/>
      </c>
      <c r="BA35" s="66" t="str">
        <f>IFERROR(IF((ROW(BA35)-1)&lt;=暫1!$B$2,SUBSTITUTE(IF($AO35=$BA$1,$AM35,"")," ",""),""),"")</f>
        <v/>
      </c>
      <c r="BB35" s="69" t="str">
        <f>IFERROR(IF((ROW(BB35)-1)&lt;=暫1!$B$2,SUBSTITUTE(IF(OR($AO35=$BB$1,$AO35=$AY$1,$AO35=$AZ$1),$AM35,IF($AO35=$AY$1,$AM35,"")),"",""),""),"")</f>
        <v/>
      </c>
      <c r="BC35" s="69" t="str">
        <f>IF(    AND(LEN(BC34)&gt;=2 ),        "、" &amp;  IF(OR(役男人力!$J$2:$J$84="是"),役男人力!#REF!,""),  IF(OR(役男人力!$J$2:$J$84="是"),役男人力!#REF!,"")  )</f>
        <v/>
      </c>
    </row>
    <row r="36" spans="1:55" ht="25.5" customHeight="1">
      <c r="A36" s="278">
        <v>35</v>
      </c>
      <c r="B36" s="278" t="str">
        <f>_xlfn.IFNA(  INDEX(役男大表!$A$1:$BF$95,MATCH(A36,役男大表!$A$1:$A$97,0),2),"")</f>
        <v/>
      </c>
      <c r="C36" s="278" t="str">
        <f>_xlfn.IFNA(  SUBSTITUTE(     IF(  INDEX(役男大表!$A$1:$BF$95,MATCH($A36,役男大表!$A$1:$A$97,0),   MATCH(C$1,役男大表!$A$3:$BF$3,0)  )=0,"",  IF(  INDEX(役男大表!$A$1:$BF$95,MATCH($A36,役男大表!$A$1:$A$97,0),   MATCH(C$1,役男大表!$A$3:$BF$3,0)  )="榮","x",  IF(  INDEX(役男大表!$A$1:$BF$95,MATCH($A36,役男大表!$A$1:$A$97,0),   MATCH(C$1,役男大表!$A$3:$BF$3,0)  )="榮-22",  "x榮18-22",               INDEX(役男大表!$A$1:$BF$95,MATCH($A36,役男大表!$A$1:$A$97,0),   MATCH(C$1,役男大表!$A$3:$BF$3,0)  )                  )  )  )," ",""),"")</f>
        <v/>
      </c>
      <c r="D36" s="278" t="str">
        <f>_xlfn.IFNA(  SUBSTITUTE(     IF(  INDEX(役男大表!$A$1:$BF$95,MATCH($A36,役男大表!$A$1:$A$97,0),   MATCH(D$1,役男大表!$A$3:$BF$3,0)  )=0,"",  IF(  INDEX(役男大表!$A$1:$BF$95,MATCH($A36,役男大表!$A$1:$A$97,0),   MATCH(D$1,役男大表!$A$3:$BF$3,0)  )="榮","x",  IF(  INDEX(役男大表!$A$1:$BF$95,MATCH($A36,役男大表!$A$1:$A$97,0),   MATCH(D$1,役男大表!$A$3:$BF$3,0)  )="榮-22",  "x榮18-22",               INDEX(役男大表!$A$1:$BF$95,MATCH($A36,役男大表!$A$1:$A$97,0),   MATCH(D$1,役男大表!$A$3:$BF$3,0)  )                  )  )  )," ",""),"")</f>
        <v/>
      </c>
      <c r="E36" s="278" t="str">
        <f>_xlfn.IFNA(  SUBSTITUTE(     IF(  INDEX(役男大表!$A$1:$BF$95,MATCH($A36,役男大表!$A$1:$A$97,0),   MATCH(E$1,役男大表!$A$3:$BF$3,0)  )=0,"",  IF(  INDEX(役男大表!$A$1:$BF$95,MATCH($A36,役男大表!$A$1:$A$97,0),   MATCH(E$1,役男大表!$A$3:$BF$3,0)  )="榮","x",  IF(  INDEX(役男大表!$A$1:$BF$95,MATCH($A36,役男大表!$A$1:$A$97,0),   MATCH(E$1,役男大表!$A$3:$BF$3,0)  )="榮-22",  "x榮18-22",               INDEX(役男大表!$A$1:$BF$95,MATCH($A36,役男大表!$A$1:$A$97,0),   MATCH(E$1,役男大表!$A$3:$BF$3,0)  )                  )  )  )," ",""),"")</f>
        <v/>
      </c>
      <c r="F36" s="278" t="str">
        <f>_xlfn.IFNA(  SUBSTITUTE(     IF(  INDEX(役男大表!$A$1:$BF$95,MATCH($A36,役男大表!$A$1:$A$97,0),   MATCH(F$1,役男大表!$A$3:$BF$3,0)  )=0,"",  IF(  INDEX(役男大表!$A$1:$BF$95,MATCH($A36,役男大表!$A$1:$A$97,0),   MATCH(F$1,役男大表!$A$3:$BF$3,0)  )="榮","x",  IF(  INDEX(役男大表!$A$1:$BF$95,MATCH($A36,役男大表!$A$1:$A$97,0),   MATCH(F$1,役男大表!$A$3:$BF$3,0)  )="榮-22",  "x榮18-22",               INDEX(役男大表!$A$1:$BF$95,MATCH($A36,役男大表!$A$1:$A$97,0),   MATCH(F$1,役男大表!$A$3:$BF$3,0)  )                  )  )  )," ",""),"")</f>
        <v/>
      </c>
      <c r="G36" s="278" t="str">
        <f>_xlfn.IFNA(  SUBSTITUTE(     IF(  INDEX(役男大表!$A$1:$BF$95,MATCH($A36,役男大表!$A$1:$A$97,0),   MATCH(G$1,役男大表!$A$3:$BF$3,0)  )=0,"",  IF(  INDEX(役男大表!$A$1:$BF$95,MATCH($A36,役男大表!$A$1:$A$97,0),   MATCH(G$1,役男大表!$A$3:$BF$3,0)  )="榮","x",  IF(  INDEX(役男大表!$A$1:$BF$95,MATCH($A36,役男大表!$A$1:$A$97,0),   MATCH(G$1,役男大表!$A$3:$BF$3,0)  )="榮-22",  "x榮18-22",               INDEX(役男大表!$A$1:$BF$95,MATCH($A36,役男大表!$A$1:$A$97,0),   MATCH(G$1,役男大表!$A$3:$BF$3,0)  )                  )  )  )," ",""),"")</f>
        <v/>
      </c>
      <c r="H36" s="278" t="str">
        <f>_xlfn.IFNA(  SUBSTITUTE(     IF(  INDEX(役男大表!$A$1:$BF$95,MATCH($A36,役男大表!$A$1:$A$97,0),   MATCH(H$1,役男大表!$A$3:$BF$3,0)  )=0,"",  IF(  INDEX(役男大表!$A$1:$BF$95,MATCH($A36,役男大表!$A$1:$A$97,0),   MATCH(H$1,役男大表!$A$3:$BF$3,0)  )="榮","x",  IF(  INDEX(役男大表!$A$1:$BF$95,MATCH($A36,役男大表!$A$1:$A$97,0),   MATCH(H$1,役男大表!$A$3:$BF$3,0)  )="榮-22",  "x榮18-22",               INDEX(役男大表!$A$1:$BF$95,MATCH($A36,役男大表!$A$1:$A$97,0),   MATCH(H$1,役男大表!$A$3:$BF$3,0)  )                  )  )  )," ",""),"")</f>
        <v/>
      </c>
      <c r="I36" s="278" t="str">
        <f>_xlfn.IFNA(  SUBSTITUTE(     IF(  INDEX(役男大表!$A$1:$BF$95,MATCH($A36,役男大表!$A$1:$A$97,0),   MATCH(I$1,役男大表!$A$3:$BF$3,0)  )=0,"",  IF(  INDEX(役男大表!$A$1:$BF$95,MATCH($A36,役男大表!$A$1:$A$97,0),   MATCH(I$1,役男大表!$A$3:$BF$3,0)  )="榮","x",  IF(  INDEX(役男大表!$A$1:$BF$95,MATCH($A36,役男大表!$A$1:$A$97,0),   MATCH(I$1,役男大表!$A$3:$BF$3,0)  )="榮-22",  "x榮18-22",               INDEX(役男大表!$A$1:$BF$95,MATCH($A36,役男大表!$A$1:$A$97,0),   MATCH(I$1,役男大表!$A$3:$BF$3,0)  )                  )  )  )," ",""),"")</f>
        <v/>
      </c>
      <c r="J36" s="278" t="str">
        <f>_xlfn.IFNA(  SUBSTITUTE(     IF(  INDEX(役男大表!$A$1:$BF$95,MATCH($A36,役男大表!$A$1:$A$97,0),   MATCH(J$1,役男大表!$A$3:$BF$3,0)  )=0,"",  IF(  INDEX(役男大表!$A$1:$BF$95,MATCH($A36,役男大表!$A$1:$A$97,0),   MATCH(J$1,役男大表!$A$3:$BF$3,0)  )="榮","x",  IF(  INDEX(役男大表!$A$1:$BF$95,MATCH($A36,役男大表!$A$1:$A$97,0),   MATCH(J$1,役男大表!$A$3:$BF$3,0)  )="榮-22",  "x榮18-22",               INDEX(役男大表!$A$1:$BF$95,MATCH($A36,役男大表!$A$1:$A$97,0),   MATCH(J$1,役男大表!$A$3:$BF$3,0)  )                  )  )  )," ",""),"")</f>
        <v/>
      </c>
      <c r="K36" s="278" t="str">
        <f>_xlfn.IFNA(  SUBSTITUTE(     IF(  INDEX(役男大表!$A$1:$BF$95,MATCH($A36,役男大表!$A$1:$A$97,0),   MATCH(K$1,役男大表!$A$3:$BF$3,0)  )=0,"",  IF(  INDEX(役男大表!$A$1:$BF$95,MATCH($A36,役男大表!$A$1:$A$97,0),   MATCH(K$1,役男大表!$A$3:$BF$3,0)  )="榮","x",  IF(  INDEX(役男大表!$A$1:$BF$95,MATCH($A36,役男大表!$A$1:$A$97,0),   MATCH(K$1,役男大表!$A$3:$BF$3,0)  )="榮-22",  "x榮18-22",               INDEX(役男大表!$A$1:$BF$95,MATCH($A36,役男大表!$A$1:$A$97,0),   MATCH(K$1,役男大表!$A$3:$BF$3,0)  )                  )  )  )," ",""),"")</f>
        <v/>
      </c>
      <c r="L36" s="278" t="str">
        <f>_xlfn.IFNA(  SUBSTITUTE(     IF(  INDEX(役男大表!$A$1:$BF$95,MATCH($A36,役男大表!$A$1:$A$97,0),   MATCH(L$1,役男大表!$A$3:$BF$3,0)  )=0,"",  IF(  INDEX(役男大表!$A$1:$BF$95,MATCH($A36,役男大表!$A$1:$A$97,0),   MATCH(L$1,役男大表!$A$3:$BF$3,0)  )="榮","x",  IF(  INDEX(役男大表!$A$1:$BF$95,MATCH($A36,役男大表!$A$1:$A$97,0),   MATCH(L$1,役男大表!$A$3:$BF$3,0)  )="榮-22",  "x榮18-22",               INDEX(役男大表!$A$1:$BF$95,MATCH($A36,役男大表!$A$1:$A$97,0),   MATCH(L$1,役男大表!$A$3:$BF$3,0)  )                  )  )  )," ",""),"")</f>
        <v/>
      </c>
      <c r="M36" s="278" t="str">
        <f>_xlfn.IFNA(  SUBSTITUTE(     IF(  INDEX(役男大表!$A$1:$BF$95,MATCH($A36,役男大表!$A$1:$A$97,0),   MATCH(M$1,役男大表!$A$3:$BF$3,0)  )=0,"",  IF(  INDEX(役男大表!$A$1:$BF$95,MATCH($A36,役男大表!$A$1:$A$97,0),   MATCH(M$1,役男大表!$A$3:$BF$3,0)  )="榮","x",  IF(  INDEX(役男大表!$A$1:$BF$95,MATCH($A36,役男大表!$A$1:$A$97,0),   MATCH(M$1,役男大表!$A$3:$BF$3,0)  )="榮-22",  "x榮18-22",               INDEX(役男大表!$A$1:$BF$95,MATCH($A36,役男大表!$A$1:$A$97,0),   MATCH(M$1,役男大表!$A$3:$BF$3,0)  )                  )  )  )," ",""),"")</f>
        <v/>
      </c>
      <c r="N36" s="278" t="str">
        <f>_xlfn.IFNA(  SUBSTITUTE(     IF(  INDEX(役男大表!$A$1:$BF$95,MATCH($A36,役男大表!$A$1:$A$97,0),   MATCH(N$1,役男大表!$A$3:$BF$3,0)  )=0,"",  IF(  INDEX(役男大表!$A$1:$BF$95,MATCH($A36,役男大表!$A$1:$A$97,0),   MATCH(N$1,役男大表!$A$3:$BF$3,0)  )="榮","x",  IF(  INDEX(役男大表!$A$1:$BF$95,MATCH($A36,役男大表!$A$1:$A$97,0),   MATCH(N$1,役男大表!$A$3:$BF$3,0)  )="榮-22",  "x榮18-22",               INDEX(役男大表!$A$1:$BF$95,MATCH($A36,役男大表!$A$1:$A$97,0),   MATCH(N$1,役男大表!$A$3:$BF$3,0)  )                  )  )  )," ",""),"")</f>
        <v/>
      </c>
      <c r="O36" s="278" t="str">
        <f>_xlfn.IFNA(  SUBSTITUTE(     IF(  INDEX(役男大表!$A$1:$BF$95,MATCH($A36,役男大表!$A$1:$A$97,0),   MATCH(O$1,役男大表!$A$3:$BF$3,0)  )=0,"",  IF(  INDEX(役男大表!$A$1:$BF$95,MATCH($A36,役男大表!$A$1:$A$97,0),   MATCH(O$1,役男大表!$A$3:$BF$3,0)  )="榮","x",  IF(  INDEX(役男大表!$A$1:$BF$95,MATCH($A36,役男大表!$A$1:$A$97,0),   MATCH(O$1,役男大表!$A$3:$BF$3,0)  )="榮-22",  "x榮18-22",               INDEX(役男大表!$A$1:$BF$95,MATCH($A36,役男大表!$A$1:$A$97,0),   MATCH(O$1,役男大表!$A$3:$BF$3,0)  )                  )  )  )," ",""),"")</f>
        <v/>
      </c>
      <c r="P36" s="278" t="str">
        <f>_xlfn.IFNA(  SUBSTITUTE(     IF(  INDEX(役男大表!$A$1:$BF$95,MATCH($A36,役男大表!$A$1:$A$97,0),   MATCH(P$1,役男大表!$A$3:$BF$3,0)  )=0,"",  IF(  INDEX(役男大表!$A$1:$BF$95,MATCH($A36,役男大表!$A$1:$A$97,0),   MATCH(P$1,役男大表!$A$3:$BF$3,0)  )="榮","x",  IF(  INDEX(役男大表!$A$1:$BF$95,MATCH($A36,役男大表!$A$1:$A$97,0),   MATCH(P$1,役男大表!$A$3:$BF$3,0)  )="榮-22",  "x榮18-22",               INDEX(役男大表!$A$1:$BF$95,MATCH($A36,役男大表!$A$1:$A$97,0),   MATCH(P$1,役男大表!$A$3:$BF$3,0)  )                  )  )  )," ",""),"")</f>
        <v/>
      </c>
      <c r="Q36" s="278" t="str">
        <f>_xlfn.IFNA(  SUBSTITUTE(     IF(  INDEX(役男大表!$A$1:$BF$95,MATCH($A36,役男大表!$A$1:$A$97,0),   MATCH(Q$1,役男大表!$A$3:$BF$3,0)  )=0,"",  IF(  INDEX(役男大表!$A$1:$BF$95,MATCH($A36,役男大表!$A$1:$A$97,0),   MATCH(Q$1,役男大表!$A$3:$BF$3,0)  )="榮","x",  IF(  INDEX(役男大表!$A$1:$BF$95,MATCH($A36,役男大表!$A$1:$A$97,0),   MATCH(Q$1,役男大表!$A$3:$BF$3,0)  )="榮-22",  "x榮18-22",               INDEX(役男大表!$A$1:$BF$95,MATCH($A36,役男大表!$A$1:$A$97,0),   MATCH(Q$1,役男大表!$A$3:$BF$3,0)  )                  )  )  )," ",""),"")</f>
        <v/>
      </c>
      <c r="R36" s="278" t="str">
        <f>_xlfn.IFNA(  SUBSTITUTE(     IF(  INDEX(役男大表!$A$1:$BF$95,MATCH($A36,役男大表!$A$1:$A$97,0),   MATCH(R$1,役男大表!$A$3:$BF$3,0)  )=0,"",  IF(  INDEX(役男大表!$A$1:$BF$95,MATCH($A36,役男大表!$A$1:$A$97,0),   MATCH(R$1,役男大表!$A$3:$BF$3,0)  )="榮","x",  IF(  INDEX(役男大表!$A$1:$BF$95,MATCH($A36,役男大表!$A$1:$A$97,0),   MATCH(R$1,役男大表!$A$3:$BF$3,0)  )="榮-22",  "x榮18-22",               INDEX(役男大表!$A$1:$BF$95,MATCH($A36,役男大表!$A$1:$A$97,0),   MATCH(R$1,役男大表!$A$3:$BF$3,0)  )                  )  )  )," ",""),"")</f>
        <v/>
      </c>
      <c r="S36" s="278" t="str">
        <f>_xlfn.IFNA(  SUBSTITUTE(     IF(  INDEX(役男大表!$A$1:$BF$95,MATCH($A36,役男大表!$A$1:$A$97,0),   MATCH(S$1,役男大表!$A$3:$BF$3,0)  )=0,"",  IF(  INDEX(役男大表!$A$1:$BF$95,MATCH($A36,役男大表!$A$1:$A$97,0),   MATCH(S$1,役男大表!$A$3:$BF$3,0)  )="榮","x",  IF(  INDEX(役男大表!$A$1:$BF$95,MATCH($A36,役男大表!$A$1:$A$97,0),   MATCH(S$1,役男大表!$A$3:$BF$3,0)  )="榮-22",  "x榮18-22",               INDEX(役男大表!$A$1:$BF$95,MATCH($A36,役男大表!$A$1:$A$97,0),   MATCH(S$1,役男大表!$A$3:$BF$3,0)  )                  )  )  )," ",""),"")</f>
        <v/>
      </c>
      <c r="T36" s="278" t="str">
        <f>_xlfn.IFNA(  SUBSTITUTE(     IF(  INDEX(役男大表!$A$1:$BF$95,MATCH($A36,役男大表!$A$1:$A$97,0),   MATCH(T$1,役男大表!$A$3:$BF$3,0)  )=0,"",  IF(  INDEX(役男大表!$A$1:$BF$95,MATCH($A36,役男大表!$A$1:$A$97,0),   MATCH(T$1,役男大表!$A$3:$BF$3,0)  )="榮","x",  IF(  INDEX(役男大表!$A$1:$BF$95,MATCH($A36,役男大表!$A$1:$A$97,0),   MATCH(T$1,役男大表!$A$3:$BF$3,0)  )="榮-22",  "x榮18-22",               INDEX(役男大表!$A$1:$BF$95,MATCH($A36,役男大表!$A$1:$A$97,0),   MATCH(T$1,役男大表!$A$3:$BF$3,0)  )                  )  )  )," ",""),"")</f>
        <v/>
      </c>
      <c r="U36" s="278" t="str">
        <f>_xlfn.IFNA(  SUBSTITUTE(     IF(  INDEX(役男大表!$A$1:$BF$95,MATCH($A36,役男大表!$A$1:$A$97,0),   MATCH(U$1,役男大表!$A$3:$BF$3,0)  )=0,"",  IF(  INDEX(役男大表!$A$1:$BF$95,MATCH($A36,役男大表!$A$1:$A$97,0),   MATCH(U$1,役男大表!$A$3:$BF$3,0)  )="榮","x",  IF(  INDEX(役男大表!$A$1:$BF$95,MATCH($A36,役男大表!$A$1:$A$97,0),   MATCH(U$1,役男大表!$A$3:$BF$3,0)  )="榮-22",  "x榮18-22",               INDEX(役男大表!$A$1:$BF$95,MATCH($A36,役男大表!$A$1:$A$97,0),   MATCH(U$1,役男大表!$A$3:$BF$3,0)  )                  )  )  )," ",""),"")</f>
        <v/>
      </c>
      <c r="V36" s="278" t="str">
        <f>_xlfn.IFNA(  SUBSTITUTE(     IF(  INDEX(役男大表!$A$1:$BF$95,MATCH($A36,役男大表!$A$1:$A$97,0),   MATCH(V$1,役男大表!$A$3:$BF$3,0)  )=0,"",  IF(  INDEX(役男大表!$A$1:$BF$95,MATCH($A36,役男大表!$A$1:$A$97,0),   MATCH(V$1,役男大表!$A$3:$BF$3,0)  )="榮","x",  IF(  INDEX(役男大表!$A$1:$BF$95,MATCH($A36,役男大表!$A$1:$A$97,0),   MATCH(V$1,役男大表!$A$3:$BF$3,0)  )="榮-22",  "x榮18-22",               INDEX(役男大表!$A$1:$BF$95,MATCH($A36,役男大表!$A$1:$A$97,0),   MATCH(V$1,役男大表!$A$3:$BF$3,0)  )                  )  )  )," ",""),"")</f>
        <v/>
      </c>
      <c r="W36" s="278" t="str">
        <f>_xlfn.IFNA(  SUBSTITUTE(     IF(  INDEX(役男大表!$A$1:$BF$95,MATCH($A36,役男大表!$A$1:$A$97,0),   MATCH(W$1,役男大表!$A$3:$BF$3,0)  )=0,"",  IF(  INDEX(役男大表!$A$1:$BF$95,MATCH($A36,役男大表!$A$1:$A$97,0),   MATCH(W$1,役男大表!$A$3:$BF$3,0)  )="榮","x",  IF(  INDEX(役男大表!$A$1:$BF$95,MATCH($A36,役男大表!$A$1:$A$97,0),   MATCH(W$1,役男大表!$A$3:$BF$3,0)  )="榮-22",  "x榮18-22",               INDEX(役男大表!$A$1:$BF$95,MATCH($A36,役男大表!$A$1:$A$97,0),   MATCH(W$1,役男大表!$A$3:$BF$3,0)  )                  )  )  )," ",""),"")</f>
        <v/>
      </c>
      <c r="X36" s="278" t="str">
        <f>_xlfn.IFNA(  SUBSTITUTE(     IF(  INDEX(役男大表!$A$1:$BF$95,MATCH($A36,役男大表!$A$1:$A$97,0),   MATCH(X$1,役男大表!$A$3:$BF$3,0)  )=0,"",  IF(  INDEX(役男大表!$A$1:$BF$95,MATCH($A36,役男大表!$A$1:$A$97,0),   MATCH(X$1,役男大表!$A$3:$BF$3,0)  )="榮","x",  IF(  INDEX(役男大表!$A$1:$BF$95,MATCH($A36,役男大表!$A$1:$A$97,0),   MATCH(X$1,役男大表!$A$3:$BF$3,0)  )="榮-22",  "x榮18-22",               INDEX(役男大表!$A$1:$BF$95,MATCH($A36,役男大表!$A$1:$A$97,0),   MATCH(X$1,役男大表!$A$3:$BF$3,0)  )                  )  )  )," ",""),"")</f>
        <v/>
      </c>
      <c r="Y36" s="278" t="str">
        <f>_xlfn.IFNA(  SUBSTITUTE(     IF(  INDEX(役男大表!$A$1:$BF$95,MATCH($A36,役男大表!$A$1:$A$97,0),   MATCH(Y$1,役男大表!$A$3:$BF$3,0)  )=0,"",  IF(  INDEX(役男大表!$A$1:$BF$95,MATCH($A36,役男大表!$A$1:$A$97,0),   MATCH(Y$1,役男大表!$A$3:$BF$3,0)  )="榮","x",  IF(  INDEX(役男大表!$A$1:$BF$95,MATCH($A36,役男大表!$A$1:$A$97,0),   MATCH(Y$1,役男大表!$A$3:$BF$3,0)  )="榮-22",  "x榮18-22",               INDEX(役男大表!$A$1:$BF$95,MATCH($A36,役男大表!$A$1:$A$97,0),   MATCH(Y$1,役男大表!$A$3:$BF$3,0)  )                  )  )  )," ",""),"")</f>
        <v/>
      </c>
      <c r="Z36" s="278" t="str">
        <f>_xlfn.IFNA(  SUBSTITUTE(     IF(  INDEX(役男大表!$A$1:$BF$95,MATCH($A36,役男大表!$A$1:$A$97,0),   MATCH(Z$1,役男大表!$A$3:$BF$3,0)  )=0,"",  IF(  INDEX(役男大表!$A$1:$BF$95,MATCH($A36,役男大表!$A$1:$A$97,0),   MATCH(Z$1,役男大表!$A$3:$BF$3,0)  )="榮","x",  IF(  INDEX(役男大表!$A$1:$BF$95,MATCH($A36,役男大表!$A$1:$A$97,0),   MATCH(Z$1,役男大表!$A$3:$BF$3,0)  )="榮-22",  "x榮18-22",               INDEX(役男大表!$A$1:$BF$95,MATCH($A36,役男大表!$A$1:$A$97,0),   MATCH(Z$1,役男大表!$A$3:$BF$3,0)  )                  )  )  )," ",""),"")</f>
        <v/>
      </c>
      <c r="AA36" s="278" t="str">
        <f>_xlfn.IFNA(  SUBSTITUTE(     IF(  INDEX(役男大表!$A$1:$BF$95,MATCH($A36,役男大表!$A$1:$A$97,0),   MATCH(AA$1,役男大表!$A$3:$BF$3,0)  )=0,"",  IF(  INDEX(役男大表!$A$1:$BF$95,MATCH($A36,役男大表!$A$1:$A$97,0),   MATCH(AA$1,役男大表!$A$3:$BF$3,0)  )="榮","x",  IF(  INDEX(役男大表!$A$1:$BF$95,MATCH($A36,役男大表!$A$1:$A$97,0),   MATCH(AA$1,役男大表!$A$3:$BF$3,0)  )="榮-22",  "x榮18-22",               INDEX(役男大表!$A$1:$BF$95,MATCH($A36,役男大表!$A$1:$A$97,0),   MATCH(AA$1,役男大表!$A$3:$BF$3,0)  )                  )  )  )," ",""),"")</f>
        <v/>
      </c>
      <c r="AB36" s="278" t="str">
        <f>_xlfn.IFNA(  SUBSTITUTE(     IF(  INDEX(役男大表!$A$1:$BF$95,MATCH($A36,役男大表!$A$1:$A$97,0),   MATCH(AB$1,役男大表!$A$3:$BF$3,0)  )=0,"",  IF(  INDEX(役男大表!$A$1:$BF$95,MATCH($A36,役男大表!$A$1:$A$97,0),   MATCH(AB$1,役男大表!$A$3:$BF$3,0)  )="榮","x",  IF(  INDEX(役男大表!$A$1:$BF$95,MATCH($A36,役男大表!$A$1:$A$97,0),   MATCH(AB$1,役男大表!$A$3:$BF$3,0)  )="榮-22",  "x榮18-22",               INDEX(役男大表!$A$1:$BF$95,MATCH($A36,役男大表!$A$1:$A$97,0),   MATCH(AB$1,役男大表!$A$3:$BF$3,0)  )                  )  )  )," ",""),"")</f>
        <v/>
      </c>
      <c r="AC36" s="278" t="str">
        <f>_xlfn.IFNA(  SUBSTITUTE(     IF(  INDEX(役男大表!$A$1:$BF$95,MATCH($A36,役男大表!$A$1:$A$97,0),   MATCH(AC$1,役男大表!$A$3:$BF$3,0)  )=0,"",  IF(  INDEX(役男大表!$A$1:$BF$95,MATCH($A36,役男大表!$A$1:$A$97,0),   MATCH(AC$1,役男大表!$A$3:$BF$3,0)  )="榮","x",  IF(  INDEX(役男大表!$A$1:$BF$95,MATCH($A36,役男大表!$A$1:$A$97,0),   MATCH(AC$1,役男大表!$A$3:$BF$3,0)  )="榮-22",  "x榮18-22",               INDEX(役男大表!$A$1:$BF$95,MATCH($A36,役男大表!$A$1:$A$97,0),   MATCH(AC$1,役男大表!$A$3:$BF$3,0)  )                  )  )  )," ",""),"")</f>
        <v/>
      </c>
      <c r="AD36" s="278" t="str">
        <f>_xlfn.IFNA(  SUBSTITUTE(     IF(  INDEX(役男大表!$A$1:$BF$95,MATCH($A36,役男大表!$A$1:$A$97,0),   MATCH(AD$1,役男大表!$A$3:$BF$3,0)  )=0,"",  IF(  INDEX(役男大表!$A$1:$BF$95,MATCH($A36,役男大表!$A$1:$A$97,0),   MATCH(AD$1,役男大表!$A$3:$BF$3,0)  )="榮","x",  IF(  INDEX(役男大表!$A$1:$BF$95,MATCH($A36,役男大表!$A$1:$A$97,0),   MATCH(AD$1,役男大表!$A$3:$BF$3,0)  )="榮-22",  "x榮18-22",               INDEX(役男大表!$A$1:$BF$95,MATCH($A36,役男大表!$A$1:$A$97,0),   MATCH(AD$1,役男大表!$A$3:$BF$3,0)  )                  )  )  )," ",""),"")</f>
        <v/>
      </c>
      <c r="AE36" s="278" t="str">
        <f>_xlfn.IFNA(  SUBSTITUTE(     IF(  INDEX(役男大表!$A$1:$BF$95,MATCH($A36,役男大表!$A$1:$A$97,0),   MATCH(AE$1,役男大表!$A$3:$BF$3,0)  )=0,"",  IF(  INDEX(役男大表!$A$1:$BF$95,MATCH($A36,役男大表!$A$1:$A$97,0),   MATCH(AE$1,役男大表!$A$3:$BF$3,0)  )="榮","x",  IF(  INDEX(役男大表!$A$1:$BF$95,MATCH($A36,役男大表!$A$1:$A$97,0),   MATCH(AE$1,役男大表!$A$3:$BF$3,0)  )="榮-22",  "x榮18-22",               INDEX(役男大表!$A$1:$BF$95,MATCH($A36,役男大表!$A$1:$A$97,0),   MATCH(AE$1,役男大表!$A$3:$BF$3,0)  )                  )  )  )," ",""),"")</f>
        <v/>
      </c>
      <c r="AF36" s="278" t="str">
        <f>_xlfn.IFNA(  SUBSTITUTE(     IF(  INDEX(役男大表!$A$1:$BF$95,MATCH($A36,役男大表!$A$1:$A$97,0),   MATCH(AF$1,役男大表!$A$3:$BF$3,0)  )=0,"",  IF(  INDEX(役男大表!$A$1:$BF$95,MATCH($A36,役男大表!$A$1:$A$97,0),   MATCH(AF$1,役男大表!$A$3:$BF$3,0)  )="榮","x",  IF(  INDEX(役男大表!$A$1:$BF$95,MATCH($A36,役男大表!$A$1:$A$97,0),   MATCH(AF$1,役男大表!$A$3:$BF$3,0)  )="榮-22",  "x榮18-22",               INDEX(役男大表!$A$1:$BF$95,MATCH($A36,役男大表!$A$1:$A$97,0),   MATCH(AF$1,役男大表!$A$3:$BF$3,0)  )                  )  )  )," ",""),"")</f>
        <v/>
      </c>
      <c r="AG36" s="278" t="str">
        <f>_xlfn.IFNA(  SUBSTITUTE(     IF(  INDEX(役男大表!$A$1:$BF$95,MATCH($A36,役男大表!$A$1:$A$97,0),   MATCH(AG$1,役男大表!$A$3:$BF$3,0)  )=0,"",  IF(  INDEX(役男大表!$A$1:$BF$95,MATCH($A36,役男大表!$A$1:$A$97,0),   MATCH(AG$1,役男大表!$A$3:$BF$3,0)  )="榮","x",  IF(  INDEX(役男大表!$A$1:$BF$95,MATCH($A36,役男大表!$A$1:$A$97,0),   MATCH(AG$1,役男大表!$A$3:$BF$3,0)  )="榮-22",  "x榮18-22",               INDEX(役男大表!$A$1:$BF$95,MATCH($A36,役男大表!$A$1:$A$97,0),   MATCH(AG$1,役男大表!$A$3:$BF$3,0)  )                  )  )  )," ",""),"")</f>
        <v/>
      </c>
      <c r="AH36" s="278" t="str">
        <f>_xlfn.IFNA(  SUBSTITUTE(     IF(  INDEX(役男大表!$A$1:$BF$95,MATCH($A36,役男大表!$A$1:$A$97,0),   MATCH(AH$1,役男大表!$A$3:$BF$3,0)  )=0,"",  IF(  INDEX(役男大表!$A$1:$BF$95,MATCH($A36,役男大表!$A$1:$A$97,0),   MATCH(AH$1,役男大表!$A$3:$BF$3,0)  )="榮","x",  IF(  INDEX(役男大表!$A$1:$BF$95,MATCH($A36,役男大表!$A$1:$A$97,0),   MATCH(AH$1,役男大表!$A$3:$BF$3,0)  )="榮-22",  "x榮18-22",               INDEX(役男大表!$A$1:$BF$95,MATCH($A36,役男大表!$A$1:$A$97,0),   MATCH(AH$1,役男大表!$A$3:$BF$3,0)  )                  )  )  )," ",""),"")</f>
        <v/>
      </c>
      <c r="AI36" s="278" t="str">
        <f>_xlfn.IFNA(  SUBSTITUTE(     IF(  INDEX(役男大表!$A$1:$BF$95,MATCH($A36,役男大表!$A$1:$A$97,0),   MATCH(AI$1,役男大表!$A$3:$BF$3,0)  )=0,"",  IF(  INDEX(役男大表!$A$1:$BF$95,MATCH($A36,役男大表!$A$1:$A$97,0),   MATCH(AI$1,役男大表!$A$3:$BF$3,0)  )="榮","x",  IF(  INDEX(役男大表!$A$1:$BF$95,MATCH($A36,役男大表!$A$1:$A$97,0),   MATCH(AI$1,役男大表!$A$3:$BF$3,0)  )="榮-22",  "x榮18-22",               INDEX(役男大表!$A$1:$BF$95,MATCH($A36,役男大表!$A$1:$A$97,0),   MATCH(AI$1,役男大表!$A$3:$BF$3,0)  )                  )  )  )," ",""),"")</f>
        <v/>
      </c>
      <c r="AJ36" s="278" t="str">
        <f>_xlfn.IFNA(  SUBSTITUTE(     IF(  INDEX(役男大表!$A$1:$BF$95,MATCH($A36,役男大表!$A$1:$A$97,0),   MATCH(AJ$1,役男大表!$A$3:$BF$3,0)  )=0,"",  IF(  INDEX(役男大表!$A$1:$BF$95,MATCH($A36,役男大表!$A$1:$A$97,0),   MATCH(AJ$1,役男大表!$A$3:$BF$3,0)  )="榮","x",  IF(  INDEX(役男大表!$A$1:$BF$95,MATCH($A36,役男大表!$A$1:$A$97,0),   MATCH(AJ$1,役男大表!$A$3:$BF$3,0)  )="榮-22",  "x榮18-22",               INDEX(役男大表!$A$1:$BF$95,MATCH($A36,役男大表!$A$1:$A$97,0),   MATCH(AJ$1,役男大表!$A$3:$BF$3,0)  )                  )  )  )," ",""),"")</f>
        <v/>
      </c>
      <c r="AM36" s="66">
        <f t="shared" si="1"/>
        <v>35</v>
      </c>
      <c r="AN36" s="66" t="str">
        <f t="shared" si="2"/>
        <v/>
      </c>
      <c r="AO36" s="71" t="str">
        <f>IF(  AND(  INDEX(   $A$42:$AJ$79, MATCH(AM36,$A$42:$A$79,0),MATCH(  日期輸入!$C$3,$A$42:$AL$42,0  )  )="全日勤",  AV36="免"  ),  "全日勤免勤教",  IF(  AND(  INDEX(   $A$42:$AJ$79, MATCH(AM36,$A$42:$A$79,0),MATCH(  日期輸入!$C$3,$A$42:$AL$42,0  )  )="18放",  AV36="免"  ),  "18放早走",  INDEX(   $A$42:$AJ$79, MATCH(AM36,$A$42:$A$79,0),MATCH(  日期輸入!$C$3,$A$42:$AL$42,0  )  )  )  )</f>
        <v/>
      </c>
      <c r="AP36" s="66" t="str">
        <f>_xlfn.IFNA(IF((ROW(AP36)-1)&lt;=暫1!$B$2,IF(VALUE($AM36)=暫1!B$3,"家因",IF(VALUE($AM36)=暫1!C$3,"家因",IF(VALUE($AM36)=暫1!D$3,"家因",IF(VALUE($AM36)=暫1!E$3,"家因",IF(VALUE($AM36)=暫1!F$3,"家因",IF(VALUE($AM36)=暫1!G$3,"家因",IF(VALUE($AM36)=暫1!H$3,"家因",IF(VALUE($AM36)=暫1!I$3,"家因",IF(VALUE($AM36)=暫1!J$3,"家因",IF(VALUE($AM36)=暫1!K$3,"家因",IF(VALUE($AM36)=暫1!L$3,"家因",IF(VALUE($AM36)=暫1!M$3,"家因",IF(VALUE($AM36)=暫1!N$3,"家因",IF(VALUE($AM36)=暫1!O$3,"家因",IF(VALUE($AM36)=暫1!P$3,"家因",IF(VALUE($AM36)=暫1!Q$3,"家因",IF(VALUE($AM36)=暫1!R$3,"家因",IF(VALUE($AM36)=暫1!S$3,"家因",IF(VALUE($AM36)=暫1!T$3,"家因",IF(VALUE($AM36)=暫1!U$3,"家因","")))))))))))))))))))),""),"")</f>
        <v/>
      </c>
      <c r="AQ36" s="66" t="str">
        <f>IF((ROW(AQ36)-1)&lt;=暫1!$B$2,_xlfn.IFNA(IF(INDEX($A$1:$AJ$41,MATCH($AN36,$B$1:$B$101,0),VALUE($AQ$1+3))="成","補",INDEX($A$1:$AJ$41,MATCH($AN36,$B$1:$B$101,0),VALUE($AQ$1+3))),""),"")</f>
        <v/>
      </c>
      <c r="AR36" s="66" t="str">
        <f>IF((ROW(AR36)-1)&lt;=暫1!$B$2,_xlfn.IFNA(IF(INDEX($A$1:$AJ$41,MATCH($AN36,$B$1:$B$101,0),VALUE($AR$1+3))="成","補",INDEX($A$1:$AJ$41,MATCH($AN36,$B$1:$B$101,0),VALUE($AR$1+3))),""),"")</f>
        <v/>
      </c>
      <c r="AS36" s="66" t="str">
        <f>IF((ROW(AS36)-1)&lt;=暫1!$B$2,_xlfn.IFNA(IF(INDEX($A$1:$AJ$41,MATCH($AN36,$B$1:$B$101,0),VALUE($AS$1+3))="成","補",INDEX($A$1:$AJ$41,MATCH($AN36,$B$1:$B$101,0),VALUE($AS$1+3))),""),"")</f>
        <v/>
      </c>
      <c r="AT36" s="66" t="str">
        <f>IF(  OR(  LEN(  INDEX(   $A$1:$AJ$39, MATCH(AM36,$A$1:$A$39,0),MATCH(  日期輸入!$C$3,$A$1:$AP$1,0  )  )  )&gt;LEN(  SUBSTITUTE(  INDEX(   $A$1:$AJ$39, MATCH(AM36,$A$1:$A$39,0),MATCH(  日期輸入!$C$3,$A$1:$AP$1,0  )  ),"榮","")  )  ),   SUBSTITUTE(  SUBSTITUTE(  INDEX(   $A$1:$AJ$39, MATCH(AM36,$A$1:$A$39,0),MATCH(  日期輸入!$C$3,$A$1:$AP$1,0  )  ),"榮",""),"x",""), "")</f>
        <v/>
      </c>
      <c r="AU36" s="66" t="str">
        <f t="shared" si="3"/>
        <v/>
      </c>
      <c r="AV36" s="66" t="str">
        <f>INDEX(   $A$482:$AJ$519, MATCH(AM36,$A$482:$A$519,0),MATCH(  日期輸入!$C$3,$A$482:$AL$482,0  )  )</f>
        <v/>
      </c>
      <c r="AX36" s="66" t="str">
        <f>IFERROR(IF((ROW(AX36)-1)&lt;=暫1!$B$2,SUBSTITUTE(IF($AO36=$AX$1,$AM36,"")," ",""),""),"")</f>
        <v/>
      </c>
      <c r="AY36" s="66" t="str">
        <f>IFERROR(IF((ROW(AY36)-1)&lt;=暫1!$B$2,SUBSTITUTE(IF($AO36=$AY$1,$AM36,"")," ",""),""),"")</f>
        <v/>
      </c>
      <c r="AZ36" s="66" t="str">
        <f>IFERROR(IF((ROW(AZ36)-1)&lt;=暫1!$B$2,SUBSTITUTE(IF($AO36=$AZ$1,$AM36,"")," ",""),""),"")</f>
        <v/>
      </c>
      <c r="BA36" s="66" t="str">
        <f>IFERROR(IF((ROW(BA36)-1)&lt;=暫1!$B$2,SUBSTITUTE(IF($AO36=$BA$1,$AM36,"")," ",""),""),"")</f>
        <v/>
      </c>
      <c r="BB36" s="69" t="str">
        <f>IFERROR(IF((ROW(BB36)-1)&lt;=暫1!$B$2,SUBSTITUTE(IF(OR($AO36=$BB$1,$AO36=$AY$1,$AO36=$AZ$1),$AM36,IF($AO36=$AY$1,$AM36,"")),"",""),""),"")</f>
        <v/>
      </c>
      <c r="BC36" s="69" t="str">
        <f>IF(    AND(LEN(BC35)&gt;=2 ),        "、" &amp;  IF(OR(役男人力!$J$2:$J$84="是"),役男人力!#REF!,""),  IF(OR(役男人力!$J$2:$J$84="是"),役男人力!#REF!,"")  )</f>
        <v/>
      </c>
    </row>
    <row r="37" spans="1:55" ht="25.5" customHeight="1">
      <c r="A37" s="386">
        <v>36</v>
      </c>
      <c r="B37" s="278" t="str">
        <f>_xlfn.IFNA(  INDEX(役男大表!$A$1:$BF$95,MATCH(A37,役男大表!$A$1:$A$97,0),2),"")</f>
        <v/>
      </c>
      <c r="C37" s="278" t="str">
        <f>_xlfn.IFNA(  SUBSTITUTE(     IF(  INDEX(役男大表!$A$1:$BF$95,MATCH($A37,役男大表!$A$1:$A$97,0),   MATCH(C$1,役男大表!$A$3:$BF$3,0)  )=0,"",  IF(  INDEX(役男大表!$A$1:$BF$95,MATCH($A37,役男大表!$A$1:$A$97,0),   MATCH(C$1,役男大表!$A$3:$BF$3,0)  )="榮","x",  IF(  INDEX(役男大表!$A$1:$BF$95,MATCH($A37,役男大表!$A$1:$A$97,0),   MATCH(C$1,役男大表!$A$3:$BF$3,0)  )="榮-22",  "x榮18-22",               INDEX(役男大表!$A$1:$BF$95,MATCH($A37,役男大表!$A$1:$A$97,0),   MATCH(C$1,役男大表!$A$3:$BF$3,0)  )                  )  )  )," ",""),"")</f>
        <v/>
      </c>
      <c r="D37" s="278" t="str">
        <f>_xlfn.IFNA(  SUBSTITUTE(     IF(  INDEX(役男大表!$A$1:$BF$95,MATCH($A37,役男大表!$A$1:$A$97,0),   MATCH(D$1,役男大表!$A$3:$BF$3,0)  )=0,"",  IF(  INDEX(役男大表!$A$1:$BF$95,MATCH($A37,役男大表!$A$1:$A$97,0),   MATCH(D$1,役男大表!$A$3:$BF$3,0)  )="榮","x",  IF(  INDEX(役男大表!$A$1:$BF$95,MATCH($A37,役男大表!$A$1:$A$97,0),   MATCH(D$1,役男大表!$A$3:$BF$3,0)  )="榮-22",  "x榮18-22",               INDEX(役男大表!$A$1:$BF$95,MATCH($A37,役男大表!$A$1:$A$97,0),   MATCH(D$1,役男大表!$A$3:$BF$3,0)  )                  )  )  )," ",""),"")</f>
        <v/>
      </c>
      <c r="E37" s="278" t="str">
        <f>_xlfn.IFNA(  SUBSTITUTE(     IF(  INDEX(役男大表!$A$1:$BF$95,MATCH($A37,役男大表!$A$1:$A$97,0),   MATCH(E$1,役男大表!$A$3:$BF$3,0)  )=0,"",  IF(  INDEX(役男大表!$A$1:$BF$95,MATCH($A37,役男大表!$A$1:$A$97,0),   MATCH(E$1,役男大表!$A$3:$BF$3,0)  )="榮","x",  IF(  INDEX(役男大表!$A$1:$BF$95,MATCH($A37,役男大表!$A$1:$A$97,0),   MATCH(E$1,役男大表!$A$3:$BF$3,0)  )="榮-22",  "x榮18-22",               INDEX(役男大表!$A$1:$BF$95,MATCH($A37,役男大表!$A$1:$A$97,0),   MATCH(E$1,役男大表!$A$3:$BF$3,0)  )                  )  )  )," ",""),"")</f>
        <v/>
      </c>
      <c r="F37" s="278" t="str">
        <f>_xlfn.IFNA(  SUBSTITUTE(     IF(  INDEX(役男大表!$A$1:$BF$95,MATCH($A37,役男大表!$A$1:$A$97,0),   MATCH(F$1,役男大表!$A$3:$BF$3,0)  )=0,"",  IF(  INDEX(役男大表!$A$1:$BF$95,MATCH($A37,役男大表!$A$1:$A$97,0),   MATCH(F$1,役男大表!$A$3:$BF$3,0)  )="榮","x",  IF(  INDEX(役男大表!$A$1:$BF$95,MATCH($A37,役男大表!$A$1:$A$97,0),   MATCH(F$1,役男大表!$A$3:$BF$3,0)  )="榮-22",  "x榮18-22",               INDEX(役男大表!$A$1:$BF$95,MATCH($A37,役男大表!$A$1:$A$97,0),   MATCH(F$1,役男大表!$A$3:$BF$3,0)  )                  )  )  )," ",""),"")</f>
        <v/>
      </c>
      <c r="G37" s="278" t="str">
        <f>_xlfn.IFNA(  SUBSTITUTE(     IF(  INDEX(役男大表!$A$1:$BF$95,MATCH($A37,役男大表!$A$1:$A$97,0),   MATCH(G$1,役男大表!$A$3:$BF$3,0)  )=0,"",  IF(  INDEX(役男大表!$A$1:$BF$95,MATCH($A37,役男大表!$A$1:$A$97,0),   MATCH(G$1,役男大表!$A$3:$BF$3,0)  )="榮","x",  IF(  INDEX(役男大表!$A$1:$BF$95,MATCH($A37,役男大表!$A$1:$A$97,0),   MATCH(G$1,役男大表!$A$3:$BF$3,0)  )="榮-22",  "x榮18-22",               INDEX(役男大表!$A$1:$BF$95,MATCH($A37,役男大表!$A$1:$A$97,0),   MATCH(G$1,役男大表!$A$3:$BF$3,0)  )                  )  )  )," ",""),"")</f>
        <v/>
      </c>
      <c r="H37" s="278" t="str">
        <f>_xlfn.IFNA(  SUBSTITUTE(     IF(  INDEX(役男大表!$A$1:$BF$95,MATCH($A37,役男大表!$A$1:$A$97,0),   MATCH(H$1,役男大表!$A$3:$BF$3,0)  )=0,"",  IF(  INDEX(役男大表!$A$1:$BF$95,MATCH($A37,役男大表!$A$1:$A$97,0),   MATCH(H$1,役男大表!$A$3:$BF$3,0)  )="榮","x",  IF(  INDEX(役男大表!$A$1:$BF$95,MATCH($A37,役男大表!$A$1:$A$97,0),   MATCH(H$1,役男大表!$A$3:$BF$3,0)  )="榮-22",  "x榮18-22",               INDEX(役男大表!$A$1:$BF$95,MATCH($A37,役男大表!$A$1:$A$97,0),   MATCH(H$1,役男大表!$A$3:$BF$3,0)  )                  )  )  )," ",""),"")</f>
        <v/>
      </c>
      <c r="I37" s="278" t="str">
        <f>_xlfn.IFNA(  SUBSTITUTE(     IF(  INDEX(役男大表!$A$1:$BF$95,MATCH($A37,役男大表!$A$1:$A$97,0),   MATCH(I$1,役男大表!$A$3:$BF$3,0)  )=0,"",  IF(  INDEX(役男大表!$A$1:$BF$95,MATCH($A37,役男大表!$A$1:$A$97,0),   MATCH(I$1,役男大表!$A$3:$BF$3,0)  )="榮","x",  IF(  INDEX(役男大表!$A$1:$BF$95,MATCH($A37,役男大表!$A$1:$A$97,0),   MATCH(I$1,役男大表!$A$3:$BF$3,0)  )="榮-22",  "x榮18-22",               INDEX(役男大表!$A$1:$BF$95,MATCH($A37,役男大表!$A$1:$A$97,0),   MATCH(I$1,役男大表!$A$3:$BF$3,0)  )                  )  )  )," ",""),"")</f>
        <v/>
      </c>
      <c r="J37" s="278" t="str">
        <f>_xlfn.IFNA(  SUBSTITUTE(     IF(  INDEX(役男大表!$A$1:$BF$95,MATCH($A37,役男大表!$A$1:$A$97,0),   MATCH(J$1,役男大表!$A$3:$BF$3,0)  )=0,"",  IF(  INDEX(役男大表!$A$1:$BF$95,MATCH($A37,役男大表!$A$1:$A$97,0),   MATCH(J$1,役男大表!$A$3:$BF$3,0)  )="榮","x",  IF(  INDEX(役男大表!$A$1:$BF$95,MATCH($A37,役男大表!$A$1:$A$97,0),   MATCH(J$1,役男大表!$A$3:$BF$3,0)  )="榮-22",  "x榮18-22",               INDEX(役男大表!$A$1:$BF$95,MATCH($A37,役男大表!$A$1:$A$97,0),   MATCH(J$1,役男大表!$A$3:$BF$3,0)  )                  )  )  )," ",""),"")</f>
        <v/>
      </c>
      <c r="K37" s="278" t="str">
        <f>_xlfn.IFNA(  SUBSTITUTE(     IF(  INDEX(役男大表!$A$1:$BF$95,MATCH($A37,役男大表!$A$1:$A$97,0),   MATCH(K$1,役男大表!$A$3:$BF$3,0)  )=0,"",  IF(  INDEX(役男大表!$A$1:$BF$95,MATCH($A37,役男大表!$A$1:$A$97,0),   MATCH(K$1,役男大表!$A$3:$BF$3,0)  )="榮","x",  IF(  INDEX(役男大表!$A$1:$BF$95,MATCH($A37,役男大表!$A$1:$A$97,0),   MATCH(K$1,役男大表!$A$3:$BF$3,0)  )="榮-22",  "x榮18-22",               INDEX(役男大表!$A$1:$BF$95,MATCH($A37,役男大表!$A$1:$A$97,0),   MATCH(K$1,役男大表!$A$3:$BF$3,0)  )                  )  )  )," ",""),"")</f>
        <v/>
      </c>
      <c r="L37" s="278" t="str">
        <f>_xlfn.IFNA(  SUBSTITUTE(     IF(  INDEX(役男大表!$A$1:$BF$95,MATCH($A37,役男大表!$A$1:$A$97,0),   MATCH(L$1,役男大表!$A$3:$BF$3,0)  )=0,"",  IF(  INDEX(役男大表!$A$1:$BF$95,MATCH($A37,役男大表!$A$1:$A$97,0),   MATCH(L$1,役男大表!$A$3:$BF$3,0)  )="榮","x",  IF(  INDEX(役男大表!$A$1:$BF$95,MATCH($A37,役男大表!$A$1:$A$97,0),   MATCH(L$1,役男大表!$A$3:$BF$3,0)  )="榮-22",  "x榮18-22",               INDEX(役男大表!$A$1:$BF$95,MATCH($A37,役男大表!$A$1:$A$97,0),   MATCH(L$1,役男大表!$A$3:$BF$3,0)  )                  )  )  )," ",""),"")</f>
        <v/>
      </c>
      <c r="M37" s="278" t="str">
        <f>_xlfn.IFNA(  SUBSTITUTE(     IF(  INDEX(役男大表!$A$1:$BF$95,MATCH($A37,役男大表!$A$1:$A$97,0),   MATCH(M$1,役男大表!$A$3:$BF$3,0)  )=0,"",  IF(  INDEX(役男大表!$A$1:$BF$95,MATCH($A37,役男大表!$A$1:$A$97,0),   MATCH(M$1,役男大表!$A$3:$BF$3,0)  )="榮","x",  IF(  INDEX(役男大表!$A$1:$BF$95,MATCH($A37,役男大表!$A$1:$A$97,0),   MATCH(M$1,役男大表!$A$3:$BF$3,0)  )="榮-22",  "x榮18-22",               INDEX(役男大表!$A$1:$BF$95,MATCH($A37,役男大表!$A$1:$A$97,0),   MATCH(M$1,役男大表!$A$3:$BF$3,0)  )                  )  )  )," ",""),"")</f>
        <v/>
      </c>
      <c r="N37" s="278" t="str">
        <f>_xlfn.IFNA(  SUBSTITUTE(     IF(  INDEX(役男大表!$A$1:$BF$95,MATCH($A37,役男大表!$A$1:$A$97,0),   MATCH(N$1,役男大表!$A$3:$BF$3,0)  )=0,"",  IF(  INDEX(役男大表!$A$1:$BF$95,MATCH($A37,役男大表!$A$1:$A$97,0),   MATCH(N$1,役男大表!$A$3:$BF$3,0)  )="榮","x",  IF(  INDEX(役男大表!$A$1:$BF$95,MATCH($A37,役男大表!$A$1:$A$97,0),   MATCH(N$1,役男大表!$A$3:$BF$3,0)  )="榮-22",  "x榮18-22",               INDEX(役男大表!$A$1:$BF$95,MATCH($A37,役男大表!$A$1:$A$97,0),   MATCH(N$1,役男大表!$A$3:$BF$3,0)  )                  )  )  )," ",""),"")</f>
        <v/>
      </c>
      <c r="O37" s="278" t="str">
        <f>_xlfn.IFNA(  SUBSTITUTE(     IF(  INDEX(役男大表!$A$1:$BF$95,MATCH($A37,役男大表!$A$1:$A$97,0),   MATCH(O$1,役男大表!$A$3:$BF$3,0)  )=0,"",  IF(  INDEX(役男大表!$A$1:$BF$95,MATCH($A37,役男大表!$A$1:$A$97,0),   MATCH(O$1,役男大表!$A$3:$BF$3,0)  )="榮","x",  IF(  INDEX(役男大表!$A$1:$BF$95,MATCH($A37,役男大表!$A$1:$A$97,0),   MATCH(O$1,役男大表!$A$3:$BF$3,0)  )="榮-22",  "x榮18-22",               INDEX(役男大表!$A$1:$BF$95,MATCH($A37,役男大表!$A$1:$A$97,0),   MATCH(O$1,役男大表!$A$3:$BF$3,0)  )                  )  )  )," ",""),"")</f>
        <v/>
      </c>
      <c r="P37" s="278" t="str">
        <f>_xlfn.IFNA(  SUBSTITUTE(     IF(  INDEX(役男大表!$A$1:$BF$95,MATCH($A37,役男大表!$A$1:$A$97,0),   MATCH(P$1,役男大表!$A$3:$BF$3,0)  )=0,"",  IF(  INDEX(役男大表!$A$1:$BF$95,MATCH($A37,役男大表!$A$1:$A$97,0),   MATCH(P$1,役男大表!$A$3:$BF$3,0)  )="榮","x",  IF(  INDEX(役男大表!$A$1:$BF$95,MATCH($A37,役男大表!$A$1:$A$97,0),   MATCH(P$1,役男大表!$A$3:$BF$3,0)  )="榮-22",  "x榮18-22",               INDEX(役男大表!$A$1:$BF$95,MATCH($A37,役男大表!$A$1:$A$97,0),   MATCH(P$1,役男大表!$A$3:$BF$3,0)  )                  )  )  )," ",""),"")</f>
        <v/>
      </c>
      <c r="Q37" s="278" t="str">
        <f>_xlfn.IFNA(  SUBSTITUTE(     IF(  INDEX(役男大表!$A$1:$BF$95,MATCH($A37,役男大表!$A$1:$A$97,0),   MATCH(Q$1,役男大表!$A$3:$BF$3,0)  )=0,"",  IF(  INDEX(役男大表!$A$1:$BF$95,MATCH($A37,役男大表!$A$1:$A$97,0),   MATCH(Q$1,役男大表!$A$3:$BF$3,0)  )="榮","x",  IF(  INDEX(役男大表!$A$1:$BF$95,MATCH($A37,役男大表!$A$1:$A$97,0),   MATCH(Q$1,役男大表!$A$3:$BF$3,0)  )="榮-22",  "x榮18-22",               INDEX(役男大表!$A$1:$BF$95,MATCH($A37,役男大表!$A$1:$A$97,0),   MATCH(Q$1,役男大表!$A$3:$BF$3,0)  )                  )  )  )," ",""),"")</f>
        <v/>
      </c>
      <c r="R37" s="278" t="str">
        <f>_xlfn.IFNA(  SUBSTITUTE(     IF(  INDEX(役男大表!$A$1:$BF$95,MATCH($A37,役男大表!$A$1:$A$97,0),   MATCH(R$1,役男大表!$A$3:$BF$3,0)  )=0,"",  IF(  INDEX(役男大表!$A$1:$BF$95,MATCH($A37,役男大表!$A$1:$A$97,0),   MATCH(R$1,役男大表!$A$3:$BF$3,0)  )="榮","x",  IF(  INDEX(役男大表!$A$1:$BF$95,MATCH($A37,役男大表!$A$1:$A$97,0),   MATCH(R$1,役男大表!$A$3:$BF$3,0)  )="榮-22",  "x榮18-22",               INDEX(役男大表!$A$1:$BF$95,MATCH($A37,役男大表!$A$1:$A$97,0),   MATCH(R$1,役男大表!$A$3:$BF$3,0)  )                  )  )  )," ",""),"")</f>
        <v/>
      </c>
      <c r="S37" s="278" t="str">
        <f>_xlfn.IFNA(  SUBSTITUTE(     IF(  INDEX(役男大表!$A$1:$BF$95,MATCH($A37,役男大表!$A$1:$A$97,0),   MATCH(S$1,役男大表!$A$3:$BF$3,0)  )=0,"",  IF(  INDEX(役男大表!$A$1:$BF$95,MATCH($A37,役男大表!$A$1:$A$97,0),   MATCH(S$1,役男大表!$A$3:$BF$3,0)  )="榮","x",  IF(  INDEX(役男大表!$A$1:$BF$95,MATCH($A37,役男大表!$A$1:$A$97,0),   MATCH(S$1,役男大表!$A$3:$BF$3,0)  )="榮-22",  "x榮18-22",               INDEX(役男大表!$A$1:$BF$95,MATCH($A37,役男大表!$A$1:$A$97,0),   MATCH(S$1,役男大表!$A$3:$BF$3,0)  )                  )  )  )," ",""),"")</f>
        <v/>
      </c>
      <c r="T37" s="278" t="str">
        <f>_xlfn.IFNA(  SUBSTITUTE(     IF(  INDEX(役男大表!$A$1:$BF$95,MATCH($A37,役男大表!$A$1:$A$97,0),   MATCH(T$1,役男大表!$A$3:$BF$3,0)  )=0,"",  IF(  INDEX(役男大表!$A$1:$BF$95,MATCH($A37,役男大表!$A$1:$A$97,0),   MATCH(T$1,役男大表!$A$3:$BF$3,0)  )="榮","x",  IF(  INDEX(役男大表!$A$1:$BF$95,MATCH($A37,役男大表!$A$1:$A$97,0),   MATCH(T$1,役男大表!$A$3:$BF$3,0)  )="榮-22",  "x榮18-22",               INDEX(役男大表!$A$1:$BF$95,MATCH($A37,役男大表!$A$1:$A$97,0),   MATCH(T$1,役男大表!$A$3:$BF$3,0)  )                  )  )  )," ",""),"")</f>
        <v/>
      </c>
      <c r="U37" s="278" t="str">
        <f>_xlfn.IFNA(  SUBSTITUTE(     IF(  INDEX(役男大表!$A$1:$BF$95,MATCH($A37,役男大表!$A$1:$A$97,0),   MATCH(U$1,役男大表!$A$3:$BF$3,0)  )=0,"",  IF(  INDEX(役男大表!$A$1:$BF$95,MATCH($A37,役男大表!$A$1:$A$97,0),   MATCH(U$1,役男大表!$A$3:$BF$3,0)  )="榮","x",  IF(  INDEX(役男大表!$A$1:$BF$95,MATCH($A37,役男大表!$A$1:$A$97,0),   MATCH(U$1,役男大表!$A$3:$BF$3,0)  )="榮-22",  "x榮18-22",               INDEX(役男大表!$A$1:$BF$95,MATCH($A37,役男大表!$A$1:$A$97,0),   MATCH(U$1,役男大表!$A$3:$BF$3,0)  )                  )  )  )," ",""),"")</f>
        <v/>
      </c>
      <c r="V37" s="278" t="str">
        <f>_xlfn.IFNA(  SUBSTITUTE(     IF(  INDEX(役男大表!$A$1:$BF$95,MATCH($A37,役男大表!$A$1:$A$97,0),   MATCH(V$1,役男大表!$A$3:$BF$3,0)  )=0,"",  IF(  INDEX(役男大表!$A$1:$BF$95,MATCH($A37,役男大表!$A$1:$A$97,0),   MATCH(V$1,役男大表!$A$3:$BF$3,0)  )="榮","x",  IF(  INDEX(役男大表!$A$1:$BF$95,MATCH($A37,役男大表!$A$1:$A$97,0),   MATCH(V$1,役男大表!$A$3:$BF$3,0)  )="榮-22",  "x榮18-22",               INDEX(役男大表!$A$1:$BF$95,MATCH($A37,役男大表!$A$1:$A$97,0),   MATCH(V$1,役男大表!$A$3:$BF$3,0)  )                  )  )  )," ",""),"")</f>
        <v/>
      </c>
      <c r="W37" s="278" t="str">
        <f>_xlfn.IFNA(  SUBSTITUTE(     IF(  INDEX(役男大表!$A$1:$BF$95,MATCH($A37,役男大表!$A$1:$A$97,0),   MATCH(W$1,役男大表!$A$3:$BF$3,0)  )=0,"",  IF(  INDEX(役男大表!$A$1:$BF$95,MATCH($A37,役男大表!$A$1:$A$97,0),   MATCH(W$1,役男大表!$A$3:$BF$3,0)  )="榮","x",  IF(  INDEX(役男大表!$A$1:$BF$95,MATCH($A37,役男大表!$A$1:$A$97,0),   MATCH(W$1,役男大表!$A$3:$BF$3,0)  )="榮-22",  "x榮18-22",               INDEX(役男大表!$A$1:$BF$95,MATCH($A37,役男大表!$A$1:$A$97,0),   MATCH(W$1,役男大表!$A$3:$BF$3,0)  )                  )  )  )," ",""),"")</f>
        <v/>
      </c>
      <c r="X37" s="278" t="str">
        <f>_xlfn.IFNA(  SUBSTITUTE(     IF(  INDEX(役男大表!$A$1:$BF$95,MATCH($A37,役男大表!$A$1:$A$97,0),   MATCH(X$1,役男大表!$A$3:$BF$3,0)  )=0,"",  IF(  INDEX(役男大表!$A$1:$BF$95,MATCH($A37,役男大表!$A$1:$A$97,0),   MATCH(X$1,役男大表!$A$3:$BF$3,0)  )="榮","x",  IF(  INDEX(役男大表!$A$1:$BF$95,MATCH($A37,役男大表!$A$1:$A$97,0),   MATCH(X$1,役男大表!$A$3:$BF$3,0)  )="榮-22",  "x榮18-22",               INDEX(役男大表!$A$1:$BF$95,MATCH($A37,役男大表!$A$1:$A$97,0),   MATCH(X$1,役男大表!$A$3:$BF$3,0)  )                  )  )  )," ",""),"")</f>
        <v/>
      </c>
      <c r="Y37" s="278" t="str">
        <f>_xlfn.IFNA(  SUBSTITUTE(     IF(  INDEX(役男大表!$A$1:$BF$95,MATCH($A37,役男大表!$A$1:$A$97,0),   MATCH(Y$1,役男大表!$A$3:$BF$3,0)  )=0,"",  IF(  INDEX(役男大表!$A$1:$BF$95,MATCH($A37,役男大表!$A$1:$A$97,0),   MATCH(Y$1,役男大表!$A$3:$BF$3,0)  )="榮","x",  IF(  INDEX(役男大表!$A$1:$BF$95,MATCH($A37,役男大表!$A$1:$A$97,0),   MATCH(Y$1,役男大表!$A$3:$BF$3,0)  )="榮-22",  "x榮18-22",               INDEX(役男大表!$A$1:$BF$95,MATCH($A37,役男大表!$A$1:$A$97,0),   MATCH(Y$1,役男大表!$A$3:$BF$3,0)  )                  )  )  )," ",""),"")</f>
        <v/>
      </c>
      <c r="Z37" s="278" t="str">
        <f>_xlfn.IFNA(  SUBSTITUTE(     IF(  INDEX(役男大表!$A$1:$BF$95,MATCH($A37,役男大表!$A$1:$A$97,0),   MATCH(Z$1,役男大表!$A$3:$BF$3,0)  )=0,"",  IF(  INDEX(役男大表!$A$1:$BF$95,MATCH($A37,役男大表!$A$1:$A$97,0),   MATCH(Z$1,役男大表!$A$3:$BF$3,0)  )="榮","x",  IF(  INDEX(役男大表!$A$1:$BF$95,MATCH($A37,役男大表!$A$1:$A$97,0),   MATCH(Z$1,役男大表!$A$3:$BF$3,0)  )="榮-22",  "x榮18-22",               INDEX(役男大表!$A$1:$BF$95,MATCH($A37,役男大表!$A$1:$A$97,0),   MATCH(Z$1,役男大表!$A$3:$BF$3,0)  )                  )  )  )," ",""),"")</f>
        <v/>
      </c>
      <c r="AA37" s="278" t="str">
        <f>_xlfn.IFNA(  SUBSTITUTE(     IF(  INDEX(役男大表!$A$1:$BF$95,MATCH($A37,役男大表!$A$1:$A$97,0),   MATCH(AA$1,役男大表!$A$3:$BF$3,0)  )=0,"",  IF(  INDEX(役男大表!$A$1:$BF$95,MATCH($A37,役男大表!$A$1:$A$97,0),   MATCH(AA$1,役男大表!$A$3:$BF$3,0)  )="榮","x",  IF(  INDEX(役男大表!$A$1:$BF$95,MATCH($A37,役男大表!$A$1:$A$97,0),   MATCH(AA$1,役男大表!$A$3:$BF$3,0)  )="榮-22",  "x榮18-22",               INDEX(役男大表!$A$1:$BF$95,MATCH($A37,役男大表!$A$1:$A$97,0),   MATCH(AA$1,役男大表!$A$3:$BF$3,0)  )                  )  )  )," ",""),"")</f>
        <v/>
      </c>
      <c r="AB37" s="278" t="str">
        <f>_xlfn.IFNA(  SUBSTITUTE(     IF(  INDEX(役男大表!$A$1:$BF$95,MATCH($A37,役男大表!$A$1:$A$97,0),   MATCH(AB$1,役男大表!$A$3:$BF$3,0)  )=0,"",  IF(  INDEX(役男大表!$A$1:$BF$95,MATCH($A37,役男大表!$A$1:$A$97,0),   MATCH(AB$1,役男大表!$A$3:$BF$3,0)  )="榮","x",  IF(  INDEX(役男大表!$A$1:$BF$95,MATCH($A37,役男大表!$A$1:$A$97,0),   MATCH(AB$1,役男大表!$A$3:$BF$3,0)  )="榮-22",  "x榮18-22",               INDEX(役男大表!$A$1:$BF$95,MATCH($A37,役男大表!$A$1:$A$97,0),   MATCH(AB$1,役男大表!$A$3:$BF$3,0)  )                  )  )  )," ",""),"")</f>
        <v/>
      </c>
      <c r="AC37" s="278" t="str">
        <f>_xlfn.IFNA(  SUBSTITUTE(     IF(  INDEX(役男大表!$A$1:$BF$95,MATCH($A37,役男大表!$A$1:$A$97,0),   MATCH(AC$1,役男大表!$A$3:$BF$3,0)  )=0,"",  IF(  INDEX(役男大表!$A$1:$BF$95,MATCH($A37,役男大表!$A$1:$A$97,0),   MATCH(AC$1,役男大表!$A$3:$BF$3,0)  )="榮","x",  IF(  INDEX(役男大表!$A$1:$BF$95,MATCH($A37,役男大表!$A$1:$A$97,0),   MATCH(AC$1,役男大表!$A$3:$BF$3,0)  )="榮-22",  "x榮18-22",               INDEX(役男大表!$A$1:$BF$95,MATCH($A37,役男大表!$A$1:$A$97,0),   MATCH(AC$1,役男大表!$A$3:$BF$3,0)  )                  )  )  )," ",""),"")</f>
        <v/>
      </c>
      <c r="AD37" s="278" t="str">
        <f>_xlfn.IFNA(  SUBSTITUTE(     IF(  INDEX(役男大表!$A$1:$BF$95,MATCH($A37,役男大表!$A$1:$A$97,0),   MATCH(AD$1,役男大表!$A$3:$BF$3,0)  )=0,"",  IF(  INDEX(役男大表!$A$1:$BF$95,MATCH($A37,役男大表!$A$1:$A$97,0),   MATCH(AD$1,役男大表!$A$3:$BF$3,0)  )="榮","x",  IF(  INDEX(役男大表!$A$1:$BF$95,MATCH($A37,役男大表!$A$1:$A$97,0),   MATCH(AD$1,役男大表!$A$3:$BF$3,0)  )="榮-22",  "x榮18-22",               INDEX(役男大表!$A$1:$BF$95,MATCH($A37,役男大表!$A$1:$A$97,0),   MATCH(AD$1,役男大表!$A$3:$BF$3,0)  )                  )  )  )," ",""),"")</f>
        <v/>
      </c>
      <c r="AE37" s="278" t="str">
        <f>_xlfn.IFNA(  SUBSTITUTE(     IF(  INDEX(役男大表!$A$1:$BF$95,MATCH($A37,役男大表!$A$1:$A$97,0),   MATCH(AE$1,役男大表!$A$3:$BF$3,0)  )=0,"",  IF(  INDEX(役男大表!$A$1:$BF$95,MATCH($A37,役男大表!$A$1:$A$97,0),   MATCH(AE$1,役男大表!$A$3:$BF$3,0)  )="榮","x",  IF(  INDEX(役男大表!$A$1:$BF$95,MATCH($A37,役男大表!$A$1:$A$97,0),   MATCH(AE$1,役男大表!$A$3:$BF$3,0)  )="榮-22",  "x榮18-22",               INDEX(役男大表!$A$1:$BF$95,MATCH($A37,役男大表!$A$1:$A$97,0),   MATCH(AE$1,役男大表!$A$3:$BF$3,0)  )                  )  )  )," ",""),"")</f>
        <v/>
      </c>
      <c r="AF37" s="278" t="str">
        <f>_xlfn.IFNA(  SUBSTITUTE(     IF(  INDEX(役男大表!$A$1:$BF$95,MATCH($A37,役男大表!$A$1:$A$97,0),   MATCH(AF$1,役男大表!$A$3:$BF$3,0)  )=0,"",  IF(  INDEX(役男大表!$A$1:$BF$95,MATCH($A37,役男大表!$A$1:$A$97,0),   MATCH(AF$1,役男大表!$A$3:$BF$3,0)  )="榮","x",  IF(  INDEX(役男大表!$A$1:$BF$95,MATCH($A37,役男大表!$A$1:$A$97,0),   MATCH(AF$1,役男大表!$A$3:$BF$3,0)  )="榮-22",  "x榮18-22",               INDEX(役男大表!$A$1:$BF$95,MATCH($A37,役男大表!$A$1:$A$97,0),   MATCH(AF$1,役男大表!$A$3:$BF$3,0)  )                  )  )  )," ",""),"")</f>
        <v/>
      </c>
      <c r="AG37" s="278" t="str">
        <f>_xlfn.IFNA(  SUBSTITUTE(     IF(  INDEX(役男大表!$A$1:$BF$95,MATCH($A37,役男大表!$A$1:$A$97,0),   MATCH(AG$1,役男大表!$A$3:$BF$3,0)  )=0,"",  IF(  INDEX(役男大表!$A$1:$BF$95,MATCH($A37,役男大表!$A$1:$A$97,0),   MATCH(AG$1,役男大表!$A$3:$BF$3,0)  )="榮","x",  IF(  INDEX(役男大表!$A$1:$BF$95,MATCH($A37,役男大表!$A$1:$A$97,0),   MATCH(AG$1,役男大表!$A$3:$BF$3,0)  )="榮-22",  "x榮18-22",               INDEX(役男大表!$A$1:$BF$95,MATCH($A37,役男大表!$A$1:$A$97,0),   MATCH(AG$1,役男大表!$A$3:$BF$3,0)  )                  )  )  )," ",""),"")</f>
        <v/>
      </c>
      <c r="AH37" s="278" t="str">
        <f>_xlfn.IFNA(  SUBSTITUTE(     IF(  INDEX(役男大表!$A$1:$BF$95,MATCH($A37,役男大表!$A$1:$A$97,0),   MATCH(AH$1,役男大表!$A$3:$BF$3,0)  )=0,"",  IF(  INDEX(役男大表!$A$1:$BF$95,MATCH($A37,役男大表!$A$1:$A$97,0),   MATCH(AH$1,役男大表!$A$3:$BF$3,0)  )="榮","x",  IF(  INDEX(役男大表!$A$1:$BF$95,MATCH($A37,役男大表!$A$1:$A$97,0),   MATCH(AH$1,役男大表!$A$3:$BF$3,0)  )="榮-22",  "x榮18-22",               INDEX(役男大表!$A$1:$BF$95,MATCH($A37,役男大表!$A$1:$A$97,0),   MATCH(AH$1,役男大表!$A$3:$BF$3,0)  )                  )  )  )," ",""),"")</f>
        <v/>
      </c>
      <c r="AI37" s="278" t="str">
        <f>_xlfn.IFNA(  SUBSTITUTE(     IF(  INDEX(役男大表!$A$1:$BF$95,MATCH($A37,役男大表!$A$1:$A$97,0),   MATCH(AI$1,役男大表!$A$3:$BF$3,0)  )=0,"",  IF(  INDEX(役男大表!$A$1:$BF$95,MATCH($A37,役男大表!$A$1:$A$97,0),   MATCH(AI$1,役男大表!$A$3:$BF$3,0)  )="榮","x",  IF(  INDEX(役男大表!$A$1:$BF$95,MATCH($A37,役男大表!$A$1:$A$97,0),   MATCH(AI$1,役男大表!$A$3:$BF$3,0)  )="榮-22",  "x榮18-22",               INDEX(役男大表!$A$1:$BF$95,MATCH($A37,役男大表!$A$1:$A$97,0),   MATCH(AI$1,役男大表!$A$3:$BF$3,0)  )                  )  )  )," ",""),"")</f>
        <v/>
      </c>
      <c r="AJ37" s="278" t="str">
        <f>_xlfn.IFNA(  SUBSTITUTE(     IF(  INDEX(役男大表!$A$1:$BF$95,MATCH($A37,役男大表!$A$1:$A$97,0),   MATCH(AJ$1,役男大表!$A$3:$BF$3,0)  )=0,"",  IF(  INDEX(役男大表!$A$1:$BF$95,MATCH($A37,役男大表!$A$1:$A$97,0),   MATCH(AJ$1,役男大表!$A$3:$BF$3,0)  )="榮","x",  IF(  INDEX(役男大表!$A$1:$BF$95,MATCH($A37,役男大表!$A$1:$A$97,0),   MATCH(AJ$1,役男大表!$A$3:$BF$3,0)  )="榮-22",  "x榮18-22",               INDEX(役男大表!$A$1:$BF$95,MATCH($A37,役男大表!$A$1:$A$97,0),   MATCH(AJ$1,役男大表!$A$3:$BF$3,0)  )                  )  )  )," ",""),"")</f>
        <v/>
      </c>
      <c r="AM37" s="507">
        <f t="shared" si="1"/>
        <v>36</v>
      </c>
      <c r="AN37" s="66" t="str">
        <f t="shared" si="2"/>
        <v/>
      </c>
      <c r="AO37" s="508"/>
      <c r="AP37" s="507"/>
      <c r="AQ37" s="507"/>
      <c r="AR37" s="507"/>
      <c r="AS37" s="507"/>
      <c r="AT37" s="507"/>
      <c r="AU37" s="507"/>
      <c r="AV37" s="507"/>
      <c r="AX37" s="507"/>
      <c r="AY37" s="507"/>
      <c r="AZ37" s="507"/>
      <c r="BA37" s="507"/>
      <c r="BB37" s="509"/>
      <c r="BC37" s="509"/>
    </row>
    <row r="38" spans="1:55" ht="25.5" customHeight="1">
      <c r="A38" s="278">
        <v>37</v>
      </c>
      <c r="B38" s="278" t="str">
        <f>_xlfn.IFNA(  INDEX(役男大表!$A$1:$BF$95,MATCH(A38,役男大表!$A$1:$A$97,0),2),"")</f>
        <v/>
      </c>
      <c r="C38" s="278" t="str">
        <f>_xlfn.IFNA(  SUBSTITUTE(     IF(  INDEX(役男大表!$A$1:$BF$95,MATCH($A38,役男大表!$A$1:$A$97,0),   MATCH(C$1,役男大表!$A$3:$BF$3,0)  )=0,"",  IF(  INDEX(役男大表!$A$1:$BF$95,MATCH($A38,役男大表!$A$1:$A$97,0),   MATCH(C$1,役男大表!$A$3:$BF$3,0)  )="榮","x",  IF(  INDEX(役男大表!$A$1:$BF$95,MATCH($A38,役男大表!$A$1:$A$97,0),   MATCH(C$1,役男大表!$A$3:$BF$3,0)  )="榮-22",  "x榮18-22",               INDEX(役男大表!$A$1:$BF$95,MATCH($A38,役男大表!$A$1:$A$97,0),   MATCH(C$1,役男大表!$A$3:$BF$3,0)  )                  )  )  )," ",""),"")</f>
        <v/>
      </c>
      <c r="D38" s="278" t="str">
        <f>_xlfn.IFNA(  SUBSTITUTE(     IF(  INDEX(役男大表!$A$1:$BF$95,MATCH($A38,役男大表!$A$1:$A$97,0),   MATCH(D$1,役男大表!$A$3:$BF$3,0)  )=0,"",  IF(  INDEX(役男大表!$A$1:$BF$95,MATCH($A38,役男大表!$A$1:$A$97,0),   MATCH(D$1,役男大表!$A$3:$BF$3,0)  )="榮","x",  IF(  INDEX(役男大表!$A$1:$BF$95,MATCH($A38,役男大表!$A$1:$A$97,0),   MATCH(D$1,役男大表!$A$3:$BF$3,0)  )="榮-22",  "x榮18-22",               INDEX(役男大表!$A$1:$BF$95,MATCH($A38,役男大表!$A$1:$A$97,0),   MATCH(D$1,役男大表!$A$3:$BF$3,0)  )                  )  )  )," ",""),"")</f>
        <v/>
      </c>
      <c r="E38" s="278" t="str">
        <f>_xlfn.IFNA(  SUBSTITUTE(     IF(  INDEX(役男大表!$A$1:$BF$95,MATCH($A38,役男大表!$A$1:$A$97,0),   MATCH(E$1,役男大表!$A$3:$BF$3,0)  )=0,"",  IF(  INDEX(役男大表!$A$1:$BF$95,MATCH($A38,役男大表!$A$1:$A$97,0),   MATCH(E$1,役男大表!$A$3:$BF$3,0)  )="榮","x",  IF(  INDEX(役男大表!$A$1:$BF$95,MATCH($A38,役男大表!$A$1:$A$97,0),   MATCH(E$1,役男大表!$A$3:$BF$3,0)  )="榮-22",  "x榮18-22",               INDEX(役男大表!$A$1:$BF$95,MATCH($A38,役男大表!$A$1:$A$97,0),   MATCH(E$1,役男大表!$A$3:$BF$3,0)  )                  )  )  )," ",""),"")</f>
        <v/>
      </c>
      <c r="F38" s="278" t="str">
        <f>_xlfn.IFNA(  SUBSTITUTE(     IF(  INDEX(役男大表!$A$1:$BF$95,MATCH($A38,役男大表!$A$1:$A$97,0),   MATCH(F$1,役男大表!$A$3:$BF$3,0)  )=0,"",  IF(  INDEX(役男大表!$A$1:$BF$95,MATCH($A38,役男大表!$A$1:$A$97,0),   MATCH(F$1,役男大表!$A$3:$BF$3,0)  )="榮","x",  IF(  INDEX(役男大表!$A$1:$BF$95,MATCH($A38,役男大表!$A$1:$A$97,0),   MATCH(F$1,役男大表!$A$3:$BF$3,0)  )="榮-22",  "x榮18-22",               INDEX(役男大表!$A$1:$BF$95,MATCH($A38,役男大表!$A$1:$A$97,0),   MATCH(F$1,役男大表!$A$3:$BF$3,0)  )                  )  )  )," ",""),"")</f>
        <v/>
      </c>
      <c r="G38" s="278" t="str">
        <f>_xlfn.IFNA(  SUBSTITUTE(     IF(  INDEX(役男大表!$A$1:$BF$95,MATCH($A38,役男大表!$A$1:$A$97,0),   MATCH(G$1,役男大表!$A$3:$BF$3,0)  )=0,"",  IF(  INDEX(役男大表!$A$1:$BF$95,MATCH($A38,役男大表!$A$1:$A$97,0),   MATCH(G$1,役男大表!$A$3:$BF$3,0)  )="榮","x",  IF(  INDEX(役男大表!$A$1:$BF$95,MATCH($A38,役男大表!$A$1:$A$97,0),   MATCH(G$1,役男大表!$A$3:$BF$3,0)  )="榮-22",  "x榮18-22",               INDEX(役男大表!$A$1:$BF$95,MATCH($A38,役男大表!$A$1:$A$97,0),   MATCH(G$1,役男大表!$A$3:$BF$3,0)  )                  )  )  )," ",""),"")</f>
        <v/>
      </c>
      <c r="H38" s="278" t="str">
        <f>_xlfn.IFNA(  SUBSTITUTE(     IF(  INDEX(役男大表!$A$1:$BF$95,MATCH($A38,役男大表!$A$1:$A$97,0),   MATCH(H$1,役男大表!$A$3:$BF$3,0)  )=0,"",  IF(  INDEX(役男大表!$A$1:$BF$95,MATCH($A38,役男大表!$A$1:$A$97,0),   MATCH(H$1,役男大表!$A$3:$BF$3,0)  )="榮","x",  IF(  INDEX(役男大表!$A$1:$BF$95,MATCH($A38,役男大表!$A$1:$A$97,0),   MATCH(H$1,役男大表!$A$3:$BF$3,0)  )="榮-22",  "x榮18-22",               INDEX(役男大表!$A$1:$BF$95,MATCH($A38,役男大表!$A$1:$A$97,0),   MATCH(H$1,役男大表!$A$3:$BF$3,0)  )                  )  )  )," ",""),"")</f>
        <v/>
      </c>
      <c r="I38" s="278" t="str">
        <f>_xlfn.IFNA(  SUBSTITUTE(     IF(  INDEX(役男大表!$A$1:$BF$95,MATCH($A38,役男大表!$A$1:$A$97,0),   MATCH(I$1,役男大表!$A$3:$BF$3,0)  )=0,"",  IF(  INDEX(役男大表!$A$1:$BF$95,MATCH($A38,役男大表!$A$1:$A$97,0),   MATCH(I$1,役男大表!$A$3:$BF$3,0)  )="榮","x",  IF(  INDEX(役男大表!$A$1:$BF$95,MATCH($A38,役男大表!$A$1:$A$97,0),   MATCH(I$1,役男大表!$A$3:$BF$3,0)  )="榮-22",  "x榮18-22",               INDEX(役男大表!$A$1:$BF$95,MATCH($A38,役男大表!$A$1:$A$97,0),   MATCH(I$1,役男大表!$A$3:$BF$3,0)  )                  )  )  )," ",""),"")</f>
        <v/>
      </c>
      <c r="J38" s="278" t="str">
        <f>_xlfn.IFNA(  SUBSTITUTE(     IF(  INDEX(役男大表!$A$1:$BF$95,MATCH($A38,役男大表!$A$1:$A$97,0),   MATCH(J$1,役男大表!$A$3:$BF$3,0)  )=0,"",  IF(  INDEX(役男大表!$A$1:$BF$95,MATCH($A38,役男大表!$A$1:$A$97,0),   MATCH(J$1,役男大表!$A$3:$BF$3,0)  )="榮","x",  IF(  INDEX(役男大表!$A$1:$BF$95,MATCH($A38,役男大表!$A$1:$A$97,0),   MATCH(J$1,役男大表!$A$3:$BF$3,0)  )="榮-22",  "x榮18-22",               INDEX(役男大表!$A$1:$BF$95,MATCH($A38,役男大表!$A$1:$A$97,0),   MATCH(J$1,役男大表!$A$3:$BF$3,0)  )                  )  )  )," ",""),"")</f>
        <v/>
      </c>
      <c r="K38" s="278" t="str">
        <f>_xlfn.IFNA(  SUBSTITUTE(     IF(  INDEX(役男大表!$A$1:$BF$95,MATCH($A38,役男大表!$A$1:$A$97,0),   MATCH(K$1,役男大表!$A$3:$BF$3,0)  )=0,"",  IF(  INDEX(役男大表!$A$1:$BF$95,MATCH($A38,役男大表!$A$1:$A$97,0),   MATCH(K$1,役男大表!$A$3:$BF$3,0)  )="榮","x",  IF(  INDEX(役男大表!$A$1:$BF$95,MATCH($A38,役男大表!$A$1:$A$97,0),   MATCH(K$1,役男大表!$A$3:$BF$3,0)  )="榮-22",  "x榮18-22",               INDEX(役男大表!$A$1:$BF$95,MATCH($A38,役男大表!$A$1:$A$97,0),   MATCH(K$1,役男大表!$A$3:$BF$3,0)  )                  )  )  )," ",""),"")</f>
        <v/>
      </c>
      <c r="L38" s="278" t="str">
        <f>_xlfn.IFNA(  SUBSTITUTE(     IF(  INDEX(役男大表!$A$1:$BF$95,MATCH($A38,役男大表!$A$1:$A$97,0),   MATCH(L$1,役男大表!$A$3:$BF$3,0)  )=0,"",  IF(  INDEX(役男大表!$A$1:$BF$95,MATCH($A38,役男大表!$A$1:$A$97,0),   MATCH(L$1,役男大表!$A$3:$BF$3,0)  )="榮","x",  IF(  INDEX(役男大表!$A$1:$BF$95,MATCH($A38,役男大表!$A$1:$A$97,0),   MATCH(L$1,役男大表!$A$3:$BF$3,0)  )="榮-22",  "x榮18-22",               INDEX(役男大表!$A$1:$BF$95,MATCH($A38,役男大表!$A$1:$A$97,0),   MATCH(L$1,役男大表!$A$3:$BF$3,0)  )                  )  )  )," ",""),"")</f>
        <v/>
      </c>
      <c r="M38" s="278" t="str">
        <f>_xlfn.IFNA(  SUBSTITUTE(     IF(  INDEX(役男大表!$A$1:$BF$95,MATCH($A38,役男大表!$A$1:$A$97,0),   MATCH(M$1,役男大表!$A$3:$BF$3,0)  )=0,"",  IF(  INDEX(役男大表!$A$1:$BF$95,MATCH($A38,役男大表!$A$1:$A$97,0),   MATCH(M$1,役男大表!$A$3:$BF$3,0)  )="榮","x",  IF(  INDEX(役男大表!$A$1:$BF$95,MATCH($A38,役男大表!$A$1:$A$97,0),   MATCH(M$1,役男大表!$A$3:$BF$3,0)  )="榮-22",  "x榮18-22",               INDEX(役男大表!$A$1:$BF$95,MATCH($A38,役男大表!$A$1:$A$97,0),   MATCH(M$1,役男大表!$A$3:$BF$3,0)  )                  )  )  )," ",""),"")</f>
        <v/>
      </c>
      <c r="N38" s="278" t="str">
        <f>_xlfn.IFNA(  SUBSTITUTE(     IF(  INDEX(役男大表!$A$1:$BF$95,MATCH($A38,役男大表!$A$1:$A$97,0),   MATCH(N$1,役男大表!$A$3:$BF$3,0)  )=0,"",  IF(  INDEX(役男大表!$A$1:$BF$95,MATCH($A38,役男大表!$A$1:$A$97,0),   MATCH(N$1,役男大表!$A$3:$BF$3,0)  )="榮","x",  IF(  INDEX(役男大表!$A$1:$BF$95,MATCH($A38,役男大表!$A$1:$A$97,0),   MATCH(N$1,役男大表!$A$3:$BF$3,0)  )="榮-22",  "x榮18-22",               INDEX(役男大表!$A$1:$BF$95,MATCH($A38,役男大表!$A$1:$A$97,0),   MATCH(N$1,役男大表!$A$3:$BF$3,0)  )                  )  )  )," ",""),"")</f>
        <v/>
      </c>
      <c r="O38" s="278" t="str">
        <f>_xlfn.IFNA(  SUBSTITUTE(     IF(  INDEX(役男大表!$A$1:$BF$95,MATCH($A38,役男大表!$A$1:$A$97,0),   MATCH(O$1,役男大表!$A$3:$BF$3,0)  )=0,"",  IF(  INDEX(役男大表!$A$1:$BF$95,MATCH($A38,役男大表!$A$1:$A$97,0),   MATCH(O$1,役男大表!$A$3:$BF$3,0)  )="榮","x",  IF(  INDEX(役男大表!$A$1:$BF$95,MATCH($A38,役男大表!$A$1:$A$97,0),   MATCH(O$1,役男大表!$A$3:$BF$3,0)  )="榮-22",  "x榮18-22",               INDEX(役男大表!$A$1:$BF$95,MATCH($A38,役男大表!$A$1:$A$97,0),   MATCH(O$1,役男大表!$A$3:$BF$3,0)  )                  )  )  )," ",""),"")</f>
        <v/>
      </c>
      <c r="P38" s="278" t="str">
        <f>_xlfn.IFNA(  SUBSTITUTE(     IF(  INDEX(役男大表!$A$1:$BF$95,MATCH($A38,役男大表!$A$1:$A$97,0),   MATCH(P$1,役男大表!$A$3:$BF$3,0)  )=0,"",  IF(  INDEX(役男大表!$A$1:$BF$95,MATCH($A38,役男大表!$A$1:$A$97,0),   MATCH(P$1,役男大表!$A$3:$BF$3,0)  )="榮","x",  IF(  INDEX(役男大表!$A$1:$BF$95,MATCH($A38,役男大表!$A$1:$A$97,0),   MATCH(P$1,役男大表!$A$3:$BF$3,0)  )="榮-22",  "x榮18-22",               INDEX(役男大表!$A$1:$BF$95,MATCH($A38,役男大表!$A$1:$A$97,0),   MATCH(P$1,役男大表!$A$3:$BF$3,0)  )                  )  )  )," ",""),"")</f>
        <v/>
      </c>
      <c r="Q38" s="278" t="str">
        <f>_xlfn.IFNA(  SUBSTITUTE(     IF(  INDEX(役男大表!$A$1:$BF$95,MATCH($A38,役男大表!$A$1:$A$97,0),   MATCH(Q$1,役男大表!$A$3:$BF$3,0)  )=0,"",  IF(  INDEX(役男大表!$A$1:$BF$95,MATCH($A38,役男大表!$A$1:$A$97,0),   MATCH(Q$1,役男大表!$A$3:$BF$3,0)  )="榮","x",  IF(  INDEX(役男大表!$A$1:$BF$95,MATCH($A38,役男大表!$A$1:$A$97,0),   MATCH(Q$1,役男大表!$A$3:$BF$3,0)  )="榮-22",  "x榮18-22",               INDEX(役男大表!$A$1:$BF$95,MATCH($A38,役男大表!$A$1:$A$97,0),   MATCH(Q$1,役男大表!$A$3:$BF$3,0)  )                  )  )  )," ",""),"")</f>
        <v/>
      </c>
      <c r="R38" s="278" t="str">
        <f>_xlfn.IFNA(  SUBSTITUTE(     IF(  INDEX(役男大表!$A$1:$BF$95,MATCH($A38,役男大表!$A$1:$A$97,0),   MATCH(R$1,役男大表!$A$3:$BF$3,0)  )=0,"",  IF(  INDEX(役男大表!$A$1:$BF$95,MATCH($A38,役男大表!$A$1:$A$97,0),   MATCH(R$1,役男大表!$A$3:$BF$3,0)  )="榮","x",  IF(  INDEX(役男大表!$A$1:$BF$95,MATCH($A38,役男大表!$A$1:$A$97,0),   MATCH(R$1,役男大表!$A$3:$BF$3,0)  )="榮-22",  "x榮18-22",               INDEX(役男大表!$A$1:$BF$95,MATCH($A38,役男大表!$A$1:$A$97,0),   MATCH(R$1,役男大表!$A$3:$BF$3,0)  )                  )  )  )," ",""),"")</f>
        <v/>
      </c>
      <c r="S38" s="278" t="str">
        <f>_xlfn.IFNA(  SUBSTITUTE(     IF(  INDEX(役男大表!$A$1:$BF$95,MATCH($A38,役男大表!$A$1:$A$97,0),   MATCH(S$1,役男大表!$A$3:$BF$3,0)  )=0,"",  IF(  INDEX(役男大表!$A$1:$BF$95,MATCH($A38,役男大表!$A$1:$A$97,0),   MATCH(S$1,役男大表!$A$3:$BF$3,0)  )="榮","x",  IF(  INDEX(役男大表!$A$1:$BF$95,MATCH($A38,役男大表!$A$1:$A$97,0),   MATCH(S$1,役男大表!$A$3:$BF$3,0)  )="榮-22",  "x榮18-22",               INDEX(役男大表!$A$1:$BF$95,MATCH($A38,役男大表!$A$1:$A$97,0),   MATCH(S$1,役男大表!$A$3:$BF$3,0)  )                  )  )  )," ",""),"")</f>
        <v/>
      </c>
      <c r="T38" s="278" t="str">
        <f>_xlfn.IFNA(  SUBSTITUTE(     IF(  INDEX(役男大表!$A$1:$BF$95,MATCH($A38,役男大表!$A$1:$A$97,0),   MATCH(T$1,役男大表!$A$3:$BF$3,0)  )=0,"",  IF(  INDEX(役男大表!$A$1:$BF$95,MATCH($A38,役男大表!$A$1:$A$97,0),   MATCH(T$1,役男大表!$A$3:$BF$3,0)  )="榮","x",  IF(  INDEX(役男大表!$A$1:$BF$95,MATCH($A38,役男大表!$A$1:$A$97,0),   MATCH(T$1,役男大表!$A$3:$BF$3,0)  )="榮-22",  "x榮18-22",               INDEX(役男大表!$A$1:$BF$95,MATCH($A38,役男大表!$A$1:$A$97,0),   MATCH(T$1,役男大表!$A$3:$BF$3,0)  )                  )  )  )," ",""),"")</f>
        <v/>
      </c>
      <c r="U38" s="278" t="str">
        <f>_xlfn.IFNA(  SUBSTITUTE(     IF(  INDEX(役男大表!$A$1:$BF$95,MATCH($A38,役男大表!$A$1:$A$97,0),   MATCH(U$1,役男大表!$A$3:$BF$3,0)  )=0,"",  IF(  INDEX(役男大表!$A$1:$BF$95,MATCH($A38,役男大表!$A$1:$A$97,0),   MATCH(U$1,役男大表!$A$3:$BF$3,0)  )="榮","x",  IF(  INDEX(役男大表!$A$1:$BF$95,MATCH($A38,役男大表!$A$1:$A$97,0),   MATCH(U$1,役男大表!$A$3:$BF$3,0)  )="榮-22",  "x榮18-22",               INDEX(役男大表!$A$1:$BF$95,MATCH($A38,役男大表!$A$1:$A$97,0),   MATCH(U$1,役男大表!$A$3:$BF$3,0)  )                  )  )  )," ",""),"")</f>
        <v/>
      </c>
      <c r="V38" s="278" t="str">
        <f>_xlfn.IFNA(  SUBSTITUTE(     IF(  INDEX(役男大表!$A$1:$BF$95,MATCH($A38,役男大表!$A$1:$A$97,0),   MATCH(V$1,役男大表!$A$3:$BF$3,0)  )=0,"",  IF(  INDEX(役男大表!$A$1:$BF$95,MATCH($A38,役男大表!$A$1:$A$97,0),   MATCH(V$1,役男大表!$A$3:$BF$3,0)  )="榮","x",  IF(  INDEX(役男大表!$A$1:$BF$95,MATCH($A38,役男大表!$A$1:$A$97,0),   MATCH(V$1,役男大表!$A$3:$BF$3,0)  )="榮-22",  "x榮18-22",               INDEX(役男大表!$A$1:$BF$95,MATCH($A38,役男大表!$A$1:$A$97,0),   MATCH(V$1,役男大表!$A$3:$BF$3,0)  )                  )  )  )," ",""),"")</f>
        <v/>
      </c>
      <c r="W38" s="278" t="str">
        <f>_xlfn.IFNA(  SUBSTITUTE(     IF(  INDEX(役男大表!$A$1:$BF$95,MATCH($A38,役男大表!$A$1:$A$97,0),   MATCH(W$1,役男大表!$A$3:$BF$3,0)  )=0,"",  IF(  INDEX(役男大表!$A$1:$BF$95,MATCH($A38,役男大表!$A$1:$A$97,0),   MATCH(W$1,役男大表!$A$3:$BF$3,0)  )="榮","x",  IF(  INDEX(役男大表!$A$1:$BF$95,MATCH($A38,役男大表!$A$1:$A$97,0),   MATCH(W$1,役男大表!$A$3:$BF$3,0)  )="榮-22",  "x榮18-22",               INDEX(役男大表!$A$1:$BF$95,MATCH($A38,役男大表!$A$1:$A$97,0),   MATCH(W$1,役男大表!$A$3:$BF$3,0)  )                  )  )  )," ",""),"")</f>
        <v/>
      </c>
      <c r="X38" s="278" t="str">
        <f>_xlfn.IFNA(  SUBSTITUTE(     IF(  INDEX(役男大表!$A$1:$BF$95,MATCH($A38,役男大表!$A$1:$A$97,0),   MATCH(X$1,役男大表!$A$3:$BF$3,0)  )=0,"",  IF(  INDEX(役男大表!$A$1:$BF$95,MATCH($A38,役男大表!$A$1:$A$97,0),   MATCH(X$1,役男大表!$A$3:$BF$3,0)  )="榮","x",  IF(  INDEX(役男大表!$A$1:$BF$95,MATCH($A38,役男大表!$A$1:$A$97,0),   MATCH(X$1,役男大表!$A$3:$BF$3,0)  )="榮-22",  "x榮18-22",               INDEX(役男大表!$A$1:$BF$95,MATCH($A38,役男大表!$A$1:$A$97,0),   MATCH(X$1,役男大表!$A$3:$BF$3,0)  )                  )  )  )," ",""),"")</f>
        <v/>
      </c>
      <c r="Y38" s="278" t="str">
        <f>_xlfn.IFNA(  SUBSTITUTE(     IF(  INDEX(役男大表!$A$1:$BF$95,MATCH($A38,役男大表!$A$1:$A$97,0),   MATCH(Y$1,役男大表!$A$3:$BF$3,0)  )=0,"",  IF(  INDEX(役男大表!$A$1:$BF$95,MATCH($A38,役男大表!$A$1:$A$97,0),   MATCH(Y$1,役男大表!$A$3:$BF$3,0)  )="榮","x",  IF(  INDEX(役男大表!$A$1:$BF$95,MATCH($A38,役男大表!$A$1:$A$97,0),   MATCH(Y$1,役男大表!$A$3:$BF$3,0)  )="榮-22",  "x榮18-22",               INDEX(役男大表!$A$1:$BF$95,MATCH($A38,役男大表!$A$1:$A$97,0),   MATCH(Y$1,役男大表!$A$3:$BF$3,0)  )                  )  )  )," ",""),"")</f>
        <v/>
      </c>
      <c r="Z38" s="278" t="str">
        <f>_xlfn.IFNA(  SUBSTITUTE(     IF(  INDEX(役男大表!$A$1:$BF$95,MATCH($A38,役男大表!$A$1:$A$97,0),   MATCH(Z$1,役男大表!$A$3:$BF$3,0)  )=0,"",  IF(  INDEX(役男大表!$A$1:$BF$95,MATCH($A38,役男大表!$A$1:$A$97,0),   MATCH(Z$1,役男大表!$A$3:$BF$3,0)  )="榮","x",  IF(  INDEX(役男大表!$A$1:$BF$95,MATCH($A38,役男大表!$A$1:$A$97,0),   MATCH(Z$1,役男大表!$A$3:$BF$3,0)  )="榮-22",  "x榮18-22",               INDEX(役男大表!$A$1:$BF$95,MATCH($A38,役男大表!$A$1:$A$97,0),   MATCH(Z$1,役男大表!$A$3:$BF$3,0)  )                  )  )  )," ",""),"")</f>
        <v/>
      </c>
      <c r="AA38" s="278" t="str">
        <f>_xlfn.IFNA(  SUBSTITUTE(     IF(  INDEX(役男大表!$A$1:$BF$95,MATCH($A38,役男大表!$A$1:$A$97,0),   MATCH(AA$1,役男大表!$A$3:$BF$3,0)  )=0,"",  IF(  INDEX(役男大表!$A$1:$BF$95,MATCH($A38,役男大表!$A$1:$A$97,0),   MATCH(AA$1,役男大表!$A$3:$BF$3,0)  )="榮","x",  IF(  INDEX(役男大表!$A$1:$BF$95,MATCH($A38,役男大表!$A$1:$A$97,0),   MATCH(AA$1,役男大表!$A$3:$BF$3,0)  )="榮-22",  "x榮18-22",               INDEX(役男大表!$A$1:$BF$95,MATCH($A38,役男大表!$A$1:$A$97,0),   MATCH(AA$1,役男大表!$A$3:$BF$3,0)  )                  )  )  )," ",""),"")</f>
        <v/>
      </c>
      <c r="AB38" s="278" t="str">
        <f>_xlfn.IFNA(  SUBSTITUTE(     IF(  INDEX(役男大表!$A$1:$BF$95,MATCH($A38,役男大表!$A$1:$A$97,0),   MATCH(AB$1,役男大表!$A$3:$BF$3,0)  )=0,"",  IF(  INDEX(役男大表!$A$1:$BF$95,MATCH($A38,役男大表!$A$1:$A$97,0),   MATCH(AB$1,役男大表!$A$3:$BF$3,0)  )="榮","x",  IF(  INDEX(役男大表!$A$1:$BF$95,MATCH($A38,役男大表!$A$1:$A$97,0),   MATCH(AB$1,役男大表!$A$3:$BF$3,0)  )="榮-22",  "x榮18-22",               INDEX(役男大表!$A$1:$BF$95,MATCH($A38,役男大表!$A$1:$A$97,0),   MATCH(AB$1,役男大表!$A$3:$BF$3,0)  )                  )  )  )," ",""),"")</f>
        <v/>
      </c>
      <c r="AC38" s="278" t="str">
        <f>_xlfn.IFNA(  SUBSTITUTE(     IF(  INDEX(役男大表!$A$1:$BF$95,MATCH($A38,役男大表!$A$1:$A$97,0),   MATCH(AC$1,役男大表!$A$3:$BF$3,0)  )=0,"",  IF(  INDEX(役男大表!$A$1:$BF$95,MATCH($A38,役男大表!$A$1:$A$97,0),   MATCH(AC$1,役男大表!$A$3:$BF$3,0)  )="榮","x",  IF(  INDEX(役男大表!$A$1:$BF$95,MATCH($A38,役男大表!$A$1:$A$97,0),   MATCH(AC$1,役男大表!$A$3:$BF$3,0)  )="榮-22",  "x榮18-22",               INDEX(役男大表!$A$1:$BF$95,MATCH($A38,役男大表!$A$1:$A$97,0),   MATCH(AC$1,役男大表!$A$3:$BF$3,0)  )                  )  )  )," ",""),"")</f>
        <v/>
      </c>
      <c r="AD38" s="278" t="str">
        <f>_xlfn.IFNA(  SUBSTITUTE(     IF(  INDEX(役男大表!$A$1:$BF$95,MATCH($A38,役男大表!$A$1:$A$97,0),   MATCH(AD$1,役男大表!$A$3:$BF$3,0)  )=0,"",  IF(  INDEX(役男大表!$A$1:$BF$95,MATCH($A38,役男大表!$A$1:$A$97,0),   MATCH(AD$1,役男大表!$A$3:$BF$3,0)  )="榮","x",  IF(  INDEX(役男大表!$A$1:$BF$95,MATCH($A38,役男大表!$A$1:$A$97,0),   MATCH(AD$1,役男大表!$A$3:$BF$3,0)  )="榮-22",  "x榮18-22",               INDEX(役男大表!$A$1:$BF$95,MATCH($A38,役男大表!$A$1:$A$97,0),   MATCH(AD$1,役男大表!$A$3:$BF$3,0)  )                  )  )  )," ",""),"")</f>
        <v/>
      </c>
      <c r="AE38" s="278" t="str">
        <f>_xlfn.IFNA(  SUBSTITUTE(     IF(  INDEX(役男大表!$A$1:$BF$95,MATCH($A38,役男大表!$A$1:$A$97,0),   MATCH(AE$1,役男大表!$A$3:$BF$3,0)  )=0,"",  IF(  INDEX(役男大表!$A$1:$BF$95,MATCH($A38,役男大表!$A$1:$A$97,0),   MATCH(AE$1,役男大表!$A$3:$BF$3,0)  )="榮","x",  IF(  INDEX(役男大表!$A$1:$BF$95,MATCH($A38,役男大表!$A$1:$A$97,0),   MATCH(AE$1,役男大表!$A$3:$BF$3,0)  )="榮-22",  "x榮18-22",               INDEX(役男大表!$A$1:$BF$95,MATCH($A38,役男大表!$A$1:$A$97,0),   MATCH(AE$1,役男大表!$A$3:$BF$3,0)  )                  )  )  )," ",""),"")</f>
        <v/>
      </c>
      <c r="AF38" s="278" t="str">
        <f>_xlfn.IFNA(  SUBSTITUTE(     IF(  INDEX(役男大表!$A$1:$BF$95,MATCH($A38,役男大表!$A$1:$A$97,0),   MATCH(AF$1,役男大表!$A$3:$BF$3,0)  )=0,"",  IF(  INDEX(役男大表!$A$1:$BF$95,MATCH($A38,役男大表!$A$1:$A$97,0),   MATCH(AF$1,役男大表!$A$3:$BF$3,0)  )="榮","x",  IF(  INDEX(役男大表!$A$1:$BF$95,MATCH($A38,役男大表!$A$1:$A$97,0),   MATCH(AF$1,役男大表!$A$3:$BF$3,0)  )="榮-22",  "x榮18-22",               INDEX(役男大表!$A$1:$BF$95,MATCH($A38,役男大表!$A$1:$A$97,0),   MATCH(AF$1,役男大表!$A$3:$BF$3,0)  )                  )  )  )," ",""),"")</f>
        <v/>
      </c>
      <c r="AG38" s="278" t="str">
        <f>_xlfn.IFNA(  SUBSTITUTE(     IF(  INDEX(役男大表!$A$1:$BF$95,MATCH($A38,役男大表!$A$1:$A$97,0),   MATCH(AG$1,役男大表!$A$3:$BF$3,0)  )=0,"",  IF(  INDEX(役男大表!$A$1:$BF$95,MATCH($A38,役男大表!$A$1:$A$97,0),   MATCH(AG$1,役男大表!$A$3:$BF$3,0)  )="榮","x",  IF(  INDEX(役男大表!$A$1:$BF$95,MATCH($A38,役男大表!$A$1:$A$97,0),   MATCH(AG$1,役男大表!$A$3:$BF$3,0)  )="榮-22",  "x榮18-22",               INDEX(役男大表!$A$1:$BF$95,MATCH($A38,役男大表!$A$1:$A$97,0),   MATCH(AG$1,役男大表!$A$3:$BF$3,0)  )                  )  )  )," ",""),"")</f>
        <v/>
      </c>
      <c r="AH38" s="278" t="str">
        <f>_xlfn.IFNA(  SUBSTITUTE(     IF(  INDEX(役男大表!$A$1:$BF$95,MATCH($A38,役男大表!$A$1:$A$97,0),   MATCH(AH$1,役男大表!$A$3:$BF$3,0)  )=0,"",  IF(  INDEX(役男大表!$A$1:$BF$95,MATCH($A38,役男大表!$A$1:$A$97,0),   MATCH(AH$1,役男大表!$A$3:$BF$3,0)  )="榮","x",  IF(  INDEX(役男大表!$A$1:$BF$95,MATCH($A38,役男大表!$A$1:$A$97,0),   MATCH(AH$1,役男大表!$A$3:$BF$3,0)  )="榮-22",  "x榮18-22",               INDEX(役男大表!$A$1:$BF$95,MATCH($A38,役男大表!$A$1:$A$97,0),   MATCH(AH$1,役男大表!$A$3:$BF$3,0)  )                  )  )  )," ",""),"")</f>
        <v/>
      </c>
      <c r="AI38" s="278" t="str">
        <f>_xlfn.IFNA(  SUBSTITUTE(     IF(  INDEX(役男大表!$A$1:$BF$95,MATCH($A38,役男大表!$A$1:$A$97,0),   MATCH(AI$1,役男大表!$A$3:$BF$3,0)  )=0,"",  IF(  INDEX(役男大表!$A$1:$BF$95,MATCH($A38,役男大表!$A$1:$A$97,0),   MATCH(AI$1,役男大表!$A$3:$BF$3,0)  )="榮","x",  IF(  INDEX(役男大表!$A$1:$BF$95,MATCH($A38,役男大表!$A$1:$A$97,0),   MATCH(AI$1,役男大表!$A$3:$BF$3,0)  )="榮-22",  "x榮18-22",               INDEX(役男大表!$A$1:$BF$95,MATCH($A38,役男大表!$A$1:$A$97,0),   MATCH(AI$1,役男大表!$A$3:$BF$3,0)  )                  )  )  )," ",""),"")</f>
        <v/>
      </c>
      <c r="AJ38" s="278" t="str">
        <f>_xlfn.IFNA(  SUBSTITUTE(     IF(  INDEX(役男大表!$A$1:$BF$95,MATCH($A38,役男大表!$A$1:$A$97,0),   MATCH(AJ$1,役男大表!$A$3:$BF$3,0)  )=0,"",  IF(  INDEX(役男大表!$A$1:$BF$95,MATCH($A38,役男大表!$A$1:$A$97,0),   MATCH(AJ$1,役男大表!$A$3:$BF$3,0)  )="榮","x",  IF(  INDEX(役男大表!$A$1:$BF$95,MATCH($A38,役男大表!$A$1:$A$97,0),   MATCH(AJ$1,役男大表!$A$3:$BF$3,0)  )="榮-22",  "x榮18-22",               INDEX(役男大表!$A$1:$BF$95,MATCH($A38,役男大表!$A$1:$A$97,0),   MATCH(AJ$1,役男大表!$A$3:$BF$3,0)  )                  )  )  )," ",""),"")</f>
        <v/>
      </c>
      <c r="AM38" s="66">
        <f t="shared" si="1"/>
        <v>37</v>
      </c>
      <c r="AN38" s="66" t="str">
        <f t="shared" si="2"/>
        <v/>
      </c>
      <c r="AO38" s="71" t="str">
        <f>IF(  AND(  INDEX(   $A$42:$AJ$79, MATCH(AM38,$A$42:$A$79,0),MATCH(  日期輸入!$C$3,$A$42:$AL$42,0  )  )="全日勤",  AV38="免"  ),  "全日勤免勤教",  IF(  AND(  INDEX(   $A$42:$AJ$79, MATCH(AM38,$A$42:$A$79,0),MATCH(  日期輸入!$C$3,$A$42:$AL$42,0  )  )="18放",  AV38="免"  ),  "18放早走",  INDEX(   $A$42:$AJ$79, MATCH(AM38,$A$42:$A$79,0),MATCH(  日期輸入!$C$3,$A$42:$AL$42,0  )  )  )  )</f>
        <v/>
      </c>
      <c r="AP38" s="66" t="str">
        <f>_xlfn.IFNA(IF((ROW(AP38)-1)&lt;=暫1!$B$2,IF(VALUE($AM38)=暫1!B$3,"家因",IF(VALUE($AM38)=暫1!C$3,"家因",IF(VALUE($AM38)=暫1!D$3,"家因",IF(VALUE($AM38)=暫1!E$3,"家因",IF(VALUE($AM38)=暫1!F$3,"家因",IF(VALUE($AM38)=暫1!G$3,"家因",IF(VALUE($AM38)=暫1!H$3,"家因",IF(VALUE($AM38)=暫1!I$3,"家因",IF(VALUE($AM38)=暫1!J$3,"家因",IF(VALUE($AM38)=暫1!K$3,"家因",IF(VALUE($AM38)=暫1!L$3,"家因",IF(VALUE($AM38)=暫1!M$3,"家因",IF(VALUE($AM38)=暫1!N$3,"家因",IF(VALUE($AM38)=暫1!O$3,"家因",IF(VALUE($AM38)=暫1!P$3,"家因",IF(VALUE($AM38)=暫1!Q$3,"家因",IF(VALUE($AM38)=暫1!R$3,"家因",IF(VALUE($AM38)=暫1!S$3,"家因",IF(VALUE($AM38)=暫1!T$3,"家因",IF(VALUE($AM38)=暫1!U$3,"家因","")))))))))))))))))))),""),"")</f>
        <v/>
      </c>
      <c r="AQ38" s="66" t="str">
        <f>IF((ROW(AQ38)-1)&lt;=暫1!$B$2,_xlfn.IFNA(IF(INDEX($A$1:$AJ$41,MATCH($AN38,$B$1:$B$101,0),VALUE($AQ$1+3))="成","補",INDEX($A$1:$AJ$41,MATCH($AN38,$B$1:$B$101,0),VALUE($AQ$1+3))),""),"")</f>
        <v/>
      </c>
      <c r="AR38" s="66" t="str">
        <f>IF((ROW(AR38)-1)&lt;=暫1!$B$2,_xlfn.IFNA(IF(INDEX($A$1:$AJ$41,MATCH($AN38,$B$1:$B$101,0),VALUE($AR$1+3))="成","補",INDEX($A$1:$AJ$41,MATCH($AN38,$B$1:$B$101,0),VALUE($AR$1+3))),""),"")</f>
        <v/>
      </c>
      <c r="AS38" s="66" t="str">
        <f>IF((ROW(AS38)-1)&lt;=暫1!$B$2,_xlfn.IFNA(IF(INDEX($A$1:$AJ$41,MATCH($AN38,$B$1:$B$101,0),VALUE($AS$1+3))="成","補",INDEX($A$1:$AJ$41,MATCH($AN38,$B$1:$B$101,0),VALUE($AS$1+3))),""),"")</f>
        <v/>
      </c>
      <c r="AT38" s="66" t="str">
        <f>IF(  OR(  LEN(  INDEX(   $A$1:$AJ$39, MATCH(AM38,$A$1:$A$39,0),MATCH(  日期輸入!$C$3,$A$1:$AP$1,0  )  )  )&gt;LEN(  SUBSTITUTE(  INDEX(   $A$1:$AJ$39, MATCH(AM38,$A$1:$A$39,0),MATCH(  日期輸入!$C$3,$A$1:$AP$1,0  )  ),"榮","")  )  ),   SUBSTITUTE(  SUBSTITUTE(  INDEX(   $A$1:$AJ$39, MATCH(AM38,$A$1:$A$39,0),MATCH(  日期輸入!$C$3,$A$1:$AP$1,0  )  ),"榮",""),"x",""), "")</f>
        <v/>
      </c>
      <c r="AU38" s="66" t="str">
        <f t="shared" si="3"/>
        <v/>
      </c>
      <c r="AV38" s="66" t="str">
        <f>INDEX(   $A$482:$AJ$519, MATCH(AM38,$A$482:$A$519,0),MATCH(  日期輸入!$C$3,$A$482:$AL$482,0  )  )</f>
        <v/>
      </c>
      <c r="AX38" s="66" t="str">
        <f>IFERROR(IF((ROW(AX38)-1)&lt;=暫1!$B$2,SUBSTITUTE(IF($AO38=$AX$1,$AM38,"")," ",""),""),"")</f>
        <v/>
      </c>
      <c r="AY38" s="66" t="str">
        <f>IFERROR(IF((ROW(AY38)-1)&lt;=暫1!$B$2,SUBSTITUTE(IF($AO38=$AY$1,$AM38,"")," ",""),""),"")</f>
        <v/>
      </c>
      <c r="AZ38" s="66" t="str">
        <f>IFERROR(IF((ROW(AZ38)-1)&lt;=暫1!$B$2,SUBSTITUTE(IF($AO38=$AZ$1,$AM38,"")," ",""),""),"")</f>
        <v/>
      </c>
      <c r="BA38" s="66" t="str">
        <f>IFERROR(IF((ROW(BA38)-1)&lt;=暫1!$B$2,SUBSTITUTE(IF($AO38=$BA$1,$AM38,"")," ",""),""),"")</f>
        <v/>
      </c>
      <c r="BB38" s="69" t="str">
        <f>IFERROR(IF((ROW(BB38)-1)&lt;=暫1!$B$2,SUBSTITUTE(IF(OR($AO38=$BB$1,$AO38=$AY$1,$AO38=$AZ$1),$AM38,IF($AO38=$AY$1,$AM38,"")),"",""),""),"")</f>
        <v/>
      </c>
      <c r="BC38" s="69" t="str">
        <f>IF(    AND(LEN(BC36)&gt;=2 ),        "、" &amp;  IF(OR(役男人力!$J$2:$J$84="是"),役男人力!#REF!,""),  IF(OR(役男人力!$J$2:$J$84="是"),役男人力!#REF!,"")  )</f>
        <v/>
      </c>
    </row>
    <row r="39" spans="1:55" ht="25.5" customHeight="1">
      <c r="A39" s="301"/>
      <c r="B39" s="301"/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  <c r="AF39" s="301"/>
      <c r="AG39" s="301"/>
      <c r="AH39" s="301"/>
      <c r="AI39" s="301"/>
      <c r="AJ39" s="301"/>
      <c r="AM39" s="63" t="str">
        <f>IF((ROW(AM39)-1)&lt;=[1]資料輸入!$B$2,'[1] 役男表自動整理區'!#REF!,"")</f>
        <v/>
      </c>
      <c r="AN39" s="63" t="str">
        <f>IF((ROW(AN39)-1)&lt;=[1]資料輸入!$B$2,'[1] 役男表自動整理區'!B39,"")</f>
        <v/>
      </c>
      <c r="AO39" s="76"/>
      <c r="AP39" s="63"/>
      <c r="AU39" s="63"/>
      <c r="AY39" s="63"/>
      <c r="AZ39" s="63"/>
      <c r="BA39" s="63"/>
      <c r="BC39" s="68" t="str">
        <f>IFERROR(  LEFT(  CONCATENATE(BC2,BC3,BC4,BC5,BC6,BC7,BC8,BC9,BC10,BC11,BC12,BC13,BC14,BC15,BC16,BC17,BC18,BC19,BC20,BC21,BC22,BC23,BC24,BC25,BC26,BC27,BC28,BC29,BC30,BC31,BC32,BC33,BC34,BC35,BC36,BC38),LEN(  CONCATENATE(BC2,BC3,BC4,BC5,BC6,BC7,BC8,BC9,BC10,BC11,BC12,BC13,BC14,BC15,BC16,BC17,BC18,BC19,BC20,BC21,BC22,BC23,BC24,BC25,BC26,BC27,BC28,BC29,BC30,BC31,BC32,BC33,BC34,BC35,BC36,BC38)  )-1),"")</f>
        <v>鄭智謙、鄭凱文、邱昱銘、李政聰、梁展碩、何奕諠、鄭品豪、張恩齊、周承澔、楊鈞翔、游瀚翔、陳羲</v>
      </c>
    </row>
    <row r="40" spans="1:55" ht="25.5" customHeight="1">
      <c r="A40" s="301"/>
      <c r="B40" s="301"/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  <c r="AF40" s="301"/>
      <c r="AG40" s="301"/>
      <c r="AH40" s="301"/>
      <c r="AI40" s="301"/>
      <c r="AJ40" s="301"/>
      <c r="AO40" s="76"/>
      <c r="AP40" s="63"/>
      <c r="AU40" s="63"/>
      <c r="AY40" s="63"/>
      <c r="AZ40" s="63"/>
      <c r="BA40" s="63"/>
    </row>
    <row r="41" spans="1:55" ht="25.5" customHeight="1">
      <c r="A41" s="301"/>
      <c r="B41" s="301"/>
      <c r="C41" s="301"/>
      <c r="D41" s="301"/>
      <c r="E41" s="301"/>
      <c r="F41" s="301"/>
      <c r="G41" s="301"/>
      <c r="H41" s="301"/>
      <c r="I41" s="301"/>
      <c r="J41" s="301"/>
      <c r="K41" s="301"/>
      <c r="L41" s="301"/>
      <c r="M41" s="301"/>
      <c r="N41" s="301"/>
      <c r="O41" s="301"/>
      <c r="P41" s="301"/>
      <c r="Q41" s="301"/>
      <c r="R41" s="301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  <c r="AF41" s="301"/>
      <c r="AG41" s="301"/>
      <c r="AH41" s="301"/>
      <c r="AI41" s="301"/>
      <c r="AJ41" s="301"/>
      <c r="AO41" s="76"/>
      <c r="AP41" s="63"/>
      <c r="AU41" s="63"/>
      <c r="AY41" s="63"/>
      <c r="AZ41" s="63"/>
      <c r="BA41" s="63"/>
    </row>
    <row r="42" spans="1:55">
      <c r="A42" s="66" t="str">
        <f t="shared" ref="A42:A77" si="4">A1</f>
        <v>番號</v>
      </c>
      <c r="B42" s="66" t="str">
        <f t="shared" ref="B42:AJ42" si="5">B1</f>
        <v xml:space="preserve"> 姓名</v>
      </c>
      <c r="C42" s="66">
        <f t="shared" si="5"/>
        <v>1</v>
      </c>
      <c r="D42" s="66">
        <f t="shared" si="5"/>
        <v>2</v>
      </c>
      <c r="E42" s="66">
        <f t="shared" si="5"/>
        <v>3</v>
      </c>
      <c r="F42" s="66">
        <f t="shared" si="5"/>
        <v>4</v>
      </c>
      <c r="G42" s="66">
        <f t="shared" si="5"/>
        <v>5</v>
      </c>
      <c r="H42" s="66">
        <f t="shared" si="5"/>
        <v>6</v>
      </c>
      <c r="I42" s="66">
        <f t="shared" si="5"/>
        <v>7</v>
      </c>
      <c r="J42" s="66">
        <f t="shared" si="5"/>
        <v>8</v>
      </c>
      <c r="K42" s="66">
        <f t="shared" si="5"/>
        <v>9</v>
      </c>
      <c r="L42" s="66">
        <f t="shared" si="5"/>
        <v>10</v>
      </c>
      <c r="M42" s="66">
        <f t="shared" si="5"/>
        <v>11</v>
      </c>
      <c r="N42" s="66">
        <f t="shared" si="5"/>
        <v>12</v>
      </c>
      <c r="O42" s="66">
        <f t="shared" si="5"/>
        <v>13</v>
      </c>
      <c r="P42" s="66">
        <f t="shared" si="5"/>
        <v>14</v>
      </c>
      <c r="Q42" s="66">
        <f t="shared" si="5"/>
        <v>15</v>
      </c>
      <c r="R42" s="66">
        <f t="shared" si="5"/>
        <v>16</v>
      </c>
      <c r="S42" s="66">
        <f t="shared" si="5"/>
        <v>17</v>
      </c>
      <c r="T42" s="66">
        <f t="shared" si="5"/>
        <v>18</v>
      </c>
      <c r="U42" s="66">
        <f t="shared" si="5"/>
        <v>19</v>
      </c>
      <c r="V42" s="66">
        <f t="shared" si="5"/>
        <v>20</v>
      </c>
      <c r="W42" s="66">
        <f t="shared" si="5"/>
        <v>21</v>
      </c>
      <c r="X42" s="66">
        <f t="shared" si="5"/>
        <v>22</v>
      </c>
      <c r="Y42" s="66">
        <f t="shared" si="5"/>
        <v>23</v>
      </c>
      <c r="Z42" s="66">
        <f t="shared" si="5"/>
        <v>24</v>
      </c>
      <c r="AA42" s="66">
        <f t="shared" si="5"/>
        <v>25</v>
      </c>
      <c r="AB42" s="66">
        <f t="shared" si="5"/>
        <v>26</v>
      </c>
      <c r="AC42" s="66">
        <f t="shared" si="5"/>
        <v>27</v>
      </c>
      <c r="AD42" s="66">
        <f t="shared" si="5"/>
        <v>28</v>
      </c>
      <c r="AE42" s="66">
        <f t="shared" si="5"/>
        <v>29</v>
      </c>
      <c r="AF42" s="66">
        <f t="shared" si="5"/>
        <v>30</v>
      </c>
      <c r="AG42" s="66">
        <f t="shared" si="5"/>
        <v>31</v>
      </c>
      <c r="AH42" s="66">
        <f t="shared" si="5"/>
        <v>32</v>
      </c>
      <c r="AI42" s="66">
        <f t="shared" si="5"/>
        <v>33</v>
      </c>
      <c r="AJ42" s="66">
        <f t="shared" si="5"/>
        <v>34</v>
      </c>
      <c r="BC42" s="95" t="str">
        <f xml:space="preserve"> _xlfn.IFNA( CONCATENATE(  "、",  INDEX(勤務分配!$A$1:$X$44,  MATCH(BC$20,勤務分配!$A$1:$A$44,0),2)  ),  ""  )</f>
        <v/>
      </c>
    </row>
    <row r="43" spans="1:55">
      <c r="A43" s="66">
        <f t="shared" si="4"/>
        <v>1</v>
      </c>
      <c r="B43" s="66" t="str">
        <f t="shared" ref="B43:B77" si="6">B2</f>
        <v>葉家豪</v>
      </c>
      <c r="C43" s="66" t="str">
        <f>IF(   (ROW(AO2)-1)&lt;=暫1!$B$2,           IF(  AND(  OR(  C2="x",C2="補"  ), OR(  D2 ="x",D2="補",D2="x榮18-22",D2="x公18-22",D2="x榮22-08"  ), $AP2 =""),"全日休",  IF(  AND(  OR(  C2="x",C2="病"  ), OR(  D2 ="病"  ), $AP2 =""),"病(事)假",  IF(  AND(  OR(  C2="x",C2="補"  ), OR(  D2 ="補"  ), $AP2 =""),"補休",  IF(  AND(  OR(  C2="x",C2="喪"  ), OR(  D2 ="喪"  ), $AP2 =""),"喪假",  IF(  AND(  OR(  C2="x",C2="婚",C2="產"  ), OR(  D2 ="婚",D2="產"  ), $AP2 =""),"婚(產)假",  IF(  AND(  OR(  C2="x",C2="公"  ), OR(  D2 ="公"  ), $AP2 =""),"公假",  IF(  AND(  OR(  C2="x",C2="補",C2="婚",C2="公",C2="病",C2="事",C2="x榮18-22"  ),OR(D2=""), $AP2 =""  ),"18收",  IF(  AND(  OR(  C2 ="榮14-18",C2 ="榮10-18",C2 ="榮06-18",C2 ="病14-18"  ),OR(  D2 ="x",D2="補",D2="婚",D2="公",D2="病",D2="事",D2="x"  ), $AP2 =""),"18放早走",  IF(  AND(  OR(  C2 =""),OR(  D2 ="x",D2="補",D2="婚",D2="公",D2="病",D2="事",D2="x榮*",D2="榮",D2="榮-22"  ), $AP2 =""),"18放",  IF(  AND(  OR(  C2="當日退伍"  ),OR(  D2="退伍",D2="退", D2=""  ), $AP2 =""),"當日退伍",  IF(AND(  OR(C2="退",C2="退伍" ), OR(D2="退",D2="退伍" ), $AP2 =""),"退伍","全日勤"  )  )  )  )  )  )  )  )  )  )  ),"")</f>
        <v>全日勤</v>
      </c>
      <c r="D43" s="66" t="str">
        <f>IF(   (ROW(AP2)-1)&lt;=暫1!$B$2,           IF(  AND(  OR(  D2="x",D2="補"  ), OR(  E2 ="x",E2="補",E2="x榮18-22",E2="x公18-22",E2="x榮22-08"  ), $AP2 =""),"全日休",  IF(  AND(  OR(  D2="x",D2="病"  ), OR(  E2 ="病"  ), $AP2 =""),"病(事)假",  IF(  AND(  OR(  D2="x",D2="補"  ), OR(  E2 ="補"  ), $AP2 =""),"補休",  IF(  AND(  OR(  D2="x",D2="喪"  ), OR(  E2 ="喪"  ), $AP2 =""),"喪假",  IF(  AND(  OR(  D2="x",D2="婚",D2="產"  ), OR(  E2 ="婚",E2="產"  ), $AP2 =""),"婚(產)假",  IF(  AND(  OR(  D2="x",D2="公"  ), OR(  E2 ="公"  ), $AP2 =""),"公假",  IF(  AND(  OR(  D2="x",D2="補",D2="婚",D2="公",D2="病",D2="事",D2="x榮18-22"  ),OR(E2=""), $AP2 =""  ),"18收",  IF(  AND(  OR(  D2 ="榮14-18",D2 ="榮10-18",D2 ="榮06-18",D2 ="病14-18"  ),OR(  E2 ="x",E2="補",E2="婚",E2="公",E2="病",E2="事",E2="x"  ), $AP2 =""),"18放早走",  IF(  AND(  OR(  D2 =""),OR(  E2 ="x",E2="補",E2="婚",E2="公",E2="病",E2="事",E2="x榮*",E2="榮",E2="榮-22"  ), $AP2 =""),"18放",  IF(  AND(  OR(  D2="當日退伍"  ),OR(  E2="退伍",E2="退", E2=""  ), $AP2 =""),"當日退伍",  IF(AND(  OR(D2="退",D2="退伍" ), OR(E2="退",E2="退伍" ), $AP2 =""),"退伍","全日勤"  )  )  )  )  )  )  )  )  )  )  ),"")</f>
        <v>全日勤</v>
      </c>
      <c r="E43" s="66" t="str">
        <f>IF(   (ROW(AQ2)-1)&lt;=暫1!$B$2,           IF(  AND(  OR(  E2="x",E2="補"  ), OR(  F2 ="x",F2="補",F2="x榮18-22",F2="x公18-22",F2="x榮22-08"  ), $AP2 =""),"全日休",  IF(  AND(  OR(  E2="x",E2="病"  ), OR(  F2 ="病"  ), $AP2 =""),"病(事)假",  IF(  AND(  OR(  E2="x",E2="補"  ), OR(  F2 ="補"  ), $AP2 =""),"補休",  IF(  AND(  OR(  E2="x",E2="喪"  ), OR(  F2 ="喪"  ), $AP2 =""),"喪假",  IF(  AND(  OR(  E2="x",E2="婚",E2="產"  ), OR(  F2 ="婚",F2="產"  ), $AP2 =""),"婚(產)假",  IF(  AND(  OR(  E2="x",E2="公"  ), OR(  F2 ="公"  ), $AP2 =""),"公假",  IF(  AND(  OR(  E2="x",E2="補",E2="婚",E2="公",E2="病",E2="事",E2="x榮18-22"  ),OR(F2=""), $AP2 =""  ),"18收",  IF(  AND(  OR(  E2 ="榮14-18",E2 ="榮10-18",E2 ="榮06-18",E2 ="病14-18"  ),OR(  F2 ="x",F2="補",F2="婚",F2="公",F2="病",F2="事",F2="x"  ), $AP2 =""),"18放早走",  IF(  AND(  OR(  E2 =""),OR(  F2 ="x",F2="補",F2="婚",F2="公",F2="病",F2="事",F2="x榮*",F2="榮",F2="榮-22"  ), $AP2 =""),"18放",  IF(  AND(  OR(  E2="當日退伍"  ),OR(  F2="退伍",F2="退", F2=""  ), $AP2 =""),"當日退伍",  IF(AND(  OR(E2="退",E2="退伍" ), OR(F2="退",F2="退伍" ), $AP2 =""),"退伍","全日勤"  )  )  )  )  )  )  )  )  )  )  ),"")</f>
        <v>全日勤</v>
      </c>
      <c r="F43" s="66" t="str">
        <f>IF(   (ROW(AR2)-1)&lt;=暫1!$B$2,           IF(  AND(  OR(  F2="x",F2="補"  ), OR(  G2 ="x",G2="補",G2="x榮18-22",G2="x公18-22",G2="x榮22-08"  ), $AP2 =""),"全日休",  IF(  AND(  OR(  F2="x",F2="病"  ), OR(  G2 ="病"  ), $AP2 =""),"病(事)假",  IF(  AND(  OR(  F2="x",F2="補"  ), OR(  G2 ="補"  ), $AP2 =""),"補休",  IF(  AND(  OR(  F2="x",F2="喪"  ), OR(  G2 ="喪"  ), $AP2 =""),"喪假",  IF(  AND(  OR(  F2="x",F2="婚",F2="產"  ), OR(  G2 ="婚",G2="產"  ), $AP2 =""),"婚(產)假",  IF(  AND(  OR(  F2="x",F2="公"  ), OR(  G2 ="公"  ), $AP2 =""),"公假",  IF(  AND(  OR(  F2="x",F2="補",F2="婚",F2="公",F2="病",F2="事",F2="x榮18-22"  ),OR(G2=""), $AP2 =""  ),"18收",  IF(  AND(  OR(  F2 ="榮14-18",F2 ="榮10-18",F2 ="榮06-18",F2 ="病14-18"  ),OR(  G2 ="x",G2="補",G2="婚",G2="公",G2="病",G2="事",G2="x"  ), $AP2 =""),"18放早走",  IF(  AND(  OR(  F2 =""),OR(  G2 ="x",G2="補",G2="婚",G2="公",G2="病",G2="事",G2="x榮*",G2="榮",G2="榮-22"  ), $AP2 =""),"18放",  IF(  AND(  OR(  F2="當日退伍"  ),OR(  G2="退伍",G2="退", G2=""  ), $AP2 =""),"當日退伍",  IF(AND(  OR(F2="退",F2="退伍" ), OR(G2="退",G2="退伍" ), $AP2 =""),"退伍","全日勤"  )  )  )  )  )  )  )  )  )  )  ),"")</f>
        <v>全日勤</v>
      </c>
      <c r="G43" s="66" t="str">
        <f>IF(   (ROW(AS2)-1)&lt;=暫1!$B$2,           IF(  AND(  OR(  G2="x",G2="補"  ), OR(  H2 ="x",H2="補",H2="x榮18-22",H2="x公18-22",H2="x榮22-08"  ), $AP2 =""),"全日休",  IF(  AND(  OR(  G2="x",G2="病"  ), OR(  H2 ="病"  ), $AP2 =""),"病(事)假",  IF(  AND(  OR(  G2="x",G2="補"  ), OR(  H2 ="補"  ), $AP2 =""),"補休",  IF(  AND(  OR(  G2="x",G2="喪"  ), OR(  H2 ="喪"  ), $AP2 =""),"喪假",  IF(  AND(  OR(  G2="x",G2="婚",G2="產"  ), OR(  H2 ="婚",H2="產"  ), $AP2 =""),"婚(產)假",  IF(  AND(  OR(  G2="x",G2="公"  ), OR(  H2 ="公"  ), $AP2 =""),"公假",  IF(  AND(  OR(  G2="x",G2="補",G2="婚",G2="公",G2="病",G2="事",G2="x榮18-22"  ),OR(H2=""), $AP2 =""  ),"18收",  IF(  AND(  OR(  G2 ="榮14-18",G2 ="榮10-18",G2 ="榮06-18",G2 ="病14-18"  ),OR(  H2 ="x",H2="補",H2="婚",H2="公",H2="病",H2="事",H2="x"  ), $AP2 =""),"18放早走",  IF(  AND(  OR(  G2 =""),OR(  H2 ="x",H2="補",H2="婚",H2="公",H2="病",H2="事",H2="x榮*",H2="榮",H2="榮-22"  ), $AP2 =""),"18放",  IF(  AND(  OR(  G2="當日退伍"  ),OR(  H2="退伍",H2="退", H2=""  ), $AP2 =""),"當日退伍",  IF(AND(  OR(G2="退",G2="退伍" ), OR(H2="退",H2="退伍" ), $AP2 =""),"退伍","全日勤"  )  )  )  )  )  )  )  )  )  )  ),"")</f>
        <v>全日勤</v>
      </c>
      <c r="H43" s="66" t="str">
        <f>IF(   (ROW(AT2)-1)&lt;=暫1!$B$2,           IF(  AND(  OR(  H2="x",H2="補"  ), OR(  I2 ="x",I2="補",I2="x榮18-22",I2="x公18-22",I2="x榮22-08"  ), $AP2 =""),"全日休",  IF(  AND(  OR(  H2="x",H2="病"  ), OR(  I2 ="病"  ), $AP2 =""),"病(事)假",  IF(  AND(  OR(  H2="x",H2="補"  ), OR(  I2 ="補"  ), $AP2 =""),"補休",  IF(  AND(  OR(  H2="x",H2="喪"  ), OR(  I2 ="喪"  ), $AP2 =""),"喪假",  IF(  AND(  OR(  H2="x",H2="婚",H2="產"  ), OR(  I2 ="婚",I2="產"  ), $AP2 =""),"婚(產)假",  IF(  AND(  OR(  H2="x",H2="公"  ), OR(  I2 ="公"  ), $AP2 =""),"公假",  IF(  AND(  OR(  H2="x",H2="補",H2="婚",H2="公",H2="病",H2="事",H2="x榮18-22"  ),OR(I2=""), $AP2 =""  ),"18收",  IF(  AND(  OR(  H2 ="榮14-18",H2 ="榮10-18",H2 ="榮06-18",H2 ="病14-18"  ),OR(  I2 ="x",I2="補",I2="婚",I2="公",I2="病",I2="事",I2="x"  ), $AP2 =""),"18放早走",  IF(  AND(  OR(  H2 =""),OR(  I2 ="x",I2="補",I2="婚",I2="公",I2="病",I2="事",I2="x榮*",I2="榮",I2="榮-22"  ), $AP2 =""),"18放",  IF(  AND(  OR(  H2="當日退伍"  ),OR(  I2="退伍",I2="退", I2=""  ), $AP2 =""),"當日退伍",  IF(AND(  OR(H2="退",H2="退伍" ), OR(I2="退",I2="退伍" ), $AP2 =""),"退伍","全日勤"  )  )  )  )  )  )  )  )  )  )  ),"")</f>
        <v>全日勤</v>
      </c>
      <c r="I43" s="66" t="str">
        <f>IF(   (ROW(AU2)-1)&lt;=暫1!$B$2,           IF(  AND(  OR(  I2="x",I2="補"  ), OR(  J2 ="x",J2="補",J2="x榮18-22",J2="x公18-22",J2="x榮22-08"  ), $AP2 =""),"全日休",  IF(  AND(  OR(  I2="x",I2="病"  ), OR(  J2 ="病"  ), $AP2 =""),"病(事)假",  IF(  AND(  OR(  I2="x",I2="補"  ), OR(  J2 ="補"  ), $AP2 =""),"補休",  IF(  AND(  OR(  I2="x",I2="喪"  ), OR(  J2 ="喪"  ), $AP2 =""),"喪假",  IF(  AND(  OR(  I2="x",I2="婚",I2="產"  ), OR(  J2 ="婚",J2="產"  ), $AP2 =""),"婚(產)假",  IF(  AND(  OR(  I2="x",I2="公"  ), OR(  J2 ="公"  ), $AP2 =""),"公假",  IF(  AND(  OR(  I2="x",I2="補",I2="婚",I2="公",I2="病",I2="事",I2="x榮18-22"  ),OR(J2=""), $AP2 =""  ),"18收",  IF(  AND(  OR(  I2 ="榮14-18",I2 ="榮10-18",I2 ="榮06-18",I2 ="病14-18"  ),OR(  J2 ="x",J2="補",J2="婚",J2="公",J2="病",J2="事",J2="x"  ), $AP2 =""),"18放早走",  IF(  AND(  OR(  I2 =""),OR(  J2 ="x",J2="補",J2="婚",J2="公",J2="病",J2="事",J2="x榮*",J2="榮",J2="榮-22"  ), $AP2 =""),"18放",  IF(  AND(  OR(  I2="當日退伍"  ),OR(  J2="退伍",J2="退", J2=""  ), $AP2 =""),"當日退伍",  IF(AND(  OR(I2="退",I2="退伍" ), OR(J2="退",J2="退伍" ), $AP2 =""),"退伍","全日勤"  )  )  )  )  )  )  )  )  )  )  ),"")</f>
        <v>全日勤</v>
      </c>
      <c r="J43" s="66" t="str">
        <f>IF(   (ROW(AV2)-1)&lt;=暫1!$B$2,           IF(  AND(  OR(  J2="x",J2="補"  ), OR(  K2 ="x",K2="補",K2="x榮18-22",K2="x公18-22",K2="x榮22-08"  ), $AP2 =""),"全日休",  IF(  AND(  OR(  J2="x",J2="病"  ), OR(  K2 ="病"  ), $AP2 =""),"病(事)假",  IF(  AND(  OR(  J2="x",J2="補"  ), OR(  K2 ="補"  ), $AP2 =""),"補休",  IF(  AND(  OR(  J2="x",J2="喪"  ), OR(  K2 ="喪"  ), $AP2 =""),"喪假",  IF(  AND(  OR(  J2="x",J2="婚",J2="產"  ), OR(  K2 ="婚",K2="產"  ), $AP2 =""),"婚(產)假",  IF(  AND(  OR(  J2="x",J2="公"  ), OR(  K2 ="公"  ), $AP2 =""),"公假",  IF(  AND(  OR(  J2="x",J2="補",J2="婚",J2="公",J2="病",J2="事",J2="x榮18-22"  ),OR(K2=""), $AP2 =""  ),"18收",  IF(  AND(  OR(  J2 ="榮14-18",J2 ="榮10-18",J2 ="榮06-18",J2 ="病14-18"  ),OR(  K2 ="x",K2="補",K2="婚",K2="公",K2="病",K2="事",K2="x"  ), $AP2 =""),"18放早走",  IF(  AND(  OR(  J2 =""),OR(  K2 ="x",K2="補",K2="婚",K2="公",K2="病",K2="事",K2="x榮*",K2="榮",K2="榮-22"  ), $AP2 =""),"18放",  IF(  AND(  OR(  J2="當日退伍"  ),OR(  K2="退伍",K2="退", K2=""  ), $AP2 =""),"當日退伍",  IF(AND(  OR(J2="退",J2="退伍" ), OR(K2="退",K2="退伍" ), $AP2 =""),"退伍","全日勤"  )  )  )  )  )  )  )  )  )  )  ),"")</f>
        <v>全日勤</v>
      </c>
      <c r="K43" s="66" t="str">
        <f>IF(   (ROW(AW2)-1)&lt;=暫1!$B$2,           IF(  AND(  OR(  K2="x",K2="補"  ), OR(  L2 ="x",L2="補",L2="x榮18-22",L2="x公18-22",L2="x榮22-08"  ), $AP2 =""),"全日休",  IF(  AND(  OR(  K2="x",K2="病"  ), OR(  L2 ="病"  ), $AP2 =""),"病(事)假",  IF(  AND(  OR(  K2="x",K2="補"  ), OR(  L2 ="補"  ), $AP2 =""),"補休",  IF(  AND(  OR(  K2="x",K2="喪"  ), OR(  L2 ="喪"  ), $AP2 =""),"喪假",  IF(  AND(  OR(  K2="x",K2="婚",K2="產"  ), OR(  L2 ="婚",L2="產"  ), $AP2 =""),"婚(產)假",  IF(  AND(  OR(  K2="x",K2="公"  ), OR(  L2 ="公"  ), $AP2 =""),"公假",  IF(  AND(  OR(  K2="x",K2="補",K2="婚",K2="公",K2="病",K2="事",K2="x榮18-22"  ),OR(L2=""), $AP2 =""  ),"18收",  IF(  AND(  OR(  K2 ="榮14-18",K2 ="榮10-18",K2 ="榮06-18",K2 ="病14-18"  ),OR(  L2 ="x",L2="補",L2="婚",L2="公",L2="病",L2="事",L2="x"  ), $AP2 =""),"18放早走",  IF(  AND(  OR(  K2 =""),OR(  L2 ="x",L2="補",L2="婚",L2="公",L2="病",L2="事",L2="x榮*",L2="榮",L2="榮-22"  ), $AP2 =""),"18放",  IF(  AND(  OR(  K2="當日退伍"  ),OR(  L2="退伍",L2="退", L2=""  ), $AP2 =""),"當日退伍",  IF(AND(  OR(K2="退",K2="退伍" ), OR(L2="退",L2="退伍" ), $AP2 =""),"退伍","全日勤"  )  )  )  )  )  )  )  )  )  )  ),"")</f>
        <v>全日勤</v>
      </c>
      <c r="L43" s="66" t="str">
        <f>IF(   (ROW(AX2)-1)&lt;=暫1!$B$2,           IF(  AND(  OR(  L2="x",L2="補"  ), OR(  M2 ="x",M2="補",M2="x榮18-22",M2="x公18-22",M2="x榮22-08"  ), $AP2 =""),"全日休",  IF(  AND(  OR(  L2="x",L2="病"  ), OR(  M2 ="病"  ), $AP2 =""),"病(事)假",  IF(  AND(  OR(  L2="x",L2="補"  ), OR(  M2 ="補"  ), $AP2 =""),"補休",  IF(  AND(  OR(  L2="x",L2="喪"  ), OR(  M2 ="喪"  ), $AP2 =""),"喪假",  IF(  AND(  OR(  L2="x",L2="婚",L2="產"  ), OR(  M2 ="婚",M2="產"  ), $AP2 =""),"婚(產)假",  IF(  AND(  OR(  L2="x",L2="公"  ), OR(  M2 ="公"  ), $AP2 =""),"公假",  IF(  AND(  OR(  L2="x",L2="補",L2="婚",L2="公",L2="病",L2="事",L2="x榮18-22"  ),OR(M2=""), $AP2 =""  ),"18收",  IF(  AND(  OR(  L2 ="榮14-18",L2 ="榮10-18",L2 ="榮06-18",L2 ="病14-18"  ),OR(  M2 ="x",M2="補",M2="婚",M2="公",M2="病",M2="事",M2="x"  ), $AP2 =""),"18放早走",  IF(  AND(  OR(  L2 =""),OR(  M2 ="x",M2="補",M2="婚",M2="公",M2="病",M2="事",M2="x榮*",M2="榮",M2="榮-22"  ), $AP2 =""),"18放",  IF(  AND(  OR(  L2="當日退伍"  ),OR(  M2="退伍",M2="退", M2=""  ), $AP2 =""),"當日退伍",  IF(AND(  OR(L2="退",L2="退伍" ), OR(M2="退",M2="退伍" ), $AP2 =""),"退伍","全日勤"  )  )  )  )  )  )  )  )  )  )  ),"")</f>
        <v>全日勤</v>
      </c>
      <c r="M43" s="66" t="str">
        <f>IF(   (ROW(AY2)-1)&lt;=暫1!$B$2,           IF(  AND(  OR(  M2="x",M2="補"  ), OR(  N2 ="x",N2="補",N2="x榮18-22",N2="x公18-22",N2="x榮22-08"  ), $AP2 =""),"全日休",  IF(  AND(  OR(  M2="x",M2="病"  ), OR(  N2 ="病"  ), $AP2 =""),"病(事)假",  IF(  AND(  OR(  M2="x",M2="補"  ), OR(  N2 ="補"  ), $AP2 =""),"補休",  IF(  AND(  OR(  M2="x",M2="喪"  ), OR(  N2 ="喪"  ), $AP2 =""),"喪假",  IF(  AND(  OR(  M2="x",M2="婚",M2="產"  ), OR(  N2 ="婚",N2="產"  ), $AP2 =""),"婚(產)假",  IF(  AND(  OR(  M2="x",M2="公"  ), OR(  N2 ="公"  ), $AP2 =""),"公假",  IF(  AND(  OR(  M2="x",M2="補",M2="婚",M2="公",M2="病",M2="事",M2="x榮18-22"  ),OR(N2=""), $AP2 =""  ),"18收",  IF(  AND(  OR(  M2 ="榮14-18",M2 ="榮10-18",M2 ="榮06-18",M2 ="病14-18"  ),OR(  N2 ="x",N2="補",N2="婚",N2="公",N2="病",N2="事",N2="x"  ), $AP2 =""),"18放早走",  IF(  AND(  OR(  M2 =""),OR(  N2 ="x",N2="補",N2="婚",N2="公",N2="病",N2="事",N2="x榮*",N2="榮",N2="榮-22"  ), $AP2 =""),"18放",  IF(  AND(  OR(  M2="當日退伍"  ),OR(  N2="退伍",N2="退", N2=""  ), $AP2 =""),"當日退伍",  IF(AND(  OR(M2="退",M2="退伍" ), OR(N2="退",N2="退伍" ), $AP2 =""),"退伍","全日勤"  )  )  )  )  )  )  )  )  )  )  ),"")</f>
        <v>全日勤</v>
      </c>
      <c r="N43" s="66" t="str">
        <f>IF(   (ROW(AZ2)-1)&lt;=暫1!$B$2,           IF(  AND(  OR(  N2="x",N2="補"  ), OR(  O2 ="x",O2="補",O2="x榮18-22",O2="x公18-22",O2="x榮22-08"  ), $AP2 =""),"全日休",  IF(  AND(  OR(  N2="x",N2="病"  ), OR(  O2 ="病"  ), $AP2 =""),"病(事)假",  IF(  AND(  OR(  N2="x",N2="補"  ), OR(  O2 ="補"  ), $AP2 =""),"補休",  IF(  AND(  OR(  N2="x",N2="喪"  ), OR(  O2 ="喪"  ), $AP2 =""),"喪假",  IF(  AND(  OR(  N2="x",N2="婚",N2="產"  ), OR(  O2 ="婚",O2="產"  ), $AP2 =""),"婚(產)假",  IF(  AND(  OR(  N2="x",N2="公"  ), OR(  O2 ="公"  ), $AP2 =""),"公假",  IF(  AND(  OR(  N2="x",N2="補",N2="婚",N2="公",N2="病",N2="事",N2="x榮18-22"  ),OR(O2=""), $AP2 =""  ),"18收",  IF(  AND(  OR(  N2 ="榮14-18",N2 ="榮10-18",N2 ="榮06-18",N2 ="病14-18"  ),OR(  O2 ="x",O2="補",O2="婚",O2="公",O2="病",O2="事",O2="x"  ), $AP2 =""),"18放早走",  IF(  AND(  OR(  N2 =""),OR(  O2 ="x",O2="補",O2="婚",O2="公",O2="病",O2="事",O2="x榮*",O2="榮",O2="榮-22"  ), $AP2 =""),"18放",  IF(  AND(  OR(  N2="當日退伍"  ),OR(  O2="退伍",O2="退", O2=""  ), $AP2 =""),"當日退伍",  IF(AND(  OR(N2="退",N2="退伍" ), OR(O2="退",O2="退伍" ), $AP2 =""),"退伍","全日勤"  )  )  )  )  )  )  )  )  )  )  ),"")</f>
        <v>全日勤</v>
      </c>
      <c r="O43" s="66" t="str">
        <f>IF(   (ROW(BA2)-1)&lt;=暫1!$B$2,           IF(  AND(  OR(  O2="x",O2="補"  ), OR(  P2 ="x",P2="補",P2="x榮18-22",P2="x公18-22",P2="x榮22-08"  ), $AP2 =""),"全日休",  IF(  AND(  OR(  O2="x",O2="病"  ), OR(  P2 ="病"  ), $AP2 =""),"病(事)假",  IF(  AND(  OR(  O2="x",O2="補"  ), OR(  P2 ="補"  ), $AP2 =""),"補休",  IF(  AND(  OR(  O2="x",O2="喪"  ), OR(  P2 ="喪"  ), $AP2 =""),"喪假",  IF(  AND(  OR(  O2="x",O2="婚",O2="產"  ), OR(  P2 ="婚",P2="產"  ), $AP2 =""),"婚(產)假",  IF(  AND(  OR(  O2="x",O2="公"  ), OR(  P2 ="公"  ), $AP2 =""),"公假",  IF(  AND(  OR(  O2="x",O2="補",O2="婚",O2="公",O2="病",O2="事",O2="x榮18-22"  ),OR(P2=""), $AP2 =""  ),"18收",  IF(  AND(  OR(  O2 ="榮14-18",O2 ="榮10-18",O2 ="榮06-18",O2 ="病14-18"  ),OR(  P2 ="x",P2="補",P2="婚",P2="公",P2="病",P2="事",P2="x"  ), $AP2 =""),"18放早走",  IF(  AND(  OR(  O2 =""),OR(  P2 ="x",P2="補",P2="婚",P2="公",P2="病",P2="事",P2="x榮*",P2="榮",P2="榮-22"  ), $AP2 =""),"18放",  IF(  AND(  OR(  O2="當日退伍"  ),OR(  P2="退伍",P2="退", P2=""  ), $AP2 =""),"當日退伍",  IF(AND(  OR(O2="退",O2="退伍" ), OR(P2="退",P2="退伍" ), $AP2 =""),"退伍","全日勤"  )  )  )  )  )  )  )  )  )  )  ),"")</f>
        <v>全日勤</v>
      </c>
      <c r="P43" s="66" t="str">
        <f>IF(   (ROW(BB2)-1)&lt;=暫1!$B$2,           IF(  AND(  OR(  P2="x",P2="補"  ), OR(  Q2 ="x",Q2="補",Q2="x榮18-22",Q2="x公18-22",Q2="x榮22-08"  ), $AP2 =""),"全日休",  IF(  AND(  OR(  P2="x",P2="病"  ), OR(  Q2 ="病"  ), $AP2 =""),"病(事)假",  IF(  AND(  OR(  P2="x",P2="補"  ), OR(  Q2 ="補"  ), $AP2 =""),"補休",  IF(  AND(  OR(  P2="x",P2="喪"  ), OR(  Q2 ="喪"  ), $AP2 =""),"喪假",  IF(  AND(  OR(  P2="x",P2="婚",P2="產"  ), OR(  Q2 ="婚",Q2="產"  ), $AP2 =""),"婚(產)假",  IF(  AND(  OR(  P2="x",P2="公"  ), OR(  Q2 ="公"  ), $AP2 =""),"公假",  IF(  AND(  OR(  P2="x",P2="補",P2="婚",P2="公",P2="病",P2="事",P2="x榮18-22"  ),OR(Q2=""), $AP2 =""  ),"18收",  IF(  AND(  OR(  P2 ="榮14-18",P2 ="榮10-18",P2 ="榮06-18",P2 ="病14-18"  ),OR(  Q2 ="x",Q2="補",Q2="婚",Q2="公",Q2="病",Q2="事",Q2="x"  ), $AP2 =""),"18放早走",  IF(  AND(  OR(  P2 =""),OR(  Q2 ="x",Q2="補",Q2="婚",Q2="公",Q2="病",Q2="事",Q2="x榮*",Q2="榮",Q2="榮-22"  ), $AP2 =""),"18放",  IF(  AND(  OR(  P2="當日退伍"  ),OR(  Q2="退伍",Q2="退", Q2=""  ), $AP2 =""),"當日退伍",  IF(AND(  OR(P2="退",P2="退伍" ), OR(Q2="退",Q2="退伍" ), $AP2 =""),"退伍","全日勤"  )  )  )  )  )  )  )  )  )  )  ),"")</f>
        <v>全日勤</v>
      </c>
      <c r="Q43" s="66" t="str">
        <f>IF(   (ROW(BC2)-1)&lt;=暫1!$B$2,           IF(  AND(  OR(  Q2="x",Q2="補"  ), OR(  R2 ="x",R2="補",R2="x榮18-22",R2="x公18-22",R2="x榮22-08"  ), $AP2 =""),"全日休",  IF(  AND(  OR(  Q2="x",Q2="病"  ), OR(  R2 ="病"  ), $AP2 =""),"病(事)假",  IF(  AND(  OR(  Q2="x",Q2="補"  ), OR(  R2 ="補"  ), $AP2 =""),"補休",  IF(  AND(  OR(  Q2="x",Q2="喪"  ), OR(  R2 ="喪"  ), $AP2 =""),"喪假",  IF(  AND(  OR(  Q2="x",Q2="婚",Q2="產"  ), OR(  R2 ="婚",R2="產"  ), $AP2 =""),"婚(產)假",  IF(  AND(  OR(  Q2="x",Q2="公"  ), OR(  R2 ="公"  ), $AP2 =""),"公假",  IF(  AND(  OR(  Q2="x",Q2="補",Q2="婚",Q2="公",Q2="病",Q2="事",Q2="x榮18-22"  ),OR(R2=""), $AP2 =""  ),"18收",  IF(  AND(  OR(  Q2 ="榮14-18",Q2 ="榮10-18",Q2 ="榮06-18",Q2 ="病14-18"  ),OR(  R2 ="x",R2="補",R2="婚",R2="公",R2="病",R2="事",R2="x"  ), $AP2 =""),"18放早走",  IF(  AND(  OR(  Q2 =""),OR(  R2 ="x",R2="補",R2="婚",R2="公",R2="病",R2="事",R2="x榮*",R2="榮",R2="榮-22"  ), $AP2 =""),"18放",  IF(  AND(  OR(  Q2="當日退伍"  ),OR(  R2="退伍",R2="退", R2=""  ), $AP2 =""),"當日退伍",  IF(AND(  OR(Q2="退",Q2="退伍" ), OR(R2="退",R2="退伍" ), $AP2 =""),"退伍","全日勤"  )  )  )  )  )  )  )  )  )  )  ),"")</f>
        <v>全日勤</v>
      </c>
      <c r="R43" s="66" t="str">
        <f>IF(   (ROW(BD2)-1)&lt;=暫1!$B$2,           IF(  AND(  OR(  R2="x",R2="補"  ), OR(  S2 ="x",S2="補",S2="x榮18-22",S2="x公18-22",S2="x榮22-08"  ), $AP2 =""),"全日休",  IF(  AND(  OR(  R2="x",R2="病"  ), OR(  S2 ="病"  ), $AP2 =""),"病(事)假",  IF(  AND(  OR(  R2="x",R2="補"  ), OR(  S2 ="補"  ), $AP2 =""),"補休",  IF(  AND(  OR(  R2="x",R2="喪"  ), OR(  S2 ="喪"  ), $AP2 =""),"喪假",  IF(  AND(  OR(  R2="x",R2="婚",R2="產"  ), OR(  S2 ="婚",S2="產"  ), $AP2 =""),"婚(產)假",  IF(  AND(  OR(  R2="x",R2="公"  ), OR(  S2 ="公"  ), $AP2 =""),"公假",  IF(  AND(  OR(  R2="x",R2="補",R2="婚",R2="公",R2="病",R2="事",R2="x榮18-22"  ),OR(S2=""), $AP2 =""  ),"18收",  IF(  AND(  OR(  R2 ="榮14-18",R2 ="榮10-18",R2 ="榮06-18",R2 ="病14-18"  ),OR(  S2 ="x",S2="補",S2="婚",S2="公",S2="病",S2="事",S2="x"  ), $AP2 =""),"18放早走",  IF(  AND(  OR(  R2 =""),OR(  S2 ="x",S2="補",S2="婚",S2="公",S2="病",S2="事",S2="x榮*",S2="榮",S2="榮-22"  ), $AP2 =""),"18放",  IF(  AND(  OR(  R2="當日退伍"  ),OR(  S2="退伍",S2="退", S2=""  ), $AP2 =""),"當日退伍",  IF(AND(  OR(R2="退",R2="退伍" ), OR(S2="退",S2="退伍" ), $AP2 =""),"退伍","全日勤"  )  )  )  )  )  )  )  )  )  )  ),"")</f>
        <v>全日勤</v>
      </c>
      <c r="S43" s="66" t="str">
        <f>IF(   (ROW(BE2)-1)&lt;=暫1!$B$2,           IF(  AND(  OR(  S2="x",S2="補"  ), OR(  T2 ="x",T2="補",T2="x榮18-22",T2="x公18-22",T2="x榮22-08"  ), $AP2 =""),"全日休",  IF(  AND(  OR(  S2="x",S2="病"  ), OR(  T2 ="病"  ), $AP2 =""),"病(事)假",  IF(  AND(  OR(  S2="x",S2="補"  ), OR(  T2 ="補"  ), $AP2 =""),"補休",  IF(  AND(  OR(  S2="x",S2="喪"  ), OR(  T2 ="喪"  ), $AP2 =""),"喪假",  IF(  AND(  OR(  S2="x",S2="婚",S2="產"  ), OR(  T2 ="婚",T2="產"  ), $AP2 =""),"婚(產)假",  IF(  AND(  OR(  S2="x",S2="公"  ), OR(  T2 ="公"  ), $AP2 =""),"公假",  IF(  AND(  OR(  S2="x",S2="補",S2="婚",S2="公",S2="病",S2="事",S2="x榮18-22"  ),OR(T2=""), $AP2 =""  ),"18收",  IF(  AND(  OR(  S2 ="榮14-18",S2 ="榮10-18",S2 ="榮06-18",S2 ="病14-18"  ),OR(  T2 ="x",T2="補",T2="婚",T2="公",T2="病",T2="事",T2="x"  ), $AP2 =""),"18放早走",  IF(  AND(  OR(  S2 =""),OR(  T2 ="x",T2="補",T2="婚",T2="公",T2="病",T2="事",T2="x榮*",T2="榮",T2="榮-22"  ), $AP2 =""),"18放",  IF(  AND(  OR(  S2="當日退伍"  ),OR(  T2="退伍",T2="退", T2=""  ), $AP2 =""),"當日退伍",  IF(AND(  OR(S2="退",S2="退伍" ), OR(T2="退",T2="退伍" ), $AP2 =""),"退伍","全日勤"  )  )  )  )  )  )  )  )  )  )  ),"")</f>
        <v>全日勤</v>
      </c>
      <c r="T43" s="66" t="str">
        <f>IF(   (ROW(BF2)-1)&lt;=暫1!$B$2,           IF(  AND(  OR(  T2="x",T2="補"  ), OR(  U2 ="x",U2="補",U2="x榮18-22",U2="x公18-22",U2="x榮22-08"  ), $AP2 =""),"全日休",  IF(  AND(  OR(  T2="x",T2="病"  ), OR(  U2 ="病"  ), $AP2 =""),"病(事)假",  IF(  AND(  OR(  T2="x",T2="補"  ), OR(  U2 ="補"  ), $AP2 =""),"補休",  IF(  AND(  OR(  T2="x",T2="喪"  ), OR(  U2 ="喪"  ), $AP2 =""),"喪假",  IF(  AND(  OR(  T2="x",T2="婚",T2="產"  ), OR(  U2 ="婚",U2="產"  ), $AP2 =""),"婚(產)假",  IF(  AND(  OR(  T2="x",T2="公"  ), OR(  U2 ="公"  ), $AP2 =""),"公假",  IF(  AND(  OR(  T2="x",T2="補",T2="婚",T2="公",T2="病",T2="事",T2="x榮18-22"  ),OR(U2=""), $AP2 =""  ),"18收",  IF(  AND(  OR(  T2 ="榮14-18",T2 ="榮10-18",T2 ="榮06-18",T2 ="病14-18"  ),OR(  U2 ="x",U2="補",U2="婚",U2="公",U2="病",U2="事",U2="x"  ), $AP2 =""),"18放早走",  IF(  AND(  OR(  T2 =""),OR(  U2 ="x",U2="補",U2="婚",U2="公",U2="病",U2="事",U2="x榮*",U2="榮",U2="榮-22"  ), $AP2 =""),"18放",  IF(  AND(  OR(  T2="當日退伍"  ),OR(  U2="退伍",U2="退", U2=""  ), $AP2 =""),"當日退伍",  IF(AND(  OR(T2="退",T2="退伍" ), OR(U2="退",U2="退伍" ), $AP2 =""),"退伍","全日勤"  )  )  )  )  )  )  )  )  )  )  ),"")</f>
        <v>全日勤</v>
      </c>
      <c r="U43" s="66" t="str">
        <f>IF(   (ROW(BG2)-1)&lt;=暫1!$B$2,           IF(  AND(  OR(  U2="x",U2="補"  ), OR(  V2 ="x",V2="補",V2="x榮18-22",V2="x公18-22",V2="x榮22-08"  ), $AP2 =""),"全日休",  IF(  AND(  OR(  U2="x",U2="病"  ), OR(  V2 ="病"  ), $AP2 =""),"病(事)假",  IF(  AND(  OR(  U2="x",U2="補"  ), OR(  V2 ="補"  ), $AP2 =""),"補休",  IF(  AND(  OR(  U2="x",U2="喪"  ), OR(  V2 ="喪"  ), $AP2 =""),"喪假",  IF(  AND(  OR(  U2="x",U2="婚",U2="產"  ), OR(  V2 ="婚",V2="產"  ), $AP2 =""),"婚(產)假",  IF(  AND(  OR(  U2="x",U2="公"  ), OR(  V2 ="公"  ), $AP2 =""),"公假",  IF(  AND(  OR(  U2="x",U2="補",U2="婚",U2="公",U2="病",U2="事",U2="x榮18-22"  ),OR(V2=""), $AP2 =""  ),"18收",  IF(  AND(  OR(  U2 ="榮14-18",U2 ="榮10-18",U2 ="榮06-18",U2 ="病14-18"  ),OR(  V2 ="x",V2="補",V2="婚",V2="公",V2="病",V2="事",V2="x"  ), $AP2 =""),"18放早走",  IF(  AND(  OR(  U2 =""),OR(  V2 ="x",V2="補",V2="婚",V2="公",V2="病",V2="事",V2="x榮*",V2="榮",V2="榮-22"  ), $AP2 =""),"18放",  IF(  AND(  OR(  U2="當日退伍"  ),OR(  V2="退伍",V2="退", V2=""  ), $AP2 =""),"當日退伍",  IF(AND(  OR(U2="退",U2="退伍" ), OR(V2="退",V2="退伍" ), $AP2 =""),"退伍","全日勤"  )  )  )  )  )  )  )  )  )  )  ),"")</f>
        <v>全日勤</v>
      </c>
      <c r="V43" s="66" t="str">
        <f>IF(   (ROW(BH2)-1)&lt;=暫1!$B$2,           IF(  AND(  OR(  V2="x",V2="補"  ), OR(  W2 ="x",W2="補",W2="x榮18-22",W2="x公18-22",W2="x榮22-08"  ), $AP2 =""),"全日休",  IF(  AND(  OR(  V2="x",V2="病"  ), OR(  W2 ="病"  ), $AP2 =""),"病(事)假",  IF(  AND(  OR(  V2="x",V2="補"  ), OR(  W2 ="補"  ), $AP2 =""),"補休",  IF(  AND(  OR(  V2="x",V2="喪"  ), OR(  W2 ="喪"  ), $AP2 =""),"喪假",  IF(  AND(  OR(  V2="x",V2="婚",V2="產"  ), OR(  W2 ="婚",W2="產"  ), $AP2 =""),"婚(產)假",  IF(  AND(  OR(  V2="x",V2="公"  ), OR(  W2 ="公"  ), $AP2 =""),"公假",  IF(  AND(  OR(  V2="x",V2="補",V2="婚",V2="公",V2="病",V2="事",V2="x榮18-22"  ),OR(W2=""), $AP2 =""  ),"18收",  IF(  AND(  OR(  V2 ="榮14-18",V2 ="榮10-18",V2 ="榮06-18",V2 ="病14-18"  ),OR(  W2 ="x",W2="補",W2="婚",W2="公",W2="病",W2="事",W2="x"  ), $AP2 =""),"18放早走",  IF(  AND(  OR(  V2 =""),OR(  W2 ="x",W2="補",W2="婚",W2="公",W2="病",W2="事",W2="x榮*",W2="榮",W2="榮-22"  ), $AP2 =""),"18放",  IF(  AND(  OR(  V2="當日退伍"  ),OR(  W2="退伍",W2="退", W2=""  ), $AP2 =""),"當日退伍",  IF(AND(  OR(V2="退",V2="退伍" ), OR(W2="退",W2="退伍" ), $AP2 =""),"退伍","全日勤"  )  )  )  )  )  )  )  )  )  )  ),"")</f>
        <v>全日勤</v>
      </c>
      <c r="W43" s="66" t="str">
        <f>IF(   (ROW(BI2)-1)&lt;=暫1!$B$2,           IF(  AND(  OR(  W2="x",W2="補"  ), OR(  X2 ="x",X2="補",X2="x榮18-22",X2="x公18-22",X2="x榮22-08"  ), $AP2 =""),"全日休",  IF(  AND(  OR(  W2="x",W2="病"  ), OR(  X2 ="病"  ), $AP2 =""),"病(事)假",  IF(  AND(  OR(  W2="x",W2="補"  ), OR(  X2 ="補"  ), $AP2 =""),"補休",  IF(  AND(  OR(  W2="x",W2="喪"  ), OR(  X2 ="喪"  ), $AP2 =""),"喪假",  IF(  AND(  OR(  W2="x",W2="婚",W2="產"  ), OR(  X2 ="婚",X2="產"  ), $AP2 =""),"婚(產)假",  IF(  AND(  OR(  W2="x",W2="公"  ), OR(  X2 ="公"  ), $AP2 =""),"公假",  IF(  AND(  OR(  W2="x",W2="補",W2="婚",W2="公",W2="病",W2="事",W2="x榮18-22"  ),OR(X2=""), $AP2 =""  ),"18收",  IF(  AND(  OR(  W2 ="榮14-18",W2 ="榮10-18",W2 ="榮06-18",W2 ="病14-18"  ),OR(  X2 ="x",X2="補",X2="婚",X2="公",X2="病",X2="事",X2="x"  ), $AP2 =""),"18放早走",  IF(  AND(  OR(  W2 =""),OR(  X2 ="x",X2="補",X2="婚",X2="公",X2="病",X2="事",X2="x榮*",X2="榮",X2="榮-22"  ), $AP2 =""),"18放",  IF(  AND(  OR(  W2="當日退伍"  ),OR(  X2="退伍",X2="退", X2=""  ), $AP2 =""),"當日退伍",  IF(AND(  OR(W2="退",W2="退伍" ), OR(X2="退",X2="退伍" ), $AP2 =""),"退伍","全日勤"  )  )  )  )  )  )  )  )  )  )  ),"")</f>
        <v>全日勤</v>
      </c>
      <c r="X43" s="66" t="str">
        <f>IF(   (ROW(BJ2)-1)&lt;=暫1!$B$2,           IF(  AND(  OR(  X2="x",X2="補"  ), OR(  Y2 ="x",Y2="補",Y2="x榮18-22",Y2="x公18-22",Y2="x榮22-08"  ), $AP2 =""),"全日休",  IF(  AND(  OR(  X2="x",X2="病"  ), OR(  Y2 ="病"  ), $AP2 =""),"病(事)假",  IF(  AND(  OR(  X2="x",X2="補"  ), OR(  Y2 ="補"  ), $AP2 =""),"補休",  IF(  AND(  OR(  X2="x",X2="喪"  ), OR(  Y2 ="喪"  ), $AP2 =""),"喪假",  IF(  AND(  OR(  X2="x",X2="婚",X2="產"  ), OR(  Y2 ="婚",Y2="產"  ), $AP2 =""),"婚(產)假",  IF(  AND(  OR(  X2="x",X2="公"  ), OR(  Y2 ="公"  ), $AP2 =""),"公假",  IF(  AND(  OR(  X2="x",X2="補",X2="婚",X2="公",X2="病",X2="事",X2="x榮18-22"  ),OR(Y2=""), $AP2 =""  ),"18收",  IF(  AND(  OR(  X2 ="榮14-18",X2 ="榮10-18",X2 ="榮06-18",X2 ="病14-18"  ),OR(  Y2 ="x",Y2="補",Y2="婚",Y2="公",Y2="病",Y2="事",Y2="x"  ), $AP2 =""),"18放早走",  IF(  AND(  OR(  X2 =""),OR(  Y2 ="x",Y2="補",Y2="婚",Y2="公",Y2="病",Y2="事",Y2="x榮*",Y2="榮",Y2="榮-22"  ), $AP2 =""),"18放",  IF(  AND(  OR(  X2="當日退伍"  ),OR(  Y2="退伍",Y2="退", Y2=""  ), $AP2 =""),"當日退伍",  IF(AND(  OR(X2="退",X2="退伍" ), OR(Y2="退",Y2="退伍" ), $AP2 =""),"退伍","全日勤"  )  )  )  )  )  )  )  )  )  )  ),"")</f>
        <v>全日勤</v>
      </c>
      <c r="Y43" s="66" t="str">
        <f>IF(   (ROW(BK2)-1)&lt;=暫1!$B$2,           IF(  AND(  OR(  Y2="x",Y2="補"  ), OR(  Z2 ="x",Z2="補",Z2="x榮18-22",Z2="x公18-22",Z2="x榮22-08"  ), $AP2 =""),"全日休",  IF(  AND(  OR(  Y2="x",Y2="病"  ), OR(  Z2 ="病"  ), $AP2 =""),"病(事)假",  IF(  AND(  OR(  Y2="x",Y2="補"  ), OR(  Z2 ="補"  ), $AP2 =""),"補休",  IF(  AND(  OR(  Y2="x",Y2="喪"  ), OR(  Z2 ="喪"  ), $AP2 =""),"喪假",  IF(  AND(  OR(  Y2="x",Y2="婚",Y2="產"  ), OR(  Z2 ="婚",Z2="產"  ), $AP2 =""),"婚(產)假",  IF(  AND(  OR(  Y2="x",Y2="公"  ), OR(  Z2 ="公"  ), $AP2 =""),"公假",  IF(  AND(  OR(  Y2="x",Y2="補",Y2="婚",Y2="公",Y2="病",Y2="事",Y2="x榮18-22"  ),OR(Z2=""), $AP2 =""  ),"18收",  IF(  AND(  OR(  Y2 ="榮14-18",Y2 ="榮10-18",Y2 ="榮06-18",Y2 ="病14-18"  ),OR(  Z2 ="x",Z2="補",Z2="婚",Z2="公",Z2="病",Z2="事",Z2="x"  ), $AP2 =""),"18放早走",  IF(  AND(  OR(  Y2 =""),OR(  Z2 ="x",Z2="補",Z2="婚",Z2="公",Z2="病",Z2="事",Z2="x榮*",Z2="榮",Z2="榮-22"  ), $AP2 =""),"18放",  IF(  AND(  OR(  Y2="當日退伍"  ),OR(  Z2="退伍",Z2="退", Z2=""  ), $AP2 =""),"當日退伍",  IF(AND(  OR(Y2="退",Y2="退伍" ), OR(Z2="退",Z2="退伍" ), $AP2 =""),"退伍","全日勤"  )  )  )  )  )  )  )  )  )  )  ),"")</f>
        <v>全日勤</v>
      </c>
      <c r="Z43" s="66" t="str">
        <f>IF(   (ROW(BL2)-1)&lt;=暫1!$B$2,           IF(  AND(  OR(  Z2="x",Z2="補"  ), OR(  AA2 ="x",AA2="補",AA2="x榮18-22",AA2="x公18-22",AA2="x榮22-08"  ), $AP2 =""),"全日休",  IF(  AND(  OR(  Z2="x",Z2="病"  ), OR(  AA2 ="病"  ), $AP2 =""),"病(事)假",  IF(  AND(  OR(  Z2="x",Z2="補"  ), OR(  AA2 ="補"  ), $AP2 =""),"補休",  IF(  AND(  OR(  Z2="x",Z2="喪"  ), OR(  AA2 ="喪"  ), $AP2 =""),"喪假",  IF(  AND(  OR(  Z2="x",Z2="婚",Z2="產"  ), OR(  AA2 ="婚",AA2="產"  ), $AP2 =""),"婚(產)假",  IF(  AND(  OR(  Z2="x",Z2="公"  ), OR(  AA2 ="公"  ), $AP2 =""),"公假",  IF(  AND(  OR(  Z2="x",Z2="補",Z2="婚",Z2="公",Z2="病",Z2="事",Z2="x榮18-22"  ),OR(AA2=""), $AP2 =""  ),"18收",  IF(  AND(  OR(  Z2 ="榮14-18",Z2 ="榮10-18",Z2 ="榮06-18",Z2 ="病14-18"  ),OR(  AA2 ="x",AA2="補",AA2="婚",AA2="公",AA2="病",AA2="事",AA2="x"  ), $AP2 =""),"18放早走",  IF(  AND(  OR(  Z2 =""),OR(  AA2 ="x",AA2="補",AA2="婚",AA2="公",AA2="病",AA2="事",AA2="x榮*",AA2="榮",AA2="榮-22"  ), $AP2 =""),"18放",  IF(  AND(  OR(  Z2="當日退伍"  ),OR(  AA2="退伍",AA2="退", AA2=""  ), $AP2 =""),"當日退伍",  IF(AND(  OR(Z2="退",Z2="退伍" ), OR(AA2="退",AA2="退伍" ), $AP2 =""),"退伍","全日勤"  )  )  )  )  )  )  )  )  )  )  ),"")</f>
        <v>全日勤</v>
      </c>
      <c r="AA43" s="66" t="str">
        <f>IF(   (ROW(BM2)-1)&lt;=暫1!$B$2,           IF(  AND(  OR(  AA2="x",AA2="補"  ), OR(  AB2 ="x",AB2="補",AB2="x榮18-22",AB2="x公18-22",AB2="x榮22-08"  ), $AP2 =""),"全日休",  IF(  AND(  OR(  AA2="x",AA2="病"  ), OR(  AB2 ="病"  ), $AP2 =""),"病(事)假",  IF(  AND(  OR(  AA2="x",AA2="補"  ), OR(  AB2 ="補"  ), $AP2 =""),"補休",  IF(  AND(  OR(  AA2="x",AA2="喪"  ), OR(  AB2 ="喪"  ), $AP2 =""),"喪假",  IF(  AND(  OR(  AA2="x",AA2="婚",AA2="產"  ), OR(  AB2 ="婚",AB2="產"  ), $AP2 =""),"婚(產)假",  IF(  AND(  OR(  AA2="x",AA2="公"  ), OR(  AB2 ="公"  ), $AP2 =""),"公假",  IF(  AND(  OR(  AA2="x",AA2="補",AA2="婚",AA2="公",AA2="病",AA2="事",AA2="x榮18-22"  ),OR(AB2=""), $AP2 =""  ),"18收",  IF(  AND(  OR(  AA2 ="榮14-18",AA2 ="榮10-18",AA2 ="榮06-18",AA2 ="病14-18"  ),OR(  AB2 ="x",AB2="補",AB2="婚",AB2="公",AB2="病",AB2="事",AB2="x"  ), $AP2 =""),"18放早走",  IF(  AND(  OR(  AA2 =""),OR(  AB2 ="x",AB2="補",AB2="婚",AB2="公",AB2="病",AB2="事",AB2="x榮*",AB2="榮",AB2="榮-22"  ), $AP2 =""),"18放",  IF(  AND(  OR(  AA2="當日退伍"  ),OR(  AB2="退伍",AB2="退", AB2=""  ), $AP2 =""),"當日退伍",  IF(AND(  OR(AA2="退",AA2="退伍" ), OR(AB2="退",AB2="退伍" ), $AP2 =""),"退伍","全日勤"  )  )  )  )  )  )  )  )  )  )  ),"")</f>
        <v>全日勤</v>
      </c>
      <c r="AB43" s="66" t="str">
        <f>IF(   (ROW(BN2)-1)&lt;=暫1!$B$2,           IF(  AND(  OR(  AB2="x",AB2="補"  ), OR(  AC2 ="x",AC2="補",AC2="x榮18-22",AC2="x公18-22",AC2="x榮22-08"  ), $AP2 =""),"全日休",  IF(  AND(  OR(  AB2="x",AB2="病"  ), OR(  AC2 ="病"  ), $AP2 =""),"病(事)假",  IF(  AND(  OR(  AB2="x",AB2="補"  ), OR(  AC2 ="補"  ), $AP2 =""),"補休",  IF(  AND(  OR(  AB2="x",AB2="喪"  ), OR(  AC2 ="喪"  ), $AP2 =""),"喪假",  IF(  AND(  OR(  AB2="x",AB2="婚",AB2="產"  ), OR(  AC2 ="婚",AC2="產"  ), $AP2 =""),"婚(產)假",  IF(  AND(  OR(  AB2="x",AB2="公"  ), OR(  AC2 ="公"  ), $AP2 =""),"公假",  IF(  AND(  OR(  AB2="x",AB2="補",AB2="婚",AB2="公",AB2="病",AB2="事",AB2="x榮18-22"  ),OR(AC2=""), $AP2 =""  ),"18收",  IF(  AND(  OR(  AB2 ="榮14-18",AB2 ="榮10-18",AB2 ="榮06-18",AB2 ="病14-18"  ),OR(  AC2 ="x",AC2="補",AC2="婚",AC2="公",AC2="病",AC2="事",AC2="x"  ), $AP2 =""),"18放早走",  IF(  AND(  OR(  AB2 =""),OR(  AC2 ="x",AC2="補",AC2="婚",AC2="公",AC2="病",AC2="事",AC2="x榮*",AC2="榮",AC2="榮-22"  ), $AP2 =""),"18放",  IF(  AND(  OR(  AB2="當日退伍"  ),OR(  AC2="退伍",AC2="退", AC2=""  ), $AP2 =""),"當日退伍",  IF(AND(  OR(AB2="退",AB2="退伍" ), OR(AC2="退",AC2="退伍" ), $AP2 =""),"退伍","全日勤"  )  )  )  )  )  )  )  )  )  )  ),"")</f>
        <v>全日勤</v>
      </c>
      <c r="AC43" s="66" t="str">
        <f>IF(   (ROW(BO2)-1)&lt;=暫1!$B$2,           IF(  AND(  OR(  AC2="x",AC2="補"  ), OR(  AD2 ="x",AD2="補",AD2="x榮18-22",AD2="x公18-22",AD2="x榮22-08"  ), $AP2 =""),"全日休",  IF(  AND(  OR(  AC2="x",AC2="病"  ), OR(  AD2 ="病"  ), $AP2 =""),"病(事)假",  IF(  AND(  OR(  AC2="x",AC2="補"  ), OR(  AD2 ="補"  ), $AP2 =""),"補休",  IF(  AND(  OR(  AC2="x",AC2="喪"  ), OR(  AD2 ="喪"  ), $AP2 =""),"喪假",  IF(  AND(  OR(  AC2="x",AC2="婚",AC2="產"  ), OR(  AD2 ="婚",AD2="產"  ), $AP2 =""),"婚(產)假",  IF(  AND(  OR(  AC2="x",AC2="公"  ), OR(  AD2 ="公"  ), $AP2 =""),"公假",  IF(  AND(  OR(  AC2="x",AC2="補",AC2="婚",AC2="公",AC2="病",AC2="事",AC2="x榮18-22"  ),OR(AD2=""), $AP2 =""  ),"18收",  IF(  AND(  OR(  AC2 ="榮14-18",AC2 ="榮10-18",AC2 ="榮06-18",AC2 ="病14-18"  ),OR(  AD2 ="x",AD2="補",AD2="婚",AD2="公",AD2="病",AD2="事",AD2="x"  ), $AP2 =""),"18放早走",  IF(  AND(  OR(  AC2 =""),OR(  AD2 ="x",AD2="補",AD2="婚",AD2="公",AD2="病",AD2="事",AD2="x榮*",AD2="榮",AD2="榮-22"  ), $AP2 =""),"18放",  IF(  AND(  OR(  AC2="當日退伍"  ),OR(  AD2="退伍",AD2="退", AD2=""  ), $AP2 =""),"當日退伍",  IF(AND(  OR(AC2="退",AC2="退伍" ), OR(AD2="退",AD2="退伍" ), $AP2 =""),"退伍","全日勤"  )  )  )  )  )  )  )  )  )  )  ),"")</f>
        <v>全日勤</v>
      </c>
      <c r="AD43" s="66" t="str">
        <f>IF(   (ROW(BP2)-1)&lt;=暫1!$B$2,           IF(  AND(  OR(  AD2="x",AD2="補"  ), OR(  AE2 ="x",AE2="補",AE2="x榮18-22",AE2="x公18-22",AE2="x榮22-08"  ), $AP2 =""),"全日休",  IF(  AND(  OR(  AD2="x",AD2="病"  ), OR(  AE2 ="病"  ), $AP2 =""),"病(事)假",  IF(  AND(  OR(  AD2="x",AD2="補"  ), OR(  AE2 ="補"  ), $AP2 =""),"補休",  IF(  AND(  OR(  AD2="x",AD2="喪"  ), OR(  AE2 ="喪"  ), $AP2 =""),"喪假",  IF(  AND(  OR(  AD2="x",AD2="婚",AD2="產"  ), OR(  AE2 ="婚",AE2="產"  ), $AP2 =""),"婚(產)假",  IF(  AND(  OR(  AD2="x",AD2="公"  ), OR(  AE2 ="公"  ), $AP2 =""),"公假",  IF(  AND(  OR(  AD2="x",AD2="補",AD2="婚",AD2="公",AD2="病",AD2="事",AD2="x榮18-22"  ),OR(AE2=""), $AP2 =""  ),"18收",  IF(  AND(  OR(  AD2 ="榮14-18",AD2 ="榮10-18",AD2 ="榮06-18",AD2 ="病14-18"  ),OR(  AE2 ="x",AE2="補",AE2="婚",AE2="公",AE2="病",AE2="事",AE2="x"  ), $AP2 =""),"18放早走",  IF(  AND(  OR(  AD2 =""),OR(  AE2 ="x",AE2="補",AE2="婚",AE2="公",AE2="病",AE2="事",AE2="x榮*",AE2="榮",AE2="榮-22"  ), $AP2 =""),"18放",  IF(  AND(  OR(  AD2="當日退伍"  ),OR(  AE2="退伍",AE2="退", AE2=""  ), $AP2 =""),"當日退伍",  IF(AND(  OR(AD2="退",AD2="退伍" ), OR(AE2="退",AE2="退伍" ), $AP2 =""),"退伍","全日勤"  )  )  )  )  )  )  )  )  )  )  ),"")</f>
        <v>全日勤</v>
      </c>
      <c r="AE43" s="66" t="str">
        <f>IF(   (ROW(BQ2)-1)&lt;=暫1!$B$2,           IF(  AND(  OR(  AE2="x",AE2="補"  ), OR(  AF2 ="x",AF2="補",AF2="x榮18-22",AF2="x公18-22",AF2="x榮22-08"  ), $AP2 =""),"全日休",  IF(  AND(  OR(  AE2="x",AE2="病"  ), OR(  AF2 ="病"  ), $AP2 =""),"病(事)假",  IF(  AND(  OR(  AE2="x",AE2="補"  ), OR(  AF2 ="補"  ), $AP2 =""),"補休",  IF(  AND(  OR(  AE2="x",AE2="喪"  ), OR(  AF2 ="喪"  ), $AP2 =""),"喪假",  IF(  AND(  OR(  AE2="x",AE2="婚",AE2="產"  ), OR(  AF2 ="婚",AF2="產"  ), $AP2 =""),"婚(產)假",  IF(  AND(  OR(  AE2="x",AE2="公"  ), OR(  AF2 ="公"  ), $AP2 =""),"公假",  IF(  AND(  OR(  AE2="x",AE2="補",AE2="婚",AE2="公",AE2="病",AE2="事",AE2="x榮18-22"  ),OR(AF2=""), $AP2 =""  ),"18收",  IF(  AND(  OR(  AE2 ="榮14-18",AE2 ="榮10-18",AE2 ="榮06-18",AE2 ="病14-18"  ),OR(  AF2 ="x",AF2="補",AF2="婚",AF2="公",AF2="病",AF2="事",AF2="x"  ), $AP2 =""),"18放早走",  IF(  AND(  OR(  AE2 =""),OR(  AF2 ="x",AF2="補",AF2="婚",AF2="公",AF2="病",AF2="事",AF2="x榮*",AF2="榮",AF2="榮-22"  ), $AP2 =""),"18放",  IF(  AND(  OR(  AE2="當日退伍"  ),OR(  AF2="退伍",AF2="退", AF2=""  ), $AP2 =""),"當日退伍",  IF(AND(  OR(AE2="退",AE2="退伍" ), OR(AF2="退",AF2="退伍" ), $AP2 =""),"退伍","全日勤"  )  )  )  )  )  )  )  )  )  )  ),"")</f>
        <v>全日勤</v>
      </c>
      <c r="AF43" s="66" t="str">
        <f>IF(   (ROW(BR2)-1)&lt;=暫1!$B$2,           IF(  AND(  OR(  AF2="x",AF2="補"  ), OR(  AG2 ="x",AG2="補",AG2="x榮18-22",AG2="x公18-22",AG2="x榮22-08"  ), $AP2 =""),"全日休",  IF(  AND(  OR(  AF2="x",AF2="病"  ), OR(  AG2 ="病"  ), $AP2 =""),"病(事)假",  IF(  AND(  OR(  AF2="x",AF2="補"  ), OR(  AG2 ="補"  ), $AP2 =""),"補休",  IF(  AND(  OR(  AF2="x",AF2="喪"  ), OR(  AG2 ="喪"  ), $AP2 =""),"喪假",  IF(  AND(  OR(  AF2="x",AF2="婚",AF2="產"  ), OR(  AG2 ="婚",AG2="產"  ), $AP2 =""),"婚(產)假",  IF(  AND(  OR(  AF2="x",AF2="公"  ), OR(  AG2 ="公"  ), $AP2 =""),"公假",  IF(  AND(  OR(  AF2="x",AF2="補",AF2="婚",AF2="公",AF2="病",AF2="事",AF2="x榮18-22"  ),OR(AG2=""), $AP2 =""  ),"18收",  IF(  AND(  OR(  AF2 ="榮14-18",AF2 ="榮10-18",AF2 ="榮06-18",AF2 ="病14-18"  ),OR(  AG2 ="x",AG2="補",AG2="婚",AG2="公",AG2="病",AG2="事",AG2="x"  ), $AP2 =""),"18放早走",  IF(  AND(  OR(  AF2 =""),OR(  AG2 ="x",AG2="補",AG2="婚",AG2="公",AG2="病",AG2="事",AG2="x榮*",AG2="榮",AG2="榮-22"  ), $AP2 =""),"18放",  IF(  AND(  OR(  AF2="當日退伍"  ),OR(  AG2="退伍",AG2="退", AG2=""  ), $AP2 =""),"當日退伍",  IF(AND(  OR(AF2="退",AF2="退伍" ), OR(AG2="退",AG2="退伍" ), $AP2 =""),"退伍","全日勤"  )  )  )  )  )  )  )  )  )  )  ),"")</f>
        <v>18放</v>
      </c>
      <c r="AG43" s="66" t="str">
        <f>IF(   (ROW(BS2)-1)&lt;=暫1!$B$2,           IF(  AND(  OR(  AG2="x",AG2="補"  ), OR(  AH2 ="x",AH2="補",AH2="x榮18-22",AH2="x公18-22",AH2="x榮22-08"  ), $AP2 =""),"全日休",  IF(  AND(  OR(  AG2="x",AG2="病"  ), OR(  AH2 ="病"  ), $AP2 =""),"病(事)假",  IF(  AND(  OR(  AG2="x",AG2="補"  ), OR(  AH2 ="補"  ), $AP2 =""),"補休",  IF(  AND(  OR(  AG2="x",AG2="喪"  ), OR(  AH2 ="喪"  ), $AP2 =""),"喪假",  IF(  AND(  OR(  AG2="x",AG2="婚",AG2="產"  ), OR(  AH2 ="婚",AH2="產"  ), $AP2 =""),"婚(產)假",  IF(  AND(  OR(  AG2="x",AG2="公"  ), OR(  AH2 ="公"  ), $AP2 =""),"公假",  IF(  AND(  OR(  AG2="x",AG2="補",AG2="婚",AG2="公",AG2="病",AG2="事",AG2="x榮18-22"  ),OR(AH2=""), $AP2 =""  ),"18收",  IF(  AND(  OR(  AG2 ="榮14-18",AG2 ="榮10-18",AG2 ="榮06-18",AG2 ="病14-18"  ),OR(  AH2 ="x",AH2="補",AH2="婚",AH2="公",AH2="病",AH2="事",AH2="x"  ), $AP2 =""),"18放早走",  IF(  AND(  OR(  AG2 =""),OR(  AH2 ="x",AH2="補",AH2="婚",AH2="公",AH2="病",AH2="事",AH2="x榮*",AH2="榮",AH2="榮-22"  ), $AP2 =""),"18放",  IF(  AND(  OR(  AG2="當日退伍"  ),OR(  AH2="退伍",AH2="退", AH2=""  ), $AP2 =""),"當日退伍",  IF(AND(  OR(AG2="退",AG2="退伍" ), OR(AH2="退",AH2="退伍" ), $AP2 =""),"退伍","全日勤"  )  )  )  )  )  )  )  )  )  )  ),"")</f>
        <v>18收</v>
      </c>
      <c r="AH43" s="66" t="str">
        <f>IF(   (ROW(BT2)-1)&lt;=暫1!$B$2,           IF(  AND(  OR(  AH2="x",AH2="補"  ), OR(  AI2 ="x",AI2="補",AI2="x榮18-22",AI2="x公18-22",AI2="x榮22-08"  ), $AP2 =""),"全日休",  IF(  AND(  OR(  AH2="x",AH2="病"  ), OR(  AI2 ="病"  ), $AP2 =""),"病(事)假",  IF(  AND(  OR(  AH2="x",AH2="補"  ), OR(  AI2 ="補"  ), $AP2 =""),"補休",  IF(  AND(  OR(  AH2="x",AH2="喪"  ), OR(  AI2 ="喪"  ), $AP2 =""),"喪假",  IF(  AND(  OR(  AH2="x",AH2="婚",AH2="產"  ), OR(  AI2 ="婚",AI2="產"  ), $AP2 =""),"婚(產)假",  IF(  AND(  OR(  AH2="x",AH2="公"  ), OR(  AI2 ="公"  ), $AP2 =""),"公假",  IF(  AND(  OR(  AH2="x",AH2="補",AH2="婚",AH2="公",AH2="病",AH2="事",AH2="x榮18-22"  ),OR(AI2=""), $AP2 =""  ),"18收",  IF(  AND(  OR(  AH2 ="榮14-18",AH2 ="榮10-18",AH2 ="榮06-18",AH2 ="病14-18"  ),OR(  AI2 ="x",AI2="補",AI2="婚",AI2="公",AI2="病",AI2="事",AI2="x"  ), $AP2 =""),"18放早走",  IF(  AND(  OR(  AH2 =""),OR(  AI2 ="x",AI2="補",AI2="婚",AI2="公",AI2="病",AI2="事",AI2="x榮*",AI2="榮",AI2="榮-22"  ), $AP2 =""),"18放",  IF(  AND(  OR(  AH2="當日退伍"  ),OR(  AI2="退伍",AI2="退", AI2=""  ), $AP2 =""),"當日退伍",  IF(AND(  OR(AH2="退",AH2="退伍" ), OR(AI2="退",AI2="退伍" ), $AP2 =""),"退伍","全日勤"  )  )  )  )  )  )  )  )  )  )  ),"")</f>
        <v>全日勤</v>
      </c>
      <c r="AI43" s="66" t="str">
        <f>IF(   (ROW(BU2)-1)&lt;=暫1!$B$2,           IF(  AND(  OR(  AI2="x",AI2="補"  ), OR(  AJ2 ="x",AJ2="補",AJ2="x榮18-22",AJ2="x公18-22",AJ2="x榮22-08"  ), $AP2 =""),"全日休",  IF(  AND(  OR(  AI2="x",AI2="病"  ), OR(  AJ2 ="病"  ), $AP2 =""),"病(事)假",  IF(  AND(  OR(  AI2="x",AI2="補"  ), OR(  AJ2 ="補"  ), $AP2 =""),"補休",  IF(  AND(  OR(  AI2="x",AI2="喪"  ), OR(  AJ2 ="喪"  ), $AP2 =""),"喪假",  IF(  AND(  OR(  AI2="x",AI2="婚",AI2="產"  ), OR(  AJ2 ="婚",AJ2="產"  ), $AP2 =""),"婚(產)假",  IF(  AND(  OR(  AI2="x",AI2="公"  ), OR(  AJ2 ="公"  ), $AP2 =""),"公假",  IF(  AND(  OR(  AI2="x",AI2="補",AI2="婚",AI2="公",AI2="病",AI2="事",AI2="x榮18-22"  ),OR(AJ2=""), $AP2 =""  ),"18收",  IF(  AND(  OR(  AI2 ="榮14-18",AI2 ="榮10-18",AI2 ="榮06-18",AI2 ="病14-18"  ),OR(  AJ2 ="x",AJ2="補",AJ2="婚",AJ2="公",AJ2="病",AJ2="事",AJ2="x"  ), $AP2 =""),"18放早走",  IF(  AND(  OR(  AI2 =""),OR(  AJ2 ="x",AJ2="補",AJ2="婚",AJ2="公",AJ2="病",AJ2="事",AJ2="x榮*",AJ2="榮",AJ2="榮-22"  ), $AP2 =""),"18放",  IF(  AND(  OR(  AI2="當日退伍"  ),OR(  AJ2="退伍",AJ2="退", AJ2=""  ), $AP2 =""),"當日退伍",  IF(AND(  OR(AI2="退",AI2="退伍" ), OR(AJ2="退",AJ2="退伍" ), $AP2 =""),"退伍","全日勤"  )  )  )  )  )  )  )  )  )  )  ),"")</f>
        <v>全日勤</v>
      </c>
      <c r="AJ43" s="66" t="str">
        <f>IF(   (ROW(BV2)-1)&lt;=暫1!$B$2,           IF(  AND(  OR(  AJ2="x",AJ2="補"  ), OR(  AK2 ="x",AK2="補",AK2="x榮18-22",AK2="x公18-22",AK2="x榮22-08"  ), $AP2 =""),"全日休",  IF(  AND(  OR(  AJ2="x",AJ2="病"  ), OR(  AK2 ="病"  ), $AP2 =""),"病(事)假",  IF(  AND(  OR(  AJ2="x",AJ2="補"  ), OR(  AK2 ="補"  ), $AP2 =""),"補休",  IF(  AND(  OR(  AJ2="x",AJ2="喪"  ), OR(  AK2 ="喪"  ), $AP2 =""),"喪假",  IF(  AND(  OR(  AJ2="x",AJ2="婚",AJ2="產"  ), OR(  AK2 ="婚",AK2="產"  ), $AP2 =""),"婚(產)假",  IF(  AND(  OR(  AJ2="x",AJ2="公"  ), OR(  AK2 ="公"  ), $AP2 =""),"公假",  IF(  AND(  OR(  AJ2="x",AJ2="補",AJ2="婚",AJ2="公",AJ2="病",AJ2="事",AJ2="x榮18-22"  ),OR(AK2=""), $AP2 =""  ),"18收",  IF(  AND(  OR(  AJ2 ="榮14-18",AJ2 ="榮10-18",AJ2 ="榮06-18",AJ2 ="病14-18"  ),OR(  AK2 ="x",AK2="補",AK2="婚",AK2="公",AK2="病",AK2="事",AK2="x"  ), $AP2 =""),"18放早走",  IF(  AND(  OR(  AJ2 =""),OR(  AK2 ="x",AK2="補",AK2="婚",AK2="公",AK2="病",AK2="事",AK2="x榮*",AK2="榮",AK2="榮-22"  ), $AP2 =""),"18放",  IF(  AND(  OR(  AJ2="當日退伍"  ),OR(  AK2="退伍",AK2="退", AK2=""  ), $AP2 =""),"當日退伍",  IF(AND(  OR(AJ2="退",AJ2="退伍" ), OR(AK2="退",AK2="退伍" ), $AP2 =""),"退伍","全日勤"  )  )  )  )  )  )  )  )  )  )  ),"")</f>
        <v>全日勤</v>
      </c>
      <c r="BC43"/>
    </row>
    <row r="44" spans="1:55">
      <c r="A44" s="66">
        <f t="shared" si="4"/>
        <v>2</v>
      </c>
      <c r="B44" s="66" t="str">
        <f t="shared" si="6"/>
        <v>鄭智謙</v>
      </c>
      <c r="C44" s="66" t="str">
        <f>IF(   (ROW(AO3)-1)&lt;=暫1!$B$2,           IF(  AND(  OR(  C3="x",C3="補"  ), OR(  D3 ="x",D3="補",D3="x榮18-22",D3="x公18-22",D3="x榮22-08"  ), $AP3 =""),"全日休",  IF(  AND(  OR(  C3="x",C3="病"  ), OR(  D3 ="病"  ), $AP3 =""),"病(事)假",  IF(  AND(  OR(  C3="x",C3="補"  ), OR(  D3 ="補"  ), $AP3 =""),"補休",  IF(  AND(  OR(  C3="x",C3="喪"  ), OR(  D3 ="喪"  ), $AP3 =""),"喪假",  IF(  AND(  OR(  C3="x",C3="婚",C3="產"  ), OR(  D3 ="婚",D3="產"  ), $AP3 =""),"婚(產)假",  IF(  AND(  OR(  C3="x",C3="公"  ), OR(  D3 ="公"  ), $AP3 =""),"公假",  IF(  AND(  OR(  C3="x",C3="補",C3="婚",C3="公",C3="病",C3="事",C3="x榮18-22"  ),OR(D3=""), $AP3 =""  ),"18收",  IF(  AND(  OR(  C3 ="榮14-18",C3 ="榮10-18",C3 ="榮06-18",C3 ="病14-18"  ),OR(  D3 ="x",D3="補",D3="婚",D3="公",D3="病",D3="事",D3="x"  ), $AP3 =""),"18放早走",  IF(  AND(  OR(  C3 =""),OR(  D3 ="x",D3="補",D3="婚",D3="公",D3="病",D3="事",D3="x榮*",D3="榮",D3="榮-22"  ), $AP3 =""),"18放",  IF(  AND(  OR(  C3="當日退伍"  ),OR(  D3="退伍",D3="退", D3=""  ), $AP3 =""),"當日退伍",  IF(AND(  OR(C3="退",C3="退伍" ), OR(D3="退",D3="退伍" ), $AP3 =""),"退伍","全日勤"  )  )  )  )  )  )  )  )  )  )  ),"")</f>
        <v>全日勤</v>
      </c>
      <c r="D44" s="66" t="str">
        <f>IF(   (ROW(AP3)-1)&lt;=暫1!$B$2,           IF(  AND(  OR(  D3="x",D3="補"  ), OR(  E3 ="x",E3="補",E3="x榮18-22",E3="x公18-22",E3="x榮22-08"  ), $AP3 =""),"全日休",  IF(  AND(  OR(  D3="x",D3="病"  ), OR(  E3 ="病"  ), $AP3 =""),"病(事)假",  IF(  AND(  OR(  D3="x",D3="補"  ), OR(  E3 ="補"  ), $AP3 =""),"補休",  IF(  AND(  OR(  D3="x",D3="喪"  ), OR(  E3 ="喪"  ), $AP3 =""),"喪假",  IF(  AND(  OR(  D3="x",D3="婚",D3="產"  ), OR(  E3 ="婚",E3="產"  ), $AP3 =""),"婚(產)假",  IF(  AND(  OR(  D3="x",D3="公"  ), OR(  E3 ="公"  ), $AP3 =""),"公假",  IF(  AND(  OR(  D3="x",D3="補",D3="婚",D3="公",D3="病",D3="事",D3="x榮18-22"  ),OR(E3=""), $AP3 =""  ),"18收",  IF(  AND(  OR(  D3 ="榮14-18",D3 ="榮10-18",D3 ="榮06-18",D3 ="病14-18"  ),OR(  E3 ="x",E3="補",E3="婚",E3="公",E3="病",E3="事",E3="x"  ), $AP3 =""),"18放早走",  IF(  AND(  OR(  D3 =""),OR(  E3 ="x",E3="補",E3="婚",E3="公",E3="病",E3="事",E3="x榮*",E3="榮",E3="榮-22"  ), $AP3 =""),"18放",  IF(  AND(  OR(  D3="當日退伍"  ),OR(  E3="退伍",E3="退", E3=""  ), $AP3 =""),"當日退伍",  IF(AND(  OR(D3="退",D3="退伍" ), OR(E3="退",E3="退伍" ), $AP3 =""),"退伍","全日勤"  )  )  )  )  )  )  )  )  )  )  ),"")</f>
        <v>全日勤</v>
      </c>
      <c r="E44" s="66" t="str">
        <f>IF(   (ROW(AQ3)-1)&lt;=暫1!$B$2,           IF(  AND(  OR(  E3="x",E3="補"  ), OR(  F3 ="x",F3="補",F3="x榮18-22",F3="x公18-22",F3="x榮22-08"  ), $AP3 =""),"全日休",  IF(  AND(  OR(  E3="x",E3="病"  ), OR(  F3 ="病"  ), $AP3 =""),"病(事)假",  IF(  AND(  OR(  E3="x",E3="補"  ), OR(  F3 ="補"  ), $AP3 =""),"補休",  IF(  AND(  OR(  E3="x",E3="喪"  ), OR(  F3 ="喪"  ), $AP3 =""),"喪假",  IF(  AND(  OR(  E3="x",E3="婚",E3="產"  ), OR(  F3 ="婚",F3="產"  ), $AP3 =""),"婚(產)假",  IF(  AND(  OR(  E3="x",E3="公"  ), OR(  F3 ="公"  ), $AP3 =""),"公假",  IF(  AND(  OR(  E3="x",E3="補",E3="婚",E3="公",E3="病",E3="事",E3="x榮18-22"  ),OR(F3=""), $AP3 =""  ),"18收",  IF(  AND(  OR(  E3 ="榮14-18",E3 ="榮10-18",E3 ="榮06-18",E3 ="病14-18"  ),OR(  F3 ="x",F3="補",F3="婚",F3="公",F3="病",F3="事",F3="x"  ), $AP3 =""),"18放早走",  IF(  AND(  OR(  E3 =""),OR(  F3 ="x",F3="補",F3="婚",F3="公",F3="病",F3="事",F3="x榮*",F3="榮",F3="榮-22"  ), $AP3 =""),"18放",  IF(  AND(  OR(  E3="當日退伍"  ),OR(  F3="退伍",F3="退", F3=""  ), $AP3 =""),"當日退伍",  IF(AND(  OR(E3="退",E3="退伍" ), OR(F3="退",F3="退伍" ), $AP3 =""),"退伍","全日勤"  )  )  )  )  )  )  )  )  )  )  ),"")</f>
        <v>全日勤</v>
      </c>
      <c r="F44" s="66" t="str">
        <f>IF(   (ROW(AR3)-1)&lt;=暫1!$B$2,           IF(  AND(  OR(  F3="x",F3="補"  ), OR(  G3 ="x",G3="補",G3="x榮18-22",G3="x公18-22",G3="x榮22-08"  ), $AP3 =""),"全日休",  IF(  AND(  OR(  F3="x",F3="病"  ), OR(  G3 ="病"  ), $AP3 =""),"病(事)假",  IF(  AND(  OR(  F3="x",F3="補"  ), OR(  G3 ="補"  ), $AP3 =""),"補休",  IF(  AND(  OR(  F3="x",F3="喪"  ), OR(  G3 ="喪"  ), $AP3 =""),"喪假",  IF(  AND(  OR(  F3="x",F3="婚",F3="產"  ), OR(  G3 ="婚",G3="產"  ), $AP3 =""),"婚(產)假",  IF(  AND(  OR(  F3="x",F3="公"  ), OR(  G3 ="公"  ), $AP3 =""),"公假",  IF(  AND(  OR(  F3="x",F3="補",F3="婚",F3="公",F3="病",F3="事",F3="x榮18-22"  ),OR(G3=""), $AP3 =""  ),"18收",  IF(  AND(  OR(  F3 ="榮14-18",F3 ="榮10-18",F3 ="榮06-18",F3 ="病14-18"  ),OR(  G3 ="x",G3="補",G3="婚",G3="公",G3="病",G3="事",G3="x"  ), $AP3 =""),"18放早走",  IF(  AND(  OR(  F3 =""),OR(  G3 ="x",G3="補",G3="婚",G3="公",G3="病",G3="事",G3="x榮*",G3="榮",G3="榮-22"  ), $AP3 =""),"18放",  IF(  AND(  OR(  F3="當日退伍"  ),OR(  G3="退伍",G3="退", G3=""  ), $AP3 =""),"當日退伍",  IF(AND(  OR(F3="退",F3="退伍" ), OR(G3="退",G3="退伍" ), $AP3 =""),"退伍","全日勤"  )  )  )  )  )  )  )  )  )  )  ),"")</f>
        <v>全日勤</v>
      </c>
      <c r="G44" s="66" t="str">
        <f>IF(   (ROW(AS3)-1)&lt;=暫1!$B$2,           IF(  AND(  OR(  G3="x",G3="補"  ), OR(  H3 ="x",H3="補",H3="x榮18-22",H3="x公18-22",H3="x榮22-08"  ), $AP3 =""),"全日休",  IF(  AND(  OR(  G3="x",G3="病"  ), OR(  H3 ="病"  ), $AP3 =""),"病(事)假",  IF(  AND(  OR(  G3="x",G3="補"  ), OR(  H3 ="補"  ), $AP3 =""),"補休",  IF(  AND(  OR(  G3="x",G3="喪"  ), OR(  H3 ="喪"  ), $AP3 =""),"喪假",  IF(  AND(  OR(  G3="x",G3="婚",G3="產"  ), OR(  H3 ="婚",H3="產"  ), $AP3 =""),"婚(產)假",  IF(  AND(  OR(  G3="x",G3="公"  ), OR(  H3 ="公"  ), $AP3 =""),"公假",  IF(  AND(  OR(  G3="x",G3="補",G3="婚",G3="公",G3="病",G3="事",G3="x榮18-22"  ),OR(H3=""), $AP3 =""  ),"18收",  IF(  AND(  OR(  G3 ="榮14-18",G3 ="榮10-18",G3 ="榮06-18",G3 ="病14-18"  ),OR(  H3 ="x",H3="補",H3="婚",H3="公",H3="病",H3="事",H3="x"  ), $AP3 =""),"18放早走",  IF(  AND(  OR(  G3 =""),OR(  H3 ="x",H3="補",H3="婚",H3="公",H3="病",H3="事",H3="x榮*",H3="榮",H3="榮-22"  ), $AP3 =""),"18放",  IF(  AND(  OR(  G3="當日退伍"  ),OR(  H3="退伍",H3="退", H3=""  ), $AP3 =""),"當日退伍",  IF(AND(  OR(G3="退",G3="退伍" ), OR(H3="退",H3="退伍" ), $AP3 =""),"退伍","全日勤"  )  )  )  )  )  )  )  )  )  )  ),"")</f>
        <v>全日勤</v>
      </c>
      <c r="H44" s="66" t="str">
        <f>IF(   (ROW(AT3)-1)&lt;=暫1!$B$2,           IF(  AND(  OR(  H3="x",H3="補"  ), OR(  I3 ="x",I3="補",I3="x榮18-22",I3="x公18-22",I3="x榮22-08"  ), $AP3 =""),"全日休",  IF(  AND(  OR(  H3="x",H3="病"  ), OR(  I3 ="病"  ), $AP3 =""),"病(事)假",  IF(  AND(  OR(  H3="x",H3="補"  ), OR(  I3 ="補"  ), $AP3 =""),"補休",  IF(  AND(  OR(  H3="x",H3="喪"  ), OR(  I3 ="喪"  ), $AP3 =""),"喪假",  IF(  AND(  OR(  H3="x",H3="婚",H3="產"  ), OR(  I3 ="婚",I3="產"  ), $AP3 =""),"婚(產)假",  IF(  AND(  OR(  H3="x",H3="公"  ), OR(  I3 ="公"  ), $AP3 =""),"公假",  IF(  AND(  OR(  H3="x",H3="補",H3="婚",H3="公",H3="病",H3="事",H3="x榮18-22"  ),OR(I3=""), $AP3 =""  ),"18收",  IF(  AND(  OR(  H3 ="榮14-18",H3 ="榮10-18",H3 ="榮06-18",H3 ="病14-18"  ),OR(  I3 ="x",I3="補",I3="婚",I3="公",I3="病",I3="事",I3="x"  ), $AP3 =""),"18放早走",  IF(  AND(  OR(  H3 =""),OR(  I3 ="x",I3="補",I3="婚",I3="公",I3="病",I3="事",I3="x榮*",I3="榮",I3="榮-22"  ), $AP3 =""),"18放",  IF(  AND(  OR(  H3="當日退伍"  ),OR(  I3="退伍",I3="退", I3=""  ), $AP3 =""),"當日退伍",  IF(AND(  OR(H3="退",H3="退伍" ), OR(I3="退",I3="退伍" ), $AP3 =""),"退伍","全日勤"  )  )  )  )  )  )  )  )  )  )  ),"")</f>
        <v>全日勤</v>
      </c>
      <c r="I44" s="66" t="str">
        <f>IF(   (ROW(AU3)-1)&lt;=暫1!$B$2,           IF(  AND(  OR(  I3="x",I3="補"  ), OR(  J3 ="x",J3="補",J3="x榮18-22",J3="x公18-22",J3="x榮22-08"  ), $AP3 =""),"全日休",  IF(  AND(  OR(  I3="x",I3="病"  ), OR(  J3 ="病"  ), $AP3 =""),"病(事)假",  IF(  AND(  OR(  I3="x",I3="補"  ), OR(  J3 ="補"  ), $AP3 =""),"補休",  IF(  AND(  OR(  I3="x",I3="喪"  ), OR(  J3 ="喪"  ), $AP3 =""),"喪假",  IF(  AND(  OR(  I3="x",I3="婚",I3="產"  ), OR(  J3 ="婚",J3="產"  ), $AP3 =""),"婚(產)假",  IF(  AND(  OR(  I3="x",I3="公"  ), OR(  J3 ="公"  ), $AP3 =""),"公假",  IF(  AND(  OR(  I3="x",I3="補",I3="婚",I3="公",I3="病",I3="事",I3="x榮18-22"  ),OR(J3=""), $AP3 =""  ),"18收",  IF(  AND(  OR(  I3 ="榮14-18",I3 ="榮10-18",I3 ="榮06-18",I3 ="病14-18"  ),OR(  J3 ="x",J3="補",J3="婚",J3="公",J3="病",J3="事",J3="x"  ), $AP3 =""),"18放早走",  IF(  AND(  OR(  I3 =""),OR(  J3 ="x",J3="補",J3="婚",J3="公",J3="病",J3="事",J3="x榮*",J3="榮",J3="榮-22"  ), $AP3 =""),"18放",  IF(  AND(  OR(  I3="當日退伍"  ),OR(  J3="退伍",J3="退", J3=""  ), $AP3 =""),"當日退伍",  IF(AND(  OR(I3="退",I3="退伍" ), OR(J3="退",J3="退伍" ), $AP3 =""),"退伍","全日勤"  )  )  )  )  )  )  )  )  )  )  ),"")</f>
        <v>全日勤</v>
      </c>
      <c r="J44" s="66" t="str">
        <f>IF(   (ROW(AV3)-1)&lt;=暫1!$B$2,           IF(  AND(  OR(  J3="x",J3="補"  ), OR(  K3 ="x",K3="補",K3="x榮18-22",K3="x公18-22",K3="x榮22-08"  ), $AP3 =""),"全日休",  IF(  AND(  OR(  J3="x",J3="病"  ), OR(  K3 ="病"  ), $AP3 =""),"病(事)假",  IF(  AND(  OR(  J3="x",J3="補"  ), OR(  K3 ="補"  ), $AP3 =""),"補休",  IF(  AND(  OR(  J3="x",J3="喪"  ), OR(  K3 ="喪"  ), $AP3 =""),"喪假",  IF(  AND(  OR(  J3="x",J3="婚",J3="產"  ), OR(  K3 ="婚",K3="產"  ), $AP3 =""),"婚(產)假",  IF(  AND(  OR(  J3="x",J3="公"  ), OR(  K3 ="公"  ), $AP3 =""),"公假",  IF(  AND(  OR(  J3="x",J3="補",J3="婚",J3="公",J3="病",J3="事",J3="x榮18-22"  ),OR(K3=""), $AP3 =""  ),"18收",  IF(  AND(  OR(  J3 ="榮14-18",J3 ="榮10-18",J3 ="榮06-18",J3 ="病14-18"  ),OR(  K3 ="x",K3="補",K3="婚",K3="公",K3="病",K3="事",K3="x"  ), $AP3 =""),"18放早走",  IF(  AND(  OR(  J3 =""),OR(  K3 ="x",K3="補",K3="婚",K3="公",K3="病",K3="事",K3="x榮*",K3="榮",K3="榮-22"  ), $AP3 =""),"18放",  IF(  AND(  OR(  J3="當日退伍"  ),OR(  K3="退伍",K3="退", K3=""  ), $AP3 =""),"當日退伍",  IF(AND(  OR(J3="退",J3="退伍" ), OR(K3="退",K3="退伍" ), $AP3 =""),"退伍","全日勤"  )  )  )  )  )  )  )  )  )  )  ),"")</f>
        <v>全日勤</v>
      </c>
      <c r="K44" s="66" t="str">
        <f>IF(   (ROW(AW3)-1)&lt;=暫1!$B$2,           IF(  AND(  OR(  K3="x",K3="補"  ), OR(  L3 ="x",L3="補",L3="x榮18-22",L3="x公18-22",L3="x榮22-08"  ), $AP3 =""),"全日休",  IF(  AND(  OR(  K3="x",K3="病"  ), OR(  L3 ="病"  ), $AP3 =""),"病(事)假",  IF(  AND(  OR(  K3="x",K3="補"  ), OR(  L3 ="補"  ), $AP3 =""),"補休",  IF(  AND(  OR(  K3="x",K3="喪"  ), OR(  L3 ="喪"  ), $AP3 =""),"喪假",  IF(  AND(  OR(  K3="x",K3="婚",K3="產"  ), OR(  L3 ="婚",L3="產"  ), $AP3 =""),"婚(產)假",  IF(  AND(  OR(  K3="x",K3="公"  ), OR(  L3 ="公"  ), $AP3 =""),"公假",  IF(  AND(  OR(  K3="x",K3="補",K3="婚",K3="公",K3="病",K3="事",K3="x榮18-22"  ),OR(L3=""), $AP3 =""  ),"18收",  IF(  AND(  OR(  K3 ="榮14-18",K3 ="榮10-18",K3 ="榮06-18",K3 ="病14-18"  ),OR(  L3 ="x",L3="補",L3="婚",L3="公",L3="病",L3="事",L3="x"  ), $AP3 =""),"18放早走",  IF(  AND(  OR(  K3 =""),OR(  L3 ="x",L3="補",L3="婚",L3="公",L3="病",L3="事",L3="x榮*",L3="榮",L3="榮-22"  ), $AP3 =""),"18放",  IF(  AND(  OR(  K3="當日退伍"  ),OR(  L3="退伍",L3="退", L3=""  ), $AP3 =""),"當日退伍",  IF(AND(  OR(K3="退",K3="退伍" ), OR(L3="退",L3="退伍" ), $AP3 =""),"退伍","全日勤"  )  )  )  )  )  )  )  )  )  )  ),"")</f>
        <v>全日勤</v>
      </c>
      <c r="L44" s="66" t="str">
        <f>IF(   (ROW(AX3)-1)&lt;=暫1!$B$2,           IF(  AND(  OR(  L3="x",L3="補"  ), OR(  M3 ="x",M3="補",M3="x榮18-22",M3="x公18-22",M3="x榮22-08"  ), $AP3 =""),"全日休",  IF(  AND(  OR(  L3="x",L3="病"  ), OR(  M3 ="病"  ), $AP3 =""),"病(事)假",  IF(  AND(  OR(  L3="x",L3="補"  ), OR(  M3 ="補"  ), $AP3 =""),"補休",  IF(  AND(  OR(  L3="x",L3="喪"  ), OR(  M3 ="喪"  ), $AP3 =""),"喪假",  IF(  AND(  OR(  L3="x",L3="婚",L3="產"  ), OR(  M3 ="婚",M3="產"  ), $AP3 =""),"婚(產)假",  IF(  AND(  OR(  L3="x",L3="公"  ), OR(  M3 ="公"  ), $AP3 =""),"公假",  IF(  AND(  OR(  L3="x",L3="補",L3="婚",L3="公",L3="病",L3="事",L3="x榮18-22"  ),OR(M3=""), $AP3 =""  ),"18收",  IF(  AND(  OR(  L3 ="榮14-18",L3 ="榮10-18",L3 ="榮06-18",L3 ="病14-18"  ),OR(  M3 ="x",M3="補",M3="婚",M3="公",M3="病",M3="事",M3="x"  ), $AP3 =""),"18放早走",  IF(  AND(  OR(  L3 =""),OR(  M3 ="x",M3="補",M3="婚",M3="公",M3="病",M3="事",M3="x榮*",M3="榮",M3="榮-22"  ), $AP3 =""),"18放",  IF(  AND(  OR(  L3="當日退伍"  ),OR(  M3="退伍",M3="退", M3=""  ), $AP3 =""),"當日退伍",  IF(AND(  OR(L3="退",L3="退伍" ), OR(M3="退",M3="退伍" ), $AP3 =""),"退伍","全日勤"  )  )  )  )  )  )  )  )  )  )  ),"")</f>
        <v>全日勤</v>
      </c>
      <c r="M44" s="66" t="str">
        <f>IF(   (ROW(AY3)-1)&lt;=暫1!$B$2,           IF(  AND(  OR(  M3="x",M3="補"  ), OR(  N3 ="x",N3="補",N3="x榮18-22",N3="x公18-22",N3="x榮22-08"  ), $AP3 =""),"全日休",  IF(  AND(  OR(  M3="x",M3="病"  ), OR(  N3 ="病"  ), $AP3 =""),"病(事)假",  IF(  AND(  OR(  M3="x",M3="補"  ), OR(  N3 ="補"  ), $AP3 =""),"補休",  IF(  AND(  OR(  M3="x",M3="喪"  ), OR(  N3 ="喪"  ), $AP3 =""),"喪假",  IF(  AND(  OR(  M3="x",M3="婚",M3="產"  ), OR(  N3 ="婚",N3="產"  ), $AP3 =""),"婚(產)假",  IF(  AND(  OR(  M3="x",M3="公"  ), OR(  N3 ="公"  ), $AP3 =""),"公假",  IF(  AND(  OR(  M3="x",M3="補",M3="婚",M3="公",M3="病",M3="事",M3="x榮18-22"  ),OR(N3=""), $AP3 =""  ),"18收",  IF(  AND(  OR(  M3 ="榮14-18",M3 ="榮10-18",M3 ="榮06-18",M3 ="病14-18"  ),OR(  N3 ="x",N3="補",N3="婚",N3="公",N3="病",N3="事",N3="x"  ), $AP3 =""),"18放早走",  IF(  AND(  OR(  M3 =""),OR(  N3 ="x",N3="補",N3="婚",N3="公",N3="病",N3="事",N3="x榮*",N3="榮",N3="榮-22"  ), $AP3 =""),"18放",  IF(  AND(  OR(  M3="當日退伍"  ),OR(  N3="退伍",N3="退", N3=""  ), $AP3 =""),"當日退伍",  IF(AND(  OR(M3="退",M3="退伍" ), OR(N3="退",N3="退伍" ), $AP3 =""),"退伍","全日勤"  )  )  )  )  )  )  )  )  )  )  ),"")</f>
        <v>全日勤</v>
      </c>
      <c r="N44" s="66" t="str">
        <f>IF(   (ROW(AZ3)-1)&lt;=暫1!$B$2,           IF(  AND(  OR(  N3="x",N3="補"  ), OR(  O3 ="x",O3="補",O3="x榮18-22",O3="x公18-22",O3="x榮22-08"  ), $AP3 =""),"全日休",  IF(  AND(  OR(  N3="x",N3="病"  ), OR(  O3 ="病"  ), $AP3 =""),"病(事)假",  IF(  AND(  OR(  N3="x",N3="補"  ), OR(  O3 ="補"  ), $AP3 =""),"補休",  IF(  AND(  OR(  N3="x",N3="喪"  ), OR(  O3 ="喪"  ), $AP3 =""),"喪假",  IF(  AND(  OR(  N3="x",N3="婚",N3="產"  ), OR(  O3 ="婚",O3="產"  ), $AP3 =""),"婚(產)假",  IF(  AND(  OR(  N3="x",N3="公"  ), OR(  O3 ="公"  ), $AP3 =""),"公假",  IF(  AND(  OR(  N3="x",N3="補",N3="婚",N3="公",N3="病",N3="事",N3="x榮18-22"  ),OR(O3=""), $AP3 =""  ),"18收",  IF(  AND(  OR(  N3 ="榮14-18",N3 ="榮10-18",N3 ="榮06-18",N3 ="病14-18"  ),OR(  O3 ="x",O3="補",O3="婚",O3="公",O3="病",O3="事",O3="x"  ), $AP3 =""),"18放早走",  IF(  AND(  OR(  N3 =""),OR(  O3 ="x",O3="補",O3="婚",O3="公",O3="病",O3="事",O3="x榮*",O3="榮",O3="榮-22"  ), $AP3 =""),"18放",  IF(  AND(  OR(  N3="當日退伍"  ),OR(  O3="退伍",O3="退", O3=""  ), $AP3 =""),"當日退伍",  IF(AND(  OR(N3="退",N3="退伍" ), OR(O3="退",O3="退伍" ), $AP3 =""),"退伍","全日勤"  )  )  )  )  )  )  )  )  )  )  ),"")</f>
        <v>全日勤</v>
      </c>
      <c r="O44" s="66" t="str">
        <f>IF(   (ROW(BA3)-1)&lt;=暫1!$B$2,           IF(  AND(  OR(  O3="x",O3="補"  ), OR(  P3 ="x",P3="補",P3="x榮18-22",P3="x公18-22",P3="x榮22-08"  ), $AP3 =""),"全日休",  IF(  AND(  OR(  O3="x",O3="病"  ), OR(  P3 ="病"  ), $AP3 =""),"病(事)假",  IF(  AND(  OR(  O3="x",O3="補"  ), OR(  P3 ="補"  ), $AP3 =""),"補休",  IF(  AND(  OR(  O3="x",O3="喪"  ), OR(  P3 ="喪"  ), $AP3 =""),"喪假",  IF(  AND(  OR(  O3="x",O3="婚",O3="產"  ), OR(  P3 ="婚",P3="產"  ), $AP3 =""),"婚(產)假",  IF(  AND(  OR(  O3="x",O3="公"  ), OR(  P3 ="公"  ), $AP3 =""),"公假",  IF(  AND(  OR(  O3="x",O3="補",O3="婚",O3="公",O3="病",O3="事",O3="x榮18-22"  ),OR(P3=""), $AP3 =""  ),"18收",  IF(  AND(  OR(  O3 ="榮14-18",O3 ="榮10-18",O3 ="榮06-18",O3 ="病14-18"  ),OR(  P3 ="x",P3="補",P3="婚",P3="公",P3="病",P3="事",P3="x"  ), $AP3 =""),"18放早走",  IF(  AND(  OR(  O3 =""),OR(  P3 ="x",P3="補",P3="婚",P3="公",P3="病",P3="事",P3="x榮*",P3="榮",P3="榮-22"  ), $AP3 =""),"18放",  IF(  AND(  OR(  O3="當日退伍"  ),OR(  P3="退伍",P3="退", P3=""  ), $AP3 =""),"當日退伍",  IF(AND(  OR(O3="退",O3="退伍" ), OR(P3="退",P3="退伍" ), $AP3 =""),"退伍","全日勤"  )  )  )  )  )  )  )  )  )  )  ),"")</f>
        <v>全日勤</v>
      </c>
      <c r="P44" s="66" t="str">
        <f>IF(   (ROW(BB3)-1)&lt;=暫1!$B$2,           IF(  AND(  OR(  P3="x",P3="補"  ), OR(  Q3 ="x",Q3="補",Q3="x榮18-22",Q3="x公18-22",Q3="x榮22-08"  ), $AP3 =""),"全日休",  IF(  AND(  OR(  P3="x",P3="病"  ), OR(  Q3 ="病"  ), $AP3 =""),"病(事)假",  IF(  AND(  OR(  P3="x",P3="補"  ), OR(  Q3 ="補"  ), $AP3 =""),"補休",  IF(  AND(  OR(  P3="x",P3="喪"  ), OR(  Q3 ="喪"  ), $AP3 =""),"喪假",  IF(  AND(  OR(  P3="x",P3="婚",P3="產"  ), OR(  Q3 ="婚",Q3="產"  ), $AP3 =""),"婚(產)假",  IF(  AND(  OR(  P3="x",P3="公"  ), OR(  Q3 ="公"  ), $AP3 =""),"公假",  IF(  AND(  OR(  P3="x",P3="補",P3="婚",P3="公",P3="病",P3="事",P3="x榮18-22"  ),OR(Q3=""), $AP3 =""  ),"18收",  IF(  AND(  OR(  P3 ="榮14-18",P3 ="榮10-18",P3 ="榮06-18",P3 ="病14-18"  ),OR(  Q3 ="x",Q3="補",Q3="婚",Q3="公",Q3="病",Q3="事",Q3="x"  ), $AP3 =""),"18放早走",  IF(  AND(  OR(  P3 =""),OR(  Q3 ="x",Q3="補",Q3="婚",Q3="公",Q3="病",Q3="事",Q3="x榮*",Q3="榮",Q3="榮-22"  ), $AP3 =""),"18放",  IF(  AND(  OR(  P3="當日退伍"  ),OR(  Q3="退伍",Q3="退", Q3=""  ), $AP3 =""),"當日退伍",  IF(AND(  OR(P3="退",P3="退伍" ), OR(Q3="退",Q3="退伍" ), $AP3 =""),"退伍","全日勤"  )  )  )  )  )  )  )  )  )  )  ),"")</f>
        <v>全日勤</v>
      </c>
      <c r="Q44" s="66" t="str">
        <f>IF(   (ROW(BC3)-1)&lt;=暫1!$B$2,           IF(  AND(  OR(  Q3="x",Q3="補"  ), OR(  R3 ="x",R3="補",R3="x榮18-22",R3="x公18-22",R3="x榮22-08"  ), $AP3 =""),"全日休",  IF(  AND(  OR(  Q3="x",Q3="病"  ), OR(  R3 ="病"  ), $AP3 =""),"病(事)假",  IF(  AND(  OR(  Q3="x",Q3="補"  ), OR(  R3 ="補"  ), $AP3 =""),"補休",  IF(  AND(  OR(  Q3="x",Q3="喪"  ), OR(  R3 ="喪"  ), $AP3 =""),"喪假",  IF(  AND(  OR(  Q3="x",Q3="婚",Q3="產"  ), OR(  R3 ="婚",R3="產"  ), $AP3 =""),"婚(產)假",  IF(  AND(  OR(  Q3="x",Q3="公"  ), OR(  R3 ="公"  ), $AP3 =""),"公假",  IF(  AND(  OR(  Q3="x",Q3="補",Q3="婚",Q3="公",Q3="病",Q3="事",Q3="x榮18-22"  ),OR(R3=""), $AP3 =""  ),"18收",  IF(  AND(  OR(  Q3 ="榮14-18",Q3 ="榮10-18",Q3 ="榮06-18",Q3 ="病14-18"  ),OR(  R3 ="x",R3="補",R3="婚",R3="公",R3="病",R3="事",R3="x"  ), $AP3 =""),"18放早走",  IF(  AND(  OR(  Q3 =""),OR(  R3 ="x",R3="補",R3="婚",R3="公",R3="病",R3="事",R3="x榮*",R3="榮",R3="榮-22"  ), $AP3 =""),"18放",  IF(  AND(  OR(  Q3="當日退伍"  ),OR(  R3="退伍",R3="退", R3=""  ), $AP3 =""),"當日退伍",  IF(AND(  OR(Q3="退",Q3="退伍" ), OR(R3="退",R3="退伍" ), $AP3 =""),"退伍","全日勤"  )  )  )  )  )  )  )  )  )  )  ),"")</f>
        <v>全日勤</v>
      </c>
      <c r="R44" s="66" t="str">
        <f>IF(   (ROW(BD3)-1)&lt;=暫1!$B$2,           IF(  AND(  OR(  R3="x",R3="補"  ), OR(  S3 ="x",S3="補",S3="x榮18-22",S3="x公18-22",S3="x榮22-08"  ), $AP3 =""),"全日休",  IF(  AND(  OR(  R3="x",R3="病"  ), OR(  S3 ="病"  ), $AP3 =""),"病(事)假",  IF(  AND(  OR(  R3="x",R3="補"  ), OR(  S3 ="補"  ), $AP3 =""),"補休",  IF(  AND(  OR(  R3="x",R3="喪"  ), OR(  S3 ="喪"  ), $AP3 =""),"喪假",  IF(  AND(  OR(  R3="x",R3="婚",R3="產"  ), OR(  S3 ="婚",S3="產"  ), $AP3 =""),"婚(產)假",  IF(  AND(  OR(  R3="x",R3="公"  ), OR(  S3 ="公"  ), $AP3 =""),"公假",  IF(  AND(  OR(  R3="x",R3="補",R3="婚",R3="公",R3="病",R3="事",R3="x榮18-22"  ),OR(S3=""), $AP3 =""  ),"18收",  IF(  AND(  OR(  R3 ="榮14-18",R3 ="榮10-18",R3 ="榮06-18",R3 ="病14-18"  ),OR(  S3 ="x",S3="補",S3="婚",S3="公",S3="病",S3="事",S3="x"  ), $AP3 =""),"18放早走",  IF(  AND(  OR(  R3 =""),OR(  S3 ="x",S3="補",S3="婚",S3="公",S3="病",S3="事",S3="x榮*",S3="榮",S3="榮-22"  ), $AP3 =""),"18放",  IF(  AND(  OR(  R3="當日退伍"  ),OR(  S3="退伍",S3="退", S3=""  ), $AP3 =""),"當日退伍",  IF(AND(  OR(R3="退",R3="退伍" ), OR(S3="退",S3="退伍" ), $AP3 =""),"退伍","全日勤"  )  )  )  )  )  )  )  )  )  )  ),"")</f>
        <v>全日勤</v>
      </c>
      <c r="S44" s="66" t="str">
        <f>IF(   (ROW(BE3)-1)&lt;=暫1!$B$2,           IF(  AND(  OR(  S3="x",S3="補"  ), OR(  T3 ="x",T3="補",T3="x榮18-22",T3="x公18-22",T3="x榮22-08"  ), $AP3 =""),"全日休",  IF(  AND(  OR(  S3="x",S3="病"  ), OR(  T3 ="病"  ), $AP3 =""),"病(事)假",  IF(  AND(  OR(  S3="x",S3="補"  ), OR(  T3 ="補"  ), $AP3 =""),"補休",  IF(  AND(  OR(  S3="x",S3="喪"  ), OR(  T3 ="喪"  ), $AP3 =""),"喪假",  IF(  AND(  OR(  S3="x",S3="婚",S3="產"  ), OR(  T3 ="婚",T3="產"  ), $AP3 =""),"婚(產)假",  IF(  AND(  OR(  S3="x",S3="公"  ), OR(  T3 ="公"  ), $AP3 =""),"公假",  IF(  AND(  OR(  S3="x",S3="補",S3="婚",S3="公",S3="病",S3="事",S3="x榮18-22"  ),OR(T3=""), $AP3 =""  ),"18收",  IF(  AND(  OR(  S3 ="榮14-18",S3 ="榮10-18",S3 ="榮06-18",S3 ="病14-18"  ),OR(  T3 ="x",T3="補",T3="婚",T3="公",T3="病",T3="事",T3="x"  ), $AP3 =""),"18放早走",  IF(  AND(  OR(  S3 =""),OR(  T3 ="x",T3="補",T3="婚",T3="公",T3="病",T3="事",T3="x榮*",T3="榮",T3="榮-22"  ), $AP3 =""),"18放",  IF(  AND(  OR(  S3="當日退伍"  ),OR(  T3="退伍",T3="退", T3=""  ), $AP3 =""),"當日退伍",  IF(AND(  OR(S3="退",S3="退伍" ), OR(T3="退",T3="退伍" ), $AP3 =""),"退伍","全日勤"  )  )  )  )  )  )  )  )  )  )  ),"")</f>
        <v>全日勤</v>
      </c>
      <c r="T44" s="66" t="str">
        <f>IF(   (ROW(BF3)-1)&lt;=暫1!$B$2,           IF(  AND(  OR(  T3="x",T3="補"  ), OR(  U3 ="x",U3="補",U3="x榮18-22",U3="x公18-22",U3="x榮22-08"  ), $AP3 =""),"全日休",  IF(  AND(  OR(  T3="x",T3="病"  ), OR(  U3 ="病"  ), $AP3 =""),"病(事)假",  IF(  AND(  OR(  T3="x",T3="補"  ), OR(  U3 ="補"  ), $AP3 =""),"補休",  IF(  AND(  OR(  T3="x",T3="喪"  ), OR(  U3 ="喪"  ), $AP3 =""),"喪假",  IF(  AND(  OR(  T3="x",T3="婚",T3="產"  ), OR(  U3 ="婚",U3="產"  ), $AP3 =""),"婚(產)假",  IF(  AND(  OR(  T3="x",T3="公"  ), OR(  U3 ="公"  ), $AP3 =""),"公假",  IF(  AND(  OR(  T3="x",T3="補",T3="婚",T3="公",T3="病",T3="事",T3="x榮18-22"  ),OR(U3=""), $AP3 =""  ),"18收",  IF(  AND(  OR(  T3 ="榮14-18",T3 ="榮10-18",T3 ="榮06-18",T3 ="病14-18"  ),OR(  U3 ="x",U3="補",U3="婚",U3="公",U3="病",U3="事",U3="x"  ), $AP3 =""),"18放早走",  IF(  AND(  OR(  T3 =""),OR(  U3 ="x",U3="補",U3="婚",U3="公",U3="病",U3="事",U3="x榮*",U3="榮",U3="榮-22"  ), $AP3 =""),"18放",  IF(  AND(  OR(  T3="當日退伍"  ),OR(  U3="退伍",U3="退", U3=""  ), $AP3 =""),"當日退伍",  IF(AND(  OR(T3="退",T3="退伍" ), OR(U3="退",U3="退伍" ), $AP3 =""),"退伍","全日勤"  )  )  )  )  )  )  )  )  )  )  ),"")</f>
        <v>全日勤</v>
      </c>
      <c r="U44" s="66" t="str">
        <f>IF(   (ROW(BG3)-1)&lt;=暫1!$B$2,           IF(  AND(  OR(  U3="x",U3="補"  ), OR(  V3 ="x",V3="補",V3="x榮18-22",V3="x公18-22",V3="x榮22-08"  ), $AP3 =""),"全日休",  IF(  AND(  OR(  U3="x",U3="病"  ), OR(  V3 ="病"  ), $AP3 =""),"病(事)假",  IF(  AND(  OR(  U3="x",U3="補"  ), OR(  V3 ="補"  ), $AP3 =""),"補休",  IF(  AND(  OR(  U3="x",U3="喪"  ), OR(  V3 ="喪"  ), $AP3 =""),"喪假",  IF(  AND(  OR(  U3="x",U3="婚",U3="產"  ), OR(  V3 ="婚",V3="產"  ), $AP3 =""),"婚(產)假",  IF(  AND(  OR(  U3="x",U3="公"  ), OR(  V3 ="公"  ), $AP3 =""),"公假",  IF(  AND(  OR(  U3="x",U3="補",U3="婚",U3="公",U3="病",U3="事",U3="x榮18-22"  ),OR(V3=""), $AP3 =""  ),"18收",  IF(  AND(  OR(  U3 ="榮14-18",U3 ="榮10-18",U3 ="榮06-18",U3 ="病14-18"  ),OR(  V3 ="x",V3="補",V3="婚",V3="公",V3="病",V3="事",V3="x"  ), $AP3 =""),"18放早走",  IF(  AND(  OR(  U3 =""),OR(  V3 ="x",V3="補",V3="婚",V3="公",V3="病",V3="事",V3="x榮*",V3="榮",V3="榮-22"  ), $AP3 =""),"18放",  IF(  AND(  OR(  U3="當日退伍"  ),OR(  V3="退伍",V3="退", V3=""  ), $AP3 =""),"當日退伍",  IF(AND(  OR(U3="退",U3="退伍" ), OR(V3="退",V3="退伍" ), $AP3 =""),"退伍","全日勤"  )  )  )  )  )  )  )  )  )  )  ),"")</f>
        <v>全日勤</v>
      </c>
      <c r="V44" s="66" t="str">
        <f>IF(   (ROW(BH3)-1)&lt;=暫1!$B$2,           IF(  AND(  OR(  V3="x",V3="補"  ), OR(  W3 ="x",W3="補",W3="x榮18-22",W3="x公18-22",W3="x榮22-08"  ), $AP3 =""),"全日休",  IF(  AND(  OR(  V3="x",V3="病"  ), OR(  W3 ="病"  ), $AP3 =""),"病(事)假",  IF(  AND(  OR(  V3="x",V3="補"  ), OR(  W3 ="補"  ), $AP3 =""),"補休",  IF(  AND(  OR(  V3="x",V3="喪"  ), OR(  W3 ="喪"  ), $AP3 =""),"喪假",  IF(  AND(  OR(  V3="x",V3="婚",V3="產"  ), OR(  W3 ="婚",W3="產"  ), $AP3 =""),"婚(產)假",  IF(  AND(  OR(  V3="x",V3="公"  ), OR(  W3 ="公"  ), $AP3 =""),"公假",  IF(  AND(  OR(  V3="x",V3="補",V3="婚",V3="公",V3="病",V3="事",V3="x榮18-22"  ),OR(W3=""), $AP3 =""  ),"18收",  IF(  AND(  OR(  V3 ="榮14-18",V3 ="榮10-18",V3 ="榮06-18",V3 ="病14-18"  ),OR(  W3 ="x",W3="補",W3="婚",W3="公",W3="病",W3="事",W3="x"  ), $AP3 =""),"18放早走",  IF(  AND(  OR(  V3 =""),OR(  W3 ="x",W3="補",W3="婚",W3="公",W3="病",W3="事",W3="x榮*",W3="榮",W3="榮-22"  ), $AP3 =""),"18放",  IF(  AND(  OR(  V3="當日退伍"  ),OR(  W3="退伍",W3="退", W3=""  ), $AP3 =""),"當日退伍",  IF(AND(  OR(V3="退",V3="退伍" ), OR(W3="退",W3="退伍" ), $AP3 =""),"退伍","全日勤"  )  )  )  )  )  )  )  )  )  )  ),"")</f>
        <v>全日勤</v>
      </c>
      <c r="W44" s="66" t="str">
        <f>IF(   (ROW(BI3)-1)&lt;=暫1!$B$2,           IF(  AND(  OR(  W3="x",W3="補"  ), OR(  X3 ="x",X3="補",X3="x榮18-22",X3="x公18-22",X3="x榮22-08"  ), $AP3 =""),"全日休",  IF(  AND(  OR(  W3="x",W3="病"  ), OR(  X3 ="病"  ), $AP3 =""),"病(事)假",  IF(  AND(  OR(  W3="x",W3="補"  ), OR(  X3 ="補"  ), $AP3 =""),"補休",  IF(  AND(  OR(  W3="x",W3="喪"  ), OR(  X3 ="喪"  ), $AP3 =""),"喪假",  IF(  AND(  OR(  W3="x",W3="婚",W3="產"  ), OR(  X3 ="婚",X3="產"  ), $AP3 =""),"婚(產)假",  IF(  AND(  OR(  W3="x",W3="公"  ), OR(  X3 ="公"  ), $AP3 =""),"公假",  IF(  AND(  OR(  W3="x",W3="補",W3="婚",W3="公",W3="病",W3="事",W3="x榮18-22"  ),OR(X3=""), $AP3 =""  ),"18收",  IF(  AND(  OR(  W3 ="榮14-18",W3 ="榮10-18",W3 ="榮06-18",W3 ="病14-18"  ),OR(  X3 ="x",X3="補",X3="婚",X3="公",X3="病",X3="事",X3="x"  ), $AP3 =""),"18放早走",  IF(  AND(  OR(  W3 =""),OR(  X3 ="x",X3="補",X3="婚",X3="公",X3="病",X3="事",X3="x榮*",X3="榮",X3="榮-22"  ), $AP3 =""),"18放",  IF(  AND(  OR(  W3="當日退伍"  ),OR(  X3="退伍",X3="退", X3=""  ), $AP3 =""),"當日退伍",  IF(AND(  OR(W3="退",W3="退伍" ), OR(X3="退",X3="退伍" ), $AP3 =""),"退伍","全日勤"  )  )  )  )  )  )  )  )  )  )  ),"")</f>
        <v>全日勤</v>
      </c>
      <c r="X44" s="66" t="str">
        <f>IF(   (ROW(BJ3)-1)&lt;=暫1!$B$2,           IF(  AND(  OR(  X3="x",X3="補"  ), OR(  Y3 ="x",Y3="補",Y3="x榮18-22",Y3="x公18-22",Y3="x榮22-08"  ), $AP3 =""),"全日休",  IF(  AND(  OR(  X3="x",X3="病"  ), OR(  Y3 ="病"  ), $AP3 =""),"病(事)假",  IF(  AND(  OR(  X3="x",X3="補"  ), OR(  Y3 ="補"  ), $AP3 =""),"補休",  IF(  AND(  OR(  X3="x",X3="喪"  ), OR(  Y3 ="喪"  ), $AP3 =""),"喪假",  IF(  AND(  OR(  X3="x",X3="婚",X3="產"  ), OR(  Y3 ="婚",Y3="產"  ), $AP3 =""),"婚(產)假",  IF(  AND(  OR(  X3="x",X3="公"  ), OR(  Y3 ="公"  ), $AP3 =""),"公假",  IF(  AND(  OR(  X3="x",X3="補",X3="婚",X3="公",X3="病",X3="事",X3="x榮18-22"  ),OR(Y3=""), $AP3 =""  ),"18收",  IF(  AND(  OR(  X3 ="榮14-18",X3 ="榮10-18",X3 ="榮06-18",X3 ="病14-18"  ),OR(  Y3 ="x",Y3="補",Y3="婚",Y3="公",Y3="病",Y3="事",Y3="x"  ), $AP3 =""),"18放早走",  IF(  AND(  OR(  X3 =""),OR(  Y3 ="x",Y3="補",Y3="婚",Y3="公",Y3="病",Y3="事",Y3="x榮*",Y3="榮",Y3="榮-22"  ), $AP3 =""),"18放",  IF(  AND(  OR(  X3="當日退伍"  ),OR(  Y3="退伍",Y3="退", Y3=""  ), $AP3 =""),"當日退伍",  IF(AND(  OR(X3="退",X3="退伍" ), OR(Y3="退",Y3="退伍" ), $AP3 =""),"退伍","全日勤"  )  )  )  )  )  )  )  )  )  )  ),"")</f>
        <v>全日勤</v>
      </c>
      <c r="Y44" s="66" t="str">
        <f>IF(   (ROW(BK3)-1)&lt;=暫1!$B$2,           IF(  AND(  OR(  Y3="x",Y3="補"  ), OR(  Z3 ="x",Z3="補",Z3="x榮18-22",Z3="x公18-22",Z3="x榮22-08"  ), $AP3 =""),"全日休",  IF(  AND(  OR(  Y3="x",Y3="病"  ), OR(  Z3 ="病"  ), $AP3 =""),"病(事)假",  IF(  AND(  OR(  Y3="x",Y3="補"  ), OR(  Z3 ="補"  ), $AP3 =""),"補休",  IF(  AND(  OR(  Y3="x",Y3="喪"  ), OR(  Z3 ="喪"  ), $AP3 =""),"喪假",  IF(  AND(  OR(  Y3="x",Y3="婚",Y3="產"  ), OR(  Z3 ="婚",Z3="產"  ), $AP3 =""),"婚(產)假",  IF(  AND(  OR(  Y3="x",Y3="公"  ), OR(  Z3 ="公"  ), $AP3 =""),"公假",  IF(  AND(  OR(  Y3="x",Y3="補",Y3="婚",Y3="公",Y3="病",Y3="事",Y3="x榮18-22"  ),OR(Z3=""), $AP3 =""  ),"18收",  IF(  AND(  OR(  Y3 ="榮14-18",Y3 ="榮10-18",Y3 ="榮06-18",Y3 ="病14-18"  ),OR(  Z3 ="x",Z3="補",Z3="婚",Z3="公",Z3="病",Z3="事",Z3="x"  ), $AP3 =""),"18放早走",  IF(  AND(  OR(  Y3 =""),OR(  Z3 ="x",Z3="補",Z3="婚",Z3="公",Z3="病",Z3="事",Z3="x榮*",Z3="榮",Z3="榮-22"  ), $AP3 =""),"18放",  IF(  AND(  OR(  Y3="當日退伍"  ),OR(  Z3="退伍",Z3="退", Z3=""  ), $AP3 =""),"當日退伍",  IF(AND(  OR(Y3="退",Y3="退伍" ), OR(Z3="退",Z3="退伍" ), $AP3 =""),"退伍","全日勤"  )  )  )  )  )  )  )  )  )  )  ),"")</f>
        <v>全日勤</v>
      </c>
      <c r="Z44" s="66" t="str">
        <f>IF(   (ROW(BL3)-1)&lt;=暫1!$B$2,           IF(  AND(  OR(  Z3="x",Z3="補"  ), OR(  AA3 ="x",AA3="補",AA3="x榮18-22",AA3="x公18-22",AA3="x榮22-08"  ), $AP3 =""),"全日休",  IF(  AND(  OR(  Z3="x",Z3="病"  ), OR(  AA3 ="病"  ), $AP3 =""),"病(事)假",  IF(  AND(  OR(  Z3="x",Z3="補"  ), OR(  AA3 ="補"  ), $AP3 =""),"補休",  IF(  AND(  OR(  Z3="x",Z3="喪"  ), OR(  AA3 ="喪"  ), $AP3 =""),"喪假",  IF(  AND(  OR(  Z3="x",Z3="婚",Z3="產"  ), OR(  AA3 ="婚",AA3="產"  ), $AP3 =""),"婚(產)假",  IF(  AND(  OR(  Z3="x",Z3="公"  ), OR(  AA3 ="公"  ), $AP3 =""),"公假",  IF(  AND(  OR(  Z3="x",Z3="補",Z3="婚",Z3="公",Z3="病",Z3="事",Z3="x榮18-22"  ),OR(AA3=""), $AP3 =""  ),"18收",  IF(  AND(  OR(  Z3 ="榮14-18",Z3 ="榮10-18",Z3 ="榮06-18",Z3 ="病14-18"  ),OR(  AA3 ="x",AA3="補",AA3="婚",AA3="公",AA3="病",AA3="事",AA3="x"  ), $AP3 =""),"18放早走",  IF(  AND(  OR(  Z3 =""),OR(  AA3 ="x",AA3="補",AA3="婚",AA3="公",AA3="病",AA3="事",AA3="x榮*",AA3="榮",AA3="榮-22"  ), $AP3 =""),"18放",  IF(  AND(  OR(  Z3="當日退伍"  ),OR(  AA3="退伍",AA3="退", AA3=""  ), $AP3 =""),"當日退伍",  IF(AND(  OR(Z3="退",Z3="退伍" ), OR(AA3="退",AA3="退伍" ), $AP3 =""),"退伍","全日勤"  )  )  )  )  )  )  )  )  )  )  ),"")</f>
        <v>全日勤</v>
      </c>
      <c r="AA44" s="66" t="str">
        <f>IF(   (ROW(BM3)-1)&lt;=暫1!$B$2,           IF(  AND(  OR(  AA3="x",AA3="補"  ), OR(  AB3 ="x",AB3="補",AB3="x榮18-22",AB3="x公18-22",AB3="x榮22-08"  ), $AP3 =""),"全日休",  IF(  AND(  OR(  AA3="x",AA3="病"  ), OR(  AB3 ="病"  ), $AP3 =""),"病(事)假",  IF(  AND(  OR(  AA3="x",AA3="補"  ), OR(  AB3 ="補"  ), $AP3 =""),"補休",  IF(  AND(  OR(  AA3="x",AA3="喪"  ), OR(  AB3 ="喪"  ), $AP3 =""),"喪假",  IF(  AND(  OR(  AA3="x",AA3="婚",AA3="產"  ), OR(  AB3 ="婚",AB3="產"  ), $AP3 =""),"婚(產)假",  IF(  AND(  OR(  AA3="x",AA3="公"  ), OR(  AB3 ="公"  ), $AP3 =""),"公假",  IF(  AND(  OR(  AA3="x",AA3="補",AA3="婚",AA3="公",AA3="病",AA3="事",AA3="x榮18-22"  ),OR(AB3=""), $AP3 =""  ),"18收",  IF(  AND(  OR(  AA3 ="榮14-18",AA3 ="榮10-18",AA3 ="榮06-18",AA3 ="病14-18"  ),OR(  AB3 ="x",AB3="補",AB3="婚",AB3="公",AB3="病",AB3="事",AB3="x"  ), $AP3 =""),"18放早走",  IF(  AND(  OR(  AA3 =""),OR(  AB3 ="x",AB3="補",AB3="婚",AB3="公",AB3="病",AB3="事",AB3="x榮*",AB3="榮",AB3="榮-22"  ), $AP3 =""),"18放",  IF(  AND(  OR(  AA3="當日退伍"  ),OR(  AB3="退伍",AB3="退", AB3=""  ), $AP3 =""),"當日退伍",  IF(AND(  OR(AA3="退",AA3="退伍" ), OR(AB3="退",AB3="退伍" ), $AP3 =""),"退伍","全日勤"  )  )  )  )  )  )  )  )  )  )  ),"")</f>
        <v>全日勤</v>
      </c>
      <c r="AB44" s="66" t="str">
        <f>IF(   (ROW(BN3)-1)&lt;=暫1!$B$2,           IF(  AND(  OR(  AB3="x",AB3="補"  ), OR(  AC3 ="x",AC3="補",AC3="x榮18-22",AC3="x公18-22",AC3="x榮22-08"  ), $AP3 =""),"全日休",  IF(  AND(  OR(  AB3="x",AB3="病"  ), OR(  AC3 ="病"  ), $AP3 =""),"病(事)假",  IF(  AND(  OR(  AB3="x",AB3="補"  ), OR(  AC3 ="補"  ), $AP3 =""),"補休",  IF(  AND(  OR(  AB3="x",AB3="喪"  ), OR(  AC3 ="喪"  ), $AP3 =""),"喪假",  IF(  AND(  OR(  AB3="x",AB3="婚",AB3="產"  ), OR(  AC3 ="婚",AC3="產"  ), $AP3 =""),"婚(產)假",  IF(  AND(  OR(  AB3="x",AB3="公"  ), OR(  AC3 ="公"  ), $AP3 =""),"公假",  IF(  AND(  OR(  AB3="x",AB3="補",AB3="婚",AB3="公",AB3="病",AB3="事",AB3="x榮18-22"  ),OR(AC3=""), $AP3 =""  ),"18收",  IF(  AND(  OR(  AB3 ="榮14-18",AB3 ="榮10-18",AB3 ="榮06-18",AB3 ="病14-18"  ),OR(  AC3 ="x",AC3="補",AC3="婚",AC3="公",AC3="病",AC3="事",AC3="x"  ), $AP3 =""),"18放早走",  IF(  AND(  OR(  AB3 =""),OR(  AC3 ="x",AC3="補",AC3="婚",AC3="公",AC3="病",AC3="事",AC3="x榮*",AC3="榮",AC3="榮-22"  ), $AP3 =""),"18放",  IF(  AND(  OR(  AB3="當日退伍"  ),OR(  AC3="退伍",AC3="退", AC3=""  ), $AP3 =""),"當日退伍",  IF(AND(  OR(AB3="退",AB3="退伍" ), OR(AC3="退",AC3="退伍" ), $AP3 =""),"退伍","全日勤"  )  )  )  )  )  )  )  )  )  )  ),"")</f>
        <v>全日勤</v>
      </c>
      <c r="AC44" s="66" t="str">
        <f>IF(   (ROW(BO3)-1)&lt;=暫1!$B$2,           IF(  AND(  OR(  AC3="x",AC3="補"  ), OR(  AD3 ="x",AD3="補",AD3="x榮18-22",AD3="x公18-22",AD3="x榮22-08"  ), $AP3 =""),"全日休",  IF(  AND(  OR(  AC3="x",AC3="病"  ), OR(  AD3 ="病"  ), $AP3 =""),"病(事)假",  IF(  AND(  OR(  AC3="x",AC3="補"  ), OR(  AD3 ="補"  ), $AP3 =""),"補休",  IF(  AND(  OR(  AC3="x",AC3="喪"  ), OR(  AD3 ="喪"  ), $AP3 =""),"喪假",  IF(  AND(  OR(  AC3="x",AC3="婚",AC3="產"  ), OR(  AD3 ="婚",AD3="產"  ), $AP3 =""),"婚(產)假",  IF(  AND(  OR(  AC3="x",AC3="公"  ), OR(  AD3 ="公"  ), $AP3 =""),"公假",  IF(  AND(  OR(  AC3="x",AC3="補",AC3="婚",AC3="公",AC3="病",AC3="事",AC3="x榮18-22"  ),OR(AD3=""), $AP3 =""  ),"18收",  IF(  AND(  OR(  AC3 ="榮14-18",AC3 ="榮10-18",AC3 ="榮06-18",AC3 ="病14-18"  ),OR(  AD3 ="x",AD3="補",AD3="婚",AD3="公",AD3="病",AD3="事",AD3="x"  ), $AP3 =""),"18放早走",  IF(  AND(  OR(  AC3 =""),OR(  AD3 ="x",AD3="補",AD3="婚",AD3="公",AD3="病",AD3="事",AD3="x榮*",AD3="榮",AD3="榮-22"  ), $AP3 =""),"18放",  IF(  AND(  OR(  AC3="當日退伍"  ),OR(  AD3="退伍",AD3="退", AD3=""  ), $AP3 =""),"當日退伍",  IF(AND(  OR(AC3="退",AC3="退伍" ), OR(AD3="退",AD3="退伍" ), $AP3 =""),"退伍","全日勤"  )  )  )  )  )  )  )  )  )  )  ),"")</f>
        <v>全日勤</v>
      </c>
      <c r="AD44" s="66" t="str">
        <f>IF(   (ROW(BP3)-1)&lt;=暫1!$B$2,           IF(  AND(  OR(  AD3="x",AD3="補"  ), OR(  AE3 ="x",AE3="補",AE3="x榮18-22",AE3="x公18-22",AE3="x榮22-08"  ), $AP3 =""),"全日休",  IF(  AND(  OR(  AD3="x",AD3="病"  ), OR(  AE3 ="病"  ), $AP3 =""),"病(事)假",  IF(  AND(  OR(  AD3="x",AD3="補"  ), OR(  AE3 ="補"  ), $AP3 =""),"補休",  IF(  AND(  OR(  AD3="x",AD3="喪"  ), OR(  AE3 ="喪"  ), $AP3 =""),"喪假",  IF(  AND(  OR(  AD3="x",AD3="婚",AD3="產"  ), OR(  AE3 ="婚",AE3="產"  ), $AP3 =""),"婚(產)假",  IF(  AND(  OR(  AD3="x",AD3="公"  ), OR(  AE3 ="公"  ), $AP3 =""),"公假",  IF(  AND(  OR(  AD3="x",AD3="補",AD3="婚",AD3="公",AD3="病",AD3="事",AD3="x榮18-22"  ),OR(AE3=""), $AP3 =""  ),"18收",  IF(  AND(  OR(  AD3 ="榮14-18",AD3 ="榮10-18",AD3 ="榮06-18",AD3 ="病14-18"  ),OR(  AE3 ="x",AE3="補",AE3="婚",AE3="公",AE3="病",AE3="事",AE3="x"  ), $AP3 =""),"18放早走",  IF(  AND(  OR(  AD3 =""),OR(  AE3 ="x",AE3="補",AE3="婚",AE3="公",AE3="病",AE3="事",AE3="x榮*",AE3="榮",AE3="榮-22"  ), $AP3 =""),"18放",  IF(  AND(  OR(  AD3="當日退伍"  ),OR(  AE3="退伍",AE3="退", AE3=""  ), $AP3 =""),"當日退伍",  IF(AND(  OR(AD3="退",AD3="退伍" ), OR(AE3="退",AE3="退伍" ), $AP3 =""),"退伍","全日勤"  )  )  )  )  )  )  )  )  )  )  ),"")</f>
        <v>全日勤</v>
      </c>
      <c r="AE44" s="66" t="str">
        <f>IF(   (ROW(BQ3)-1)&lt;=暫1!$B$2,           IF(  AND(  OR(  AE3="x",AE3="補"  ), OR(  AF3 ="x",AF3="補",AF3="x榮18-22",AF3="x公18-22",AF3="x榮22-08"  ), $AP3 =""),"全日休",  IF(  AND(  OR(  AE3="x",AE3="病"  ), OR(  AF3 ="病"  ), $AP3 =""),"病(事)假",  IF(  AND(  OR(  AE3="x",AE3="補"  ), OR(  AF3 ="補"  ), $AP3 =""),"補休",  IF(  AND(  OR(  AE3="x",AE3="喪"  ), OR(  AF3 ="喪"  ), $AP3 =""),"喪假",  IF(  AND(  OR(  AE3="x",AE3="婚",AE3="產"  ), OR(  AF3 ="婚",AF3="產"  ), $AP3 =""),"婚(產)假",  IF(  AND(  OR(  AE3="x",AE3="公"  ), OR(  AF3 ="公"  ), $AP3 =""),"公假",  IF(  AND(  OR(  AE3="x",AE3="補",AE3="婚",AE3="公",AE3="病",AE3="事",AE3="x榮18-22"  ),OR(AF3=""), $AP3 =""  ),"18收",  IF(  AND(  OR(  AE3 ="榮14-18",AE3 ="榮10-18",AE3 ="榮06-18",AE3 ="病14-18"  ),OR(  AF3 ="x",AF3="補",AF3="婚",AF3="公",AF3="病",AF3="事",AF3="x"  ), $AP3 =""),"18放早走",  IF(  AND(  OR(  AE3 =""),OR(  AF3 ="x",AF3="補",AF3="婚",AF3="公",AF3="病",AF3="事",AF3="x榮*",AF3="榮",AF3="榮-22"  ), $AP3 =""),"18放",  IF(  AND(  OR(  AE3="當日退伍"  ),OR(  AF3="退伍",AF3="退", AF3=""  ), $AP3 =""),"當日退伍",  IF(AND(  OR(AE3="退",AE3="退伍" ), OR(AF3="退",AF3="退伍" ), $AP3 =""),"退伍","全日勤"  )  )  )  )  )  )  )  )  )  )  ),"")</f>
        <v>全日勤</v>
      </c>
      <c r="AF44" s="66" t="str">
        <f>IF(   (ROW(BR3)-1)&lt;=暫1!$B$2,           IF(  AND(  OR(  AF3="x",AF3="補"  ), OR(  AG3 ="x",AG3="補",AG3="x榮18-22",AG3="x公18-22",AG3="x榮22-08"  ), $AP3 =""),"全日休",  IF(  AND(  OR(  AF3="x",AF3="病"  ), OR(  AG3 ="病"  ), $AP3 =""),"病(事)假",  IF(  AND(  OR(  AF3="x",AF3="補"  ), OR(  AG3 ="補"  ), $AP3 =""),"補休",  IF(  AND(  OR(  AF3="x",AF3="喪"  ), OR(  AG3 ="喪"  ), $AP3 =""),"喪假",  IF(  AND(  OR(  AF3="x",AF3="婚",AF3="產"  ), OR(  AG3 ="婚",AG3="產"  ), $AP3 =""),"婚(產)假",  IF(  AND(  OR(  AF3="x",AF3="公"  ), OR(  AG3 ="公"  ), $AP3 =""),"公假",  IF(  AND(  OR(  AF3="x",AF3="補",AF3="婚",AF3="公",AF3="病",AF3="事",AF3="x榮18-22"  ),OR(AG3=""), $AP3 =""  ),"18收",  IF(  AND(  OR(  AF3 ="榮14-18",AF3 ="榮10-18",AF3 ="榮06-18",AF3 ="病14-18"  ),OR(  AG3 ="x",AG3="補",AG3="婚",AG3="公",AG3="病",AG3="事",AG3="x"  ), $AP3 =""),"18放早走",  IF(  AND(  OR(  AF3 =""),OR(  AG3 ="x",AG3="補",AG3="婚",AG3="公",AG3="病",AG3="事",AG3="x榮*",AG3="榮",AG3="榮-22"  ), $AP3 =""),"18放",  IF(  AND(  OR(  AF3="當日退伍"  ),OR(  AG3="退伍",AG3="退", AG3=""  ), $AP3 =""),"當日退伍",  IF(AND(  OR(AF3="退",AF3="退伍" ), OR(AG3="退",AG3="退伍" ), $AP3 =""),"退伍","全日勤"  )  )  )  )  )  )  )  )  )  )  ),"")</f>
        <v>全日勤</v>
      </c>
      <c r="AG44" s="66" t="str">
        <f>IF(   (ROW(BS3)-1)&lt;=暫1!$B$2,           IF(  AND(  OR(  AG3="x",AG3="補"  ), OR(  AH3 ="x",AH3="補",AH3="x榮18-22",AH3="x公18-22",AH3="x榮22-08"  ), $AP3 =""),"全日休",  IF(  AND(  OR(  AG3="x",AG3="病"  ), OR(  AH3 ="病"  ), $AP3 =""),"病(事)假",  IF(  AND(  OR(  AG3="x",AG3="補"  ), OR(  AH3 ="補"  ), $AP3 =""),"補休",  IF(  AND(  OR(  AG3="x",AG3="喪"  ), OR(  AH3 ="喪"  ), $AP3 =""),"喪假",  IF(  AND(  OR(  AG3="x",AG3="婚",AG3="產"  ), OR(  AH3 ="婚",AH3="產"  ), $AP3 =""),"婚(產)假",  IF(  AND(  OR(  AG3="x",AG3="公"  ), OR(  AH3 ="公"  ), $AP3 =""),"公假",  IF(  AND(  OR(  AG3="x",AG3="補",AG3="婚",AG3="公",AG3="病",AG3="事",AG3="x榮18-22"  ),OR(AH3=""), $AP3 =""  ),"18收",  IF(  AND(  OR(  AG3 ="榮14-18",AG3 ="榮10-18",AG3 ="榮06-18",AG3 ="病14-18"  ),OR(  AH3 ="x",AH3="補",AH3="婚",AH3="公",AH3="病",AH3="事",AH3="x"  ), $AP3 =""),"18放早走",  IF(  AND(  OR(  AG3 =""),OR(  AH3 ="x",AH3="補",AH3="婚",AH3="公",AH3="病",AH3="事",AH3="x榮*",AH3="榮",AH3="榮-22"  ), $AP3 =""),"18放",  IF(  AND(  OR(  AG3="當日退伍"  ),OR(  AH3="退伍",AH3="退", AH3=""  ), $AP3 =""),"當日退伍",  IF(AND(  OR(AG3="退",AG3="退伍" ), OR(AH3="退",AH3="退伍" ), $AP3 =""),"退伍","全日勤"  )  )  )  )  )  )  )  )  )  )  ),"")</f>
        <v>全日勤</v>
      </c>
      <c r="AH44" s="66" t="str">
        <f>IF(   (ROW(BT3)-1)&lt;=暫1!$B$2,           IF(  AND(  OR(  AH3="x",AH3="補"  ), OR(  AI3 ="x",AI3="補",AI3="x榮18-22",AI3="x公18-22",AI3="x榮22-08"  ), $AP3 =""),"全日休",  IF(  AND(  OR(  AH3="x",AH3="病"  ), OR(  AI3 ="病"  ), $AP3 =""),"病(事)假",  IF(  AND(  OR(  AH3="x",AH3="補"  ), OR(  AI3 ="補"  ), $AP3 =""),"補休",  IF(  AND(  OR(  AH3="x",AH3="喪"  ), OR(  AI3 ="喪"  ), $AP3 =""),"喪假",  IF(  AND(  OR(  AH3="x",AH3="婚",AH3="產"  ), OR(  AI3 ="婚",AI3="產"  ), $AP3 =""),"婚(產)假",  IF(  AND(  OR(  AH3="x",AH3="公"  ), OR(  AI3 ="公"  ), $AP3 =""),"公假",  IF(  AND(  OR(  AH3="x",AH3="補",AH3="婚",AH3="公",AH3="病",AH3="事",AH3="x榮18-22"  ),OR(AI3=""), $AP3 =""  ),"18收",  IF(  AND(  OR(  AH3 ="榮14-18",AH3 ="榮10-18",AH3 ="榮06-18",AH3 ="病14-18"  ),OR(  AI3 ="x",AI3="補",AI3="婚",AI3="公",AI3="病",AI3="事",AI3="x"  ), $AP3 =""),"18放早走",  IF(  AND(  OR(  AH3 =""),OR(  AI3 ="x",AI3="補",AI3="婚",AI3="公",AI3="病",AI3="事",AI3="x榮*",AI3="榮",AI3="榮-22"  ), $AP3 =""),"18放",  IF(  AND(  OR(  AH3="當日退伍"  ),OR(  AI3="退伍",AI3="退", AI3=""  ), $AP3 =""),"當日退伍",  IF(AND(  OR(AH3="退",AH3="退伍" ), OR(AI3="退",AI3="退伍" ), $AP3 =""),"退伍","全日勤"  )  )  )  )  )  )  )  )  )  )  ),"")</f>
        <v>全日勤</v>
      </c>
      <c r="AI44" s="66" t="str">
        <f>IF(   (ROW(BU3)-1)&lt;=暫1!$B$2,           IF(  AND(  OR(  AI3="x",AI3="補"  ), OR(  AJ3 ="x",AJ3="補",AJ3="x榮18-22",AJ3="x公18-22",AJ3="x榮22-08"  ), $AP3 =""),"全日休",  IF(  AND(  OR(  AI3="x",AI3="病"  ), OR(  AJ3 ="病"  ), $AP3 =""),"病(事)假",  IF(  AND(  OR(  AI3="x",AI3="補"  ), OR(  AJ3 ="補"  ), $AP3 =""),"補休",  IF(  AND(  OR(  AI3="x",AI3="喪"  ), OR(  AJ3 ="喪"  ), $AP3 =""),"喪假",  IF(  AND(  OR(  AI3="x",AI3="婚",AI3="產"  ), OR(  AJ3 ="婚",AJ3="產"  ), $AP3 =""),"婚(產)假",  IF(  AND(  OR(  AI3="x",AI3="公"  ), OR(  AJ3 ="公"  ), $AP3 =""),"公假",  IF(  AND(  OR(  AI3="x",AI3="補",AI3="婚",AI3="公",AI3="病",AI3="事",AI3="x榮18-22"  ),OR(AJ3=""), $AP3 =""  ),"18收",  IF(  AND(  OR(  AI3 ="榮14-18",AI3 ="榮10-18",AI3 ="榮06-18",AI3 ="病14-18"  ),OR(  AJ3 ="x",AJ3="補",AJ3="婚",AJ3="公",AJ3="病",AJ3="事",AJ3="x"  ), $AP3 =""),"18放早走",  IF(  AND(  OR(  AI3 =""),OR(  AJ3 ="x",AJ3="補",AJ3="婚",AJ3="公",AJ3="病",AJ3="事",AJ3="x榮*",AJ3="榮",AJ3="榮-22"  ), $AP3 =""),"18放",  IF(  AND(  OR(  AI3="當日退伍"  ),OR(  AJ3="退伍",AJ3="退", AJ3=""  ), $AP3 =""),"當日退伍",  IF(AND(  OR(AI3="退",AI3="退伍" ), OR(AJ3="退",AJ3="退伍" ), $AP3 =""),"退伍","全日勤"  )  )  )  )  )  )  )  )  )  )  ),"")</f>
        <v>全日勤</v>
      </c>
      <c r="AJ44" s="66" t="str">
        <f>IF(   (ROW(BV3)-1)&lt;=暫1!$B$2,           IF(  AND(  OR(  AJ3="x",AJ3="補"  ), OR(  AK3 ="x",AK3="補",AK3="x榮18-22",AK3="x公18-22",AK3="x榮22-08"  ), $AP3 =""),"全日休",  IF(  AND(  OR(  AJ3="x",AJ3="病"  ), OR(  AK3 ="病"  ), $AP3 =""),"病(事)假",  IF(  AND(  OR(  AJ3="x",AJ3="補"  ), OR(  AK3 ="補"  ), $AP3 =""),"補休",  IF(  AND(  OR(  AJ3="x",AJ3="喪"  ), OR(  AK3 ="喪"  ), $AP3 =""),"喪假",  IF(  AND(  OR(  AJ3="x",AJ3="婚",AJ3="產"  ), OR(  AK3 ="婚",AK3="產"  ), $AP3 =""),"婚(產)假",  IF(  AND(  OR(  AJ3="x",AJ3="公"  ), OR(  AK3 ="公"  ), $AP3 =""),"公假",  IF(  AND(  OR(  AJ3="x",AJ3="補",AJ3="婚",AJ3="公",AJ3="病",AJ3="事",AJ3="x榮18-22"  ),OR(AK3=""), $AP3 =""  ),"18收",  IF(  AND(  OR(  AJ3 ="榮14-18",AJ3 ="榮10-18",AJ3 ="榮06-18",AJ3 ="病14-18"  ),OR(  AK3 ="x",AK3="補",AK3="婚",AK3="公",AK3="病",AK3="事",AK3="x"  ), $AP3 =""),"18放早走",  IF(  AND(  OR(  AJ3 =""),OR(  AK3 ="x",AK3="補",AK3="婚",AK3="公",AK3="病",AK3="事",AK3="x榮*",AK3="榮",AK3="榮-22"  ), $AP3 =""),"18放",  IF(  AND(  OR(  AJ3="當日退伍"  ),OR(  AK3="退伍",AK3="退", AK3=""  ), $AP3 =""),"當日退伍",  IF(AND(  OR(AJ3="退",AJ3="退伍" ), OR(AK3="退",AK3="退伍" ), $AP3 =""),"退伍","全日勤"  )  )  )  )  )  )  )  )  )  )  ),"")</f>
        <v>全日勤</v>
      </c>
      <c r="AO44" s="76"/>
      <c r="AP44" s="63"/>
      <c r="AU44" s="63"/>
      <c r="AY44" s="63"/>
      <c r="AZ44" s="63"/>
      <c r="BA44" s="63"/>
    </row>
    <row r="45" spans="1:55">
      <c r="A45" s="66">
        <f t="shared" si="4"/>
        <v>3</v>
      </c>
      <c r="B45" s="66" t="str">
        <f t="shared" si="6"/>
        <v>王敍安</v>
      </c>
      <c r="C45" s="66" t="str">
        <f>IF(   (ROW(AO4)-1)&lt;=暫1!$B$2,           IF(  AND(  OR(  C4="x",C4="補"  ), OR(  D4 ="x",D4="補",D4="x榮18-22",D4="x公18-22",D4="x榮22-08"  ), $AP4 =""),"全日休",  IF(  AND(  OR(  C4="x",C4="病"  ), OR(  D4 ="病"  ), $AP4 =""),"病(事)假",  IF(  AND(  OR(  C4="x",C4="補"  ), OR(  D4 ="補"  ), $AP4 =""),"補休",  IF(  AND(  OR(  C4="x",C4="喪"  ), OR(  D4 ="喪"  ), $AP4 =""),"喪假",  IF(  AND(  OR(  C4="x",C4="婚",C4="產"  ), OR(  D4 ="婚",D4="產"  ), $AP4 =""),"婚(產)假",  IF(  AND(  OR(  C4="x",C4="公"  ), OR(  D4 ="公"  ), $AP4 =""),"公假",  IF(  AND(  OR(  C4="x",C4="補",C4="婚",C4="公",C4="病",C4="事",C4="x榮18-22"  ),OR(D4=""), $AP4 =""  ),"18收",  IF(  AND(  OR(  C4 ="榮14-18",C4 ="榮10-18",C4 ="榮06-18",C4 ="病14-18"  ),OR(  D4 ="x",D4="補",D4="婚",D4="公",D4="病",D4="事",D4="x"  ), $AP4 =""),"18放早走",  IF(  AND(  OR(  C4 =""),OR(  D4 ="x",D4="補",D4="婚",D4="公",D4="病",D4="事",D4="x榮*",D4="榮",D4="榮-22"  ), $AP4 =""),"18放",  IF(  AND(  OR(  C4="當日退伍"  ),OR(  D4="退伍",D4="退", D4=""  ), $AP4 =""),"當日退伍",  IF(AND(  OR(C4="退",C4="退伍" ), OR(D4="退",D4="退伍" ), $AP4 =""),"退伍","全日勤"  )  )  )  )  )  )  )  )  )  )  ),"")</f>
        <v>全日勤</v>
      </c>
      <c r="D45" s="66" t="str">
        <f>IF(   (ROW(AP4)-1)&lt;=暫1!$B$2,           IF(  AND(  OR(  D4="x",D4="補"  ), OR(  E4 ="x",E4="補",E4="x榮18-22",E4="x公18-22",E4="x榮22-08"  ), $AP4 =""),"全日休",  IF(  AND(  OR(  D4="x",D4="病"  ), OR(  E4 ="病"  ), $AP4 =""),"病(事)假",  IF(  AND(  OR(  D4="x",D4="補"  ), OR(  E4 ="補"  ), $AP4 =""),"補休",  IF(  AND(  OR(  D4="x",D4="喪"  ), OR(  E4 ="喪"  ), $AP4 =""),"喪假",  IF(  AND(  OR(  D4="x",D4="婚",D4="產"  ), OR(  E4 ="婚",E4="產"  ), $AP4 =""),"婚(產)假",  IF(  AND(  OR(  D4="x",D4="公"  ), OR(  E4 ="公"  ), $AP4 =""),"公假",  IF(  AND(  OR(  D4="x",D4="補",D4="婚",D4="公",D4="病",D4="事",D4="x榮18-22"  ),OR(E4=""), $AP4 =""  ),"18收",  IF(  AND(  OR(  D4 ="榮14-18",D4 ="榮10-18",D4 ="榮06-18",D4 ="病14-18"  ),OR(  E4 ="x",E4="補",E4="婚",E4="公",E4="病",E4="事",E4="x"  ), $AP4 =""),"18放早走",  IF(  AND(  OR(  D4 =""),OR(  E4 ="x",E4="補",E4="婚",E4="公",E4="病",E4="事",E4="x榮*",E4="榮",E4="榮-22"  ), $AP4 =""),"18放",  IF(  AND(  OR(  D4="當日退伍"  ),OR(  E4="退伍",E4="退", E4=""  ), $AP4 =""),"當日退伍",  IF(AND(  OR(D4="退",D4="退伍" ), OR(E4="退",E4="退伍" ), $AP4 =""),"退伍","全日勤"  )  )  )  )  )  )  )  )  )  )  ),"")</f>
        <v>全日勤</v>
      </c>
      <c r="E45" s="66" t="str">
        <f>IF(   (ROW(AQ4)-1)&lt;=暫1!$B$2,           IF(  AND(  OR(  E4="x",E4="補"  ), OR(  F4 ="x",F4="補",F4="x榮18-22",F4="x公18-22",F4="x榮22-08"  ), $AP4 =""),"全日休",  IF(  AND(  OR(  E4="x",E4="病"  ), OR(  F4 ="病"  ), $AP4 =""),"病(事)假",  IF(  AND(  OR(  E4="x",E4="補"  ), OR(  F4 ="補"  ), $AP4 =""),"補休",  IF(  AND(  OR(  E4="x",E4="喪"  ), OR(  F4 ="喪"  ), $AP4 =""),"喪假",  IF(  AND(  OR(  E4="x",E4="婚",E4="產"  ), OR(  F4 ="婚",F4="產"  ), $AP4 =""),"婚(產)假",  IF(  AND(  OR(  E4="x",E4="公"  ), OR(  F4 ="公"  ), $AP4 =""),"公假",  IF(  AND(  OR(  E4="x",E4="補",E4="婚",E4="公",E4="病",E4="事",E4="x榮18-22"  ),OR(F4=""), $AP4 =""  ),"18收",  IF(  AND(  OR(  E4 ="榮14-18",E4 ="榮10-18",E4 ="榮06-18",E4 ="病14-18"  ),OR(  F4 ="x",F4="補",F4="婚",F4="公",F4="病",F4="事",F4="x"  ), $AP4 =""),"18放早走",  IF(  AND(  OR(  E4 =""),OR(  F4 ="x",F4="補",F4="婚",F4="公",F4="病",F4="事",F4="x榮*",F4="榮",F4="榮-22"  ), $AP4 =""),"18放",  IF(  AND(  OR(  E4="當日退伍"  ),OR(  F4="退伍",F4="退", F4=""  ), $AP4 =""),"當日退伍",  IF(AND(  OR(E4="退",E4="退伍" ), OR(F4="退",F4="退伍" ), $AP4 =""),"退伍","全日勤"  )  )  )  )  )  )  )  )  )  )  ),"")</f>
        <v>全日勤</v>
      </c>
      <c r="F45" s="66" t="str">
        <f>IF(   (ROW(AR4)-1)&lt;=暫1!$B$2,           IF(  AND(  OR(  F4="x",F4="補"  ), OR(  G4 ="x",G4="補",G4="x榮18-22",G4="x公18-22",G4="x榮22-08"  ), $AP4 =""),"全日休",  IF(  AND(  OR(  F4="x",F4="病"  ), OR(  G4 ="病"  ), $AP4 =""),"病(事)假",  IF(  AND(  OR(  F4="x",F4="補"  ), OR(  G4 ="補"  ), $AP4 =""),"補休",  IF(  AND(  OR(  F4="x",F4="喪"  ), OR(  G4 ="喪"  ), $AP4 =""),"喪假",  IF(  AND(  OR(  F4="x",F4="婚",F4="產"  ), OR(  G4 ="婚",G4="產"  ), $AP4 =""),"婚(產)假",  IF(  AND(  OR(  F4="x",F4="公"  ), OR(  G4 ="公"  ), $AP4 =""),"公假",  IF(  AND(  OR(  F4="x",F4="補",F4="婚",F4="公",F4="病",F4="事",F4="x榮18-22"  ),OR(G4=""), $AP4 =""  ),"18收",  IF(  AND(  OR(  F4 ="榮14-18",F4 ="榮10-18",F4 ="榮06-18",F4 ="病14-18"  ),OR(  G4 ="x",G4="補",G4="婚",G4="公",G4="病",G4="事",G4="x"  ), $AP4 =""),"18放早走",  IF(  AND(  OR(  F4 =""),OR(  G4 ="x",G4="補",G4="婚",G4="公",G4="病",G4="事",G4="x榮*",G4="榮",G4="榮-22"  ), $AP4 =""),"18放",  IF(  AND(  OR(  F4="當日退伍"  ),OR(  G4="退伍",G4="退", G4=""  ), $AP4 =""),"當日退伍",  IF(AND(  OR(F4="退",F4="退伍" ), OR(G4="退",G4="退伍" ), $AP4 =""),"退伍","全日勤"  )  )  )  )  )  )  )  )  )  )  ),"")</f>
        <v>全日勤</v>
      </c>
      <c r="G45" s="66" t="str">
        <f>IF(   (ROW(AS4)-1)&lt;=暫1!$B$2,           IF(  AND(  OR(  G4="x",G4="補"  ), OR(  H4 ="x",H4="補",H4="x榮18-22",H4="x公18-22",H4="x榮22-08"  ), $AP4 =""),"全日休",  IF(  AND(  OR(  G4="x",G4="病"  ), OR(  H4 ="病"  ), $AP4 =""),"病(事)假",  IF(  AND(  OR(  G4="x",G4="補"  ), OR(  H4 ="補"  ), $AP4 =""),"補休",  IF(  AND(  OR(  G4="x",G4="喪"  ), OR(  H4 ="喪"  ), $AP4 =""),"喪假",  IF(  AND(  OR(  G4="x",G4="婚",G4="產"  ), OR(  H4 ="婚",H4="產"  ), $AP4 =""),"婚(產)假",  IF(  AND(  OR(  G4="x",G4="公"  ), OR(  H4 ="公"  ), $AP4 =""),"公假",  IF(  AND(  OR(  G4="x",G4="補",G4="婚",G4="公",G4="病",G4="事",G4="x榮18-22"  ),OR(H4=""), $AP4 =""  ),"18收",  IF(  AND(  OR(  G4 ="榮14-18",G4 ="榮10-18",G4 ="榮06-18",G4 ="病14-18"  ),OR(  H4 ="x",H4="補",H4="婚",H4="公",H4="病",H4="事",H4="x"  ), $AP4 =""),"18放早走",  IF(  AND(  OR(  G4 =""),OR(  H4 ="x",H4="補",H4="婚",H4="公",H4="病",H4="事",H4="x榮*",H4="榮",H4="榮-22"  ), $AP4 =""),"18放",  IF(  AND(  OR(  G4="當日退伍"  ),OR(  H4="退伍",H4="退", H4=""  ), $AP4 =""),"當日退伍",  IF(AND(  OR(G4="退",G4="退伍" ), OR(H4="退",H4="退伍" ), $AP4 =""),"退伍","全日勤"  )  )  )  )  )  )  )  )  )  )  ),"")</f>
        <v>全日勤</v>
      </c>
      <c r="H45" s="66" t="str">
        <f>IF(   (ROW(AT4)-1)&lt;=暫1!$B$2,           IF(  AND(  OR(  H4="x",H4="補"  ), OR(  I4 ="x",I4="補",I4="x榮18-22",I4="x公18-22",I4="x榮22-08"  ), $AP4 =""),"全日休",  IF(  AND(  OR(  H4="x",H4="病"  ), OR(  I4 ="病"  ), $AP4 =""),"病(事)假",  IF(  AND(  OR(  H4="x",H4="補"  ), OR(  I4 ="補"  ), $AP4 =""),"補休",  IF(  AND(  OR(  H4="x",H4="喪"  ), OR(  I4 ="喪"  ), $AP4 =""),"喪假",  IF(  AND(  OR(  H4="x",H4="婚",H4="產"  ), OR(  I4 ="婚",I4="產"  ), $AP4 =""),"婚(產)假",  IF(  AND(  OR(  H4="x",H4="公"  ), OR(  I4 ="公"  ), $AP4 =""),"公假",  IF(  AND(  OR(  H4="x",H4="補",H4="婚",H4="公",H4="病",H4="事",H4="x榮18-22"  ),OR(I4=""), $AP4 =""  ),"18收",  IF(  AND(  OR(  H4 ="榮14-18",H4 ="榮10-18",H4 ="榮06-18",H4 ="病14-18"  ),OR(  I4 ="x",I4="補",I4="婚",I4="公",I4="病",I4="事",I4="x"  ), $AP4 =""),"18放早走",  IF(  AND(  OR(  H4 =""),OR(  I4 ="x",I4="補",I4="婚",I4="公",I4="病",I4="事",I4="x榮*",I4="榮",I4="榮-22"  ), $AP4 =""),"18放",  IF(  AND(  OR(  H4="當日退伍"  ),OR(  I4="退伍",I4="退", I4=""  ), $AP4 =""),"當日退伍",  IF(AND(  OR(H4="退",H4="退伍" ), OR(I4="退",I4="退伍" ), $AP4 =""),"退伍","全日勤"  )  )  )  )  )  )  )  )  )  )  ),"")</f>
        <v>全日勤</v>
      </c>
      <c r="I45" s="66" t="str">
        <f>IF(   (ROW(AU4)-1)&lt;=暫1!$B$2,           IF(  AND(  OR(  I4="x",I4="補"  ), OR(  J4 ="x",J4="補",J4="x榮18-22",J4="x公18-22",J4="x榮22-08"  ), $AP4 =""),"全日休",  IF(  AND(  OR(  I4="x",I4="病"  ), OR(  J4 ="病"  ), $AP4 =""),"病(事)假",  IF(  AND(  OR(  I4="x",I4="補"  ), OR(  J4 ="補"  ), $AP4 =""),"補休",  IF(  AND(  OR(  I4="x",I4="喪"  ), OR(  J4 ="喪"  ), $AP4 =""),"喪假",  IF(  AND(  OR(  I4="x",I4="婚",I4="產"  ), OR(  J4 ="婚",J4="產"  ), $AP4 =""),"婚(產)假",  IF(  AND(  OR(  I4="x",I4="公"  ), OR(  J4 ="公"  ), $AP4 =""),"公假",  IF(  AND(  OR(  I4="x",I4="補",I4="婚",I4="公",I4="病",I4="事",I4="x榮18-22"  ),OR(J4=""), $AP4 =""  ),"18收",  IF(  AND(  OR(  I4 ="榮14-18",I4 ="榮10-18",I4 ="榮06-18",I4 ="病14-18"  ),OR(  J4 ="x",J4="補",J4="婚",J4="公",J4="病",J4="事",J4="x"  ), $AP4 =""),"18放早走",  IF(  AND(  OR(  I4 =""),OR(  J4 ="x",J4="補",J4="婚",J4="公",J4="病",J4="事",J4="x榮*",J4="榮",J4="榮-22"  ), $AP4 =""),"18放",  IF(  AND(  OR(  I4="當日退伍"  ),OR(  J4="退伍",J4="退", J4=""  ), $AP4 =""),"當日退伍",  IF(AND(  OR(I4="退",I4="退伍" ), OR(J4="退",J4="退伍" ), $AP4 =""),"退伍","全日勤"  )  )  )  )  )  )  )  )  )  )  ),"")</f>
        <v>全日勤</v>
      </c>
      <c r="J45" s="66" t="str">
        <f>IF(   (ROW(AV4)-1)&lt;=暫1!$B$2,           IF(  AND(  OR(  J4="x",J4="補"  ), OR(  K4 ="x",K4="補",K4="x榮18-22",K4="x公18-22",K4="x榮22-08"  ), $AP4 =""),"全日休",  IF(  AND(  OR(  J4="x",J4="病"  ), OR(  K4 ="病"  ), $AP4 =""),"病(事)假",  IF(  AND(  OR(  J4="x",J4="補"  ), OR(  K4 ="補"  ), $AP4 =""),"補休",  IF(  AND(  OR(  J4="x",J4="喪"  ), OR(  K4 ="喪"  ), $AP4 =""),"喪假",  IF(  AND(  OR(  J4="x",J4="婚",J4="產"  ), OR(  K4 ="婚",K4="產"  ), $AP4 =""),"婚(產)假",  IF(  AND(  OR(  J4="x",J4="公"  ), OR(  K4 ="公"  ), $AP4 =""),"公假",  IF(  AND(  OR(  J4="x",J4="補",J4="婚",J4="公",J4="病",J4="事",J4="x榮18-22"  ),OR(K4=""), $AP4 =""  ),"18收",  IF(  AND(  OR(  J4 ="榮14-18",J4 ="榮10-18",J4 ="榮06-18",J4 ="病14-18"  ),OR(  K4 ="x",K4="補",K4="婚",K4="公",K4="病",K4="事",K4="x"  ), $AP4 =""),"18放早走",  IF(  AND(  OR(  J4 =""),OR(  K4 ="x",K4="補",K4="婚",K4="公",K4="病",K4="事",K4="x榮*",K4="榮",K4="榮-22"  ), $AP4 =""),"18放",  IF(  AND(  OR(  J4="當日退伍"  ),OR(  K4="退伍",K4="退", K4=""  ), $AP4 =""),"當日退伍",  IF(AND(  OR(J4="退",J4="退伍" ), OR(K4="退",K4="退伍" ), $AP4 =""),"退伍","全日勤"  )  )  )  )  )  )  )  )  )  )  ),"")</f>
        <v>全日勤</v>
      </c>
      <c r="K45" s="66" t="str">
        <f>IF(   (ROW(AW4)-1)&lt;=暫1!$B$2,           IF(  AND(  OR(  K4="x",K4="補"  ), OR(  L4 ="x",L4="補",L4="x榮18-22",L4="x公18-22",L4="x榮22-08"  ), $AP4 =""),"全日休",  IF(  AND(  OR(  K4="x",K4="病"  ), OR(  L4 ="病"  ), $AP4 =""),"病(事)假",  IF(  AND(  OR(  K4="x",K4="補"  ), OR(  L4 ="補"  ), $AP4 =""),"補休",  IF(  AND(  OR(  K4="x",K4="喪"  ), OR(  L4 ="喪"  ), $AP4 =""),"喪假",  IF(  AND(  OR(  K4="x",K4="婚",K4="產"  ), OR(  L4 ="婚",L4="產"  ), $AP4 =""),"婚(產)假",  IF(  AND(  OR(  K4="x",K4="公"  ), OR(  L4 ="公"  ), $AP4 =""),"公假",  IF(  AND(  OR(  K4="x",K4="補",K4="婚",K4="公",K4="病",K4="事",K4="x榮18-22"  ),OR(L4=""), $AP4 =""  ),"18收",  IF(  AND(  OR(  K4 ="榮14-18",K4 ="榮10-18",K4 ="榮06-18",K4 ="病14-18"  ),OR(  L4 ="x",L4="補",L4="婚",L4="公",L4="病",L4="事",L4="x"  ), $AP4 =""),"18放早走",  IF(  AND(  OR(  K4 =""),OR(  L4 ="x",L4="補",L4="婚",L4="公",L4="病",L4="事",L4="x榮*",L4="榮",L4="榮-22"  ), $AP4 =""),"18放",  IF(  AND(  OR(  K4="當日退伍"  ),OR(  L4="退伍",L4="退", L4=""  ), $AP4 =""),"當日退伍",  IF(AND(  OR(K4="退",K4="退伍" ), OR(L4="退",L4="退伍" ), $AP4 =""),"退伍","全日勤"  )  )  )  )  )  )  )  )  )  )  ),"")</f>
        <v>全日勤</v>
      </c>
      <c r="L45" s="66" t="str">
        <f>IF(   (ROW(AX4)-1)&lt;=暫1!$B$2,           IF(  AND(  OR(  L4="x",L4="補"  ), OR(  M4 ="x",M4="補",M4="x榮18-22",M4="x公18-22",M4="x榮22-08"  ), $AP4 =""),"全日休",  IF(  AND(  OR(  L4="x",L4="病"  ), OR(  M4 ="病"  ), $AP4 =""),"病(事)假",  IF(  AND(  OR(  L4="x",L4="補"  ), OR(  M4 ="補"  ), $AP4 =""),"補休",  IF(  AND(  OR(  L4="x",L4="喪"  ), OR(  M4 ="喪"  ), $AP4 =""),"喪假",  IF(  AND(  OR(  L4="x",L4="婚",L4="產"  ), OR(  M4 ="婚",M4="產"  ), $AP4 =""),"婚(產)假",  IF(  AND(  OR(  L4="x",L4="公"  ), OR(  M4 ="公"  ), $AP4 =""),"公假",  IF(  AND(  OR(  L4="x",L4="補",L4="婚",L4="公",L4="病",L4="事",L4="x榮18-22"  ),OR(M4=""), $AP4 =""  ),"18收",  IF(  AND(  OR(  L4 ="榮14-18",L4 ="榮10-18",L4 ="榮06-18",L4 ="病14-18"  ),OR(  M4 ="x",M4="補",M4="婚",M4="公",M4="病",M4="事",M4="x"  ), $AP4 =""),"18放早走",  IF(  AND(  OR(  L4 =""),OR(  M4 ="x",M4="補",M4="婚",M4="公",M4="病",M4="事",M4="x榮*",M4="榮",M4="榮-22"  ), $AP4 =""),"18放",  IF(  AND(  OR(  L4="當日退伍"  ),OR(  M4="退伍",M4="退", M4=""  ), $AP4 =""),"當日退伍",  IF(AND(  OR(L4="退",L4="退伍" ), OR(M4="退",M4="退伍" ), $AP4 =""),"退伍","全日勤"  )  )  )  )  )  )  )  )  )  )  ),"")</f>
        <v>全日勤</v>
      </c>
      <c r="M45" s="66" t="str">
        <f>IF(   (ROW(AY4)-1)&lt;=暫1!$B$2,           IF(  AND(  OR(  M4="x",M4="補"  ), OR(  N4 ="x",N4="補",N4="x榮18-22",N4="x公18-22",N4="x榮22-08"  ), $AP4 =""),"全日休",  IF(  AND(  OR(  M4="x",M4="病"  ), OR(  N4 ="病"  ), $AP4 =""),"病(事)假",  IF(  AND(  OR(  M4="x",M4="補"  ), OR(  N4 ="補"  ), $AP4 =""),"補休",  IF(  AND(  OR(  M4="x",M4="喪"  ), OR(  N4 ="喪"  ), $AP4 =""),"喪假",  IF(  AND(  OR(  M4="x",M4="婚",M4="產"  ), OR(  N4 ="婚",N4="產"  ), $AP4 =""),"婚(產)假",  IF(  AND(  OR(  M4="x",M4="公"  ), OR(  N4 ="公"  ), $AP4 =""),"公假",  IF(  AND(  OR(  M4="x",M4="補",M4="婚",M4="公",M4="病",M4="事",M4="x榮18-22"  ),OR(N4=""), $AP4 =""  ),"18收",  IF(  AND(  OR(  M4 ="榮14-18",M4 ="榮10-18",M4 ="榮06-18",M4 ="病14-18"  ),OR(  N4 ="x",N4="補",N4="婚",N4="公",N4="病",N4="事",N4="x"  ), $AP4 =""),"18放早走",  IF(  AND(  OR(  M4 =""),OR(  N4 ="x",N4="補",N4="婚",N4="公",N4="病",N4="事",N4="x榮*",N4="榮",N4="榮-22"  ), $AP4 =""),"18放",  IF(  AND(  OR(  M4="當日退伍"  ),OR(  N4="退伍",N4="退", N4=""  ), $AP4 =""),"當日退伍",  IF(AND(  OR(M4="退",M4="退伍" ), OR(N4="退",N4="退伍" ), $AP4 =""),"退伍","全日勤"  )  )  )  )  )  )  )  )  )  )  ),"")</f>
        <v>全日勤</v>
      </c>
      <c r="N45" s="66" t="str">
        <f>IF(   (ROW(AZ4)-1)&lt;=暫1!$B$2,           IF(  AND(  OR(  N4="x",N4="補"  ), OR(  O4 ="x",O4="補",O4="x榮18-22",O4="x公18-22",O4="x榮22-08"  ), $AP4 =""),"全日休",  IF(  AND(  OR(  N4="x",N4="病"  ), OR(  O4 ="病"  ), $AP4 =""),"病(事)假",  IF(  AND(  OR(  N4="x",N4="補"  ), OR(  O4 ="補"  ), $AP4 =""),"補休",  IF(  AND(  OR(  N4="x",N4="喪"  ), OR(  O4 ="喪"  ), $AP4 =""),"喪假",  IF(  AND(  OR(  N4="x",N4="婚",N4="產"  ), OR(  O4 ="婚",O4="產"  ), $AP4 =""),"婚(產)假",  IF(  AND(  OR(  N4="x",N4="公"  ), OR(  O4 ="公"  ), $AP4 =""),"公假",  IF(  AND(  OR(  N4="x",N4="補",N4="婚",N4="公",N4="病",N4="事",N4="x榮18-22"  ),OR(O4=""), $AP4 =""  ),"18收",  IF(  AND(  OR(  N4 ="榮14-18",N4 ="榮10-18",N4 ="榮06-18",N4 ="病14-18"  ),OR(  O4 ="x",O4="補",O4="婚",O4="公",O4="病",O4="事",O4="x"  ), $AP4 =""),"18放早走",  IF(  AND(  OR(  N4 =""),OR(  O4 ="x",O4="補",O4="婚",O4="公",O4="病",O4="事",O4="x榮*",O4="榮",O4="榮-22"  ), $AP4 =""),"18放",  IF(  AND(  OR(  N4="當日退伍"  ),OR(  O4="退伍",O4="退", O4=""  ), $AP4 =""),"當日退伍",  IF(AND(  OR(N4="退",N4="退伍" ), OR(O4="退",O4="退伍" ), $AP4 =""),"退伍","全日勤"  )  )  )  )  )  )  )  )  )  )  ),"")</f>
        <v>全日勤</v>
      </c>
      <c r="O45" s="66" t="str">
        <f>IF(   (ROW(BA4)-1)&lt;=暫1!$B$2,           IF(  AND(  OR(  O4="x",O4="補"  ), OR(  P4 ="x",P4="補",P4="x榮18-22",P4="x公18-22",P4="x榮22-08"  ), $AP4 =""),"全日休",  IF(  AND(  OR(  O4="x",O4="病"  ), OR(  P4 ="病"  ), $AP4 =""),"病(事)假",  IF(  AND(  OR(  O4="x",O4="補"  ), OR(  P4 ="補"  ), $AP4 =""),"補休",  IF(  AND(  OR(  O4="x",O4="喪"  ), OR(  P4 ="喪"  ), $AP4 =""),"喪假",  IF(  AND(  OR(  O4="x",O4="婚",O4="產"  ), OR(  P4 ="婚",P4="產"  ), $AP4 =""),"婚(產)假",  IF(  AND(  OR(  O4="x",O4="公"  ), OR(  P4 ="公"  ), $AP4 =""),"公假",  IF(  AND(  OR(  O4="x",O4="補",O4="婚",O4="公",O4="病",O4="事",O4="x榮18-22"  ),OR(P4=""), $AP4 =""  ),"18收",  IF(  AND(  OR(  O4 ="榮14-18",O4 ="榮10-18",O4 ="榮06-18",O4 ="病14-18"  ),OR(  P4 ="x",P4="補",P4="婚",P4="公",P4="病",P4="事",P4="x"  ), $AP4 =""),"18放早走",  IF(  AND(  OR(  O4 =""),OR(  P4 ="x",P4="補",P4="婚",P4="公",P4="病",P4="事",P4="x榮*",P4="榮",P4="榮-22"  ), $AP4 =""),"18放",  IF(  AND(  OR(  O4="當日退伍"  ),OR(  P4="退伍",P4="退", P4=""  ), $AP4 =""),"當日退伍",  IF(AND(  OR(O4="退",O4="退伍" ), OR(P4="退",P4="退伍" ), $AP4 =""),"退伍","全日勤"  )  )  )  )  )  )  )  )  )  )  ),"")</f>
        <v>全日勤</v>
      </c>
      <c r="P45" s="66" t="str">
        <f>IF(   (ROW(BB4)-1)&lt;=暫1!$B$2,           IF(  AND(  OR(  P4="x",P4="補"  ), OR(  Q4 ="x",Q4="補",Q4="x榮18-22",Q4="x公18-22",Q4="x榮22-08"  ), $AP4 =""),"全日休",  IF(  AND(  OR(  P4="x",P4="病"  ), OR(  Q4 ="病"  ), $AP4 =""),"病(事)假",  IF(  AND(  OR(  P4="x",P4="補"  ), OR(  Q4 ="補"  ), $AP4 =""),"補休",  IF(  AND(  OR(  P4="x",P4="喪"  ), OR(  Q4 ="喪"  ), $AP4 =""),"喪假",  IF(  AND(  OR(  P4="x",P4="婚",P4="產"  ), OR(  Q4 ="婚",Q4="產"  ), $AP4 =""),"婚(產)假",  IF(  AND(  OR(  P4="x",P4="公"  ), OR(  Q4 ="公"  ), $AP4 =""),"公假",  IF(  AND(  OR(  P4="x",P4="補",P4="婚",P4="公",P4="病",P4="事",P4="x榮18-22"  ),OR(Q4=""), $AP4 =""  ),"18收",  IF(  AND(  OR(  P4 ="榮14-18",P4 ="榮10-18",P4 ="榮06-18",P4 ="病14-18"  ),OR(  Q4 ="x",Q4="補",Q4="婚",Q4="公",Q4="病",Q4="事",Q4="x"  ), $AP4 =""),"18放早走",  IF(  AND(  OR(  P4 =""),OR(  Q4 ="x",Q4="補",Q4="婚",Q4="公",Q4="病",Q4="事",Q4="x榮*",Q4="榮",Q4="榮-22"  ), $AP4 =""),"18放",  IF(  AND(  OR(  P4="當日退伍"  ),OR(  Q4="退伍",Q4="退", Q4=""  ), $AP4 =""),"當日退伍",  IF(AND(  OR(P4="退",P4="退伍" ), OR(Q4="退",Q4="退伍" ), $AP4 =""),"退伍","全日勤"  )  )  )  )  )  )  )  )  )  )  ),"")</f>
        <v>全日勤</v>
      </c>
      <c r="Q45" s="66" t="str">
        <f>IF(   (ROW(BC4)-1)&lt;=暫1!$B$2,           IF(  AND(  OR(  Q4="x",Q4="補"  ), OR(  R4 ="x",R4="補",R4="x榮18-22",R4="x公18-22",R4="x榮22-08"  ), $AP4 =""),"全日休",  IF(  AND(  OR(  Q4="x",Q4="病"  ), OR(  R4 ="病"  ), $AP4 =""),"病(事)假",  IF(  AND(  OR(  Q4="x",Q4="補"  ), OR(  R4 ="補"  ), $AP4 =""),"補休",  IF(  AND(  OR(  Q4="x",Q4="喪"  ), OR(  R4 ="喪"  ), $AP4 =""),"喪假",  IF(  AND(  OR(  Q4="x",Q4="婚",Q4="產"  ), OR(  R4 ="婚",R4="產"  ), $AP4 =""),"婚(產)假",  IF(  AND(  OR(  Q4="x",Q4="公"  ), OR(  R4 ="公"  ), $AP4 =""),"公假",  IF(  AND(  OR(  Q4="x",Q4="補",Q4="婚",Q4="公",Q4="病",Q4="事",Q4="x榮18-22"  ),OR(R4=""), $AP4 =""  ),"18收",  IF(  AND(  OR(  Q4 ="榮14-18",Q4 ="榮10-18",Q4 ="榮06-18",Q4 ="病14-18"  ),OR(  R4 ="x",R4="補",R4="婚",R4="公",R4="病",R4="事",R4="x"  ), $AP4 =""),"18放早走",  IF(  AND(  OR(  Q4 =""),OR(  R4 ="x",R4="補",R4="婚",R4="公",R4="病",R4="事",R4="x榮*",R4="榮",R4="榮-22"  ), $AP4 =""),"18放",  IF(  AND(  OR(  Q4="當日退伍"  ),OR(  R4="退伍",R4="退", R4=""  ), $AP4 =""),"當日退伍",  IF(AND(  OR(Q4="退",Q4="退伍" ), OR(R4="退",R4="退伍" ), $AP4 =""),"退伍","全日勤"  )  )  )  )  )  )  )  )  )  )  ),"")</f>
        <v>全日勤</v>
      </c>
      <c r="R45" s="66" t="str">
        <f>IF(   (ROW(BD4)-1)&lt;=暫1!$B$2,           IF(  AND(  OR(  R4="x",R4="補"  ), OR(  S4 ="x",S4="補",S4="x榮18-22",S4="x公18-22",S4="x榮22-08"  ), $AP4 =""),"全日休",  IF(  AND(  OR(  R4="x",R4="病"  ), OR(  S4 ="病"  ), $AP4 =""),"病(事)假",  IF(  AND(  OR(  R4="x",R4="補"  ), OR(  S4 ="補"  ), $AP4 =""),"補休",  IF(  AND(  OR(  R4="x",R4="喪"  ), OR(  S4 ="喪"  ), $AP4 =""),"喪假",  IF(  AND(  OR(  R4="x",R4="婚",R4="產"  ), OR(  S4 ="婚",S4="產"  ), $AP4 =""),"婚(產)假",  IF(  AND(  OR(  R4="x",R4="公"  ), OR(  S4 ="公"  ), $AP4 =""),"公假",  IF(  AND(  OR(  R4="x",R4="補",R4="婚",R4="公",R4="病",R4="事",R4="x榮18-22"  ),OR(S4=""), $AP4 =""  ),"18收",  IF(  AND(  OR(  R4 ="榮14-18",R4 ="榮10-18",R4 ="榮06-18",R4 ="病14-18"  ),OR(  S4 ="x",S4="補",S4="婚",S4="公",S4="病",S4="事",S4="x"  ), $AP4 =""),"18放早走",  IF(  AND(  OR(  R4 =""),OR(  S4 ="x",S4="補",S4="婚",S4="公",S4="病",S4="事",S4="x榮*",S4="榮",S4="榮-22"  ), $AP4 =""),"18放",  IF(  AND(  OR(  R4="當日退伍"  ),OR(  S4="退伍",S4="退", S4=""  ), $AP4 =""),"當日退伍",  IF(AND(  OR(R4="退",R4="退伍" ), OR(S4="退",S4="退伍" ), $AP4 =""),"退伍","全日勤"  )  )  )  )  )  )  )  )  )  )  ),"")</f>
        <v>全日勤</v>
      </c>
      <c r="S45" s="66" t="str">
        <f>IF(   (ROW(BE4)-1)&lt;=暫1!$B$2,           IF(  AND(  OR(  S4="x",S4="補"  ), OR(  T4 ="x",T4="補",T4="x榮18-22",T4="x公18-22",T4="x榮22-08"  ), $AP4 =""),"全日休",  IF(  AND(  OR(  S4="x",S4="病"  ), OR(  T4 ="病"  ), $AP4 =""),"病(事)假",  IF(  AND(  OR(  S4="x",S4="補"  ), OR(  T4 ="補"  ), $AP4 =""),"補休",  IF(  AND(  OR(  S4="x",S4="喪"  ), OR(  T4 ="喪"  ), $AP4 =""),"喪假",  IF(  AND(  OR(  S4="x",S4="婚",S4="產"  ), OR(  T4 ="婚",T4="產"  ), $AP4 =""),"婚(產)假",  IF(  AND(  OR(  S4="x",S4="公"  ), OR(  T4 ="公"  ), $AP4 =""),"公假",  IF(  AND(  OR(  S4="x",S4="補",S4="婚",S4="公",S4="病",S4="事",S4="x榮18-22"  ),OR(T4=""), $AP4 =""  ),"18收",  IF(  AND(  OR(  S4 ="榮14-18",S4 ="榮10-18",S4 ="榮06-18",S4 ="病14-18"  ),OR(  T4 ="x",T4="補",T4="婚",T4="公",T4="病",T4="事",T4="x"  ), $AP4 =""),"18放早走",  IF(  AND(  OR(  S4 =""),OR(  T4 ="x",T4="補",T4="婚",T4="公",T4="病",T4="事",T4="x榮*",T4="榮",T4="榮-22"  ), $AP4 =""),"18放",  IF(  AND(  OR(  S4="當日退伍"  ),OR(  T4="退伍",T4="退", T4=""  ), $AP4 =""),"當日退伍",  IF(AND(  OR(S4="退",S4="退伍" ), OR(T4="退",T4="退伍" ), $AP4 =""),"退伍","全日勤"  )  )  )  )  )  )  )  )  )  )  ),"")</f>
        <v>全日勤</v>
      </c>
      <c r="T45" s="66" t="str">
        <f>IF(   (ROW(BF4)-1)&lt;=暫1!$B$2,           IF(  AND(  OR(  T4="x",T4="補"  ), OR(  U4 ="x",U4="補",U4="x榮18-22",U4="x公18-22",U4="x榮22-08"  ), $AP4 =""),"全日休",  IF(  AND(  OR(  T4="x",T4="病"  ), OR(  U4 ="病"  ), $AP4 =""),"病(事)假",  IF(  AND(  OR(  T4="x",T4="補"  ), OR(  U4 ="補"  ), $AP4 =""),"補休",  IF(  AND(  OR(  T4="x",T4="喪"  ), OR(  U4 ="喪"  ), $AP4 =""),"喪假",  IF(  AND(  OR(  T4="x",T4="婚",T4="產"  ), OR(  U4 ="婚",U4="產"  ), $AP4 =""),"婚(產)假",  IF(  AND(  OR(  T4="x",T4="公"  ), OR(  U4 ="公"  ), $AP4 =""),"公假",  IF(  AND(  OR(  T4="x",T4="補",T4="婚",T4="公",T4="病",T4="事",T4="x榮18-22"  ),OR(U4=""), $AP4 =""  ),"18收",  IF(  AND(  OR(  T4 ="榮14-18",T4 ="榮10-18",T4 ="榮06-18",T4 ="病14-18"  ),OR(  U4 ="x",U4="補",U4="婚",U4="公",U4="病",U4="事",U4="x"  ), $AP4 =""),"18放早走",  IF(  AND(  OR(  T4 =""),OR(  U4 ="x",U4="補",U4="婚",U4="公",U4="病",U4="事",U4="x榮*",U4="榮",U4="榮-22"  ), $AP4 =""),"18放",  IF(  AND(  OR(  T4="當日退伍"  ),OR(  U4="退伍",U4="退", U4=""  ), $AP4 =""),"當日退伍",  IF(AND(  OR(T4="退",T4="退伍" ), OR(U4="退",U4="退伍" ), $AP4 =""),"退伍","全日勤"  )  )  )  )  )  )  )  )  )  )  ),"")</f>
        <v>全日勤</v>
      </c>
      <c r="U45" s="66" t="str">
        <f>IF(   (ROW(BG4)-1)&lt;=暫1!$B$2,           IF(  AND(  OR(  U4="x",U4="補"  ), OR(  V4 ="x",V4="補",V4="x榮18-22",V4="x公18-22",V4="x榮22-08"  ), $AP4 =""),"全日休",  IF(  AND(  OR(  U4="x",U4="病"  ), OR(  V4 ="病"  ), $AP4 =""),"病(事)假",  IF(  AND(  OR(  U4="x",U4="補"  ), OR(  V4 ="補"  ), $AP4 =""),"補休",  IF(  AND(  OR(  U4="x",U4="喪"  ), OR(  V4 ="喪"  ), $AP4 =""),"喪假",  IF(  AND(  OR(  U4="x",U4="婚",U4="產"  ), OR(  V4 ="婚",V4="產"  ), $AP4 =""),"婚(產)假",  IF(  AND(  OR(  U4="x",U4="公"  ), OR(  V4 ="公"  ), $AP4 =""),"公假",  IF(  AND(  OR(  U4="x",U4="補",U4="婚",U4="公",U4="病",U4="事",U4="x榮18-22"  ),OR(V4=""), $AP4 =""  ),"18收",  IF(  AND(  OR(  U4 ="榮14-18",U4 ="榮10-18",U4 ="榮06-18",U4 ="病14-18"  ),OR(  V4 ="x",V4="補",V4="婚",V4="公",V4="病",V4="事",V4="x"  ), $AP4 =""),"18放早走",  IF(  AND(  OR(  U4 =""),OR(  V4 ="x",V4="補",V4="婚",V4="公",V4="病",V4="事",V4="x榮*",V4="榮",V4="榮-22"  ), $AP4 =""),"18放",  IF(  AND(  OR(  U4="當日退伍"  ),OR(  V4="退伍",V4="退", V4=""  ), $AP4 =""),"當日退伍",  IF(AND(  OR(U4="退",U4="退伍" ), OR(V4="退",V4="退伍" ), $AP4 =""),"退伍","全日勤"  )  )  )  )  )  )  )  )  )  )  ),"")</f>
        <v>全日勤</v>
      </c>
      <c r="V45" s="66" t="str">
        <f>IF(   (ROW(BH4)-1)&lt;=暫1!$B$2,           IF(  AND(  OR(  V4="x",V4="補"  ), OR(  W4 ="x",W4="補",W4="x榮18-22",W4="x公18-22",W4="x榮22-08"  ), $AP4 =""),"全日休",  IF(  AND(  OR(  V4="x",V4="病"  ), OR(  W4 ="病"  ), $AP4 =""),"病(事)假",  IF(  AND(  OR(  V4="x",V4="補"  ), OR(  W4 ="補"  ), $AP4 =""),"補休",  IF(  AND(  OR(  V4="x",V4="喪"  ), OR(  W4 ="喪"  ), $AP4 =""),"喪假",  IF(  AND(  OR(  V4="x",V4="婚",V4="產"  ), OR(  W4 ="婚",W4="產"  ), $AP4 =""),"婚(產)假",  IF(  AND(  OR(  V4="x",V4="公"  ), OR(  W4 ="公"  ), $AP4 =""),"公假",  IF(  AND(  OR(  V4="x",V4="補",V4="婚",V4="公",V4="病",V4="事",V4="x榮18-22"  ),OR(W4=""), $AP4 =""  ),"18收",  IF(  AND(  OR(  V4 ="榮14-18",V4 ="榮10-18",V4 ="榮06-18",V4 ="病14-18"  ),OR(  W4 ="x",W4="補",W4="婚",W4="公",W4="病",W4="事",W4="x"  ), $AP4 =""),"18放早走",  IF(  AND(  OR(  V4 =""),OR(  W4 ="x",W4="補",W4="婚",W4="公",W4="病",W4="事",W4="x榮*",W4="榮",W4="榮-22"  ), $AP4 =""),"18放",  IF(  AND(  OR(  V4="當日退伍"  ),OR(  W4="退伍",W4="退", W4=""  ), $AP4 =""),"當日退伍",  IF(AND(  OR(V4="退",V4="退伍" ), OR(W4="退",W4="退伍" ), $AP4 =""),"退伍","全日勤"  )  )  )  )  )  )  )  )  )  )  ),"")</f>
        <v>全日勤</v>
      </c>
      <c r="W45" s="66" t="str">
        <f>IF(   (ROW(BI4)-1)&lt;=暫1!$B$2,           IF(  AND(  OR(  W4="x",W4="補"  ), OR(  X4 ="x",X4="補",X4="x榮18-22",X4="x公18-22",X4="x榮22-08"  ), $AP4 =""),"全日休",  IF(  AND(  OR(  W4="x",W4="病"  ), OR(  X4 ="病"  ), $AP4 =""),"病(事)假",  IF(  AND(  OR(  W4="x",W4="補"  ), OR(  X4 ="補"  ), $AP4 =""),"補休",  IF(  AND(  OR(  W4="x",W4="喪"  ), OR(  X4 ="喪"  ), $AP4 =""),"喪假",  IF(  AND(  OR(  W4="x",W4="婚",W4="產"  ), OR(  X4 ="婚",X4="產"  ), $AP4 =""),"婚(產)假",  IF(  AND(  OR(  W4="x",W4="公"  ), OR(  X4 ="公"  ), $AP4 =""),"公假",  IF(  AND(  OR(  W4="x",W4="補",W4="婚",W4="公",W4="病",W4="事",W4="x榮18-22"  ),OR(X4=""), $AP4 =""  ),"18收",  IF(  AND(  OR(  W4 ="榮14-18",W4 ="榮10-18",W4 ="榮06-18",W4 ="病14-18"  ),OR(  X4 ="x",X4="補",X4="婚",X4="公",X4="病",X4="事",X4="x"  ), $AP4 =""),"18放早走",  IF(  AND(  OR(  W4 =""),OR(  X4 ="x",X4="補",X4="婚",X4="公",X4="病",X4="事",X4="x榮*",X4="榮",X4="榮-22"  ), $AP4 =""),"18放",  IF(  AND(  OR(  W4="當日退伍"  ),OR(  X4="退伍",X4="退", X4=""  ), $AP4 =""),"當日退伍",  IF(AND(  OR(W4="退",W4="退伍" ), OR(X4="退",X4="退伍" ), $AP4 =""),"退伍","全日勤"  )  )  )  )  )  )  )  )  )  )  ),"")</f>
        <v>全日勤</v>
      </c>
      <c r="X45" s="66" t="str">
        <f>IF(   (ROW(BJ4)-1)&lt;=暫1!$B$2,           IF(  AND(  OR(  X4="x",X4="補"  ), OR(  Y4 ="x",Y4="補",Y4="x榮18-22",Y4="x公18-22",Y4="x榮22-08"  ), $AP4 =""),"全日休",  IF(  AND(  OR(  X4="x",X4="病"  ), OR(  Y4 ="病"  ), $AP4 =""),"病(事)假",  IF(  AND(  OR(  X4="x",X4="補"  ), OR(  Y4 ="補"  ), $AP4 =""),"補休",  IF(  AND(  OR(  X4="x",X4="喪"  ), OR(  Y4 ="喪"  ), $AP4 =""),"喪假",  IF(  AND(  OR(  X4="x",X4="婚",X4="產"  ), OR(  Y4 ="婚",Y4="產"  ), $AP4 =""),"婚(產)假",  IF(  AND(  OR(  X4="x",X4="公"  ), OR(  Y4 ="公"  ), $AP4 =""),"公假",  IF(  AND(  OR(  X4="x",X4="補",X4="婚",X4="公",X4="病",X4="事",X4="x榮18-22"  ),OR(Y4=""), $AP4 =""  ),"18收",  IF(  AND(  OR(  X4 ="榮14-18",X4 ="榮10-18",X4 ="榮06-18",X4 ="病14-18"  ),OR(  Y4 ="x",Y4="補",Y4="婚",Y4="公",Y4="病",Y4="事",Y4="x"  ), $AP4 =""),"18放早走",  IF(  AND(  OR(  X4 =""),OR(  Y4 ="x",Y4="補",Y4="婚",Y4="公",Y4="病",Y4="事",Y4="x榮*",Y4="榮",Y4="榮-22"  ), $AP4 =""),"18放",  IF(  AND(  OR(  X4="當日退伍"  ),OR(  Y4="退伍",Y4="退", Y4=""  ), $AP4 =""),"當日退伍",  IF(AND(  OR(X4="退",X4="退伍" ), OR(Y4="退",Y4="退伍" ), $AP4 =""),"退伍","全日勤"  )  )  )  )  )  )  )  )  )  )  ),"")</f>
        <v>全日勤</v>
      </c>
      <c r="Y45" s="66" t="str">
        <f>IF(   (ROW(BK4)-1)&lt;=暫1!$B$2,           IF(  AND(  OR(  Y4="x",Y4="補"  ), OR(  Z4 ="x",Z4="補",Z4="x榮18-22",Z4="x公18-22",Z4="x榮22-08"  ), $AP4 =""),"全日休",  IF(  AND(  OR(  Y4="x",Y4="病"  ), OR(  Z4 ="病"  ), $AP4 =""),"病(事)假",  IF(  AND(  OR(  Y4="x",Y4="補"  ), OR(  Z4 ="補"  ), $AP4 =""),"補休",  IF(  AND(  OR(  Y4="x",Y4="喪"  ), OR(  Z4 ="喪"  ), $AP4 =""),"喪假",  IF(  AND(  OR(  Y4="x",Y4="婚",Y4="產"  ), OR(  Z4 ="婚",Z4="產"  ), $AP4 =""),"婚(產)假",  IF(  AND(  OR(  Y4="x",Y4="公"  ), OR(  Z4 ="公"  ), $AP4 =""),"公假",  IF(  AND(  OR(  Y4="x",Y4="補",Y4="婚",Y4="公",Y4="病",Y4="事",Y4="x榮18-22"  ),OR(Z4=""), $AP4 =""  ),"18收",  IF(  AND(  OR(  Y4 ="榮14-18",Y4 ="榮10-18",Y4 ="榮06-18",Y4 ="病14-18"  ),OR(  Z4 ="x",Z4="補",Z4="婚",Z4="公",Z4="病",Z4="事",Z4="x"  ), $AP4 =""),"18放早走",  IF(  AND(  OR(  Y4 =""),OR(  Z4 ="x",Z4="補",Z4="婚",Z4="公",Z4="病",Z4="事",Z4="x榮*",Z4="榮",Z4="榮-22"  ), $AP4 =""),"18放",  IF(  AND(  OR(  Y4="當日退伍"  ),OR(  Z4="退伍",Z4="退", Z4=""  ), $AP4 =""),"當日退伍",  IF(AND(  OR(Y4="退",Y4="退伍" ), OR(Z4="退",Z4="退伍" ), $AP4 =""),"退伍","全日勤"  )  )  )  )  )  )  )  )  )  )  ),"")</f>
        <v>全日勤</v>
      </c>
      <c r="Z45" s="66" t="str">
        <f>IF(   (ROW(BL4)-1)&lt;=暫1!$B$2,           IF(  AND(  OR(  Z4="x",Z4="補"  ), OR(  AA4 ="x",AA4="補",AA4="x榮18-22",AA4="x公18-22",AA4="x榮22-08"  ), $AP4 =""),"全日休",  IF(  AND(  OR(  Z4="x",Z4="病"  ), OR(  AA4 ="病"  ), $AP4 =""),"病(事)假",  IF(  AND(  OR(  Z4="x",Z4="補"  ), OR(  AA4 ="補"  ), $AP4 =""),"補休",  IF(  AND(  OR(  Z4="x",Z4="喪"  ), OR(  AA4 ="喪"  ), $AP4 =""),"喪假",  IF(  AND(  OR(  Z4="x",Z4="婚",Z4="產"  ), OR(  AA4 ="婚",AA4="產"  ), $AP4 =""),"婚(產)假",  IF(  AND(  OR(  Z4="x",Z4="公"  ), OR(  AA4 ="公"  ), $AP4 =""),"公假",  IF(  AND(  OR(  Z4="x",Z4="補",Z4="婚",Z4="公",Z4="病",Z4="事",Z4="x榮18-22"  ),OR(AA4=""), $AP4 =""  ),"18收",  IF(  AND(  OR(  Z4 ="榮14-18",Z4 ="榮10-18",Z4 ="榮06-18",Z4 ="病14-18"  ),OR(  AA4 ="x",AA4="補",AA4="婚",AA4="公",AA4="病",AA4="事",AA4="x"  ), $AP4 =""),"18放早走",  IF(  AND(  OR(  Z4 =""),OR(  AA4 ="x",AA4="補",AA4="婚",AA4="公",AA4="病",AA4="事",AA4="x榮*",AA4="榮",AA4="榮-22"  ), $AP4 =""),"18放",  IF(  AND(  OR(  Z4="當日退伍"  ),OR(  AA4="退伍",AA4="退", AA4=""  ), $AP4 =""),"當日退伍",  IF(AND(  OR(Z4="退",Z4="退伍" ), OR(AA4="退",AA4="退伍" ), $AP4 =""),"退伍","全日勤"  )  )  )  )  )  )  )  )  )  )  ),"")</f>
        <v>全日勤</v>
      </c>
      <c r="AA45" s="66" t="str">
        <f>IF(   (ROW(BM4)-1)&lt;=暫1!$B$2,           IF(  AND(  OR(  AA4="x",AA4="補"  ), OR(  AB4 ="x",AB4="補",AB4="x榮18-22",AB4="x公18-22",AB4="x榮22-08"  ), $AP4 =""),"全日休",  IF(  AND(  OR(  AA4="x",AA4="病"  ), OR(  AB4 ="病"  ), $AP4 =""),"病(事)假",  IF(  AND(  OR(  AA4="x",AA4="補"  ), OR(  AB4 ="補"  ), $AP4 =""),"補休",  IF(  AND(  OR(  AA4="x",AA4="喪"  ), OR(  AB4 ="喪"  ), $AP4 =""),"喪假",  IF(  AND(  OR(  AA4="x",AA4="婚",AA4="產"  ), OR(  AB4 ="婚",AB4="產"  ), $AP4 =""),"婚(產)假",  IF(  AND(  OR(  AA4="x",AA4="公"  ), OR(  AB4 ="公"  ), $AP4 =""),"公假",  IF(  AND(  OR(  AA4="x",AA4="補",AA4="婚",AA4="公",AA4="病",AA4="事",AA4="x榮18-22"  ),OR(AB4=""), $AP4 =""  ),"18收",  IF(  AND(  OR(  AA4 ="榮14-18",AA4 ="榮10-18",AA4 ="榮06-18",AA4 ="病14-18"  ),OR(  AB4 ="x",AB4="補",AB4="婚",AB4="公",AB4="病",AB4="事",AB4="x"  ), $AP4 =""),"18放早走",  IF(  AND(  OR(  AA4 =""),OR(  AB4 ="x",AB4="補",AB4="婚",AB4="公",AB4="病",AB4="事",AB4="x榮*",AB4="榮",AB4="榮-22"  ), $AP4 =""),"18放",  IF(  AND(  OR(  AA4="當日退伍"  ),OR(  AB4="退伍",AB4="退", AB4=""  ), $AP4 =""),"當日退伍",  IF(AND(  OR(AA4="退",AA4="退伍" ), OR(AB4="退",AB4="退伍" ), $AP4 =""),"退伍","全日勤"  )  )  )  )  )  )  )  )  )  )  ),"")</f>
        <v>全日勤</v>
      </c>
      <c r="AB45" s="66" t="str">
        <f>IF(   (ROW(BN4)-1)&lt;=暫1!$B$2,           IF(  AND(  OR(  AB4="x",AB4="補"  ), OR(  AC4 ="x",AC4="補",AC4="x榮18-22",AC4="x公18-22",AC4="x榮22-08"  ), $AP4 =""),"全日休",  IF(  AND(  OR(  AB4="x",AB4="病"  ), OR(  AC4 ="病"  ), $AP4 =""),"病(事)假",  IF(  AND(  OR(  AB4="x",AB4="補"  ), OR(  AC4 ="補"  ), $AP4 =""),"補休",  IF(  AND(  OR(  AB4="x",AB4="喪"  ), OR(  AC4 ="喪"  ), $AP4 =""),"喪假",  IF(  AND(  OR(  AB4="x",AB4="婚",AB4="產"  ), OR(  AC4 ="婚",AC4="產"  ), $AP4 =""),"婚(產)假",  IF(  AND(  OR(  AB4="x",AB4="公"  ), OR(  AC4 ="公"  ), $AP4 =""),"公假",  IF(  AND(  OR(  AB4="x",AB4="補",AB4="婚",AB4="公",AB4="病",AB4="事",AB4="x榮18-22"  ),OR(AC4=""), $AP4 =""  ),"18收",  IF(  AND(  OR(  AB4 ="榮14-18",AB4 ="榮10-18",AB4 ="榮06-18",AB4 ="病14-18"  ),OR(  AC4 ="x",AC4="補",AC4="婚",AC4="公",AC4="病",AC4="事",AC4="x"  ), $AP4 =""),"18放早走",  IF(  AND(  OR(  AB4 =""),OR(  AC4 ="x",AC4="補",AC4="婚",AC4="公",AC4="病",AC4="事",AC4="x榮*",AC4="榮",AC4="榮-22"  ), $AP4 =""),"18放",  IF(  AND(  OR(  AB4="當日退伍"  ),OR(  AC4="退伍",AC4="退", AC4=""  ), $AP4 =""),"當日退伍",  IF(AND(  OR(AB4="退",AB4="退伍" ), OR(AC4="退",AC4="退伍" ), $AP4 =""),"退伍","全日勤"  )  )  )  )  )  )  )  )  )  )  ),"")</f>
        <v>全日勤</v>
      </c>
      <c r="AC45" s="66" t="str">
        <f>IF(   (ROW(BO4)-1)&lt;=暫1!$B$2,           IF(  AND(  OR(  AC4="x",AC4="補"  ), OR(  AD4 ="x",AD4="補",AD4="x榮18-22",AD4="x公18-22",AD4="x榮22-08"  ), $AP4 =""),"全日休",  IF(  AND(  OR(  AC4="x",AC4="病"  ), OR(  AD4 ="病"  ), $AP4 =""),"病(事)假",  IF(  AND(  OR(  AC4="x",AC4="補"  ), OR(  AD4 ="補"  ), $AP4 =""),"補休",  IF(  AND(  OR(  AC4="x",AC4="喪"  ), OR(  AD4 ="喪"  ), $AP4 =""),"喪假",  IF(  AND(  OR(  AC4="x",AC4="婚",AC4="產"  ), OR(  AD4 ="婚",AD4="產"  ), $AP4 =""),"婚(產)假",  IF(  AND(  OR(  AC4="x",AC4="公"  ), OR(  AD4 ="公"  ), $AP4 =""),"公假",  IF(  AND(  OR(  AC4="x",AC4="補",AC4="婚",AC4="公",AC4="病",AC4="事",AC4="x榮18-22"  ),OR(AD4=""), $AP4 =""  ),"18收",  IF(  AND(  OR(  AC4 ="榮14-18",AC4 ="榮10-18",AC4 ="榮06-18",AC4 ="病14-18"  ),OR(  AD4 ="x",AD4="補",AD4="婚",AD4="公",AD4="病",AD4="事",AD4="x"  ), $AP4 =""),"18放早走",  IF(  AND(  OR(  AC4 =""),OR(  AD4 ="x",AD4="補",AD4="婚",AD4="公",AD4="病",AD4="事",AD4="x榮*",AD4="榮",AD4="榮-22"  ), $AP4 =""),"18放",  IF(  AND(  OR(  AC4="當日退伍"  ),OR(  AD4="退伍",AD4="退", AD4=""  ), $AP4 =""),"當日退伍",  IF(AND(  OR(AC4="退",AC4="退伍" ), OR(AD4="退",AD4="退伍" ), $AP4 =""),"退伍","全日勤"  )  )  )  )  )  )  )  )  )  )  ),"")</f>
        <v>全日勤</v>
      </c>
      <c r="AD45" s="66" t="str">
        <f>IF(   (ROW(BP4)-1)&lt;=暫1!$B$2,           IF(  AND(  OR(  AD4="x",AD4="補"  ), OR(  AE4 ="x",AE4="補",AE4="x榮18-22",AE4="x公18-22",AE4="x榮22-08"  ), $AP4 =""),"全日休",  IF(  AND(  OR(  AD4="x",AD4="病"  ), OR(  AE4 ="病"  ), $AP4 =""),"病(事)假",  IF(  AND(  OR(  AD4="x",AD4="補"  ), OR(  AE4 ="補"  ), $AP4 =""),"補休",  IF(  AND(  OR(  AD4="x",AD4="喪"  ), OR(  AE4 ="喪"  ), $AP4 =""),"喪假",  IF(  AND(  OR(  AD4="x",AD4="婚",AD4="產"  ), OR(  AE4 ="婚",AE4="產"  ), $AP4 =""),"婚(產)假",  IF(  AND(  OR(  AD4="x",AD4="公"  ), OR(  AE4 ="公"  ), $AP4 =""),"公假",  IF(  AND(  OR(  AD4="x",AD4="補",AD4="婚",AD4="公",AD4="病",AD4="事",AD4="x榮18-22"  ),OR(AE4=""), $AP4 =""  ),"18收",  IF(  AND(  OR(  AD4 ="榮14-18",AD4 ="榮10-18",AD4 ="榮06-18",AD4 ="病14-18"  ),OR(  AE4 ="x",AE4="補",AE4="婚",AE4="公",AE4="病",AE4="事",AE4="x"  ), $AP4 =""),"18放早走",  IF(  AND(  OR(  AD4 =""),OR(  AE4 ="x",AE4="補",AE4="婚",AE4="公",AE4="病",AE4="事",AE4="x榮*",AE4="榮",AE4="榮-22"  ), $AP4 =""),"18放",  IF(  AND(  OR(  AD4="當日退伍"  ),OR(  AE4="退伍",AE4="退", AE4=""  ), $AP4 =""),"當日退伍",  IF(AND(  OR(AD4="退",AD4="退伍" ), OR(AE4="退",AE4="退伍" ), $AP4 =""),"退伍","全日勤"  )  )  )  )  )  )  )  )  )  )  ),"")</f>
        <v>全日勤</v>
      </c>
      <c r="AE45" s="66" t="str">
        <f>IF(   (ROW(BQ4)-1)&lt;=暫1!$B$2,           IF(  AND(  OR(  AE4="x",AE4="補"  ), OR(  AF4 ="x",AF4="補",AF4="x榮18-22",AF4="x公18-22",AF4="x榮22-08"  ), $AP4 =""),"全日休",  IF(  AND(  OR(  AE4="x",AE4="病"  ), OR(  AF4 ="病"  ), $AP4 =""),"病(事)假",  IF(  AND(  OR(  AE4="x",AE4="補"  ), OR(  AF4 ="補"  ), $AP4 =""),"補休",  IF(  AND(  OR(  AE4="x",AE4="喪"  ), OR(  AF4 ="喪"  ), $AP4 =""),"喪假",  IF(  AND(  OR(  AE4="x",AE4="婚",AE4="產"  ), OR(  AF4 ="婚",AF4="產"  ), $AP4 =""),"婚(產)假",  IF(  AND(  OR(  AE4="x",AE4="公"  ), OR(  AF4 ="公"  ), $AP4 =""),"公假",  IF(  AND(  OR(  AE4="x",AE4="補",AE4="婚",AE4="公",AE4="病",AE4="事",AE4="x榮18-22"  ),OR(AF4=""), $AP4 =""  ),"18收",  IF(  AND(  OR(  AE4 ="榮14-18",AE4 ="榮10-18",AE4 ="榮06-18",AE4 ="病14-18"  ),OR(  AF4 ="x",AF4="補",AF4="婚",AF4="公",AF4="病",AF4="事",AF4="x"  ), $AP4 =""),"18放早走",  IF(  AND(  OR(  AE4 =""),OR(  AF4 ="x",AF4="補",AF4="婚",AF4="公",AF4="病",AF4="事",AF4="x榮*",AF4="榮",AF4="榮-22"  ), $AP4 =""),"18放",  IF(  AND(  OR(  AE4="當日退伍"  ),OR(  AF4="退伍",AF4="退", AF4=""  ), $AP4 =""),"當日退伍",  IF(AND(  OR(AE4="退",AE4="退伍" ), OR(AF4="退",AF4="退伍" ), $AP4 =""),"退伍","全日勤"  )  )  )  )  )  )  )  )  )  )  ),"")</f>
        <v>全日勤</v>
      </c>
      <c r="AF45" s="66" t="str">
        <f>IF(   (ROW(BR4)-1)&lt;=暫1!$B$2,           IF(  AND(  OR(  AF4="x",AF4="補"  ), OR(  AG4 ="x",AG4="補",AG4="x榮18-22",AG4="x公18-22",AG4="x榮22-08"  ), $AP4 =""),"全日休",  IF(  AND(  OR(  AF4="x",AF4="病"  ), OR(  AG4 ="病"  ), $AP4 =""),"病(事)假",  IF(  AND(  OR(  AF4="x",AF4="補"  ), OR(  AG4 ="補"  ), $AP4 =""),"補休",  IF(  AND(  OR(  AF4="x",AF4="喪"  ), OR(  AG4 ="喪"  ), $AP4 =""),"喪假",  IF(  AND(  OR(  AF4="x",AF4="婚",AF4="產"  ), OR(  AG4 ="婚",AG4="產"  ), $AP4 =""),"婚(產)假",  IF(  AND(  OR(  AF4="x",AF4="公"  ), OR(  AG4 ="公"  ), $AP4 =""),"公假",  IF(  AND(  OR(  AF4="x",AF4="補",AF4="婚",AF4="公",AF4="病",AF4="事",AF4="x榮18-22"  ),OR(AG4=""), $AP4 =""  ),"18收",  IF(  AND(  OR(  AF4 ="榮14-18",AF4 ="榮10-18",AF4 ="榮06-18",AF4 ="病14-18"  ),OR(  AG4 ="x",AG4="補",AG4="婚",AG4="公",AG4="病",AG4="事",AG4="x"  ), $AP4 =""),"18放早走",  IF(  AND(  OR(  AF4 =""),OR(  AG4 ="x",AG4="補",AG4="婚",AG4="公",AG4="病",AG4="事",AG4="x榮*",AG4="榮",AG4="榮-22"  ), $AP4 =""),"18放",  IF(  AND(  OR(  AF4="當日退伍"  ),OR(  AG4="退伍",AG4="退", AG4=""  ), $AP4 =""),"當日退伍",  IF(AND(  OR(AF4="退",AF4="退伍" ), OR(AG4="退",AG4="退伍" ), $AP4 =""),"退伍","全日勤"  )  )  )  )  )  )  )  )  )  )  ),"")</f>
        <v>18放</v>
      </c>
      <c r="AG45" s="66" t="str">
        <f>IF(   (ROW(BS4)-1)&lt;=暫1!$B$2,           IF(  AND(  OR(  AG4="x",AG4="補"  ), OR(  AH4 ="x",AH4="補",AH4="x榮18-22",AH4="x公18-22",AH4="x榮22-08"  ), $AP4 =""),"全日休",  IF(  AND(  OR(  AG4="x",AG4="病"  ), OR(  AH4 ="病"  ), $AP4 =""),"病(事)假",  IF(  AND(  OR(  AG4="x",AG4="補"  ), OR(  AH4 ="補"  ), $AP4 =""),"補休",  IF(  AND(  OR(  AG4="x",AG4="喪"  ), OR(  AH4 ="喪"  ), $AP4 =""),"喪假",  IF(  AND(  OR(  AG4="x",AG4="婚",AG4="產"  ), OR(  AH4 ="婚",AH4="產"  ), $AP4 =""),"婚(產)假",  IF(  AND(  OR(  AG4="x",AG4="公"  ), OR(  AH4 ="公"  ), $AP4 =""),"公假",  IF(  AND(  OR(  AG4="x",AG4="補",AG4="婚",AG4="公",AG4="病",AG4="事",AG4="x榮18-22"  ),OR(AH4=""), $AP4 =""  ),"18收",  IF(  AND(  OR(  AG4 ="榮14-18",AG4 ="榮10-18",AG4 ="榮06-18",AG4 ="病14-18"  ),OR(  AH4 ="x",AH4="補",AH4="婚",AH4="公",AH4="病",AH4="事",AH4="x"  ), $AP4 =""),"18放早走",  IF(  AND(  OR(  AG4 =""),OR(  AH4 ="x",AH4="補",AH4="婚",AH4="公",AH4="病",AH4="事",AH4="x榮*",AH4="榮",AH4="榮-22"  ), $AP4 =""),"18放",  IF(  AND(  OR(  AG4="當日退伍"  ),OR(  AH4="退伍",AH4="退", AH4=""  ), $AP4 =""),"當日退伍",  IF(AND(  OR(AG4="退",AG4="退伍" ), OR(AH4="退",AH4="退伍" ), $AP4 =""),"退伍","全日勤"  )  )  )  )  )  )  )  )  )  )  ),"")</f>
        <v>18收</v>
      </c>
      <c r="AH45" s="66" t="str">
        <f>IF(   (ROW(BT4)-1)&lt;=暫1!$B$2,           IF(  AND(  OR(  AH4="x",AH4="補"  ), OR(  AI4 ="x",AI4="補",AI4="x榮18-22",AI4="x公18-22",AI4="x榮22-08"  ), $AP4 =""),"全日休",  IF(  AND(  OR(  AH4="x",AH4="病"  ), OR(  AI4 ="病"  ), $AP4 =""),"病(事)假",  IF(  AND(  OR(  AH4="x",AH4="補"  ), OR(  AI4 ="補"  ), $AP4 =""),"補休",  IF(  AND(  OR(  AH4="x",AH4="喪"  ), OR(  AI4 ="喪"  ), $AP4 =""),"喪假",  IF(  AND(  OR(  AH4="x",AH4="婚",AH4="產"  ), OR(  AI4 ="婚",AI4="產"  ), $AP4 =""),"婚(產)假",  IF(  AND(  OR(  AH4="x",AH4="公"  ), OR(  AI4 ="公"  ), $AP4 =""),"公假",  IF(  AND(  OR(  AH4="x",AH4="補",AH4="婚",AH4="公",AH4="病",AH4="事",AH4="x榮18-22"  ),OR(AI4=""), $AP4 =""  ),"18收",  IF(  AND(  OR(  AH4 ="榮14-18",AH4 ="榮10-18",AH4 ="榮06-18",AH4 ="病14-18"  ),OR(  AI4 ="x",AI4="補",AI4="婚",AI4="公",AI4="病",AI4="事",AI4="x"  ), $AP4 =""),"18放早走",  IF(  AND(  OR(  AH4 =""),OR(  AI4 ="x",AI4="補",AI4="婚",AI4="公",AI4="病",AI4="事",AI4="x榮*",AI4="榮",AI4="榮-22"  ), $AP4 =""),"18放",  IF(  AND(  OR(  AH4="當日退伍"  ),OR(  AI4="退伍",AI4="退", AI4=""  ), $AP4 =""),"當日退伍",  IF(AND(  OR(AH4="退",AH4="退伍" ), OR(AI4="退",AI4="退伍" ), $AP4 =""),"退伍","全日勤"  )  )  )  )  )  )  )  )  )  )  ),"")</f>
        <v>全日勤</v>
      </c>
      <c r="AI45" s="66" t="str">
        <f>IF(   (ROW(BU4)-1)&lt;=暫1!$B$2,           IF(  AND(  OR(  AI4="x",AI4="補"  ), OR(  AJ4 ="x",AJ4="補",AJ4="x榮18-22",AJ4="x公18-22",AJ4="x榮22-08"  ), $AP4 =""),"全日休",  IF(  AND(  OR(  AI4="x",AI4="病"  ), OR(  AJ4 ="病"  ), $AP4 =""),"病(事)假",  IF(  AND(  OR(  AI4="x",AI4="補"  ), OR(  AJ4 ="補"  ), $AP4 =""),"補休",  IF(  AND(  OR(  AI4="x",AI4="喪"  ), OR(  AJ4 ="喪"  ), $AP4 =""),"喪假",  IF(  AND(  OR(  AI4="x",AI4="婚",AI4="產"  ), OR(  AJ4 ="婚",AJ4="產"  ), $AP4 =""),"婚(產)假",  IF(  AND(  OR(  AI4="x",AI4="公"  ), OR(  AJ4 ="公"  ), $AP4 =""),"公假",  IF(  AND(  OR(  AI4="x",AI4="補",AI4="婚",AI4="公",AI4="病",AI4="事",AI4="x榮18-22"  ),OR(AJ4=""), $AP4 =""  ),"18收",  IF(  AND(  OR(  AI4 ="榮14-18",AI4 ="榮10-18",AI4 ="榮06-18",AI4 ="病14-18"  ),OR(  AJ4 ="x",AJ4="補",AJ4="婚",AJ4="公",AJ4="病",AJ4="事",AJ4="x"  ), $AP4 =""),"18放早走",  IF(  AND(  OR(  AI4 =""),OR(  AJ4 ="x",AJ4="補",AJ4="婚",AJ4="公",AJ4="病",AJ4="事",AJ4="x榮*",AJ4="榮",AJ4="榮-22"  ), $AP4 =""),"18放",  IF(  AND(  OR(  AI4="當日退伍"  ),OR(  AJ4="退伍",AJ4="退", AJ4=""  ), $AP4 =""),"當日退伍",  IF(AND(  OR(AI4="退",AI4="退伍" ), OR(AJ4="退",AJ4="退伍" ), $AP4 =""),"退伍","全日勤"  )  )  )  )  )  )  )  )  )  )  ),"")</f>
        <v>全日勤</v>
      </c>
      <c r="AJ45" s="66" t="str">
        <f>IF(   (ROW(BV4)-1)&lt;=暫1!$B$2,           IF(  AND(  OR(  AJ4="x",AJ4="補"  ), OR(  AK4 ="x",AK4="補",AK4="x榮18-22",AK4="x公18-22",AK4="x榮22-08"  ), $AP4 =""),"全日休",  IF(  AND(  OR(  AJ4="x",AJ4="病"  ), OR(  AK4 ="病"  ), $AP4 =""),"病(事)假",  IF(  AND(  OR(  AJ4="x",AJ4="補"  ), OR(  AK4 ="補"  ), $AP4 =""),"補休",  IF(  AND(  OR(  AJ4="x",AJ4="喪"  ), OR(  AK4 ="喪"  ), $AP4 =""),"喪假",  IF(  AND(  OR(  AJ4="x",AJ4="婚",AJ4="產"  ), OR(  AK4 ="婚",AK4="產"  ), $AP4 =""),"婚(產)假",  IF(  AND(  OR(  AJ4="x",AJ4="公"  ), OR(  AK4 ="公"  ), $AP4 =""),"公假",  IF(  AND(  OR(  AJ4="x",AJ4="補",AJ4="婚",AJ4="公",AJ4="病",AJ4="事",AJ4="x榮18-22"  ),OR(AK4=""), $AP4 =""  ),"18收",  IF(  AND(  OR(  AJ4 ="榮14-18",AJ4 ="榮10-18",AJ4 ="榮06-18",AJ4 ="病14-18"  ),OR(  AK4 ="x",AK4="補",AK4="婚",AK4="公",AK4="病",AK4="事",AK4="x"  ), $AP4 =""),"18放早走",  IF(  AND(  OR(  AJ4 =""),OR(  AK4 ="x",AK4="補",AK4="婚",AK4="公",AK4="病",AK4="事",AK4="x榮*",AK4="榮",AK4="榮-22"  ), $AP4 =""),"18放",  IF(  AND(  OR(  AJ4="當日退伍"  ),OR(  AK4="退伍",AK4="退", AK4=""  ), $AP4 =""),"當日退伍",  IF(AND(  OR(AJ4="退",AJ4="退伍" ), OR(AK4="退",AK4="退伍" ), $AP4 =""),"退伍","全日勤"  )  )  )  )  )  )  )  )  )  )  ),"")</f>
        <v>全日勤</v>
      </c>
      <c r="AO45" s="76"/>
      <c r="AP45" s="63"/>
      <c r="AU45" s="63"/>
      <c r="AY45" s="63"/>
      <c r="AZ45" s="63"/>
      <c r="BA45" s="63"/>
    </row>
    <row r="46" spans="1:55">
      <c r="A46" s="66">
        <f t="shared" si="4"/>
        <v>4</v>
      </c>
      <c r="B46" s="66" t="str">
        <f t="shared" si="6"/>
        <v>鄭凱文</v>
      </c>
      <c r="C46" s="66" t="str">
        <f>IF(   (ROW(AO5)-1)&lt;=暫1!$B$2,           IF(  AND(  OR(  C5="x",C5="補"  ), OR(  D5 ="x",D5="補",D5="x榮18-22",D5="x公18-22",D5="x榮22-08"  ), $AP5 =""),"全日休",  IF(  AND(  OR(  C5="x",C5="病"  ), OR(  D5 ="病"  ), $AP5 =""),"病(事)假",  IF(  AND(  OR(  C5="x",C5="補"  ), OR(  D5 ="補"  ), $AP5 =""),"補休",  IF(  AND(  OR(  C5="x",C5="喪"  ), OR(  D5 ="喪"  ), $AP5 =""),"喪假",  IF(  AND(  OR(  C5="x",C5="婚",C5="產"  ), OR(  D5 ="婚",D5="產"  ), $AP5 =""),"婚(產)假",  IF(  AND(  OR(  C5="x",C5="公"  ), OR(  D5 ="公"  ), $AP5 =""),"公假",  IF(  AND(  OR(  C5="x",C5="補",C5="婚",C5="公",C5="病",C5="事",C5="x榮18-22"  ),OR(D5=""), $AP5 =""  ),"18收",  IF(  AND(  OR(  C5 ="榮14-18",C5 ="榮10-18",C5 ="榮06-18",C5 ="病14-18"  ),OR(  D5 ="x",D5="補",D5="婚",D5="公",D5="病",D5="事",D5="x"  ), $AP5 =""),"18放早走",  IF(  AND(  OR(  C5 =""),OR(  D5 ="x",D5="補",D5="婚",D5="公",D5="病",D5="事",D5="x榮*",D5="榮",D5="榮-22"  ), $AP5 =""),"18放",  IF(  AND(  OR(  C5="當日退伍"  ),OR(  D5="退伍",D5="退", D5=""  ), $AP5 =""),"當日退伍",  IF(AND(  OR(C5="退",C5="退伍" ), OR(D5="退",D5="退伍" ), $AP5 =""),"退伍","全日勤"  )  )  )  )  )  )  )  )  )  )  ),"")</f>
        <v>全日勤</v>
      </c>
      <c r="D46" s="66" t="str">
        <f>IF(   (ROW(AP5)-1)&lt;=暫1!$B$2,           IF(  AND(  OR(  D5="x",D5="補"  ), OR(  E5 ="x",E5="補",E5="x榮18-22",E5="x公18-22",E5="x榮22-08"  ), $AP5 =""),"全日休",  IF(  AND(  OR(  D5="x",D5="病"  ), OR(  E5 ="病"  ), $AP5 =""),"病(事)假",  IF(  AND(  OR(  D5="x",D5="補"  ), OR(  E5 ="補"  ), $AP5 =""),"補休",  IF(  AND(  OR(  D5="x",D5="喪"  ), OR(  E5 ="喪"  ), $AP5 =""),"喪假",  IF(  AND(  OR(  D5="x",D5="婚",D5="產"  ), OR(  E5 ="婚",E5="產"  ), $AP5 =""),"婚(產)假",  IF(  AND(  OR(  D5="x",D5="公"  ), OR(  E5 ="公"  ), $AP5 =""),"公假",  IF(  AND(  OR(  D5="x",D5="補",D5="婚",D5="公",D5="病",D5="事",D5="x榮18-22"  ),OR(E5=""), $AP5 =""  ),"18收",  IF(  AND(  OR(  D5 ="榮14-18",D5 ="榮10-18",D5 ="榮06-18",D5 ="病14-18"  ),OR(  E5 ="x",E5="補",E5="婚",E5="公",E5="病",E5="事",E5="x"  ), $AP5 =""),"18放早走",  IF(  AND(  OR(  D5 =""),OR(  E5 ="x",E5="補",E5="婚",E5="公",E5="病",E5="事",E5="x榮*",E5="榮",E5="榮-22"  ), $AP5 =""),"18放",  IF(  AND(  OR(  D5="當日退伍"  ),OR(  E5="退伍",E5="退", E5=""  ), $AP5 =""),"當日退伍",  IF(AND(  OR(D5="退",D5="退伍" ), OR(E5="退",E5="退伍" ), $AP5 =""),"退伍","全日勤"  )  )  )  )  )  )  )  )  )  )  ),"")</f>
        <v>全日勤</v>
      </c>
      <c r="E46" s="66" t="str">
        <f>IF(   (ROW(AQ5)-1)&lt;=暫1!$B$2,           IF(  AND(  OR(  E5="x",E5="補"  ), OR(  F5 ="x",F5="補",F5="x榮18-22",F5="x公18-22",F5="x榮22-08"  ), $AP5 =""),"全日休",  IF(  AND(  OR(  E5="x",E5="病"  ), OR(  F5 ="病"  ), $AP5 =""),"病(事)假",  IF(  AND(  OR(  E5="x",E5="補"  ), OR(  F5 ="補"  ), $AP5 =""),"補休",  IF(  AND(  OR(  E5="x",E5="喪"  ), OR(  F5 ="喪"  ), $AP5 =""),"喪假",  IF(  AND(  OR(  E5="x",E5="婚",E5="產"  ), OR(  F5 ="婚",F5="產"  ), $AP5 =""),"婚(產)假",  IF(  AND(  OR(  E5="x",E5="公"  ), OR(  F5 ="公"  ), $AP5 =""),"公假",  IF(  AND(  OR(  E5="x",E5="補",E5="婚",E5="公",E5="病",E5="事",E5="x榮18-22"  ),OR(F5=""), $AP5 =""  ),"18收",  IF(  AND(  OR(  E5 ="榮14-18",E5 ="榮10-18",E5 ="榮06-18",E5 ="病14-18"  ),OR(  F5 ="x",F5="補",F5="婚",F5="公",F5="病",F5="事",F5="x"  ), $AP5 =""),"18放早走",  IF(  AND(  OR(  E5 =""),OR(  F5 ="x",F5="補",F5="婚",F5="公",F5="病",F5="事",F5="x榮*",F5="榮",F5="榮-22"  ), $AP5 =""),"18放",  IF(  AND(  OR(  E5="當日退伍"  ),OR(  F5="退伍",F5="退", F5=""  ), $AP5 =""),"當日退伍",  IF(AND(  OR(E5="退",E5="退伍" ), OR(F5="退",F5="退伍" ), $AP5 =""),"退伍","全日勤"  )  )  )  )  )  )  )  )  )  )  ),"")</f>
        <v>全日勤</v>
      </c>
      <c r="F46" s="66" t="str">
        <f>IF(   (ROW(AR5)-1)&lt;=暫1!$B$2,           IF(  AND(  OR(  F5="x",F5="補"  ), OR(  G5 ="x",G5="補",G5="x榮18-22",G5="x公18-22",G5="x榮22-08"  ), $AP5 =""),"全日休",  IF(  AND(  OR(  F5="x",F5="病"  ), OR(  G5 ="病"  ), $AP5 =""),"病(事)假",  IF(  AND(  OR(  F5="x",F5="補"  ), OR(  G5 ="補"  ), $AP5 =""),"補休",  IF(  AND(  OR(  F5="x",F5="喪"  ), OR(  G5 ="喪"  ), $AP5 =""),"喪假",  IF(  AND(  OR(  F5="x",F5="婚",F5="產"  ), OR(  G5 ="婚",G5="產"  ), $AP5 =""),"婚(產)假",  IF(  AND(  OR(  F5="x",F5="公"  ), OR(  G5 ="公"  ), $AP5 =""),"公假",  IF(  AND(  OR(  F5="x",F5="補",F5="婚",F5="公",F5="病",F5="事",F5="x榮18-22"  ),OR(G5=""), $AP5 =""  ),"18收",  IF(  AND(  OR(  F5 ="榮14-18",F5 ="榮10-18",F5 ="榮06-18",F5 ="病14-18"  ),OR(  G5 ="x",G5="補",G5="婚",G5="公",G5="病",G5="事",G5="x"  ), $AP5 =""),"18放早走",  IF(  AND(  OR(  F5 =""),OR(  G5 ="x",G5="補",G5="婚",G5="公",G5="病",G5="事",G5="x榮*",G5="榮",G5="榮-22"  ), $AP5 =""),"18放",  IF(  AND(  OR(  F5="當日退伍"  ),OR(  G5="退伍",G5="退", G5=""  ), $AP5 =""),"當日退伍",  IF(AND(  OR(F5="退",F5="退伍" ), OR(G5="退",G5="退伍" ), $AP5 =""),"退伍","全日勤"  )  )  )  )  )  )  )  )  )  )  ),"")</f>
        <v>全日勤</v>
      </c>
      <c r="G46" s="66" t="str">
        <f>IF(   (ROW(AS5)-1)&lt;=暫1!$B$2,           IF(  AND(  OR(  G5="x",G5="補"  ), OR(  H5 ="x",H5="補",H5="x榮18-22",H5="x公18-22",H5="x榮22-08"  ), $AP5 =""),"全日休",  IF(  AND(  OR(  G5="x",G5="病"  ), OR(  H5 ="病"  ), $AP5 =""),"病(事)假",  IF(  AND(  OR(  G5="x",G5="補"  ), OR(  H5 ="補"  ), $AP5 =""),"補休",  IF(  AND(  OR(  G5="x",G5="喪"  ), OR(  H5 ="喪"  ), $AP5 =""),"喪假",  IF(  AND(  OR(  G5="x",G5="婚",G5="產"  ), OR(  H5 ="婚",H5="產"  ), $AP5 =""),"婚(產)假",  IF(  AND(  OR(  G5="x",G5="公"  ), OR(  H5 ="公"  ), $AP5 =""),"公假",  IF(  AND(  OR(  G5="x",G5="補",G5="婚",G5="公",G5="病",G5="事",G5="x榮18-22"  ),OR(H5=""), $AP5 =""  ),"18收",  IF(  AND(  OR(  G5 ="榮14-18",G5 ="榮10-18",G5 ="榮06-18",G5 ="病14-18"  ),OR(  H5 ="x",H5="補",H5="婚",H5="公",H5="病",H5="事",H5="x"  ), $AP5 =""),"18放早走",  IF(  AND(  OR(  G5 =""),OR(  H5 ="x",H5="補",H5="婚",H5="公",H5="病",H5="事",H5="x榮*",H5="榮",H5="榮-22"  ), $AP5 =""),"18放",  IF(  AND(  OR(  G5="當日退伍"  ),OR(  H5="退伍",H5="退", H5=""  ), $AP5 =""),"當日退伍",  IF(AND(  OR(G5="退",G5="退伍" ), OR(H5="退",H5="退伍" ), $AP5 =""),"退伍","全日勤"  )  )  )  )  )  )  )  )  )  )  ),"")</f>
        <v>全日勤</v>
      </c>
      <c r="H46" s="66" t="str">
        <f>IF(   (ROW(AT5)-1)&lt;=暫1!$B$2,           IF(  AND(  OR(  H5="x",H5="補"  ), OR(  I5 ="x",I5="補",I5="x榮18-22",I5="x公18-22",I5="x榮22-08"  ), $AP5 =""),"全日休",  IF(  AND(  OR(  H5="x",H5="病"  ), OR(  I5 ="病"  ), $AP5 =""),"病(事)假",  IF(  AND(  OR(  H5="x",H5="補"  ), OR(  I5 ="補"  ), $AP5 =""),"補休",  IF(  AND(  OR(  H5="x",H5="喪"  ), OR(  I5 ="喪"  ), $AP5 =""),"喪假",  IF(  AND(  OR(  H5="x",H5="婚",H5="產"  ), OR(  I5 ="婚",I5="產"  ), $AP5 =""),"婚(產)假",  IF(  AND(  OR(  H5="x",H5="公"  ), OR(  I5 ="公"  ), $AP5 =""),"公假",  IF(  AND(  OR(  H5="x",H5="補",H5="婚",H5="公",H5="病",H5="事",H5="x榮18-22"  ),OR(I5=""), $AP5 =""  ),"18收",  IF(  AND(  OR(  H5 ="榮14-18",H5 ="榮10-18",H5 ="榮06-18",H5 ="病14-18"  ),OR(  I5 ="x",I5="補",I5="婚",I5="公",I5="病",I5="事",I5="x"  ), $AP5 =""),"18放早走",  IF(  AND(  OR(  H5 =""),OR(  I5 ="x",I5="補",I5="婚",I5="公",I5="病",I5="事",I5="x榮*",I5="榮",I5="榮-22"  ), $AP5 =""),"18放",  IF(  AND(  OR(  H5="當日退伍"  ),OR(  I5="退伍",I5="退", I5=""  ), $AP5 =""),"當日退伍",  IF(AND(  OR(H5="退",H5="退伍" ), OR(I5="退",I5="退伍" ), $AP5 =""),"退伍","全日勤"  )  )  )  )  )  )  )  )  )  )  ),"")</f>
        <v>全日勤</v>
      </c>
      <c r="I46" s="66" t="str">
        <f>IF(   (ROW(AU5)-1)&lt;=暫1!$B$2,           IF(  AND(  OR(  I5="x",I5="補"  ), OR(  J5 ="x",J5="補",J5="x榮18-22",J5="x公18-22",J5="x榮22-08"  ), $AP5 =""),"全日休",  IF(  AND(  OR(  I5="x",I5="病"  ), OR(  J5 ="病"  ), $AP5 =""),"病(事)假",  IF(  AND(  OR(  I5="x",I5="補"  ), OR(  J5 ="補"  ), $AP5 =""),"補休",  IF(  AND(  OR(  I5="x",I5="喪"  ), OR(  J5 ="喪"  ), $AP5 =""),"喪假",  IF(  AND(  OR(  I5="x",I5="婚",I5="產"  ), OR(  J5 ="婚",J5="產"  ), $AP5 =""),"婚(產)假",  IF(  AND(  OR(  I5="x",I5="公"  ), OR(  J5 ="公"  ), $AP5 =""),"公假",  IF(  AND(  OR(  I5="x",I5="補",I5="婚",I5="公",I5="病",I5="事",I5="x榮18-22"  ),OR(J5=""), $AP5 =""  ),"18收",  IF(  AND(  OR(  I5 ="榮14-18",I5 ="榮10-18",I5 ="榮06-18",I5 ="病14-18"  ),OR(  J5 ="x",J5="補",J5="婚",J5="公",J5="病",J5="事",J5="x"  ), $AP5 =""),"18放早走",  IF(  AND(  OR(  I5 =""),OR(  J5 ="x",J5="補",J5="婚",J5="公",J5="病",J5="事",J5="x榮*",J5="榮",J5="榮-22"  ), $AP5 =""),"18放",  IF(  AND(  OR(  I5="當日退伍"  ),OR(  J5="退伍",J5="退", J5=""  ), $AP5 =""),"當日退伍",  IF(AND(  OR(I5="退",I5="退伍" ), OR(J5="退",J5="退伍" ), $AP5 =""),"退伍","全日勤"  )  )  )  )  )  )  )  )  )  )  ),"")</f>
        <v>全日勤</v>
      </c>
      <c r="J46" s="66" t="str">
        <f>IF(   (ROW(AV5)-1)&lt;=暫1!$B$2,           IF(  AND(  OR(  J5="x",J5="補"  ), OR(  K5 ="x",K5="補",K5="x榮18-22",K5="x公18-22",K5="x榮22-08"  ), $AP5 =""),"全日休",  IF(  AND(  OR(  J5="x",J5="病"  ), OR(  K5 ="病"  ), $AP5 =""),"病(事)假",  IF(  AND(  OR(  J5="x",J5="補"  ), OR(  K5 ="補"  ), $AP5 =""),"補休",  IF(  AND(  OR(  J5="x",J5="喪"  ), OR(  K5 ="喪"  ), $AP5 =""),"喪假",  IF(  AND(  OR(  J5="x",J5="婚",J5="產"  ), OR(  K5 ="婚",K5="產"  ), $AP5 =""),"婚(產)假",  IF(  AND(  OR(  J5="x",J5="公"  ), OR(  K5 ="公"  ), $AP5 =""),"公假",  IF(  AND(  OR(  J5="x",J5="補",J5="婚",J5="公",J5="病",J5="事",J5="x榮18-22"  ),OR(K5=""), $AP5 =""  ),"18收",  IF(  AND(  OR(  J5 ="榮14-18",J5 ="榮10-18",J5 ="榮06-18",J5 ="病14-18"  ),OR(  K5 ="x",K5="補",K5="婚",K5="公",K5="病",K5="事",K5="x"  ), $AP5 =""),"18放早走",  IF(  AND(  OR(  J5 =""),OR(  K5 ="x",K5="補",K5="婚",K5="公",K5="病",K5="事",K5="x榮*",K5="榮",K5="榮-22"  ), $AP5 =""),"18放",  IF(  AND(  OR(  J5="當日退伍"  ),OR(  K5="退伍",K5="退", K5=""  ), $AP5 =""),"當日退伍",  IF(AND(  OR(J5="退",J5="退伍" ), OR(K5="退",K5="退伍" ), $AP5 =""),"退伍","全日勤"  )  )  )  )  )  )  )  )  )  )  ),"")</f>
        <v>全日勤</v>
      </c>
      <c r="K46" s="66" t="str">
        <f>IF(   (ROW(AW5)-1)&lt;=暫1!$B$2,           IF(  AND(  OR(  K5="x",K5="補"  ), OR(  L5 ="x",L5="補",L5="x榮18-22",L5="x公18-22",L5="x榮22-08"  ), $AP5 =""),"全日休",  IF(  AND(  OR(  K5="x",K5="病"  ), OR(  L5 ="病"  ), $AP5 =""),"病(事)假",  IF(  AND(  OR(  K5="x",K5="補"  ), OR(  L5 ="補"  ), $AP5 =""),"補休",  IF(  AND(  OR(  K5="x",K5="喪"  ), OR(  L5 ="喪"  ), $AP5 =""),"喪假",  IF(  AND(  OR(  K5="x",K5="婚",K5="產"  ), OR(  L5 ="婚",L5="產"  ), $AP5 =""),"婚(產)假",  IF(  AND(  OR(  K5="x",K5="公"  ), OR(  L5 ="公"  ), $AP5 =""),"公假",  IF(  AND(  OR(  K5="x",K5="補",K5="婚",K5="公",K5="病",K5="事",K5="x榮18-22"  ),OR(L5=""), $AP5 =""  ),"18收",  IF(  AND(  OR(  K5 ="榮14-18",K5 ="榮10-18",K5 ="榮06-18",K5 ="病14-18"  ),OR(  L5 ="x",L5="補",L5="婚",L5="公",L5="病",L5="事",L5="x"  ), $AP5 =""),"18放早走",  IF(  AND(  OR(  K5 =""),OR(  L5 ="x",L5="補",L5="婚",L5="公",L5="病",L5="事",L5="x榮*",L5="榮",L5="榮-22"  ), $AP5 =""),"18放",  IF(  AND(  OR(  K5="當日退伍"  ),OR(  L5="退伍",L5="退", L5=""  ), $AP5 =""),"當日退伍",  IF(AND(  OR(K5="退",K5="退伍" ), OR(L5="退",L5="退伍" ), $AP5 =""),"退伍","全日勤"  )  )  )  )  )  )  )  )  )  )  ),"")</f>
        <v>全日勤</v>
      </c>
      <c r="L46" s="66" t="str">
        <f>IF(   (ROW(AX5)-1)&lt;=暫1!$B$2,           IF(  AND(  OR(  L5="x",L5="補"  ), OR(  M5 ="x",M5="補",M5="x榮18-22",M5="x公18-22",M5="x榮22-08"  ), $AP5 =""),"全日休",  IF(  AND(  OR(  L5="x",L5="病"  ), OR(  M5 ="病"  ), $AP5 =""),"病(事)假",  IF(  AND(  OR(  L5="x",L5="補"  ), OR(  M5 ="補"  ), $AP5 =""),"補休",  IF(  AND(  OR(  L5="x",L5="喪"  ), OR(  M5 ="喪"  ), $AP5 =""),"喪假",  IF(  AND(  OR(  L5="x",L5="婚",L5="產"  ), OR(  M5 ="婚",M5="產"  ), $AP5 =""),"婚(產)假",  IF(  AND(  OR(  L5="x",L5="公"  ), OR(  M5 ="公"  ), $AP5 =""),"公假",  IF(  AND(  OR(  L5="x",L5="補",L5="婚",L5="公",L5="病",L5="事",L5="x榮18-22"  ),OR(M5=""), $AP5 =""  ),"18收",  IF(  AND(  OR(  L5 ="榮14-18",L5 ="榮10-18",L5 ="榮06-18",L5 ="病14-18"  ),OR(  M5 ="x",M5="補",M5="婚",M5="公",M5="病",M5="事",M5="x"  ), $AP5 =""),"18放早走",  IF(  AND(  OR(  L5 =""),OR(  M5 ="x",M5="補",M5="婚",M5="公",M5="病",M5="事",M5="x榮*",M5="榮",M5="榮-22"  ), $AP5 =""),"18放",  IF(  AND(  OR(  L5="當日退伍"  ),OR(  M5="退伍",M5="退", M5=""  ), $AP5 =""),"當日退伍",  IF(AND(  OR(L5="退",L5="退伍" ), OR(M5="退",M5="退伍" ), $AP5 =""),"退伍","全日勤"  )  )  )  )  )  )  )  )  )  )  ),"")</f>
        <v>全日勤</v>
      </c>
      <c r="M46" s="66" t="str">
        <f>IF(   (ROW(AY5)-1)&lt;=暫1!$B$2,           IF(  AND(  OR(  M5="x",M5="補"  ), OR(  N5 ="x",N5="補",N5="x榮18-22",N5="x公18-22",N5="x榮22-08"  ), $AP5 =""),"全日休",  IF(  AND(  OR(  M5="x",M5="病"  ), OR(  N5 ="病"  ), $AP5 =""),"病(事)假",  IF(  AND(  OR(  M5="x",M5="補"  ), OR(  N5 ="補"  ), $AP5 =""),"補休",  IF(  AND(  OR(  M5="x",M5="喪"  ), OR(  N5 ="喪"  ), $AP5 =""),"喪假",  IF(  AND(  OR(  M5="x",M5="婚",M5="產"  ), OR(  N5 ="婚",N5="產"  ), $AP5 =""),"婚(產)假",  IF(  AND(  OR(  M5="x",M5="公"  ), OR(  N5 ="公"  ), $AP5 =""),"公假",  IF(  AND(  OR(  M5="x",M5="補",M5="婚",M5="公",M5="病",M5="事",M5="x榮18-22"  ),OR(N5=""), $AP5 =""  ),"18收",  IF(  AND(  OR(  M5 ="榮14-18",M5 ="榮10-18",M5 ="榮06-18",M5 ="病14-18"  ),OR(  N5 ="x",N5="補",N5="婚",N5="公",N5="病",N5="事",N5="x"  ), $AP5 =""),"18放早走",  IF(  AND(  OR(  M5 =""),OR(  N5 ="x",N5="補",N5="婚",N5="公",N5="病",N5="事",N5="x榮*",N5="榮",N5="榮-22"  ), $AP5 =""),"18放",  IF(  AND(  OR(  M5="當日退伍"  ),OR(  N5="退伍",N5="退", N5=""  ), $AP5 =""),"當日退伍",  IF(AND(  OR(M5="退",M5="退伍" ), OR(N5="退",N5="退伍" ), $AP5 =""),"退伍","全日勤"  )  )  )  )  )  )  )  )  )  )  ),"")</f>
        <v>全日勤</v>
      </c>
      <c r="N46" s="66" t="str">
        <f>IF(   (ROW(AZ5)-1)&lt;=暫1!$B$2,           IF(  AND(  OR(  N5="x",N5="補"  ), OR(  O5 ="x",O5="補",O5="x榮18-22",O5="x公18-22",O5="x榮22-08"  ), $AP5 =""),"全日休",  IF(  AND(  OR(  N5="x",N5="病"  ), OR(  O5 ="病"  ), $AP5 =""),"病(事)假",  IF(  AND(  OR(  N5="x",N5="補"  ), OR(  O5 ="補"  ), $AP5 =""),"補休",  IF(  AND(  OR(  N5="x",N5="喪"  ), OR(  O5 ="喪"  ), $AP5 =""),"喪假",  IF(  AND(  OR(  N5="x",N5="婚",N5="產"  ), OR(  O5 ="婚",O5="產"  ), $AP5 =""),"婚(產)假",  IF(  AND(  OR(  N5="x",N5="公"  ), OR(  O5 ="公"  ), $AP5 =""),"公假",  IF(  AND(  OR(  N5="x",N5="補",N5="婚",N5="公",N5="病",N5="事",N5="x榮18-22"  ),OR(O5=""), $AP5 =""  ),"18收",  IF(  AND(  OR(  N5 ="榮14-18",N5 ="榮10-18",N5 ="榮06-18",N5 ="病14-18"  ),OR(  O5 ="x",O5="補",O5="婚",O5="公",O5="病",O5="事",O5="x"  ), $AP5 =""),"18放早走",  IF(  AND(  OR(  N5 =""),OR(  O5 ="x",O5="補",O5="婚",O5="公",O5="病",O5="事",O5="x榮*",O5="榮",O5="榮-22"  ), $AP5 =""),"18放",  IF(  AND(  OR(  N5="當日退伍"  ),OR(  O5="退伍",O5="退", O5=""  ), $AP5 =""),"當日退伍",  IF(AND(  OR(N5="退",N5="退伍" ), OR(O5="退",O5="退伍" ), $AP5 =""),"退伍","全日勤"  )  )  )  )  )  )  )  )  )  )  ),"")</f>
        <v>全日勤</v>
      </c>
      <c r="O46" s="66" t="str">
        <f>IF(   (ROW(BA5)-1)&lt;=暫1!$B$2,           IF(  AND(  OR(  O5="x",O5="補"  ), OR(  P5 ="x",P5="補",P5="x榮18-22",P5="x公18-22",P5="x榮22-08"  ), $AP5 =""),"全日休",  IF(  AND(  OR(  O5="x",O5="病"  ), OR(  P5 ="病"  ), $AP5 =""),"病(事)假",  IF(  AND(  OR(  O5="x",O5="補"  ), OR(  P5 ="補"  ), $AP5 =""),"補休",  IF(  AND(  OR(  O5="x",O5="喪"  ), OR(  P5 ="喪"  ), $AP5 =""),"喪假",  IF(  AND(  OR(  O5="x",O5="婚",O5="產"  ), OR(  P5 ="婚",P5="產"  ), $AP5 =""),"婚(產)假",  IF(  AND(  OR(  O5="x",O5="公"  ), OR(  P5 ="公"  ), $AP5 =""),"公假",  IF(  AND(  OR(  O5="x",O5="補",O5="婚",O5="公",O5="病",O5="事",O5="x榮18-22"  ),OR(P5=""), $AP5 =""  ),"18收",  IF(  AND(  OR(  O5 ="榮14-18",O5 ="榮10-18",O5 ="榮06-18",O5 ="病14-18"  ),OR(  P5 ="x",P5="補",P5="婚",P5="公",P5="病",P5="事",P5="x"  ), $AP5 =""),"18放早走",  IF(  AND(  OR(  O5 =""),OR(  P5 ="x",P5="補",P5="婚",P5="公",P5="病",P5="事",P5="x榮*",P5="榮",P5="榮-22"  ), $AP5 =""),"18放",  IF(  AND(  OR(  O5="當日退伍"  ),OR(  P5="退伍",P5="退", P5=""  ), $AP5 =""),"當日退伍",  IF(AND(  OR(O5="退",O5="退伍" ), OR(P5="退",P5="退伍" ), $AP5 =""),"退伍","全日勤"  )  )  )  )  )  )  )  )  )  )  ),"")</f>
        <v>全日勤</v>
      </c>
      <c r="P46" s="66" t="str">
        <f>IF(   (ROW(BB5)-1)&lt;=暫1!$B$2,           IF(  AND(  OR(  P5="x",P5="補"  ), OR(  Q5 ="x",Q5="補",Q5="x榮18-22",Q5="x公18-22",Q5="x榮22-08"  ), $AP5 =""),"全日休",  IF(  AND(  OR(  P5="x",P5="病"  ), OR(  Q5 ="病"  ), $AP5 =""),"病(事)假",  IF(  AND(  OR(  P5="x",P5="補"  ), OR(  Q5 ="補"  ), $AP5 =""),"補休",  IF(  AND(  OR(  P5="x",P5="喪"  ), OR(  Q5 ="喪"  ), $AP5 =""),"喪假",  IF(  AND(  OR(  P5="x",P5="婚",P5="產"  ), OR(  Q5 ="婚",Q5="產"  ), $AP5 =""),"婚(產)假",  IF(  AND(  OR(  P5="x",P5="公"  ), OR(  Q5 ="公"  ), $AP5 =""),"公假",  IF(  AND(  OR(  P5="x",P5="補",P5="婚",P5="公",P5="病",P5="事",P5="x榮18-22"  ),OR(Q5=""), $AP5 =""  ),"18收",  IF(  AND(  OR(  P5 ="榮14-18",P5 ="榮10-18",P5 ="榮06-18",P5 ="病14-18"  ),OR(  Q5 ="x",Q5="補",Q5="婚",Q5="公",Q5="病",Q5="事",Q5="x"  ), $AP5 =""),"18放早走",  IF(  AND(  OR(  P5 =""),OR(  Q5 ="x",Q5="補",Q5="婚",Q5="公",Q5="病",Q5="事",Q5="x榮*",Q5="榮",Q5="榮-22"  ), $AP5 =""),"18放",  IF(  AND(  OR(  P5="當日退伍"  ),OR(  Q5="退伍",Q5="退", Q5=""  ), $AP5 =""),"當日退伍",  IF(AND(  OR(P5="退",P5="退伍" ), OR(Q5="退",Q5="退伍" ), $AP5 =""),"退伍","全日勤"  )  )  )  )  )  )  )  )  )  )  ),"")</f>
        <v>全日勤</v>
      </c>
      <c r="Q46" s="66" t="str">
        <f>IF(   (ROW(BC5)-1)&lt;=暫1!$B$2,           IF(  AND(  OR(  Q5="x",Q5="補"  ), OR(  R5 ="x",R5="補",R5="x榮18-22",R5="x公18-22",R5="x榮22-08"  ), $AP5 =""),"全日休",  IF(  AND(  OR(  Q5="x",Q5="病"  ), OR(  R5 ="病"  ), $AP5 =""),"病(事)假",  IF(  AND(  OR(  Q5="x",Q5="補"  ), OR(  R5 ="補"  ), $AP5 =""),"補休",  IF(  AND(  OR(  Q5="x",Q5="喪"  ), OR(  R5 ="喪"  ), $AP5 =""),"喪假",  IF(  AND(  OR(  Q5="x",Q5="婚",Q5="產"  ), OR(  R5 ="婚",R5="產"  ), $AP5 =""),"婚(產)假",  IF(  AND(  OR(  Q5="x",Q5="公"  ), OR(  R5 ="公"  ), $AP5 =""),"公假",  IF(  AND(  OR(  Q5="x",Q5="補",Q5="婚",Q5="公",Q5="病",Q5="事",Q5="x榮18-22"  ),OR(R5=""), $AP5 =""  ),"18收",  IF(  AND(  OR(  Q5 ="榮14-18",Q5 ="榮10-18",Q5 ="榮06-18",Q5 ="病14-18"  ),OR(  R5 ="x",R5="補",R5="婚",R5="公",R5="病",R5="事",R5="x"  ), $AP5 =""),"18放早走",  IF(  AND(  OR(  Q5 =""),OR(  R5 ="x",R5="補",R5="婚",R5="公",R5="病",R5="事",R5="x榮*",R5="榮",R5="榮-22"  ), $AP5 =""),"18放",  IF(  AND(  OR(  Q5="當日退伍"  ),OR(  R5="退伍",R5="退", R5=""  ), $AP5 =""),"當日退伍",  IF(AND(  OR(Q5="退",Q5="退伍" ), OR(R5="退",R5="退伍" ), $AP5 =""),"退伍","全日勤"  )  )  )  )  )  )  )  )  )  )  ),"")</f>
        <v>全日勤</v>
      </c>
      <c r="R46" s="66" t="str">
        <f>IF(   (ROW(BD5)-1)&lt;=暫1!$B$2,           IF(  AND(  OR(  R5="x",R5="補"  ), OR(  S5 ="x",S5="補",S5="x榮18-22",S5="x公18-22",S5="x榮22-08"  ), $AP5 =""),"全日休",  IF(  AND(  OR(  R5="x",R5="病"  ), OR(  S5 ="病"  ), $AP5 =""),"病(事)假",  IF(  AND(  OR(  R5="x",R5="補"  ), OR(  S5 ="補"  ), $AP5 =""),"補休",  IF(  AND(  OR(  R5="x",R5="喪"  ), OR(  S5 ="喪"  ), $AP5 =""),"喪假",  IF(  AND(  OR(  R5="x",R5="婚",R5="產"  ), OR(  S5 ="婚",S5="產"  ), $AP5 =""),"婚(產)假",  IF(  AND(  OR(  R5="x",R5="公"  ), OR(  S5 ="公"  ), $AP5 =""),"公假",  IF(  AND(  OR(  R5="x",R5="補",R5="婚",R5="公",R5="病",R5="事",R5="x榮18-22"  ),OR(S5=""), $AP5 =""  ),"18收",  IF(  AND(  OR(  R5 ="榮14-18",R5 ="榮10-18",R5 ="榮06-18",R5 ="病14-18"  ),OR(  S5 ="x",S5="補",S5="婚",S5="公",S5="病",S5="事",S5="x"  ), $AP5 =""),"18放早走",  IF(  AND(  OR(  R5 =""),OR(  S5 ="x",S5="補",S5="婚",S5="公",S5="病",S5="事",S5="x榮*",S5="榮",S5="榮-22"  ), $AP5 =""),"18放",  IF(  AND(  OR(  R5="當日退伍"  ),OR(  S5="退伍",S5="退", S5=""  ), $AP5 =""),"當日退伍",  IF(AND(  OR(R5="退",R5="退伍" ), OR(S5="退",S5="退伍" ), $AP5 =""),"退伍","全日勤"  )  )  )  )  )  )  )  )  )  )  ),"")</f>
        <v>全日勤</v>
      </c>
      <c r="S46" s="66" t="str">
        <f>IF(   (ROW(BE5)-1)&lt;=暫1!$B$2,           IF(  AND(  OR(  S5="x",S5="補"  ), OR(  T5 ="x",T5="補",T5="x榮18-22",T5="x公18-22",T5="x榮22-08"  ), $AP5 =""),"全日休",  IF(  AND(  OR(  S5="x",S5="病"  ), OR(  T5 ="病"  ), $AP5 =""),"病(事)假",  IF(  AND(  OR(  S5="x",S5="補"  ), OR(  T5 ="補"  ), $AP5 =""),"補休",  IF(  AND(  OR(  S5="x",S5="喪"  ), OR(  T5 ="喪"  ), $AP5 =""),"喪假",  IF(  AND(  OR(  S5="x",S5="婚",S5="產"  ), OR(  T5 ="婚",T5="產"  ), $AP5 =""),"婚(產)假",  IF(  AND(  OR(  S5="x",S5="公"  ), OR(  T5 ="公"  ), $AP5 =""),"公假",  IF(  AND(  OR(  S5="x",S5="補",S5="婚",S5="公",S5="病",S5="事",S5="x榮18-22"  ),OR(T5=""), $AP5 =""  ),"18收",  IF(  AND(  OR(  S5 ="榮14-18",S5 ="榮10-18",S5 ="榮06-18",S5 ="病14-18"  ),OR(  T5 ="x",T5="補",T5="婚",T5="公",T5="病",T5="事",T5="x"  ), $AP5 =""),"18放早走",  IF(  AND(  OR(  S5 =""),OR(  T5 ="x",T5="補",T5="婚",T5="公",T5="病",T5="事",T5="x榮*",T5="榮",T5="榮-22"  ), $AP5 =""),"18放",  IF(  AND(  OR(  S5="當日退伍"  ),OR(  T5="退伍",T5="退", T5=""  ), $AP5 =""),"當日退伍",  IF(AND(  OR(S5="退",S5="退伍" ), OR(T5="退",T5="退伍" ), $AP5 =""),"退伍","全日勤"  )  )  )  )  )  )  )  )  )  )  ),"")</f>
        <v>全日勤</v>
      </c>
      <c r="T46" s="66" t="str">
        <f>IF(   (ROW(BF5)-1)&lt;=暫1!$B$2,           IF(  AND(  OR(  T5="x",T5="補"  ), OR(  U5 ="x",U5="補",U5="x榮18-22",U5="x公18-22",U5="x榮22-08"  ), $AP5 =""),"全日休",  IF(  AND(  OR(  T5="x",T5="病"  ), OR(  U5 ="病"  ), $AP5 =""),"病(事)假",  IF(  AND(  OR(  T5="x",T5="補"  ), OR(  U5 ="補"  ), $AP5 =""),"補休",  IF(  AND(  OR(  T5="x",T5="喪"  ), OR(  U5 ="喪"  ), $AP5 =""),"喪假",  IF(  AND(  OR(  T5="x",T5="婚",T5="產"  ), OR(  U5 ="婚",U5="產"  ), $AP5 =""),"婚(產)假",  IF(  AND(  OR(  T5="x",T5="公"  ), OR(  U5 ="公"  ), $AP5 =""),"公假",  IF(  AND(  OR(  T5="x",T5="補",T5="婚",T5="公",T5="病",T5="事",T5="x榮18-22"  ),OR(U5=""), $AP5 =""  ),"18收",  IF(  AND(  OR(  T5 ="榮14-18",T5 ="榮10-18",T5 ="榮06-18",T5 ="病14-18"  ),OR(  U5 ="x",U5="補",U5="婚",U5="公",U5="病",U5="事",U5="x"  ), $AP5 =""),"18放早走",  IF(  AND(  OR(  T5 =""),OR(  U5 ="x",U5="補",U5="婚",U5="公",U5="病",U5="事",U5="x榮*",U5="榮",U5="榮-22"  ), $AP5 =""),"18放",  IF(  AND(  OR(  T5="當日退伍"  ),OR(  U5="退伍",U5="退", U5=""  ), $AP5 =""),"當日退伍",  IF(AND(  OR(T5="退",T5="退伍" ), OR(U5="退",U5="退伍" ), $AP5 =""),"退伍","全日勤"  )  )  )  )  )  )  )  )  )  )  ),"")</f>
        <v>全日勤</v>
      </c>
      <c r="U46" s="66" t="str">
        <f>IF(   (ROW(BG5)-1)&lt;=暫1!$B$2,           IF(  AND(  OR(  U5="x",U5="補"  ), OR(  V5 ="x",V5="補",V5="x榮18-22",V5="x公18-22",V5="x榮22-08"  ), $AP5 =""),"全日休",  IF(  AND(  OR(  U5="x",U5="病"  ), OR(  V5 ="病"  ), $AP5 =""),"病(事)假",  IF(  AND(  OR(  U5="x",U5="補"  ), OR(  V5 ="補"  ), $AP5 =""),"補休",  IF(  AND(  OR(  U5="x",U5="喪"  ), OR(  V5 ="喪"  ), $AP5 =""),"喪假",  IF(  AND(  OR(  U5="x",U5="婚",U5="產"  ), OR(  V5 ="婚",V5="產"  ), $AP5 =""),"婚(產)假",  IF(  AND(  OR(  U5="x",U5="公"  ), OR(  V5 ="公"  ), $AP5 =""),"公假",  IF(  AND(  OR(  U5="x",U5="補",U5="婚",U5="公",U5="病",U5="事",U5="x榮18-22"  ),OR(V5=""), $AP5 =""  ),"18收",  IF(  AND(  OR(  U5 ="榮14-18",U5 ="榮10-18",U5 ="榮06-18",U5 ="病14-18"  ),OR(  V5 ="x",V5="補",V5="婚",V5="公",V5="病",V5="事",V5="x"  ), $AP5 =""),"18放早走",  IF(  AND(  OR(  U5 =""),OR(  V5 ="x",V5="補",V5="婚",V5="公",V5="病",V5="事",V5="x榮*",V5="榮",V5="榮-22"  ), $AP5 =""),"18放",  IF(  AND(  OR(  U5="當日退伍"  ),OR(  V5="退伍",V5="退", V5=""  ), $AP5 =""),"當日退伍",  IF(AND(  OR(U5="退",U5="退伍" ), OR(V5="退",V5="退伍" ), $AP5 =""),"退伍","全日勤"  )  )  )  )  )  )  )  )  )  )  ),"")</f>
        <v>全日勤</v>
      </c>
      <c r="V46" s="66" t="str">
        <f>IF(   (ROW(BH5)-1)&lt;=暫1!$B$2,           IF(  AND(  OR(  V5="x",V5="補"  ), OR(  W5 ="x",W5="補",W5="x榮18-22",W5="x公18-22",W5="x榮22-08"  ), $AP5 =""),"全日休",  IF(  AND(  OR(  V5="x",V5="病"  ), OR(  W5 ="病"  ), $AP5 =""),"病(事)假",  IF(  AND(  OR(  V5="x",V5="補"  ), OR(  W5 ="補"  ), $AP5 =""),"補休",  IF(  AND(  OR(  V5="x",V5="喪"  ), OR(  W5 ="喪"  ), $AP5 =""),"喪假",  IF(  AND(  OR(  V5="x",V5="婚",V5="產"  ), OR(  W5 ="婚",W5="產"  ), $AP5 =""),"婚(產)假",  IF(  AND(  OR(  V5="x",V5="公"  ), OR(  W5 ="公"  ), $AP5 =""),"公假",  IF(  AND(  OR(  V5="x",V5="補",V5="婚",V5="公",V5="病",V5="事",V5="x榮18-22"  ),OR(W5=""), $AP5 =""  ),"18收",  IF(  AND(  OR(  V5 ="榮14-18",V5 ="榮10-18",V5 ="榮06-18",V5 ="病14-18"  ),OR(  W5 ="x",W5="補",W5="婚",W5="公",W5="病",W5="事",W5="x"  ), $AP5 =""),"18放早走",  IF(  AND(  OR(  V5 =""),OR(  W5 ="x",W5="補",W5="婚",W5="公",W5="病",W5="事",W5="x榮*",W5="榮",W5="榮-22"  ), $AP5 =""),"18放",  IF(  AND(  OR(  V5="當日退伍"  ),OR(  W5="退伍",W5="退", W5=""  ), $AP5 =""),"當日退伍",  IF(AND(  OR(V5="退",V5="退伍" ), OR(W5="退",W5="退伍" ), $AP5 =""),"退伍","全日勤"  )  )  )  )  )  )  )  )  )  )  ),"")</f>
        <v>全日勤</v>
      </c>
      <c r="W46" s="66" t="str">
        <f>IF(   (ROW(BI5)-1)&lt;=暫1!$B$2,           IF(  AND(  OR(  W5="x",W5="補"  ), OR(  X5 ="x",X5="補",X5="x榮18-22",X5="x公18-22",X5="x榮22-08"  ), $AP5 =""),"全日休",  IF(  AND(  OR(  W5="x",W5="病"  ), OR(  X5 ="病"  ), $AP5 =""),"病(事)假",  IF(  AND(  OR(  W5="x",W5="補"  ), OR(  X5 ="補"  ), $AP5 =""),"補休",  IF(  AND(  OR(  W5="x",W5="喪"  ), OR(  X5 ="喪"  ), $AP5 =""),"喪假",  IF(  AND(  OR(  W5="x",W5="婚",W5="產"  ), OR(  X5 ="婚",X5="產"  ), $AP5 =""),"婚(產)假",  IF(  AND(  OR(  W5="x",W5="公"  ), OR(  X5 ="公"  ), $AP5 =""),"公假",  IF(  AND(  OR(  W5="x",W5="補",W5="婚",W5="公",W5="病",W5="事",W5="x榮18-22"  ),OR(X5=""), $AP5 =""  ),"18收",  IF(  AND(  OR(  W5 ="榮14-18",W5 ="榮10-18",W5 ="榮06-18",W5 ="病14-18"  ),OR(  X5 ="x",X5="補",X5="婚",X5="公",X5="病",X5="事",X5="x"  ), $AP5 =""),"18放早走",  IF(  AND(  OR(  W5 =""),OR(  X5 ="x",X5="補",X5="婚",X5="公",X5="病",X5="事",X5="x榮*",X5="榮",X5="榮-22"  ), $AP5 =""),"18放",  IF(  AND(  OR(  W5="當日退伍"  ),OR(  X5="退伍",X5="退", X5=""  ), $AP5 =""),"當日退伍",  IF(AND(  OR(W5="退",W5="退伍" ), OR(X5="退",X5="退伍" ), $AP5 =""),"退伍","全日勤"  )  )  )  )  )  )  )  )  )  )  ),"")</f>
        <v>全日勤</v>
      </c>
      <c r="X46" s="66" t="str">
        <f>IF(   (ROW(BJ5)-1)&lt;=暫1!$B$2,           IF(  AND(  OR(  X5="x",X5="補"  ), OR(  Y5 ="x",Y5="補",Y5="x榮18-22",Y5="x公18-22",Y5="x榮22-08"  ), $AP5 =""),"全日休",  IF(  AND(  OR(  X5="x",X5="病"  ), OR(  Y5 ="病"  ), $AP5 =""),"病(事)假",  IF(  AND(  OR(  X5="x",X5="補"  ), OR(  Y5 ="補"  ), $AP5 =""),"補休",  IF(  AND(  OR(  X5="x",X5="喪"  ), OR(  Y5 ="喪"  ), $AP5 =""),"喪假",  IF(  AND(  OR(  X5="x",X5="婚",X5="產"  ), OR(  Y5 ="婚",Y5="產"  ), $AP5 =""),"婚(產)假",  IF(  AND(  OR(  X5="x",X5="公"  ), OR(  Y5 ="公"  ), $AP5 =""),"公假",  IF(  AND(  OR(  X5="x",X5="補",X5="婚",X5="公",X5="病",X5="事",X5="x榮18-22"  ),OR(Y5=""), $AP5 =""  ),"18收",  IF(  AND(  OR(  X5 ="榮14-18",X5 ="榮10-18",X5 ="榮06-18",X5 ="病14-18"  ),OR(  Y5 ="x",Y5="補",Y5="婚",Y5="公",Y5="病",Y5="事",Y5="x"  ), $AP5 =""),"18放早走",  IF(  AND(  OR(  X5 =""),OR(  Y5 ="x",Y5="補",Y5="婚",Y5="公",Y5="病",Y5="事",Y5="x榮*",Y5="榮",Y5="榮-22"  ), $AP5 =""),"18放",  IF(  AND(  OR(  X5="當日退伍"  ),OR(  Y5="退伍",Y5="退", Y5=""  ), $AP5 =""),"當日退伍",  IF(AND(  OR(X5="退",X5="退伍" ), OR(Y5="退",Y5="退伍" ), $AP5 =""),"退伍","全日勤"  )  )  )  )  )  )  )  )  )  )  ),"")</f>
        <v>全日勤</v>
      </c>
      <c r="Y46" s="66" t="str">
        <f>IF(   (ROW(BK5)-1)&lt;=暫1!$B$2,           IF(  AND(  OR(  Y5="x",Y5="補"  ), OR(  Z5 ="x",Z5="補",Z5="x榮18-22",Z5="x公18-22",Z5="x榮22-08"  ), $AP5 =""),"全日休",  IF(  AND(  OR(  Y5="x",Y5="病"  ), OR(  Z5 ="病"  ), $AP5 =""),"病(事)假",  IF(  AND(  OR(  Y5="x",Y5="補"  ), OR(  Z5 ="補"  ), $AP5 =""),"補休",  IF(  AND(  OR(  Y5="x",Y5="喪"  ), OR(  Z5 ="喪"  ), $AP5 =""),"喪假",  IF(  AND(  OR(  Y5="x",Y5="婚",Y5="產"  ), OR(  Z5 ="婚",Z5="產"  ), $AP5 =""),"婚(產)假",  IF(  AND(  OR(  Y5="x",Y5="公"  ), OR(  Z5 ="公"  ), $AP5 =""),"公假",  IF(  AND(  OR(  Y5="x",Y5="補",Y5="婚",Y5="公",Y5="病",Y5="事",Y5="x榮18-22"  ),OR(Z5=""), $AP5 =""  ),"18收",  IF(  AND(  OR(  Y5 ="榮14-18",Y5 ="榮10-18",Y5 ="榮06-18",Y5 ="病14-18"  ),OR(  Z5 ="x",Z5="補",Z5="婚",Z5="公",Z5="病",Z5="事",Z5="x"  ), $AP5 =""),"18放早走",  IF(  AND(  OR(  Y5 =""),OR(  Z5 ="x",Z5="補",Z5="婚",Z5="公",Z5="病",Z5="事",Z5="x榮*",Z5="榮",Z5="榮-22"  ), $AP5 =""),"18放",  IF(  AND(  OR(  Y5="當日退伍"  ),OR(  Z5="退伍",Z5="退", Z5=""  ), $AP5 =""),"當日退伍",  IF(AND(  OR(Y5="退",Y5="退伍" ), OR(Z5="退",Z5="退伍" ), $AP5 =""),"退伍","全日勤"  )  )  )  )  )  )  )  )  )  )  ),"")</f>
        <v>全日勤</v>
      </c>
      <c r="Z46" s="66" t="str">
        <f>IF(   (ROW(BL5)-1)&lt;=暫1!$B$2,           IF(  AND(  OR(  Z5="x",Z5="補"  ), OR(  AA5 ="x",AA5="補",AA5="x榮18-22",AA5="x公18-22",AA5="x榮22-08"  ), $AP5 =""),"全日休",  IF(  AND(  OR(  Z5="x",Z5="病"  ), OR(  AA5 ="病"  ), $AP5 =""),"病(事)假",  IF(  AND(  OR(  Z5="x",Z5="補"  ), OR(  AA5 ="補"  ), $AP5 =""),"補休",  IF(  AND(  OR(  Z5="x",Z5="喪"  ), OR(  AA5 ="喪"  ), $AP5 =""),"喪假",  IF(  AND(  OR(  Z5="x",Z5="婚",Z5="產"  ), OR(  AA5 ="婚",AA5="產"  ), $AP5 =""),"婚(產)假",  IF(  AND(  OR(  Z5="x",Z5="公"  ), OR(  AA5 ="公"  ), $AP5 =""),"公假",  IF(  AND(  OR(  Z5="x",Z5="補",Z5="婚",Z5="公",Z5="病",Z5="事",Z5="x榮18-22"  ),OR(AA5=""), $AP5 =""  ),"18收",  IF(  AND(  OR(  Z5 ="榮14-18",Z5 ="榮10-18",Z5 ="榮06-18",Z5 ="病14-18"  ),OR(  AA5 ="x",AA5="補",AA5="婚",AA5="公",AA5="病",AA5="事",AA5="x"  ), $AP5 =""),"18放早走",  IF(  AND(  OR(  Z5 =""),OR(  AA5 ="x",AA5="補",AA5="婚",AA5="公",AA5="病",AA5="事",AA5="x榮*",AA5="榮",AA5="榮-22"  ), $AP5 =""),"18放",  IF(  AND(  OR(  Z5="當日退伍"  ),OR(  AA5="退伍",AA5="退", AA5=""  ), $AP5 =""),"當日退伍",  IF(AND(  OR(Z5="退",Z5="退伍" ), OR(AA5="退",AA5="退伍" ), $AP5 =""),"退伍","全日勤"  )  )  )  )  )  )  )  )  )  )  ),"")</f>
        <v>全日勤</v>
      </c>
      <c r="AA46" s="66" t="str">
        <f>IF(   (ROW(BM5)-1)&lt;=暫1!$B$2,           IF(  AND(  OR(  AA5="x",AA5="補"  ), OR(  AB5 ="x",AB5="補",AB5="x榮18-22",AB5="x公18-22",AB5="x榮22-08"  ), $AP5 =""),"全日休",  IF(  AND(  OR(  AA5="x",AA5="病"  ), OR(  AB5 ="病"  ), $AP5 =""),"病(事)假",  IF(  AND(  OR(  AA5="x",AA5="補"  ), OR(  AB5 ="補"  ), $AP5 =""),"補休",  IF(  AND(  OR(  AA5="x",AA5="喪"  ), OR(  AB5 ="喪"  ), $AP5 =""),"喪假",  IF(  AND(  OR(  AA5="x",AA5="婚",AA5="產"  ), OR(  AB5 ="婚",AB5="產"  ), $AP5 =""),"婚(產)假",  IF(  AND(  OR(  AA5="x",AA5="公"  ), OR(  AB5 ="公"  ), $AP5 =""),"公假",  IF(  AND(  OR(  AA5="x",AA5="補",AA5="婚",AA5="公",AA5="病",AA5="事",AA5="x榮18-22"  ),OR(AB5=""), $AP5 =""  ),"18收",  IF(  AND(  OR(  AA5 ="榮14-18",AA5 ="榮10-18",AA5 ="榮06-18",AA5 ="病14-18"  ),OR(  AB5 ="x",AB5="補",AB5="婚",AB5="公",AB5="病",AB5="事",AB5="x"  ), $AP5 =""),"18放早走",  IF(  AND(  OR(  AA5 =""),OR(  AB5 ="x",AB5="補",AB5="婚",AB5="公",AB5="病",AB5="事",AB5="x榮*",AB5="榮",AB5="榮-22"  ), $AP5 =""),"18放",  IF(  AND(  OR(  AA5="當日退伍"  ),OR(  AB5="退伍",AB5="退", AB5=""  ), $AP5 =""),"當日退伍",  IF(AND(  OR(AA5="退",AA5="退伍" ), OR(AB5="退",AB5="退伍" ), $AP5 =""),"退伍","全日勤"  )  )  )  )  )  )  )  )  )  )  ),"")</f>
        <v>全日勤</v>
      </c>
      <c r="AB46" s="66" t="str">
        <f>IF(   (ROW(BN5)-1)&lt;=暫1!$B$2,           IF(  AND(  OR(  AB5="x",AB5="補"  ), OR(  AC5 ="x",AC5="補",AC5="x榮18-22",AC5="x公18-22",AC5="x榮22-08"  ), $AP5 =""),"全日休",  IF(  AND(  OR(  AB5="x",AB5="病"  ), OR(  AC5 ="病"  ), $AP5 =""),"病(事)假",  IF(  AND(  OR(  AB5="x",AB5="補"  ), OR(  AC5 ="補"  ), $AP5 =""),"補休",  IF(  AND(  OR(  AB5="x",AB5="喪"  ), OR(  AC5 ="喪"  ), $AP5 =""),"喪假",  IF(  AND(  OR(  AB5="x",AB5="婚",AB5="產"  ), OR(  AC5 ="婚",AC5="產"  ), $AP5 =""),"婚(產)假",  IF(  AND(  OR(  AB5="x",AB5="公"  ), OR(  AC5 ="公"  ), $AP5 =""),"公假",  IF(  AND(  OR(  AB5="x",AB5="補",AB5="婚",AB5="公",AB5="病",AB5="事",AB5="x榮18-22"  ),OR(AC5=""), $AP5 =""  ),"18收",  IF(  AND(  OR(  AB5 ="榮14-18",AB5 ="榮10-18",AB5 ="榮06-18",AB5 ="病14-18"  ),OR(  AC5 ="x",AC5="補",AC5="婚",AC5="公",AC5="病",AC5="事",AC5="x"  ), $AP5 =""),"18放早走",  IF(  AND(  OR(  AB5 =""),OR(  AC5 ="x",AC5="補",AC5="婚",AC5="公",AC5="病",AC5="事",AC5="x榮*",AC5="榮",AC5="榮-22"  ), $AP5 =""),"18放",  IF(  AND(  OR(  AB5="當日退伍"  ),OR(  AC5="退伍",AC5="退", AC5=""  ), $AP5 =""),"當日退伍",  IF(AND(  OR(AB5="退",AB5="退伍" ), OR(AC5="退",AC5="退伍" ), $AP5 =""),"退伍","全日勤"  )  )  )  )  )  )  )  )  )  )  ),"")</f>
        <v>全日勤</v>
      </c>
      <c r="AC46" s="66" t="str">
        <f>IF(   (ROW(BO5)-1)&lt;=暫1!$B$2,           IF(  AND(  OR(  AC5="x",AC5="補"  ), OR(  AD5 ="x",AD5="補",AD5="x榮18-22",AD5="x公18-22",AD5="x榮22-08"  ), $AP5 =""),"全日休",  IF(  AND(  OR(  AC5="x",AC5="病"  ), OR(  AD5 ="病"  ), $AP5 =""),"病(事)假",  IF(  AND(  OR(  AC5="x",AC5="補"  ), OR(  AD5 ="補"  ), $AP5 =""),"補休",  IF(  AND(  OR(  AC5="x",AC5="喪"  ), OR(  AD5 ="喪"  ), $AP5 =""),"喪假",  IF(  AND(  OR(  AC5="x",AC5="婚",AC5="產"  ), OR(  AD5 ="婚",AD5="產"  ), $AP5 =""),"婚(產)假",  IF(  AND(  OR(  AC5="x",AC5="公"  ), OR(  AD5 ="公"  ), $AP5 =""),"公假",  IF(  AND(  OR(  AC5="x",AC5="補",AC5="婚",AC5="公",AC5="病",AC5="事",AC5="x榮18-22"  ),OR(AD5=""), $AP5 =""  ),"18收",  IF(  AND(  OR(  AC5 ="榮14-18",AC5 ="榮10-18",AC5 ="榮06-18",AC5 ="病14-18"  ),OR(  AD5 ="x",AD5="補",AD5="婚",AD5="公",AD5="病",AD5="事",AD5="x"  ), $AP5 =""),"18放早走",  IF(  AND(  OR(  AC5 =""),OR(  AD5 ="x",AD5="補",AD5="婚",AD5="公",AD5="病",AD5="事",AD5="x榮*",AD5="榮",AD5="榮-22"  ), $AP5 =""),"18放",  IF(  AND(  OR(  AC5="當日退伍"  ),OR(  AD5="退伍",AD5="退", AD5=""  ), $AP5 =""),"當日退伍",  IF(AND(  OR(AC5="退",AC5="退伍" ), OR(AD5="退",AD5="退伍" ), $AP5 =""),"退伍","全日勤"  )  )  )  )  )  )  )  )  )  )  ),"")</f>
        <v>全日勤</v>
      </c>
      <c r="AD46" s="66" t="str">
        <f>IF(   (ROW(BP5)-1)&lt;=暫1!$B$2,           IF(  AND(  OR(  AD5="x",AD5="補"  ), OR(  AE5 ="x",AE5="補",AE5="x榮18-22",AE5="x公18-22",AE5="x榮22-08"  ), $AP5 =""),"全日休",  IF(  AND(  OR(  AD5="x",AD5="病"  ), OR(  AE5 ="病"  ), $AP5 =""),"病(事)假",  IF(  AND(  OR(  AD5="x",AD5="補"  ), OR(  AE5 ="補"  ), $AP5 =""),"補休",  IF(  AND(  OR(  AD5="x",AD5="喪"  ), OR(  AE5 ="喪"  ), $AP5 =""),"喪假",  IF(  AND(  OR(  AD5="x",AD5="婚",AD5="產"  ), OR(  AE5 ="婚",AE5="產"  ), $AP5 =""),"婚(產)假",  IF(  AND(  OR(  AD5="x",AD5="公"  ), OR(  AE5 ="公"  ), $AP5 =""),"公假",  IF(  AND(  OR(  AD5="x",AD5="補",AD5="婚",AD5="公",AD5="病",AD5="事",AD5="x榮18-22"  ),OR(AE5=""), $AP5 =""  ),"18收",  IF(  AND(  OR(  AD5 ="榮14-18",AD5 ="榮10-18",AD5 ="榮06-18",AD5 ="病14-18"  ),OR(  AE5 ="x",AE5="補",AE5="婚",AE5="公",AE5="病",AE5="事",AE5="x"  ), $AP5 =""),"18放早走",  IF(  AND(  OR(  AD5 =""),OR(  AE5 ="x",AE5="補",AE5="婚",AE5="公",AE5="病",AE5="事",AE5="x榮*",AE5="榮",AE5="榮-22"  ), $AP5 =""),"18放",  IF(  AND(  OR(  AD5="當日退伍"  ),OR(  AE5="退伍",AE5="退", AE5=""  ), $AP5 =""),"當日退伍",  IF(AND(  OR(AD5="退",AD5="退伍" ), OR(AE5="退",AE5="退伍" ), $AP5 =""),"退伍","全日勤"  )  )  )  )  )  )  )  )  )  )  ),"")</f>
        <v>全日勤</v>
      </c>
      <c r="AE46" s="66" t="str">
        <f>IF(   (ROW(BQ5)-1)&lt;=暫1!$B$2,           IF(  AND(  OR(  AE5="x",AE5="補"  ), OR(  AF5 ="x",AF5="補",AF5="x榮18-22",AF5="x公18-22",AF5="x榮22-08"  ), $AP5 =""),"全日休",  IF(  AND(  OR(  AE5="x",AE5="病"  ), OR(  AF5 ="病"  ), $AP5 =""),"病(事)假",  IF(  AND(  OR(  AE5="x",AE5="補"  ), OR(  AF5 ="補"  ), $AP5 =""),"補休",  IF(  AND(  OR(  AE5="x",AE5="喪"  ), OR(  AF5 ="喪"  ), $AP5 =""),"喪假",  IF(  AND(  OR(  AE5="x",AE5="婚",AE5="產"  ), OR(  AF5 ="婚",AF5="產"  ), $AP5 =""),"婚(產)假",  IF(  AND(  OR(  AE5="x",AE5="公"  ), OR(  AF5 ="公"  ), $AP5 =""),"公假",  IF(  AND(  OR(  AE5="x",AE5="補",AE5="婚",AE5="公",AE5="病",AE5="事",AE5="x榮18-22"  ),OR(AF5=""), $AP5 =""  ),"18收",  IF(  AND(  OR(  AE5 ="榮14-18",AE5 ="榮10-18",AE5 ="榮06-18",AE5 ="病14-18"  ),OR(  AF5 ="x",AF5="補",AF5="婚",AF5="公",AF5="病",AF5="事",AF5="x"  ), $AP5 =""),"18放早走",  IF(  AND(  OR(  AE5 =""),OR(  AF5 ="x",AF5="補",AF5="婚",AF5="公",AF5="病",AF5="事",AF5="x榮*",AF5="榮",AF5="榮-22"  ), $AP5 =""),"18放",  IF(  AND(  OR(  AE5="當日退伍"  ),OR(  AF5="退伍",AF5="退", AF5=""  ), $AP5 =""),"當日退伍",  IF(AND(  OR(AE5="退",AE5="退伍" ), OR(AF5="退",AF5="退伍" ), $AP5 =""),"退伍","全日勤"  )  )  )  )  )  )  )  )  )  )  ),"")</f>
        <v>全日勤</v>
      </c>
      <c r="AF46" s="66" t="str">
        <f>IF(   (ROW(BR5)-1)&lt;=暫1!$B$2,           IF(  AND(  OR(  AF5="x",AF5="補"  ), OR(  AG5 ="x",AG5="補",AG5="x榮18-22",AG5="x公18-22",AG5="x榮22-08"  ), $AP5 =""),"全日休",  IF(  AND(  OR(  AF5="x",AF5="病"  ), OR(  AG5 ="病"  ), $AP5 =""),"病(事)假",  IF(  AND(  OR(  AF5="x",AF5="補"  ), OR(  AG5 ="補"  ), $AP5 =""),"補休",  IF(  AND(  OR(  AF5="x",AF5="喪"  ), OR(  AG5 ="喪"  ), $AP5 =""),"喪假",  IF(  AND(  OR(  AF5="x",AF5="婚",AF5="產"  ), OR(  AG5 ="婚",AG5="產"  ), $AP5 =""),"婚(產)假",  IF(  AND(  OR(  AF5="x",AF5="公"  ), OR(  AG5 ="公"  ), $AP5 =""),"公假",  IF(  AND(  OR(  AF5="x",AF5="補",AF5="婚",AF5="公",AF5="病",AF5="事",AF5="x榮18-22"  ),OR(AG5=""), $AP5 =""  ),"18收",  IF(  AND(  OR(  AF5 ="榮14-18",AF5 ="榮10-18",AF5 ="榮06-18",AF5 ="病14-18"  ),OR(  AG5 ="x",AG5="補",AG5="婚",AG5="公",AG5="病",AG5="事",AG5="x"  ), $AP5 =""),"18放早走",  IF(  AND(  OR(  AF5 =""),OR(  AG5 ="x",AG5="補",AG5="婚",AG5="公",AG5="病",AG5="事",AG5="x榮*",AG5="榮",AG5="榮-22"  ), $AP5 =""),"18放",  IF(  AND(  OR(  AF5="當日退伍"  ),OR(  AG5="退伍",AG5="退", AG5=""  ), $AP5 =""),"當日退伍",  IF(AND(  OR(AF5="退",AF5="退伍" ), OR(AG5="退",AG5="退伍" ), $AP5 =""),"退伍","全日勤"  )  )  )  )  )  )  )  )  )  )  ),"")</f>
        <v>全日勤</v>
      </c>
      <c r="AG46" s="66" t="str">
        <f>IF(   (ROW(BS5)-1)&lt;=暫1!$B$2,           IF(  AND(  OR(  AG5="x",AG5="補"  ), OR(  AH5 ="x",AH5="補",AH5="x榮18-22",AH5="x公18-22",AH5="x榮22-08"  ), $AP5 =""),"全日休",  IF(  AND(  OR(  AG5="x",AG5="病"  ), OR(  AH5 ="病"  ), $AP5 =""),"病(事)假",  IF(  AND(  OR(  AG5="x",AG5="補"  ), OR(  AH5 ="補"  ), $AP5 =""),"補休",  IF(  AND(  OR(  AG5="x",AG5="喪"  ), OR(  AH5 ="喪"  ), $AP5 =""),"喪假",  IF(  AND(  OR(  AG5="x",AG5="婚",AG5="產"  ), OR(  AH5 ="婚",AH5="產"  ), $AP5 =""),"婚(產)假",  IF(  AND(  OR(  AG5="x",AG5="公"  ), OR(  AH5 ="公"  ), $AP5 =""),"公假",  IF(  AND(  OR(  AG5="x",AG5="補",AG5="婚",AG5="公",AG5="病",AG5="事",AG5="x榮18-22"  ),OR(AH5=""), $AP5 =""  ),"18收",  IF(  AND(  OR(  AG5 ="榮14-18",AG5 ="榮10-18",AG5 ="榮06-18",AG5 ="病14-18"  ),OR(  AH5 ="x",AH5="補",AH5="婚",AH5="公",AH5="病",AH5="事",AH5="x"  ), $AP5 =""),"18放早走",  IF(  AND(  OR(  AG5 =""),OR(  AH5 ="x",AH5="補",AH5="婚",AH5="公",AH5="病",AH5="事",AH5="x榮*",AH5="榮",AH5="榮-22"  ), $AP5 =""),"18放",  IF(  AND(  OR(  AG5="當日退伍"  ),OR(  AH5="退伍",AH5="退", AH5=""  ), $AP5 =""),"當日退伍",  IF(AND(  OR(AG5="退",AG5="退伍" ), OR(AH5="退",AH5="退伍" ), $AP5 =""),"退伍","全日勤"  )  )  )  )  )  )  )  )  )  )  ),"")</f>
        <v>全日勤</v>
      </c>
      <c r="AH46" s="66" t="str">
        <f>IF(   (ROW(BT5)-1)&lt;=暫1!$B$2,           IF(  AND(  OR(  AH5="x",AH5="補"  ), OR(  AI5 ="x",AI5="補",AI5="x榮18-22",AI5="x公18-22",AI5="x榮22-08"  ), $AP5 =""),"全日休",  IF(  AND(  OR(  AH5="x",AH5="病"  ), OR(  AI5 ="病"  ), $AP5 =""),"病(事)假",  IF(  AND(  OR(  AH5="x",AH5="補"  ), OR(  AI5 ="補"  ), $AP5 =""),"補休",  IF(  AND(  OR(  AH5="x",AH5="喪"  ), OR(  AI5 ="喪"  ), $AP5 =""),"喪假",  IF(  AND(  OR(  AH5="x",AH5="婚",AH5="產"  ), OR(  AI5 ="婚",AI5="產"  ), $AP5 =""),"婚(產)假",  IF(  AND(  OR(  AH5="x",AH5="公"  ), OR(  AI5 ="公"  ), $AP5 =""),"公假",  IF(  AND(  OR(  AH5="x",AH5="補",AH5="婚",AH5="公",AH5="病",AH5="事",AH5="x榮18-22"  ),OR(AI5=""), $AP5 =""  ),"18收",  IF(  AND(  OR(  AH5 ="榮14-18",AH5 ="榮10-18",AH5 ="榮06-18",AH5 ="病14-18"  ),OR(  AI5 ="x",AI5="補",AI5="婚",AI5="公",AI5="病",AI5="事",AI5="x"  ), $AP5 =""),"18放早走",  IF(  AND(  OR(  AH5 =""),OR(  AI5 ="x",AI5="補",AI5="婚",AI5="公",AI5="病",AI5="事",AI5="x榮*",AI5="榮",AI5="榮-22"  ), $AP5 =""),"18放",  IF(  AND(  OR(  AH5="當日退伍"  ),OR(  AI5="退伍",AI5="退", AI5=""  ), $AP5 =""),"當日退伍",  IF(AND(  OR(AH5="退",AH5="退伍" ), OR(AI5="退",AI5="退伍" ), $AP5 =""),"退伍","全日勤"  )  )  )  )  )  )  )  )  )  )  ),"")</f>
        <v>全日勤</v>
      </c>
      <c r="AI46" s="66" t="str">
        <f>IF(   (ROW(BU5)-1)&lt;=暫1!$B$2,           IF(  AND(  OR(  AI5="x",AI5="補"  ), OR(  AJ5 ="x",AJ5="補",AJ5="x榮18-22",AJ5="x公18-22",AJ5="x榮22-08"  ), $AP5 =""),"全日休",  IF(  AND(  OR(  AI5="x",AI5="病"  ), OR(  AJ5 ="病"  ), $AP5 =""),"病(事)假",  IF(  AND(  OR(  AI5="x",AI5="補"  ), OR(  AJ5 ="補"  ), $AP5 =""),"補休",  IF(  AND(  OR(  AI5="x",AI5="喪"  ), OR(  AJ5 ="喪"  ), $AP5 =""),"喪假",  IF(  AND(  OR(  AI5="x",AI5="婚",AI5="產"  ), OR(  AJ5 ="婚",AJ5="產"  ), $AP5 =""),"婚(產)假",  IF(  AND(  OR(  AI5="x",AI5="公"  ), OR(  AJ5 ="公"  ), $AP5 =""),"公假",  IF(  AND(  OR(  AI5="x",AI5="補",AI5="婚",AI5="公",AI5="病",AI5="事",AI5="x榮18-22"  ),OR(AJ5=""), $AP5 =""  ),"18收",  IF(  AND(  OR(  AI5 ="榮14-18",AI5 ="榮10-18",AI5 ="榮06-18",AI5 ="病14-18"  ),OR(  AJ5 ="x",AJ5="補",AJ5="婚",AJ5="公",AJ5="病",AJ5="事",AJ5="x"  ), $AP5 =""),"18放早走",  IF(  AND(  OR(  AI5 =""),OR(  AJ5 ="x",AJ5="補",AJ5="婚",AJ5="公",AJ5="病",AJ5="事",AJ5="x榮*",AJ5="榮",AJ5="榮-22"  ), $AP5 =""),"18放",  IF(  AND(  OR(  AI5="當日退伍"  ),OR(  AJ5="退伍",AJ5="退", AJ5=""  ), $AP5 =""),"當日退伍",  IF(AND(  OR(AI5="退",AI5="退伍" ), OR(AJ5="退",AJ5="退伍" ), $AP5 =""),"退伍","全日勤"  )  )  )  )  )  )  )  )  )  )  ),"")</f>
        <v>全日勤</v>
      </c>
      <c r="AJ46" s="66" t="str">
        <f>IF(   (ROW(BV5)-1)&lt;=暫1!$B$2,           IF(  AND(  OR(  AJ5="x",AJ5="補"  ), OR(  AK5 ="x",AK5="補",AK5="x榮18-22",AK5="x公18-22",AK5="x榮22-08"  ), $AP5 =""),"全日休",  IF(  AND(  OR(  AJ5="x",AJ5="病"  ), OR(  AK5 ="病"  ), $AP5 =""),"病(事)假",  IF(  AND(  OR(  AJ5="x",AJ5="補"  ), OR(  AK5 ="補"  ), $AP5 =""),"補休",  IF(  AND(  OR(  AJ5="x",AJ5="喪"  ), OR(  AK5 ="喪"  ), $AP5 =""),"喪假",  IF(  AND(  OR(  AJ5="x",AJ5="婚",AJ5="產"  ), OR(  AK5 ="婚",AK5="產"  ), $AP5 =""),"婚(產)假",  IF(  AND(  OR(  AJ5="x",AJ5="公"  ), OR(  AK5 ="公"  ), $AP5 =""),"公假",  IF(  AND(  OR(  AJ5="x",AJ5="補",AJ5="婚",AJ5="公",AJ5="病",AJ5="事",AJ5="x榮18-22"  ),OR(AK5=""), $AP5 =""  ),"18收",  IF(  AND(  OR(  AJ5 ="榮14-18",AJ5 ="榮10-18",AJ5 ="榮06-18",AJ5 ="病14-18"  ),OR(  AK5 ="x",AK5="補",AK5="婚",AK5="公",AK5="病",AK5="事",AK5="x"  ), $AP5 =""),"18放早走",  IF(  AND(  OR(  AJ5 =""),OR(  AK5 ="x",AK5="補",AK5="婚",AK5="公",AK5="病",AK5="事",AK5="x榮*",AK5="榮",AK5="榮-22"  ), $AP5 =""),"18放",  IF(  AND(  OR(  AJ5="當日退伍"  ),OR(  AK5="退伍",AK5="退", AK5=""  ), $AP5 =""),"當日退伍",  IF(AND(  OR(AJ5="退",AJ5="退伍" ), OR(AK5="退",AK5="退伍" ), $AP5 =""),"退伍","全日勤"  )  )  )  )  )  )  )  )  )  )  ),"")</f>
        <v>全日勤</v>
      </c>
      <c r="AO46" s="76"/>
      <c r="AP46" s="63"/>
      <c r="AU46" s="63"/>
      <c r="AY46" s="63"/>
      <c r="AZ46" s="63"/>
      <c r="BA46" s="63"/>
    </row>
    <row r="47" spans="1:55">
      <c r="A47" s="66">
        <f t="shared" si="4"/>
        <v>5</v>
      </c>
      <c r="B47" s="66" t="str">
        <f t="shared" si="6"/>
        <v>蔡政倫</v>
      </c>
      <c r="C47" s="66" t="str">
        <f>IF(   (ROW(AO6)-1)&lt;=暫1!$B$2,           IF(  AND(  OR(  C6="x",C6="補"  ), OR(  D6 ="x",D6="補",D6="x榮18-22",D6="x公18-22",D6="x榮22-08"  ), $AP6 =""),"全日休",  IF(  AND(  OR(  C6="x",C6="病"  ), OR(  D6 ="病"  ), $AP6 =""),"病(事)假",  IF(  AND(  OR(  C6="x",C6="補"  ), OR(  D6 ="補"  ), $AP6 =""),"補休",  IF(  AND(  OR(  C6="x",C6="喪"  ), OR(  D6 ="喪"  ), $AP6 =""),"喪假",  IF(  AND(  OR(  C6="x",C6="婚",C6="產"  ), OR(  D6 ="婚",D6="產"  ), $AP6 =""),"婚(產)假",  IF(  AND(  OR(  C6="x",C6="公"  ), OR(  D6 ="公"  ), $AP6 =""),"公假",  IF(  AND(  OR(  C6="x",C6="補",C6="婚",C6="公",C6="病",C6="事",C6="x榮18-22"  ),OR(D6=""), $AP6 =""  ),"18收",  IF(  AND(  OR(  C6 ="榮14-18",C6 ="榮10-18",C6 ="榮06-18",C6 ="病14-18"  ),OR(  D6 ="x",D6="補",D6="婚",D6="公",D6="病",D6="事",D6="x"  ), $AP6 =""),"18放早走",  IF(  AND(  OR(  C6 =""),OR(  D6 ="x",D6="補",D6="婚",D6="公",D6="病",D6="事",D6="x榮*",D6="榮",D6="榮-22"  ), $AP6 =""),"18放",  IF(  AND(  OR(  C6="當日退伍"  ),OR(  D6="退伍",D6="退", D6=""  ), $AP6 =""),"當日退伍",  IF(AND(  OR(C6="退",C6="退伍" ), OR(D6="退",D6="退伍" ), $AP6 =""),"退伍","全日勤"  )  )  )  )  )  )  )  )  )  )  ),"")</f>
        <v>全日勤</v>
      </c>
      <c r="D47" s="66" t="str">
        <f>IF(   (ROW(AP6)-1)&lt;=暫1!$B$2,           IF(  AND(  OR(  D6="x",D6="補"  ), OR(  E6 ="x",E6="補",E6="x榮18-22",E6="x公18-22",E6="x榮22-08"  ), $AP6 =""),"全日休",  IF(  AND(  OR(  D6="x",D6="病"  ), OR(  E6 ="病"  ), $AP6 =""),"病(事)假",  IF(  AND(  OR(  D6="x",D6="補"  ), OR(  E6 ="補"  ), $AP6 =""),"補休",  IF(  AND(  OR(  D6="x",D6="喪"  ), OR(  E6 ="喪"  ), $AP6 =""),"喪假",  IF(  AND(  OR(  D6="x",D6="婚",D6="產"  ), OR(  E6 ="婚",E6="產"  ), $AP6 =""),"婚(產)假",  IF(  AND(  OR(  D6="x",D6="公"  ), OR(  E6 ="公"  ), $AP6 =""),"公假",  IF(  AND(  OR(  D6="x",D6="補",D6="婚",D6="公",D6="病",D6="事",D6="x榮18-22"  ),OR(E6=""), $AP6 =""  ),"18收",  IF(  AND(  OR(  D6 ="榮14-18",D6 ="榮10-18",D6 ="榮06-18",D6 ="病14-18"  ),OR(  E6 ="x",E6="補",E6="婚",E6="公",E6="病",E6="事",E6="x"  ), $AP6 =""),"18放早走",  IF(  AND(  OR(  D6 =""),OR(  E6 ="x",E6="補",E6="婚",E6="公",E6="病",E6="事",E6="x榮*",E6="榮",E6="榮-22"  ), $AP6 =""),"18放",  IF(  AND(  OR(  D6="當日退伍"  ),OR(  E6="退伍",E6="退", E6=""  ), $AP6 =""),"當日退伍",  IF(AND(  OR(D6="退",D6="退伍" ), OR(E6="退",E6="退伍" ), $AP6 =""),"退伍","全日勤"  )  )  )  )  )  )  )  )  )  )  ),"")</f>
        <v>全日勤</v>
      </c>
      <c r="E47" s="66" t="str">
        <f>IF(   (ROW(AQ6)-1)&lt;=暫1!$B$2,           IF(  AND(  OR(  E6="x",E6="補"  ), OR(  F6 ="x",F6="補",F6="x榮18-22",F6="x公18-22",F6="x榮22-08"  ), $AP6 =""),"全日休",  IF(  AND(  OR(  E6="x",E6="病"  ), OR(  F6 ="病"  ), $AP6 =""),"病(事)假",  IF(  AND(  OR(  E6="x",E6="補"  ), OR(  F6 ="補"  ), $AP6 =""),"補休",  IF(  AND(  OR(  E6="x",E6="喪"  ), OR(  F6 ="喪"  ), $AP6 =""),"喪假",  IF(  AND(  OR(  E6="x",E6="婚",E6="產"  ), OR(  F6 ="婚",F6="產"  ), $AP6 =""),"婚(產)假",  IF(  AND(  OR(  E6="x",E6="公"  ), OR(  F6 ="公"  ), $AP6 =""),"公假",  IF(  AND(  OR(  E6="x",E6="補",E6="婚",E6="公",E6="病",E6="事",E6="x榮18-22"  ),OR(F6=""), $AP6 =""  ),"18收",  IF(  AND(  OR(  E6 ="榮14-18",E6 ="榮10-18",E6 ="榮06-18",E6 ="病14-18"  ),OR(  F6 ="x",F6="補",F6="婚",F6="公",F6="病",F6="事",F6="x"  ), $AP6 =""),"18放早走",  IF(  AND(  OR(  E6 =""),OR(  F6 ="x",F6="補",F6="婚",F6="公",F6="病",F6="事",F6="x榮*",F6="榮",F6="榮-22"  ), $AP6 =""),"18放",  IF(  AND(  OR(  E6="當日退伍"  ),OR(  F6="退伍",F6="退", F6=""  ), $AP6 =""),"當日退伍",  IF(AND(  OR(E6="退",E6="退伍" ), OR(F6="退",F6="退伍" ), $AP6 =""),"退伍","全日勤"  )  )  )  )  )  )  )  )  )  )  ),"")</f>
        <v>全日勤</v>
      </c>
      <c r="F47" s="66" t="str">
        <f>IF(   (ROW(AR6)-1)&lt;=暫1!$B$2,           IF(  AND(  OR(  F6="x",F6="補"  ), OR(  G6 ="x",G6="補",G6="x榮18-22",G6="x公18-22",G6="x榮22-08"  ), $AP6 =""),"全日休",  IF(  AND(  OR(  F6="x",F6="病"  ), OR(  G6 ="病"  ), $AP6 =""),"病(事)假",  IF(  AND(  OR(  F6="x",F6="補"  ), OR(  G6 ="補"  ), $AP6 =""),"補休",  IF(  AND(  OR(  F6="x",F6="喪"  ), OR(  G6 ="喪"  ), $AP6 =""),"喪假",  IF(  AND(  OR(  F6="x",F6="婚",F6="產"  ), OR(  G6 ="婚",G6="產"  ), $AP6 =""),"婚(產)假",  IF(  AND(  OR(  F6="x",F6="公"  ), OR(  G6 ="公"  ), $AP6 =""),"公假",  IF(  AND(  OR(  F6="x",F6="補",F6="婚",F6="公",F6="病",F6="事",F6="x榮18-22"  ),OR(G6=""), $AP6 =""  ),"18收",  IF(  AND(  OR(  F6 ="榮14-18",F6 ="榮10-18",F6 ="榮06-18",F6 ="病14-18"  ),OR(  G6 ="x",G6="補",G6="婚",G6="公",G6="病",G6="事",G6="x"  ), $AP6 =""),"18放早走",  IF(  AND(  OR(  F6 =""),OR(  G6 ="x",G6="補",G6="婚",G6="公",G6="病",G6="事",G6="x榮*",G6="榮",G6="榮-22"  ), $AP6 =""),"18放",  IF(  AND(  OR(  F6="當日退伍"  ),OR(  G6="退伍",G6="退", G6=""  ), $AP6 =""),"當日退伍",  IF(AND(  OR(F6="退",F6="退伍" ), OR(G6="退",G6="退伍" ), $AP6 =""),"退伍","全日勤"  )  )  )  )  )  )  )  )  )  )  ),"")</f>
        <v>全日勤</v>
      </c>
      <c r="G47" s="66" t="str">
        <f>IF(   (ROW(AS6)-1)&lt;=暫1!$B$2,           IF(  AND(  OR(  G6="x",G6="補"  ), OR(  H6 ="x",H6="補",H6="x榮18-22",H6="x公18-22",H6="x榮22-08"  ), $AP6 =""),"全日休",  IF(  AND(  OR(  G6="x",G6="病"  ), OR(  H6 ="病"  ), $AP6 =""),"病(事)假",  IF(  AND(  OR(  G6="x",G6="補"  ), OR(  H6 ="補"  ), $AP6 =""),"補休",  IF(  AND(  OR(  G6="x",G6="喪"  ), OR(  H6 ="喪"  ), $AP6 =""),"喪假",  IF(  AND(  OR(  G6="x",G6="婚",G6="產"  ), OR(  H6 ="婚",H6="產"  ), $AP6 =""),"婚(產)假",  IF(  AND(  OR(  G6="x",G6="公"  ), OR(  H6 ="公"  ), $AP6 =""),"公假",  IF(  AND(  OR(  G6="x",G6="補",G6="婚",G6="公",G6="病",G6="事",G6="x榮18-22"  ),OR(H6=""), $AP6 =""  ),"18收",  IF(  AND(  OR(  G6 ="榮14-18",G6 ="榮10-18",G6 ="榮06-18",G6 ="病14-18"  ),OR(  H6 ="x",H6="補",H6="婚",H6="公",H6="病",H6="事",H6="x"  ), $AP6 =""),"18放早走",  IF(  AND(  OR(  G6 =""),OR(  H6 ="x",H6="補",H6="婚",H6="公",H6="病",H6="事",H6="x榮*",H6="榮",H6="榮-22"  ), $AP6 =""),"18放",  IF(  AND(  OR(  G6="當日退伍"  ),OR(  H6="退伍",H6="退", H6=""  ), $AP6 =""),"當日退伍",  IF(AND(  OR(G6="退",G6="退伍" ), OR(H6="退",H6="退伍" ), $AP6 =""),"退伍","全日勤"  )  )  )  )  )  )  )  )  )  )  ),"")</f>
        <v>全日勤</v>
      </c>
      <c r="H47" s="66" t="str">
        <f>IF(   (ROW(AT6)-1)&lt;=暫1!$B$2,           IF(  AND(  OR(  H6="x",H6="補"  ), OR(  I6 ="x",I6="補",I6="x榮18-22",I6="x公18-22",I6="x榮22-08"  ), $AP6 =""),"全日休",  IF(  AND(  OR(  H6="x",H6="病"  ), OR(  I6 ="病"  ), $AP6 =""),"病(事)假",  IF(  AND(  OR(  H6="x",H6="補"  ), OR(  I6 ="補"  ), $AP6 =""),"補休",  IF(  AND(  OR(  H6="x",H6="喪"  ), OR(  I6 ="喪"  ), $AP6 =""),"喪假",  IF(  AND(  OR(  H6="x",H6="婚",H6="產"  ), OR(  I6 ="婚",I6="產"  ), $AP6 =""),"婚(產)假",  IF(  AND(  OR(  H6="x",H6="公"  ), OR(  I6 ="公"  ), $AP6 =""),"公假",  IF(  AND(  OR(  H6="x",H6="補",H6="婚",H6="公",H6="病",H6="事",H6="x榮18-22"  ),OR(I6=""), $AP6 =""  ),"18收",  IF(  AND(  OR(  H6 ="榮14-18",H6 ="榮10-18",H6 ="榮06-18",H6 ="病14-18"  ),OR(  I6 ="x",I6="補",I6="婚",I6="公",I6="病",I6="事",I6="x"  ), $AP6 =""),"18放早走",  IF(  AND(  OR(  H6 =""),OR(  I6 ="x",I6="補",I6="婚",I6="公",I6="病",I6="事",I6="x榮*",I6="榮",I6="榮-22"  ), $AP6 =""),"18放",  IF(  AND(  OR(  H6="當日退伍"  ),OR(  I6="退伍",I6="退", I6=""  ), $AP6 =""),"當日退伍",  IF(AND(  OR(H6="退",H6="退伍" ), OR(I6="退",I6="退伍" ), $AP6 =""),"退伍","全日勤"  )  )  )  )  )  )  )  )  )  )  ),"")</f>
        <v>全日勤</v>
      </c>
      <c r="I47" s="66" t="str">
        <f>IF(   (ROW(AU6)-1)&lt;=暫1!$B$2,           IF(  AND(  OR(  I6="x",I6="補"  ), OR(  J6 ="x",J6="補",J6="x榮18-22",J6="x公18-22",J6="x榮22-08"  ), $AP6 =""),"全日休",  IF(  AND(  OR(  I6="x",I6="病"  ), OR(  J6 ="病"  ), $AP6 =""),"病(事)假",  IF(  AND(  OR(  I6="x",I6="補"  ), OR(  J6 ="補"  ), $AP6 =""),"補休",  IF(  AND(  OR(  I6="x",I6="喪"  ), OR(  J6 ="喪"  ), $AP6 =""),"喪假",  IF(  AND(  OR(  I6="x",I6="婚",I6="產"  ), OR(  J6 ="婚",J6="產"  ), $AP6 =""),"婚(產)假",  IF(  AND(  OR(  I6="x",I6="公"  ), OR(  J6 ="公"  ), $AP6 =""),"公假",  IF(  AND(  OR(  I6="x",I6="補",I6="婚",I6="公",I6="病",I6="事",I6="x榮18-22"  ),OR(J6=""), $AP6 =""  ),"18收",  IF(  AND(  OR(  I6 ="榮14-18",I6 ="榮10-18",I6 ="榮06-18",I6 ="病14-18"  ),OR(  J6 ="x",J6="補",J6="婚",J6="公",J6="病",J6="事",J6="x"  ), $AP6 =""),"18放早走",  IF(  AND(  OR(  I6 =""),OR(  J6 ="x",J6="補",J6="婚",J6="公",J6="病",J6="事",J6="x榮*",J6="榮",J6="榮-22"  ), $AP6 =""),"18放",  IF(  AND(  OR(  I6="當日退伍"  ),OR(  J6="退伍",J6="退", J6=""  ), $AP6 =""),"當日退伍",  IF(AND(  OR(I6="退",I6="退伍" ), OR(J6="退",J6="退伍" ), $AP6 =""),"退伍","全日勤"  )  )  )  )  )  )  )  )  )  )  ),"")</f>
        <v>全日勤</v>
      </c>
      <c r="J47" s="66" t="str">
        <f>IF(   (ROW(AV6)-1)&lt;=暫1!$B$2,           IF(  AND(  OR(  J6="x",J6="補"  ), OR(  K6 ="x",K6="補",K6="x榮18-22",K6="x公18-22",K6="x榮22-08"  ), $AP6 =""),"全日休",  IF(  AND(  OR(  J6="x",J6="病"  ), OR(  K6 ="病"  ), $AP6 =""),"病(事)假",  IF(  AND(  OR(  J6="x",J6="補"  ), OR(  K6 ="補"  ), $AP6 =""),"補休",  IF(  AND(  OR(  J6="x",J6="喪"  ), OR(  K6 ="喪"  ), $AP6 =""),"喪假",  IF(  AND(  OR(  J6="x",J6="婚",J6="產"  ), OR(  K6 ="婚",K6="產"  ), $AP6 =""),"婚(產)假",  IF(  AND(  OR(  J6="x",J6="公"  ), OR(  K6 ="公"  ), $AP6 =""),"公假",  IF(  AND(  OR(  J6="x",J6="補",J6="婚",J6="公",J6="病",J6="事",J6="x榮18-22"  ),OR(K6=""), $AP6 =""  ),"18收",  IF(  AND(  OR(  J6 ="榮14-18",J6 ="榮10-18",J6 ="榮06-18",J6 ="病14-18"  ),OR(  K6 ="x",K6="補",K6="婚",K6="公",K6="病",K6="事",K6="x"  ), $AP6 =""),"18放早走",  IF(  AND(  OR(  J6 =""),OR(  K6 ="x",K6="補",K6="婚",K6="公",K6="病",K6="事",K6="x榮*",K6="榮",K6="榮-22"  ), $AP6 =""),"18放",  IF(  AND(  OR(  J6="當日退伍"  ),OR(  K6="退伍",K6="退", K6=""  ), $AP6 =""),"當日退伍",  IF(AND(  OR(J6="退",J6="退伍" ), OR(K6="退",K6="退伍" ), $AP6 =""),"退伍","全日勤"  )  )  )  )  )  )  )  )  )  )  ),"")</f>
        <v>全日勤</v>
      </c>
      <c r="K47" s="66" t="str">
        <f>IF(   (ROW(AW6)-1)&lt;=暫1!$B$2,           IF(  AND(  OR(  K6="x",K6="補"  ), OR(  L6 ="x",L6="補",L6="x榮18-22",L6="x公18-22",L6="x榮22-08"  ), $AP6 =""),"全日休",  IF(  AND(  OR(  K6="x",K6="病"  ), OR(  L6 ="病"  ), $AP6 =""),"病(事)假",  IF(  AND(  OR(  K6="x",K6="補"  ), OR(  L6 ="補"  ), $AP6 =""),"補休",  IF(  AND(  OR(  K6="x",K6="喪"  ), OR(  L6 ="喪"  ), $AP6 =""),"喪假",  IF(  AND(  OR(  K6="x",K6="婚",K6="產"  ), OR(  L6 ="婚",L6="產"  ), $AP6 =""),"婚(產)假",  IF(  AND(  OR(  K6="x",K6="公"  ), OR(  L6 ="公"  ), $AP6 =""),"公假",  IF(  AND(  OR(  K6="x",K6="補",K6="婚",K6="公",K6="病",K6="事",K6="x榮18-22"  ),OR(L6=""), $AP6 =""  ),"18收",  IF(  AND(  OR(  K6 ="榮14-18",K6 ="榮10-18",K6 ="榮06-18",K6 ="病14-18"  ),OR(  L6 ="x",L6="補",L6="婚",L6="公",L6="病",L6="事",L6="x"  ), $AP6 =""),"18放早走",  IF(  AND(  OR(  K6 =""),OR(  L6 ="x",L6="補",L6="婚",L6="公",L6="病",L6="事",L6="x榮*",L6="榮",L6="榮-22"  ), $AP6 =""),"18放",  IF(  AND(  OR(  K6="當日退伍"  ),OR(  L6="退伍",L6="退", L6=""  ), $AP6 =""),"當日退伍",  IF(AND(  OR(K6="退",K6="退伍" ), OR(L6="退",L6="退伍" ), $AP6 =""),"退伍","全日勤"  )  )  )  )  )  )  )  )  )  )  ),"")</f>
        <v>全日勤</v>
      </c>
      <c r="L47" s="66" t="str">
        <f>IF(   (ROW(AX6)-1)&lt;=暫1!$B$2,           IF(  AND(  OR(  L6="x",L6="補"  ), OR(  M6 ="x",M6="補",M6="x榮18-22",M6="x公18-22",M6="x榮22-08"  ), $AP6 =""),"全日休",  IF(  AND(  OR(  L6="x",L6="病"  ), OR(  M6 ="病"  ), $AP6 =""),"病(事)假",  IF(  AND(  OR(  L6="x",L6="補"  ), OR(  M6 ="補"  ), $AP6 =""),"補休",  IF(  AND(  OR(  L6="x",L6="喪"  ), OR(  M6 ="喪"  ), $AP6 =""),"喪假",  IF(  AND(  OR(  L6="x",L6="婚",L6="產"  ), OR(  M6 ="婚",M6="產"  ), $AP6 =""),"婚(產)假",  IF(  AND(  OR(  L6="x",L6="公"  ), OR(  M6 ="公"  ), $AP6 =""),"公假",  IF(  AND(  OR(  L6="x",L6="補",L6="婚",L6="公",L6="病",L6="事",L6="x榮18-22"  ),OR(M6=""), $AP6 =""  ),"18收",  IF(  AND(  OR(  L6 ="榮14-18",L6 ="榮10-18",L6 ="榮06-18",L6 ="病14-18"  ),OR(  M6 ="x",M6="補",M6="婚",M6="公",M6="病",M6="事",M6="x"  ), $AP6 =""),"18放早走",  IF(  AND(  OR(  L6 =""),OR(  M6 ="x",M6="補",M6="婚",M6="公",M6="病",M6="事",M6="x榮*",M6="榮",M6="榮-22"  ), $AP6 =""),"18放",  IF(  AND(  OR(  L6="當日退伍"  ),OR(  M6="退伍",M6="退", M6=""  ), $AP6 =""),"當日退伍",  IF(AND(  OR(L6="退",L6="退伍" ), OR(M6="退",M6="退伍" ), $AP6 =""),"退伍","全日勤"  )  )  )  )  )  )  )  )  )  )  ),"")</f>
        <v>全日勤</v>
      </c>
      <c r="M47" s="66" t="str">
        <f>IF(   (ROW(AY6)-1)&lt;=暫1!$B$2,           IF(  AND(  OR(  M6="x",M6="補"  ), OR(  N6 ="x",N6="補",N6="x榮18-22",N6="x公18-22",N6="x榮22-08"  ), $AP6 =""),"全日休",  IF(  AND(  OR(  M6="x",M6="病"  ), OR(  N6 ="病"  ), $AP6 =""),"病(事)假",  IF(  AND(  OR(  M6="x",M6="補"  ), OR(  N6 ="補"  ), $AP6 =""),"補休",  IF(  AND(  OR(  M6="x",M6="喪"  ), OR(  N6 ="喪"  ), $AP6 =""),"喪假",  IF(  AND(  OR(  M6="x",M6="婚",M6="產"  ), OR(  N6 ="婚",N6="產"  ), $AP6 =""),"婚(產)假",  IF(  AND(  OR(  M6="x",M6="公"  ), OR(  N6 ="公"  ), $AP6 =""),"公假",  IF(  AND(  OR(  M6="x",M6="補",M6="婚",M6="公",M6="病",M6="事",M6="x榮18-22"  ),OR(N6=""), $AP6 =""  ),"18收",  IF(  AND(  OR(  M6 ="榮14-18",M6 ="榮10-18",M6 ="榮06-18",M6 ="病14-18"  ),OR(  N6 ="x",N6="補",N6="婚",N6="公",N6="病",N6="事",N6="x"  ), $AP6 =""),"18放早走",  IF(  AND(  OR(  M6 =""),OR(  N6 ="x",N6="補",N6="婚",N6="公",N6="病",N6="事",N6="x榮*",N6="榮",N6="榮-22"  ), $AP6 =""),"18放",  IF(  AND(  OR(  M6="當日退伍"  ),OR(  N6="退伍",N6="退", N6=""  ), $AP6 =""),"當日退伍",  IF(AND(  OR(M6="退",M6="退伍" ), OR(N6="退",N6="退伍" ), $AP6 =""),"退伍","全日勤"  )  )  )  )  )  )  )  )  )  )  ),"")</f>
        <v>全日勤</v>
      </c>
      <c r="N47" s="66" t="str">
        <f>IF(   (ROW(AZ6)-1)&lt;=暫1!$B$2,           IF(  AND(  OR(  N6="x",N6="補"  ), OR(  O6 ="x",O6="補",O6="x榮18-22",O6="x公18-22",O6="x榮22-08"  ), $AP6 =""),"全日休",  IF(  AND(  OR(  N6="x",N6="病"  ), OR(  O6 ="病"  ), $AP6 =""),"病(事)假",  IF(  AND(  OR(  N6="x",N6="補"  ), OR(  O6 ="補"  ), $AP6 =""),"補休",  IF(  AND(  OR(  N6="x",N6="喪"  ), OR(  O6 ="喪"  ), $AP6 =""),"喪假",  IF(  AND(  OR(  N6="x",N6="婚",N6="產"  ), OR(  O6 ="婚",O6="產"  ), $AP6 =""),"婚(產)假",  IF(  AND(  OR(  N6="x",N6="公"  ), OR(  O6 ="公"  ), $AP6 =""),"公假",  IF(  AND(  OR(  N6="x",N6="補",N6="婚",N6="公",N6="病",N6="事",N6="x榮18-22"  ),OR(O6=""), $AP6 =""  ),"18收",  IF(  AND(  OR(  N6 ="榮14-18",N6 ="榮10-18",N6 ="榮06-18",N6 ="病14-18"  ),OR(  O6 ="x",O6="補",O6="婚",O6="公",O6="病",O6="事",O6="x"  ), $AP6 =""),"18放早走",  IF(  AND(  OR(  N6 =""),OR(  O6 ="x",O6="補",O6="婚",O6="公",O6="病",O6="事",O6="x榮*",O6="榮",O6="榮-22"  ), $AP6 =""),"18放",  IF(  AND(  OR(  N6="當日退伍"  ),OR(  O6="退伍",O6="退", O6=""  ), $AP6 =""),"當日退伍",  IF(AND(  OR(N6="退",N6="退伍" ), OR(O6="退",O6="退伍" ), $AP6 =""),"退伍","全日勤"  )  )  )  )  )  )  )  )  )  )  ),"")</f>
        <v>全日勤</v>
      </c>
      <c r="O47" s="66" t="str">
        <f>IF(   (ROW(BA6)-1)&lt;=暫1!$B$2,           IF(  AND(  OR(  O6="x",O6="補"  ), OR(  P6 ="x",P6="補",P6="x榮18-22",P6="x公18-22",P6="x榮22-08"  ), $AP6 =""),"全日休",  IF(  AND(  OR(  O6="x",O6="病"  ), OR(  P6 ="病"  ), $AP6 =""),"病(事)假",  IF(  AND(  OR(  O6="x",O6="補"  ), OR(  P6 ="補"  ), $AP6 =""),"補休",  IF(  AND(  OR(  O6="x",O6="喪"  ), OR(  P6 ="喪"  ), $AP6 =""),"喪假",  IF(  AND(  OR(  O6="x",O6="婚",O6="產"  ), OR(  P6 ="婚",P6="產"  ), $AP6 =""),"婚(產)假",  IF(  AND(  OR(  O6="x",O6="公"  ), OR(  P6 ="公"  ), $AP6 =""),"公假",  IF(  AND(  OR(  O6="x",O6="補",O6="婚",O6="公",O6="病",O6="事",O6="x榮18-22"  ),OR(P6=""), $AP6 =""  ),"18收",  IF(  AND(  OR(  O6 ="榮14-18",O6 ="榮10-18",O6 ="榮06-18",O6 ="病14-18"  ),OR(  P6 ="x",P6="補",P6="婚",P6="公",P6="病",P6="事",P6="x"  ), $AP6 =""),"18放早走",  IF(  AND(  OR(  O6 =""),OR(  P6 ="x",P6="補",P6="婚",P6="公",P6="病",P6="事",P6="x榮*",P6="榮",P6="榮-22"  ), $AP6 =""),"18放",  IF(  AND(  OR(  O6="當日退伍"  ),OR(  P6="退伍",P6="退", P6=""  ), $AP6 =""),"當日退伍",  IF(AND(  OR(O6="退",O6="退伍" ), OR(P6="退",P6="退伍" ), $AP6 =""),"退伍","全日勤"  )  )  )  )  )  )  )  )  )  )  ),"")</f>
        <v>全日勤</v>
      </c>
      <c r="P47" s="66" t="str">
        <f>IF(   (ROW(BB6)-1)&lt;=暫1!$B$2,           IF(  AND(  OR(  P6="x",P6="補"  ), OR(  Q6 ="x",Q6="補",Q6="x榮18-22",Q6="x公18-22",Q6="x榮22-08"  ), $AP6 =""),"全日休",  IF(  AND(  OR(  P6="x",P6="病"  ), OR(  Q6 ="病"  ), $AP6 =""),"病(事)假",  IF(  AND(  OR(  P6="x",P6="補"  ), OR(  Q6 ="補"  ), $AP6 =""),"補休",  IF(  AND(  OR(  P6="x",P6="喪"  ), OR(  Q6 ="喪"  ), $AP6 =""),"喪假",  IF(  AND(  OR(  P6="x",P6="婚",P6="產"  ), OR(  Q6 ="婚",Q6="產"  ), $AP6 =""),"婚(產)假",  IF(  AND(  OR(  P6="x",P6="公"  ), OR(  Q6 ="公"  ), $AP6 =""),"公假",  IF(  AND(  OR(  P6="x",P6="補",P6="婚",P6="公",P6="病",P6="事",P6="x榮18-22"  ),OR(Q6=""), $AP6 =""  ),"18收",  IF(  AND(  OR(  P6 ="榮14-18",P6 ="榮10-18",P6 ="榮06-18",P6 ="病14-18"  ),OR(  Q6 ="x",Q6="補",Q6="婚",Q6="公",Q6="病",Q6="事",Q6="x"  ), $AP6 =""),"18放早走",  IF(  AND(  OR(  P6 =""),OR(  Q6 ="x",Q6="補",Q6="婚",Q6="公",Q6="病",Q6="事",Q6="x榮*",Q6="榮",Q6="榮-22"  ), $AP6 =""),"18放",  IF(  AND(  OR(  P6="當日退伍"  ),OR(  Q6="退伍",Q6="退", Q6=""  ), $AP6 =""),"當日退伍",  IF(AND(  OR(P6="退",P6="退伍" ), OR(Q6="退",Q6="退伍" ), $AP6 =""),"退伍","全日勤"  )  )  )  )  )  )  )  )  )  )  ),"")</f>
        <v>全日勤</v>
      </c>
      <c r="Q47" s="66" t="str">
        <f>IF(   (ROW(BC6)-1)&lt;=暫1!$B$2,           IF(  AND(  OR(  Q6="x",Q6="補"  ), OR(  R6 ="x",R6="補",R6="x榮18-22",R6="x公18-22",R6="x榮22-08"  ), $AP6 =""),"全日休",  IF(  AND(  OR(  Q6="x",Q6="病"  ), OR(  R6 ="病"  ), $AP6 =""),"病(事)假",  IF(  AND(  OR(  Q6="x",Q6="補"  ), OR(  R6 ="補"  ), $AP6 =""),"補休",  IF(  AND(  OR(  Q6="x",Q6="喪"  ), OR(  R6 ="喪"  ), $AP6 =""),"喪假",  IF(  AND(  OR(  Q6="x",Q6="婚",Q6="產"  ), OR(  R6 ="婚",R6="產"  ), $AP6 =""),"婚(產)假",  IF(  AND(  OR(  Q6="x",Q6="公"  ), OR(  R6 ="公"  ), $AP6 =""),"公假",  IF(  AND(  OR(  Q6="x",Q6="補",Q6="婚",Q6="公",Q6="病",Q6="事",Q6="x榮18-22"  ),OR(R6=""), $AP6 =""  ),"18收",  IF(  AND(  OR(  Q6 ="榮14-18",Q6 ="榮10-18",Q6 ="榮06-18",Q6 ="病14-18"  ),OR(  R6 ="x",R6="補",R6="婚",R6="公",R6="病",R6="事",R6="x"  ), $AP6 =""),"18放早走",  IF(  AND(  OR(  Q6 =""),OR(  R6 ="x",R6="補",R6="婚",R6="公",R6="病",R6="事",R6="x榮*",R6="榮",R6="榮-22"  ), $AP6 =""),"18放",  IF(  AND(  OR(  Q6="當日退伍"  ),OR(  R6="退伍",R6="退", R6=""  ), $AP6 =""),"當日退伍",  IF(AND(  OR(Q6="退",Q6="退伍" ), OR(R6="退",R6="退伍" ), $AP6 =""),"退伍","全日勤"  )  )  )  )  )  )  )  )  )  )  ),"")</f>
        <v>全日勤</v>
      </c>
      <c r="R47" s="66" t="str">
        <f>IF(   (ROW(BD6)-1)&lt;=暫1!$B$2,           IF(  AND(  OR(  R6="x",R6="補"  ), OR(  S6 ="x",S6="補",S6="x榮18-22",S6="x公18-22",S6="x榮22-08"  ), $AP6 =""),"全日休",  IF(  AND(  OR(  R6="x",R6="病"  ), OR(  S6 ="病"  ), $AP6 =""),"病(事)假",  IF(  AND(  OR(  R6="x",R6="補"  ), OR(  S6 ="補"  ), $AP6 =""),"補休",  IF(  AND(  OR(  R6="x",R6="喪"  ), OR(  S6 ="喪"  ), $AP6 =""),"喪假",  IF(  AND(  OR(  R6="x",R6="婚",R6="產"  ), OR(  S6 ="婚",S6="產"  ), $AP6 =""),"婚(產)假",  IF(  AND(  OR(  R6="x",R6="公"  ), OR(  S6 ="公"  ), $AP6 =""),"公假",  IF(  AND(  OR(  R6="x",R6="補",R6="婚",R6="公",R6="病",R6="事",R6="x榮18-22"  ),OR(S6=""), $AP6 =""  ),"18收",  IF(  AND(  OR(  R6 ="榮14-18",R6 ="榮10-18",R6 ="榮06-18",R6 ="病14-18"  ),OR(  S6 ="x",S6="補",S6="婚",S6="公",S6="病",S6="事",S6="x"  ), $AP6 =""),"18放早走",  IF(  AND(  OR(  R6 =""),OR(  S6 ="x",S6="補",S6="婚",S6="公",S6="病",S6="事",S6="x榮*",S6="榮",S6="榮-22"  ), $AP6 =""),"18放",  IF(  AND(  OR(  R6="當日退伍"  ),OR(  S6="退伍",S6="退", S6=""  ), $AP6 =""),"當日退伍",  IF(AND(  OR(R6="退",R6="退伍" ), OR(S6="退",S6="退伍" ), $AP6 =""),"退伍","全日勤"  )  )  )  )  )  )  )  )  )  )  ),"")</f>
        <v>全日勤</v>
      </c>
      <c r="S47" s="66" t="str">
        <f>IF(   (ROW(BE6)-1)&lt;=暫1!$B$2,           IF(  AND(  OR(  S6="x",S6="補"  ), OR(  T6 ="x",T6="補",T6="x榮18-22",T6="x公18-22",T6="x榮22-08"  ), $AP6 =""),"全日休",  IF(  AND(  OR(  S6="x",S6="病"  ), OR(  T6 ="病"  ), $AP6 =""),"病(事)假",  IF(  AND(  OR(  S6="x",S6="補"  ), OR(  T6 ="補"  ), $AP6 =""),"補休",  IF(  AND(  OR(  S6="x",S6="喪"  ), OR(  T6 ="喪"  ), $AP6 =""),"喪假",  IF(  AND(  OR(  S6="x",S6="婚",S6="產"  ), OR(  T6 ="婚",T6="產"  ), $AP6 =""),"婚(產)假",  IF(  AND(  OR(  S6="x",S6="公"  ), OR(  T6 ="公"  ), $AP6 =""),"公假",  IF(  AND(  OR(  S6="x",S6="補",S6="婚",S6="公",S6="病",S6="事",S6="x榮18-22"  ),OR(T6=""), $AP6 =""  ),"18收",  IF(  AND(  OR(  S6 ="榮14-18",S6 ="榮10-18",S6 ="榮06-18",S6 ="病14-18"  ),OR(  T6 ="x",T6="補",T6="婚",T6="公",T6="病",T6="事",T6="x"  ), $AP6 =""),"18放早走",  IF(  AND(  OR(  S6 =""),OR(  T6 ="x",T6="補",T6="婚",T6="公",T6="病",T6="事",T6="x榮*",T6="榮",T6="榮-22"  ), $AP6 =""),"18放",  IF(  AND(  OR(  S6="當日退伍"  ),OR(  T6="退伍",T6="退", T6=""  ), $AP6 =""),"當日退伍",  IF(AND(  OR(S6="退",S6="退伍" ), OR(T6="退",T6="退伍" ), $AP6 =""),"退伍","全日勤"  )  )  )  )  )  )  )  )  )  )  ),"")</f>
        <v>全日勤</v>
      </c>
      <c r="T47" s="66" t="str">
        <f>IF(   (ROW(BF6)-1)&lt;=暫1!$B$2,           IF(  AND(  OR(  T6="x",T6="補"  ), OR(  U6 ="x",U6="補",U6="x榮18-22",U6="x公18-22",U6="x榮22-08"  ), $AP6 =""),"全日休",  IF(  AND(  OR(  T6="x",T6="病"  ), OR(  U6 ="病"  ), $AP6 =""),"病(事)假",  IF(  AND(  OR(  T6="x",T6="補"  ), OR(  U6 ="補"  ), $AP6 =""),"補休",  IF(  AND(  OR(  T6="x",T6="喪"  ), OR(  U6 ="喪"  ), $AP6 =""),"喪假",  IF(  AND(  OR(  T6="x",T6="婚",T6="產"  ), OR(  U6 ="婚",U6="產"  ), $AP6 =""),"婚(產)假",  IF(  AND(  OR(  T6="x",T6="公"  ), OR(  U6 ="公"  ), $AP6 =""),"公假",  IF(  AND(  OR(  T6="x",T6="補",T6="婚",T6="公",T6="病",T6="事",T6="x榮18-22"  ),OR(U6=""), $AP6 =""  ),"18收",  IF(  AND(  OR(  T6 ="榮14-18",T6 ="榮10-18",T6 ="榮06-18",T6 ="病14-18"  ),OR(  U6 ="x",U6="補",U6="婚",U6="公",U6="病",U6="事",U6="x"  ), $AP6 =""),"18放早走",  IF(  AND(  OR(  T6 =""),OR(  U6 ="x",U6="補",U6="婚",U6="公",U6="病",U6="事",U6="x榮*",U6="榮",U6="榮-22"  ), $AP6 =""),"18放",  IF(  AND(  OR(  T6="當日退伍"  ),OR(  U6="退伍",U6="退", U6=""  ), $AP6 =""),"當日退伍",  IF(AND(  OR(T6="退",T6="退伍" ), OR(U6="退",U6="退伍" ), $AP6 =""),"退伍","全日勤"  )  )  )  )  )  )  )  )  )  )  ),"")</f>
        <v>全日勤</v>
      </c>
      <c r="U47" s="66" t="str">
        <f>IF(   (ROW(BG6)-1)&lt;=暫1!$B$2,           IF(  AND(  OR(  U6="x",U6="補"  ), OR(  V6 ="x",V6="補",V6="x榮18-22",V6="x公18-22",V6="x榮22-08"  ), $AP6 =""),"全日休",  IF(  AND(  OR(  U6="x",U6="病"  ), OR(  V6 ="病"  ), $AP6 =""),"病(事)假",  IF(  AND(  OR(  U6="x",U6="補"  ), OR(  V6 ="補"  ), $AP6 =""),"補休",  IF(  AND(  OR(  U6="x",U6="喪"  ), OR(  V6 ="喪"  ), $AP6 =""),"喪假",  IF(  AND(  OR(  U6="x",U6="婚",U6="產"  ), OR(  V6 ="婚",V6="產"  ), $AP6 =""),"婚(產)假",  IF(  AND(  OR(  U6="x",U6="公"  ), OR(  V6 ="公"  ), $AP6 =""),"公假",  IF(  AND(  OR(  U6="x",U6="補",U6="婚",U6="公",U6="病",U6="事",U6="x榮18-22"  ),OR(V6=""), $AP6 =""  ),"18收",  IF(  AND(  OR(  U6 ="榮14-18",U6 ="榮10-18",U6 ="榮06-18",U6 ="病14-18"  ),OR(  V6 ="x",V6="補",V6="婚",V6="公",V6="病",V6="事",V6="x"  ), $AP6 =""),"18放早走",  IF(  AND(  OR(  U6 =""),OR(  V6 ="x",V6="補",V6="婚",V6="公",V6="病",V6="事",V6="x榮*",V6="榮",V6="榮-22"  ), $AP6 =""),"18放",  IF(  AND(  OR(  U6="當日退伍"  ),OR(  V6="退伍",V6="退", V6=""  ), $AP6 =""),"當日退伍",  IF(AND(  OR(U6="退",U6="退伍" ), OR(V6="退",V6="退伍" ), $AP6 =""),"退伍","全日勤"  )  )  )  )  )  )  )  )  )  )  ),"")</f>
        <v>全日勤</v>
      </c>
      <c r="V47" s="66" t="str">
        <f>IF(   (ROW(BH6)-1)&lt;=暫1!$B$2,           IF(  AND(  OR(  V6="x",V6="補"  ), OR(  W6 ="x",W6="補",W6="x榮18-22",W6="x公18-22",W6="x榮22-08"  ), $AP6 =""),"全日休",  IF(  AND(  OR(  V6="x",V6="病"  ), OR(  W6 ="病"  ), $AP6 =""),"病(事)假",  IF(  AND(  OR(  V6="x",V6="補"  ), OR(  W6 ="補"  ), $AP6 =""),"補休",  IF(  AND(  OR(  V6="x",V6="喪"  ), OR(  W6 ="喪"  ), $AP6 =""),"喪假",  IF(  AND(  OR(  V6="x",V6="婚",V6="產"  ), OR(  W6 ="婚",W6="產"  ), $AP6 =""),"婚(產)假",  IF(  AND(  OR(  V6="x",V6="公"  ), OR(  W6 ="公"  ), $AP6 =""),"公假",  IF(  AND(  OR(  V6="x",V6="補",V6="婚",V6="公",V6="病",V6="事",V6="x榮18-22"  ),OR(W6=""), $AP6 =""  ),"18收",  IF(  AND(  OR(  V6 ="榮14-18",V6 ="榮10-18",V6 ="榮06-18",V6 ="病14-18"  ),OR(  W6 ="x",W6="補",W6="婚",W6="公",W6="病",W6="事",W6="x"  ), $AP6 =""),"18放早走",  IF(  AND(  OR(  V6 =""),OR(  W6 ="x",W6="補",W6="婚",W6="公",W6="病",W6="事",W6="x榮*",W6="榮",W6="榮-22"  ), $AP6 =""),"18放",  IF(  AND(  OR(  V6="當日退伍"  ),OR(  W6="退伍",W6="退", W6=""  ), $AP6 =""),"當日退伍",  IF(AND(  OR(V6="退",V6="退伍" ), OR(W6="退",W6="退伍" ), $AP6 =""),"退伍","全日勤"  )  )  )  )  )  )  )  )  )  )  ),"")</f>
        <v>全日勤</v>
      </c>
      <c r="W47" s="66" t="str">
        <f>IF(   (ROW(BI6)-1)&lt;=暫1!$B$2,           IF(  AND(  OR(  W6="x",W6="補"  ), OR(  X6 ="x",X6="補",X6="x榮18-22",X6="x公18-22",X6="x榮22-08"  ), $AP6 =""),"全日休",  IF(  AND(  OR(  W6="x",W6="病"  ), OR(  X6 ="病"  ), $AP6 =""),"病(事)假",  IF(  AND(  OR(  W6="x",W6="補"  ), OR(  X6 ="補"  ), $AP6 =""),"補休",  IF(  AND(  OR(  W6="x",W6="喪"  ), OR(  X6 ="喪"  ), $AP6 =""),"喪假",  IF(  AND(  OR(  W6="x",W6="婚",W6="產"  ), OR(  X6 ="婚",X6="產"  ), $AP6 =""),"婚(產)假",  IF(  AND(  OR(  W6="x",W6="公"  ), OR(  X6 ="公"  ), $AP6 =""),"公假",  IF(  AND(  OR(  W6="x",W6="補",W6="婚",W6="公",W6="病",W6="事",W6="x榮18-22"  ),OR(X6=""), $AP6 =""  ),"18收",  IF(  AND(  OR(  W6 ="榮14-18",W6 ="榮10-18",W6 ="榮06-18",W6 ="病14-18"  ),OR(  X6 ="x",X6="補",X6="婚",X6="公",X6="病",X6="事",X6="x"  ), $AP6 =""),"18放早走",  IF(  AND(  OR(  W6 =""),OR(  X6 ="x",X6="補",X6="婚",X6="公",X6="病",X6="事",X6="x榮*",X6="榮",X6="榮-22"  ), $AP6 =""),"18放",  IF(  AND(  OR(  W6="當日退伍"  ),OR(  X6="退伍",X6="退", X6=""  ), $AP6 =""),"當日退伍",  IF(AND(  OR(W6="退",W6="退伍" ), OR(X6="退",X6="退伍" ), $AP6 =""),"退伍","全日勤"  )  )  )  )  )  )  )  )  )  )  ),"")</f>
        <v>全日勤</v>
      </c>
      <c r="X47" s="66" t="str">
        <f>IF(   (ROW(BJ6)-1)&lt;=暫1!$B$2,           IF(  AND(  OR(  X6="x",X6="補"  ), OR(  Y6 ="x",Y6="補",Y6="x榮18-22",Y6="x公18-22",Y6="x榮22-08"  ), $AP6 =""),"全日休",  IF(  AND(  OR(  X6="x",X6="病"  ), OR(  Y6 ="病"  ), $AP6 =""),"病(事)假",  IF(  AND(  OR(  X6="x",X6="補"  ), OR(  Y6 ="補"  ), $AP6 =""),"補休",  IF(  AND(  OR(  X6="x",X6="喪"  ), OR(  Y6 ="喪"  ), $AP6 =""),"喪假",  IF(  AND(  OR(  X6="x",X6="婚",X6="產"  ), OR(  Y6 ="婚",Y6="產"  ), $AP6 =""),"婚(產)假",  IF(  AND(  OR(  X6="x",X6="公"  ), OR(  Y6 ="公"  ), $AP6 =""),"公假",  IF(  AND(  OR(  X6="x",X6="補",X6="婚",X6="公",X6="病",X6="事",X6="x榮18-22"  ),OR(Y6=""), $AP6 =""  ),"18收",  IF(  AND(  OR(  X6 ="榮14-18",X6 ="榮10-18",X6 ="榮06-18",X6 ="病14-18"  ),OR(  Y6 ="x",Y6="補",Y6="婚",Y6="公",Y6="病",Y6="事",Y6="x"  ), $AP6 =""),"18放早走",  IF(  AND(  OR(  X6 =""),OR(  Y6 ="x",Y6="補",Y6="婚",Y6="公",Y6="病",Y6="事",Y6="x榮*",Y6="榮",Y6="榮-22"  ), $AP6 =""),"18放",  IF(  AND(  OR(  X6="當日退伍"  ),OR(  Y6="退伍",Y6="退", Y6=""  ), $AP6 =""),"當日退伍",  IF(AND(  OR(X6="退",X6="退伍" ), OR(Y6="退",Y6="退伍" ), $AP6 =""),"退伍","全日勤"  )  )  )  )  )  )  )  )  )  )  ),"")</f>
        <v>全日勤</v>
      </c>
      <c r="Y47" s="66" t="str">
        <f>IF(   (ROW(BK6)-1)&lt;=暫1!$B$2,           IF(  AND(  OR(  Y6="x",Y6="補"  ), OR(  Z6 ="x",Z6="補",Z6="x榮18-22",Z6="x公18-22",Z6="x榮22-08"  ), $AP6 =""),"全日休",  IF(  AND(  OR(  Y6="x",Y6="病"  ), OR(  Z6 ="病"  ), $AP6 =""),"病(事)假",  IF(  AND(  OR(  Y6="x",Y6="補"  ), OR(  Z6 ="補"  ), $AP6 =""),"補休",  IF(  AND(  OR(  Y6="x",Y6="喪"  ), OR(  Z6 ="喪"  ), $AP6 =""),"喪假",  IF(  AND(  OR(  Y6="x",Y6="婚",Y6="產"  ), OR(  Z6 ="婚",Z6="產"  ), $AP6 =""),"婚(產)假",  IF(  AND(  OR(  Y6="x",Y6="公"  ), OR(  Z6 ="公"  ), $AP6 =""),"公假",  IF(  AND(  OR(  Y6="x",Y6="補",Y6="婚",Y6="公",Y6="病",Y6="事",Y6="x榮18-22"  ),OR(Z6=""), $AP6 =""  ),"18收",  IF(  AND(  OR(  Y6 ="榮14-18",Y6 ="榮10-18",Y6 ="榮06-18",Y6 ="病14-18"  ),OR(  Z6 ="x",Z6="補",Z6="婚",Z6="公",Z6="病",Z6="事",Z6="x"  ), $AP6 =""),"18放早走",  IF(  AND(  OR(  Y6 =""),OR(  Z6 ="x",Z6="補",Z6="婚",Z6="公",Z6="病",Z6="事",Z6="x榮*",Z6="榮",Z6="榮-22"  ), $AP6 =""),"18放",  IF(  AND(  OR(  Y6="當日退伍"  ),OR(  Z6="退伍",Z6="退", Z6=""  ), $AP6 =""),"當日退伍",  IF(AND(  OR(Y6="退",Y6="退伍" ), OR(Z6="退",Z6="退伍" ), $AP6 =""),"退伍","全日勤"  )  )  )  )  )  )  )  )  )  )  ),"")</f>
        <v>全日勤</v>
      </c>
      <c r="Z47" s="66" t="str">
        <f>IF(   (ROW(BL6)-1)&lt;=暫1!$B$2,           IF(  AND(  OR(  Z6="x",Z6="補"  ), OR(  AA6 ="x",AA6="補",AA6="x榮18-22",AA6="x公18-22",AA6="x榮22-08"  ), $AP6 =""),"全日休",  IF(  AND(  OR(  Z6="x",Z6="病"  ), OR(  AA6 ="病"  ), $AP6 =""),"病(事)假",  IF(  AND(  OR(  Z6="x",Z6="補"  ), OR(  AA6 ="補"  ), $AP6 =""),"補休",  IF(  AND(  OR(  Z6="x",Z6="喪"  ), OR(  AA6 ="喪"  ), $AP6 =""),"喪假",  IF(  AND(  OR(  Z6="x",Z6="婚",Z6="產"  ), OR(  AA6 ="婚",AA6="產"  ), $AP6 =""),"婚(產)假",  IF(  AND(  OR(  Z6="x",Z6="公"  ), OR(  AA6 ="公"  ), $AP6 =""),"公假",  IF(  AND(  OR(  Z6="x",Z6="補",Z6="婚",Z6="公",Z6="病",Z6="事",Z6="x榮18-22"  ),OR(AA6=""), $AP6 =""  ),"18收",  IF(  AND(  OR(  Z6 ="榮14-18",Z6 ="榮10-18",Z6 ="榮06-18",Z6 ="病14-18"  ),OR(  AA6 ="x",AA6="補",AA6="婚",AA6="公",AA6="病",AA6="事",AA6="x"  ), $AP6 =""),"18放早走",  IF(  AND(  OR(  Z6 =""),OR(  AA6 ="x",AA6="補",AA6="婚",AA6="公",AA6="病",AA6="事",AA6="x榮*",AA6="榮",AA6="榮-22"  ), $AP6 =""),"18放",  IF(  AND(  OR(  Z6="當日退伍"  ),OR(  AA6="退伍",AA6="退", AA6=""  ), $AP6 =""),"當日退伍",  IF(AND(  OR(Z6="退",Z6="退伍" ), OR(AA6="退",AA6="退伍" ), $AP6 =""),"退伍","全日勤"  )  )  )  )  )  )  )  )  )  )  ),"")</f>
        <v>全日勤</v>
      </c>
      <c r="AA47" s="66" t="str">
        <f>IF(   (ROW(BM6)-1)&lt;=暫1!$B$2,           IF(  AND(  OR(  AA6="x",AA6="補"  ), OR(  AB6 ="x",AB6="補",AB6="x榮18-22",AB6="x公18-22",AB6="x榮22-08"  ), $AP6 =""),"全日休",  IF(  AND(  OR(  AA6="x",AA6="病"  ), OR(  AB6 ="病"  ), $AP6 =""),"病(事)假",  IF(  AND(  OR(  AA6="x",AA6="補"  ), OR(  AB6 ="補"  ), $AP6 =""),"補休",  IF(  AND(  OR(  AA6="x",AA6="喪"  ), OR(  AB6 ="喪"  ), $AP6 =""),"喪假",  IF(  AND(  OR(  AA6="x",AA6="婚",AA6="產"  ), OR(  AB6 ="婚",AB6="產"  ), $AP6 =""),"婚(產)假",  IF(  AND(  OR(  AA6="x",AA6="公"  ), OR(  AB6 ="公"  ), $AP6 =""),"公假",  IF(  AND(  OR(  AA6="x",AA6="補",AA6="婚",AA6="公",AA6="病",AA6="事",AA6="x榮18-22"  ),OR(AB6=""), $AP6 =""  ),"18收",  IF(  AND(  OR(  AA6 ="榮14-18",AA6 ="榮10-18",AA6 ="榮06-18",AA6 ="病14-18"  ),OR(  AB6 ="x",AB6="補",AB6="婚",AB6="公",AB6="病",AB6="事",AB6="x"  ), $AP6 =""),"18放早走",  IF(  AND(  OR(  AA6 =""),OR(  AB6 ="x",AB6="補",AB6="婚",AB6="公",AB6="病",AB6="事",AB6="x榮*",AB6="榮",AB6="榮-22"  ), $AP6 =""),"18放",  IF(  AND(  OR(  AA6="當日退伍"  ),OR(  AB6="退伍",AB6="退", AB6=""  ), $AP6 =""),"當日退伍",  IF(AND(  OR(AA6="退",AA6="退伍" ), OR(AB6="退",AB6="退伍" ), $AP6 =""),"退伍","全日勤"  )  )  )  )  )  )  )  )  )  )  ),"")</f>
        <v>全日勤</v>
      </c>
      <c r="AB47" s="66" t="str">
        <f>IF(   (ROW(BN6)-1)&lt;=暫1!$B$2,           IF(  AND(  OR(  AB6="x",AB6="補"  ), OR(  AC6 ="x",AC6="補",AC6="x榮18-22",AC6="x公18-22",AC6="x榮22-08"  ), $AP6 =""),"全日休",  IF(  AND(  OR(  AB6="x",AB6="病"  ), OR(  AC6 ="病"  ), $AP6 =""),"病(事)假",  IF(  AND(  OR(  AB6="x",AB6="補"  ), OR(  AC6 ="補"  ), $AP6 =""),"補休",  IF(  AND(  OR(  AB6="x",AB6="喪"  ), OR(  AC6 ="喪"  ), $AP6 =""),"喪假",  IF(  AND(  OR(  AB6="x",AB6="婚",AB6="產"  ), OR(  AC6 ="婚",AC6="產"  ), $AP6 =""),"婚(產)假",  IF(  AND(  OR(  AB6="x",AB6="公"  ), OR(  AC6 ="公"  ), $AP6 =""),"公假",  IF(  AND(  OR(  AB6="x",AB6="補",AB6="婚",AB6="公",AB6="病",AB6="事",AB6="x榮18-22"  ),OR(AC6=""), $AP6 =""  ),"18收",  IF(  AND(  OR(  AB6 ="榮14-18",AB6 ="榮10-18",AB6 ="榮06-18",AB6 ="病14-18"  ),OR(  AC6 ="x",AC6="補",AC6="婚",AC6="公",AC6="病",AC6="事",AC6="x"  ), $AP6 =""),"18放早走",  IF(  AND(  OR(  AB6 =""),OR(  AC6 ="x",AC6="補",AC6="婚",AC6="公",AC6="病",AC6="事",AC6="x榮*",AC6="榮",AC6="榮-22"  ), $AP6 =""),"18放",  IF(  AND(  OR(  AB6="當日退伍"  ),OR(  AC6="退伍",AC6="退", AC6=""  ), $AP6 =""),"當日退伍",  IF(AND(  OR(AB6="退",AB6="退伍" ), OR(AC6="退",AC6="退伍" ), $AP6 =""),"退伍","全日勤"  )  )  )  )  )  )  )  )  )  )  ),"")</f>
        <v>全日勤</v>
      </c>
      <c r="AC47" s="66" t="str">
        <f>IF(   (ROW(BO6)-1)&lt;=暫1!$B$2,           IF(  AND(  OR(  AC6="x",AC6="補"  ), OR(  AD6 ="x",AD6="補",AD6="x榮18-22",AD6="x公18-22",AD6="x榮22-08"  ), $AP6 =""),"全日休",  IF(  AND(  OR(  AC6="x",AC6="病"  ), OR(  AD6 ="病"  ), $AP6 =""),"病(事)假",  IF(  AND(  OR(  AC6="x",AC6="補"  ), OR(  AD6 ="補"  ), $AP6 =""),"補休",  IF(  AND(  OR(  AC6="x",AC6="喪"  ), OR(  AD6 ="喪"  ), $AP6 =""),"喪假",  IF(  AND(  OR(  AC6="x",AC6="婚",AC6="產"  ), OR(  AD6 ="婚",AD6="產"  ), $AP6 =""),"婚(產)假",  IF(  AND(  OR(  AC6="x",AC6="公"  ), OR(  AD6 ="公"  ), $AP6 =""),"公假",  IF(  AND(  OR(  AC6="x",AC6="補",AC6="婚",AC6="公",AC6="病",AC6="事",AC6="x榮18-22"  ),OR(AD6=""), $AP6 =""  ),"18收",  IF(  AND(  OR(  AC6 ="榮14-18",AC6 ="榮10-18",AC6 ="榮06-18",AC6 ="病14-18"  ),OR(  AD6 ="x",AD6="補",AD6="婚",AD6="公",AD6="病",AD6="事",AD6="x"  ), $AP6 =""),"18放早走",  IF(  AND(  OR(  AC6 =""),OR(  AD6 ="x",AD6="補",AD6="婚",AD6="公",AD6="病",AD6="事",AD6="x榮*",AD6="榮",AD6="榮-22"  ), $AP6 =""),"18放",  IF(  AND(  OR(  AC6="當日退伍"  ),OR(  AD6="退伍",AD6="退", AD6=""  ), $AP6 =""),"當日退伍",  IF(AND(  OR(AC6="退",AC6="退伍" ), OR(AD6="退",AD6="退伍" ), $AP6 =""),"退伍","全日勤"  )  )  )  )  )  )  )  )  )  )  ),"")</f>
        <v>全日勤</v>
      </c>
      <c r="AD47" s="66" t="str">
        <f>IF(   (ROW(BP6)-1)&lt;=暫1!$B$2,           IF(  AND(  OR(  AD6="x",AD6="補"  ), OR(  AE6 ="x",AE6="補",AE6="x榮18-22",AE6="x公18-22",AE6="x榮22-08"  ), $AP6 =""),"全日休",  IF(  AND(  OR(  AD6="x",AD6="病"  ), OR(  AE6 ="病"  ), $AP6 =""),"病(事)假",  IF(  AND(  OR(  AD6="x",AD6="補"  ), OR(  AE6 ="補"  ), $AP6 =""),"補休",  IF(  AND(  OR(  AD6="x",AD6="喪"  ), OR(  AE6 ="喪"  ), $AP6 =""),"喪假",  IF(  AND(  OR(  AD6="x",AD6="婚",AD6="產"  ), OR(  AE6 ="婚",AE6="產"  ), $AP6 =""),"婚(產)假",  IF(  AND(  OR(  AD6="x",AD6="公"  ), OR(  AE6 ="公"  ), $AP6 =""),"公假",  IF(  AND(  OR(  AD6="x",AD6="補",AD6="婚",AD6="公",AD6="病",AD6="事",AD6="x榮18-22"  ),OR(AE6=""), $AP6 =""  ),"18收",  IF(  AND(  OR(  AD6 ="榮14-18",AD6 ="榮10-18",AD6 ="榮06-18",AD6 ="病14-18"  ),OR(  AE6 ="x",AE6="補",AE6="婚",AE6="公",AE6="病",AE6="事",AE6="x"  ), $AP6 =""),"18放早走",  IF(  AND(  OR(  AD6 =""),OR(  AE6 ="x",AE6="補",AE6="婚",AE6="公",AE6="病",AE6="事",AE6="x榮*",AE6="榮",AE6="榮-22"  ), $AP6 =""),"18放",  IF(  AND(  OR(  AD6="當日退伍"  ),OR(  AE6="退伍",AE6="退", AE6=""  ), $AP6 =""),"當日退伍",  IF(AND(  OR(AD6="退",AD6="退伍" ), OR(AE6="退",AE6="退伍" ), $AP6 =""),"退伍","全日勤"  )  )  )  )  )  )  )  )  )  )  ),"")</f>
        <v>全日勤</v>
      </c>
      <c r="AE47" s="66" t="str">
        <f>IF(   (ROW(BQ6)-1)&lt;=暫1!$B$2,           IF(  AND(  OR(  AE6="x",AE6="補"  ), OR(  AF6 ="x",AF6="補",AF6="x榮18-22",AF6="x公18-22",AF6="x榮22-08"  ), $AP6 =""),"全日休",  IF(  AND(  OR(  AE6="x",AE6="病"  ), OR(  AF6 ="病"  ), $AP6 =""),"病(事)假",  IF(  AND(  OR(  AE6="x",AE6="補"  ), OR(  AF6 ="補"  ), $AP6 =""),"補休",  IF(  AND(  OR(  AE6="x",AE6="喪"  ), OR(  AF6 ="喪"  ), $AP6 =""),"喪假",  IF(  AND(  OR(  AE6="x",AE6="婚",AE6="產"  ), OR(  AF6 ="婚",AF6="產"  ), $AP6 =""),"婚(產)假",  IF(  AND(  OR(  AE6="x",AE6="公"  ), OR(  AF6 ="公"  ), $AP6 =""),"公假",  IF(  AND(  OR(  AE6="x",AE6="補",AE6="婚",AE6="公",AE6="病",AE6="事",AE6="x榮18-22"  ),OR(AF6=""), $AP6 =""  ),"18收",  IF(  AND(  OR(  AE6 ="榮14-18",AE6 ="榮10-18",AE6 ="榮06-18",AE6 ="病14-18"  ),OR(  AF6 ="x",AF6="補",AF6="婚",AF6="公",AF6="病",AF6="事",AF6="x"  ), $AP6 =""),"18放早走",  IF(  AND(  OR(  AE6 =""),OR(  AF6 ="x",AF6="補",AF6="婚",AF6="公",AF6="病",AF6="事",AF6="x榮*",AF6="榮",AF6="榮-22"  ), $AP6 =""),"18放",  IF(  AND(  OR(  AE6="當日退伍"  ),OR(  AF6="退伍",AF6="退", AF6=""  ), $AP6 =""),"當日退伍",  IF(AND(  OR(AE6="退",AE6="退伍" ), OR(AF6="退",AF6="退伍" ), $AP6 =""),"退伍","全日勤"  )  )  )  )  )  )  )  )  )  )  ),"")</f>
        <v>全日勤</v>
      </c>
      <c r="AF47" s="66" t="str">
        <f>IF(   (ROW(BR6)-1)&lt;=暫1!$B$2,           IF(  AND(  OR(  AF6="x",AF6="補"  ), OR(  AG6 ="x",AG6="補",AG6="x榮18-22",AG6="x公18-22",AG6="x榮22-08"  ), $AP6 =""),"全日休",  IF(  AND(  OR(  AF6="x",AF6="病"  ), OR(  AG6 ="病"  ), $AP6 =""),"病(事)假",  IF(  AND(  OR(  AF6="x",AF6="補"  ), OR(  AG6 ="補"  ), $AP6 =""),"補休",  IF(  AND(  OR(  AF6="x",AF6="喪"  ), OR(  AG6 ="喪"  ), $AP6 =""),"喪假",  IF(  AND(  OR(  AF6="x",AF6="婚",AF6="產"  ), OR(  AG6 ="婚",AG6="產"  ), $AP6 =""),"婚(產)假",  IF(  AND(  OR(  AF6="x",AF6="公"  ), OR(  AG6 ="公"  ), $AP6 =""),"公假",  IF(  AND(  OR(  AF6="x",AF6="補",AF6="婚",AF6="公",AF6="病",AF6="事",AF6="x榮18-22"  ),OR(AG6=""), $AP6 =""  ),"18收",  IF(  AND(  OR(  AF6 ="榮14-18",AF6 ="榮10-18",AF6 ="榮06-18",AF6 ="病14-18"  ),OR(  AG6 ="x",AG6="補",AG6="婚",AG6="公",AG6="病",AG6="事",AG6="x"  ), $AP6 =""),"18放早走",  IF(  AND(  OR(  AF6 =""),OR(  AG6 ="x",AG6="補",AG6="婚",AG6="公",AG6="病",AG6="事",AG6="x榮*",AG6="榮",AG6="榮-22"  ), $AP6 =""),"18放",  IF(  AND(  OR(  AF6="當日退伍"  ),OR(  AG6="退伍",AG6="退", AG6=""  ), $AP6 =""),"當日退伍",  IF(AND(  OR(AF6="退",AF6="退伍" ), OR(AG6="退",AG6="退伍" ), $AP6 =""),"退伍","全日勤"  )  )  )  )  )  )  )  )  )  )  ),"")</f>
        <v>全日勤</v>
      </c>
      <c r="AG47" s="66" t="str">
        <f>IF(   (ROW(BS6)-1)&lt;=暫1!$B$2,           IF(  AND(  OR(  AG6="x",AG6="補"  ), OR(  AH6 ="x",AH6="補",AH6="x榮18-22",AH6="x公18-22",AH6="x榮22-08"  ), $AP6 =""),"全日休",  IF(  AND(  OR(  AG6="x",AG6="病"  ), OR(  AH6 ="病"  ), $AP6 =""),"病(事)假",  IF(  AND(  OR(  AG6="x",AG6="補"  ), OR(  AH6 ="補"  ), $AP6 =""),"補休",  IF(  AND(  OR(  AG6="x",AG6="喪"  ), OR(  AH6 ="喪"  ), $AP6 =""),"喪假",  IF(  AND(  OR(  AG6="x",AG6="婚",AG6="產"  ), OR(  AH6 ="婚",AH6="產"  ), $AP6 =""),"婚(產)假",  IF(  AND(  OR(  AG6="x",AG6="公"  ), OR(  AH6 ="公"  ), $AP6 =""),"公假",  IF(  AND(  OR(  AG6="x",AG6="補",AG6="婚",AG6="公",AG6="病",AG6="事",AG6="x榮18-22"  ),OR(AH6=""), $AP6 =""  ),"18收",  IF(  AND(  OR(  AG6 ="榮14-18",AG6 ="榮10-18",AG6 ="榮06-18",AG6 ="病14-18"  ),OR(  AH6 ="x",AH6="補",AH6="婚",AH6="公",AH6="病",AH6="事",AH6="x"  ), $AP6 =""),"18放早走",  IF(  AND(  OR(  AG6 =""),OR(  AH6 ="x",AH6="補",AH6="婚",AH6="公",AH6="病",AH6="事",AH6="x榮*",AH6="榮",AH6="榮-22"  ), $AP6 =""),"18放",  IF(  AND(  OR(  AG6="當日退伍"  ),OR(  AH6="退伍",AH6="退", AH6=""  ), $AP6 =""),"當日退伍",  IF(AND(  OR(AG6="退",AG6="退伍" ), OR(AH6="退",AH6="退伍" ), $AP6 =""),"退伍","全日勤"  )  )  )  )  )  )  )  )  )  )  ),"")</f>
        <v>全日勤</v>
      </c>
      <c r="AH47" s="66" t="str">
        <f>IF(   (ROW(BT6)-1)&lt;=暫1!$B$2,           IF(  AND(  OR(  AH6="x",AH6="補"  ), OR(  AI6 ="x",AI6="補",AI6="x榮18-22",AI6="x公18-22",AI6="x榮22-08"  ), $AP6 =""),"全日休",  IF(  AND(  OR(  AH6="x",AH6="病"  ), OR(  AI6 ="病"  ), $AP6 =""),"病(事)假",  IF(  AND(  OR(  AH6="x",AH6="補"  ), OR(  AI6 ="補"  ), $AP6 =""),"補休",  IF(  AND(  OR(  AH6="x",AH6="喪"  ), OR(  AI6 ="喪"  ), $AP6 =""),"喪假",  IF(  AND(  OR(  AH6="x",AH6="婚",AH6="產"  ), OR(  AI6 ="婚",AI6="產"  ), $AP6 =""),"婚(產)假",  IF(  AND(  OR(  AH6="x",AH6="公"  ), OR(  AI6 ="公"  ), $AP6 =""),"公假",  IF(  AND(  OR(  AH6="x",AH6="補",AH6="婚",AH6="公",AH6="病",AH6="事",AH6="x榮18-22"  ),OR(AI6=""), $AP6 =""  ),"18收",  IF(  AND(  OR(  AH6 ="榮14-18",AH6 ="榮10-18",AH6 ="榮06-18",AH6 ="病14-18"  ),OR(  AI6 ="x",AI6="補",AI6="婚",AI6="公",AI6="病",AI6="事",AI6="x"  ), $AP6 =""),"18放早走",  IF(  AND(  OR(  AH6 =""),OR(  AI6 ="x",AI6="補",AI6="婚",AI6="公",AI6="病",AI6="事",AI6="x榮*",AI6="榮",AI6="榮-22"  ), $AP6 =""),"18放",  IF(  AND(  OR(  AH6="當日退伍"  ),OR(  AI6="退伍",AI6="退", AI6=""  ), $AP6 =""),"當日退伍",  IF(AND(  OR(AH6="退",AH6="退伍" ), OR(AI6="退",AI6="退伍" ), $AP6 =""),"退伍","全日勤"  )  )  )  )  )  )  )  )  )  )  ),"")</f>
        <v>全日勤</v>
      </c>
      <c r="AI47" s="66" t="str">
        <f>IF(   (ROW(BU6)-1)&lt;=暫1!$B$2,           IF(  AND(  OR(  AI6="x",AI6="補"  ), OR(  AJ6 ="x",AJ6="補",AJ6="x榮18-22",AJ6="x公18-22",AJ6="x榮22-08"  ), $AP6 =""),"全日休",  IF(  AND(  OR(  AI6="x",AI6="病"  ), OR(  AJ6 ="病"  ), $AP6 =""),"病(事)假",  IF(  AND(  OR(  AI6="x",AI6="補"  ), OR(  AJ6 ="補"  ), $AP6 =""),"補休",  IF(  AND(  OR(  AI6="x",AI6="喪"  ), OR(  AJ6 ="喪"  ), $AP6 =""),"喪假",  IF(  AND(  OR(  AI6="x",AI6="婚",AI6="產"  ), OR(  AJ6 ="婚",AJ6="產"  ), $AP6 =""),"婚(產)假",  IF(  AND(  OR(  AI6="x",AI6="公"  ), OR(  AJ6 ="公"  ), $AP6 =""),"公假",  IF(  AND(  OR(  AI6="x",AI6="補",AI6="婚",AI6="公",AI6="病",AI6="事",AI6="x榮18-22"  ),OR(AJ6=""), $AP6 =""  ),"18收",  IF(  AND(  OR(  AI6 ="榮14-18",AI6 ="榮10-18",AI6 ="榮06-18",AI6 ="病14-18"  ),OR(  AJ6 ="x",AJ6="補",AJ6="婚",AJ6="公",AJ6="病",AJ6="事",AJ6="x"  ), $AP6 =""),"18放早走",  IF(  AND(  OR(  AI6 =""),OR(  AJ6 ="x",AJ6="補",AJ6="婚",AJ6="公",AJ6="病",AJ6="事",AJ6="x榮*",AJ6="榮",AJ6="榮-22"  ), $AP6 =""),"18放",  IF(  AND(  OR(  AI6="當日退伍"  ),OR(  AJ6="退伍",AJ6="退", AJ6=""  ), $AP6 =""),"當日退伍",  IF(AND(  OR(AI6="退",AI6="退伍" ), OR(AJ6="退",AJ6="退伍" ), $AP6 =""),"退伍","全日勤"  )  )  )  )  )  )  )  )  )  )  ),"")</f>
        <v>全日勤</v>
      </c>
      <c r="AJ47" s="66" t="str">
        <f>IF(   (ROW(BV6)-1)&lt;=暫1!$B$2,           IF(  AND(  OR(  AJ6="x",AJ6="補"  ), OR(  AK6 ="x",AK6="補",AK6="x榮18-22",AK6="x公18-22",AK6="x榮22-08"  ), $AP6 =""),"全日休",  IF(  AND(  OR(  AJ6="x",AJ6="病"  ), OR(  AK6 ="病"  ), $AP6 =""),"病(事)假",  IF(  AND(  OR(  AJ6="x",AJ6="補"  ), OR(  AK6 ="補"  ), $AP6 =""),"補休",  IF(  AND(  OR(  AJ6="x",AJ6="喪"  ), OR(  AK6 ="喪"  ), $AP6 =""),"喪假",  IF(  AND(  OR(  AJ6="x",AJ6="婚",AJ6="產"  ), OR(  AK6 ="婚",AK6="產"  ), $AP6 =""),"婚(產)假",  IF(  AND(  OR(  AJ6="x",AJ6="公"  ), OR(  AK6 ="公"  ), $AP6 =""),"公假",  IF(  AND(  OR(  AJ6="x",AJ6="補",AJ6="婚",AJ6="公",AJ6="病",AJ6="事",AJ6="x榮18-22"  ),OR(AK6=""), $AP6 =""  ),"18收",  IF(  AND(  OR(  AJ6 ="榮14-18",AJ6 ="榮10-18",AJ6 ="榮06-18",AJ6 ="病14-18"  ),OR(  AK6 ="x",AK6="補",AK6="婚",AK6="公",AK6="病",AK6="事",AK6="x"  ), $AP6 =""),"18放早走",  IF(  AND(  OR(  AJ6 =""),OR(  AK6 ="x",AK6="補",AK6="婚",AK6="公",AK6="病",AK6="事",AK6="x榮*",AK6="榮",AK6="榮-22"  ), $AP6 =""),"18放",  IF(  AND(  OR(  AJ6="當日退伍"  ),OR(  AK6="退伍",AK6="退", AK6=""  ), $AP6 =""),"當日退伍",  IF(AND(  OR(AJ6="退",AJ6="退伍" ), OR(AK6="退",AK6="退伍" ), $AP6 =""),"退伍","全日勤"  )  )  )  )  )  )  )  )  )  )  ),"")</f>
        <v>全日勤</v>
      </c>
      <c r="AO47" s="76"/>
      <c r="AP47" s="63"/>
      <c r="AU47" s="63"/>
      <c r="AY47" s="63"/>
      <c r="AZ47" s="63"/>
      <c r="BA47" s="63"/>
    </row>
    <row r="48" spans="1:55">
      <c r="A48" s="66">
        <f t="shared" si="4"/>
        <v>6</v>
      </c>
      <c r="B48" s="66" t="str">
        <f t="shared" si="6"/>
        <v>邱昱銘</v>
      </c>
      <c r="C48" s="66" t="str">
        <f>IF(   (ROW(AO7)-1)&lt;=暫1!$B$2,           IF(  AND(  OR(  C7="x",C7="補"  ), OR(  D7 ="x",D7="補",D7="x榮18-22",D7="x公18-22",D7="x榮22-08"  ), $AP7 =""),"全日休",  IF(  AND(  OR(  C7="x",C7="病"  ), OR(  D7 ="病"  ), $AP7 =""),"病(事)假",  IF(  AND(  OR(  C7="x",C7="補"  ), OR(  D7 ="補"  ), $AP7 =""),"補休",  IF(  AND(  OR(  C7="x",C7="喪"  ), OR(  D7 ="喪"  ), $AP7 =""),"喪假",  IF(  AND(  OR(  C7="x",C7="婚",C7="產"  ), OR(  D7 ="婚",D7="產"  ), $AP7 =""),"婚(產)假",  IF(  AND(  OR(  C7="x",C7="公"  ), OR(  D7 ="公"  ), $AP7 =""),"公假",  IF(  AND(  OR(  C7="x",C7="補",C7="婚",C7="公",C7="病",C7="事",C7="x榮18-22"  ),OR(D7=""), $AP7 =""  ),"18收",  IF(  AND(  OR(  C7 ="榮14-18",C7 ="榮10-18",C7 ="榮06-18",C7 ="病14-18"  ),OR(  D7 ="x",D7="補",D7="婚",D7="公",D7="病",D7="事",D7="x"  ), $AP7 =""),"18放早走",  IF(  AND(  OR(  C7 =""),OR(  D7 ="x",D7="補",D7="婚",D7="公",D7="病",D7="事",D7="x榮*",D7="榮",D7="榮-22"  ), $AP7 =""),"18放",  IF(  AND(  OR(  C7="當日退伍"  ),OR(  D7="退伍",D7="退", D7=""  ), $AP7 =""),"當日退伍",  IF(AND(  OR(C7="退",C7="退伍" ), OR(D7="退",D7="退伍" ), $AP7 =""),"退伍","全日勤"  )  )  )  )  )  )  )  )  )  )  ),"")</f>
        <v>全日勤</v>
      </c>
      <c r="D48" s="66" t="str">
        <f>IF(   (ROW(AP7)-1)&lt;=暫1!$B$2,           IF(  AND(  OR(  D7="x",D7="補"  ), OR(  E7 ="x",E7="補",E7="x榮18-22",E7="x公18-22",E7="x榮22-08"  ), $AP7 =""),"全日休",  IF(  AND(  OR(  D7="x",D7="病"  ), OR(  E7 ="病"  ), $AP7 =""),"病(事)假",  IF(  AND(  OR(  D7="x",D7="補"  ), OR(  E7 ="補"  ), $AP7 =""),"補休",  IF(  AND(  OR(  D7="x",D7="喪"  ), OR(  E7 ="喪"  ), $AP7 =""),"喪假",  IF(  AND(  OR(  D7="x",D7="婚",D7="產"  ), OR(  E7 ="婚",E7="產"  ), $AP7 =""),"婚(產)假",  IF(  AND(  OR(  D7="x",D7="公"  ), OR(  E7 ="公"  ), $AP7 =""),"公假",  IF(  AND(  OR(  D7="x",D7="補",D7="婚",D7="公",D7="病",D7="事",D7="x榮18-22"  ),OR(E7=""), $AP7 =""  ),"18收",  IF(  AND(  OR(  D7 ="榮14-18",D7 ="榮10-18",D7 ="榮06-18",D7 ="病14-18"  ),OR(  E7 ="x",E7="補",E7="婚",E7="公",E7="病",E7="事",E7="x"  ), $AP7 =""),"18放早走",  IF(  AND(  OR(  D7 =""),OR(  E7 ="x",E7="補",E7="婚",E7="公",E7="病",E7="事",E7="x榮*",E7="榮",E7="榮-22"  ), $AP7 =""),"18放",  IF(  AND(  OR(  D7="當日退伍"  ),OR(  E7="退伍",E7="退", E7=""  ), $AP7 =""),"當日退伍",  IF(AND(  OR(D7="退",D7="退伍" ), OR(E7="退",E7="退伍" ), $AP7 =""),"退伍","全日勤"  )  )  )  )  )  )  )  )  )  )  ),"")</f>
        <v>全日勤</v>
      </c>
      <c r="E48" s="66" t="str">
        <f>IF(   (ROW(AQ7)-1)&lt;=暫1!$B$2,           IF(  AND(  OR(  E7="x",E7="補"  ), OR(  F7 ="x",F7="補",F7="x榮18-22",F7="x公18-22",F7="x榮22-08"  ), $AP7 =""),"全日休",  IF(  AND(  OR(  E7="x",E7="病"  ), OR(  F7 ="病"  ), $AP7 =""),"病(事)假",  IF(  AND(  OR(  E7="x",E7="補"  ), OR(  F7 ="補"  ), $AP7 =""),"補休",  IF(  AND(  OR(  E7="x",E7="喪"  ), OR(  F7 ="喪"  ), $AP7 =""),"喪假",  IF(  AND(  OR(  E7="x",E7="婚",E7="產"  ), OR(  F7 ="婚",F7="產"  ), $AP7 =""),"婚(產)假",  IF(  AND(  OR(  E7="x",E7="公"  ), OR(  F7 ="公"  ), $AP7 =""),"公假",  IF(  AND(  OR(  E7="x",E7="補",E7="婚",E7="公",E7="病",E7="事",E7="x榮18-22"  ),OR(F7=""), $AP7 =""  ),"18收",  IF(  AND(  OR(  E7 ="榮14-18",E7 ="榮10-18",E7 ="榮06-18",E7 ="病14-18"  ),OR(  F7 ="x",F7="補",F7="婚",F7="公",F7="病",F7="事",F7="x"  ), $AP7 =""),"18放早走",  IF(  AND(  OR(  E7 =""),OR(  F7 ="x",F7="補",F7="婚",F7="公",F7="病",F7="事",F7="x榮*",F7="榮",F7="榮-22"  ), $AP7 =""),"18放",  IF(  AND(  OR(  E7="當日退伍"  ),OR(  F7="退伍",F7="退", F7=""  ), $AP7 =""),"當日退伍",  IF(AND(  OR(E7="退",E7="退伍" ), OR(F7="退",F7="退伍" ), $AP7 =""),"退伍","全日勤"  )  )  )  )  )  )  )  )  )  )  ),"")</f>
        <v>全日勤</v>
      </c>
      <c r="F48" s="66" t="str">
        <f>IF(   (ROW(AR7)-1)&lt;=暫1!$B$2,           IF(  AND(  OR(  F7="x",F7="補"  ), OR(  G7 ="x",G7="補",G7="x榮18-22",G7="x公18-22",G7="x榮22-08"  ), $AP7 =""),"全日休",  IF(  AND(  OR(  F7="x",F7="病"  ), OR(  G7 ="病"  ), $AP7 =""),"病(事)假",  IF(  AND(  OR(  F7="x",F7="補"  ), OR(  G7 ="補"  ), $AP7 =""),"補休",  IF(  AND(  OR(  F7="x",F7="喪"  ), OR(  G7 ="喪"  ), $AP7 =""),"喪假",  IF(  AND(  OR(  F7="x",F7="婚",F7="產"  ), OR(  G7 ="婚",G7="產"  ), $AP7 =""),"婚(產)假",  IF(  AND(  OR(  F7="x",F7="公"  ), OR(  G7 ="公"  ), $AP7 =""),"公假",  IF(  AND(  OR(  F7="x",F7="補",F7="婚",F7="公",F7="病",F7="事",F7="x榮18-22"  ),OR(G7=""), $AP7 =""  ),"18收",  IF(  AND(  OR(  F7 ="榮14-18",F7 ="榮10-18",F7 ="榮06-18",F7 ="病14-18"  ),OR(  G7 ="x",G7="補",G7="婚",G7="公",G7="病",G7="事",G7="x"  ), $AP7 =""),"18放早走",  IF(  AND(  OR(  F7 =""),OR(  G7 ="x",G7="補",G7="婚",G7="公",G7="病",G7="事",G7="x榮*",G7="榮",G7="榮-22"  ), $AP7 =""),"18放",  IF(  AND(  OR(  F7="當日退伍"  ),OR(  G7="退伍",G7="退", G7=""  ), $AP7 =""),"當日退伍",  IF(AND(  OR(F7="退",F7="退伍" ), OR(G7="退",G7="退伍" ), $AP7 =""),"退伍","全日勤"  )  )  )  )  )  )  )  )  )  )  ),"")</f>
        <v>全日勤</v>
      </c>
      <c r="G48" s="66" t="str">
        <f>IF(   (ROW(AS7)-1)&lt;=暫1!$B$2,           IF(  AND(  OR(  G7="x",G7="補"  ), OR(  H7 ="x",H7="補",H7="x榮18-22",H7="x公18-22",H7="x榮22-08"  ), $AP7 =""),"全日休",  IF(  AND(  OR(  G7="x",G7="病"  ), OR(  H7 ="病"  ), $AP7 =""),"病(事)假",  IF(  AND(  OR(  G7="x",G7="補"  ), OR(  H7 ="補"  ), $AP7 =""),"補休",  IF(  AND(  OR(  G7="x",G7="喪"  ), OR(  H7 ="喪"  ), $AP7 =""),"喪假",  IF(  AND(  OR(  G7="x",G7="婚",G7="產"  ), OR(  H7 ="婚",H7="產"  ), $AP7 =""),"婚(產)假",  IF(  AND(  OR(  G7="x",G7="公"  ), OR(  H7 ="公"  ), $AP7 =""),"公假",  IF(  AND(  OR(  G7="x",G7="補",G7="婚",G7="公",G7="病",G7="事",G7="x榮18-22"  ),OR(H7=""), $AP7 =""  ),"18收",  IF(  AND(  OR(  G7 ="榮14-18",G7 ="榮10-18",G7 ="榮06-18",G7 ="病14-18"  ),OR(  H7 ="x",H7="補",H7="婚",H7="公",H7="病",H7="事",H7="x"  ), $AP7 =""),"18放早走",  IF(  AND(  OR(  G7 =""),OR(  H7 ="x",H7="補",H7="婚",H7="公",H7="病",H7="事",H7="x榮*",H7="榮",H7="榮-22"  ), $AP7 =""),"18放",  IF(  AND(  OR(  G7="當日退伍"  ),OR(  H7="退伍",H7="退", H7=""  ), $AP7 =""),"當日退伍",  IF(AND(  OR(G7="退",G7="退伍" ), OR(H7="退",H7="退伍" ), $AP7 =""),"退伍","全日勤"  )  )  )  )  )  )  )  )  )  )  ),"")</f>
        <v>全日勤</v>
      </c>
      <c r="H48" s="66" t="str">
        <f>IF(   (ROW(AT7)-1)&lt;=暫1!$B$2,           IF(  AND(  OR(  H7="x",H7="補"  ), OR(  I7 ="x",I7="補",I7="x榮18-22",I7="x公18-22",I7="x榮22-08"  ), $AP7 =""),"全日休",  IF(  AND(  OR(  H7="x",H7="病"  ), OR(  I7 ="病"  ), $AP7 =""),"病(事)假",  IF(  AND(  OR(  H7="x",H7="補"  ), OR(  I7 ="補"  ), $AP7 =""),"補休",  IF(  AND(  OR(  H7="x",H7="喪"  ), OR(  I7 ="喪"  ), $AP7 =""),"喪假",  IF(  AND(  OR(  H7="x",H7="婚",H7="產"  ), OR(  I7 ="婚",I7="產"  ), $AP7 =""),"婚(產)假",  IF(  AND(  OR(  H7="x",H7="公"  ), OR(  I7 ="公"  ), $AP7 =""),"公假",  IF(  AND(  OR(  H7="x",H7="補",H7="婚",H7="公",H7="病",H7="事",H7="x榮18-22"  ),OR(I7=""), $AP7 =""  ),"18收",  IF(  AND(  OR(  H7 ="榮14-18",H7 ="榮10-18",H7 ="榮06-18",H7 ="病14-18"  ),OR(  I7 ="x",I7="補",I7="婚",I7="公",I7="病",I7="事",I7="x"  ), $AP7 =""),"18放早走",  IF(  AND(  OR(  H7 =""),OR(  I7 ="x",I7="補",I7="婚",I7="公",I7="病",I7="事",I7="x榮*",I7="榮",I7="榮-22"  ), $AP7 =""),"18放",  IF(  AND(  OR(  H7="當日退伍"  ),OR(  I7="退伍",I7="退", I7=""  ), $AP7 =""),"當日退伍",  IF(AND(  OR(H7="退",H7="退伍" ), OR(I7="退",I7="退伍" ), $AP7 =""),"退伍","全日勤"  )  )  )  )  )  )  )  )  )  )  ),"")</f>
        <v>全日勤</v>
      </c>
      <c r="I48" s="66" t="str">
        <f>IF(   (ROW(AU7)-1)&lt;=暫1!$B$2,           IF(  AND(  OR(  I7="x",I7="補"  ), OR(  J7 ="x",J7="補",J7="x榮18-22",J7="x公18-22",J7="x榮22-08"  ), $AP7 =""),"全日休",  IF(  AND(  OR(  I7="x",I7="病"  ), OR(  J7 ="病"  ), $AP7 =""),"病(事)假",  IF(  AND(  OR(  I7="x",I7="補"  ), OR(  J7 ="補"  ), $AP7 =""),"補休",  IF(  AND(  OR(  I7="x",I7="喪"  ), OR(  J7 ="喪"  ), $AP7 =""),"喪假",  IF(  AND(  OR(  I7="x",I7="婚",I7="產"  ), OR(  J7 ="婚",J7="產"  ), $AP7 =""),"婚(產)假",  IF(  AND(  OR(  I7="x",I7="公"  ), OR(  J7 ="公"  ), $AP7 =""),"公假",  IF(  AND(  OR(  I7="x",I7="補",I7="婚",I7="公",I7="病",I7="事",I7="x榮18-22"  ),OR(J7=""), $AP7 =""  ),"18收",  IF(  AND(  OR(  I7 ="榮14-18",I7 ="榮10-18",I7 ="榮06-18",I7 ="病14-18"  ),OR(  J7 ="x",J7="補",J7="婚",J7="公",J7="病",J7="事",J7="x"  ), $AP7 =""),"18放早走",  IF(  AND(  OR(  I7 =""),OR(  J7 ="x",J7="補",J7="婚",J7="公",J7="病",J7="事",J7="x榮*",J7="榮",J7="榮-22"  ), $AP7 =""),"18放",  IF(  AND(  OR(  I7="當日退伍"  ),OR(  J7="退伍",J7="退", J7=""  ), $AP7 =""),"當日退伍",  IF(AND(  OR(I7="退",I7="退伍" ), OR(J7="退",J7="退伍" ), $AP7 =""),"退伍","全日勤"  )  )  )  )  )  )  )  )  )  )  ),"")</f>
        <v>全日勤</v>
      </c>
      <c r="J48" s="66" t="str">
        <f>IF(   (ROW(AV7)-1)&lt;=暫1!$B$2,           IF(  AND(  OR(  J7="x",J7="補"  ), OR(  K7 ="x",K7="補",K7="x榮18-22",K7="x公18-22",K7="x榮22-08"  ), $AP7 =""),"全日休",  IF(  AND(  OR(  J7="x",J7="病"  ), OR(  K7 ="病"  ), $AP7 =""),"病(事)假",  IF(  AND(  OR(  J7="x",J7="補"  ), OR(  K7 ="補"  ), $AP7 =""),"補休",  IF(  AND(  OR(  J7="x",J7="喪"  ), OR(  K7 ="喪"  ), $AP7 =""),"喪假",  IF(  AND(  OR(  J7="x",J7="婚",J7="產"  ), OR(  K7 ="婚",K7="產"  ), $AP7 =""),"婚(產)假",  IF(  AND(  OR(  J7="x",J7="公"  ), OR(  K7 ="公"  ), $AP7 =""),"公假",  IF(  AND(  OR(  J7="x",J7="補",J7="婚",J7="公",J7="病",J7="事",J7="x榮18-22"  ),OR(K7=""), $AP7 =""  ),"18收",  IF(  AND(  OR(  J7 ="榮14-18",J7 ="榮10-18",J7 ="榮06-18",J7 ="病14-18"  ),OR(  K7 ="x",K7="補",K7="婚",K7="公",K7="病",K7="事",K7="x"  ), $AP7 =""),"18放早走",  IF(  AND(  OR(  J7 =""),OR(  K7 ="x",K7="補",K7="婚",K7="公",K7="病",K7="事",K7="x榮*",K7="榮",K7="榮-22"  ), $AP7 =""),"18放",  IF(  AND(  OR(  J7="當日退伍"  ),OR(  K7="退伍",K7="退", K7=""  ), $AP7 =""),"當日退伍",  IF(AND(  OR(J7="退",J7="退伍" ), OR(K7="退",K7="退伍" ), $AP7 =""),"退伍","全日勤"  )  )  )  )  )  )  )  )  )  )  ),"")</f>
        <v>全日勤</v>
      </c>
      <c r="K48" s="66" t="str">
        <f>IF(   (ROW(AW7)-1)&lt;=暫1!$B$2,           IF(  AND(  OR(  K7="x",K7="補"  ), OR(  L7 ="x",L7="補",L7="x榮18-22",L7="x公18-22",L7="x榮22-08"  ), $AP7 =""),"全日休",  IF(  AND(  OR(  K7="x",K7="病"  ), OR(  L7 ="病"  ), $AP7 =""),"病(事)假",  IF(  AND(  OR(  K7="x",K7="補"  ), OR(  L7 ="補"  ), $AP7 =""),"補休",  IF(  AND(  OR(  K7="x",K7="喪"  ), OR(  L7 ="喪"  ), $AP7 =""),"喪假",  IF(  AND(  OR(  K7="x",K7="婚",K7="產"  ), OR(  L7 ="婚",L7="產"  ), $AP7 =""),"婚(產)假",  IF(  AND(  OR(  K7="x",K7="公"  ), OR(  L7 ="公"  ), $AP7 =""),"公假",  IF(  AND(  OR(  K7="x",K7="補",K7="婚",K7="公",K7="病",K7="事",K7="x榮18-22"  ),OR(L7=""), $AP7 =""  ),"18收",  IF(  AND(  OR(  K7 ="榮14-18",K7 ="榮10-18",K7 ="榮06-18",K7 ="病14-18"  ),OR(  L7 ="x",L7="補",L7="婚",L7="公",L7="病",L7="事",L7="x"  ), $AP7 =""),"18放早走",  IF(  AND(  OR(  K7 =""),OR(  L7 ="x",L7="補",L7="婚",L7="公",L7="病",L7="事",L7="x榮*",L7="榮",L7="榮-22"  ), $AP7 =""),"18放",  IF(  AND(  OR(  K7="當日退伍"  ),OR(  L7="退伍",L7="退", L7=""  ), $AP7 =""),"當日退伍",  IF(AND(  OR(K7="退",K7="退伍" ), OR(L7="退",L7="退伍" ), $AP7 =""),"退伍","全日勤"  )  )  )  )  )  )  )  )  )  )  ),"")</f>
        <v>全日勤</v>
      </c>
      <c r="L48" s="66" t="str">
        <f>IF(   (ROW(AX7)-1)&lt;=暫1!$B$2,           IF(  AND(  OR(  L7="x",L7="補"  ), OR(  M7 ="x",M7="補",M7="x榮18-22",M7="x公18-22",M7="x榮22-08"  ), $AP7 =""),"全日休",  IF(  AND(  OR(  L7="x",L7="病"  ), OR(  M7 ="病"  ), $AP7 =""),"病(事)假",  IF(  AND(  OR(  L7="x",L7="補"  ), OR(  M7 ="補"  ), $AP7 =""),"補休",  IF(  AND(  OR(  L7="x",L7="喪"  ), OR(  M7 ="喪"  ), $AP7 =""),"喪假",  IF(  AND(  OR(  L7="x",L7="婚",L7="產"  ), OR(  M7 ="婚",M7="產"  ), $AP7 =""),"婚(產)假",  IF(  AND(  OR(  L7="x",L7="公"  ), OR(  M7 ="公"  ), $AP7 =""),"公假",  IF(  AND(  OR(  L7="x",L7="補",L7="婚",L7="公",L7="病",L7="事",L7="x榮18-22"  ),OR(M7=""), $AP7 =""  ),"18收",  IF(  AND(  OR(  L7 ="榮14-18",L7 ="榮10-18",L7 ="榮06-18",L7 ="病14-18"  ),OR(  M7 ="x",M7="補",M7="婚",M7="公",M7="病",M7="事",M7="x"  ), $AP7 =""),"18放早走",  IF(  AND(  OR(  L7 =""),OR(  M7 ="x",M7="補",M7="婚",M7="公",M7="病",M7="事",M7="x榮*",M7="榮",M7="榮-22"  ), $AP7 =""),"18放",  IF(  AND(  OR(  L7="當日退伍"  ),OR(  M7="退伍",M7="退", M7=""  ), $AP7 =""),"當日退伍",  IF(AND(  OR(L7="退",L7="退伍" ), OR(M7="退",M7="退伍" ), $AP7 =""),"退伍","全日勤"  )  )  )  )  )  )  )  )  )  )  ),"")</f>
        <v>全日勤</v>
      </c>
      <c r="M48" s="66" t="str">
        <f>IF(   (ROW(AY7)-1)&lt;=暫1!$B$2,           IF(  AND(  OR(  M7="x",M7="補"  ), OR(  N7 ="x",N7="補",N7="x榮18-22",N7="x公18-22",N7="x榮22-08"  ), $AP7 =""),"全日休",  IF(  AND(  OR(  M7="x",M7="病"  ), OR(  N7 ="病"  ), $AP7 =""),"病(事)假",  IF(  AND(  OR(  M7="x",M7="補"  ), OR(  N7 ="補"  ), $AP7 =""),"補休",  IF(  AND(  OR(  M7="x",M7="喪"  ), OR(  N7 ="喪"  ), $AP7 =""),"喪假",  IF(  AND(  OR(  M7="x",M7="婚",M7="產"  ), OR(  N7 ="婚",N7="產"  ), $AP7 =""),"婚(產)假",  IF(  AND(  OR(  M7="x",M7="公"  ), OR(  N7 ="公"  ), $AP7 =""),"公假",  IF(  AND(  OR(  M7="x",M7="補",M7="婚",M7="公",M7="病",M7="事",M7="x榮18-22"  ),OR(N7=""), $AP7 =""  ),"18收",  IF(  AND(  OR(  M7 ="榮14-18",M7 ="榮10-18",M7 ="榮06-18",M7 ="病14-18"  ),OR(  N7 ="x",N7="補",N7="婚",N7="公",N7="病",N7="事",N7="x"  ), $AP7 =""),"18放早走",  IF(  AND(  OR(  M7 =""),OR(  N7 ="x",N7="補",N7="婚",N7="公",N7="病",N7="事",N7="x榮*",N7="榮",N7="榮-22"  ), $AP7 =""),"18放",  IF(  AND(  OR(  M7="當日退伍"  ),OR(  N7="退伍",N7="退", N7=""  ), $AP7 =""),"當日退伍",  IF(AND(  OR(M7="退",M7="退伍" ), OR(N7="退",N7="退伍" ), $AP7 =""),"退伍","全日勤"  )  )  )  )  )  )  )  )  )  )  ),"")</f>
        <v>全日勤</v>
      </c>
      <c r="N48" s="66" t="str">
        <f>IF(   (ROW(AZ7)-1)&lt;=暫1!$B$2,           IF(  AND(  OR(  N7="x",N7="補"  ), OR(  O7 ="x",O7="補",O7="x榮18-22",O7="x公18-22",O7="x榮22-08"  ), $AP7 =""),"全日休",  IF(  AND(  OR(  N7="x",N7="病"  ), OR(  O7 ="病"  ), $AP7 =""),"病(事)假",  IF(  AND(  OR(  N7="x",N7="補"  ), OR(  O7 ="補"  ), $AP7 =""),"補休",  IF(  AND(  OR(  N7="x",N7="喪"  ), OR(  O7 ="喪"  ), $AP7 =""),"喪假",  IF(  AND(  OR(  N7="x",N7="婚",N7="產"  ), OR(  O7 ="婚",O7="產"  ), $AP7 =""),"婚(產)假",  IF(  AND(  OR(  N7="x",N7="公"  ), OR(  O7 ="公"  ), $AP7 =""),"公假",  IF(  AND(  OR(  N7="x",N7="補",N7="婚",N7="公",N7="病",N7="事",N7="x榮18-22"  ),OR(O7=""), $AP7 =""  ),"18收",  IF(  AND(  OR(  N7 ="榮14-18",N7 ="榮10-18",N7 ="榮06-18",N7 ="病14-18"  ),OR(  O7 ="x",O7="補",O7="婚",O7="公",O7="病",O7="事",O7="x"  ), $AP7 =""),"18放早走",  IF(  AND(  OR(  N7 =""),OR(  O7 ="x",O7="補",O7="婚",O7="公",O7="病",O7="事",O7="x榮*",O7="榮",O7="榮-22"  ), $AP7 =""),"18放",  IF(  AND(  OR(  N7="當日退伍"  ),OR(  O7="退伍",O7="退", O7=""  ), $AP7 =""),"當日退伍",  IF(AND(  OR(N7="退",N7="退伍" ), OR(O7="退",O7="退伍" ), $AP7 =""),"退伍","全日勤"  )  )  )  )  )  )  )  )  )  )  ),"")</f>
        <v>全日勤</v>
      </c>
      <c r="O48" s="66" t="str">
        <f>IF(   (ROW(BA7)-1)&lt;=暫1!$B$2,           IF(  AND(  OR(  O7="x",O7="補"  ), OR(  P7 ="x",P7="補",P7="x榮18-22",P7="x公18-22",P7="x榮22-08"  ), $AP7 =""),"全日休",  IF(  AND(  OR(  O7="x",O7="病"  ), OR(  P7 ="病"  ), $AP7 =""),"病(事)假",  IF(  AND(  OR(  O7="x",O7="補"  ), OR(  P7 ="補"  ), $AP7 =""),"補休",  IF(  AND(  OR(  O7="x",O7="喪"  ), OR(  P7 ="喪"  ), $AP7 =""),"喪假",  IF(  AND(  OR(  O7="x",O7="婚",O7="產"  ), OR(  P7 ="婚",P7="產"  ), $AP7 =""),"婚(產)假",  IF(  AND(  OR(  O7="x",O7="公"  ), OR(  P7 ="公"  ), $AP7 =""),"公假",  IF(  AND(  OR(  O7="x",O7="補",O7="婚",O7="公",O7="病",O7="事",O7="x榮18-22"  ),OR(P7=""), $AP7 =""  ),"18收",  IF(  AND(  OR(  O7 ="榮14-18",O7 ="榮10-18",O7 ="榮06-18",O7 ="病14-18"  ),OR(  P7 ="x",P7="補",P7="婚",P7="公",P7="病",P7="事",P7="x"  ), $AP7 =""),"18放早走",  IF(  AND(  OR(  O7 =""),OR(  P7 ="x",P7="補",P7="婚",P7="公",P7="病",P7="事",P7="x榮*",P7="榮",P7="榮-22"  ), $AP7 =""),"18放",  IF(  AND(  OR(  O7="當日退伍"  ),OR(  P7="退伍",P7="退", P7=""  ), $AP7 =""),"當日退伍",  IF(AND(  OR(O7="退",O7="退伍" ), OR(P7="退",P7="退伍" ), $AP7 =""),"退伍","全日勤"  )  )  )  )  )  )  )  )  )  )  ),"")</f>
        <v>全日勤</v>
      </c>
      <c r="P48" s="66" t="str">
        <f>IF(   (ROW(BB7)-1)&lt;=暫1!$B$2,           IF(  AND(  OR(  P7="x",P7="補"  ), OR(  Q7 ="x",Q7="補",Q7="x榮18-22",Q7="x公18-22",Q7="x榮22-08"  ), $AP7 =""),"全日休",  IF(  AND(  OR(  P7="x",P7="病"  ), OR(  Q7 ="病"  ), $AP7 =""),"病(事)假",  IF(  AND(  OR(  P7="x",P7="補"  ), OR(  Q7 ="補"  ), $AP7 =""),"補休",  IF(  AND(  OR(  P7="x",P7="喪"  ), OR(  Q7 ="喪"  ), $AP7 =""),"喪假",  IF(  AND(  OR(  P7="x",P7="婚",P7="產"  ), OR(  Q7 ="婚",Q7="產"  ), $AP7 =""),"婚(產)假",  IF(  AND(  OR(  P7="x",P7="公"  ), OR(  Q7 ="公"  ), $AP7 =""),"公假",  IF(  AND(  OR(  P7="x",P7="補",P7="婚",P7="公",P7="病",P7="事",P7="x榮18-22"  ),OR(Q7=""), $AP7 =""  ),"18收",  IF(  AND(  OR(  P7 ="榮14-18",P7 ="榮10-18",P7 ="榮06-18",P7 ="病14-18"  ),OR(  Q7 ="x",Q7="補",Q7="婚",Q7="公",Q7="病",Q7="事",Q7="x"  ), $AP7 =""),"18放早走",  IF(  AND(  OR(  P7 =""),OR(  Q7 ="x",Q7="補",Q7="婚",Q7="公",Q7="病",Q7="事",Q7="x榮*",Q7="榮",Q7="榮-22"  ), $AP7 =""),"18放",  IF(  AND(  OR(  P7="當日退伍"  ),OR(  Q7="退伍",Q7="退", Q7=""  ), $AP7 =""),"當日退伍",  IF(AND(  OR(P7="退",P7="退伍" ), OR(Q7="退",Q7="退伍" ), $AP7 =""),"退伍","全日勤"  )  )  )  )  )  )  )  )  )  )  ),"")</f>
        <v>全日勤</v>
      </c>
      <c r="Q48" s="66" t="str">
        <f>IF(   (ROW(BC7)-1)&lt;=暫1!$B$2,           IF(  AND(  OR(  Q7="x",Q7="補"  ), OR(  R7 ="x",R7="補",R7="x榮18-22",R7="x公18-22",R7="x榮22-08"  ), $AP7 =""),"全日休",  IF(  AND(  OR(  Q7="x",Q7="病"  ), OR(  R7 ="病"  ), $AP7 =""),"病(事)假",  IF(  AND(  OR(  Q7="x",Q7="補"  ), OR(  R7 ="補"  ), $AP7 =""),"補休",  IF(  AND(  OR(  Q7="x",Q7="喪"  ), OR(  R7 ="喪"  ), $AP7 =""),"喪假",  IF(  AND(  OR(  Q7="x",Q7="婚",Q7="產"  ), OR(  R7 ="婚",R7="產"  ), $AP7 =""),"婚(產)假",  IF(  AND(  OR(  Q7="x",Q7="公"  ), OR(  R7 ="公"  ), $AP7 =""),"公假",  IF(  AND(  OR(  Q7="x",Q7="補",Q7="婚",Q7="公",Q7="病",Q7="事",Q7="x榮18-22"  ),OR(R7=""), $AP7 =""  ),"18收",  IF(  AND(  OR(  Q7 ="榮14-18",Q7 ="榮10-18",Q7 ="榮06-18",Q7 ="病14-18"  ),OR(  R7 ="x",R7="補",R7="婚",R7="公",R7="病",R7="事",R7="x"  ), $AP7 =""),"18放早走",  IF(  AND(  OR(  Q7 =""),OR(  R7 ="x",R7="補",R7="婚",R7="公",R7="病",R7="事",R7="x榮*",R7="榮",R7="榮-22"  ), $AP7 =""),"18放",  IF(  AND(  OR(  Q7="當日退伍"  ),OR(  R7="退伍",R7="退", R7=""  ), $AP7 =""),"當日退伍",  IF(AND(  OR(Q7="退",Q7="退伍" ), OR(R7="退",R7="退伍" ), $AP7 =""),"退伍","全日勤"  )  )  )  )  )  )  )  )  )  )  ),"")</f>
        <v>全日勤</v>
      </c>
      <c r="R48" s="66" t="str">
        <f>IF(   (ROW(BD7)-1)&lt;=暫1!$B$2,           IF(  AND(  OR(  R7="x",R7="補"  ), OR(  S7 ="x",S7="補",S7="x榮18-22",S7="x公18-22",S7="x榮22-08"  ), $AP7 =""),"全日休",  IF(  AND(  OR(  R7="x",R7="病"  ), OR(  S7 ="病"  ), $AP7 =""),"病(事)假",  IF(  AND(  OR(  R7="x",R7="補"  ), OR(  S7 ="補"  ), $AP7 =""),"補休",  IF(  AND(  OR(  R7="x",R7="喪"  ), OR(  S7 ="喪"  ), $AP7 =""),"喪假",  IF(  AND(  OR(  R7="x",R7="婚",R7="產"  ), OR(  S7 ="婚",S7="產"  ), $AP7 =""),"婚(產)假",  IF(  AND(  OR(  R7="x",R7="公"  ), OR(  S7 ="公"  ), $AP7 =""),"公假",  IF(  AND(  OR(  R7="x",R7="補",R7="婚",R7="公",R7="病",R7="事",R7="x榮18-22"  ),OR(S7=""), $AP7 =""  ),"18收",  IF(  AND(  OR(  R7 ="榮14-18",R7 ="榮10-18",R7 ="榮06-18",R7 ="病14-18"  ),OR(  S7 ="x",S7="補",S7="婚",S7="公",S7="病",S7="事",S7="x"  ), $AP7 =""),"18放早走",  IF(  AND(  OR(  R7 =""),OR(  S7 ="x",S7="補",S7="婚",S7="公",S7="病",S7="事",S7="x榮*",S7="榮",S7="榮-22"  ), $AP7 =""),"18放",  IF(  AND(  OR(  R7="當日退伍"  ),OR(  S7="退伍",S7="退", S7=""  ), $AP7 =""),"當日退伍",  IF(AND(  OR(R7="退",R7="退伍" ), OR(S7="退",S7="退伍" ), $AP7 =""),"退伍","全日勤"  )  )  )  )  )  )  )  )  )  )  ),"")</f>
        <v>全日勤</v>
      </c>
      <c r="S48" s="66" t="str">
        <f>IF(   (ROW(BE7)-1)&lt;=暫1!$B$2,           IF(  AND(  OR(  S7="x",S7="補"  ), OR(  T7 ="x",T7="補",T7="x榮18-22",T7="x公18-22",T7="x榮22-08"  ), $AP7 =""),"全日休",  IF(  AND(  OR(  S7="x",S7="病"  ), OR(  T7 ="病"  ), $AP7 =""),"病(事)假",  IF(  AND(  OR(  S7="x",S7="補"  ), OR(  T7 ="補"  ), $AP7 =""),"補休",  IF(  AND(  OR(  S7="x",S7="喪"  ), OR(  T7 ="喪"  ), $AP7 =""),"喪假",  IF(  AND(  OR(  S7="x",S7="婚",S7="產"  ), OR(  T7 ="婚",T7="產"  ), $AP7 =""),"婚(產)假",  IF(  AND(  OR(  S7="x",S7="公"  ), OR(  T7 ="公"  ), $AP7 =""),"公假",  IF(  AND(  OR(  S7="x",S7="補",S7="婚",S7="公",S7="病",S7="事",S7="x榮18-22"  ),OR(T7=""), $AP7 =""  ),"18收",  IF(  AND(  OR(  S7 ="榮14-18",S7 ="榮10-18",S7 ="榮06-18",S7 ="病14-18"  ),OR(  T7 ="x",T7="補",T7="婚",T7="公",T7="病",T7="事",T7="x"  ), $AP7 =""),"18放早走",  IF(  AND(  OR(  S7 =""),OR(  T7 ="x",T7="補",T7="婚",T7="公",T7="病",T7="事",T7="x榮*",T7="榮",T7="榮-22"  ), $AP7 =""),"18放",  IF(  AND(  OR(  S7="當日退伍"  ),OR(  T7="退伍",T7="退", T7=""  ), $AP7 =""),"當日退伍",  IF(AND(  OR(S7="退",S7="退伍" ), OR(T7="退",T7="退伍" ), $AP7 =""),"退伍","全日勤"  )  )  )  )  )  )  )  )  )  )  ),"")</f>
        <v>全日勤</v>
      </c>
      <c r="T48" s="66" t="str">
        <f>IF(   (ROW(BF7)-1)&lt;=暫1!$B$2,           IF(  AND(  OR(  T7="x",T7="補"  ), OR(  U7 ="x",U7="補",U7="x榮18-22",U7="x公18-22",U7="x榮22-08"  ), $AP7 =""),"全日休",  IF(  AND(  OR(  T7="x",T7="病"  ), OR(  U7 ="病"  ), $AP7 =""),"病(事)假",  IF(  AND(  OR(  T7="x",T7="補"  ), OR(  U7 ="補"  ), $AP7 =""),"補休",  IF(  AND(  OR(  T7="x",T7="喪"  ), OR(  U7 ="喪"  ), $AP7 =""),"喪假",  IF(  AND(  OR(  T7="x",T7="婚",T7="產"  ), OR(  U7 ="婚",U7="產"  ), $AP7 =""),"婚(產)假",  IF(  AND(  OR(  T7="x",T7="公"  ), OR(  U7 ="公"  ), $AP7 =""),"公假",  IF(  AND(  OR(  T7="x",T7="補",T7="婚",T7="公",T7="病",T7="事",T7="x榮18-22"  ),OR(U7=""), $AP7 =""  ),"18收",  IF(  AND(  OR(  T7 ="榮14-18",T7 ="榮10-18",T7 ="榮06-18",T7 ="病14-18"  ),OR(  U7 ="x",U7="補",U7="婚",U7="公",U7="病",U7="事",U7="x"  ), $AP7 =""),"18放早走",  IF(  AND(  OR(  T7 =""),OR(  U7 ="x",U7="補",U7="婚",U7="公",U7="病",U7="事",U7="x榮*",U7="榮",U7="榮-22"  ), $AP7 =""),"18放",  IF(  AND(  OR(  T7="當日退伍"  ),OR(  U7="退伍",U7="退", U7=""  ), $AP7 =""),"當日退伍",  IF(AND(  OR(T7="退",T7="退伍" ), OR(U7="退",U7="退伍" ), $AP7 =""),"退伍","全日勤"  )  )  )  )  )  )  )  )  )  )  ),"")</f>
        <v>全日勤</v>
      </c>
      <c r="U48" s="66" t="str">
        <f>IF(   (ROW(BG7)-1)&lt;=暫1!$B$2,           IF(  AND(  OR(  U7="x",U7="補"  ), OR(  V7 ="x",V7="補",V7="x榮18-22",V7="x公18-22",V7="x榮22-08"  ), $AP7 =""),"全日休",  IF(  AND(  OR(  U7="x",U7="病"  ), OR(  V7 ="病"  ), $AP7 =""),"病(事)假",  IF(  AND(  OR(  U7="x",U7="補"  ), OR(  V7 ="補"  ), $AP7 =""),"補休",  IF(  AND(  OR(  U7="x",U7="喪"  ), OR(  V7 ="喪"  ), $AP7 =""),"喪假",  IF(  AND(  OR(  U7="x",U7="婚",U7="產"  ), OR(  V7 ="婚",V7="產"  ), $AP7 =""),"婚(產)假",  IF(  AND(  OR(  U7="x",U7="公"  ), OR(  V7 ="公"  ), $AP7 =""),"公假",  IF(  AND(  OR(  U7="x",U7="補",U7="婚",U7="公",U7="病",U7="事",U7="x榮18-22"  ),OR(V7=""), $AP7 =""  ),"18收",  IF(  AND(  OR(  U7 ="榮14-18",U7 ="榮10-18",U7 ="榮06-18",U7 ="病14-18"  ),OR(  V7 ="x",V7="補",V7="婚",V7="公",V7="病",V7="事",V7="x"  ), $AP7 =""),"18放早走",  IF(  AND(  OR(  U7 =""),OR(  V7 ="x",V7="補",V7="婚",V7="公",V7="病",V7="事",V7="x榮*",V7="榮",V7="榮-22"  ), $AP7 =""),"18放",  IF(  AND(  OR(  U7="當日退伍"  ),OR(  V7="退伍",V7="退", V7=""  ), $AP7 =""),"當日退伍",  IF(AND(  OR(U7="退",U7="退伍" ), OR(V7="退",V7="退伍" ), $AP7 =""),"退伍","全日勤"  )  )  )  )  )  )  )  )  )  )  ),"")</f>
        <v>全日勤</v>
      </c>
      <c r="V48" s="66" t="str">
        <f>IF(   (ROW(BH7)-1)&lt;=暫1!$B$2,           IF(  AND(  OR(  V7="x",V7="補"  ), OR(  W7 ="x",W7="補",W7="x榮18-22",W7="x公18-22",W7="x榮22-08"  ), $AP7 =""),"全日休",  IF(  AND(  OR(  V7="x",V7="病"  ), OR(  W7 ="病"  ), $AP7 =""),"病(事)假",  IF(  AND(  OR(  V7="x",V7="補"  ), OR(  W7 ="補"  ), $AP7 =""),"補休",  IF(  AND(  OR(  V7="x",V7="喪"  ), OR(  W7 ="喪"  ), $AP7 =""),"喪假",  IF(  AND(  OR(  V7="x",V7="婚",V7="產"  ), OR(  W7 ="婚",W7="產"  ), $AP7 =""),"婚(產)假",  IF(  AND(  OR(  V7="x",V7="公"  ), OR(  W7 ="公"  ), $AP7 =""),"公假",  IF(  AND(  OR(  V7="x",V7="補",V7="婚",V7="公",V7="病",V7="事",V7="x榮18-22"  ),OR(W7=""), $AP7 =""  ),"18收",  IF(  AND(  OR(  V7 ="榮14-18",V7 ="榮10-18",V7 ="榮06-18",V7 ="病14-18"  ),OR(  W7 ="x",W7="補",W7="婚",W7="公",W7="病",W7="事",W7="x"  ), $AP7 =""),"18放早走",  IF(  AND(  OR(  V7 =""),OR(  W7 ="x",W7="補",W7="婚",W7="公",W7="病",W7="事",W7="x榮*",W7="榮",W7="榮-22"  ), $AP7 =""),"18放",  IF(  AND(  OR(  V7="當日退伍"  ),OR(  W7="退伍",W7="退", W7=""  ), $AP7 =""),"當日退伍",  IF(AND(  OR(V7="退",V7="退伍" ), OR(W7="退",W7="退伍" ), $AP7 =""),"退伍","全日勤"  )  )  )  )  )  )  )  )  )  )  ),"")</f>
        <v>全日勤</v>
      </c>
      <c r="W48" s="66" t="str">
        <f>IF(   (ROW(BI7)-1)&lt;=暫1!$B$2,           IF(  AND(  OR(  W7="x",W7="補"  ), OR(  X7 ="x",X7="補",X7="x榮18-22",X7="x公18-22",X7="x榮22-08"  ), $AP7 =""),"全日休",  IF(  AND(  OR(  W7="x",W7="病"  ), OR(  X7 ="病"  ), $AP7 =""),"病(事)假",  IF(  AND(  OR(  W7="x",W7="補"  ), OR(  X7 ="補"  ), $AP7 =""),"補休",  IF(  AND(  OR(  W7="x",W7="喪"  ), OR(  X7 ="喪"  ), $AP7 =""),"喪假",  IF(  AND(  OR(  W7="x",W7="婚",W7="產"  ), OR(  X7 ="婚",X7="產"  ), $AP7 =""),"婚(產)假",  IF(  AND(  OR(  W7="x",W7="公"  ), OR(  X7 ="公"  ), $AP7 =""),"公假",  IF(  AND(  OR(  W7="x",W7="補",W7="婚",W7="公",W7="病",W7="事",W7="x榮18-22"  ),OR(X7=""), $AP7 =""  ),"18收",  IF(  AND(  OR(  W7 ="榮14-18",W7 ="榮10-18",W7 ="榮06-18",W7 ="病14-18"  ),OR(  X7 ="x",X7="補",X7="婚",X7="公",X7="病",X7="事",X7="x"  ), $AP7 =""),"18放早走",  IF(  AND(  OR(  W7 =""),OR(  X7 ="x",X7="補",X7="婚",X7="公",X7="病",X7="事",X7="x榮*",X7="榮",X7="榮-22"  ), $AP7 =""),"18放",  IF(  AND(  OR(  W7="當日退伍"  ),OR(  X7="退伍",X7="退", X7=""  ), $AP7 =""),"當日退伍",  IF(AND(  OR(W7="退",W7="退伍" ), OR(X7="退",X7="退伍" ), $AP7 =""),"退伍","全日勤"  )  )  )  )  )  )  )  )  )  )  ),"")</f>
        <v>全日勤</v>
      </c>
      <c r="X48" s="66" t="str">
        <f>IF(   (ROW(BJ7)-1)&lt;=暫1!$B$2,           IF(  AND(  OR(  X7="x",X7="補"  ), OR(  Y7 ="x",Y7="補",Y7="x榮18-22",Y7="x公18-22",Y7="x榮22-08"  ), $AP7 =""),"全日休",  IF(  AND(  OR(  X7="x",X7="病"  ), OR(  Y7 ="病"  ), $AP7 =""),"病(事)假",  IF(  AND(  OR(  X7="x",X7="補"  ), OR(  Y7 ="補"  ), $AP7 =""),"補休",  IF(  AND(  OR(  X7="x",X7="喪"  ), OR(  Y7 ="喪"  ), $AP7 =""),"喪假",  IF(  AND(  OR(  X7="x",X7="婚",X7="產"  ), OR(  Y7 ="婚",Y7="產"  ), $AP7 =""),"婚(產)假",  IF(  AND(  OR(  X7="x",X7="公"  ), OR(  Y7 ="公"  ), $AP7 =""),"公假",  IF(  AND(  OR(  X7="x",X7="補",X7="婚",X7="公",X7="病",X7="事",X7="x榮18-22"  ),OR(Y7=""), $AP7 =""  ),"18收",  IF(  AND(  OR(  X7 ="榮14-18",X7 ="榮10-18",X7 ="榮06-18",X7 ="病14-18"  ),OR(  Y7 ="x",Y7="補",Y7="婚",Y7="公",Y7="病",Y7="事",Y7="x"  ), $AP7 =""),"18放早走",  IF(  AND(  OR(  X7 =""),OR(  Y7 ="x",Y7="補",Y7="婚",Y7="公",Y7="病",Y7="事",Y7="x榮*",Y7="榮",Y7="榮-22"  ), $AP7 =""),"18放",  IF(  AND(  OR(  X7="當日退伍"  ),OR(  Y7="退伍",Y7="退", Y7=""  ), $AP7 =""),"當日退伍",  IF(AND(  OR(X7="退",X7="退伍" ), OR(Y7="退",Y7="退伍" ), $AP7 =""),"退伍","全日勤"  )  )  )  )  )  )  )  )  )  )  ),"")</f>
        <v>全日勤</v>
      </c>
      <c r="Y48" s="66" t="str">
        <f>IF(   (ROW(BK7)-1)&lt;=暫1!$B$2,           IF(  AND(  OR(  Y7="x",Y7="補"  ), OR(  Z7 ="x",Z7="補",Z7="x榮18-22",Z7="x公18-22",Z7="x榮22-08"  ), $AP7 =""),"全日休",  IF(  AND(  OR(  Y7="x",Y7="病"  ), OR(  Z7 ="病"  ), $AP7 =""),"病(事)假",  IF(  AND(  OR(  Y7="x",Y7="補"  ), OR(  Z7 ="補"  ), $AP7 =""),"補休",  IF(  AND(  OR(  Y7="x",Y7="喪"  ), OR(  Z7 ="喪"  ), $AP7 =""),"喪假",  IF(  AND(  OR(  Y7="x",Y7="婚",Y7="產"  ), OR(  Z7 ="婚",Z7="產"  ), $AP7 =""),"婚(產)假",  IF(  AND(  OR(  Y7="x",Y7="公"  ), OR(  Z7 ="公"  ), $AP7 =""),"公假",  IF(  AND(  OR(  Y7="x",Y7="補",Y7="婚",Y7="公",Y7="病",Y7="事",Y7="x榮18-22"  ),OR(Z7=""), $AP7 =""  ),"18收",  IF(  AND(  OR(  Y7 ="榮14-18",Y7 ="榮10-18",Y7 ="榮06-18",Y7 ="病14-18"  ),OR(  Z7 ="x",Z7="補",Z7="婚",Z7="公",Z7="病",Z7="事",Z7="x"  ), $AP7 =""),"18放早走",  IF(  AND(  OR(  Y7 =""),OR(  Z7 ="x",Z7="補",Z7="婚",Z7="公",Z7="病",Z7="事",Z7="x榮*",Z7="榮",Z7="榮-22"  ), $AP7 =""),"18放",  IF(  AND(  OR(  Y7="當日退伍"  ),OR(  Z7="退伍",Z7="退", Z7=""  ), $AP7 =""),"當日退伍",  IF(AND(  OR(Y7="退",Y7="退伍" ), OR(Z7="退",Z7="退伍" ), $AP7 =""),"退伍","全日勤"  )  )  )  )  )  )  )  )  )  )  ),"")</f>
        <v>全日勤</v>
      </c>
      <c r="Z48" s="66" t="str">
        <f>IF(   (ROW(BL7)-1)&lt;=暫1!$B$2,           IF(  AND(  OR(  Z7="x",Z7="補"  ), OR(  AA7 ="x",AA7="補",AA7="x榮18-22",AA7="x公18-22",AA7="x榮22-08"  ), $AP7 =""),"全日休",  IF(  AND(  OR(  Z7="x",Z7="病"  ), OR(  AA7 ="病"  ), $AP7 =""),"病(事)假",  IF(  AND(  OR(  Z7="x",Z7="補"  ), OR(  AA7 ="補"  ), $AP7 =""),"補休",  IF(  AND(  OR(  Z7="x",Z7="喪"  ), OR(  AA7 ="喪"  ), $AP7 =""),"喪假",  IF(  AND(  OR(  Z7="x",Z7="婚",Z7="產"  ), OR(  AA7 ="婚",AA7="產"  ), $AP7 =""),"婚(產)假",  IF(  AND(  OR(  Z7="x",Z7="公"  ), OR(  AA7 ="公"  ), $AP7 =""),"公假",  IF(  AND(  OR(  Z7="x",Z7="補",Z7="婚",Z7="公",Z7="病",Z7="事",Z7="x榮18-22"  ),OR(AA7=""), $AP7 =""  ),"18收",  IF(  AND(  OR(  Z7 ="榮14-18",Z7 ="榮10-18",Z7 ="榮06-18",Z7 ="病14-18"  ),OR(  AA7 ="x",AA7="補",AA7="婚",AA7="公",AA7="病",AA7="事",AA7="x"  ), $AP7 =""),"18放早走",  IF(  AND(  OR(  Z7 =""),OR(  AA7 ="x",AA7="補",AA7="婚",AA7="公",AA7="病",AA7="事",AA7="x榮*",AA7="榮",AA7="榮-22"  ), $AP7 =""),"18放",  IF(  AND(  OR(  Z7="當日退伍"  ),OR(  AA7="退伍",AA7="退", AA7=""  ), $AP7 =""),"當日退伍",  IF(AND(  OR(Z7="退",Z7="退伍" ), OR(AA7="退",AA7="退伍" ), $AP7 =""),"退伍","全日勤"  )  )  )  )  )  )  )  )  )  )  ),"")</f>
        <v>全日勤</v>
      </c>
      <c r="AA48" s="66" t="str">
        <f>IF(   (ROW(BM7)-1)&lt;=暫1!$B$2,           IF(  AND(  OR(  AA7="x",AA7="補"  ), OR(  AB7 ="x",AB7="補",AB7="x榮18-22",AB7="x公18-22",AB7="x榮22-08"  ), $AP7 =""),"全日休",  IF(  AND(  OR(  AA7="x",AA7="病"  ), OR(  AB7 ="病"  ), $AP7 =""),"病(事)假",  IF(  AND(  OR(  AA7="x",AA7="補"  ), OR(  AB7 ="補"  ), $AP7 =""),"補休",  IF(  AND(  OR(  AA7="x",AA7="喪"  ), OR(  AB7 ="喪"  ), $AP7 =""),"喪假",  IF(  AND(  OR(  AA7="x",AA7="婚",AA7="產"  ), OR(  AB7 ="婚",AB7="產"  ), $AP7 =""),"婚(產)假",  IF(  AND(  OR(  AA7="x",AA7="公"  ), OR(  AB7 ="公"  ), $AP7 =""),"公假",  IF(  AND(  OR(  AA7="x",AA7="補",AA7="婚",AA7="公",AA7="病",AA7="事",AA7="x榮18-22"  ),OR(AB7=""), $AP7 =""  ),"18收",  IF(  AND(  OR(  AA7 ="榮14-18",AA7 ="榮10-18",AA7 ="榮06-18",AA7 ="病14-18"  ),OR(  AB7 ="x",AB7="補",AB7="婚",AB7="公",AB7="病",AB7="事",AB7="x"  ), $AP7 =""),"18放早走",  IF(  AND(  OR(  AA7 =""),OR(  AB7 ="x",AB7="補",AB7="婚",AB7="公",AB7="病",AB7="事",AB7="x榮*",AB7="榮",AB7="榮-22"  ), $AP7 =""),"18放",  IF(  AND(  OR(  AA7="當日退伍"  ),OR(  AB7="退伍",AB7="退", AB7=""  ), $AP7 =""),"當日退伍",  IF(AND(  OR(AA7="退",AA7="退伍" ), OR(AB7="退",AB7="退伍" ), $AP7 =""),"退伍","全日勤"  )  )  )  )  )  )  )  )  )  )  ),"")</f>
        <v>全日勤</v>
      </c>
      <c r="AB48" s="66" t="str">
        <f>IF(   (ROW(BN7)-1)&lt;=暫1!$B$2,           IF(  AND(  OR(  AB7="x",AB7="補"  ), OR(  AC7 ="x",AC7="補",AC7="x榮18-22",AC7="x公18-22",AC7="x榮22-08"  ), $AP7 =""),"全日休",  IF(  AND(  OR(  AB7="x",AB7="病"  ), OR(  AC7 ="病"  ), $AP7 =""),"病(事)假",  IF(  AND(  OR(  AB7="x",AB7="補"  ), OR(  AC7 ="補"  ), $AP7 =""),"補休",  IF(  AND(  OR(  AB7="x",AB7="喪"  ), OR(  AC7 ="喪"  ), $AP7 =""),"喪假",  IF(  AND(  OR(  AB7="x",AB7="婚",AB7="產"  ), OR(  AC7 ="婚",AC7="產"  ), $AP7 =""),"婚(產)假",  IF(  AND(  OR(  AB7="x",AB7="公"  ), OR(  AC7 ="公"  ), $AP7 =""),"公假",  IF(  AND(  OR(  AB7="x",AB7="補",AB7="婚",AB7="公",AB7="病",AB7="事",AB7="x榮18-22"  ),OR(AC7=""), $AP7 =""  ),"18收",  IF(  AND(  OR(  AB7 ="榮14-18",AB7 ="榮10-18",AB7 ="榮06-18",AB7 ="病14-18"  ),OR(  AC7 ="x",AC7="補",AC7="婚",AC7="公",AC7="病",AC7="事",AC7="x"  ), $AP7 =""),"18放早走",  IF(  AND(  OR(  AB7 =""),OR(  AC7 ="x",AC7="補",AC7="婚",AC7="公",AC7="病",AC7="事",AC7="x榮*",AC7="榮",AC7="榮-22"  ), $AP7 =""),"18放",  IF(  AND(  OR(  AB7="當日退伍"  ),OR(  AC7="退伍",AC7="退", AC7=""  ), $AP7 =""),"當日退伍",  IF(AND(  OR(AB7="退",AB7="退伍" ), OR(AC7="退",AC7="退伍" ), $AP7 =""),"退伍","全日勤"  )  )  )  )  )  )  )  )  )  )  ),"")</f>
        <v>全日勤</v>
      </c>
      <c r="AC48" s="66" t="str">
        <f>IF(   (ROW(BO7)-1)&lt;=暫1!$B$2,           IF(  AND(  OR(  AC7="x",AC7="補"  ), OR(  AD7 ="x",AD7="補",AD7="x榮18-22",AD7="x公18-22",AD7="x榮22-08"  ), $AP7 =""),"全日休",  IF(  AND(  OR(  AC7="x",AC7="病"  ), OR(  AD7 ="病"  ), $AP7 =""),"病(事)假",  IF(  AND(  OR(  AC7="x",AC7="補"  ), OR(  AD7 ="補"  ), $AP7 =""),"補休",  IF(  AND(  OR(  AC7="x",AC7="喪"  ), OR(  AD7 ="喪"  ), $AP7 =""),"喪假",  IF(  AND(  OR(  AC7="x",AC7="婚",AC7="產"  ), OR(  AD7 ="婚",AD7="產"  ), $AP7 =""),"婚(產)假",  IF(  AND(  OR(  AC7="x",AC7="公"  ), OR(  AD7 ="公"  ), $AP7 =""),"公假",  IF(  AND(  OR(  AC7="x",AC7="補",AC7="婚",AC7="公",AC7="病",AC7="事",AC7="x榮18-22"  ),OR(AD7=""), $AP7 =""  ),"18收",  IF(  AND(  OR(  AC7 ="榮14-18",AC7 ="榮10-18",AC7 ="榮06-18",AC7 ="病14-18"  ),OR(  AD7 ="x",AD7="補",AD7="婚",AD7="公",AD7="病",AD7="事",AD7="x"  ), $AP7 =""),"18放早走",  IF(  AND(  OR(  AC7 =""),OR(  AD7 ="x",AD7="補",AD7="婚",AD7="公",AD7="病",AD7="事",AD7="x榮*",AD7="榮",AD7="榮-22"  ), $AP7 =""),"18放",  IF(  AND(  OR(  AC7="當日退伍"  ),OR(  AD7="退伍",AD7="退", AD7=""  ), $AP7 =""),"當日退伍",  IF(AND(  OR(AC7="退",AC7="退伍" ), OR(AD7="退",AD7="退伍" ), $AP7 =""),"退伍","全日勤"  )  )  )  )  )  )  )  )  )  )  ),"")</f>
        <v>全日勤</v>
      </c>
      <c r="AD48" s="66" t="str">
        <f>IF(   (ROW(BP7)-1)&lt;=暫1!$B$2,           IF(  AND(  OR(  AD7="x",AD7="補"  ), OR(  AE7 ="x",AE7="補",AE7="x榮18-22",AE7="x公18-22",AE7="x榮22-08"  ), $AP7 =""),"全日休",  IF(  AND(  OR(  AD7="x",AD7="病"  ), OR(  AE7 ="病"  ), $AP7 =""),"病(事)假",  IF(  AND(  OR(  AD7="x",AD7="補"  ), OR(  AE7 ="補"  ), $AP7 =""),"補休",  IF(  AND(  OR(  AD7="x",AD7="喪"  ), OR(  AE7 ="喪"  ), $AP7 =""),"喪假",  IF(  AND(  OR(  AD7="x",AD7="婚",AD7="產"  ), OR(  AE7 ="婚",AE7="產"  ), $AP7 =""),"婚(產)假",  IF(  AND(  OR(  AD7="x",AD7="公"  ), OR(  AE7 ="公"  ), $AP7 =""),"公假",  IF(  AND(  OR(  AD7="x",AD7="補",AD7="婚",AD7="公",AD7="病",AD7="事",AD7="x榮18-22"  ),OR(AE7=""), $AP7 =""  ),"18收",  IF(  AND(  OR(  AD7 ="榮14-18",AD7 ="榮10-18",AD7 ="榮06-18",AD7 ="病14-18"  ),OR(  AE7 ="x",AE7="補",AE7="婚",AE7="公",AE7="病",AE7="事",AE7="x"  ), $AP7 =""),"18放早走",  IF(  AND(  OR(  AD7 =""),OR(  AE7 ="x",AE7="補",AE7="婚",AE7="公",AE7="病",AE7="事",AE7="x榮*",AE7="榮",AE7="榮-22"  ), $AP7 =""),"18放",  IF(  AND(  OR(  AD7="當日退伍"  ),OR(  AE7="退伍",AE7="退", AE7=""  ), $AP7 =""),"當日退伍",  IF(AND(  OR(AD7="退",AD7="退伍" ), OR(AE7="退",AE7="退伍" ), $AP7 =""),"退伍","全日勤"  )  )  )  )  )  )  )  )  )  )  ),"")</f>
        <v>全日勤</v>
      </c>
      <c r="AE48" s="66" t="str">
        <f>IF(   (ROW(BQ7)-1)&lt;=暫1!$B$2,           IF(  AND(  OR(  AE7="x",AE7="補"  ), OR(  AF7 ="x",AF7="補",AF7="x榮18-22",AF7="x公18-22",AF7="x榮22-08"  ), $AP7 =""),"全日休",  IF(  AND(  OR(  AE7="x",AE7="病"  ), OR(  AF7 ="病"  ), $AP7 =""),"病(事)假",  IF(  AND(  OR(  AE7="x",AE7="補"  ), OR(  AF7 ="補"  ), $AP7 =""),"補休",  IF(  AND(  OR(  AE7="x",AE7="喪"  ), OR(  AF7 ="喪"  ), $AP7 =""),"喪假",  IF(  AND(  OR(  AE7="x",AE7="婚",AE7="產"  ), OR(  AF7 ="婚",AF7="產"  ), $AP7 =""),"婚(產)假",  IF(  AND(  OR(  AE7="x",AE7="公"  ), OR(  AF7 ="公"  ), $AP7 =""),"公假",  IF(  AND(  OR(  AE7="x",AE7="補",AE7="婚",AE7="公",AE7="病",AE7="事",AE7="x榮18-22"  ),OR(AF7=""), $AP7 =""  ),"18收",  IF(  AND(  OR(  AE7 ="榮14-18",AE7 ="榮10-18",AE7 ="榮06-18",AE7 ="病14-18"  ),OR(  AF7 ="x",AF7="補",AF7="婚",AF7="公",AF7="病",AF7="事",AF7="x"  ), $AP7 =""),"18放早走",  IF(  AND(  OR(  AE7 =""),OR(  AF7 ="x",AF7="補",AF7="婚",AF7="公",AF7="病",AF7="事",AF7="x榮*",AF7="榮",AF7="榮-22"  ), $AP7 =""),"18放",  IF(  AND(  OR(  AE7="當日退伍"  ),OR(  AF7="退伍",AF7="退", AF7=""  ), $AP7 =""),"當日退伍",  IF(AND(  OR(AE7="退",AE7="退伍" ), OR(AF7="退",AF7="退伍" ), $AP7 =""),"退伍","全日勤"  )  )  )  )  )  )  )  )  )  )  ),"")</f>
        <v>全日勤</v>
      </c>
      <c r="AF48" s="66" t="str">
        <f>IF(   (ROW(BR7)-1)&lt;=暫1!$B$2,           IF(  AND(  OR(  AF7="x",AF7="補"  ), OR(  AG7 ="x",AG7="補",AG7="x榮18-22",AG7="x公18-22",AG7="x榮22-08"  ), $AP7 =""),"全日休",  IF(  AND(  OR(  AF7="x",AF7="病"  ), OR(  AG7 ="病"  ), $AP7 =""),"病(事)假",  IF(  AND(  OR(  AF7="x",AF7="補"  ), OR(  AG7 ="補"  ), $AP7 =""),"補休",  IF(  AND(  OR(  AF7="x",AF7="喪"  ), OR(  AG7 ="喪"  ), $AP7 =""),"喪假",  IF(  AND(  OR(  AF7="x",AF7="婚",AF7="產"  ), OR(  AG7 ="婚",AG7="產"  ), $AP7 =""),"婚(產)假",  IF(  AND(  OR(  AF7="x",AF7="公"  ), OR(  AG7 ="公"  ), $AP7 =""),"公假",  IF(  AND(  OR(  AF7="x",AF7="補",AF7="婚",AF7="公",AF7="病",AF7="事",AF7="x榮18-22"  ),OR(AG7=""), $AP7 =""  ),"18收",  IF(  AND(  OR(  AF7 ="榮14-18",AF7 ="榮10-18",AF7 ="榮06-18",AF7 ="病14-18"  ),OR(  AG7 ="x",AG7="補",AG7="婚",AG7="公",AG7="病",AG7="事",AG7="x"  ), $AP7 =""),"18放早走",  IF(  AND(  OR(  AF7 =""),OR(  AG7 ="x",AG7="補",AG7="婚",AG7="公",AG7="病",AG7="事",AG7="x榮*",AG7="榮",AG7="榮-22"  ), $AP7 =""),"18放",  IF(  AND(  OR(  AF7="當日退伍"  ),OR(  AG7="退伍",AG7="退", AG7=""  ), $AP7 =""),"當日退伍",  IF(AND(  OR(AF7="退",AF7="退伍" ), OR(AG7="退",AG7="退伍" ), $AP7 =""),"退伍","全日勤"  )  )  )  )  )  )  )  )  )  )  ),"")</f>
        <v>全日勤</v>
      </c>
      <c r="AG48" s="66" t="str">
        <f>IF(   (ROW(BS7)-1)&lt;=暫1!$B$2,           IF(  AND(  OR(  AG7="x",AG7="補"  ), OR(  AH7 ="x",AH7="補",AH7="x榮18-22",AH7="x公18-22",AH7="x榮22-08"  ), $AP7 =""),"全日休",  IF(  AND(  OR(  AG7="x",AG7="病"  ), OR(  AH7 ="病"  ), $AP7 =""),"病(事)假",  IF(  AND(  OR(  AG7="x",AG7="補"  ), OR(  AH7 ="補"  ), $AP7 =""),"補休",  IF(  AND(  OR(  AG7="x",AG7="喪"  ), OR(  AH7 ="喪"  ), $AP7 =""),"喪假",  IF(  AND(  OR(  AG7="x",AG7="婚",AG7="產"  ), OR(  AH7 ="婚",AH7="產"  ), $AP7 =""),"婚(產)假",  IF(  AND(  OR(  AG7="x",AG7="公"  ), OR(  AH7 ="公"  ), $AP7 =""),"公假",  IF(  AND(  OR(  AG7="x",AG7="補",AG7="婚",AG7="公",AG7="病",AG7="事",AG7="x榮18-22"  ),OR(AH7=""), $AP7 =""  ),"18收",  IF(  AND(  OR(  AG7 ="榮14-18",AG7 ="榮10-18",AG7 ="榮06-18",AG7 ="病14-18"  ),OR(  AH7 ="x",AH7="補",AH7="婚",AH7="公",AH7="病",AH7="事",AH7="x"  ), $AP7 =""),"18放早走",  IF(  AND(  OR(  AG7 =""),OR(  AH7 ="x",AH7="補",AH7="婚",AH7="公",AH7="病",AH7="事",AH7="x榮*",AH7="榮",AH7="榮-22"  ), $AP7 =""),"18放",  IF(  AND(  OR(  AG7="當日退伍"  ),OR(  AH7="退伍",AH7="退", AH7=""  ), $AP7 =""),"當日退伍",  IF(AND(  OR(AG7="退",AG7="退伍" ), OR(AH7="退",AH7="退伍" ), $AP7 =""),"退伍","全日勤"  )  )  )  )  )  )  )  )  )  )  ),"")</f>
        <v>全日勤</v>
      </c>
      <c r="AH48" s="66" t="str">
        <f>IF(   (ROW(BT7)-1)&lt;=暫1!$B$2,           IF(  AND(  OR(  AH7="x",AH7="補"  ), OR(  AI7 ="x",AI7="補",AI7="x榮18-22",AI7="x公18-22",AI7="x榮22-08"  ), $AP7 =""),"全日休",  IF(  AND(  OR(  AH7="x",AH7="病"  ), OR(  AI7 ="病"  ), $AP7 =""),"病(事)假",  IF(  AND(  OR(  AH7="x",AH7="補"  ), OR(  AI7 ="補"  ), $AP7 =""),"補休",  IF(  AND(  OR(  AH7="x",AH7="喪"  ), OR(  AI7 ="喪"  ), $AP7 =""),"喪假",  IF(  AND(  OR(  AH7="x",AH7="婚",AH7="產"  ), OR(  AI7 ="婚",AI7="產"  ), $AP7 =""),"婚(產)假",  IF(  AND(  OR(  AH7="x",AH7="公"  ), OR(  AI7 ="公"  ), $AP7 =""),"公假",  IF(  AND(  OR(  AH7="x",AH7="補",AH7="婚",AH7="公",AH7="病",AH7="事",AH7="x榮18-22"  ),OR(AI7=""), $AP7 =""  ),"18收",  IF(  AND(  OR(  AH7 ="榮14-18",AH7 ="榮10-18",AH7 ="榮06-18",AH7 ="病14-18"  ),OR(  AI7 ="x",AI7="補",AI7="婚",AI7="公",AI7="病",AI7="事",AI7="x"  ), $AP7 =""),"18放早走",  IF(  AND(  OR(  AH7 =""),OR(  AI7 ="x",AI7="補",AI7="婚",AI7="公",AI7="病",AI7="事",AI7="x榮*",AI7="榮",AI7="榮-22"  ), $AP7 =""),"18放",  IF(  AND(  OR(  AH7="當日退伍"  ),OR(  AI7="退伍",AI7="退", AI7=""  ), $AP7 =""),"當日退伍",  IF(AND(  OR(AH7="退",AH7="退伍" ), OR(AI7="退",AI7="退伍" ), $AP7 =""),"退伍","全日勤"  )  )  )  )  )  )  )  )  )  )  ),"")</f>
        <v>全日勤</v>
      </c>
      <c r="AI48" s="66" t="str">
        <f>IF(   (ROW(BU7)-1)&lt;=暫1!$B$2,           IF(  AND(  OR(  AI7="x",AI7="補"  ), OR(  AJ7 ="x",AJ7="補",AJ7="x榮18-22",AJ7="x公18-22",AJ7="x榮22-08"  ), $AP7 =""),"全日休",  IF(  AND(  OR(  AI7="x",AI7="病"  ), OR(  AJ7 ="病"  ), $AP7 =""),"病(事)假",  IF(  AND(  OR(  AI7="x",AI7="補"  ), OR(  AJ7 ="補"  ), $AP7 =""),"補休",  IF(  AND(  OR(  AI7="x",AI7="喪"  ), OR(  AJ7 ="喪"  ), $AP7 =""),"喪假",  IF(  AND(  OR(  AI7="x",AI7="婚",AI7="產"  ), OR(  AJ7 ="婚",AJ7="產"  ), $AP7 =""),"婚(產)假",  IF(  AND(  OR(  AI7="x",AI7="公"  ), OR(  AJ7 ="公"  ), $AP7 =""),"公假",  IF(  AND(  OR(  AI7="x",AI7="補",AI7="婚",AI7="公",AI7="病",AI7="事",AI7="x榮18-22"  ),OR(AJ7=""), $AP7 =""  ),"18收",  IF(  AND(  OR(  AI7 ="榮14-18",AI7 ="榮10-18",AI7 ="榮06-18",AI7 ="病14-18"  ),OR(  AJ7 ="x",AJ7="補",AJ7="婚",AJ7="公",AJ7="病",AJ7="事",AJ7="x"  ), $AP7 =""),"18放早走",  IF(  AND(  OR(  AI7 =""),OR(  AJ7 ="x",AJ7="補",AJ7="婚",AJ7="公",AJ7="病",AJ7="事",AJ7="x榮*",AJ7="榮",AJ7="榮-22"  ), $AP7 =""),"18放",  IF(  AND(  OR(  AI7="當日退伍"  ),OR(  AJ7="退伍",AJ7="退", AJ7=""  ), $AP7 =""),"當日退伍",  IF(AND(  OR(AI7="退",AI7="退伍" ), OR(AJ7="退",AJ7="退伍" ), $AP7 =""),"退伍","全日勤"  )  )  )  )  )  )  )  )  )  )  ),"")</f>
        <v>全日勤</v>
      </c>
      <c r="AJ48" s="66" t="str">
        <f>IF(   (ROW(BV7)-1)&lt;=暫1!$B$2,           IF(  AND(  OR(  AJ7="x",AJ7="補"  ), OR(  AK7 ="x",AK7="補",AK7="x榮18-22",AK7="x公18-22",AK7="x榮22-08"  ), $AP7 =""),"全日休",  IF(  AND(  OR(  AJ7="x",AJ7="病"  ), OR(  AK7 ="病"  ), $AP7 =""),"病(事)假",  IF(  AND(  OR(  AJ7="x",AJ7="補"  ), OR(  AK7 ="補"  ), $AP7 =""),"補休",  IF(  AND(  OR(  AJ7="x",AJ7="喪"  ), OR(  AK7 ="喪"  ), $AP7 =""),"喪假",  IF(  AND(  OR(  AJ7="x",AJ7="婚",AJ7="產"  ), OR(  AK7 ="婚",AK7="產"  ), $AP7 =""),"婚(產)假",  IF(  AND(  OR(  AJ7="x",AJ7="公"  ), OR(  AK7 ="公"  ), $AP7 =""),"公假",  IF(  AND(  OR(  AJ7="x",AJ7="補",AJ7="婚",AJ7="公",AJ7="病",AJ7="事",AJ7="x榮18-22"  ),OR(AK7=""), $AP7 =""  ),"18收",  IF(  AND(  OR(  AJ7 ="榮14-18",AJ7 ="榮10-18",AJ7 ="榮06-18",AJ7 ="病14-18"  ),OR(  AK7 ="x",AK7="補",AK7="婚",AK7="公",AK7="病",AK7="事",AK7="x"  ), $AP7 =""),"18放早走",  IF(  AND(  OR(  AJ7 =""),OR(  AK7 ="x",AK7="補",AK7="婚",AK7="公",AK7="病",AK7="事",AK7="x榮*",AK7="榮",AK7="榮-22"  ), $AP7 =""),"18放",  IF(  AND(  OR(  AJ7="當日退伍"  ),OR(  AK7="退伍",AK7="退", AK7=""  ), $AP7 =""),"當日退伍",  IF(AND(  OR(AJ7="退",AJ7="退伍" ), OR(AK7="退",AK7="退伍" ), $AP7 =""),"退伍","全日勤"  )  )  )  )  )  )  )  )  )  )  ),"")</f>
        <v>全日勤</v>
      </c>
      <c r="AO48" s="76"/>
      <c r="AP48" s="63"/>
      <c r="AU48" s="63"/>
      <c r="AY48" s="63"/>
      <c r="AZ48" s="63"/>
      <c r="BA48" s="63"/>
    </row>
    <row r="49" spans="1:55">
      <c r="A49" s="66">
        <f t="shared" si="4"/>
        <v>7</v>
      </c>
      <c r="B49" s="66" t="str">
        <f t="shared" si="6"/>
        <v>洪長昇</v>
      </c>
      <c r="C49" s="66" t="str">
        <f>IF(   (ROW(AO8)-1)&lt;=暫1!$B$2,           IF(  AND(  OR(  C8="x",C8="補"  ), OR(  D8 ="x",D8="補",D8="x榮18-22",D8="x公18-22",D8="x榮22-08"  ), $AP8 =""),"全日休",  IF(  AND(  OR(  C8="x",C8="病"  ), OR(  D8 ="病"  ), $AP8 =""),"病(事)假",  IF(  AND(  OR(  C8="x",C8="補"  ), OR(  D8 ="補"  ), $AP8 =""),"補休",  IF(  AND(  OR(  C8="x",C8="喪"  ), OR(  D8 ="喪"  ), $AP8 =""),"喪假",  IF(  AND(  OR(  C8="x",C8="婚",C8="產"  ), OR(  D8 ="婚",D8="產"  ), $AP8 =""),"婚(產)假",  IF(  AND(  OR(  C8="x",C8="公"  ), OR(  D8 ="公"  ), $AP8 =""),"公假",  IF(  AND(  OR(  C8="x",C8="補",C8="婚",C8="公",C8="病",C8="事",C8="x榮18-22"  ),OR(D8=""), $AP8 =""  ),"18收",  IF(  AND(  OR(  C8 ="榮14-18",C8 ="榮10-18",C8 ="榮06-18",C8 ="病14-18"  ),OR(  D8 ="x",D8="補",D8="婚",D8="公",D8="病",D8="事",D8="x"  ), $AP8 =""),"18放早走",  IF(  AND(  OR(  C8 =""),OR(  D8 ="x",D8="補",D8="婚",D8="公",D8="病",D8="事",D8="x榮*",D8="榮",D8="榮-22"  ), $AP8 =""),"18放",  IF(  AND(  OR(  C8="當日退伍"  ),OR(  D8="退伍",D8="退", D8=""  ), $AP8 =""),"當日退伍",  IF(AND(  OR(C8="退",C8="退伍" ), OR(D8="退",D8="退伍" ), $AP8 =""),"退伍","全日勤"  )  )  )  )  )  )  )  )  )  )  ),"")</f>
        <v>全日勤</v>
      </c>
      <c r="D49" s="66" t="str">
        <f>IF(   (ROW(AP8)-1)&lt;=暫1!$B$2,           IF(  AND(  OR(  D8="x",D8="補"  ), OR(  E8 ="x",E8="補",E8="x榮18-22",E8="x公18-22",E8="x榮22-08"  ), $AP8 =""),"全日休",  IF(  AND(  OR(  D8="x",D8="病"  ), OR(  E8 ="病"  ), $AP8 =""),"病(事)假",  IF(  AND(  OR(  D8="x",D8="補"  ), OR(  E8 ="補"  ), $AP8 =""),"補休",  IF(  AND(  OR(  D8="x",D8="喪"  ), OR(  E8 ="喪"  ), $AP8 =""),"喪假",  IF(  AND(  OR(  D8="x",D8="婚",D8="產"  ), OR(  E8 ="婚",E8="產"  ), $AP8 =""),"婚(產)假",  IF(  AND(  OR(  D8="x",D8="公"  ), OR(  E8 ="公"  ), $AP8 =""),"公假",  IF(  AND(  OR(  D8="x",D8="補",D8="婚",D8="公",D8="病",D8="事",D8="x榮18-22"  ),OR(E8=""), $AP8 =""  ),"18收",  IF(  AND(  OR(  D8 ="榮14-18",D8 ="榮10-18",D8 ="榮06-18",D8 ="病14-18"  ),OR(  E8 ="x",E8="補",E8="婚",E8="公",E8="病",E8="事",E8="x"  ), $AP8 =""),"18放早走",  IF(  AND(  OR(  D8 =""),OR(  E8 ="x",E8="補",E8="婚",E8="公",E8="病",E8="事",E8="x榮*",E8="榮",E8="榮-22"  ), $AP8 =""),"18放",  IF(  AND(  OR(  D8="當日退伍"  ),OR(  E8="退伍",E8="退", E8=""  ), $AP8 =""),"當日退伍",  IF(AND(  OR(D8="退",D8="退伍" ), OR(E8="退",E8="退伍" ), $AP8 =""),"退伍","全日勤"  )  )  )  )  )  )  )  )  )  )  ),"")</f>
        <v>全日勤</v>
      </c>
      <c r="E49" s="66" t="str">
        <f>IF(   (ROW(AQ8)-1)&lt;=暫1!$B$2,           IF(  AND(  OR(  E8="x",E8="補"  ), OR(  F8 ="x",F8="補",F8="x榮18-22",F8="x公18-22",F8="x榮22-08"  ), $AP8 =""),"全日休",  IF(  AND(  OR(  E8="x",E8="病"  ), OR(  F8 ="病"  ), $AP8 =""),"病(事)假",  IF(  AND(  OR(  E8="x",E8="補"  ), OR(  F8 ="補"  ), $AP8 =""),"補休",  IF(  AND(  OR(  E8="x",E8="喪"  ), OR(  F8 ="喪"  ), $AP8 =""),"喪假",  IF(  AND(  OR(  E8="x",E8="婚",E8="產"  ), OR(  F8 ="婚",F8="產"  ), $AP8 =""),"婚(產)假",  IF(  AND(  OR(  E8="x",E8="公"  ), OR(  F8 ="公"  ), $AP8 =""),"公假",  IF(  AND(  OR(  E8="x",E8="補",E8="婚",E8="公",E8="病",E8="事",E8="x榮18-22"  ),OR(F8=""), $AP8 =""  ),"18收",  IF(  AND(  OR(  E8 ="榮14-18",E8 ="榮10-18",E8 ="榮06-18",E8 ="病14-18"  ),OR(  F8 ="x",F8="補",F8="婚",F8="公",F8="病",F8="事",F8="x"  ), $AP8 =""),"18放早走",  IF(  AND(  OR(  E8 =""),OR(  F8 ="x",F8="補",F8="婚",F8="公",F8="病",F8="事",F8="x榮*",F8="榮",F8="榮-22"  ), $AP8 =""),"18放",  IF(  AND(  OR(  E8="當日退伍"  ),OR(  F8="退伍",F8="退", F8=""  ), $AP8 =""),"當日退伍",  IF(AND(  OR(E8="退",E8="退伍" ), OR(F8="退",F8="退伍" ), $AP8 =""),"退伍","全日勤"  )  )  )  )  )  )  )  )  )  )  ),"")</f>
        <v>全日勤</v>
      </c>
      <c r="F49" s="66" t="str">
        <f>IF(   (ROW(AR8)-1)&lt;=暫1!$B$2,           IF(  AND(  OR(  F8="x",F8="補"  ), OR(  G8 ="x",G8="補",G8="x榮18-22",G8="x公18-22",G8="x榮22-08"  ), $AP8 =""),"全日休",  IF(  AND(  OR(  F8="x",F8="病"  ), OR(  G8 ="病"  ), $AP8 =""),"病(事)假",  IF(  AND(  OR(  F8="x",F8="補"  ), OR(  G8 ="補"  ), $AP8 =""),"補休",  IF(  AND(  OR(  F8="x",F8="喪"  ), OR(  G8 ="喪"  ), $AP8 =""),"喪假",  IF(  AND(  OR(  F8="x",F8="婚",F8="產"  ), OR(  G8 ="婚",G8="產"  ), $AP8 =""),"婚(產)假",  IF(  AND(  OR(  F8="x",F8="公"  ), OR(  G8 ="公"  ), $AP8 =""),"公假",  IF(  AND(  OR(  F8="x",F8="補",F8="婚",F8="公",F8="病",F8="事",F8="x榮18-22"  ),OR(G8=""), $AP8 =""  ),"18收",  IF(  AND(  OR(  F8 ="榮14-18",F8 ="榮10-18",F8 ="榮06-18",F8 ="病14-18"  ),OR(  G8 ="x",G8="補",G8="婚",G8="公",G8="病",G8="事",G8="x"  ), $AP8 =""),"18放早走",  IF(  AND(  OR(  F8 =""),OR(  G8 ="x",G8="補",G8="婚",G8="公",G8="病",G8="事",G8="x榮*",G8="榮",G8="榮-22"  ), $AP8 =""),"18放",  IF(  AND(  OR(  F8="當日退伍"  ),OR(  G8="退伍",G8="退", G8=""  ), $AP8 =""),"當日退伍",  IF(AND(  OR(F8="退",F8="退伍" ), OR(G8="退",G8="退伍" ), $AP8 =""),"退伍","全日勤"  )  )  )  )  )  )  )  )  )  )  ),"")</f>
        <v>全日勤</v>
      </c>
      <c r="G49" s="66" t="str">
        <f>IF(   (ROW(AS8)-1)&lt;=暫1!$B$2,           IF(  AND(  OR(  G8="x",G8="補"  ), OR(  H8 ="x",H8="補",H8="x榮18-22",H8="x公18-22",H8="x榮22-08"  ), $AP8 =""),"全日休",  IF(  AND(  OR(  G8="x",G8="病"  ), OR(  H8 ="病"  ), $AP8 =""),"病(事)假",  IF(  AND(  OR(  G8="x",G8="補"  ), OR(  H8 ="補"  ), $AP8 =""),"補休",  IF(  AND(  OR(  G8="x",G8="喪"  ), OR(  H8 ="喪"  ), $AP8 =""),"喪假",  IF(  AND(  OR(  G8="x",G8="婚",G8="產"  ), OR(  H8 ="婚",H8="產"  ), $AP8 =""),"婚(產)假",  IF(  AND(  OR(  G8="x",G8="公"  ), OR(  H8 ="公"  ), $AP8 =""),"公假",  IF(  AND(  OR(  G8="x",G8="補",G8="婚",G8="公",G8="病",G8="事",G8="x榮18-22"  ),OR(H8=""), $AP8 =""  ),"18收",  IF(  AND(  OR(  G8 ="榮14-18",G8 ="榮10-18",G8 ="榮06-18",G8 ="病14-18"  ),OR(  H8 ="x",H8="補",H8="婚",H8="公",H8="病",H8="事",H8="x"  ), $AP8 =""),"18放早走",  IF(  AND(  OR(  G8 =""),OR(  H8 ="x",H8="補",H8="婚",H8="公",H8="病",H8="事",H8="x榮*",H8="榮",H8="榮-22"  ), $AP8 =""),"18放",  IF(  AND(  OR(  G8="當日退伍"  ),OR(  H8="退伍",H8="退", H8=""  ), $AP8 =""),"當日退伍",  IF(AND(  OR(G8="退",G8="退伍" ), OR(H8="退",H8="退伍" ), $AP8 =""),"退伍","全日勤"  )  )  )  )  )  )  )  )  )  )  ),"")</f>
        <v>全日勤</v>
      </c>
      <c r="H49" s="66" t="str">
        <f>IF(   (ROW(AT8)-1)&lt;=暫1!$B$2,           IF(  AND(  OR(  H8="x",H8="補"  ), OR(  I8 ="x",I8="補",I8="x榮18-22",I8="x公18-22",I8="x榮22-08"  ), $AP8 =""),"全日休",  IF(  AND(  OR(  H8="x",H8="病"  ), OR(  I8 ="病"  ), $AP8 =""),"病(事)假",  IF(  AND(  OR(  H8="x",H8="補"  ), OR(  I8 ="補"  ), $AP8 =""),"補休",  IF(  AND(  OR(  H8="x",H8="喪"  ), OR(  I8 ="喪"  ), $AP8 =""),"喪假",  IF(  AND(  OR(  H8="x",H8="婚",H8="產"  ), OR(  I8 ="婚",I8="產"  ), $AP8 =""),"婚(產)假",  IF(  AND(  OR(  H8="x",H8="公"  ), OR(  I8 ="公"  ), $AP8 =""),"公假",  IF(  AND(  OR(  H8="x",H8="補",H8="婚",H8="公",H8="病",H8="事",H8="x榮18-22"  ),OR(I8=""), $AP8 =""  ),"18收",  IF(  AND(  OR(  H8 ="榮14-18",H8 ="榮10-18",H8 ="榮06-18",H8 ="病14-18"  ),OR(  I8 ="x",I8="補",I8="婚",I8="公",I8="病",I8="事",I8="x"  ), $AP8 =""),"18放早走",  IF(  AND(  OR(  H8 =""),OR(  I8 ="x",I8="補",I8="婚",I8="公",I8="病",I8="事",I8="x榮*",I8="榮",I8="榮-22"  ), $AP8 =""),"18放",  IF(  AND(  OR(  H8="當日退伍"  ),OR(  I8="退伍",I8="退", I8=""  ), $AP8 =""),"當日退伍",  IF(AND(  OR(H8="退",H8="退伍" ), OR(I8="退",I8="退伍" ), $AP8 =""),"退伍","全日勤"  )  )  )  )  )  )  )  )  )  )  ),"")</f>
        <v>全日勤</v>
      </c>
      <c r="I49" s="66" t="str">
        <f>IF(   (ROW(AU8)-1)&lt;=暫1!$B$2,           IF(  AND(  OR(  I8="x",I8="補"  ), OR(  J8 ="x",J8="補",J8="x榮18-22",J8="x公18-22",J8="x榮22-08"  ), $AP8 =""),"全日休",  IF(  AND(  OR(  I8="x",I8="病"  ), OR(  J8 ="病"  ), $AP8 =""),"病(事)假",  IF(  AND(  OR(  I8="x",I8="補"  ), OR(  J8 ="補"  ), $AP8 =""),"補休",  IF(  AND(  OR(  I8="x",I8="喪"  ), OR(  J8 ="喪"  ), $AP8 =""),"喪假",  IF(  AND(  OR(  I8="x",I8="婚",I8="產"  ), OR(  J8 ="婚",J8="產"  ), $AP8 =""),"婚(產)假",  IF(  AND(  OR(  I8="x",I8="公"  ), OR(  J8 ="公"  ), $AP8 =""),"公假",  IF(  AND(  OR(  I8="x",I8="補",I8="婚",I8="公",I8="病",I8="事",I8="x榮18-22"  ),OR(J8=""), $AP8 =""  ),"18收",  IF(  AND(  OR(  I8 ="榮14-18",I8 ="榮10-18",I8 ="榮06-18",I8 ="病14-18"  ),OR(  J8 ="x",J8="補",J8="婚",J8="公",J8="病",J8="事",J8="x"  ), $AP8 =""),"18放早走",  IF(  AND(  OR(  I8 =""),OR(  J8 ="x",J8="補",J8="婚",J8="公",J8="病",J8="事",J8="x榮*",J8="榮",J8="榮-22"  ), $AP8 =""),"18放",  IF(  AND(  OR(  I8="當日退伍"  ),OR(  J8="退伍",J8="退", J8=""  ), $AP8 =""),"當日退伍",  IF(AND(  OR(I8="退",I8="退伍" ), OR(J8="退",J8="退伍" ), $AP8 =""),"退伍","全日勤"  )  )  )  )  )  )  )  )  )  )  ),"")</f>
        <v>全日勤</v>
      </c>
      <c r="J49" s="66" t="str">
        <f>IF(   (ROW(AV8)-1)&lt;=暫1!$B$2,           IF(  AND(  OR(  J8="x",J8="補"  ), OR(  K8 ="x",K8="補",K8="x榮18-22",K8="x公18-22",K8="x榮22-08"  ), $AP8 =""),"全日休",  IF(  AND(  OR(  J8="x",J8="病"  ), OR(  K8 ="病"  ), $AP8 =""),"病(事)假",  IF(  AND(  OR(  J8="x",J8="補"  ), OR(  K8 ="補"  ), $AP8 =""),"補休",  IF(  AND(  OR(  J8="x",J8="喪"  ), OR(  K8 ="喪"  ), $AP8 =""),"喪假",  IF(  AND(  OR(  J8="x",J8="婚",J8="產"  ), OR(  K8 ="婚",K8="產"  ), $AP8 =""),"婚(產)假",  IF(  AND(  OR(  J8="x",J8="公"  ), OR(  K8 ="公"  ), $AP8 =""),"公假",  IF(  AND(  OR(  J8="x",J8="補",J8="婚",J8="公",J8="病",J8="事",J8="x榮18-22"  ),OR(K8=""), $AP8 =""  ),"18收",  IF(  AND(  OR(  J8 ="榮14-18",J8 ="榮10-18",J8 ="榮06-18",J8 ="病14-18"  ),OR(  K8 ="x",K8="補",K8="婚",K8="公",K8="病",K8="事",K8="x"  ), $AP8 =""),"18放早走",  IF(  AND(  OR(  J8 =""),OR(  K8 ="x",K8="補",K8="婚",K8="公",K8="病",K8="事",K8="x榮*",K8="榮",K8="榮-22"  ), $AP8 =""),"18放",  IF(  AND(  OR(  J8="當日退伍"  ),OR(  K8="退伍",K8="退", K8=""  ), $AP8 =""),"當日退伍",  IF(AND(  OR(J8="退",J8="退伍" ), OR(K8="退",K8="退伍" ), $AP8 =""),"退伍","全日勤"  )  )  )  )  )  )  )  )  )  )  ),"")</f>
        <v>全日勤</v>
      </c>
      <c r="K49" s="66" t="str">
        <f>IF(   (ROW(AW8)-1)&lt;=暫1!$B$2,           IF(  AND(  OR(  K8="x",K8="補"  ), OR(  L8 ="x",L8="補",L8="x榮18-22",L8="x公18-22",L8="x榮22-08"  ), $AP8 =""),"全日休",  IF(  AND(  OR(  K8="x",K8="病"  ), OR(  L8 ="病"  ), $AP8 =""),"病(事)假",  IF(  AND(  OR(  K8="x",K8="補"  ), OR(  L8 ="補"  ), $AP8 =""),"補休",  IF(  AND(  OR(  K8="x",K8="喪"  ), OR(  L8 ="喪"  ), $AP8 =""),"喪假",  IF(  AND(  OR(  K8="x",K8="婚",K8="產"  ), OR(  L8 ="婚",L8="產"  ), $AP8 =""),"婚(產)假",  IF(  AND(  OR(  K8="x",K8="公"  ), OR(  L8 ="公"  ), $AP8 =""),"公假",  IF(  AND(  OR(  K8="x",K8="補",K8="婚",K8="公",K8="病",K8="事",K8="x榮18-22"  ),OR(L8=""), $AP8 =""  ),"18收",  IF(  AND(  OR(  K8 ="榮14-18",K8 ="榮10-18",K8 ="榮06-18",K8 ="病14-18"  ),OR(  L8 ="x",L8="補",L8="婚",L8="公",L8="病",L8="事",L8="x"  ), $AP8 =""),"18放早走",  IF(  AND(  OR(  K8 =""),OR(  L8 ="x",L8="補",L8="婚",L8="公",L8="病",L8="事",L8="x榮*",L8="榮",L8="榮-22"  ), $AP8 =""),"18放",  IF(  AND(  OR(  K8="當日退伍"  ),OR(  L8="退伍",L8="退", L8=""  ), $AP8 =""),"當日退伍",  IF(AND(  OR(K8="退",K8="退伍" ), OR(L8="退",L8="退伍" ), $AP8 =""),"退伍","全日勤"  )  )  )  )  )  )  )  )  )  )  ),"")</f>
        <v>全日勤</v>
      </c>
      <c r="L49" s="66" t="str">
        <f>IF(   (ROW(AX8)-1)&lt;=暫1!$B$2,           IF(  AND(  OR(  L8="x",L8="補"  ), OR(  M8 ="x",M8="補",M8="x榮18-22",M8="x公18-22",M8="x榮22-08"  ), $AP8 =""),"全日休",  IF(  AND(  OR(  L8="x",L8="病"  ), OR(  M8 ="病"  ), $AP8 =""),"病(事)假",  IF(  AND(  OR(  L8="x",L8="補"  ), OR(  M8 ="補"  ), $AP8 =""),"補休",  IF(  AND(  OR(  L8="x",L8="喪"  ), OR(  M8 ="喪"  ), $AP8 =""),"喪假",  IF(  AND(  OR(  L8="x",L8="婚",L8="產"  ), OR(  M8 ="婚",M8="產"  ), $AP8 =""),"婚(產)假",  IF(  AND(  OR(  L8="x",L8="公"  ), OR(  M8 ="公"  ), $AP8 =""),"公假",  IF(  AND(  OR(  L8="x",L8="補",L8="婚",L8="公",L8="病",L8="事",L8="x榮18-22"  ),OR(M8=""), $AP8 =""  ),"18收",  IF(  AND(  OR(  L8 ="榮14-18",L8 ="榮10-18",L8 ="榮06-18",L8 ="病14-18"  ),OR(  M8 ="x",M8="補",M8="婚",M8="公",M8="病",M8="事",M8="x"  ), $AP8 =""),"18放早走",  IF(  AND(  OR(  L8 =""),OR(  M8 ="x",M8="補",M8="婚",M8="公",M8="病",M8="事",M8="x榮*",M8="榮",M8="榮-22"  ), $AP8 =""),"18放",  IF(  AND(  OR(  L8="當日退伍"  ),OR(  M8="退伍",M8="退", M8=""  ), $AP8 =""),"當日退伍",  IF(AND(  OR(L8="退",L8="退伍" ), OR(M8="退",M8="退伍" ), $AP8 =""),"退伍","全日勤"  )  )  )  )  )  )  )  )  )  )  ),"")</f>
        <v>全日勤</v>
      </c>
      <c r="M49" s="66" t="str">
        <f>IF(   (ROW(AY8)-1)&lt;=暫1!$B$2,           IF(  AND(  OR(  M8="x",M8="補"  ), OR(  N8 ="x",N8="補",N8="x榮18-22",N8="x公18-22",N8="x榮22-08"  ), $AP8 =""),"全日休",  IF(  AND(  OR(  M8="x",M8="病"  ), OR(  N8 ="病"  ), $AP8 =""),"病(事)假",  IF(  AND(  OR(  M8="x",M8="補"  ), OR(  N8 ="補"  ), $AP8 =""),"補休",  IF(  AND(  OR(  M8="x",M8="喪"  ), OR(  N8 ="喪"  ), $AP8 =""),"喪假",  IF(  AND(  OR(  M8="x",M8="婚",M8="產"  ), OR(  N8 ="婚",N8="產"  ), $AP8 =""),"婚(產)假",  IF(  AND(  OR(  M8="x",M8="公"  ), OR(  N8 ="公"  ), $AP8 =""),"公假",  IF(  AND(  OR(  M8="x",M8="補",M8="婚",M8="公",M8="病",M8="事",M8="x榮18-22"  ),OR(N8=""), $AP8 =""  ),"18收",  IF(  AND(  OR(  M8 ="榮14-18",M8 ="榮10-18",M8 ="榮06-18",M8 ="病14-18"  ),OR(  N8 ="x",N8="補",N8="婚",N8="公",N8="病",N8="事",N8="x"  ), $AP8 =""),"18放早走",  IF(  AND(  OR(  M8 =""),OR(  N8 ="x",N8="補",N8="婚",N8="公",N8="病",N8="事",N8="x榮*",N8="榮",N8="榮-22"  ), $AP8 =""),"18放",  IF(  AND(  OR(  M8="當日退伍"  ),OR(  N8="退伍",N8="退", N8=""  ), $AP8 =""),"當日退伍",  IF(AND(  OR(M8="退",M8="退伍" ), OR(N8="退",N8="退伍" ), $AP8 =""),"退伍","全日勤"  )  )  )  )  )  )  )  )  )  )  ),"")</f>
        <v>全日勤</v>
      </c>
      <c r="N49" s="66" t="str">
        <f>IF(   (ROW(AZ8)-1)&lt;=暫1!$B$2,           IF(  AND(  OR(  N8="x",N8="補"  ), OR(  O8 ="x",O8="補",O8="x榮18-22",O8="x公18-22",O8="x榮22-08"  ), $AP8 =""),"全日休",  IF(  AND(  OR(  N8="x",N8="病"  ), OR(  O8 ="病"  ), $AP8 =""),"病(事)假",  IF(  AND(  OR(  N8="x",N8="補"  ), OR(  O8 ="補"  ), $AP8 =""),"補休",  IF(  AND(  OR(  N8="x",N8="喪"  ), OR(  O8 ="喪"  ), $AP8 =""),"喪假",  IF(  AND(  OR(  N8="x",N8="婚",N8="產"  ), OR(  O8 ="婚",O8="產"  ), $AP8 =""),"婚(產)假",  IF(  AND(  OR(  N8="x",N8="公"  ), OR(  O8 ="公"  ), $AP8 =""),"公假",  IF(  AND(  OR(  N8="x",N8="補",N8="婚",N8="公",N8="病",N8="事",N8="x榮18-22"  ),OR(O8=""), $AP8 =""  ),"18收",  IF(  AND(  OR(  N8 ="榮14-18",N8 ="榮10-18",N8 ="榮06-18",N8 ="病14-18"  ),OR(  O8 ="x",O8="補",O8="婚",O8="公",O8="病",O8="事",O8="x"  ), $AP8 =""),"18放早走",  IF(  AND(  OR(  N8 =""),OR(  O8 ="x",O8="補",O8="婚",O8="公",O8="病",O8="事",O8="x榮*",O8="榮",O8="榮-22"  ), $AP8 =""),"18放",  IF(  AND(  OR(  N8="當日退伍"  ),OR(  O8="退伍",O8="退", O8=""  ), $AP8 =""),"當日退伍",  IF(AND(  OR(N8="退",N8="退伍" ), OR(O8="退",O8="退伍" ), $AP8 =""),"退伍","全日勤"  )  )  )  )  )  )  )  )  )  )  ),"")</f>
        <v>全日勤</v>
      </c>
      <c r="O49" s="66" t="str">
        <f>IF(   (ROW(BA8)-1)&lt;=暫1!$B$2,           IF(  AND(  OR(  O8="x",O8="補"  ), OR(  P8 ="x",P8="補",P8="x榮18-22",P8="x公18-22",P8="x榮22-08"  ), $AP8 =""),"全日休",  IF(  AND(  OR(  O8="x",O8="病"  ), OR(  P8 ="病"  ), $AP8 =""),"病(事)假",  IF(  AND(  OR(  O8="x",O8="補"  ), OR(  P8 ="補"  ), $AP8 =""),"補休",  IF(  AND(  OR(  O8="x",O8="喪"  ), OR(  P8 ="喪"  ), $AP8 =""),"喪假",  IF(  AND(  OR(  O8="x",O8="婚",O8="產"  ), OR(  P8 ="婚",P8="產"  ), $AP8 =""),"婚(產)假",  IF(  AND(  OR(  O8="x",O8="公"  ), OR(  P8 ="公"  ), $AP8 =""),"公假",  IF(  AND(  OR(  O8="x",O8="補",O8="婚",O8="公",O8="病",O8="事",O8="x榮18-22"  ),OR(P8=""), $AP8 =""  ),"18收",  IF(  AND(  OR(  O8 ="榮14-18",O8 ="榮10-18",O8 ="榮06-18",O8 ="病14-18"  ),OR(  P8 ="x",P8="補",P8="婚",P8="公",P8="病",P8="事",P8="x"  ), $AP8 =""),"18放早走",  IF(  AND(  OR(  O8 =""),OR(  P8 ="x",P8="補",P8="婚",P8="公",P8="病",P8="事",P8="x榮*",P8="榮",P8="榮-22"  ), $AP8 =""),"18放",  IF(  AND(  OR(  O8="當日退伍"  ),OR(  P8="退伍",P8="退", P8=""  ), $AP8 =""),"當日退伍",  IF(AND(  OR(O8="退",O8="退伍" ), OR(P8="退",P8="退伍" ), $AP8 =""),"退伍","全日勤"  )  )  )  )  )  )  )  )  )  )  ),"")</f>
        <v>全日勤</v>
      </c>
      <c r="P49" s="66" t="str">
        <f>IF(   (ROW(BB8)-1)&lt;=暫1!$B$2,           IF(  AND(  OR(  P8="x",P8="補"  ), OR(  Q8 ="x",Q8="補",Q8="x榮18-22",Q8="x公18-22",Q8="x榮22-08"  ), $AP8 =""),"全日休",  IF(  AND(  OR(  P8="x",P8="病"  ), OR(  Q8 ="病"  ), $AP8 =""),"病(事)假",  IF(  AND(  OR(  P8="x",P8="補"  ), OR(  Q8 ="補"  ), $AP8 =""),"補休",  IF(  AND(  OR(  P8="x",P8="喪"  ), OR(  Q8 ="喪"  ), $AP8 =""),"喪假",  IF(  AND(  OR(  P8="x",P8="婚",P8="產"  ), OR(  Q8 ="婚",Q8="產"  ), $AP8 =""),"婚(產)假",  IF(  AND(  OR(  P8="x",P8="公"  ), OR(  Q8 ="公"  ), $AP8 =""),"公假",  IF(  AND(  OR(  P8="x",P8="補",P8="婚",P8="公",P8="病",P8="事",P8="x榮18-22"  ),OR(Q8=""), $AP8 =""  ),"18收",  IF(  AND(  OR(  P8 ="榮14-18",P8 ="榮10-18",P8 ="榮06-18",P8 ="病14-18"  ),OR(  Q8 ="x",Q8="補",Q8="婚",Q8="公",Q8="病",Q8="事",Q8="x"  ), $AP8 =""),"18放早走",  IF(  AND(  OR(  P8 =""),OR(  Q8 ="x",Q8="補",Q8="婚",Q8="公",Q8="病",Q8="事",Q8="x榮*",Q8="榮",Q8="榮-22"  ), $AP8 =""),"18放",  IF(  AND(  OR(  P8="當日退伍"  ),OR(  Q8="退伍",Q8="退", Q8=""  ), $AP8 =""),"當日退伍",  IF(AND(  OR(P8="退",P8="退伍" ), OR(Q8="退",Q8="退伍" ), $AP8 =""),"退伍","全日勤"  )  )  )  )  )  )  )  )  )  )  ),"")</f>
        <v>全日勤</v>
      </c>
      <c r="Q49" s="66" t="str">
        <f>IF(   (ROW(BC8)-1)&lt;=暫1!$B$2,           IF(  AND(  OR(  Q8="x",Q8="補"  ), OR(  R8 ="x",R8="補",R8="x榮18-22",R8="x公18-22",R8="x榮22-08"  ), $AP8 =""),"全日休",  IF(  AND(  OR(  Q8="x",Q8="病"  ), OR(  R8 ="病"  ), $AP8 =""),"病(事)假",  IF(  AND(  OR(  Q8="x",Q8="補"  ), OR(  R8 ="補"  ), $AP8 =""),"補休",  IF(  AND(  OR(  Q8="x",Q8="喪"  ), OR(  R8 ="喪"  ), $AP8 =""),"喪假",  IF(  AND(  OR(  Q8="x",Q8="婚",Q8="產"  ), OR(  R8 ="婚",R8="產"  ), $AP8 =""),"婚(產)假",  IF(  AND(  OR(  Q8="x",Q8="公"  ), OR(  R8 ="公"  ), $AP8 =""),"公假",  IF(  AND(  OR(  Q8="x",Q8="補",Q8="婚",Q8="公",Q8="病",Q8="事",Q8="x榮18-22"  ),OR(R8=""), $AP8 =""  ),"18收",  IF(  AND(  OR(  Q8 ="榮14-18",Q8 ="榮10-18",Q8 ="榮06-18",Q8 ="病14-18"  ),OR(  R8 ="x",R8="補",R8="婚",R8="公",R8="病",R8="事",R8="x"  ), $AP8 =""),"18放早走",  IF(  AND(  OR(  Q8 =""),OR(  R8 ="x",R8="補",R8="婚",R8="公",R8="病",R8="事",R8="x榮*",R8="榮",R8="榮-22"  ), $AP8 =""),"18放",  IF(  AND(  OR(  Q8="當日退伍"  ),OR(  R8="退伍",R8="退", R8=""  ), $AP8 =""),"當日退伍",  IF(AND(  OR(Q8="退",Q8="退伍" ), OR(R8="退",R8="退伍" ), $AP8 =""),"退伍","全日勤"  )  )  )  )  )  )  )  )  )  )  ),"")</f>
        <v>全日勤</v>
      </c>
      <c r="R49" s="66" t="str">
        <f>IF(   (ROW(BD8)-1)&lt;=暫1!$B$2,           IF(  AND(  OR(  R8="x",R8="補"  ), OR(  S8 ="x",S8="補",S8="x榮18-22",S8="x公18-22",S8="x榮22-08"  ), $AP8 =""),"全日休",  IF(  AND(  OR(  R8="x",R8="病"  ), OR(  S8 ="病"  ), $AP8 =""),"病(事)假",  IF(  AND(  OR(  R8="x",R8="補"  ), OR(  S8 ="補"  ), $AP8 =""),"補休",  IF(  AND(  OR(  R8="x",R8="喪"  ), OR(  S8 ="喪"  ), $AP8 =""),"喪假",  IF(  AND(  OR(  R8="x",R8="婚",R8="產"  ), OR(  S8 ="婚",S8="產"  ), $AP8 =""),"婚(產)假",  IF(  AND(  OR(  R8="x",R8="公"  ), OR(  S8 ="公"  ), $AP8 =""),"公假",  IF(  AND(  OR(  R8="x",R8="補",R8="婚",R8="公",R8="病",R8="事",R8="x榮18-22"  ),OR(S8=""), $AP8 =""  ),"18收",  IF(  AND(  OR(  R8 ="榮14-18",R8 ="榮10-18",R8 ="榮06-18",R8 ="病14-18"  ),OR(  S8 ="x",S8="補",S8="婚",S8="公",S8="病",S8="事",S8="x"  ), $AP8 =""),"18放早走",  IF(  AND(  OR(  R8 =""),OR(  S8 ="x",S8="補",S8="婚",S8="公",S8="病",S8="事",S8="x榮*",S8="榮",S8="榮-22"  ), $AP8 =""),"18放",  IF(  AND(  OR(  R8="當日退伍"  ),OR(  S8="退伍",S8="退", S8=""  ), $AP8 =""),"當日退伍",  IF(AND(  OR(R8="退",R8="退伍" ), OR(S8="退",S8="退伍" ), $AP8 =""),"退伍","全日勤"  )  )  )  )  )  )  )  )  )  )  ),"")</f>
        <v>全日勤</v>
      </c>
      <c r="S49" s="66" t="str">
        <f>IF(   (ROW(BE8)-1)&lt;=暫1!$B$2,           IF(  AND(  OR(  S8="x",S8="補"  ), OR(  T8 ="x",T8="補",T8="x榮18-22",T8="x公18-22",T8="x榮22-08"  ), $AP8 =""),"全日休",  IF(  AND(  OR(  S8="x",S8="病"  ), OR(  T8 ="病"  ), $AP8 =""),"病(事)假",  IF(  AND(  OR(  S8="x",S8="補"  ), OR(  T8 ="補"  ), $AP8 =""),"補休",  IF(  AND(  OR(  S8="x",S8="喪"  ), OR(  T8 ="喪"  ), $AP8 =""),"喪假",  IF(  AND(  OR(  S8="x",S8="婚",S8="產"  ), OR(  T8 ="婚",T8="產"  ), $AP8 =""),"婚(產)假",  IF(  AND(  OR(  S8="x",S8="公"  ), OR(  T8 ="公"  ), $AP8 =""),"公假",  IF(  AND(  OR(  S8="x",S8="補",S8="婚",S8="公",S8="病",S8="事",S8="x榮18-22"  ),OR(T8=""), $AP8 =""  ),"18收",  IF(  AND(  OR(  S8 ="榮14-18",S8 ="榮10-18",S8 ="榮06-18",S8 ="病14-18"  ),OR(  T8 ="x",T8="補",T8="婚",T8="公",T8="病",T8="事",T8="x"  ), $AP8 =""),"18放早走",  IF(  AND(  OR(  S8 =""),OR(  T8 ="x",T8="補",T8="婚",T8="公",T8="病",T8="事",T8="x榮*",T8="榮",T8="榮-22"  ), $AP8 =""),"18放",  IF(  AND(  OR(  S8="當日退伍"  ),OR(  T8="退伍",T8="退", T8=""  ), $AP8 =""),"當日退伍",  IF(AND(  OR(S8="退",S8="退伍" ), OR(T8="退",T8="退伍" ), $AP8 =""),"退伍","全日勤"  )  )  )  )  )  )  )  )  )  )  ),"")</f>
        <v>全日勤</v>
      </c>
      <c r="T49" s="66" t="str">
        <f>IF(   (ROW(BF8)-1)&lt;=暫1!$B$2,           IF(  AND(  OR(  T8="x",T8="補"  ), OR(  U8 ="x",U8="補",U8="x榮18-22",U8="x公18-22",U8="x榮22-08"  ), $AP8 =""),"全日休",  IF(  AND(  OR(  T8="x",T8="病"  ), OR(  U8 ="病"  ), $AP8 =""),"病(事)假",  IF(  AND(  OR(  T8="x",T8="補"  ), OR(  U8 ="補"  ), $AP8 =""),"補休",  IF(  AND(  OR(  T8="x",T8="喪"  ), OR(  U8 ="喪"  ), $AP8 =""),"喪假",  IF(  AND(  OR(  T8="x",T8="婚",T8="產"  ), OR(  U8 ="婚",U8="產"  ), $AP8 =""),"婚(產)假",  IF(  AND(  OR(  T8="x",T8="公"  ), OR(  U8 ="公"  ), $AP8 =""),"公假",  IF(  AND(  OR(  T8="x",T8="補",T8="婚",T8="公",T8="病",T8="事",T8="x榮18-22"  ),OR(U8=""), $AP8 =""  ),"18收",  IF(  AND(  OR(  T8 ="榮14-18",T8 ="榮10-18",T8 ="榮06-18",T8 ="病14-18"  ),OR(  U8 ="x",U8="補",U8="婚",U8="公",U8="病",U8="事",U8="x"  ), $AP8 =""),"18放早走",  IF(  AND(  OR(  T8 =""),OR(  U8 ="x",U8="補",U8="婚",U8="公",U8="病",U8="事",U8="x榮*",U8="榮",U8="榮-22"  ), $AP8 =""),"18放",  IF(  AND(  OR(  T8="當日退伍"  ),OR(  U8="退伍",U8="退", U8=""  ), $AP8 =""),"當日退伍",  IF(AND(  OR(T8="退",T8="退伍" ), OR(U8="退",U8="退伍" ), $AP8 =""),"退伍","全日勤"  )  )  )  )  )  )  )  )  )  )  ),"")</f>
        <v>全日勤</v>
      </c>
      <c r="U49" s="66" t="str">
        <f>IF(   (ROW(BG8)-1)&lt;=暫1!$B$2,           IF(  AND(  OR(  U8="x",U8="補"  ), OR(  V8 ="x",V8="補",V8="x榮18-22",V8="x公18-22",V8="x榮22-08"  ), $AP8 =""),"全日休",  IF(  AND(  OR(  U8="x",U8="病"  ), OR(  V8 ="病"  ), $AP8 =""),"病(事)假",  IF(  AND(  OR(  U8="x",U8="補"  ), OR(  V8 ="補"  ), $AP8 =""),"補休",  IF(  AND(  OR(  U8="x",U8="喪"  ), OR(  V8 ="喪"  ), $AP8 =""),"喪假",  IF(  AND(  OR(  U8="x",U8="婚",U8="產"  ), OR(  V8 ="婚",V8="產"  ), $AP8 =""),"婚(產)假",  IF(  AND(  OR(  U8="x",U8="公"  ), OR(  V8 ="公"  ), $AP8 =""),"公假",  IF(  AND(  OR(  U8="x",U8="補",U8="婚",U8="公",U8="病",U8="事",U8="x榮18-22"  ),OR(V8=""), $AP8 =""  ),"18收",  IF(  AND(  OR(  U8 ="榮14-18",U8 ="榮10-18",U8 ="榮06-18",U8 ="病14-18"  ),OR(  V8 ="x",V8="補",V8="婚",V8="公",V8="病",V8="事",V8="x"  ), $AP8 =""),"18放早走",  IF(  AND(  OR(  U8 =""),OR(  V8 ="x",V8="補",V8="婚",V8="公",V8="病",V8="事",V8="x榮*",V8="榮",V8="榮-22"  ), $AP8 =""),"18放",  IF(  AND(  OR(  U8="當日退伍"  ),OR(  V8="退伍",V8="退", V8=""  ), $AP8 =""),"當日退伍",  IF(AND(  OR(U8="退",U8="退伍" ), OR(V8="退",V8="退伍" ), $AP8 =""),"退伍","全日勤"  )  )  )  )  )  )  )  )  )  )  ),"")</f>
        <v>全日勤</v>
      </c>
      <c r="V49" s="66" t="str">
        <f>IF(   (ROW(BH8)-1)&lt;=暫1!$B$2,           IF(  AND(  OR(  V8="x",V8="補"  ), OR(  W8 ="x",W8="補",W8="x榮18-22",W8="x公18-22",W8="x榮22-08"  ), $AP8 =""),"全日休",  IF(  AND(  OR(  V8="x",V8="病"  ), OR(  W8 ="病"  ), $AP8 =""),"病(事)假",  IF(  AND(  OR(  V8="x",V8="補"  ), OR(  W8 ="補"  ), $AP8 =""),"補休",  IF(  AND(  OR(  V8="x",V8="喪"  ), OR(  W8 ="喪"  ), $AP8 =""),"喪假",  IF(  AND(  OR(  V8="x",V8="婚",V8="產"  ), OR(  W8 ="婚",W8="產"  ), $AP8 =""),"婚(產)假",  IF(  AND(  OR(  V8="x",V8="公"  ), OR(  W8 ="公"  ), $AP8 =""),"公假",  IF(  AND(  OR(  V8="x",V8="補",V8="婚",V8="公",V8="病",V8="事",V8="x榮18-22"  ),OR(W8=""), $AP8 =""  ),"18收",  IF(  AND(  OR(  V8 ="榮14-18",V8 ="榮10-18",V8 ="榮06-18",V8 ="病14-18"  ),OR(  W8 ="x",W8="補",W8="婚",W8="公",W8="病",W8="事",W8="x"  ), $AP8 =""),"18放早走",  IF(  AND(  OR(  V8 =""),OR(  W8 ="x",W8="補",W8="婚",W8="公",W8="病",W8="事",W8="x榮*",W8="榮",W8="榮-22"  ), $AP8 =""),"18放",  IF(  AND(  OR(  V8="當日退伍"  ),OR(  W8="退伍",W8="退", W8=""  ), $AP8 =""),"當日退伍",  IF(AND(  OR(V8="退",V8="退伍" ), OR(W8="退",W8="退伍" ), $AP8 =""),"退伍","全日勤"  )  )  )  )  )  )  )  )  )  )  ),"")</f>
        <v>全日勤</v>
      </c>
      <c r="W49" s="66" t="str">
        <f>IF(   (ROW(BI8)-1)&lt;=暫1!$B$2,           IF(  AND(  OR(  W8="x",W8="補"  ), OR(  X8 ="x",X8="補",X8="x榮18-22",X8="x公18-22",X8="x榮22-08"  ), $AP8 =""),"全日休",  IF(  AND(  OR(  W8="x",W8="病"  ), OR(  X8 ="病"  ), $AP8 =""),"病(事)假",  IF(  AND(  OR(  W8="x",W8="補"  ), OR(  X8 ="補"  ), $AP8 =""),"補休",  IF(  AND(  OR(  W8="x",W8="喪"  ), OR(  X8 ="喪"  ), $AP8 =""),"喪假",  IF(  AND(  OR(  W8="x",W8="婚",W8="產"  ), OR(  X8 ="婚",X8="產"  ), $AP8 =""),"婚(產)假",  IF(  AND(  OR(  W8="x",W8="公"  ), OR(  X8 ="公"  ), $AP8 =""),"公假",  IF(  AND(  OR(  W8="x",W8="補",W8="婚",W8="公",W8="病",W8="事",W8="x榮18-22"  ),OR(X8=""), $AP8 =""  ),"18收",  IF(  AND(  OR(  W8 ="榮14-18",W8 ="榮10-18",W8 ="榮06-18",W8 ="病14-18"  ),OR(  X8 ="x",X8="補",X8="婚",X8="公",X8="病",X8="事",X8="x"  ), $AP8 =""),"18放早走",  IF(  AND(  OR(  W8 =""),OR(  X8 ="x",X8="補",X8="婚",X8="公",X8="病",X8="事",X8="x榮*",X8="榮",X8="榮-22"  ), $AP8 =""),"18放",  IF(  AND(  OR(  W8="當日退伍"  ),OR(  X8="退伍",X8="退", X8=""  ), $AP8 =""),"當日退伍",  IF(AND(  OR(W8="退",W8="退伍" ), OR(X8="退",X8="退伍" ), $AP8 =""),"退伍","全日勤"  )  )  )  )  )  )  )  )  )  )  ),"")</f>
        <v>全日勤</v>
      </c>
      <c r="X49" s="66" t="str">
        <f>IF(   (ROW(BJ8)-1)&lt;=暫1!$B$2,           IF(  AND(  OR(  X8="x",X8="補"  ), OR(  Y8 ="x",Y8="補",Y8="x榮18-22",Y8="x公18-22",Y8="x榮22-08"  ), $AP8 =""),"全日休",  IF(  AND(  OR(  X8="x",X8="病"  ), OR(  Y8 ="病"  ), $AP8 =""),"病(事)假",  IF(  AND(  OR(  X8="x",X8="補"  ), OR(  Y8 ="補"  ), $AP8 =""),"補休",  IF(  AND(  OR(  X8="x",X8="喪"  ), OR(  Y8 ="喪"  ), $AP8 =""),"喪假",  IF(  AND(  OR(  X8="x",X8="婚",X8="產"  ), OR(  Y8 ="婚",Y8="產"  ), $AP8 =""),"婚(產)假",  IF(  AND(  OR(  X8="x",X8="公"  ), OR(  Y8 ="公"  ), $AP8 =""),"公假",  IF(  AND(  OR(  X8="x",X8="補",X8="婚",X8="公",X8="病",X8="事",X8="x榮18-22"  ),OR(Y8=""), $AP8 =""  ),"18收",  IF(  AND(  OR(  X8 ="榮14-18",X8 ="榮10-18",X8 ="榮06-18",X8 ="病14-18"  ),OR(  Y8 ="x",Y8="補",Y8="婚",Y8="公",Y8="病",Y8="事",Y8="x"  ), $AP8 =""),"18放早走",  IF(  AND(  OR(  X8 =""),OR(  Y8 ="x",Y8="補",Y8="婚",Y8="公",Y8="病",Y8="事",Y8="x榮*",Y8="榮",Y8="榮-22"  ), $AP8 =""),"18放",  IF(  AND(  OR(  X8="當日退伍"  ),OR(  Y8="退伍",Y8="退", Y8=""  ), $AP8 =""),"當日退伍",  IF(AND(  OR(X8="退",X8="退伍" ), OR(Y8="退",Y8="退伍" ), $AP8 =""),"退伍","全日勤"  )  )  )  )  )  )  )  )  )  )  ),"")</f>
        <v>全日勤</v>
      </c>
      <c r="Y49" s="66" t="str">
        <f>IF(   (ROW(BK8)-1)&lt;=暫1!$B$2,           IF(  AND(  OR(  Y8="x",Y8="補"  ), OR(  Z8 ="x",Z8="補",Z8="x榮18-22",Z8="x公18-22",Z8="x榮22-08"  ), $AP8 =""),"全日休",  IF(  AND(  OR(  Y8="x",Y8="病"  ), OR(  Z8 ="病"  ), $AP8 =""),"病(事)假",  IF(  AND(  OR(  Y8="x",Y8="補"  ), OR(  Z8 ="補"  ), $AP8 =""),"補休",  IF(  AND(  OR(  Y8="x",Y8="喪"  ), OR(  Z8 ="喪"  ), $AP8 =""),"喪假",  IF(  AND(  OR(  Y8="x",Y8="婚",Y8="產"  ), OR(  Z8 ="婚",Z8="產"  ), $AP8 =""),"婚(產)假",  IF(  AND(  OR(  Y8="x",Y8="公"  ), OR(  Z8 ="公"  ), $AP8 =""),"公假",  IF(  AND(  OR(  Y8="x",Y8="補",Y8="婚",Y8="公",Y8="病",Y8="事",Y8="x榮18-22"  ),OR(Z8=""), $AP8 =""  ),"18收",  IF(  AND(  OR(  Y8 ="榮14-18",Y8 ="榮10-18",Y8 ="榮06-18",Y8 ="病14-18"  ),OR(  Z8 ="x",Z8="補",Z8="婚",Z8="公",Z8="病",Z8="事",Z8="x"  ), $AP8 =""),"18放早走",  IF(  AND(  OR(  Y8 =""),OR(  Z8 ="x",Z8="補",Z8="婚",Z8="公",Z8="病",Z8="事",Z8="x榮*",Z8="榮",Z8="榮-22"  ), $AP8 =""),"18放",  IF(  AND(  OR(  Y8="當日退伍"  ),OR(  Z8="退伍",Z8="退", Z8=""  ), $AP8 =""),"當日退伍",  IF(AND(  OR(Y8="退",Y8="退伍" ), OR(Z8="退",Z8="退伍" ), $AP8 =""),"退伍","全日勤"  )  )  )  )  )  )  )  )  )  )  ),"")</f>
        <v>全日勤</v>
      </c>
      <c r="Z49" s="66" t="str">
        <f>IF(   (ROW(BL8)-1)&lt;=暫1!$B$2,           IF(  AND(  OR(  Z8="x",Z8="補"  ), OR(  AA8 ="x",AA8="補",AA8="x榮18-22",AA8="x公18-22",AA8="x榮22-08"  ), $AP8 =""),"全日休",  IF(  AND(  OR(  Z8="x",Z8="病"  ), OR(  AA8 ="病"  ), $AP8 =""),"病(事)假",  IF(  AND(  OR(  Z8="x",Z8="補"  ), OR(  AA8 ="補"  ), $AP8 =""),"補休",  IF(  AND(  OR(  Z8="x",Z8="喪"  ), OR(  AA8 ="喪"  ), $AP8 =""),"喪假",  IF(  AND(  OR(  Z8="x",Z8="婚",Z8="產"  ), OR(  AA8 ="婚",AA8="產"  ), $AP8 =""),"婚(產)假",  IF(  AND(  OR(  Z8="x",Z8="公"  ), OR(  AA8 ="公"  ), $AP8 =""),"公假",  IF(  AND(  OR(  Z8="x",Z8="補",Z8="婚",Z8="公",Z8="病",Z8="事",Z8="x榮18-22"  ),OR(AA8=""), $AP8 =""  ),"18收",  IF(  AND(  OR(  Z8 ="榮14-18",Z8 ="榮10-18",Z8 ="榮06-18",Z8 ="病14-18"  ),OR(  AA8 ="x",AA8="補",AA8="婚",AA8="公",AA8="病",AA8="事",AA8="x"  ), $AP8 =""),"18放早走",  IF(  AND(  OR(  Z8 =""),OR(  AA8 ="x",AA8="補",AA8="婚",AA8="公",AA8="病",AA8="事",AA8="x榮*",AA8="榮",AA8="榮-22"  ), $AP8 =""),"18放",  IF(  AND(  OR(  Z8="當日退伍"  ),OR(  AA8="退伍",AA8="退", AA8=""  ), $AP8 =""),"當日退伍",  IF(AND(  OR(Z8="退",Z8="退伍" ), OR(AA8="退",AA8="退伍" ), $AP8 =""),"退伍","全日勤"  )  )  )  )  )  )  )  )  )  )  ),"")</f>
        <v>全日勤</v>
      </c>
      <c r="AA49" s="66" t="str">
        <f>IF(   (ROW(BM8)-1)&lt;=暫1!$B$2,           IF(  AND(  OR(  AA8="x",AA8="補"  ), OR(  AB8 ="x",AB8="補",AB8="x榮18-22",AB8="x公18-22",AB8="x榮22-08"  ), $AP8 =""),"全日休",  IF(  AND(  OR(  AA8="x",AA8="病"  ), OR(  AB8 ="病"  ), $AP8 =""),"病(事)假",  IF(  AND(  OR(  AA8="x",AA8="補"  ), OR(  AB8 ="補"  ), $AP8 =""),"補休",  IF(  AND(  OR(  AA8="x",AA8="喪"  ), OR(  AB8 ="喪"  ), $AP8 =""),"喪假",  IF(  AND(  OR(  AA8="x",AA8="婚",AA8="產"  ), OR(  AB8 ="婚",AB8="產"  ), $AP8 =""),"婚(產)假",  IF(  AND(  OR(  AA8="x",AA8="公"  ), OR(  AB8 ="公"  ), $AP8 =""),"公假",  IF(  AND(  OR(  AA8="x",AA8="補",AA8="婚",AA8="公",AA8="病",AA8="事",AA8="x榮18-22"  ),OR(AB8=""), $AP8 =""  ),"18收",  IF(  AND(  OR(  AA8 ="榮14-18",AA8 ="榮10-18",AA8 ="榮06-18",AA8 ="病14-18"  ),OR(  AB8 ="x",AB8="補",AB8="婚",AB8="公",AB8="病",AB8="事",AB8="x"  ), $AP8 =""),"18放早走",  IF(  AND(  OR(  AA8 =""),OR(  AB8 ="x",AB8="補",AB8="婚",AB8="公",AB8="病",AB8="事",AB8="x榮*",AB8="榮",AB8="榮-22"  ), $AP8 =""),"18放",  IF(  AND(  OR(  AA8="當日退伍"  ),OR(  AB8="退伍",AB8="退", AB8=""  ), $AP8 =""),"當日退伍",  IF(AND(  OR(AA8="退",AA8="退伍" ), OR(AB8="退",AB8="退伍" ), $AP8 =""),"退伍","全日勤"  )  )  )  )  )  )  )  )  )  )  ),"")</f>
        <v>全日勤</v>
      </c>
      <c r="AB49" s="66" t="str">
        <f>IF(   (ROW(BN8)-1)&lt;=暫1!$B$2,           IF(  AND(  OR(  AB8="x",AB8="補"  ), OR(  AC8 ="x",AC8="補",AC8="x榮18-22",AC8="x公18-22",AC8="x榮22-08"  ), $AP8 =""),"全日休",  IF(  AND(  OR(  AB8="x",AB8="病"  ), OR(  AC8 ="病"  ), $AP8 =""),"病(事)假",  IF(  AND(  OR(  AB8="x",AB8="補"  ), OR(  AC8 ="補"  ), $AP8 =""),"補休",  IF(  AND(  OR(  AB8="x",AB8="喪"  ), OR(  AC8 ="喪"  ), $AP8 =""),"喪假",  IF(  AND(  OR(  AB8="x",AB8="婚",AB8="產"  ), OR(  AC8 ="婚",AC8="產"  ), $AP8 =""),"婚(產)假",  IF(  AND(  OR(  AB8="x",AB8="公"  ), OR(  AC8 ="公"  ), $AP8 =""),"公假",  IF(  AND(  OR(  AB8="x",AB8="補",AB8="婚",AB8="公",AB8="病",AB8="事",AB8="x榮18-22"  ),OR(AC8=""), $AP8 =""  ),"18收",  IF(  AND(  OR(  AB8 ="榮14-18",AB8 ="榮10-18",AB8 ="榮06-18",AB8 ="病14-18"  ),OR(  AC8 ="x",AC8="補",AC8="婚",AC8="公",AC8="病",AC8="事",AC8="x"  ), $AP8 =""),"18放早走",  IF(  AND(  OR(  AB8 =""),OR(  AC8 ="x",AC8="補",AC8="婚",AC8="公",AC8="病",AC8="事",AC8="x榮*",AC8="榮",AC8="榮-22"  ), $AP8 =""),"18放",  IF(  AND(  OR(  AB8="當日退伍"  ),OR(  AC8="退伍",AC8="退", AC8=""  ), $AP8 =""),"當日退伍",  IF(AND(  OR(AB8="退",AB8="退伍" ), OR(AC8="退",AC8="退伍" ), $AP8 =""),"退伍","全日勤"  )  )  )  )  )  )  )  )  )  )  ),"")</f>
        <v>全日勤</v>
      </c>
      <c r="AC49" s="66" t="str">
        <f>IF(   (ROW(BO8)-1)&lt;=暫1!$B$2,           IF(  AND(  OR(  AC8="x",AC8="補"  ), OR(  AD8 ="x",AD8="補",AD8="x榮18-22",AD8="x公18-22",AD8="x榮22-08"  ), $AP8 =""),"全日休",  IF(  AND(  OR(  AC8="x",AC8="病"  ), OR(  AD8 ="病"  ), $AP8 =""),"病(事)假",  IF(  AND(  OR(  AC8="x",AC8="補"  ), OR(  AD8 ="補"  ), $AP8 =""),"補休",  IF(  AND(  OR(  AC8="x",AC8="喪"  ), OR(  AD8 ="喪"  ), $AP8 =""),"喪假",  IF(  AND(  OR(  AC8="x",AC8="婚",AC8="產"  ), OR(  AD8 ="婚",AD8="產"  ), $AP8 =""),"婚(產)假",  IF(  AND(  OR(  AC8="x",AC8="公"  ), OR(  AD8 ="公"  ), $AP8 =""),"公假",  IF(  AND(  OR(  AC8="x",AC8="補",AC8="婚",AC8="公",AC8="病",AC8="事",AC8="x榮18-22"  ),OR(AD8=""), $AP8 =""  ),"18收",  IF(  AND(  OR(  AC8 ="榮14-18",AC8 ="榮10-18",AC8 ="榮06-18",AC8 ="病14-18"  ),OR(  AD8 ="x",AD8="補",AD8="婚",AD8="公",AD8="病",AD8="事",AD8="x"  ), $AP8 =""),"18放早走",  IF(  AND(  OR(  AC8 =""),OR(  AD8 ="x",AD8="補",AD8="婚",AD8="公",AD8="病",AD8="事",AD8="x榮*",AD8="榮",AD8="榮-22"  ), $AP8 =""),"18放",  IF(  AND(  OR(  AC8="當日退伍"  ),OR(  AD8="退伍",AD8="退", AD8=""  ), $AP8 =""),"當日退伍",  IF(AND(  OR(AC8="退",AC8="退伍" ), OR(AD8="退",AD8="退伍" ), $AP8 =""),"退伍","全日勤"  )  )  )  )  )  )  )  )  )  )  ),"")</f>
        <v>全日勤</v>
      </c>
      <c r="AD49" s="66" t="str">
        <f>IF(   (ROW(BP8)-1)&lt;=暫1!$B$2,           IF(  AND(  OR(  AD8="x",AD8="補"  ), OR(  AE8 ="x",AE8="補",AE8="x榮18-22",AE8="x公18-22",AE8="x榮22-08"  ), $AP8 =""),"全日休",  IF(  AND(  OR(  AD8="x",AD8="病"  ), OR(  AE8 ="病"  ), $AP8 =""),"病(事)假",  IF(  AND(  OR(  AD8="x",AD8="補"  ), OR(  AE8 ="補"  ), $AP8 =""),"補休",  IF(  AND(  OR(  AD8="x",AD8="喪"  ), OR(  AE8 ="喪"  ), $AP8 =""),"喪假",  IF(  AND(  OR(  AD8="x",AD8="婚",AD8="產"  ), OR(  AE8 ="婚",AE8="產"  ), $AP8 =""),"婚(產)假",  IF(  AND(  OR(  AD8="x",AD8="公"  ), OR(  AE8 ="公"  ), $AP8 =""),"公假",  IF(  AND(  OR(  AD8="x",AD8="補",AD8="婚",AD8="公",AD8="病",AD8="事",AD8="x榮18-22"  ),OR(AE8=""), $AP8 =""  ),"18收",  IF(  AND(  OR(  AD8 ="榮14-18",AD8 ="榮10-18",AD8 ="榮06-18",AD8 ="病14-18"  ),OR(  AE8 ="x",AE8="補",AE8="婚",AE8="公",AE8="病",AE8="事",AE8="x"  ), $AP8 =""),"18放早走",  IF(  AND(  OR(  AD8 =""),OR(  AE8 ="x",AE8="補",AE8="婚",AE8="公",AE8="病",AE8="事",AE8="x榮*",AE8="榮",AE8="榮-22"  ), $AP8 =""),"18放",  IF(  AND(  OR(  AD8="當日退伍"  ),OR(  AE8="退伍",AE8="退", AE8=""  ), $AP8 =""),"當日退伍",  IF(AND(  OR(AD8="退",AD8="退伍" ), OR(AE8="退",AE8="退伍" ), $AP8 =""),"退伍","全日勤"  )  )  )  )  )  )  )  )  )  )  ),"")</f>
        <v>全日勤</v>
      </c>
      <c r="AE49" s="66" t="str">
        <f>IF(   (ROW(BQ8)-1)&lt;=暫1!$B$2,           IF(  AND(  OR(  AE8="x",AE8="補"  ), OR(  AF8 ="x",AF8="補",AF8="x榮18-22",AF8="x公18-22",AF8="x榮22-08"  ), $AP8 =""),"全日休",  IF(  AND(  OR(  AE8="x",AE8="病"  ), OR(  AF8 ="病"  ), $AP8 =""),"病(事)假",  IF(  AND(  OR(  AE8="x",AE8="補"  ), OR(  AF8 ="補"  ), $AP8 =""),"補休",  IF(  AND(  OR(  AE8="x",AE8="喪"  ), OR(  AF8 ="喪"  ), $AP8 =""),"喪假",  IF(  AND(  OR(  AE8="x",AE8="婚",AE8="產"  ), OR(  AF8 ="婚",AF8="產"  ), $AP8 =""),"婚(產)假",  IF(  AND(  OR(  AE8="x",AE8="公"  ), OR(  AF8 ="公"  ), $AP8 =""),"公假",  IF(  AND(  OR(  AE8="x",AE8="補",AE8="婚",AE8="公",AE8="病",AE8="事",AE8="x榮18-22"  ),OR(AF8=""), $AP8 =""  ),"18收",  IF(  AND(  OR(  AE8 ="榮14-18",AE8 ="榮10-18",AE8 ="榮06-18",AE8 ="病14-18"  ),OR(  AF8 ="x",AF8="補",AF8="婚",AF8="公",AF8="病",AF8="事",AF8="x"  ), $AP8 =""),"18放早走",  IF(  AND(  OR(  AE8 =""),OR(  AF8 ="x",AF8="補",AF8="婚",AF8="公",AF8="病",AF8="事",AF8="x榮*",AF8="榮",AF8="榮-22"  ), $AP8 =""),"18放",  IF(  AND(  OR(  AE8="當日退伍"  ),OR(  AF8="退伍",AF8="退", AF8=""  ), $AP8 =""),"當日退伍",  IF(AND(  OR(AE8="退",AE8="退伍" ), OR(AF8="退",AF8="退伍" ), $AP8 =""),"退伍","全日勤"  )  )  )  )  )  )  )  )  )  )  ),"")</f>
        <v>全日勤</v>
      </c>
      <c r="AF49" s="66" t="str">
        <f>IF(   (ROW(BR8)-1)&lt;=暫1!$B$2,           IF(  AND(  OR(  AF8="x",AF8="補"  ), OR(  AG8 ="x",AG8="補",AG8="x榮18-22",AG8="x公18-22",AG8="x榮22-08"  ), $AP8 =""),"全日休",  IF(  AND(  OR(  AF8="x",AF8="病"  ), OR(  AG8 ="病"  ), $AP8 =""),"病(事)假",  IF(  AND(  OR(  AF8="x",AF8="補"  ), OR(  AG8 ="補"  ), $AP8 =""),"補休",  IF(  AND(  OR(  AF8="x",AF8="喪"  ), OR(  AG8 ="喪"  ), $AP8 =""),"喪假",  IF(  AND(  OR(  AF8="x",AF8="婚",AF8="產"  ), OR(  AG8 ="婚",AG8="產"  ), $AP8 =""),"婚(產)假",  IF(  AND(  OR(  AF8="x",AF8="公"  ), OR(  AG8 ="公"  ), $AP8 =""),"公假",  IF(  AND(  OR(  AF8="x",AF8="補",AF8="婚",AF8="公",AF8="病",AF8="事",AF8="x榮18-22"  ),OR(AG8=""), $AP8 =""  ),"18收",  IF(  AND(  OR(  AF8 ="榮14-18",AF8 ="榮10-18",AF8 ="榮06-18",AF8 ="病14-18"  ),OR(  AG8 ="x",AG8="補",AG8="婚",AG8="公",AG8="病",AG8="事",AG8="x"  ), $AP8 =""),"18放早走",  IF(  AND(  OR(  AF8 =""),OR(  AG8 ="x",AG8="補",AG8="婚",AG8="公",AG8="病",AG8="事",AG8="x榮*",AG8="榮",AG8="榮-22"  ), $AP8 =""),"18放",  IF(  AND(  OR(  AF8="當日退伍"  ),OR(  AG8="退伍",AG8="退", AG8=""  ), $AP8 =""),"當日退伍",  IF(AND(  OR(AF8="退",AF8="退伍" ), OR(AG8="退",AG8="退伍" ), $AP8 =""),"退伍","全日勤"  )  )  )  )  )  )  )  )  )  )  ),"")</f>
        <v>18放</v>
      </c>
      <c r="AG49" s="66" t="str">
        <f>IF(   (ROW(BS8)-1)&lt;=暫1!$B$2,           IF(  AND(  OR(  AG8="x",AG8="補"  ), OR(  AH8 ="x",AH8="補",AH8="x榮18-22",AH8="x公18-22",AH8="x榮22-08"  ), $AP8 =""),"全日休",  IF(  AND(  OR(  AG8="x",AG8="病"  ), OR(  AH8 ="病"  ), $AP8 =""),"病(事)假",  IF(  AND(  OR(  AG8="x",AG8="補"  ), OR(  AH8 ="補"  ), $AP8 =""),"補休",  IF(  AND(  OR(  AG8="x",AG8="喪"  ), OR(  AH8 ="喪"  ), $AP8 =""),"喪假",  IF(  AND(  OR(  AG8="x",AG8="婚",AG8="產"  ), OR(  AH8 ="婚",AH8="產"  ), $AP8 =""),"婚(產)假",  IF(  AND(  OR(  AG8="x",AG8="公"  ), OR(  AH8 ="公"  ), $AP8 =""),"公假",  IF(  AND(  OR(  AG8="x",AG8="補",AG8="婚",AG8="公",AG8="病",AG8="事",AG8="x榮18-22"  ),OR(AH8=""), $AP8 =""  ),"18收",  IF(  AND(  OR(  AG8 ="榮14-18",AG8 ="榮10-18",AG8 ="榮06-18",AG8 ="病14-18"  ),OR(  AH8 ="x",AH8="補",AH8="婚",AH8="公",AH8="病",AH8="事",AH8="x"  ), $AP8 =""),"18放早走",  IF(  AND(  OR(  AG8 =""),OR(  AH8 ="x",AH8="補",AH8="婚",AH8="公",AH8="病",AH8="事",AH8="x榮*",AH8="榮",AH8="榮-22"  ), $AP8 =""),"18放",  IF(  AND(  OR(  AG8="當日退伍"  ),OR(  AH8="退伍",AH8="退", AH8=""  ), $AP8 =""),"當日退伍",  IF(AND(  OR(AG8="退",AG8="退伍" ), OR(AH8="退",AH8="退伍" ), $AP8 =""),"退伍","全日勤"  )  )  )  )  )  )  )  )  )  )  ),"")</f>
        <v>18收</v>
      </c>
      <c r="AH49" s="66" t="str">
        <f>IF(   (ROW(BT8)-1)&lt;=暫1!$B$2,           IF(  AND(  OR(  AH8="x",AH8="補"  ), OR(  AI8 ="x",AI8="補",AI8="x榮18-22",AI8="x公18-22",AI8="x榮22-08"  ), $AP8 =""),"全日休",  IF(  AND(  OR(  AH8="x",AH8="病"  ), OR(  AI8 ="病"  ), $AP8 =""),"病(事)假",  IF(  AND(  OR(  AH8="x",AH8="補"  ), OR(  AI8 ="補"  ), $AP8 =""),"補休",  IF(  AND(  OR(  AH8="x",AH8="喪"  ), OR(  AI8 ="喪"  ), $AP8 =""),"喪假",  IF(  AND(  OR(  AH8="x",AH8="婚",AH8="產"  ), OR(  AI8 ="婚",AI8="產"  ), $AP8 =""),"婚(產)假",  IF(  AND(  OR(  AH8="x",AH8="公"  ), OR(  AI8 ="公"  ), $AP8 =""),"公假",  IF(  AND(  OR(  AH8="x",AH8="補",AH8="婚",AH8="公",AH8="病",AH8="事",AH8="x榮18-22"  ),OR(AI8=""), $AP8 =""  ),"18收",  IF(  AND(  OR(  AH8 ="榮14-18",AH8 ="榮10-18",AH8 ="榮06-18",AH8 ="病14-18"  ),OR(  AI8 ="x",AI8="補",AI8="婚",AI8="公",AI8="病",AI8="事",AI8="x"  ), $AP8 =""),"18放早走",  IF(  AND(  OR(  AH8 =""),OR(  AI8 ="x",AI8="補",AI8="婚",AI8="公",AI8="病",AI8="事",AI8="x榮*",AI8="榮",AI8="榮-22"  ), $AP8 =""),"18放",  IF(  AND(  OR(  AH8="當日退伍"  ),OR(  AI8="退伍",AI8="退", AI8=""  ), $AP8 =""),"當日退伍",  IF(AND(  OR(AH8="退",AH8="退伍" ), OR(AI8="退",AI8="退伍" ), $AP8 =""),"退伍","全日勤"  )  )  )  )  )  )  )  )  )  )  ),"")</f>
        <v>全日勤</v>
      </c>
      <c r="AI49" s="66" t="str">
        <f>IF(   (ROW(BU8)-1)&lt;=暫1!$B$2,           IF(  AND(  OR(  AI8="x",AI8="補"  ), OR(  AJ8 ="x",AJ8="補",AJ8="x榮18-22",AJ8="x公18-22",AJ8="x榮22-08"  ), $AP8 =""),"全日休",  IF(  AND(  OR(  AI8="x",AI8="病"  ), OR(  AJ8 ="病"  ), $AP8 =""),"病(事)假",  IF(  AND(  OR(  AI8="x",AI8="補"  ), OR(  AJ8 ="補"  ), $AP8 =""),"補休",  IF(  AND(  OR(  AI8="x",AI8="喪"  ), OR(  AJ8 ="喪"  ), $AP8 =""),"喪假",  IF(  AND(  OR(  AI8="x",AI8="婚",AI8="產"  ), OR(  AJ8 ="婚",AJ8="產"  ), $AP8 =""),"婚(產)假",  IF(  AND(  OR(  AI8="x",AI8="公"  ), OR(  AJ8 ="公"  ), $AP8 =""),"公假",  IF(  AND(  OR(  AI8="x",AI8="補",AI8="婚",AI8="公",AI8="病",AI8="事",AI8="x榮18-22"  ),OR(AJ8=""), $AP8 =""  ),"18收",  IF(  AND(  OR(  AI8 ="榮14-18",AI8 ="榮10-18",AI8 ="榮06-18",AI8 ="病14-18"  ),OR(  AJ8 ="x",AJ8="補",AJ8="婚",AJ8="公",AJ8="病",AJ8="事",AJ8="x"  ), $AP8 =""),"18放早走",  IF(  AND(  OR(  AI8 =""),OR(  AJ8 ="x",AJ8="補",AJ8="婚",AJ8="公",AJ8="病",AJ8="事",AJ8="x榮*",AJ8="榮",AJ8="榮-22"  ), $AP8 =""),"18放",  IF(  AND(  OR(  AI8="當日退伍"  ),OR(  AJ8="退伍",AJ8="退", AJ8=""  ), $AP8 =""),"當日退伍",  IF(AND(  OR(AI8="退",AI8="退伍" ), OR(AJ8="退",AJ8="退伍" ), $AP8 =""),"退伍","全日勤"  )  )  )  )  )  )  )  )  )  )  ),"")</f>
        <v>全日勤</v>
      </c>
      <c r="AJ49" s="66" t="str">
        <f>IF(   (ROW(BV8)-1)&lt;=暫1!$B$2,           IF(  AND(  OR(  AJ8="x",AJ8="補"  ), OR(  AK8 ="x",AK8="補",AK8="x榮18-22",AK8="x公18-22",AK8="x榮22-08"  ), $AP8 =""),"全日休",  IF(  AND(  OR(  AJ8="x",AJ8="病"  ), OR(  AK8 ="病"  ), $AP8 =""),"病(事)假",  IF(  AND(  OR(  AJ8="x",AJ8="補"  ), OR(  AK8 ="補"  ), $AP8 =""),"補休",  IF(  AND(  OR(  AJ8="x",AJ8="喪"  ), OR(  AK8 ="喪"  ), $AP8 =""),"喪假",  IF(  AND(  OR(  AJ8="x",AJ8="婚",AJ8="產"  ), OR(  AK8 ="婚",AK8="產"  ), $AP8 =""),"婚(產)假",  IF(  AND(  OR(  AJ8="x",AJ8="公"  ), OR(  AK8 ="公"  ), $AP8 =""),"公假",  IF(  AND(  OR(  AJ8="x",AJ8="補",AJ8="婚",AJ8="公",AJ8="病",AJ8="事",AJ8="x榮18-22"  ),OR(AK8=""), $AP8 =""  ),"18收",  IF(  AND(  OR(  AJ8 ="榮14-18",AJ8 ="榮10-18",AJ8 ="榮06-18",AJ8 ="病14-18"  ),OR(  AK8 ="x",AK8="補",AK8="婚",AK8="公",AK8="病",AK8="事",AK8="x"  ), $AP8 =""),"18放早走",  IF(  AND(  OR(  AJ8 =""),OR(  AK8 ="x",AK8="補",AK8="婚",AK8="公",AK8="病",AK8="事",AK8="x榮*",AK8="榮",AK8="榮-22"  ), $AP8 =""),"18放",  IF(  AND(  OR(  AJ8="當日退伍"  ),OR(  AK8="退伍",AK8="退", AK8=""  ), $AP8 =""),"當日退伍",  IF(AND(  OR(AJ8="退",AJ8="退伍" ), OR(AK8="退",AK8="退伍" ), $AP8 =""),"退伍","全日勤"  )  )  )  )  )  )  )  )  )  )  ),"")</f>
        <v>全日勤</v>
      </c>
      <c r="AO49" s="76"/>
      <c r="AP49" s="63"/>
      <c r="AU49" s="63"/>
      <c r="AY49" s="63"/>
      <c r="AZ49" s="63"/>
      <c r="BA49" s="63"/>
    </row>
    <row r="50" spans="1:55">
      <c r="A50" s="66">
        <f t="shared" si="4"/>
        <v>8</v>
      </c>
      <c r="B50" s="66" t="str">
        <f t="shared" si="6"/>
        <v>許翊呈</v>
      </c>
      <c r="C50" s="66" t="str">
        <f>IF(   (ROW(AO9)-1)&lt;=暫1!$B$2,           IF(  AND(  OR(  C9="x",C9="補"  ), OR(  D9 ="x",D9="補",D9="x榮18-22",D9="x公18-22",D9="x榮22-08"  ), $AP9 =""),"全日休",  IF(  AND(  OR(  C9="x",C9="病"  ), OR(  D9 ="病"  ), $AP9 =""),"病(事)假",  IF(  AND(  OR(  C9="x",C9="補"  ), OR(  D9 ="補"  ), $AP9 =""),"補休",  IF(  AND(  OR(  C9="x",C9="喪"  ), OR(  D9 ="喪"  ), $AP9 =""),"喪假",  IF(  AND(  OR(  C9="x",C9="婚",C9="產"  ), OR(  D9 ="婚",D9="產"  ), $AP9 =""),"婚(產)假",  IF(  AND(  OR(  C9="x",C9="公"  ), OR(  D9 ="公"  ), $AP9 =""),"公假",  IF(  AND(  OR(  C9="x",C9="補",C9="婚",C9="公",C9="病",C9="事",C9="x榮18-22"  ),OR(D9=""), $AP9 =""  ),"18收",  IF(  AND(  OR(  C9 ="榮14-18",C9 ="榮10-18",C9 ="榮06-18",C9 ="病14-18"  ),OR(  D9 ="x",D9="補",D9="婚",D9="公",D9="病",D9="事",D9="x"  ), $AP9 =""),"18放早走",  IF(  AND(  OR(  C9 =""),OR(  D9 ="x",D9="補",D9="婚",D9="公",D9="病",D9="事",D9="x榮*",D9="榮",D9="榮-22"  ), $AP9 =""),"18放",  IF(  AND(  OR(  C9="當日退伍"  ),OR(  D9="退伍",D9="退", D9=""  ), $AP9 =""),"當日退伍",  IF(AND(  OR(C9="退",C9="退伍" ), OR(D9="退",D9="退伍" ), $AP9 =""),"退伍","全日勤"  )  )  )  )  )  )  )  )  )  )  ),"")</f>
        <v>全日勤</v>
      </c>
      <c r="D50" s="66" t="str">
        <f>IF(   (ROW(AP9)-1)&lt;=暫1!$B$2,           IF(  AND(  OR(  D9="x",D9="補"  ), OR(  E9 ="x",E9="補",E9="x榮18-22",E9="x公18-22",E9="x榮22-08"  ), $AP9 =""),"全日休",  IF(  AND(  OR(  D9="x",D9="病"  ), OR(  E9 ="病"  ), $AP9 =""),"病(事)假",  IF(  AND(  OR(  D9="x",D9="補"  ), OR(  E9 ="補"  ), $AP9 =""),"補休",  IF(  AND(  OR(  D9="x",D9="喪"  ), OR(  E9 ="喪"  ), $AP9 =""),"喪假",  IF(  AND(  OR(  D9="x",D9="婚",D9="產"  ), OR(  E9 ="婚",E9="產"  ), $AP9 =""),"婚(產)假",  IF(  AND(  OR(  D9="x",D9="公"  ), OR(  E9 ="公"  ), $AP9 =""),"公假",  IF(  AND(  OR(  D9="x",D9="補",D9="婚",D9="公",D9="病",D9="事",D9="x榮18-22"  ),OR(E9=""), $AP9 =""  ),"18收",  IF(  AND(  OR(  D9 ="榮14-18",D9 ="榮10-18",D9 ="榮06-18",D9 ="病14-18"  ),OR(  E9 ="x",E9="補",E9="婚",E9="公",E9="病",E9="事",E9="x"  ), $AP9 =""),"18放早走",  IF(  AND(  OR(  D9 =""),OR(  E9 ="x",E9="補",E9="婚",E9="公",E9="病",E9="事",E9="x榮*",E9="榮",E9="榮-22"  ), $AP9 =""),"18放",  IF(  AND(  OR(  D9="當日退伍"  ),OR(  E9="退伍",E9="退", E9=""  ), $AP9 =""),"當日退伍",  IF(AND(  OR(D9="退",D9="退伍" ), OR(E9="退",E9="退伍" ), $AP9 =""),"退伍","全日勤"  )  )  )  )  )  )  )  )  )  )  ),"")</f>
        <v>全日勤</v>
      </c>
      <c r="E50" s="66" t="str">
        <f>IF(   (ROW(AQ9)-1)&lt;=暫1!$B$2,           IF(  AND(  OR(  E9="x",E9="補"  ), OR(  F9 ="x",F9="補",F9="x榮18-22",F9="x公18-22",F9="x榮22-08"  ), $AP9 =""),"全日休",  IF(  AND(  OR(  E9="x",E9="病"  ), OR(  F9 ="病"  ), $AP9 =""),"病(事)假",  IF(  AND(  OR(  E9="x",E9="補"  ), OR(  F9 ="補"  ), $AP9 =""),"補休",  IF(  AND(  OR(  E9="x",E9="喪"  ), OR(  F9 ="喪"  ), $AP9 =""),"喪假",  IF(  AND(  OR(  E9="x",E9="婚",E9="產"  ), OR(  F9 ="婚",F9="產"  ), $AP9 =""),"婚(產)假",  IF(  AND(  OR(  E9="x",E9="公"  ), OR(  F9 ="公"  ), $AP9 =""),"公假",  IF(  AND(  OR(  E9="x",E9="補",E9="婚",E9="公",E9="病",E9="事",E9="x榮18-22"  ),OR(F9=""), $AP9 =""  ),"18收",  IF(  AND(  OR(  E9 ="榮14-18",E9 ="榮10-18",E9 ="榮06-18",E9 ="病14-18"  ),OR(  F9 ="x",F9="補",F9="婚",F9="公",F9="病",F9="事",F9="x"  ), $AP9 =""),"18放早走",  IF(  AND(  OR(  E9 =""),OR(  F9 ="x",F9="補",F9="婚",F9="公",F9="病",F9="事",F9="x榮*",F9="榮",F9="榮-22"  ), $AP9 =""),"18放",  IF(  AND(  OR(  E9="當日退伍"  ),OR(  F9="退伍",F9="退", F9=""  ), $AP9 =""),"當日退伍",  IF(AND(  OR(E9="退",E9="退伍" ), OR(F9="退",F9="退伍" ), $AP9 =""),"退伍","全日勤"  )  )  )  )  )  )  )  )  )  )  ),"")</f>
        <v>全日勤</v>
      </c>
      <c r="F50" s="66" t="str">
        <f>IF(   (ROW(AR9)-1)&lt;=暫1!$B$2,           IF(  AND(  OR(  F9="x",F9="補"  ), OR(  G9 ="x",G9="補",G9="x榮18-22",G9="x公18-22",G9="x榮22-08"  ), $AP9 =""),"全日休",  IF(  AND(  OR(  F9="x",F9="病"  ), OR(  G9 ="病"  ), $AP9 =""),"病(事)假",  IF(  AND(  OR(  F9="x",F9="補"  ), OR(  G9 ="補"  ), $AP9 =""),"補休",  IF(  AND(  OR(  F9="x",F9="喪"  ), OR(  G9 ="喪"  ), $AP9 =""),"喪假",  IF(  AND(  OR(  F9="x",F9="婚",F9="產"  ), OR(  G9 ="婚",G9="產"  ), $AP9 =""),"婚(產)假",  IF(  AND(  OR(  F9="x",F9="公"  ), OR(  G9 ="公"  ), $AP9 =""),"公假",  IF(  AND(  OR(  F9="x",F9="補",F9="婚",F9="公",F9="病",F9="事",F9="x榮18-22"  ),OR(G9=""), $AP9 =""  ),"18收",  IF(  AND(  OR(  F9 ="榮14-18",F9 ="榮10-18",F9 ="榮06-18",F9 ="病14-18"  ),OR(  G9 ="x",G9="補",G9="婚",G9="公",G9="病",G9="事",G9="x"  ), $AP9 =""),"18放早走",  IF(  AND(  OR(  F9 =""),OR(  G9 ="x",G9="補",G9="婚",G9="公",G9="病",G9="事",G9="x榮*",G9="榮",G9="榮-22"  ), $AP9 =""),"18放",  IF(  AND(  OR(  F9="當日退伍"  ),OR(  G9="退伍",G9="退", G9=""  ), $AP9 =""),"當日退伍",  IF(AND(  OR(F9="退",F9="退伍" ), OR(G9="退",G9="退伍" ), $AP9 =""),"退伍","全日勤"  )  )  )  )  )  )  )  )  )  )  ),"")</f>
        <v>全日勤</v>
      </c>
      <c r="G50" s="66" t="str">
        <f>IF(   (ROW(AS9)-1)&lt;=暫1!$B$2,           IF(  AND(  OR(  G9="x",G9="補"  ), OR(  H9 ="x",H9="補",H9="x榮18-22",H9="x公18-22",H9="x榮22-08"  ), $AP9 =""),"全日休",  IF(  AND(  OR(  G9="x",G9="病"  ), OR(  H9 ="病"  ), $AP9 =""),"病(事)假",  IF(  AND(  OR(  G9="x",G9="補"  ), OR(  H9 ="補"  ), $AP9 =""),"補休",  IF(  AND(  OR(  G9="x",G9="喪"  ), OR(  H9 ="喪"  ), $AP9 =""),"喪假",  IF(  AND(  OR(  G9="x",G9="婚",G9="產"  ), OR(  H9 ="婚",H9="產"  ), $AP9 =""),"婚(產)假",  IF(  AND(  OR(  G9="x",G9="公"  ), OR(  H9 ="公"  ), $AP9 =""),"公假",  IF(  AND(  OR(  G9="x",G9="補",G9="婚",G9="公",G9="病",G9="事",G9="x榮18-22"  ),OR(H9=""), $AP9 =""  ),"18收",  IF(  AND(  OR(  G9 ="榮14-18",G9 ="榮10-18",G9 ="榮06-18",G9 ="病14-18"  ),OR(  H9 ="x",H9="補",H9="婚",H9="公",H9="病",H9="事",H9="x"  ), $AP9 =""),"18放早走",  IF(  AND(  OR(  G9 =""),OR(  H9 ="x",H9="補",H9="婚",H9="公",H9="病",H9="事",H9="x榮*",H9="榮",H9="榮-22"  ), $AP9 =""),"18放",  IF(  AND(  OR(  G9="當日退伍"  ),OR(  H9="退伍",H9="退", H9=""  ), $AP9 =""),"當日退伍",  IF(AND(  OR(G9="退",G9="退伍" ), OR(H9="退",H9="退伍" ), $AP9 =""),"退伍","全日勤"  )  )  )  )  )  )  )  )  )  )  ),"")</f>
        <v>全日勤</v>
      </c>
      <c r="H50" s="66" t="str">
        <f>IF(   (ROW(AT9)-1)&lt;=暫1!$B$2,           IF(  AND(  OR(  H9="x",H9="補"  ), OR(  I9 ="x",I9="補",I9="x榮18-22",I9="x公18-22",I9="x榮22-08"  ), $AP9 =""),"全日休",  IF(  AND(  OR(  H9="x",H9="病"  ), OR(  I9 ="病"  ), $AP9 =""),"病(事)假",  IF(  AND(  OR(  H9="x",H9="補"  ), OR(  I9 ="補"  ), $AP9 =""),"補休",  IF(  AND(  OR(  H9="x",H9="喪"  ), OR(  I9 ="喪"  ), $AP9 =""),"喪假",  IF(  AND(  OR(  H9="x",H9="婚",H9="產"  ), OR(  I9 ="婚",I9="產"  ), $AP9 =""),"婚(產)假",  IF(  AND(  OR(  H9="x",H9="公"  ), OR(  I9 ="公"  ), $AP9 =""),"公假",  IF(  AND(  OR(  H9="x",H9="補",H9="婚",H9="公",H9="病",H9="事",H9="x榮18-22"  ),OR(I9=""), $AP9 =""  ),"18收",  IF(  AND(  OR(  H9 ="榮14-18",H9 ="榮10-18",H9 ="榮06-18",H9 ="病14-18"  ),OR(  I9 ="x",I9="補",I9="婚",I9="公",I9="病",I9="事",I9="x"  ), $AP9 =""),"18放早走",  IF(  AND(  OR(  H9 =""),OR(  I9 ="x",I9="補",I9="婚",I9="公",I9="病",I9="事",I9="x榮*",I9="榮",I9="榮-22"  ), $AP9 =""),"18放",  IF(  AND(  OR(  H9="當日退伍"  ),OR(  I9="退伍",I9="退", I9=""  ), $AP9 =""),"當日退伍",  IF(AND(  OR(H9="退",H9="退伍" ), OR(I9="退",I9="退伍" ), $AP9 =""),"退伍","全日勤"  )  )  )  )  )  )  )  )  )  )  ),"")</f>
        <v>全日勤</v>
      </c>
      <c r="I50" s="66" t="str">
        <f>IF(   (ROW(AU9)-1)&lt;=暫1!$B$2,           IF(  AND(  OR(  I9="x",I9="補"  ), OR(  J9 ="x",J9="補",J9="x榮18-22",J9="x公18-22",J9="x榮22-08"  ), $AP9 =""),"全日休",  IF(  AND(  OR(  I9="x",I9="病"  ), OR(  J9 ="病"  ), $AP9 =""),"病(事)假",  IF(  AND(  OR(  I9="x",I9="補"  ), OR(  J9 ="補"  ), $AP9 =""),"補休",  IF(  AND(  OR(  I9="x",I9="喪"  ), OR(  J9 ="喪"  ), $AP9 =""),"喪假",  IF(  AND(  OR(  I9="x",I9="婚",I9="產"  ), OR(  J9 ="婚",J9="產"  ), $AP9 =""),"婚(產)假",  IF(  AND(  OR(  I9="x",I9="公"  ), OR(  J9 ="公"  ), $AP9 =""),"公假",  IF(  AND(  OR(  I9="x",I9="補",I9="婚",I9="公",I9="病",I9="事",I9="x榮18-22"  ),OR(J9=""), $AP9 =""  ),"18收",  IF(  AND(  OR(  I9 ="榮14-18",I9 ="榮10-18",I9 ="榮06-18",I9 ="病14-18"  ),OR(  J9 ="x",J9="補",J9="婚",J9="公",J9="病",J9="事",J9="x"  ), $AP9 =""),"18放早走",  IF(  AND(  OR(  I9 =""),OR(  J9 ="x",J9="補",J9="婚",J9="公",J9="病",J9="事",J9="x榮*",J9="榮",J9="榮-22"  ), $AP9 =""),"18放",  IF(  AND(  OR(  I9="當日退伍"  ),OR(  J9="退伍",J9="退", J9=""  ), $AP9 =""),"當日退伍",  IF(AND(  OR(I9="退",I9="退伍" ), OR(J9="退",J9="退伍" ), $AP9 =""),"退伍","全日勤"  )  )  )  )  )  )  )  )  )  )  ),"")</f>
        <v>全日勤</v>
      </c>
      <c r="J50" s="66" t="str">
        <f>IF(   (ROW(AV9)-1)&lt;=暫1!$B$2,           IF(  AND(  OR(  J9="x",J9="補"  ), OR(  K9 ="x",K9="補",K9="x榮18-22",K9="x公18-22",K9="x榮22-08"  ), $AP9 =""),"全日休",  IF(  AND(  OR(  J9="x",J9="病"  ), OR(  K9 ="病"  ), $AP9 =""),"病(事)假",  IF(  AND(  OR(  J9="x",J9="補"  ), OR(  K9 ="補"  ), $AP9 =""),"補休",  IF(  AND(  OR(  J9="x",J9="喪"  ), OR(  K9 ="喪"  ), $AP9 =""),"喪假",  IF(  AND(  OR(  J9="x",J9="婚",J9="產"  ), OR(  K9 ="婚",K9="產"  ), $AP9 =""),"婚(產)假",  IF(  AND(  OR(  J9="x",J9="公"  ), OR(  K9 ="公"  ), $AP9 =""),"公假",  IF(  AND(  OR(  J9="x",J9="補",J9="婚",J9="公",J9="病",J9="事",J9="x榮18-22"  ),OR(K9=""), $AP9 =""  ),"18收",  IF(  AND(  OR(  J9 ="榮14-18",J9 ="榮10-18",J9 ="榮06-18",J9 ="病14-18"  ),OR(  K9 ="x",K9="補",K9="婚",K9="公",K9="病",K9="事",K9="x"  ), $AP9 =""),"18放早走",  IF(  AND(  OR(  J9 =""),OR(  K9 ="x",K9="補",K9="婚",K9="公",K9="病",K9="事",K9="x榮*",K9="榮",K9="榮-22"  ), $AP9 =""),"18放",  IF(  AND(  OR(  J9="當日退伍"  ),OR(  K9="退伍",K9="退", K9=""  ), $AP9 =""),"當日退伍",  IF(AND(  OR(J9="退",J9="退伍" ), OR(K9="退",K9="退伍" ), $AP9 =""),"退伍","全日勤"  )  )  )  )  )  )  )  )  )  )  ),"")</f>
        <v>全日勤</v>
      </c>
      <c r="K50" s="66" t="str">
        <f>IF(   (ROW(AW9)-1)&lt;=暫1!$B$2,           IF(  AND(  OR(  K9="x",K9="補"  ), OR(  L9 ="x",L9="補",L9="x榮18-22",L9="x公18-22",L9="x榮22-08"  ), $AP9 =""),"全日休",  IF(  AND(  OR(  K9="x",K9="病"  ), OR(  L9 ="病"  ), $AP9 =""),"病(事)假",  IF(  AND(  OR(  K9="x",K9="補"  ), OR(  L9 ="補"  ), $AP9 =""),"補休",  IF(  AND(  OR(  K9="x",K9="喪"  ), OR(  L9 ="喪"  ), $AP9 =""),"喪假",  IF(  AND(  OR(  K9="x",K9="婚",K9="產"  ), OR(  L9 ="婚",L9="產"  ), $AP9 =""),"婚(產)假",  IF(  AND(  OR(  K9="x",K9="公"  ), OR(  L9 ="公"  ), $AP9 =""),"公假",  IF(  AND(  OR(  K9="x",K9="補",K9="婚",K9="公",K9="病",K9="事",K9="x榮18-22"  ),OR(L9=""), $AP9 =""  ),"18收",  IF(  AND(  OR(  K9 ="榮14-18",K9 ="榮10-18",K9 ="榮06-18",K9 ="病14-18"  ),OR(  L9 ="x",L9="補",L9="婚",L9="公",L9="病",L9="事",L9="x"  ), $AP9 =""),"18放早走",  IF(  AND(  OR(  K9 =""),OR(  L9 ="x",L9="補",L9="婚",L9="公",L9="病",L9="事",L9="x榮*",L9="榮",L9="榮-22"  ), $AP9 =""),"18放",  IF(  AND(  OR(  K9="當日退伍"  ),OR(  L9="退伍",L9="退", L9=""  ), $AP9 =""),"當日退伍",  IF(AND(  OR(K9="退",K9="退伍" ), OR(L9="退",L9="退伍" ), $AP9 =""),"退伍","全日勤"  )  )  )  )  )  )  )  )  )  )  ),"")</f>
        <v>全日勤</v>
      </c>
      <c r="L50" s="66" t="str">
        <f>IF(   (ROW(AX9)-1)&lt;=暫1!$B$2,           IF(  AND(  OR(  L9="x",L9="補"  ), OR(  M9 ="x",M9="補",M9="x榮18-22",M9="x公18-22",M9="x榮22-08"  ), $AP9 =""),"全日休",  IF(  AND(  OR(  L9="x",L9="病"  ), OR(  M9 ="病"  ), $AP9 =""),"病(事)假",  IF(  AND(  OR(  L9="x",L9="補"  ), OR(  M9 ="補"  ), $AP9 =""),"補休",  IF(  AND(  OR(  L9="x",L9="喪"  ), OR(  M9 ="喪"  ), $AP9 =""),"喪假",  IF(  AND(  OR(  L9="x",L9="婚",L9="產"  ), OR(  M9 ="婚",M9="產"  ), $AP9 =""),"婚(產)假",  IF(  AND(  OR(  L9="x",L9="公"  ), OR(  M9 ="公"  ), $AP9 =""),"公假",  IF(  AND(  OR(  L9="x",L9="補",L9="婚",L9="公",L9="病",L9="事",L9="x榮18-22"  ),OR(M9=""), $AP9 =""  ),"18收",  IF(  AND(  OR(  L9 ="榮14-18",L9 ="榮10-18",L9 ="榮06-18",L9 ="病14-18"  ),OR(  M9 ="x",M9="補",M9="婚",M9="公",M9="病",M9="事",M9="x"  ), $AP9 =""),"18放早走",  IF(  AND(  OR(  L9 =""),OR(  M9 ="x",M9="補",M9="婚",M9="公",M9="病",M9="事",M9="x榮*",M9="榮",M9="榮-22"  ), $AP9 =""),"18放",  IF(  AND(  OR(  L9="當日退伍"  ),OR(  M9="退伍",M9="退", M9=""  ), $AP9 =""),"當日退伍",  IF(AND(  OR(L9="退",L9="退伍" ), OR(M9="退",M9="退伍" ), $AP9 =""),"退伍","全日勤"  )  )  )  )  )  )  )  )  )  )  ),"")</f>
        <v>全日勤</v>
      </c>
      <c r="M50" s="66" t="str">
        <f>IF(   (ROW(AY9)-1)&lt;=暫1!$B$2,           IF(  AND(  OR(  M9="x",M9="補"  ), OR(  N9 ="x",N9="補",N9="x榮18-22",N9="x公18-22",N9="x榮22-08"  ), $AP9 =""),"全日休",  IF(  AND(  OR(  M9="x",M9="病"  ), OR(  N9 ="病"  ), $AP9 =""),"病(事)假",  IF(  AND(  OR(  M9="x",M9="補"  ), OR(  N9 ="補"  ), $AP9 =""),"補休",  IF(  AND(  OR(  M9="x",M9="喪"  ), OR(  N9 ="喪"  ), $AP9 =""),"喪假",  IF(  AND(  OR(  M9="x",M9="婚",M9="產"  ), OR(  N9 ="婚",N9="產"  ), $AP9 =""),"婚(產)假",  IF(  AND(  OR(  M9="x",M9="公"  ), OR(  N9 ="公"  ), $AP9 =""),"公假",  IF(  AND(  OR(  M9="x",M9="補",M9="婚",M9="公",M9="病",M9="事",M9="x榮18-22"  ),OR(N9=""), $AP9 =""  ),"18收",  IF(  AND(  OR(  M9 ="榮14-18",M9 ="榮10-18",M9 ="榮06-18",M9 ="病14-18"  ),OR(  N9 ="x",N9="補",N9="婚",N9="公",N9="病",N9="事",N9="x"  ), $AP9 =""),"18放早走",  IF(  AND(  OR(  M9 =""),OR(  N9 ="x",N9="補",N9="婚",N9="公",N9="病",N9="事",N9="x榮*",N9="榮",N9="榮-22"  ), $AP9 =""),"18放",  IF(  AND(  OR(  M9="當日退伍"  ),OR(  N9="退伍",N9="退", N9=""  ), $AP9 =""),"當日退伍",  IF(AND(  OR(M9="退",M9="退伍" ), OR(N9="退",N9="退伍" ), $AP9 =""),"退伍","全日勤"  )  )  )  )  )  )  )  )  )  )  ),"")</f>
        <v>全日勤</v>
      </c>
      <c r="N50" s="66" t="str">
        <f>IF(   (ROW(AZ9)-1)&lt;=暫1!$B$2,           IF(  AND(  OR(  N9="x",N9="補"  ), OR(  O9 ="x",O9="補",O9="x榮18-22",O9="x公18-22",O9="x榮22-08"  ), $AP9 =""),"全日休",  IF(  AND(  OR(  N9="x",N9="病"  ), OR(  O9 ="病"  ), $AP9 =""),"病(事)假",  IF(  AND(  OR(  N9="x",N9="補"  ), OR(  O9 ="補"  ), $AP9 =""),"補休",  IF(  AND(  OR(  N9="x",N9="喪"  ), OR(  O9 ="喪"  ), $AP9 =""),"喪假",  IF(  AND(  OR(  N9="x",N9="婚",N9="產"  ), OR(  O9 ="婚",O9="產"  ), $AP9 =""),"婚(產)假",  IF(  AND(  OR(  N9="x",N9="公"  ), OR(  O9 ="公"  ), $AP9 =""),"公假",  IF(  AND(  OR(  N9="x",N9="補",N9="婚",N9="公",N9="病",N9="事",N9="x榮18-22"  ),OR(O9=""), $AP9 =""  ),"18收",  IF(  AND(  OR(  N9 ="榮14-18",N9 ="榮10-18",N9 ="榮06-18",N9 ="病14-18"  ),OR(  O9 ="x",O9="補",O9="婚",O9="公",O9="病",O9="事",O9="x"  ), $AP9 =""),"18放早走",  IF(  AND(  OR(  N9 =""),OR(  O9 ="x",O9="補",O9="婚",O9="公",O9="病",O9="事",O9="x榮*",O9="榮",O9="榮-22"  ), $AP9 =""),"18放",  IF(  AND(  OR(  N9="當日退伍"  ),OR(  O9="退伍",O9="退", O9=""  ), $AP9 =""),"當日退伍",  IF(AND(  OR(N9="退",N9="退伍" ), OR(O9="退",O9="退伍" ), $AP9 =""),"退伍","全日勤"  )  )  )  )  )  )  )  )  )  )  ),"")</f>
        <v>全日勤</v>
      </c>
      <c r="O50" s="66" t="str">
        <f>IF(   (ROW(BA9)-1)&lt;=暫1!$B$2,           IF(  AND(  OR(  O9="x",O9="補"  ), OR(  P9 ="x",P9="補",P9="x榮18-22",P9="x公18-22",P9="x榮22-08"  ), $AP9 =""),"全日休",  IF(  AND(  OR(  O9="x",O9="病"  ), OR(  P9 ="病"  ), $AP9 =""),"病(事)假",  IF(  AND(  OR(  O9="x",O9="補"  ), OR(  P9 ="補"  ), $AP9 =""),"補休",  IF(  AND(  OR(  O9="x",O9="喪"  ), OR(  P9 ="喪"  ), $AP9 =""),"喪假",  IF(  AND(  OR(  O9="x",O9="婚",O9="產"  ), OR(  P9 ="婚",P9="產"  ), $AP9 =""),"婚(產)假",  IF(  AND(  OR(  O9="x",O9="公"  ), OR(  P9 ="公"  ), $AP9 =""),"公假",  IF(  AND(  OR(  O9="x",O9="補",O9="婚",O9="公",O9="病",O9="事",O9="x榮18-22"  ),OR(P9=""), $AP9 =""  ),"18收",  IF(  AND(  OR(  O9 ="榮14-18",O9 ="榮10-18",O9 ="榮06-18",O9 ="病14-18"  ),OR(  P9 ="x",P9="補",P9="婚",P9="公",P9="病",P9="事",P9="x"  ), $AP9 =""),"18放早走",  IF(  AND(  OR(  O9 =""),OR(  P9 ="x",P9="補",P9="婚",P9="公",P9="病",P9="事",P9="x榮*",P9="榮",P9="榮-22"  ), $AP9 =""),"18放",  IF(  AND(  OR(  O9="當日退伍"  ),OR(  P9="退伍",P9="退", P9=""  ), $AP9 =""),"當日退伍",  IF(AND(  OR(O9="退",O9="退伍" ), OR(P9="退",P9="退伍" ), $AP9 =""),"退伍","全日勤"  )  )  )  )  )  )  )  )  )  )  ),"")</f>
        <v>全日勤</v>
      </c>
      <c r="P50" s="66" t="str">
        <f>IF(   (ROW(BB9)-1)&lt;=暫1!$B$2,           IF(  AND(  OR(  P9="x",P9="補"  ), OR(  Q9 ="x",Q9="補",Q9="x榮18-22",Q9="x公18-22",Q9="x榮22-08"  ), $AP9 =""),"全日休",  IF(  AND(  OR(  P9="x",P9="病"  ), OR(  Q9 ="病"  ), $AP9 =""),"病(事)假",  IF(  AND(  OR(  P9="x",P9="補"  ), OR(  Q9 ="補"  ), $AP9 =""),"補休",  IF(  AND(  OR(  P9="x",P9="喪"  ), OR(  Q9 ="喪"  ), $AP9 =""),"喪假",  IF(  AND(  OR(  P9="x",P9="婚",P9="產"  ), OR(  Q9 ="婚",Q9="產"  ), $AP9 =""),"婚(產)假",  IF(  AND(  OR(  P9="x",P9="公"  ), OR(  Q9 ="公"  ), $AP9 =""),"公假",  IF(  AND(  OR(  P9="x",P9="補",P9="婚",P9="公",P9="病",P9="事",P9="x榮18-22"  ),OR(Q9=""), $AP9 =""  ),"18收",  IF(  AND(  OR(  P9 ="榮14-18",P9 ="榮10-18",P9 ="榮06-18",P9 ="病14-18"  ),OR(  Q9 ="x",Q9="補",Q9="婚",Q9="公",Q9="病",Q9="事",Q9="x"  ), $AP9 =""),"18放早走",  IF(  AND(  OR(  P9 =""),OR(  Q9 ="x",Q9="補",Q9="婚",Q9="公",Q9="病",Q9="事",Q9="x榮*",Q9="榮",Q9="榮-22"  ), $AP9 =""),"18放",  IF(  AND(  OR(  P9="當日退伍"  ),OR(  Q9="退伍",Q9="退", Q9=""  ), $AP9 =""),"當日退伍",  IF(AND(  OR(P9="退",P9="退伍" ), OR(Q9="退",Q9="退伍" ), $AP9 =""),"退伍","全日勤"  )  )  )  )  )  )  )  )  )  )  ),"")</f>
        <v>全日勤</v>
      </c>
      <c r="Q50" s="66" t="str">
        <f>IF(   (ROW(BC9)-1)&lt;=暫1!$B$2,           IF(  AND(  OR(  Q9="x",Q9="補"  ), OR(  R9 ="x",R9="補",R9="x榮18-22",R9="x公18-22",R9="x榮22-08"  ), $AP9 =""),"全日休",  IF(  AND(  OR(  Q9="x",Q9="病"  ), OR(  R9 ="病"  ), $AP9 =""),"病(事)假",  IF(  AND(  OR(  Q9="x",Q9="補"  ), OR(  R9 ="補"  ), $AP9 =""),"補休",  IF(  AND(  OR(  Q9="x",Q9="喪"  ), OR(  R9 ="喪"  ), $AP9 =""),"喪假",  IF(  AND(  OR(  Q9="x",Q9="婚",Q9="產"  ), OR(  R9 ="婚",R9="產"  ), $AP9 =""),"婚(產)假",  IF(  AND(  OR(  Q9="x",Q9="公"  ), OR(  R9 ="公"  ), $AP9 =""),"公假",  IF(  AND(  OR(  Q9="x",Q9="補",Q9="婚",Q9="公",Q9="病",Q9="事",Q9="x榮18-22"  ),OR(R9=""), $AP9 =""  ),"18收",  IF(  AND(  OR(  Q9 ="榮14-18",Q9 ="榮10-18",Q9 ="榮06-18",Q9 ="病14-18"  ),OR(  R9 ="x",R9="補",R9="婚",R9="公",R9="病",R9="事",R9="x"  ), $AP9 =""),"18放早走",  IF(  AND(  OR(  Q9 =""),OR(  R9 ="x",R9="補",R9="婚",R9="公",R9="病",R9="事",R9="x榮*",R9="榮",R9="榮-22"  ), $AP9 =""),"18放",  IF(  AND(  OR(  Q9="當日退伍"  ),OR(  R9="退伍",R9="退", R9=""  ), $AP9 =""),"當日退伍",  IF(AND(  OR(Q9="退",Q9="退伍" ), OR(R9="退",R9="退伍" ), $AP9 =""),"退伍","全日勤"  )  )  )  )  )  )  )  )  )  )  ),"")</f>
        <v>全日勤</v>
      </c>
      <c r="R50" s="66" t="str">
        <f>IF(   (ROW(BD9)-1)&lt;=暫1!$B$2,           IF(  AND(  OR(  R9="x",R9="補"  ), OR(  S9 ="x",S9="補",S9="x榮18-22",S9="x公18-22",S9="x榮22-08"  ), $AP9 =""),"全日休",  IF(  AND(  OR(  R9="x",R9="病"  ), OR(  S9 ="病"  ), $AP9 =""),"病(事)假",  IF(  AND(  OR(  R9="x",R9="補"  ), OR(  S9 ="補"  ), $AP9 =""),"補休",  IF(  AND(  OR(  R9="x",R9="喪"  ), OR(  S9 ="喪"  ), $AP9 =""),"喪假",  IF(  AND(  OR(  R9="x",R9="婚",R9="產"  ), OR(  S9 ="婚",S9="產"  ), $AP9 =""),"婚(產)假",  IF(  AND(  OR(  R9="x",R9="公"  ), OR(  S9 ="公"  ), $AP9 =""),"公假",  IF(  AND(  OR(  R9="x",R9="補",R9="婚",R9="公",R9="病",R9="事",R9="x榮18-22"  ),OR(S9=""), $AP9 =""  ),"18收",  IF(  AND(  OR(  R9 ="榮14-18",R9 ="榮10-18",R9 ="榮06-18",R9 ="病14-18"  ),OR(  S9 ="x",S9="補",S9="婚",S9="公",S9="病",S9="事",S9="x"  ), $AP9 =""),"18放早走",  IF(  AND(  OR(  R9 =""),OR(  S9 ="x",S9="補",S9="婚",S9="公",S9="病",S9="事",S9="x榮*",S9="榮",S9="榮-22"  ), $AP9 =""),"18放",  IF(  AND(  OR(  R9="當日退伍"  ),OR(  S9="退伍",S9="退", S9=""  ), $AP9 =""),"當日退伍",  IF(AND(  OR(R9="退",R9="退伍" ), OR(S9="退",S9="退伍" ), $AP9 =""),"退伍","全日勤"  )  )  )  )  )  )  )  )  )  )  ),"")</f>
        <v>全日勤</v>
      </c>
      <c r="S50" s="66" t="str">
        <f>IF(   (ROW(BE9)-1)&lt;=暫1!$B$2,           IF(  AND(  OR(  S9="x",S9="補"  ), OR(  T9 ="x",T9="補",T9="x榮18-22",T9="x公18-22",T9="x榮22-08"  ), $AP9 =""),"全日休",  IF(  AND(  OR(  S9="x",S9="病"  ), OR(  T9 ="病"  ), $AP9 =""),"病(事)假",  IF(  AND(  OR(  S9="x",S9="補"  ), OR(  T9 ="補"  ), $AP9 =""),"補休",  IF(  AND(  OR(  S9="x",S9="喪"  ), OR(  T9 ="喪"  ), $AP9 =""),"喪假",  IF(  AND(  OR(  S9="x",S9="婚",S9="產"  ), OR(  T9 ="婚",T9="產"  ), $AP9 =""),"婚(產)假",  IF(  AND(  OR(  S9="x",S9="公"  ), OR(  T9 ="公"  ), $AP9 =""),"公假",  IF(  AND(  OR(  S9="x",S9="補",S9="婚",S9="公",S9="病",S9="事",S9="x榮18-22"  ),OR(T9=""), $AP9 =""  ),"18收",  IF(  AND(  OR(  S9 ="榮14-18",S9 ="榮10-18",S9 ="榮06-18",S9 ="病14-18"  ),OR(  T9 ="x",T9="補",T9="婚",T9="公",T9="病",T9="事",T9="x"  ), $AP9 =""),"18放早走",  IF(  AND(  OR(  S9 =""),OR(  T9 ="x",T9="補",T9="婚",T9="公",T9="病",T9="事",T9="x榮*",T9="榮",T9="榮-22"  ), $AP9 =""),"18放",  IF(  AND(  OR(  S9="當日退伍"  ),OR(  T9="退伍",T9="退", T9=""  ), $AP9 =""),"當日退伍",  IF(AND(  OR(S9="退",S9="退伍" ), OR(T9="退",T9="退伍" ), $AP9 =""),"退伍","全日勤"  )  )  )  )  )  )  )  )  )  )  ),"")</f>
        <v>全日勤</v>
      </c>
      <c r="T50" s="66" t="str">
        <f>IF(   (ROW(BF9)-1)&lt;=暫1!$B$2,           IF(  AND(  OR(  T9="x",T9="補"  ), OR(  U9 ="x",U9="補",U9="x榮18-22",U9="x公18-22",U9="x榮22-08"  ), $AP9 =""),"全日休",  IF(  AND(  OR(  T9="x",T9="病"  ), OR(  U9 ="病"  ), $AP9 =""),"病(事)假",  IF(  AND(  OR(  T9="x",T9="補"  ), OR(  U9 ="補"  ), $AP9 =""),"補休",  IF(  AND(  OR(  T9="x",T9="喪"  ), OR(  U9 ="喪"  ), $AP9 =""),"喪假",  IF(  AND(  OR(  T9="x",T9="婚",T9="產"  ), OR(  U9 ="婚",U9="產"  ), $AP9 =""),"婚(產)假",  IF(  AND(  OR(  T9="x",T9="公"  ), OR(  U9 ="公"  ), $AP9 =""),"公假",  IF(  AND(  OR(  T9="x",T9="補",T9="婚",T9="公",T9="病",T9="事",T9="x榮18-22"  ),OR(U9=""), $AP9 =""  ),"18收",  IF(  AND(  OR(  T9 ="榮14-18",T9 ="榮10-18",T9 ="榮06-18",T9 ="病14-18"  ),OR(  U9 ="x",U9="補",U9="婚",U9="公",U9="病",U9="事",U9="x"  ), $AP9 =""),"18放早走",  IF(  AND(  OR(  T9 =""),OR(  U9 ="x",U9="補",U9="婚",U9="公",U9="病",U9="事",U9="x榮*",U9="榮",U9="榮-22"  ), $AP9 =""),"18放",  IF(  AND(  OR(  T9="當日退伍"  ),OR(  U9="退伍",U9="退", U9=""  ), $AP9 =""),"當日退伍",  IF(AND(  OR(T9="退",T9="退伍" ), OR(U9="退",U9="退伍" ), $AP9 =""),"退伍","全日勤"  )  )  )  )  )  )  )  )  )  )  ),"")</f>
        <v>全日勤</v>
      </c>
      <c r="U50" s="66" t="str">
        <f>IF(   (ROW(BG9)-1)&lt;=暫1!$B$2,           IF(  AND(  OR(  U9="x",U9="補"  ), OR(  V9 ="x",V9="補",V9="x榮18-22",V9="x公18-22",V9="x榮22-08"  ), $AP9 =""),"全日休",  IF(  AND(  OR(  U9="x",U9="病"  ), OR(  V9 ="病"  ), $AP9 =""),"病(事)假",  IF(  AND(  OR(  U9="x",U9="補"  ), OR(  V9 ="補"  ), $AP9 =""),"補休",  IF(  AND(  OR(  U9="x",U9="喪"  ), OR(  V9 ="喪"  ), $AP9 =""),"喪假",  IF(  AND(  OR(  U9="x",U9="婚",U9="產"  ), OR(  V9 ="婚",V9="產"  ), $AP9 =""),"婚(產)假",  IF(  AND(  OR(  U9="x",U9="公"  ), OR(  V9 ="公"  ), $AP9 =""),"公假",  IF(  AND(  OR(  U9="x",U9="補",U9="婚",U9="公",U9="病",U9="事",U9="x榮18-22"  ),OR(V9=""), $AP9 =""  ),"18收",  IF(  AND(  OR(  U9 ="榮14-18",U9 ="榮10-18",U9 ="榮06-18",U9 ="病14-18"  ),OR(  V9 ="x",V9="補",V9="婚",V9="公",V9="病",V9="事",V9="x"  ), $AP9 =""),"18放早走",  IF(  AND(  OR(  U9 =""),OR(  V9 ="x",V9="補",V9="婚",V9="公",V9="病",V9="事",V9="x榮*",V9="榮",V9="榮-22"  ), $AP9 =""),"18放",  IF(  AND(  OR(  U9="當日退伍"  ),OR(  V9="退伍",V9="退", V9=""  ), $AP9 =""),"當日退伍",  IF(AND(  OR(U9="退",U9="退伍" ), OR(V9="退",V9="退伍" ), $AP9 =""),"退伍","全日勤"  )  )  )  )  )  )  )  )  )  )  ),"")</f>
        <v>全日勤</v>
      </c>
      <c r="V50" s="66" t="str">
        <f>IF(   (ROW(BH9)-1)&lt;=暫1!$B$2,           IF(  AND(  OR(  V9="x",V9="補"  ), OR(  W9 ="x",W9="補",W9="x榮18-22",W9="x公18-22",W9="x榮22-08"  ), $AP9 =""),"全日休",  IF(  AND(  OR(  V9="x",V9="病"  ), OR(  W9 ="病"  ), $AP9 =""),"病(事)假",  IF(  AND(  OR(  V9="x",V9="補"  ), OR(  W9 ="補"  ), $AP9 =""),"補休",  IF(  AND(  OR(  V9="x",V9="喪"  ), OR(  W9 ="喪"  ), $AP9 =""),"喪假",  IF(  AND(  OR(  V9="x",V9="婚",V9="產"  ), OR(  W9 ="婚",W9="產"  ), $AP9 =""),"婚(產)假",  IF(  AND(  OR(  V9="x",V9="公"  ), OR(  W9 ="公"  ), $AP9 =""),"公假",  IF(  AND(  OR(  V9="x",V9="補",V9="婚",V9="公",V9="病",V9="事",V9="x榮18-22"  ),OR(W9=""), $AP9 =""  ),"18收",  IF(  AND(  OR(  V9 ="榮14-18",V9 ="榮10-18",V9 ="榮06-18",V9 ="病14-18"  ),OR(  W9 ="x",W9="補",W9="婚",W9="公",W9="病",W9="事",W9="x"  ), $AP9 =""),"18放早走",  IF(  AND(  OR(  V9 =""),OR(  W9 ="x",W9="補",W9="婚",W9="公",W9="病",W9="事",W9="x榮*",W9="榮",W9="榮-22"  ), $AP9 =""),"18放",  IF(  AND(  OR(  V9="當日退伍"  ),OR(  W9="退伍",W9="退", W9=""  ), $AP9 =""),"當日退伍",  IF(AND(  OR(V9="退",V9="退伍" ), OR(W9="退",W9="退伍" ), $AP9 =""),"退伍","全日勤"  )  )  )  )  )  )  )  )  )  )  ),"")</f>
        <v>全日勤</v>
      </c>
      <c r="W50" s="66" t="str">
        <f>IF(   (ROW(BI9)-1)&lt;=暫1!$B$2,           IF(  AND(  OR(  W9="x",W9="補"  ), OR(  X9 ="x",X9="補",X9="x榮18-22",X9="x公18-22",X9="x榮22-08"  ), $AP9 =""),"全日休",  IF(  AND(  OR(  W9="x",W9="病"  ), OR(  X9 ="病"  ), $AP9 =""),"病(事)假",  IF(  AND(  OR(  W9="x",W9="補"  ), OR(  X9 ="補"  ), $AP9 =""),"補休",  IF(  AND(  OR(  W9="x",W9="喪"  ), OR(  X9 ="喪"  ), $AP9 =""),"喪假",  IF(  AND(  OR(  W9="x",W9="婚",W9="產"  ), OR(  X9 ="婚",X9="產"  ), $AP9 =""),"婚(產)假",  IF(  AND(  OR(  W9="x",W9="公"  ), OR(  X9 ="公"  ), $AP9 =""),"公假",  IF(  AND(  OR(  W9="x",W9="補",W9="婚",W9="公",W9="病",W9="事",W9="x榮18-22"  ),OR(X9=""), $AP9 =""  ),"18收",  IF(  AND(  OR(  W9 ="榮14-18",W9 ="榮10-18",W9 ="榮06-18",W9 ="病14-18"  ),OR(  X9 ="x",X9="補",X9="婚",X9="公",X9="病",X9="事",X9="x"  ), $AP9 =""),"18放早走",  IF(  AND(  OR(  W9 =""),OR(  X9 ="x",X9="補",X9="婚",X9="公",X9="病",X9="事",X9="x榮*",X9="榮",X9="榮-22"  ), $AP9 =""),"18放",  IF(  AND(  OR(  W9="當日退伍"  ),OR(  X9="退伍",X9="退", X9=""  ), $AP9 =""),"當日退伍",  IF(AND(  OR(W9="退",W9="退伍" ), OR(X9="退",X9="退伍" ), $AP9 =""),"退伍","全日勤"  )  )  )  )  )  )  )  )  )  )  ),"")</f>
        <v>全日勤</v>
      </c>
      <c r="X50" s="66" t="str">
        <f>IF(   (ROW(BJ9)-1)&lt;=暫1!$B$2,           IF(  AND(  OR(  X9="x",X9="補"  ), OR(  Y9 ="x",Y9="補",Y9="x榮18-22",Y9="x公18-22",Y9="x榮22-08"  ), $AP9 =""),"全日休",  IF(  AND(  OR(  X9="x",X9="病"  ), OR(  Y9 ="病"  ), $AP9 =""),"病(事)假",  IF(  AND(  OR(  X9="x",X9="補"  ), OR(  Y9 ="補"  ), $AP9 =""),"補休",  IF(  AND(  OR(  X9="x",X9="喪"  ), OR(  Y9 ="喪"  ), $AP9 =""),"喪假",  IF(  AND(  OR(  X9="x",X9="婚",X9="產"  ), OR(  Y9 ="婚",Y9="產"  ), $AP9 =""),"婚(產)假",  IF(  AND(  OR(  X9="x",X9="公"  ), OR(  Y9 ="公"  ), $AP9 =""),"公假",  IF(  AND(  OR(  X9="x",X9="補",X9="婚",X9="公",X9="病",X9="事",X9="x榮18-22"  ),OR(Y9=""), $AP9 =""  ),"18收",  IF(  AND(  OR(  X9 ="榮14-18",X9 ="榮10-18",X9 ="榮06-18",X9 ="病14-18"  ),OR(  Y9 ="x",Y9="補",Y9="婚",Y9="公",Y9="病",Y9="事",Y9="x"  ), $AP9 =""),"18放早走",  IF(  AND(  OR(  X9 =""),OR(  Y9 ="x",Y9="補",Y9="婚",Y9="公",Y9="病",Y9="事",Y9="x榮*",Y9="榮",Y9="榮-22"  ), $AP9 =""),"18放",  IF(  AND(  OR(  X9="當日退伍"  ),OR(  Y9="退伍",Y9="退", Y9=""  ), $AP9 =""),"當日退伍",  IF(AND(  OR(X9="退",X9="退伍" ), OR(Y9="退",Y9="退伍" ), $AP9 =""),"退伍","全日勤"  )  )  )  )  )  )  )  )  )  )  ),"")</f>
        <v>全日勤</v>
      </c>
      <c r="Y50" s="66" t="str">
        <f>IF(   (ROW(BK9)-1)&lt;=暫1!$B$2,           IF(  AND(  OR(  Y9="x",Y9="補"  ), OR(  Z9 ="x",Z9="補",Z9="x榮18-22",Z9="x公18-22",Z9="x榮22-08"  ), $AP9 =""),"全日休",  IF(  AND(  OR(  Y9="x",Y9="病"  ), OR(  Z9 ="病"  ), $AP9 =""),"病(事)假",  IF(  AND(  OR(  Y9="x",Y9="補"  ), OR(  Z9 ="補"  ), $AP9 =""),"補休",  IF(  AND(  OR(  Y9="x",Y9="喪"  ), OR(  Z9 ="喪"  ), $AP9 =""),"喪假",  IF(  AND(  OR(  Y9="x",Y9="婚",Y9="產"  ), OR(  Z9 ="婚",Z9="產"  ), $AP9 =""),"婚(產)假",  IF(  AND(  OR(  Y9="x",Y9="公"  ), OR(  Z9 ="公"  ), $AP9 =""),"公假",  IF(  AND(  OR(  Y9="x",Y9="補",Y9="婚",Y9="公",Y9="病",Y9="事",Y9="x榮18-22"  ),OR(Z9=""), $AP9 =""  ),"18收",  IF(  AND(  OR(  Y9 ="榮14-18",Y9 ="榮10-18",Y9 ="榮06-18",Y9 ="病14-18"  ),OR(  Z9 ="x",Z9="補",Z9="婚",Z9="公",Z9="病",Z9="事",Z9="x"  ), $AP9 =""),"18放早走",  IF(  AND(  OR(  Y9 =""),OR(  Z9 ="x",Z9="補",Z9="婚",Z9="公",Z9="病",Z9="事",Z9="x榮*",Z9="榮",Z9="榮-22"  ), $AP9 =""),"18放",  IF(  AND(  OR(  Y9="當日退伍"  ),OR(  Z9="退伍",Z9="退", Z9=""  ), $AP9 =""),"當日退伍",  IF(AND(  OR(Y9="退",Y9="退伍" ), OR(Z9="退",Z9="退伍" ), $AP9 =""),"退伍","全日勤"  )  )  )  )  )  )  )  )  )  )  ),"")</f>
        <v>全日勤</v>
      </c>
      <c r="Z50" s="66" t="str">
        <f>IF(   (ROW(BL9)-1)&lt;=暫1!$B$2,           IF(  AND(  OR(  Z9="x",Z9="補"  ), OR(  AA9 ="x",AA9="補",AA9="x榮18-22",AA9="x公18-22",AA9="x榮22-08"  ), $AP9 =""),"全日休",  IF(  AND(  OR(  Z9="x",Z9="病"  ), OR(  AA9 ="病"  ), $AP9 =""),"病(事)假",  IF(  AND(  OR(  Z9="x",Z9="補"  ), OR(  AA9 ="補"  ), $AP9 =""),"補休",  IF(  AND(  OR(  Z9="x",Z9="喪"  ), OR(  AA9 ="喪"  ), $AP9 =""),"喪假",  IF(  AND(  OR(  Z9="x",Z9="婚",Z9="產"  ), OR(  AA9 ="婚",AA9="產"  ), $AP9 =""),"婚(產)假",  IF(  AND(  OR(  Z9="x",Z9="公"  ), OR(  AA9 ="公"  ), $AP9 =""),"公假",  IF(  AND(  OR(  Z9="x",Z9="補",Z9="婚",Z9="公",Z9="病",Z9="事",Z9="x榮18-22"  ),OR(AA9=""), $AP9 =""  ),"18收",  IF(  AND(  OR(  Z9 ="榮14-18",Z9 ="榮10-18",Z9 ="榮06-18",Z9 ="病14-18"  ),OR(  AA9 ="x",AA9="補",AA9="婚",AA9="公",AA9="病",AA9="事",AA9="x"  ), $AP9 =""),"18放早走",  IF(  AND(  OR(  Z9 =""),OR(  AA9 ="x",AA9="補",AA9="婚",AA9="公",AA9="病",AA9="事",AA9="x榮*",AA9="榮",AA9="榮-22"  ), $AP9 =""),"18放",  IF(  AND(  OR(  Z9="當日退伍"  ),OR(  AA9="退伍",AA9="退", AA9=""  ), $AP9 =""),"當日退伍",  IF(AND(  OR(Z9="退",Z9="退伍" ), OR(AA9="退",AA9="退伍" ), $AP9 =""),"退伍","全日勤"  )  )  )  )  )  )  )  )  )  )  ),"")</f>
        <v>全日勤</v>
      </c>
      <c r="AA50" s="66" t="str">
        <f>IF(   (ROW(BM9)-1)&lt;=暫1!$B$2,           IF(  AND(  OR(  AA9="x",AA9="補"  ), OR(  AB9 ="x",AB9="補",AB9="x榮18-22",AB9="x公18-22",AB9="x榮22-08"  ), $AP9 =""),"全日休",  IF(  AND(  OR(  AA9="x",AA9="病"  ), OR(  AB9 ="病"  ), $AP9 =""),"病(事)假",  IF(  AND(  OR(  AA9="x",AA9="補"  ), OR(  AB9 ="補"  ), $AP9 =""),"補休",  IF(  AND(  OR(  AA9="x",AA9="喪"  ), OR(  AB9 ="喪"  ), $AP9 =""),"喪假",  IF(  AND(  OR(  AA9="x",AA9="婚",AA9="產"  ), OR(  AB9 ="婚",AB9="產"  ), $AP9 =""),"婚(產)假",  IF(  AND(  OR(  AA9="x",AA9="公"  ), OR(  AB9 ="公"  ), $AP9 =""),"公假",  IF(  AND(  OR(  AA9="x",AA9="補",AA9="婚",AA9="公",AA9="病",AA9="事",AA9="x榮18-22"  ),OR(AB9=""), $AP9 =""  ),"18收",  IF(  AND(  OR(  AA9 ="榮14-18",AA9 ="榮10-18",AA9 ="榮06-18",AA9 ="病14-18"  ),OR(  AB9 ="x",AB9="補",AB9="婚",AB9="公",AB9="病",AB9="事",AB9="x"  ), $AP9 =""),"18放早走",  IF(  AND(  OR(  AA9 =""),OR(  AB9 ="x",AB9="補",AB9="婚",AB9="公",AB9="病",AB9="事",AB9="x榮*",AB9="榮",AB9="榮-22"  ), $AP9 =""),"18放",  IF(  AND(  OR(  AA9="當日退伍"  ),OR(  AB9="退伍",AB9="退", AB9=""  ), $AP9 =""),"當日退伍",  IF(AND(  OR(AA9="退",AA9="退伍" ), OR(AB9="退",AB9="退伍" ), $AP9 =""),"退伍","全日勤"  )  )  )  )  )  )  )  )  )  )  ),"")</f>
        <v>全日勤</v>
      </c>
      <c r="AB50" s="66" t="str">
        <f>IF(   (ROW(BN9)-1)&lt;=暫1!$B$2,           IF(  AND(  OR(  AB9="x",AB9="補"  ), OR(  AC9 ="x",AC9="補",AC9="x榮18-22",AC9="x公18-22",AC9="x榮22-08"  ), $AP9 =""),"全日休",  IF(  AND(  OR(  AB9="x",AB9="病"  ), OR(  AC9 ="病"  ), $AP9 =""),"病(事)假",  IF(  AND(  OR(  AB9="x",AB9="補"  ), OR(  AC9 ="補"  ), $AP9 =""),"補休",  IF(  AND(  OR(  AB9="x",AB9="喪"  ), OR(  AC9 ="喪"  ), $AP9 =""),"喪假",  IF(  AND(  OR(  AB9="x",AB9="婚",AB9="產"  ), OR(  AC9 ="婚",AC9="產"  ), $AP9 =""),"婚(產)假",  IF(  AND(  OR(  AB9="x",AB9="公"  ), OR(  AC9 ="公"  ), $AP9 =""),"公假",  IF(  AND(  OR(  AB9="x",AB9="補",AB9="婚",AB9="公",AB9="病",AB9="事",AB9="x榮18-22"  ),OR(AC9=""), $AP9 =""  ),"18收",  IF(  AND(  OR(  AB9 ="榮14-18",AB9 ="榮10-18",AB9 ="榮06-18",AB9 ="病14-18"  ),OR(  AC9 ="x",AC9="補",AC9="婚",AC9="公",AC9="病",AC9="事",AC9="x"  ), $AP9 =""),"18放早走",  IF(  AND(  OR(  AB9 =""),OR(  AC9 ="x",AC9="補",AC9="婚",AC9="公",AC9="病",AC9="事",AC9="x榮*",AC9="榮",AC9="榮-22"  ), $AP9 =""),"18放",  IF(  AND(  OR(  AB9="當日退伍"  ),OR(  AC9="退伍",AC9="退", AC9=""  ), $AP9 =""),"當日退伍",  IF(AND(  OR(AB9="退",AB9="退伍" ), OR(AC9="退",AC9="退伍" ), $AP9 =""),"退伍","全日勤"  )  )  )  )  )  )  )  )  )  )  ),"")</f>
        <v>全日勤</v>
      </c>
      <c r="AC50" s="66" t="str">
        <f>IF(   (ROW(BO9)-1)&lt;=暫1!$B$2,           IF(  AND(  OR(  AC9="x",AC9="補"  ), OR(  AD9 ="x",AD9="補",AD9="x榮18-22",AD9="x公18-22",AD9="x榮22-08"  ), $AP9 =""),"全日休",  IF(  AND(  OR(  AC9="x",AC9="病"  ), OR(  AD9 ="病"  ), $AP9 =""),"病(事)假",  IF(  AND(  OR(  AC9="x",AC9="補"  ), OR(  AD9 ="補"  ), $AP9 =""),"補休",  IF(  AND(  OR(  AC9="x",AC9="喪"  ), OR(  AD9 ="喪"  ), $AP9 =""),"喪假",  IF(  AND(  OR(  AC9="x",AC9="婚",AC9="產"  ), OR(  AD9 ="婚",AD9="產"  ), $AP9 =""),"婚(產)假",  IF(  AND(  OR(  AC9="x",AC9="公"  ), OR(  AD9 ="公"  ), $AP9 =""),"公假",  IF(  AND(  OR(  AC9="x",AC9="補",AC9="婚",AC9="公",AC9="病",AC9="事",AC9="x榮18-22"  ),OR(AD9=""), $AP9 =""  ),"18收",  IF(  AND(  OR(  AC9 ="榮14-18",AC9 ="榮10-18",AC9 ="榮06-18",AC9 ="病14-18"  ),OR(  AD9 ="x",AD9="補",AD9="婚",AD9="公",AD9="病",AD9="事",AD9="x"  ), $AP9 =""),"18放早走",  IF(  AND(  OR(  AC9 =""),OR(  AD9 ="x",AD9="補",AD9="婚",AD9="公",AD9="病",AD9="事",AD9="x榮*",AD9="榮",AD9="榮-22"  ), $AP9 =""),"18放",  IF(  AND(  OR(  AC9="當日退伍"  ),OR(  AD9="退伍",AD9="退", AD9=""  ), $AP9 =""),"當日退伍",  IF(AND(  OR(AC9="退",AC9="退伍" ), OR(AD9="退",AD9="退伍" ), $AP9 =""),"退伍","全日勤"  )  )  )  )  )  )  )  )  )  )  ),"")</f>
        <v>全日勤</v>
      </c>
      <c r="AD50" s="66" t="str">
        <f>IF(   (ROW(BP9)-1)&lt;=暫1!$B$2,           IF(  AND(  OR(  AD9="x",AD9="補"  ), OR(  AE9 ="x",AE9="補",AE9="x榮18-22",AE9="x公18-22",AE9="x榮22-08"  ), $AP9 =""),"全日休",  IF(  AND(  OR(  AD9="x",AD9="病"  ), OR(  AE9 ="病"  ), $AP9 =""),"病(事)假",  IF(  AND(  OR(  AD9="x",AD9="補"  ), OR(  AE9 ="補"  ), $AP9 =""),"補休",  IF(  AND(  OR(  AD9="x",AD9="喪"  ), OR(  AE9 ="喪"  ), $AP9 =""),"喪假",  IF(  AND(  OR(  AD9="x",AD9="婚",AD9="產"  ), OR(  AE9 ="婚",AE9="產"  ), $AP9 =""),"婚(產)假",  IF(  AND(  OR(  AD9="x",AD9="公"  ), OR(  AE9 ="公"  ), $AP9 =""),"公假",  IF(  AND(  OR(  AD9="x",AD9="補",AD9="婚",AD9="公",AD9="病",AD9="事",AD9="x榮18-22"  ),OR(AE9=""), $AP9 =""  ),"18收",  IF(  AND(  OR(  AD9 ="榮14-18",AD9 ="榮10-18",AD9 ="榮06-18",AD9 ="病14-18"  ),OR(  AE9 ="x",AE9="補",AE9="婚",AE9="公",AE9="病",AE9="事",AE9="x"  ), $AP9 =""),"18放早走",  IF(  AND(  OR(  AD9 =""),OR(  AE9 ="x",AE9="補",AE9="婚",AE9="公",AE9="病",AE9="事",AE9="x榮*",AE9="榮",AE9="榮-22"  ), $AP9 =""),"18放",  IF(  AND(  OR(  AD9="當日退伍"  ),OR(  AE9="退伍",AE9="退", AE9=""  ), $AP9 =""),"當日退伍",  IF(AND(  OR(AD9="退",AD9="退伍" ), OR(AE9="退",AE9="退伍" ), $AP9 =""),"退伍","全日勤"  )  )  )  )  )  )  )  )  )  )  ),"")</f>
        <v>全日勤</v>
      </c>
      <c r="AE50" s="66" t="str">
        <f>IF(   (ROW(BQ9)-1)&lt;=暫1!$B$2,           IF(  AND(  OR(  AE9="x",AE9="補"  ), OR(  AF9 ="x",AF9="補",AF9="x榮18-22",AF9="x公18-22",AF9="x榮22-08"  ), $AP9 =""),"全日休",  IF(  AND(  OR(  AE9="x",AE9="病"  ), OR(  AF9 ="病"  ), $AP9 =""),"病(事)假",  IF(  AND(  OR(  AE9="x",AE9="補"  ), OR(  AF9 ="補"  ), $AP9 =""),"補休",  IF(  AND(  OR(  AE9="x",AE9="喪"  ), OR(  AF9 ="喪"  ), $AP9 =""),"喪假",  IF(  AND(  OR(  AE9="x",AE9="婚",AE9="產"  ), OR(  AF9 ="婚",AF9="產"  ), $AP9 =""),"婚(產)假",  IF(  AND(  OR(  AE9="x",AE9="公"  ), OR(  AF9 ="公"  ), $AP9 =""),"公假",  IF(  AND(  OR(  AE9="x",AE9="補",AE9="婚",AE9="公",AE9="病",AE9="事",AE9="x榮18-22"  ),OR(AF9=""), $AP9 =""  ),"18收",  IF(  AND(  OR(  AE9 ="榮14-18",AE9 ="榮10-18",AE9 ="榮06-18",AE9 ="病14-18"  ),OR(  AF9 ="x",AF9="補",AF9="婚",AF9="公",AF9="病",AF9="事",AF9="x"  ), $AP9 =""),"18放早走",  IF(  AND(  OR(  AE9 =""),OR(  AF9 ="x",AF9="補",AF9="婚",AF9="公",AF9="病",AF9="事",AF9="x榮*",AF9="榮",AF9="榮-22"  ), $AP9 =""),"18放",  IF(  AND(  OR(  AE9="當日退伍"  ),OR(  AF9="退伍",AF9="退", AF9=""  ), $AP9 =""),"當日退伍",  IF(AND(  OR(AE9="退",AE9="退伍" ), OR(AF9="退",AF9="退伍" ), $AP9 =""),"退伍","全日勤"  )  )  )  )  )  )  )  )  )  )  ),"")</f>
        <v>全日勤</v>
      </c>
      <c r="AF50" s="66" t="str">
        <f>IF(   (ROW(BR9)-1)&lt;=暫1!$B$2,           IF(  AND(  OR(  AF9="x",AF9="補"  ), OR(  AG9 ="x",AG9="補",AG9="x榮18-22",AG9="x公18-22",AG9="x榮22-08"  ), $AP9 =""),"全日休",  IF(  AND(  OR(  AF9="x",AF9="病"  ), OR(  AG9 ="病"  ), $AP9 =""),"病(事)假",  IF(  AND(  OR(  AF9="x",AF9="補"  ), OR(  AG9 ="補"  ), $AP9 =""),"補休",  IF(  AND(  OR(  AF9="x",AF9="喪"  ), OR(  AG9 ="喪"  ), $AP9 =""),"喪假",  IF(  AND(  OR(  AF9="x",AF9="婚",AF9="產"  ), OR(  AG9 ="婚",AG9="產"  ), $AP9 =""),"婚(產)假",  IF(  AND(  OR(  AF9="x",AF9="公"  ), OR(  AG9 ="公"  ), $AP9 =""),"公假",  IF(  AND(  OR(  AF9="x",AF9="補",AF9="婚",AF9="公",AF9="病",AF9="事",AF9="x榮18-22"  ),OR(AG9=""), $AP9 =""  ),"18收",  IF(  AND(  OR(  AF9 ="榮14-18",AF9 ="榮10-18",AF9 ="榮06-18",AF9 ="病14-18"  ),OR(  AG9 ="x",AG9="補",AG9="婚",AG9="公",AG9="病",AG9="事",AG9="x"  ), $AP9 =""),"18放早走",  IF(  AND(  OR(  AF9 =""),OR(  AG9 ="x",AG9="補",AG9="婚",AG9="公",AG9="病",AG9="事",AG9="x榮*",AG9="榮",AG9="榮-22"  ), $AP9 =""),"18放",  IF(  AND(  OR(  AF9="當日退伍"  ),OR(  AG9="退伍",AG9="退", AG9=""  ), $AP9 =""),"當日退伍",  IF(AND(  OR(AF9="退",AF9="退伍" ), OR(AG9="退",AG9="退伍" ), $AP9 =""),"退伍","全日勤"  )  )  )  )  )  )  )  )  )  )  ),"")</f>
        <v>18放</v>
      </c>
      <c r="AG50" s="66" t="str">
        <f>IF(   (ROW(BS9)-1)&lt;=暫1!$B$2,           IF(  AND(  OR(  AG9="x",AG9="補"  ), OR(  AH9 ="x",AH9="補",AH9="x榮18-22",AH9="x公18-22",AH9="x榮22-08"  ), $AP9 =""),"全日休",  IF(  AND(  OR(  AG9="x",AG9="病"  ), OR(  AH9 ="病"  ), $AP9 =""),"病(事)假",  IF(  AND(  OR(  AG9="x",AG9="補"  ), OR(  AH9 ="補"  ), $AP9 =""),"補休",  IF(  AND(  OR(  AG9="x",AG9="喪"  ), OR(  AH9 ="喪"  ), $AP9 =""),"喪假",  IF(  AND(  OR(  AG9="x",AG9="婚",AG9="產"  ), OR(  AH9 ="婚",AH9="產"  ), $AP9 =""),"婚(產)假",  IF(  AND(  OR(  AG9="x",AG9="公"  ), OR(  AH9 ="公"  ), $AP9 =""),"公假",  IF(  AND(  OR(  AG9="x",AG9="補",AG9="婚",AG9="公",AG9="病",AG9="事",AG9="x榮18-22"  ),OR(AH9=""), $AP9 =""  ),"18收",  IF(  AND(  OR(  AG9 ="榮14-18",AG9 ="榮10-18",AG9 ="榮06-18",AG9 ="病14-18"  ),OR(  AH9 ="x",AH9="補",AH9="婚",AH9="公",AH9="病",AH9="事",AH9="x"  ), $AP9 =""),"18放早走",  IF(  AND(  OR(  AG9 =""),OR(  AH9 ="x",AH9="補",AH9="婚",AH9="公",AH9="病",AH9="事",AH9="x榮*",AH9="榮",AH9="榮-22"  ), $AP9 =""),"18放",  IF(  AND(  OR(  AG9="當日退伍"  ),OR(  AH9="退伍",AH9="退", AH9=""  ), $AP9 =""),"當日退伍",  IF(AND(  OR(AG9="退",AG9="退伍" ), OR(AH9="退",AH9="退伍" ), $AP9 =""),"退伍","全日勤"  )  )  )  )  )  )  )  )  )  )  ),"")</f>
        <v>18收</v>
      </c>
      <c r="AH50" s="66" t="str">
        <f>IF(   (ROW(BT9)-1)&lt;=暫1!$B$2,           IF(  AND(  OR(  AH9="x",AH9="補"  ), OR(  AI9 ="x",AI9="補",AI9="x榮18-22",AI9="x公18-22",AI9="x榮22-08"  ), $AP9 =""),"全日休",  IF(  AND(  OR(  AH9="x",AH9="病"  ), OR(  AI9 ="病"  ), $AP9 =""),"病(事)假",  IF(  AND(  OR(  AH9="x",AH9="補"  ), OR(  AI9 ="補"  ), $AP9 =""),"補休",  IF(  AND(  OR(  AH9="x",AH9="喪"  ), OR(  AI9 ="喪"  ), $AP9 =""),"喪假",  IF(  AND(  OR(  AH9="x",AH9="婚",AH9="產"  ), OR(  AI9 ="婚",AI9="產"  ), $AP9 =""),"婚(產)假",  IF(  AND(  OR(  AH9="x",AH9="公"  ), OR(  AI9 ="公"  ), $AP9 =""),"公假",  IF(  AND(  OR(  AH9="x",AH9="補",AH9="婚",AH9="公",AH9="病",AH9="事",AH9="x榮18-22"  ),OR(AI9=""), $AP9 =""  ),"18收",  IF(  AND(  OR(  AH9 ="榮14-18",AH9 ="榮10-18",AH9 ="榮06-18",AH9 ="病14-18"  ),OR(  AI9 ="x",AI9="補",AI9="婚",AI9="公",AI9="病",AI9="事",AI9="x"  ), $AP9 =""),"18放早走",  IF(  AND(  OR(  AH9 =""),OR(  AI9 ="x",AI9="補",AI9="婚",AI9="公",AI9="病",AI9="事",AI9="x榮*",AI9="榮",AI9="榮-22"  ), $AP9 =""),"18放",  IF(  AND(  OR(  AH9="當日退伍"  ),OR(  AI9="退伍",AI9="退", AI9=""  ), $AP9 =""),"當日退伍",  IF(AND(  OR(AH9="退",AH9="退伍" ), OR(AI9="退",AI9="退伍" ), $AP9 =""),"退伍","全日勤"  )  )  )  )  )  )  )  )  )  )  ),"")</f>
        <v>全日勤</v>
      </c>
      <c r="AI50" s="66" t="str">
        <f>IF(   (ROW(BU9)-1)&lt;=暫1!$B$2,           IF(  AND(  OR(  AI9="x",AI9="補"  ), OR(  AJ9 ="x",AJ9="補",AJ9="x榮18-22",AJ9="x公18-22",AJ9="x榮22-08"  ), $AP9 =""),"全日休",  IF(  AND(  OR(  AI9="x",AI9="病"  ), OR(  AJ9 ="病"  ), $AP9 =""),"病(事)假",  IF(  AND(  OR(  AI9="x",AI9="補"  ), OR(  AJ9 ="補"  ), $AP9 =""),"補休",  IF(  AND(  OR(  AI9="x",AI9="喪"  ), OR(  AJ9 ="喪"  ), $AP9 =""),"喪假",  IF(  AND(  OR(  AI9="x",AI9="婚",AI9="產"  ), OR(  AJ9 ="婚",AJ9="產"  ), $AP9 =""),"婚(產)假",  IF(  AND(  OR(  AI9="x",AI9="公"  ), OR(  AJ9 ="公"  ), $AP9 =""),"公假",  IF(  AND(  OR(  AI9="x",AI9="補",AI9="婚",AI9="公",AI9="病",AI9="事",AI9="x榮18-22"  ),OR(AJ9=""), $AP9 =""  ),"18收",  IF(  AND(  OR(  AI9 ="榮14-18",AI9 ="榮10-18",AI9 ="榮06-18",AI9 ="病14-18"  ),OR(  AJ9 ="x",AJ9="補",AJ9="婚",AJ9="公",AJ9="病",AJ9="事",AJ9="x"  ), $AP9 =""),"18放早走",  IF(  AND(  OR(  AI9 =""),OR(  AJ9 ="x",AJ9="補",AJ9="婚",AJ9="公",AJ9="病",AJ9="事",AJ9="x榮*",AJ9="榮",AJ9="榮-22"  ), $AP9 =""),"18放",  IF(  AND(  OR(  AI9="當日退伍"  ),OR(  AJ9="退伍",AJ9="退", AJ9=""  ), $AP9 =""),"當日退伍",  IF(AND(  OR(AI9="退",AI9="退伍" ), OR(AJ9="退",AJ9="退伍" ), $AP9 =""),"退伍","全日勤"  )  )  )  )  )  )  )  )  )  )  ),"")</f>
        <v>全日勤</v>
      </c>
      <c r="AJ50" s="66" t="str">
        <f>IF(   (ROW(BV9)-1)&lt;=暫1!$B$2,           IF(  AND(  OR(  AJ9="x",AJ9="補"  ), OR(  AK9 ="x",AK9="補",AK9="x榮18-22",AK9="x公18-22",AK9="x榮22-08"  ), $AP9 =""),"全日休",  IF(  AND(  OR(  AJ9="x",AJ9="病"  ), OR(  AK9 ="病"  ), $AP9 =""),"病(事)假",  IF(  AND(  OR(  AJ9="x",AJ9="補"  ), OR(  AK9 ="補"  ), $AP9 =""),"補休",  IF(  AND(  OR(  AJ9="x",AJ9="喪"  ), OR(  AK9 ="喪"  ), $AP9 =""),"喪假",  IF(  AND(  OR(  AJ9="x",AJ9="婚",AJ9="產"  ), OR(  AK9 ="婚",AK9="產"  ), $AP9 =""),"婚(產)假",  IF(  AND(  OR(  AJ9="x",AJ9="公"  ), OR(  AK9 ="公"  ), $AP9 =""),"公假",  IF(  AND(  OR(  AJ9="x",AJ9="補",AJ9="婚",AJ9="公",AJ9="病",AJ9="事",AJ9="x榮18-22"  ),OR(AK9=""), $AP9 =""  ),"18收",  IF(  AND(  OR(  AJ9 ="榮14-18",AJ9 ="榮10-18",AJ9 ="榮06-18",AJ9 ="病14-18"  ),OR(  AK9 ="x",AK9="補",AK9="婚",AK9="公",AK9="病",AK9="事",AK9="x"  ), $AP9 =""),"18放早走",  IF(  AND(  OR(  AJ9 =""),OR(  AK9 ="x",AK9="補",AK9="婚",AK9="公",AK9="病",AK9="事",AK9="x榮*",AK9="榮",AK9="榮-22"  ), $AP9 =""),"18放",  IF(  AND(  OR(  AJ9="當日退伍"  ),OR(  AK9="退伍",AK9="退", AK9=""  ), $AP9 =""),"當日退伍",  IF(AND(  OR(AJ9="退",AJ9="退伍" ), OR(AK9="退",AK9="退伍" ), $AP9 =""),"退伍","全日勤"  )  )  )  )  )  )  )  )  )  )  ),"")</f>
        <v>全日勤</v>
      </c>
      <c r="AO50" s="76"/>
      <c r="AP50" s="63"/>
      <c r="AU50" s="63"/>
      <c r="AY50" s="63"/>
      <c r="AZ50" s="63"/>
      <c r="BA50" s="63"/>
    </row>
    <row r="51" spans="1:55">
      <c r="A51" s="66">
        <f t="shared" si="4"/>
        <v>9</v>
      </c>
      <c r="B51" s="66" t="str">
        <f t="shared" si="6"/>
        <v>李政聰</v>
      </c>
      <c r="C51" s="66" t="str">
        <f>IF(   (ROW(AO10)-1)&lt;=暫1!$B$2,           IF(  AND(  OR(  C10="x",C10="補"  ), OR(  D10 ="x",D10="補",D10="x榮18-22",D10="x公18-22",D10="x榮22-08"  ), $AP10 =""),"全日休",  IF(  AND(  OR(  C10="x",C10="病"  ), OR(  D10 ="病"  ), $AP10 =""),"病(事)假",  IF(  AND(  OR(  C10="x",C10="補"  ), OR(  D10 ="補"  ), $AP10 =""),"補休",  IF(  AND(  OR(  C10="x",C10="喪"  ), OR(  D10 ="喪"  ), $AP10 =""),"喪假",  IF(  AND(  OR(  C10="x",C10="婚",C10="產"  ), OR(  D10 ="婚",D10="產"  ), $AP10 =""),"婚(產)假",  IF(  AND(  OR(  C10="x",C10="公"  ), OR(  D10 ="公"  ), $AP10 =""),"公假",  IF(  AND(  OR(  C10="x",C10="補",C10="婚",C10="公",C10="病",C10="事",C10="x榮18-22"  ),OR(D10=""), $AP10 =""  ),"18收",  IF(  AND(  OR(  C10 ="榮14-18",C10 ="榮10-18",C10 ="榮06-18",C10 ="病14-18"  ),OR(  D10 ="x",D10="補",D10="婚",D10="公",D10="病",D10="事",D10="x"  ), $AP10 =""),"18放早走",  IF(  AND(  OR(  C10 =""),OR(  D10 ="x",D10="補",D10="婚",D10="公",D10="病",D10="事",D10="x榮*",D10="榮",D10="榮-22"  ), $AP10 =""),"18放",  IF(  AND(  OR(  C10="當日退伍"  ),OR(  D10="退伍",D10="退", D10=""  ), $AP10 =""),"當日退伍",  IF(AND(  OR(C10="退",C10="退伍" ), OR(D10="退",D10="退伍" ), $AP10 =""),"退伍","全日勤"  )  )  )  )  )  )  )  )  )  )  ),"")</f>
        <v>全日勤</v>
      </c>
      <c r="D51" s="66" t="str">
        <f>IF(   (ROW(AP10)-1)&lt;=暫1!$B$2,           IF(  AND(  OR(  D10="x",D10="補"  ), OR(  E10 ="x",E10="補",E10="x榮18-22",E10="x公18-22",E10="x榮22-08"  ), $AP10 =""),"全日休",  IF(  AND(  OR(  D10="x",D10="病"  ), OR(  E10 ="病"  ), $AP10 =""),"病(事)假",  IF(  AND(  OR(  D10="x",D10="補"  ), OR(  E10 ="補"  ), $AP10 =""),"補休",  IF(  AND(  OR(  D10="x",D10="喪"  ), OR(  E10 ="喪"  ), $AP10 =""),"喪假",  IF(  AND(  OR(  D10="x",D10="婚",D10="產"  ), OR(  E10 ="婚",E10="產"  ), $AP10 =""),"婚(產)假",  IF(  AND(  OR(  D10="x",D10="公"  ), OR(  E10 ="公"  ), $AP10 =""),"公假",  IF(  AND(  OR(  D10="x",D10="補",D10="婚",D10="公",D10="病",D10="事",D10="x榮18-22"  ),OR(E10=""), $AP10 =""  ),"18收",  IF(  AND(  OR(  D10 ="榮14-18",D10 ="榮10-18",D10 ="榮06-18",D10 ="病14-18"  ),OR(  E10 ="x",E10="補",E10="婚",E10="公",E10="病",E10="事",E10="x"  ), $AP10 =""),"18放早走",  IF(  AND(  OR(  D10 =""),OR(  E10 ="x",E10="補",E10="婚",E10="公",E10="病",E10="事",E10="x榮*",E10="榮",E10="榮-22"  ), $AP10 =""),"18放",  IF(  AND(  OR(  D10="當日退伍"  ),OR(  E10="退伍",E10="退", E10=""  ), $AP10 =""),"當日退伍",  IF(AND(  OR(D10="退",D10="退伍" ), OR(E10="退",E10="退伍" ), $AP10 =""),"退伍","全日勤"  )  )  )  )  )  )  )  )  )  )  ),"")</f>
        <v>全日勤</v>
      </c>
      <c r="E51" s="66" t="str">
        <f>IF(   (ROW(AQ10)-1)&lt;=暫1!$B$2,           IF(  AND(  OR(  E10="x",E10="補"  ), OR(  F10 ="x",F10="補",F10="x榮18-22",F10="x公18-22",F10="x榮22-08"  ), $AP10 =""),"全日休",  IF(  AND(  OR(  E10="x",E10="病"  ), OR(  F10 ="病"  ), $AP10 =""),"病(事)假",  IF(  AND(  OR(  E10="x",E10="補"  ), OR(  F10 ="補"  ), $AP10 =""),"補休",  IF(  AND(  OR(  E10="x",E10="喪"  ), OR(  F10 ="喪"  ), $AP10 =""),"喪假",  IF(  AND(  OR(  E10="x",E10="婚",E10="產"  ), OR(  F10 ="婚",F10="產"  ), $AP10 =""),"婚(產)假",  IF(  AND(  OR(  E10="x",E10="公"  ), OR(  F10 ="公"  ), $AP10 =""),"公假",  IF(  AND(  OR(  E10="x",E10="補",E10="婚",E10="公",E10="病",E10="事",E10="x榮18-22"  ),OR(F10=""), $AP10 =""  ),"18收",  IF(  AND(  OR(  E10 ="榮14-18",E10 ="榮10-18",E10 ="榮06-18",E10 ="病14-18"  ),OR(  F10 ="x",F10="補",F10="婚",F10="公",F10="病",F10="事",F10="x"  ), $AP10 =""),"18放早走",  IF(  AND(  OR(  E10 =""),OR(  F10 ="x",F10="補",F10="婚",F10="公",F10="病",F10="事",F10="x榮*",F10="榮",F10="榮-22"  ), $AP10 =""),"18放",  IF(  AND(  OR(  E10="當日退伍"  ),OR(  F10="退伍",F10="退", F10=""  ), $AP10 =""),"當日退伍",  IF(AND(  OR(E10="退",E10="退伍" ), OR(F10="退",F10="退伍" ), $AP10 =""),"退伍","全日勤"  )  )  )  )  )  )  )  )  )  )  ),"")</f>
        <v>全日勤</v>
      </c>
      <c r="F51" s="66" t="str">
        <f>IF(   (ROW(AR10)-1)&lt;=暫1!$B$2,           IF(  AND(  OR(  F10="x",F10="補"  ), OR(  G10 ="x",G10="補",G10="x榮18-22",G10="x公18-22",G10="x榮22-08"  ), $AP10 =""),"全日休",  IF(  AND(  OR(  F10="x",F10="病"  ), OR(  G10 ="病"  ), $AP10 =""),"病(事)假",  IF(  AND(  OR(  F10="x",F10="補"  ), OR(  G10 ="補"  ), $AP10 =""),"補休",  IF(  AND(  OR(  F10="x",F10="喪"  ), OR(  G10 ="喪"  ), $AP10 =""),"喪假",  IF(  AND(  OR(  F10="x",F10="婚",F10="產"  ), OR(  G10 ="婚",G10="產"  ), $AP10 =""),"婚(產)假",  IF(  AND(  OR(  F10="x",F10="公"  ), OR(  G10 ="公"  ), $AP10 =""),"公假",  IF(  AND(  OR(  F10="x",F10="補",F10="婚",F10="公",F10="病",F10="事",F10="x榮18-22"  ),OR(G10=""), $AP10 =""  ),"18收",  IF(  AND(  OR(  F10 ="榮14-18",F10 ="榮10-18",F10 ="榮06-18",F10 ="病14-18"  ),OR(  G10 ="x",G10="補",G10="婚",G10="公",G10="病",G10="事",G10="x"  ), $AP10 =""),"18放早走",  IF(  AND(  OR(  F10 =""),OR(  G10 ="x",G10="補",G10="婚",G10="公",G10="病",G10="事",G10="x榮*",G10="榮",G10="榮-22"  ), $AP10 =""),"18放",  IF(  AND(  OR(  F10="當日退伍"  ),OR(  G10="退伍",G10="退", G10=""  ), $AP10 =""),"當日退伍",  IF(AND(  OR(F10="退",F10="退伍" ), OR(G10="退",G10="退伍" ), $AP10 =""),"退伍","全日勤"  )  )  )  )  )  )  )  )  )  )  ),"")</f>
        <v>全日勤</v>
      </c>
      <c r="G51" s="66" t="str">
        <f>IF(   (ROW(AS10)-1)&lt;=暫1!$B$2,           IF(  AND(  OR(  G10="x",G10="補"  ), OR(  H10 ="x",H10="補",H10="x榮18-22",H10="x公18-22",H10="x榮22-08"  ), $AP10 =""),"全日休",  IF(  AND(  OR(  G10="x",G10="病"  ), OR(  H10 ="病"  ), $AP10 =""),"病(事)假",  IF(  AND(  OR(  G10="x",G10="補"  ), OR(  H10 ="補"  ), $AP10 =""),"補休",  IF(  AND(  OR(  G10="x",G10="喪"  ), OR(  H10 ="喪"  ), $AP10 =""),"喪假",  IF(  AND(  OR(  G10="x",G10="婚",G10="產"  ), OR(  H10 ="婚",H10="產"  ), $AP10 =""),"婚(產)假",  IF(  AND(  OR(  G10="x",G10="公"  ), OR(  H10 ="公"  ), $AP10 =""),"公假",  IF(  AND(  OR(  G10="x",G10="補",G10="婚",G10="公",G10="病",G10="事",G10="x榮18-22"  ),OR(H10=""), $AP10 =""  ),"18收",  IF(  AND(  OR(  G10 ="榮14-18",G10 ="榮10-18",G10 ="榮06-18",G10 ="病14-18"  ),OR(  H10 ="x",H10="補",H10="婚",H10="公",H10="病",H10="事",H10="x"  ), $AP10 =""),"18放早走",  IF(  AND(  OR(  G10 =""),OR(  H10 ="x",H10="補",H10="婚",H10="公",H10="病",H10="事",H10="x榮*",H10="榮",H10="榮-22"  ), $AP10 =""),"18放",  IF(  AND(  OR(  G10="當日退伍"  ),OR(  H10="退伍",H10="退", H10=""  ), $AP10 =""),"當日退伍",  IF(AND(  OR(G10="退",G10="退伍" ), OR(H10="退",H10="退伍" ), $AP10 =""),"退伍","全日勤"  )  )  )  )  )  )  )  )  )  )  ),"")</f>
        <v>全日勤</v>
      </c>
      <c r="H51" s="66" t="str">
        <f>IF(   (ROW(AT10)-1)&lt;=暫1!$B$2,           IF(  AND(  OR(  H10="x",H10="補"  ), OR(  I10 ="x",I10="補",I10="x榮18-22",I10="x公18-22",I10="x榮22-08"  ), $AP10 =""),"全日休",  IF(  AND(  OR(  H10="x",H10="病"  ), OR(  I10 ="病"  ), $AP10 =""),"病(事)假",  IF(  AND(  OR(  H10="x",H10="補"  ), OR(  I10 ="補"  ), $AP10 =""),"補休",  IF(  AND(  OR(  H10="x",H10="喪"  ), OR(  I10 ="喪"  ), $AP10 =""),"喪假",  IF(  AND(  OR(  H10="x",H10="婚",H10="產"  ), OR(  I10 ="婚",I10="產"  ), $AP10 =""),"婚(產)假",  IF(  AND(  OR(  H10="x",H10="公"  ), OR(  I10 ="公"  ), $AP10 =""),"公假",  IF(  AND(  OR(  H10="x",H10="補",H10="婚",H10="公",H10="病",H10="事",H10="x榮18-22"  ),OR(I10=""), $AP10 =""  ),"18收",  IF(  AND(  OR(  H10 ="榮14-18",H10 ="榮10-18",H10 ="榮06-18",H10 ="病14-18"  ),OR(  I10 ="x",I10="補",I10="婚",I10="公",I10="病",I10="事",I10="x"  ), $AP10 =""),"18放早走",  IF(  AND(  OR(  H10 =""),OR(  I10 ="x",I10="補",I10="婚",I10="公",I10="病",I10="事",I10="x榮*",I10="榮",I10="榮-22"  ), $AP10 =""),"18放",  IF(  AND(  OR(  H10="當日退伍"  ),OR(  I10="退伍",I10="退", I10=""  ), $AP10 =""),"當日退伍",  IF(AND(  OR(H10="退",H10="退伍" ), OR(I10="退",I10="退伍" ), $AP10 =""),"退伍","全日勤"  )  )  )  )  )  )  )  )  )  )  ),"")</f>
        <v>全日勤</v>
      </c>
      <c r="I51" s="66" t="str">
        <f>IF(   (ROW(AU10)-1)&lt;=暫1!$B$2,           IF(  AND(  OR(  I10="x",I10="補"  ), OR(  J10 ="x",J10="補",J10="x榮18-22",J10="x公18-22",J10="x榮22-08"  ), $AP10 =""),"全日休",  IF(  AND(  OR(  I10="x",I10="病"  ), OR(  J10 ="病"  ), $AP10 =""),"病(事)假",  IF(  AND(  OR(  I10="x",I10="補"  ), OR(  J10 ="補"  ), $AP10 =""),"補休",  IF(  AND(  OR(  I10="x",I10="喪"  ), OR(  J10 ="喪"  ), $AP10 =""),"喪假",  IF(  AND(  OR(  I10="x",I10="婚",I10="產"  ), OR(  J10 ="婚",J10="產"  ), $AP10 =""),"婚(產)假",  IF(  AND(  OR(  I10="x",I10="公"  ), OR(  J10 ="公"  ), $AP10 =""),"公假",  IF(  AND(  OR(  I10="x",I10="補",I10="婚",I10="公",I10="病",I10="事",I10="x榮18-22"  ),OR(J10=""), $AP10 =""  ),"18收",  IF(  AND(  OR(  I10 ="榮14-18",I10 ="榮10-18",I10 ="榮06-18",I10 ="病14-18"  ),OR(  J10 ="x",J10="補",J10="婚",J10="公",J10="病",J10="事",J10="x"  ), $AP10 =""),"18放早走",  IF(  AND(  OR(  I10 =""),OR(  J10 ="x",J10="補",J10="婚",J10="公",J10="病",J10="事",J10="x榮*",J10="榮",J10="榮-22"  ), $AP10 =""),"18放",  IF(  AND(  OR(  I10="當日退伍"  ),OR(  J10="退伍",J10="退", J10=""  ), $AP10 =""),"當日退伍",  IF(AND(  OR(I10="退",I10="退伍" ), OR(J10="退",J10="退伍" ), $AP10 =""),"退伍","全日勤"  )  )  )  )  )  )  )  )  )  )  ),"")</f>
        <v>全日勤</v>
      </c>
      <c r="J51" s="66" t="str">
        <f>IF(   (ROW(AV10)-1)&lt;=暫1!$B$2,           IF(  AND(  OR(  J10="x",J10="補"  ), OR(  K10 ="x",K10="補",K10="x榮18-22",K10="x公18-22",K10="x榮22-08"  ), $AP10 =""),"全日休",  IF(  AND(  OR(  J10="x",J10="病"  ), OR(  K10 ="病"  ), $AP10 =""),"病(事)假",  IF(  AND(  OR(  J10="x",J10="補"  ), OR(  K10 ="補"  ), $AP10 =""),"補休",  IF(  AND(  OR(  J10="x",J10="喪"  ), OR(  K10 ="喪"  ), $AP10 =""),"喪假",  IF(  AND(  OR(  J10="x",J10="婚",J10="產"  ), OR(  K10 ="婚",K10="產"  ), $AP10 =""),"婚(產)假",  IF(  AND(  OR(  J10="x",J10="公"  ), OR(  K10 ="公"  ), $AP10 =""),"公假",  IF(  AND(  OR(  J10="x",J10="補",J10="婚",J10="公",J10="病",J10="事",J10="x榮18-22"  ),OR(K10=""), $AP10 =""  ),"18收",  IF(  AND(  OR(  J10 ="榮14-18",J10 ="榮10-18",J10 ="榮06-18",J10 ="病14-18"  ),OR(  K10 ="x",K10="補",K10="婚",K10="公",K10="病",K10="事",K10="x"  ), $AP10 =""),"18放早走",  IF(  AND(  OR(  J10 =""),OR(  K10 ="x",K10="補",K10="婚",K10="公",K10="病",K10="事",K10="x榮*",K10="榮",K10="榮-22"  ), $AP10 =""),"18放",  IF(  AND(  OR(  J10="當日退伍"  ),OR(  K10="退伍",K10="退", K10=""  ), $AP10 =""),"當日退伍",  IF(AND(  OR(J10="退",J10="退伍" ), OR(K10="退",K10="退伍" ), $AP10 =""),"退伍","全日勤"  )  )  )  )  )  )  )  )  )  )  ),"")</f>
        <v>全日勤</v>
      </c>
      <c r="K51" s="66" t="str">
        <f>IF(   (ROW(AW10)-1)&lt;=暫1!$B$2,           IF(  AND(  OR(  K10="x",K10="補"  ), OR(  L10 ="x",L10="補",L10="x榮18-22",L10="x公18-22",L10="x榮22-08"  ), $AP10 =""),"全日休",  IF(  AND(  OR(  K10="x",K10="病"  ), OR(  L10 ="病"  ), $AP10 =""),"病(事)假",  IF(  AND(  OR(  K10="x",K10="補"  ), OR(  L10 ="補"  ), $AP10 =""),"補休",  IF(  AND(  OR(  K10="x",K10="喪"  ), OR(  L10 ="喪"  ), $AP10 =""),"喪假",  IF(  AND(  OR(  K10="x",K10="婚",K10="產"  ), OR(  L10 ="婚",L10="產"  ), $AP10 =""),"婚(產)假",  IF(  AND(  OR(  K10="x",K10="公"  ), OR(  L10 ="公"  ), $AP10 =""),"公假",  IF(  AND(  OR(  K10="x",K10="補",K10="婚",K10="公",K10="病",K10="事",K10="x榮18-22"  ),OR(L10=""), $AP10 =""  ),"18收",  IF(  AND(  OR(  K10 ="榮14-18",K10 ="榮10-18",K10 ="榮06-18",K10 ="病14-18"  ),OR(  L10 ="x",L10="補",L10="婚",L10="公",L10="病",L10="事",L10="x"  ), $AP10 =""),"18放早走",  IF(  AND(  OR(  K10 =""),OR(  L10 ="x",L10="補",L10="婚",L10="公",L10="病",L10="事",L10="x榮*",L10="榮",L10="榮-22"  ), $AP10 =""),"18放",  IF(  AND(  OR(  K10="當日退伍"  ),OR(  L10="退伍",L10="退", L10=""  ), $AP10 =""),"當日退伍",  IF(AND(  OR(K10="退",K10="退伍" ), OR(L10="退",L10="退伍" ), $AP10 =""),"退伍","全日勤"  )  )  )  )  )  )  )  )  )  )  ),"")</f>
        <v>全日勤</v>
      </c>
      <c r="L51" s="66" t="str">
        <f>IF(   (ROW(AX10)-1)&lt;=暫1!$B$2,           IF(  AND(  OR(  L10="x",L10="補"  ), OR(  M10 ="x",M10="補",M10="x榮18-22",M10="x公18-22",M10="x榮22-08"  ), $AP10 =""),"全日休",  IF(  AND(  OR(  L10="x",L10="病"  ), OR(  M10 ="病"  ), $AP10 =""),"病(事)假",  IF(  AND(  OR(  L10="x",L10="補"  ), OR(  M10 ="補"  ), $AP10 =""),"補休",  IF(  AND(  OR(  L10="x",L10="喪"  ), OR(  M10 ="喪"  ), $AP10 =""),"喪假",  IF(  AND(  OR(  L10="x",L10="婚",L10="產"  ), OR(  M10 ="婚",M10="產"  ), $AP10 =""),"婚(產)假",  IF(  AND(  OR(  L10="x",L10="公"  ), OR(  M10 ="公"  ), $AP10 =""),"公假",  IF(  AND(  OR(  L10="x",L10="補",L10="婚",L10="公",L10="病",L10="事",L10="x榮18-22"  ),OR(M10=""), $AP10 =""  ),"18收",  IF(  AND(  OR(  L10 ="榮14-18",L10 ="榮10-18",L10 ="榮06-18",L10 ="病14-18"  ),OR(  M10 ="x",M10="補",M10="婚",M10="公",M10="病",M10="事",M10="x"  ), $AP10 =""),"18放早走",  IF(  AND(  OR(  L10 =""),OR(  M10 ="x",M10="補",M10="婚",M10="公",M10="病",M10="事",M10="x榮*",M10="榮",M10="榮-22"  ), $AP10 =""),"18放",  IF(  AND(  OR(  L10="當日退伍"  ),OR(  M10="退伍",M10="退", M10=""  ), $AP10 =""),"當日退伍",  IF(AND(  OR(L10="退",L10="退伍" ), OR(M10="退",M10="退伍" ), $AP10 =""),"退伍","全日勤"  )  )  )  )  )  )  )  )  )  )  ),"")</f>
        <v>全日勤</v>
      </c>
      <c r="M51" s="66" t="str">
        <f>IF(   (ROW(AY10)-1)&lt;=暫1!$B$2,           IF(  AND(  OR(  M10="x",M10="補"  ), OR(  N10 ="x",N10="補",N10="x榮18-22",N10="x公18-22",N10="x榮22-08"  ), $AP10 =""),"全日休",  IF(  AND(  OR(  M10="x",M10="病"  ), OR(  N10 ="病"  ), $AP10 =""),"病(事)假",  IF(  AND(  OR(  M10="x",M10="補"  ), OR(  N10 ="補"  ), $AP10 =""),"補休",  IF(  AND(  OR(  M10="x",M10="喪"  ), OR(  N10 ="喪"  ), $AP10 =""),"喪假",  IF(  AND(  OR(  M10="x",M10="婚",M10="產"  ), OR(  N10 ="婚",N10="產"  ), $AP10 =""),"婚(產)假",  IF(  AND(  OR(  M10="x",M10="公"  ), OR(  N10 ="公"  ), $AP10 =""),"公假",  IF(  AND(  OR(  M10="x",M10="補",M10="婚",M10="公",M10="病",M10="事",M10="x榮18-22"  ),OR(N10=""), $AP10 =""  ),"18收",  IF(  AND(  OR(  M10 ="榮14-18",M10 ="榮10-18",M10 ="榮06-18",M10 ="病14-18"  ),OR(  N10 ="x",N10="補",N10="婚",N10="公",N10="病",N10="事",N10="x"  ), $AP10 =""),"18放早走",  IF(  AND(  OR(  M10 =""),OR(  N10 ="x",N10="補",N10="婚",N10="公",N10="病",N10="事",N10="x榮*",N10="榮",N10="榮-22"  ), $AP10 =""),"18放",  IF(  AND(  OR(  M10="當日退伍"  ),OR(  N10="退伍",N10="退", N10=""  ), $AP10 =""),"當日退伍",  IF(AND(  OR(M10="退",M10="退伍" ), OR(N10="退",N10="退伍" ), $AP10 =""),"退伍","全日勤"  )  )  )  )  )  )  )  )  )  )  ),"")</f>
        <v>全日勤</v>
      </c>
      <c r="N51" s="66" t="str">
        <f>IF(   (ROW(AZ10)-1)&lt;=暫1!$B$2,           IF(  AND(  OR(  N10="x",N10="補"  ), OR(  O10 ="x",O10="補",O10="x榮18-22",O10="x公18-22",O10="x榮22-08"  ), $AP10 =""),"全日休",  IF(  AND(  OR(  N10="x",N10="病"  ), OR(  O10 ="病"  ), $AP10 =""),"病(事)假",  IF(  AND(  OR(  N10="x",N10="補"  ), OR(  O10 ="補"  ), $AP10 =""),"補休",  IF(  AND(  OR(  N10="x",N10="喪"  ), OR(  O10 ="喪"  ), $AP10 =""),"喪假",  IF(  AND(  OR(  N10="x",N10="婚",N10="產"  ), OR(  O10 ="婚",O10="產"  ), $AP10 =""),"婚(產)假",  IF(  AND(  OR(  N10="x",N10="公"  ), OR(  O10 ="公"  ), $AP10 =""),"公假",  IF(  AND(  OR(  N10="x",N10="補",N10="婚",N10="公",N10="病",N10="事",N10="x榮18-22"  ),OR(O10=""), $AP10 =""  ),"18收",  IF(  AND(  OR(  N10 ="榮14-18",N10 ="榮10-18",N10 ="榮06-18",N10 ="病14-18"  ),OR(  O10 ="x",O10="補",O10="婚",O10="公",O10="病",O10="事",O10="x"  ), $AP10 =""),"18放早走",  IF(  AND(  OR(  N10 =""),OR(  O10 ="x",O10="補",O10="婚",O10="公",O10="病",O10="事",O10="x榮*",O10="榮",O10="榮-22"  ), $AP10 =""),"18放",  IF(  AND(  OR(  N10="當日退伍"  ),OR(  O10="退伍",O10="退", O10=""  ), $AP10 =""),"當日退伍",  IF(AND(  OR(N10="退",N10="退伍" ), OR(O10="退",O10="退伍" ), $AP10 =""),"退伍","全日勤"  )  )  )  )  )  )  )  )  )  )  ),"")</f>
        <v>全日勤</v>
      </c>
      <c r="O51" s="66" t="str">
        <f>IF(   (ROW(BA10)-1)&lt;=暫1!$B$2,           IF(  AND(  OR(  O10="x",O10="補"  ), OR(  P10 ="x",P10="補",P10="x榮18-22",P10="x公18-22",P10="x榮22-08"  ), $AP10 =""),"全日休",  IF(  AND(  OR(  O10="x",O10="病"  ), OR(  P10 ="病"  ), $AP10 =""),"病(事)假",  IF(  AND(  OR(  O10="x",O10="補"  ), OR(  P10 ="補"  ), $AP10 =""),"補休",  IF(  AND(  OR(  O10="x",O10="喪"  ), OR(  P10 ="喪"  ), $AP10 =""),"喪假",  IF(  AND(  OR(  O10="x",O10="婚",O10="產"  ), OR(  P10 ="婚",P10="產"  ), $AP10 =""),"婚(產)假",  IF(  AND(  OR(  O10="x",O10="公"  ), OR(  P10 ="公"  ), $AP10 =""),"公假",  IF(  AND(  OR(  O10="x",O10="補",O10="婚",O10="公",O10="病",O10="事",O10="x榮18-22"  ),OR(P10=""), $AP10 =""  ),"18收",  IF(  AND(  OR(  O10 ="榮14-18",O10 ="榮10-18",O10 ="榮06-18",O10 ="病14-18"  ),OR(  P10 ="x",P10="補",P10="婚",P10="公",P10="病",P10="事",P10="x"  ), $AP10 =""),"18放早走",  IF(  AND(  OR(  O10 =""),OR(  P10 ="x",P10="補",P10="婚",P10="公",P10="病",P10="事",P10="x榮*",P10="榮",P10="榮-22"  ), $AP10 =""),"18放",  IF(  AND(  OR(  O10="當日退伍"  ),OR(  P10="退伍",P10="退", P10=""  ), $AP10 =""),"當日退伍",  IF(AND(  OR(O10="退",O10="退伍" ), OR(P10="退",P10="退伍" ), $AP10 =""),"退伍","全日勤"  )  )  )  )  )  )  )  )  )  )  ),"")</f>
        <v>全日勤</v>
      </c>
      <c r="P51" s="66" t="str">
        <f>IF(   (ROW(BB10)-1)&lt;=暫1!$B$2,           IF(  AND(  OR(  P10="x",P10="補"  ), OR(  Q10 ="x",Q10="補",Q10="x榮18-22",Q10="x公18-22",Q10="x榮22-08"  ), $AP10 =""),"全日休",  IF(  AND(  OR(  P10="x",P10="病"  ), OR(  Q10 ="病"  ), $AP10 =""),"病(事)假",  IF(  AND(  OR(  P10="x",P10="補"  ), OR(  Q10 ="補"  ), $AP10 =""),"補休",  IF(  AND(  OR(  P10="x",P10="喪"  ), OR(  Q10 ="喪"  ), $AP10 =""),"喪假",  IF(  AND(  OR(  P10="x",P10="婚",P10="產"  ), OR(  Q10 ="婚",Q10="產"  ), $AP10 =""),"婚(產)假",  IF(  AND(  OR(  P10="x",P10="公"  ), OR(  Q10 ="公"  ), $AP10 =""),"公假",  IF(  AND(  OR(  P10="x",P10="補",P10="婚",P10="公",P10="病",P10="事",P10="x榮18-22"  ),OR(Q10=""), $AP10 =""  ),"18收",  IF(  AND(  OR(  P10 ="榮14-18",P10 ="榮10-18",P10 ="榮06-18",P10 ="病14-18"  ),OR(  Q10 ="x",Q10="補",Q10="婚",Q10="公",Q10="病",Q10="事",Q10="x"  ), $AP10 =""),"18放早走",  IF(  AND(  OR(  P10 =""),OR(  Q10 ="x",Q10="補",Q10="婚",Q10="公",Q10="病",Q10="事",Q10="x榮*",Q10="榮",Q10="榮-22"  ), $AP10 =""),"18放",  IF(  AND(  OR(  P10="當日退伍"  ),OR(  Q10="退伍",Q10="退", Q10=""  ), $AP10 =""),"當日退伍",  IF(AND(  OR(P10="退",P10="退伍" ), OR(Q10="退",Q10="退伍" ), $AP10 =""),"退伍","全日勤"  )  )  )  )  )  )  )  )  )  )  ),"")</f>
        <v>全日勤</v>
      </c>
      <c r="Q51" s="66" t="str">
        <f>IF(   (ROW(BC10)-1)&lt;=暫1!$B$2,           IF(  AND(  OR(  Q10="x",Q10="補"  ), OR(  R10 ="x",R10="補",R10="x榮18-22",R10="x公18-22",R10="x榮22-08"  ), $AP10 =""),"全日休",  IF(  AND(  OR(  Q10="x",Q10="病"  ), OR(  R10 ="病"  ), $AP10 =""),"病(事)假",  IF(  AND(  OR(  Q10="x",Q10="補"  ), OR(  R10 ="補"  ), $AP10 =""),"補休",  IF(  AND(  OR(  Q10="x",Q10="喪"  ), OR(  R10 ="喪"  ), $AP10 =""),"喪假",  IF(  AND(  OR(  Q10="x",Q10="婚",Q10="產"  ), OR(  R10 ="婚",R10="產"  ), $AP10 =""),"婚(產)假",  IF(  AND(  OR(  Q10="x",Q10="公"  ), OR(  R10 ="公"  ), $AP10 =""),"公假",  IF(  AND(  OR(  Q10="x",Q10="補",Q10="婚",Q10="公",Q10="病",Q10="事",Q10="x榮18-22"  ),OR(R10=""), $AP10 =""  ),"18收",  IF(  AND(  OR(  Q10 ="榮14-18",Q10 ="榮10-18",Q10 ="榮06-18",Q10 ="病14-18"  ),OR(  R10 ="x",R10="補",R10="婚",R10="公",R10="病",R10="事",R10="x"  ), $AP10 =""),"18放早走",  IF(  AND(  OR(  Q10 =""),OR(  R10 ="x",R10="補",R10="婚",R10="公",R10="病",R10="事",R10="x榮*",R10="榮",R10="榮-22"  ), $AP10 =""),"18放",  IF(  AND(  OR(  Q10="當日退伍"  ),OR(  R10="退伍",R10="退", R10=""  ), $AP10 =""),"當日退伍",  IF(AND(  OR(Q10="退",Q10="退伍" ), OR(R10="退",R10="退伍" ), $AP10 =""),"退伍","全日勤"  )  )  )  )  )  )  )  )  )  )  ),"")</f>
        <v>全日勤</v>
      </c>
      <c r="R51" s="66" t="str">
        <f>IF(   (ROW(BD10)-1)&lt;=暫1!$B$2,           IF(  AND(  OR(  R10="x",R10="補"  ), OR(  S10 ="x",S10="補",S10="x榮18-22",S10="x公18-22",S10="x榮22-08"  ), $AP10 =""),"全日休",  IF(  AND(  OR(  R10="x",R10="病"  ), OR(  S10 ="病"  ), $AP10 =""),"病(事)假",  IF(  AND(  OR(  R10="x",R10="補"  ), OR(  S10 ="補"  ), $AP10 =""),"補休",  IF(  AND(  OR(  R10="x",R10="喪"  ), OR(  S10 ="喪"  ), $AP10 =""),"喪假",  IF(  AND(  OR(  R10="x",R10="婚",R10="產"  ), OR(  S10 ="婚",S10="產"  ), $AP10 =""),"婚(產)假",  IF(  AND(  OR(  R10="x",R10="公"  ), OR(  S10 ="公"  ), $AP10 =""),"公假",  IF(  AND(  OR(  R10="x",R10="補",R10="婚",R10="公",R10="病",R10="事",R10="x榮18-22"  ),OR(S10=""), $AP10 =""  ),"18收",  IF(  AND(  OR(  R10 ="榮14-18",R10 ="榮10-18",R10 ="榮06-18",R10 ="病14-18"  ),OR(  S10 ="x",S10="補",S10="婚",S10="公",S10="病",S10="事",S10="x"  ), $AP10 =""),"18放早走",  IF(  AND(  OR(  R10 =""),OR(  S10 ="x",S10="補",S10="婚",S10="公",S10="病",S10="事",S10="x榮*",S10="榮",S10="榮-22"  ), $AP10 =""),"18放",  IF(  AND(  OR(  R10="當日退伍"  ),OR(  S10="退伍",S10="退", S10=""  ), $AP10 =""),"當日退伍",  IF(AND(  OR(R10="退",R10="退伍" ), OR(S10="退",S10="退伍" ), $AP10 =""),"退伍","全日勤"  )  )  )  )  )  )  )  )  )  )  ),"")</f>
        <v>全日勤</v>
      </c>
      <c r="S51" s="66" t="str">
        <f>IF(   (ROW(BE10)-1)&lt;=暫1!$B$2,           IF(  AND(  OR(  S10="x",S10="補"  ), OR(  T10 ="x",T10="補",T10="x榮18-22",T10="x公18-22",T10="x榮22-08"  ), $AP10 =""),"全日休",  IF(  AND(  OR(  S10="x",S10="病"  ), OR(  T10 ="病"  ), $AP10 =""),"病(事)假",  IF(  AND(  OR(  S10="x",S10="補"  ), OR(  T10 ="補"  ), $AP10 =""),"補休",  IF(  AND(  OR(  S10="x",S10="喪"  ), OR(  T10 ="喪"  ), $AP10 =""),"喪假",  IF(  AND(  OR(  S10="x",S10="婚",S10="產"  ), OR(  T10 ="婚",T10="產"  ), $AP10 =""),"婚(產)假",  IF(  AND(  OR(  S10="x",S10="公"  ), OR(  T10 ="公"  ), $AP10 =""),"公假",  IF(  AND(  OR(  S10="x",S10="補",S10="婚",S10="公",S10="病",S10="事",S10="x榮18-22"  ),OR(T10=""), $AP10 =""  ),"18收",  IF(  AND(  OR(  S10 ="榮14-18",S10 ="榮10-18",S10 ="榮06-18",S10 ="病14-18"  ),OR(  T10 ="x",T10="補",T10="婚",T10="公",T10="病",T10="事",T10="x"  ), $AP10 =""),"18放早走",  IF(  AND(  OR(  S10 =""),OR(  T10 ="x",T10="補",T10="婚",T10="公",T10="病",T10="事",T10="x榮*",T10="榮",T10="榮-22"  ), $AP10 =""),"18放",  IF(  AND(  OR(  S10="當日退伍"  ),OR(  T10="退伍",T10="退", T10=""  ), $AP10 =""),"當日退伍",  IF(AND(  OR(S10="退",S10="退伍" ), OR(T10="退",T10="退伍" ), $AP10 =""),"退伍","全日勤"  )  )  )  )  )  )  )  )  )  )  ),"")</f>
        <v>全日勤</v>
      </c>
      <c r="T51" s="66" t="str">
        <f>IF(   (ROW(BF10)-1)&lt;=暫1!$B$2,           IF(  AND(  OR(  T10="x",T10="補"  ), OR(  U10 ="x",U10="補",U10="x榮18-22",U10="x公18-22",U10="x榮22-08"  ), $AP10 =""),"全日休",  IF(  AND(  OR(  T10="x",T10="病"  ), OR(  U10 ="病"  ), $AP10 =""),"病(事)假",  IF(  AND(  OR(  T10="x",T10="補"  ), OR(  U10 ="補"  ), $AP10 =""),"補休",  IF(  AND(  OR(  T10="x",T10="喪"  ), OR(  U10 ="喪"  ), $AP10 =""),"喪假",  IF(  AND(  OR(  T10="x",T10="婚",T10="產"  ), OR(  U10 ="婚",U10="產"  ), $AP10 =""),"婚(產)假",  IF(  AND(  OR(  T10="x",T10="公"  ), OR(  U10 ="公"  ), $AP10 =""),"公假",  IF(  AND(  OR(  T10="x",T10="補",T10="婚",T10="公",T10="病",T10="事",T10="x榮18-22"  ),OR(U10=""), $AP10 =""  ),"18收",  IF(  AND(  OR(  T10 ="榮14-18",T10 ="榮10-18",T10 ="榮06-18",T10 ="病14-18"  ),OR(  U10 ="x",U10="補",U10="婚",U10="公",U10="病",U10="事",U10="x"  ), $AP10 =""),"18放早走",  IF(  AND(  OR(  T10 =""),OR(  U10 ="x",U10="補",U10="婚",U10="公",U10="病",U10="事",U10="x榮*",U10="榮",U10="榮-22"  ), $AP10 =""),"18放",  IF(  AND(  OR(  T10="當日退伍"  ),OR(  U10="退伍",U10="退", U10=""  ), $AP10 =""),"當日退伍",  IF(AND(  OR(T10="退",T10="退伍" ), OR(U10="退",U10="退伍" ), $AP10 =""),"退伍","全日勤"  )  )  )  )  )  )  )  )  )  )  ),"")</f>
        <v>全日勤</v>
      </c>
      <c r="U51" s="66" t="str">
        <f>IF(   (ROW(BG10)-1)&lt;=暫1!$B$2,           IF(  AND(  OR(  U10="x",U10="補"  ), OR(  V10 ="x",V10="補",V10="x榮18-22",V10="x公18-22",V10="x榮22-08"  ), $AP10 =""),"全日休",  IF(  AND(  OR(  U10="x",U10="病"  ), OR(  V10 ="病"  ), $AP10 =""),"病(事)假",  IF(  AND(  OR(  U10="x",U10="補"  ), OR(  V10 ="補"  ), $AP10 =""),"補休",  IF(  AND(  OR(  U10="x",U10="喪"  ), OR(  V10 ="喪"  ), $AP10 =""),"喪假",  IF(  AND(  OR(  U10="x",U10="婚",U10="產"  ), OR(  V10 ="婚",V10="產"  ), $AP10 =""),"婚(產)假",  IF(  AND(  OR(  U10="x",U10="公"  ), OR(  V10 ="公"  ), $AP10 =""),"公假",  IF(  AND(  OR(  U10="x",U10="補",U10="婚",U10="公",U10="病",U10="事",U10="x榮18-22"  ),OR(V10=""), $AP10 =""  ),"18收",  IF(  AND(  OR(  U10 ="榮14-18",U10 ="榮10-18",U10 ="榮06-18",U10 ="病14-18"  ),OR(  V10 ="x",V10="補",V10="婚",V10="公",V10="病",V10="事",V10="x"  ), $AP10 =""),"18放早走",  IF(  AND(  OR(  U10 =""),OR(  V10 ="x",V10="補",V10="婚",V10="公",V10="病",V10="事",V10="x榮*",V10="榮",V10="榮-22"  ), $AP10 =""),"18放",  IF(  AND(  OR(  U10="當日退伍"  ),OR(  V10="退伍",V10="退", V10=""  ), $AP10 =""),"當日退伍",  IF(AND(  OR(U10="退",U10="退伍" ), OR(V10="退",V10="退伍" ), $AP10 =""),"退伍","全日勤"  )  )  )  )  )  )  )  )  )  )  ),"")</f>
        <v>全日勤</v>
      </c>
      <c r="V51" s="66" t="str">
        <f>IF(   (ROW(BH10)-1)&lt;=暫1!$B$2,           IF(  AND(  OR(  V10="x",V10="補"  ), OR(  W10 ="x",W10="補",W10="x榮18-22",W10="x公18-22",W10="x榮22-08"  ), $AP10 =""),"全日休",  IF(  AND(  OR(  V10="x",V10="病"  ), OR(  W10 ="病"  ), $AP10 =""),"病(事)假",  IF(  AND(  OR(  V10="x",V10="補"  ), OR(  W10 ="補"  ), $AP10 =""),"補休",  IF(  AND(  OR(  V10="x",V10="喪"  ), OR(  W10 ="喪"  ), $AP10 =""),"喪假",  IF(  AND(  OR(  V10="x",V10="婚",V10="產"  ), OR(  W10 ="婚",W10="產"  ), $AP10 =""),"婚(產)假",  IF(  AND(  OR(  V10="x",V10="公"  ), OR(  W10 ="公"  ), $AP10 =""),"公假",  IF(  AND(  OR(  V10="x",V10="補",V10="婚",V10="公",V10="病",V10="事",V10="x榮18-22"  ),OR(W10=""), $AP10 =""  ),"18收",  IF(  AND(  OR(  V10 ="榮14-18",V10 ="榮10-18",V10 ="榮06-18",V10 ="病14-18"  ),OR(  W10 ="x",W10="補",W10="婚",W10="公",W10="病",W10="事",W10="x"  ), $AP10 =""),"18放早走",  IF(  AND(  OR(  V10 =""),OR(  W10 ="x",W10="補",W10="婚",W10="公",W10="病",W10="事",W10="x榮*",W10="榮",W10="榮-22"  ), $AP10 =""),"18放",  IF(  AND(  OR(  V10="當日退伍"  ),OR(  W10="退伍",W10="退", W10=""  ), $AP10 =""),"當日退伍",  IF(AND(  OR(V10="退",V10="退伍" ), OR(W10="退",W10="退伍" ), $AP10 =""),"退伍","全日勤"  )  )  )  )  )  )  )  )  )  )  ),"")</f>
        <v>全日勤</v>
      </c>
      <c r="W51" s="66" t="str">
        <f>IF(   (ROW(BI10)-1)&lt;=暫1!$B$2,           IF(  AND(  OR(  W10="x",W10="補"  ), OR(  X10 ="x",X10="補",X10="x榮18-22",X10="x公18-22",X10="x榮22-08"  ), $AP10 =""),"全日休",  IF(  AND(  OR(  W10="x",W10="病"  ), OR(  X10 ="病"  ), $AP10 =""),"病(事)假",  IF(  AND(  OR(  W10="x",W10="補"  ), OR(  X10 ="補"  ), $AP10 =""),"補休",  IF(  AND(  OR(  W10="x",W10="喪"  ), OR(  X10 ="喪"  ), $AP10 =""),"喪假",  IF(  AND(  OR(  W10="x",W10="婚",W10="產"  ), OR(  X10 ="婚",X10="產"  ), $AP10 =""),"婚(產)假",  IF(  AND(  OR(  W10="x",W10="公"  ), OR(  X10 ="公"  ), $AP10 =""),"公假",  IF(  AND(  OR(  W10="x",W10="補",W10="婚",W10="公",W10="病",W10="事",W10="x榮18-22"  ),OR(X10=""), $AP10 =""  ),"18收",  IF(  AND(  OR(  W10 ="榮14-18",W10 ="榮10-18",W10 ="榮06-18",W10 ="病14-18"  ),OR(  X10 ="x",X10="補",X10="婚",X10="公",X10="病",X10="事",X10="x"  ), $AP10 =""),"18放早走",  IF(  AND(  OR(  W10 =""),OR(  X10 ="x",X10="補",X10="婚",X10="公",X10="病",X10="事",X10="x榮*",X10="榮",X10="榮-22"  ), $AP10 =""),"18放",  IF(  AND(  OR(  W10="當日退伍"  ),OR(  X10="退伍",X10="退", X10=""  ), $AP10 =""),"當日退伍",  IF(AND(  OR(W10="退",W10="退伍" ), OR(X10="退",X10="退伍" ), $AP10 =""),"退伍","全日勤"  )  )  )  )  )  )  )  )  )  )  ),"")</f>
        <v>全日勤</v>
      </c>
      <c r="X51" s="66" t="str">
        <f>IF(   (ROW(BJ10)-1)&lt;=暫1!$B$2,           IF(  AND(  OR(  X10="x",X10="補"  ), OR(  Y10 ="x",Y10="補",Y10="x榮18-22",Y10="x公18-22",Y10="x榮22-08"  ), $AP10 =""),"全日休",  IF(  AND(  OR(  X10="x",X10="病"  ), OR(  Y10 ="病"  ), $AP10 =""),"病(事)假",  IF(  AND(  OR(  X10="x",X10="補"  ), OR(  Y10 ="補"  ), $AP10 =""),"補休",  IF(  AND(  OR(  X10="x",X10="喪"  ), OR(  Y10 ="喪"  ), $AP10 =""),"喪假",  IF(  AND(  OR(  X10="x",X10="婚",X10="產"  ), OR(  Y10 ="婚",Y10="產"  ), $AP10 =""),"婚(產)假",  IF(  AND(  OR(  X10="x",X10="公"  ), OR(  Y10 ="公"  ), $AP10 =""),"公假",  IF(  AND(  OR(  X10="x",X10="補",X10="婚",X10="公",X10="病",X10="事",X10="x榮18-22"  ),OR(Y10=""), $AP10 =""  ),"18收",  IF(  AND(  OR(  X10 ="榮14-18",X10 ="榮10-18",X10 ="榮06-18",X10 ="病14-18"  ),OR(  Y10 ="x",Y10="補",Y10="婚",Y10="公",Y10="病",Y10="事",Y10="x"  ), $AP10 =""),"18放早走",  IF(  AND(  OR(  X10 =""),OR(  Y10 ="x",Y10="補",Y10="婚",Y10="公",Y10="病",Y10="事",Y10="x榮*",Y10="榮",Y10="榮-22"  ), $AP10 =""),"18放",  IF(  AND(  OR(  X10="當日退伍"  ),OR(  Y10="退伍",Y10="退", Y10=""  ), $AP10 =""),"當日退伍",  IF(AND(  OR(X10="退",X10="退伍" ), OR(Y10="退",Y10="退伍" ), $AP10 =""),"退伍","全日勤"  )  )  )  )  )  )  )  )  )  )  ),"")</f>
        <v>全日勤</v>
      </c>
      <c r="Y51" s="66" t="str">
        <f>IF(   (ROW(BK10)-1)&lt;=暫1!$B$2,           IF(  AND(  OR(  Y10="x",Y10="補"  ), OR(  Z10 ="x",Z10="補",Z10="x榮18-22",Z10="x公18-22",Z10="x榮22-08"  ), $AP10 =""),"全日休",  IF(  AND(  OR(  Y10="x",Y10="病"  ), OR(  Z10 ="病"  ), $AP10 =""),"病(事)假",  IF(  AND(  OR(  Y10="x",Y10="補"  ), OR(  Z10 ="補"  ), $AP10 =""),"補休",  IF(  AND(  OR(  Y10="x",Y10="喪"  ), OR(  Z10 ="喪"  ), $AP10 =""),"喪假",  IF(  AND(  OR(  Y10="x",Y10="婚",Y10="產"  ), OR(  Z10 ="婚",Z10="產"  ), $AP10 =""),"婚(產)假",  IF(  AND(  OR(  Y10="x",Y10="公"  ), OR(  Z10 ="公"  ), $AP10 =""),"公假",  IF(  AND(  OR(  Y10="x",Y10="補",Y10="婚",Y10="公",Y10="病",Y10="事",Y10="x榮18-22"  ),OR(Z10=""), $AP10 =""  ),"18收",  IF(  AND(  OR(  Y10 ="榮14-18",Y10 ="榮10-18",Y10 ="榮06-18",Y10 ="病14-18"  ),OR(  Z10 ="x",Z10="補",Z10="婚",Z10="公",Z10="病",Z10="事",Z10="x"  ), $AP10 =""),"18放早走",  IF(  AND(  OR(  Y10 =""),OR(  Z10 ="x",Z10="補",Z10="婚",Z10="公",Z10="病",Z10="事",Z10="x榮*",Z10="榮",Z10="榮-22"  ), $AP10 =""),"18放",  IF(  AND(  OR(  Y10="當日退伍"  ),OR(  Z10="退伍",Z10="退", Z10=""  ), $AP10 =""),"當日退伍",  IF(AND(  OR(Y10="退",Y10="退伍" ), OR(Z10="退",Z10="退伍" ), $AP10 =""),"退伍","全日勤"  )  )  )  )  )  )  )  )  )  )  ),"")</f>
        <v>全日勤</v>
      </c>
      <c r="Z51" s="66" t="str">
        <f>IF(   (ROW(BL10)-1)&lt;=暫1!$B$2,           IF(  AND(  OR(  Z10="x",Z10="補"  ), OR(  AA10 ="x",AA10="補",AA10="x榮18-22",AA10="x公18-22",AA10="x榮22-08"  ), $AP10 =""),"全日休",  IF(  AND(  OR(  Z10="x",Z10="病"  ), OR(  AA10 ="病"  ), $AP10 =""),"病(事)假",  IF(  AND(  OR(  Z10="x",Z10="補"  ), OR(  AA10 ="補"  ), $AP10 =""),"補休",  IF(  AND(  OR(  Z10="x",Z10="喪"  ), OR(  AA10 ="喪"  ), $AP10 =""),"喪假",  IF(  AND(  OR(  Z10="x",Z10="婚",Z10="產"  ), OR(  AA10 ="婚",AA10="產"  ), $AP10 =""),"婚(產)假",  IF(  AND(  OR(  Z10="x",Z10="公"  ), OR(  AA10 ="公"  ), $AP10 =""),"公假",  IF(  AND(  OR(  Z10="x",Z10="補",Z10="婚",Z10="公",Z10="病",Z10="事",Z10="x榮18-22"  ),OR(AA10=""), $AP10 =""  ),"18收",  IF(  AND(  OR(  Z10 ="榮14-18",Z10 ="榮10-18",Z10 ="榮06-18",Z10 ="病14-18"  ),OR(  AA10 ="x",AA10="補",AA10="婚",AA10="公",AA10="病",AA10="事",AA10="x"  ), $AP10 =""),"18放早走",  IF(  AND(  OR(  Z10 =""),OR(  AA10 ="x",AA10="補",AA10="婚",AA10="公",AA10="病",AA10="事",AA10="x榮*",AA10="榮",AA10="榮-22"  ), $AP10 =""),"18放",  IF(  AND(  OR(  Z10="當日退伍"  ),OR(  AA10="退伍",AA10="退", AA10=""  ), $AP10 =""),"當日退伍",  IF(AND(  OR(Z10="退",Z10="退伍" ), OR(AA10="退",AA10="退伍" ), $AP10 =""),"退伍","全日勤"  )  )  )  )  )  )  )  )  )  )  ),"")</f>
        <v>全日勤</v>
      </c>
      <c r="AA51" s="66" t="str">
        <f>IF(   (ROW(BM10)-1)&lt;=暫1!$B$2,           IF(  AND(  OR(  AA10="x",AA10="補"  ), OR(  AB10 ="x",AB10="補",AB10="x榮18-22",AB10="x公18-22",AB10="x榮22-08"  ), $AP10 =""),"全日休",  IF(  AND(  OR(  AA10="x",AA10="病"  ), OR(  AB10 ="病"  ), $AP10 =""),"病(事)假",  IF(  AND(  OR(  AA10="x",AA10="補"  ), OR(  AB10 ="補"  ), $AP10 =""),"補休",  IF(  AND(  OR(  AA10="x",AA10="喪"  ), OR(  AB10 ="喪"  ), $AP10 =""),"喪假",  IF(  AND(  OR(  AA10="x",AA10="婚",AA10="產"  ), OR(  AB10 ="婚",AB10="產"  ), $AP10 =""),"婚(產)假",  IF(  AND(  OR(  AA10="x",AA10="公"  ), OR(  AB10 ="公"  ), $AP10 =""),"公假",  IF(  AND(  OR(  AA10="x",AA10="補",AA10="婚",AA10="公",AA10="病",AA10="事",AA10="x榮18-22"  ),OR(AB10=""), $AP10 =""  ),"18收",  IF(  AND(  OR(  AA10 ="榮14-18",AA10 ="榮10-18",AA10 ="榮06-18",AA10 ="病14-18"  ),OR(  AB10 ="x",AB10="補",AB10="婚",AB10="公",AB10="病",AB10="事",AB10="x"  ), $AP10 =""),"18放早走",  IF(  AND(  OR(  AA10 =""),OR(  AB10 ="x",AB10="補",AB10="婚",AB10="公",AB10="病",AB10="事",AB10="x榮*",AB10="榮",AB10="榮-22"  ), $AP10 =""),"18放",  IF(  AND(  OR(  AA10="當日退伍"  ),OR(  AB10="退伍",AB10="退", AB10=""  ), $AP10 =""),"當日退伍",  IF(AND(  OR(AA10="退",AA10="退伍" ), OR(AB10="退",AB10="退伍" ), $AP10 =""),"退伍","全日勤"  )  )  )  )  )  )  )  )  )  )  ),"")</f>
        <v>全日勤</v>
      </c>
      <c r="AB51" s="66" t="str">
        <f>IF(   (ROW(BN10)-1)&lt;=暫1!$B$2,           IF(  AND(  OR(  AB10="x",AB10="補"  ), OR(  AC10 ="x",AC10="補",AC10="x榮18-22",AC10="x公18-22",AC10="x榮22-08"  ), $AP10 =""),"全日休",  IF(  AND(  OR(  AB10="x",AB10="病"  ), OR(  AC10 ="病"  ), $AP10 =""),"病(事)假",  IF(  AND(  OR(  AB10="x",AB10="補"  ), OR(  AC10 ="補"  ), $AP10 =""),"補休",  IF(  AND(  OR(  AB10="x",AB10="喪"  ), OR(  AC10 ="喪"  ), $AP10 =""),"喪假",  IF(  AND(  OR(  AB10="x",AB10="婚",AB10="產"  ), OR(  AC10 ="婚",AC10="產"  ), $AP10 =""),"婚(產)假",  IF(  AND(  OR(  AB10="x",AB10="公"  ), OR(  AC10 ="公"  ), $AP10 =""),"公假",  IF(  AND(  OR(  AB10="x",AB10="補",AB10="婚",AB10="公",AB10="病",AB10="事",AB10="x榮18-22"  ),OR(AC10=""), $AP10 =""  ),"18收",  IF(  AND(  OR(  AB10 ="榮14-18",AB10 ="榮10-18",AB10 ="榮06-18",AB10 ="病14-18"  ),OR(  AC10 ="x",AC10="補",AC10="婚",AC10="公",AC10="病",AC10="事",AC10="x"  ), $AP10 =""),"18放早走",  IF(  AND(  OR(  AB10 =""),OR(  AC10 ="x",AC10="補",AC10="婚",AC10="公",AC10="病",AC10="事",AC10="x榮*",AC10="榮",AC10="榮-22"  ), $AP10 =""),"18放",  IF(  AND(  OR(  AB10="當日退伍"  ),OR(  AC10="退伍",AC10="退", AC10=""  ), $AP10 =""),"當日退伍",  IF(AND(  OR(AB10="退",AB10="退伍" ), OR(AC10="退",AC10="退伍" ), $AP10 =""),"退伍","全日勤"  )  )  )  )  )  )  )  )  )  )  ),"")</f>
        <v>全日勤</v>
      </c>
      <c r="AC51" s="66" t="str">
        <f>IF(   (ROW(BO10)-1)&lt;=暫1!$B$2,           IF(  AND(  OR(  AC10="x",AC10="補"  ), OR(  AD10 ="x",AD10="補",AD10="x榮18-22",AD10="x公18-22",AD10="x榮22-08"  ), $AP10 =""),"全日休",  IF(  AND(  OR(  AC10="x",AC10="病"  ), OR(  AD10 ="病"  ), $AP10 =""),"病(事)假",  IF(  AND(  OR(  AC10="x",AC10="補"  ), OR(  AD10 ="補"  ), $AP10 =""),"補休",  IF(  AND(  OR(  AC10="x",AC10="喪"  ), OR(  AD10 ="喪"  ), $AP10 =""),"喪假",  IF(  AND(  OR(  AC10="x",AC10="婚",AC10="產"  ), OR(  AD10 ="婚",AD10="產"  ), $AP10 =""),"婚(產)假",  IF(  AND(  OR(  AC10="x",AC10="公"  ), OR(  AD10 ="公"  ), $AP10 =""),"公假",  IF(  AND(  OR(  AC10="x",AC10="補",AC10="婚",AC10="公",AC10="病",AC10="事",AC10="x榮18-22"  ),OR(AD10=""), $AP10 =""  ),"18收",  IF(  AND(  OR(  AC10 ="榮14-18",AC10 ="榮10-18",AC10 ="榮06-18",AC10 ="病14-18"  ),OR(  AD10 ="x",AD10="補",AD10="婚",AD10="公",AD10="病",AD10="事",AD10="x"  ), $AP10 =""),"18放早走",  IF(  AND(  OR(  AC10 =""),OR(  AD10 ="x",AD10="補",AD10="婚",AD10="公",AD10="病",AD10="事",AD10="x榮*",AD10="榮",AD10="榮-22"  ), $AP10 =""),"18放",  IF(  AND(  OR(  AC10="當日退伍"  ),OR(  AD10="退伍",AD10="退", AD10=""  ), $AP10 =""),"當日退伍",  IF(AND(  OR(AC10="退",AC10="退伍" ), OR(AD10="退",AD10="退伍" ), $AP10 =""),"退伍","全日勤"  )  )  )  )  )  )  )  )  )  )  ),"")</f>
        <v>全日勤</v>
      </c>
      <c r="AD51" s="66" t="str">
        <f>IF(   (ROW(BP10)-1)&lt;=暫1!$B$2,           IF(  AND(  OR(  AD10="x",AD10="補"  ), OR(  AE10 ="x",AE10="補",AE10="x榮18-22",AE10="x公18-22",AE10="x榮22-08"  ), $AP10 =""),"全日休",  IF(  AND(  OR(  AD10="x",AD10="病"  ), OR(  AE10 ="病"  ), $AP10 =""),"病(事)假",  IF(  AND(  OR(  AD10="x",AD10="補"  ), OR(  AE10 ="補"  ), $AP10 =""),"補休",  IF(  AND(  OR(  AD10="x",AD10="喪"  ), OR(  AE10 ="喪"  ), $AP10 =""),"喪假",  IF(  AND(  OR(  AD10="x",AD10="婚",AD10="產"  ), OR(  AE10 ="婚",AE10="產"  ), $AP10 =""),"婚(產)假",  IF(  AND(  OR(  AD10="x",AD10="公"  ), OR(  AE10 ="公"  ), $AP10 =""),"公假",  IF(  AND(  OR(  AD10="x",AD10="補",AD10="婚",AD10="公",AD10="病",AD10="事",AD10="x榮18-22"  ),OR(AE10=""), $AP10 =""  ),"18收",  IF(  AND(  OR(  AD10 ="榮14-18",AD10 ="榮10-18",AD10 ="榮06-18",AD10 ="病14-18"  ),OR(  AE10 ="x",AE10="補",AE10="婚",AE10="公",AE10="病",AE10="事",AE10="x"  ), $AP10 =""),"18放早走",  IF(  AND(  OR(  AD10 =""),OR(  AE10 ="x",AE10="補",AE10="婚",AE10="公",AE10="病",AE10="事",AE10="x榮*",AE10="榮",AE10="榮-22"  ), $AP10 =""),"18放",  IF(  AND(  OR(  AD10="當日退伍"  ),OR(  AE10="退伍",AE10="退", AE10=""  ), $AP10 =""),"當日退伍",  IF(AND(  OR(AD10="退",AD10="退伍" ), OR(AE10="退",AE10="退伍" ), $AP10 =""),"退伍","全日勤"  )  )  )  )  )  )  )  )  )  )  ),"")</f>
        <v>全日勤</v>
      </c>
      <c r="AE51" s="66" t="str">
        <f>IF(   (ROW(BQ10)-1)&lt;=暫1!$B$2,           IF(  AND(  OR(  AE10="x",AE10="補"  ), OR(  AF10 ="x",AF10="補",AF10="x榮18-22",AF10="x公18-22",AF10="x榮22-08"  ), $AP10 =""),"全日休",  IF(  AND(  OR(  AE10="x",AE10="病"  ), OR(  AF10 ="病"  ), $AP10 =""),"病(事)假",  IF(  AND(  OR(  AE10="x",AE10="補"  ), OR(  AF10 ="補"  ), $AP10 =""),"補休",  IF(  AND(  OR(  AE10="x",AE10="喪"  ), OR(  AF10 ="喪"  ), $AP10 =""),"喪假",  IF(  AND(  OR(  AE10="x",AE10="婚",AE10="產"  ), OR(  AF10 ="婚",AF10="產"  ), $AP10 =""),"婚(產)假",  IF(  AND(  OR(  AE10="x",AE10="公"  ), OR(  AF10 ="公"  ), $AP10 =""),"公假",  IF(  AND(  OR(  AE10="x",AE10="補",AE10="婚",AE10="公",AE10="病",AE10="事",AE10="x榮18-22"  ),OR(AF10=""), $AP10 =""  ),"18收",  IF(  AND(  OR(  AE10 ="榮14-18",AE10 ="榮10-18",AE10 ="榮06-18",AE10 ="病14-18"  ),OR(  AF10 ="x",AF10="補",AF10="婚",AF10="公",AF10="病",AF10="事",AF10="x"  ), $AP10 =""),"18放早走",  IF(  AND(  OR(  AE10 =""),OR(  AF10 ="x",AF10="補",AF10="婚",AF10="公",AF10="病",AF10="事",AF10="x榮*",AF10="榮",AF10="榮-22"  ), $AP10 =""),"18放",  IF(  AND(  OR(  AE10="當日退伍"  ),OR(  AF10="退伍",AF10="退", AF10=""  ), $AP10 =""),"當日退伍",  IF(AND(  OR(AE10="退",AE10="退伍" ), OR(AF10="退",AF10="退伍" ), $AP10 =""),"退伍","全日勤"  )  )  )  )  )  )  )  )  )  )  ),"")</f>
        <v>全日勤</v>
      </c>
      <c r="AF51" s="66" t="str">
        <f>IF(   (ROW(BR10)-1)&lt;=暫1!$B$2,           IF(  AND(  OR(  AF10="x",AF10="補"  ), OR(  AG10 ="x",AG10="補",AG10="x榮18-22",AG10="x公18-22",AG10="x榮22-08"  ), $AP10 =""),"全日休",  IF(  AND(  OR(  AF10="x",AF10="病"  ), OR(  AG10 ="病"  ), $AP10 =""),"病(事)假",  IF(  AND(  OR(  AF10="x",AF10="補"  ), OR(  AG10 ="補"  ), $AP10 =""),"補休",  IF(  AND(  OR(  AF10="x",AF10="喪"  ), OR(  AG10 ="喪"  ), $AP10 =""),"喪假",  IF(  AND(  OR(  AF10="x",AF10="婚",AF10="產"  ), OR(  AG10 ="婚",AG10="產"  ), $AP10 =""),"婚(產)假",  IF(  AND(  OR(  AF10="x",AF10="公"  ), OR(  AG10 ="公"  ), $AP10 =""),"公假",  IF(  AND(  OR(  AF10="x",AF10="補",AF10="婚",AF10="公",AF10="病",AF10="事",AF10="x榮18-22"  ),OR(AG10=""), $AP10 =""  ),"18收",  IF(  AND(  OR(  AF10 ="榮14-18",AF10 ="榮10-18",AF10 ="榮06-18",AF10 ="病14-18"  ),OR(  AG10 ="x",AG10="補",AG10="婚",AG10="公",AG10="病",AG10="事",AG10="x"  ), $AP10 =""),"18放早走",  IF(  AND(  OR(  AF10 =""),OR(  AG10 ="x",AG10="補",AG10="婚",AG10="公",AG10="病",AG10="事",AG10="x榮*",AG10="榮",AG10="榮-22"  ), $AP10 =""),"18放",  IF(  AND(  OR(  AF10="當日退伍"  ),OR(  AG10="退伍",AG10="退", AG10=""  ), $AP10 =""),"當日退伍",  IF(AND(  OR(AF10="退",AF10="退伍" ), OR(AG10="退",AG10="退伍" ), $AP10 =""),"退伍","全日勤"  )  )  )  )  )  )  )  )  )  )  ),"")</f>
        <v>全日勤</v>
      </c>
      <c r="AG51" s="66" t="str">
        <f>IF(   (ROW(BS10)-1)&lt;=暫1!$B$2,           IF(  AND(  OR(  AG10="x",AG10="補"  ), OR(  AH10 ="x",AH10="補",AH10="x榮18-22",AH10="x公18-22",AH10="x榮22-08"  ), $AP10 =""),"全日休",  IF(  AND(  OR(  AG10="x",AG10="病"  ), OR(  AH10 ="病"  ), $AP10 =""),"病(事)假",  IF(  AND(  OR(  AG10="x",AG10="補"  ), OR(  AH10 ="補"  ), $AP10 =""),"補休",  IF(  AND(  OR(  AG10="x",AG10="喪"  ), OR(  AH10 ="喪"  ), $AP10 =""),"喪假",  IF(  AND(  OR(  AG10="x",AG10="婚",AG10="產"  ), OR(  AH10 ="婚",AH10="產"  ), $AP10 =""),"婚(產)假",  IF(  AND(  OR(  AG10="x",AG10="公"  ), OR(  AH10 ="公"  ), $AP10 =""),"公假",  IF(  AND(  OR(  AG10="x",AG10="補",AG10="婚",AG10="公",AG10="病",AG10="事",AG10="x榮18-22"  ),OR(AH10=""), $AP10 =""  ),"18收",  IF(  AND(  OR(  AG10 ="榮14-18",AG10 ="榮10-18",AG10 ="榮06-18",AG10 ="病14-18"  ),OR(  AH10 ="x",AH10="補",AH10="婚",AH10="公",AH10="病",AH10="事",AH10="x"  ), $AP10 =""),"18放早走",  IF(  AND(  OR(  AG10 =""),OR(  AH10 ="x",AH10="補",AH10="婚",AH10="公",AH10="病",AH10="事",AH10="x榮*",AH10="榮",AH10="榮-22"  ), $AP10 =""),"18放",  IF(  AND(  OR(  AG10="當日退伍"  ),OR(  AH10="退伍",AH10="退", AH10=""  ), $AP10 =""),"當日退伍",  IF(AND(  OR(AG10="退",AG10="退伍" ), OR(AH10="退",AH10="退伍" ), $AP10 =""),"退伍","全日勤"  )  )  )  )  )  )  )  )  )  )  ),"")</f>
        <v>全日勤</v>
      </c>
      <c r="AH51" s="66" t="str">
        <f>IF(   (ROW(BT10)-1)&lt;=暫1!$B$2,           IF(  AND(  OR(  AH10="x",AH10="補"  ), OR(  AI10 ="x",AI10="補",AI10="x榮18-22",AI10="x公18-22",AI10="x榮22-08"  ), $AP10 =""),"全日休",  IF(  AND(  OR(  AH10="x",AH10="病"  ), OR(  AI10 ="病"  ), $AP10 =""),"病(事)假",  IF(  AND(  OR(  AH10="x",AH10="補"  ), OR(  AI10 ="補"  ), $AP10 =""),"補休",  IF(  AND(  OR(  AH10="x",AH10="喪"  ), OR(  AI10 ="喪"  ), $AP10 =""),"喪假",  IF(  AND(  OR(  AH10="x",AH10="婚",AH10="產"  ), OR(  AI10 ="婚",AI10="產"  ), $AP10 =""),"婚(產)假",  IF(  AND(  OR(  AH10="x",AH10="公"  ), OR(  AI10 ="公"  ), $AP10 =""),"公假",  IF(  AND(  OR(  AH10="x",AH10="補",AH10="婚",AH10="公",AH10="病",AH10="事",AH10="x榮18-22"  ),OR(AI10=""), $AP10 =""  ),"18收",  IF(  AND(  OR(  AH10 ="榮14-18",AH10 ="榮10-18",AH10 ="榮06-18",AH10 ="病14-18"  ),OR(  AI10 ="x",AI10="補",AI10="婚",AI10="公",AI10="病",AI10="事",AI10="x"  ), $AP10 =""),"18放早走",  IF(  AND(  OR(  AH10 =""),OR(  AI10 ="x",AI10="補",AI10="婚",AI10="公",AI10="病",AI10="事",AI10="x榮*",AI10="榮",AI10="榮-22"  ), $AP10 =""),"18放",  IF(  AND(  OR(  AH10="當日退伍"  ),OR(  AI10="退伍",AI10="退", AI10=""  ), $AP10 =""),"當日退伍",  IF(AND(  OR(AH10="退",AH10="退伍" ), OR(AI10="退",AI10="退伍" ), $AP10 =""),"退伍","全日勤"  )  )  )  )  )  )  )  )  )  )  ),"")</f>
        <v>全日勤</v>
      </c>
      <c r="AI51" s="66" t="str">
        <f>IF(   (ROW(BU10)-1)&lt;=暫1!$B$2,           IF(  AND(  OR(  AI10="x",AI10="補"  ), OR(  AJ10 ="x",AJ10="補",AJ10="x榮18-22",AJ10="x公18-22",AJ10="x榮22-08"  ), $AP10 =""),"全日休",  IF(  AND(  OR(  AI10="x",AI10="病"  ), OR(  AJ10 ="病"  ), $AP10 =""),"病(事)假",  IF(  AND(  OR(  AI10="x",AI10="補"  ), OR(  AJ10 ="補"  ), $AP10 =""),"補休",  IF(  AND(  OR(  AI10="x",AI10="喪"  ), OR(  AJ10 ="喪"  ), $AP10 =""),"喪假",  IF(  AND(  OR(  AI10="x",AI10="婚",AI10="產"  ), OR(  AJ10 ="婚",AJ10="產"  ), $AP10 =""),"婚(產)假",  IF(  AND(  OR(  AI10="x",AI10="公"  ), OR(  AJ10 ="公"  ), $AP10 =""),"公假",  IF(  AND(  OR(  AI10="x",AI10="補",AI10="婚",AI10="公",AI10="病",AI10="事",AI10="x榮18-22"  ),OR(AJ10=""), $AP10 =""  ),"18收",  IF(  AND(  OR(  AI10 ="榮14-18",AI10 ="榮10-18",AI10 ="榮06-18",AI10 ="病14-18"  ),OR(  AJ10 ="x",AJ10="補",AJ10="婚",AJ10="公",AJ10="病",AJ10="事",AJ10="x"  ), $AP10 =""),"18放早走",  IF(  AND(  OR(  AI10 =""),OR(  AJ10 ="x",AJ10="補",AJ10="婚",AJ10="公",AJ10="病",AJ10="事",AJ10="x榮*",AJ10="榮",AJ10="榮-22"  ), $AP10 =""),"18放",  IF(  AND(  OR(  AI10="當日退伍"  ),OR(  AJ10="退伍",AJ10="退", AJ10=""  ), $AP10 =""),"當日退伍",  IF(AND(  OR(AI10="退",AI10="退伍" ), OR(AJ10="退",AJ10="退伍" ), $AP10 =""),"退伍","全日勤"  )  )  )  )  )  )  )  )  )  )  ),"")</f>
        <v>全日勤</v>
      </c>
      <c r="AJ51" s="66" t="str">
        <f>IF(   (ROW(BV10)-1)&lt;=暫1!$B$2,           IF(  AND(  OR(  AJ10="x",AJ10="補"  ), OR(  AK10 ="x",AK10="補",AK10="x榮18-22",AK10="x公18-22",AK10="x榮22-08"  ), $AP10 =""),"全日休",  IF(  AND(  OR(  AJ10="x",AJ10="病"  ), OR(  AK10 ="病"  ), $AP10 =""),"病(事)假",  IF(  AND(  OR(  AJ10="x",AJ10="補"  ), OR(  AK10 ="補"  ), $AP10 =""),"補休",  IF(  AND(  OR(  AJ10="x",AJ10="喪"  ), OR(  AK10 ="喪"  ), $AP10 =""),"喪假",  IF(  AND(  OR(  AJ10="x",AJ10="婚",AJ10="產"  ), OR(  AK10 ="婚",AK10="產"  ), $AP10 =""),"婚(產)假",  IF(  AND(  OR(  AJ10="x",AJ10="公"  ), OR(  AK10 ="公"  ), $AP10 =""),"公假",  IF(  AND(  OR(  AJ10="x",AJ10="補",AJ10="婚",AJ10="公",AJ10="病",AJ10="事",AJ10="x榮18-22"  ),OR(AK10=""), $AP10 =""  ),"18收",  IF(  AND(  OR(  AJ10 ="榮14-18",AJ10 ="榮10-18",AJ10 ="榮06-18",AJ10 ="病14-18"  ),OR(  AK10 ="x",AK10="補",AK10="婚",AK10="公",AK10="病",AK10="事",AK10="x"  ), $AP10 =""),"18放早走",  IF(  AND(  OR(  AJ10 =""),OR(  AK10 ="x",AK10="補",AK10="婚",AK10="公",AK10="病",AK10="事",AK10="x榮*",AK10="榮",AK10="榮-22"  ), $AP10 =""),"18放",  IF(  AND(  OR(  AJ10="當日退伍"  ),OR(  AK10="退伍",AK10="退", AK10=""  ), $AP10 =""),"當日退伍",  IF(AND(  OR(AJ10="退",AJ10="退伍" ), OR(AK10="退",AK10="退伍" ), $AP10 =""),"退伍","全日勤"  )  )  )  )  )  )  )  )  )  )  ),"")</f>
        <v>全日勤</v>
      </c>
      <c r="AO51" s="76"/>
      <c r="AP51" s="63"/>
      <c r="AU51" s="63"/>
      <c r="AY51" s="63"/>
      <c r="AZ51" s="63"/>
      <c r="BA51" s="63"/>
    </row>
    <row r="52" spans="1:55" ht="25.5" customHeight="1">
      <c r="A52" s="66">
        <f t="shared" si="4"/>
        <v>10</v>
      </c>
      <c r="B52" s="66" t="str">
        <f t="shared" si="6"/>
        <v>劉威志</v>
      </c>
      <c r="C52" s="66" t="str">
        <f>IF(   (ROW(AO11)-1)&lt;=暫1!$B$2,           IF(  AND(  OR(  C11="x",C11="補"  ), OR(  D11 ="x",D11="補",D11="x榮18-22",D11="x公18-22",D11="x榮22-08"  ), $AP11 =""),"全日休",  IF(  AND(  OR(  C11="x",C11="病"  ), OR(  D11 ="病"  ), $AP11 =""),"病(事)假",  IF(  AND(  OR(  C11="x",C11="補"  ), OR(  D11 ="補"  ), $AP11 =""),"補休",  IF(  AND(  OR(  C11="x",C11="喪"  ), OR(  D11 ="喪"  ), $AP11 =""),"喪假",  IF(  AND(  OR(  C11="x",C11="婚",C11="產"  ), OR(  D11 ="婚",D11="產"  ), $AP11 =""),"婚(產)假",  IF(  AND(  OR(  C11="x",C11="公"  ), OR(  D11 ="公"  ), $AP11 =""),"公假",  IF(  AND(  OR(  C11="x",C11="補",C11="婚",C11="公",C11="病",C11="事",C11="x榮18-22"  ),OR(D11=""), $AP11 =""  ),"18收",  IF(  AND(  OR(  C11 ="榮14-18",C11 ="榮10-18",C11 ="榮06-18",C11 ="病14-18"  ),OR(  D11 ="x",D11="補",D11="婚",D11="公",D11="病",D11="事",D11="x"  ), $AP11 =""),"18放早走",  IF(  AND(  OR(  C11 =""),OR(  D11 ="x",D11="補",D11="婚",D11="公",D11="病",D11="事",D11="x榮*",D11="榮",D11="榮-22"  ), $AP11 =""),"18放",  IF(  AND(  OR(  C11="當日退伍"  ),OR(  D11="退伍",D11="退", D11=""  ), $AP11 =""),"當日退伍",  IF(AND(  OR(C11="退",C11="退伍" ), OR(D11="退",D11="退伍" ), $AP11 =""),"退伍","全日勤"  )  )  )  )  )  )  )  )  )  )  ),"")</f>
        <v>全日勤</v>
      </c>
      <c r="D52" s="66" t="str">
        <f>IF(   (ROW(AP11)-1)&lt;=暫1!$B$2,           IF(  AND(  OR(  D11="x",D11="補"  ), OR(  E11 ="x",E11="補",E11="x榮18-22",E11="x公18-22",E11="x榮22-08"  ), $AP11 =""),"全日休",  IF(  AND(  OR(  D11="x",D11="病"  ), OR(  E11 ="病"  ), $AP11 =""),"病(事)假",  IF(  AND(  OR(  D11="x",D11="補"  ), OR(  E11 ="補"  ), $AP11 =""),"補休",  IF(  AND(  OR(  D11="x",D11="喪"  ), OR(  E11 ="喪"  ), $AP11 =""),"喪假",  IF(  AND(  OR(  D11="x",D11="婚",D11="產"  ), OR(  E11 ="婚",E11="產"  ), $AP11 =""),"婚(產)假",  IF(  AND(  OR(  D11="x",D11="公"  ), OR(  E11 ="公"  ), $AP11 =""),"公假",  IF(  AND(  OR(  D11="x",D11="補",D11="婚",D11="公",D11="病",D11="事",D11="x榮18-22"  ),OR(E11=""), $AP11 =""  ),"18收",  IF(  AND(  OR(  D11 ="榮14-18",D11 ="榮10-18",D11 ="榮06-18",D11 ="病14-18"  ),OR(  E11 ="x",E11="補",E11="婚",E11="公",E11="病",E11="事",E11="x"  ), $AP11 =""),"18放早走",  IF(  AND(  OR(  D11 =""),OR(  E11 ="x",E11="補",E11="婚",E11="公",E11="病",E11="事",E11="x榮*",E11="榮",E11="榮-22"  ), $AP11 =""),"18放",  IF(  AND(  OR(  D11="當日退伍"  ),OR(  E11="退伍",E11="退", E11=""  ), $AP11 =""),"當日退伍",  IF(AND(  OR(D11="退",D11="退伍" ), OR(E11="退",E11="退伍" ), $AP11 =""),"退伍","全日勤"  )  )  )  )  )  )  )  )  )  )  ),"")</f>
        <v>全日勤</v>
      </c>
      <c r="E52" s="66" t="str">
        <f>IF(   (ROW(AQ11)-1)&lt;=暫1!$B$2,           IF(  AND(  OR(  E11="x",E11="補"  ), OR(  F11 ="x",F11="補",F11="x榮18-22",F11="x公18-22",F11="x榮22-08"  ), $AP11 =""),"全日休",  IF(  AND(  OR(  E11="x",E11="病"  ), OR(  F11 ="病"  ), $AP11 =""),"病(事)假",  IF(  AND(  OR(  E11="x",E11="補"  ), OR(  F11 ="補"  ), $AP11 =""),"補休",  IF(  AND(  OR(  E11="x",E11="喪"  ), OR(  F11 ="喪"  ), $AP11 =""),"喪假",  IF(  AND(  OR(  E11="x",E11="婚",E11="產"  ), OR(  F11 ="婚",F11="產"  ), $AP11 =""),"婚(產)假",  IF(  AND(  OR(  E11="x",E11="公"  ), OR(  F11 ="公"  ), $AP11 =""),"公假",  IF(  AND(  OR(  E11="x",E11="補",E11="婚",E11="公",E11="病",E11="事",E11="x榮18-22"  ),OR(F11=""), $AP11 =""  ),"18收",  IF(  AND(  OR(  E11 ="榮14-18",E11 ="榮10-18",E11 ="榮06-18",E11 ="病14-18"  ),OR(  F11 ="x",F11="補",F11="婚",F11="公",F11="病",F11="事",F11="x"  ), $AP11 =""),"18放早走",  IF(  AND(  OR(  E11 =""),OR(  F11 ="x",F11="補",F11="婚",F11="公",F11="病",F11="事",F11="x榮*",F11="榮",F11="榮-22"  ), $AP11 =""),"18放",  IF(  AND(  OR(  E11="當日退伍"  ),OR(  F11="退伍",F11="退", F11=""  ), $AP11 =""),"當日退伍",  IF(AND(  OR(E11="退",E11="退伍" ), OR(F11="退",F11="退伍" ), $AP11 =""),"退伍","全日勤"  )  )  )  )  )  )  )  )  )  )  ),"")</f>
        <v>全日勤</v>
      </c>
      <c r="F52" s="66" t="str">
        <f>IF(   (ROW(AR11)-1)&lt;=暫1!$B$2,           IF(  AND(  OR(  F11="x",F11="補"  ), OR(  G11 ="x",G11="補",G11="x榮18-22",G11="x公18-22",G11="x榮22-08"  ), $AP11 =""),"全日休",  IF(  AND(  OR(  F11="x",F11="病"  ), OR(  G11 ="病"  ), $AP11 =""),"病(事)假",  IF(  AND(  OR(  F11="x",F11="補"  ), OR(  G11 ="補"  ), $AP11 =""),"補休",  IF(  AND(  OR(  F11="x",F11="喪"  ), OR(  G11 ="喪"  ), $AP11 =""),"喪假",  IF(  AND(  OR(  F11="x",F11="婚",F11="產"  ), OR(  G11 ="婚",G11="產"  ), $AP11 =""),"婚(產)假",  IF(  AND(  OR(  F11="x",F11="公"  ), OR(  G11 ="公"  ), $AP11 =""),"公假",  IF(  AND(  OR(  F11="x",F11="補",F11="婚",F11="公",F11="病",F11="事",F11="x榮18-22"  ),OR(G11=""), $AP11 =""  ),"18收",  IF(  AND(  OR(  F11 ="榮14-18",F11 ="榮10-18",F11 ="榮06-18",F11 ="病14-18"  ),OR(  G11 ="x",G11="補",G11="婚",G11="公",G11="病",G11="事",G11="x"  ), $AP11 =""),"18放早走",  IF(  AND(  OR(  F11 =""),OR(  G11 ="x",G11="補",G11="婚",G11="公",G11="病",G11="事",G11="x榮*",G11="榮",G11="榮-22"  ), $AP11 =""),"18放",  IF(  AND(  OR(  F11="當日退伍"  ),OR(  G11="退伍",G11="退", G11=""  ), $AP11 =""),"當日退伍",  IF(AND(  OR(F11="退",F11="退伍" ), OR(G11="退",G11="退伍" ), $AP11 =""),"退伍","全日勤"  )  )  )  )  )  )  )  )  )  )  ),"")</f>
        <v>全日勤</v>
      </c>
      <c r="G52" s="66" t="str">
        <f>IF(   (ROW(AS11)-1)&lt;=暫1!$B$2,           IF(  AND(  OR(  G11="x",G11="補"  ), OR(  H11 ="x",H11="補",H11="x榮18-22",H11="x公18-22",H11="x榮22-08"  ), $AP11 =""),"全日休",  IF(  AND(  OR(  G11="x",G11="病"  ), OR(  H11 ="病"  ), $AP11 =""),"病(事)假",  IF(  AND(  OR(  G11="x",G11="補"  ), OR(  H11 ="補"  ), $AP11 =""),"補休",  IF(  AND(  OR(  G11="x",G11="喪"  ), OR(  H11 ="喪"  ), $AP11 =""),"喪假",  IF(  AND(  OR(  G11="x",G11="婚",G11="產"  ), OR(  H11 ="婚",H11="產"  ), $AP11 =""),"婚(產)假",  IF(  AND(  OR(  G11="x",G11="公"  ), OR(  H11 ="公"  ), $AP11 =""),"公假",  IF(  AND(  OR(  G11="x",G11="補",G11="婚",G11="公",G11="病",G11="事",G11="x榮18-22"  ),OR(H11=""), $AP11 =""  ),"18收",  IF(  AND(  OR(  G11 ="榮14-18",G11 ="榮10-18",G11 ="榮06-18",G11 ="病14-18"  ),OR(  H11 ="x",H11="補",H11="婚",H11="公",H11="病",H11="事",H11="x"  ), $AP11 =""),"18放早走",  IF(  AND(  OR(  G11 =""),OR(  H11 ="x",H11="補",H11="婚",H11="公",H11="病",H11="事",H11="x榮*",H11="榮",H11="榮-22"  ), $AP11 =""),"18放",  IF(  AND(  OR(  G11="當日退伍"  ),OR(  H11="退伍",H11="退", H11=""  ), $AP11 =""),"當日退伍",  IF(AND(  OR(G11="退",G11="退伍" ), OR(H11="退",H11="退伍" ), $AP11 =""),"退伍","全日勤"  )  )  )  )  )  )  )  )  )  )  ),"")</f>
        <v>全日勤</v>
      </c>
      <c r="H52" s="66" t="str">
        <f>IF(   (ROW(AT11)-1)&lt;=暫1!$B$2,           IF(  AND(  OR(  H11="x",H11="補"  ), OR(  I11 ="x",I11="補",I11="x榮18-22",I11="x公18-22",I11="x榮22-08"  ), $AP11 =""),"全日休",  IF(  AND(  OR(  H11="x",H11="病"  ), OR(  I11 ="病"  ), $AP11 =""),"病(事)假",  IF(  AND(  OR(  H11="x",H11="補"  ), OR(  I11 ="補"  ), $AP11 =""),"補休",  IF(  AND(  OR(  H11="x",H11="喪"  ), OR(  I11 ="喪"  ), $AP11 =""),"喪假",  IF(  AND(  OR(  H11="x",H11="婚",H11="產"  ), OR(  I11 ="婚",I11="產"  ), $AP11 =""),"婚(產)假",  IF(  AND(  OR(  H11="x",H11="公"  ), OR(  I11 ="公"  ), $AP11 =""),"公假",  IF(  AND(  OR(  H11="x",H11="補",H11="婚",H11="公",H11="病",H11="事",H11="x榮18-22"  ),OR(I11=""), $AP11 =""  ),"18收",  IF(  AND(  OR(  H11 ="榮14-18",H11 ="榮10-18",H11 ="榮06-18",H11 ="病14-18"  ),OR(  I11 ="x",I11="補",I11="婚",I11="公",I11="病",I11="事",I11="x"  ), $AP11 =""),"18放早走",  IF(  AND(  OR(  H11 =""),OR(  I11 ="x",I11="補",I11="婚",I11="公",I11="病",I11="事",I11="x榮*",I11="榮",I11="榮-22"  ), $AP11 =""),"18放",  IF(  AND(  OR(  H11="當日退伍"  ),OR(  I11="退伍",I11="退", I11=""  ), $AP11 =""),"當日退伍",  IF(AND(  OR(H11="退",H11="退伍" ), OR(I11="退",I11="退伍" ), $AP11 =""),"退伍","全日勤"  )  )  )  )  )  )  )  )  )  )  ),"")</f>
        <v>全日勤</v>
      </c>
      <c r="I52" s="66" t="str">
        <f>IF(   (ROW(AU11)-1)&lt;=暫1!$B$2,           IF(  AND(  OR(  I11="x",I11="補"  ), OR(  J11 ="x",J11="補",J11="x榮18-22",J11="x公18-22",J11="x榮22-08"  ), $AP11 =""),"全日休",  IF(  AND(  OR(  I11="x",I11="病"  ), OR(  J11 ="病"  ), $AP11 =""),"病(事)假",  IF(  AND(  OR(  I11="x",I11="補"  ), OR(  J11 ="補"  ), $AP11 =""),"補休",  IF(  AND(  OR(  I11="x",I11="喪"  ), OR(  J11 ="喪"  ), $AP11 =""),"喪假",  IF(  AND(  OR(  I11="x",I11="婚",I11="產"  ), OR(  J11 ="婚",J11="產"  ), $AP11 =""),"婚(產)假",  IF(  AND(  OR(  I11="x",I11="公"  ), OR(  J11 ="公"  ), $AP11 =""),"公假",  IF(  AND(  OR(  I11="x",I11="補",I11="婚",I11="公",I11="病",I11="事",I11="x榮18-22"  ),OR(J11=""), $AP11 =""  ),"18收",  IF(  AND(  OR(  I11 ="榮14-18",I11 ="榮10-18",I11 ="榮06-18",I11 ="病14-18"  ),OR(  J11 ="x",J11="補",J11="婚",J11="公",J11="病",J11="事",J11="x"  ), $AP11 =""),"18放早走",  IF(  AND(  OR(  I11 =""),OR(  J11 ="x",J11="補",J11="婚",J11="公",J11="病",J11="事",J11="x榮*",J11="榮",J11="榮-22"  ), $AP11 =""),"18放",  IF(  AND(  OR(  I11="當日退伍"  ),OR(  J11="退伍",J11="退", J11=""  ), $AP11 =""),"當日退伍",  IF(AND(  OR(I11="退",I11="退伍" ), OR(J11="退",J11="退伍" ), $AP11 =""),"退伍","全日勤"  )  )  )  )  )  )  )  )  )  )  ),"")</f>
        <v>全日勤</v>
      </c>
      <c r="J52" s="66" t="str">
        <f>IF(   (ROW(AV11)-1)&lt;=暫1!$B$2,           IF(  AND(  OR(  J11="x",J11="補"  ), OR(  K11 ="x",K11="補",K11="x榮18-22",K11="x公18-22",K11="x榮22-08"  ), $AP11 =""),"全日休",  IF(  AND(  OR(  J11="x",J11="病"  ), OR(  K11 ="病"  ), $AP11 =""),"病(事)假",  IF(  AND(  OR(  J11="x",J11="補"  ), OR(  K11 ="補"  ), $AP11 =""),"補休",  IF(  AND(  OR(  J11="x",J11="喪"  ), OR(  K11 ="喪"  ), $AP11 =""),"喪假",  IF(  AND(  OR(  J11="x",J11="婚",J11="產"  ), OR(  K11 ="婚",K11="產"  ), $AP11 =""),"婚(產)假",  IF(  AND(  OR(  J11="x",J11="公"  ), OR(  K11 ="公"  ), $AP11 =""),"公假",  IF(  AND(  OR(  J11="x",J11="補",J11="婚",J11="公",J11="病",J11="事",J11="x榮18-22"  ),OR(K11=""), $AP11 =""  ),"18收",  IF(  AND(  OR(  J11 ="榮14-18",J11 ="榮10-18",J11 ="榮06-18",J11 ="病14-18"  ),OR(  K11 ="x",K11="補",K11="婚",K11="公",K11="病",K11="事",K11="x"  ), $AP11 =""),"18放早走",  IF(  AND(  OR(  J11 =""),OR(  K11 ="x",K11="補",K11="婚",K11="公",K11="病",K11="事",K11="x榮*",K11="榮",K11="榮-22"  ), $AP11 =""),"18放",  IF(  AND(  OR(  J11="當日退伍"  ),OR(  K11="退伍",K11="退", K11=""  ), $AP11 =""),"當日退伍",  IF(AND(  OR(J11="退",J11="退伍" ), OR(K11="退",K11="退伍" ), $AP11 =""),"退伍","全日勤"  )  )  )  )  )  )  )  )  )  )  ),"")</f>
        <v>全日勤</v>
      </c>
      <c r="K52" s="66" t="str">
        <f>IF(   (ROW(AW11)-1)&lt;=暫1!$B$2,           IF(  AND(  OR(  K11="x",K11="補"  ), OR(  L11 ="x",L11="補",L11="x榮18-22",L11="x公18-22",L11="x榮22-08"  ), $AP11 =""),"全日休",  IF(  AND(  OR(  K11="x",K11="病"  ), OR(  L11 ="病"  ), $AP11 =""),"病(事)假",  IF(  AND(  OR(  K11="x",K11="補"  ), OR(  L11 ="補"  ), $AP11 =""),"補休",  IF(  AND(  OR(  K11="x",K11="喪"  ), OR(  L11 ="喪"  ), $AP11 =""),"喪假",  IF(  AND(  OR(  K11="x",K11="婚",K11="產"  ), OR(  L11 ="婚",L11="產"  ), $AP11 =""),"婚(產)假",  IF(  AND(  OR(  K11="x",K11="公"  ), OR(  L11 ="公"  ), $AP11 =""),"公假",  IF(  AND(  OR(  K11="x",K11="補",K11="婚",K11="公",K11="病",K11="事",K11="x榮18-22"  ),OR(L11=""), $AP11 =""  ),"18收",  IF(  AND(  OR(  K11 ="榮14-18",K11 ="榮10-18",K11 ="榮06-18",K11 ="病14-18"  ),OR(  L11 ="x",L11="補",L11="婚",L11="公",L11="病",L11="事",L11="x"  ), $AP11 =""),"18放早走",  IF(  AND(  OR(  K11 =""),OR(  L11 ="x",L11="補",L11="婚",L11="公",L11="病",L11="事",L11="x榮*",L11="榮",L11="榮-22"  ), $AP11 =""),"18放",  IF(  AND(  OR(  K11="當日退伍"  ),OR(  L11="退伍",L11="退", L11=""  ), $AP11 =""),"當日退伍",  IF(AND(  OR(K11="退",K11="退伍" ), OR(L11="退",L11="退伍" ), $AP11 =""),"退伍","全日勤"  )  )  )  )  )  )  )  )  )  )  ),"")</f>
        <v>全日勤</v>
      </c>
      <c r="L52" s="66" t="str">
        <f>IF(   (ROW(AX11)-1)&lt;=暫1!$B$2,           IF(  AND(  OR(  L11="x",L11="補"  ), OR(  M11 ="x",M11="補",M11="x榮18-22",M11="x公18-22",M11="x榮22-08"  ), $AP11 =""),"全日休",  IF(  AND(  OR(  L11="x",L11="病"  ), OR(  M11 ="病"  ), $AP11 =""),"病(事)假",  IF(  AND(  OR(  L11="x",L11="補"  ), OR(  M11 ="補"  ), $AP11 =""),"補休",  IF(  AND(  OR(  L11="x",L11="喪"  ), OR(  M11 ="喪"  ), $AP11 =""),"喪假",  IF(  AND(  OR(  L11="x",L11="婚",L11="產"  ), OR(  M11 ="婚",M11="產"  ), $AP11 =""),"婚(產)假",  IF(  AND(  OR(  L11="x",L11="公"  ), OR(  M11 ="公"  ), $AP11 =""),"公假",  IF(  AND(  OR(  L11="x",L11="補",L11="婚",L11="公",L11="病",L11="事",L11="x榮18-22"  ),OR(M11=""), $AP11 =""  ),"18收",  IF(  AND(  OR(  L11 ="榮14-18",L11 ="榮10-18",L11 ="榮06-18",L11 ="病14-18"  ),OR(  M11 ="x",M11="補",M11="婚",M11="公",M11="病",M11="事",M11="x"  ), $AP11 =""),"18放早走",  IF(  AND(  OR(  L11 =""),OR(  M11 ="x",M11="補",M11="婚",M11="公",M11="病",M11="事",M11="x榮*",M11="榮",M11="榮-22"  ), $AP11 =""),"18放",  IF(  AND(  OR(  L11="當日退伍"  ),OR(  M11="退伍",M11="退", M11=""  ), $AP11 =""),"當日退伍",  IF(AND(  OR(L11="退",L11="退伍" ), OR(M11="退",M11="退伍" ), $AP11 =""),"退伍","全日勤"  )  )  )  )  )  )  )  )  )  )  ),"")</f>
        <v>全日勤</v>
      </c>
      <c r="M52" s="66" t="str">
        <f>IF(   (ROW(AY11)-1)&lt;=暫1!$B$2,           IF(  AND(  OR(  M11="x",M11="補"  ), OR(  N11 ="x",N11="補",N11="x榮18-22",N11="x公18-22",N11="x榮22-08"  ), $AP11 =""),"全日休",  IF(  AND(  OR(  M11="x",M11="病"  ), OR(  N11 ="病"  ), $AP11 =""),"病(事)假",  IF(  AND(  OR(  M11="x",M11="補"  ), OR(  N11 ="補"  ), $AP11 =""),"補休",  IF(  AND(  OR(  M11="x",M11="喪"  ), OR(  N11 ="喪"  ), $AP11 =""),"喪假",  IF(  AND(  OR(  M11="x",M11="婚",M11="產"  ), OR(  N11 ="婚",N11="產"  ), $AP11 =""),"婚(產)假",  IF(  AND(  OR(  M11="x",M11="公"  ), OR(  N11 ="公"  ), $AP11 =""),"公假",  IF(  AND(  OR(  M11="x",M11="補",M11="婚",M11="公",M11="病",M11="事",M11="x榮18-22"  ),OR(N11=""), $AP11 =""  ),"18收",  IF(  AND(  OR(  M11 ="榮14-18",M11 ="榮10-18",M11 ="榮06-18",M11 ="病14-18"  ),OR(  N11 ="x",N11="補",N11="婚",N11="公",N11="病",N11="事",N11="x"  ), $AP11 =""),"18放早走",  IF(  AND(  OR(  M11 =""),OR(  N11 ="x",N11="補",N11="婚",N11="公",N11="病",N11="事",N11="x榮*",N11="榮",N11="榮-22"  ), $AP11 =""),"18放",  IF(  AND(  OR(  M11="當日退伍"  ),OR(  N11="退伍",N11="退", N11=""  ), $AP11 =""),"當日退伍",  IF(AND(  OR(M11="退",M11="退伍" ), OR(N11="退",N11="退伍" ), $AP11 =""),"退伍","全日勤"  )  )  )  )  )  )  )  )  )  )  ),"")</f>
        <v>全日勤</v>
      </c>
      <c r="N52" s="66" t="str">
        <f>IF(   (ROW(AZ11)-1)&lt;=暫1!$B$2,           IF(  AND(  OR(  N11="x",N11="補"  ), OR(  O11 ="x",O11="補",O11="x榮18-22",O11="x公18-22",O11="x榮22-08"  ), $AP11 =""),"全日休",  IF(  AND(  OR(  N11="x",N11="病"  ), OR(  O11 ="病"  ), $AP11 =""),"病(事)假",  IF(  AND(  OR(  N11="x",N11="補"  ), OR(  O11 ="補"  ), $AP11 =""),"補休",  IF(  AND(  OR(  N11="x",N11="喪"  ), OR(  O11 ="喪"  ), $AP11 =""),"喪假",  IF(  AND(  OR(  N11="x",N11="婚",N11="產"  ), OR(  O11 ="婚",O11="產"  ), $AP11 =""),"婚(產)假",  IF(  AND(  OR(  N11="x",N11="公"  ), OR(  O11 ="公"  ), $AP11 =""),"公假",  IF(  AND(  OR(  N11="x",N11="補",N11="婚",N11="公",N11="病",N11="事",N11="x榮18-22"  ),OR(O11=""), $AP11 =""  ),"18收",  IF(  AND(  OR(  N11 ="榮14-18",N11 ="榮10-18",N11 ="榮06-18",N11 ="病14-18"  ),OR(  O11 ="x",O11="補",O11="婚",O11="公",O11="病",O11="事",O11="x"  ), $AP11 =""),"18放早走",  IF(  AND(  OR(  N11 =""),OR(  O11 ="x",O11="補",O11="婚",O11="公",O11="病",O11="事",O11="x榮*",O11="榮",O11="榮-22"  ), $AP11 =""),"18放",  IF(  AND(  OR(  N11="當日退伍"  ),OR(  O11="退伍",O11="退", O11=""  ), $AP11 =""),"當日退伍",  IF(AND(  OR(N11="退",N11="退伍" ), OR(O11="退",O11="退伍" ), $AP11 =""),"退伍","全日勤"  )  )  )  )  )  )  )  )  )  )  ),"")</f>
        <v>全日勤</v>
      </c>
      <c r="O52" s="66" t="str">
        <f>IF(   (ROW(BA11)-1)&lt;=暫1!$B$2,           IF(  AND(  OR(  O11="x",O11="補"  ), OR(  P11 ="x",P11="補",P11="x榮18-22",P11="x公18-22",P11="x榮22-08"  ), $AP11 =""),"全日休",  IF(  AND(  OR(  O11="x",O11="病"  ), OR(  P11 ="病"  ), $AP11 =""),"病(事)假",  IF(  AND(  OR(  O11="x",O11="補"  ), OR(  P11 ="補"  ), $AP11 =""),"補休",  IF(  AND(  OR(  O11="x",O11="喪"  ), OR(  P11 ="喪"  ), $AP11 =""),"喪假",  IF(  AND(  OR(  O11="x",O11="婚",O11="產"  ), OR(  P11 ="婚",P11="產"  ), $AP11 =""),"婚(產)假",  IF(  AND(  OR(  O11="x",O11="公"  ), OR(  P11 ="公"  ), $AP11 =""),"公假",  IF(  AND(  OR(  O11="x",O11="補",O11="婚",O11="公",O11="病",O11="事",O11="x榮18-22"  ),OR(P11=""), $AP11 =""  ),"18收",  IF(  AND(  OR(  O11 ="榮14-18",O11 ="榮10-18",O11 ="榮06-18",O11 ="病14-18"  ),OR(  P11 ="x",P11="補",P11="婚",P11="公",P11="病",P11="事",P11="x"  ), $AP11 =""),"18放早走",  IF(  AND(  OR(  O11 =""),OR(  P11 ="x",P11="補",P11="婚",P11="公",P11="病",P11="事",P11="x榮*",P11="榮",P11="榮-22"  ), $AP11 =""),"18放",  IF(  AND(  OR(  O11="當日退伍"  ),OR(  P11="退伍",P11="退", P11=""  ), $AP11 =""),"當日退伍",  IF(AND(  OR(O11="退",O11="退伍" ), OR(P11="退",P11="退伍" ), $AP11 =""),"退伍","全日勤"  )  )  )  )  )  )  )  )  )  )  ),"")</f>
        <v>全日勤</v>
      </c>
      <c r="P52" s="66" t="str">
        <f>IF(   (ROW(BB11)-1)&lt;=暫1!$B$2,           IF(  AND(  OR(  P11="x",P11="補"  ), OR(  Q11 ="x",Q11="補",Q11="x榮18-22",Q11="x公18-22",Q11="x榮22-08"  ), $AP11 =""),"全日休",  IF(  AND(  OR(  P11="x",P11="病"  ), OR(  Q11 ="病"  ), $AP11 =""),"病(事)假",  IF(  AND(  OR(  P11="x",P11="補"  ), OR(  Q11 ="補"  ), $AP11 =""),"補休",  IF(  AND(  OR(  P11="x",P11="喪"  ), OR(  Q11 ="喪"  ), $AP11 =""),"喪假",  IF(  AND(  OR(  P11="x",P11="婚",P11="產"  ), OR(  Q11 ="婚",Q11="產"  ), $AP11 =""),"婚(產)假",  IF(  AND(  OR(  P11="x",P11="公"  ), OR(  Q11 ="公"  ), $AP11 =""),"公假",  IF(  AND(  OR(  P11="x",P11="補",P11="婚",P11="公",P11="病",P11="事",P11="x榮18-22"  ),OR(Q11=""), $AP11 =""  ),"18收",  IF(  AND(  OR(  P11 ="榮14-18",P11 ="榮10-18",P11 ="榮06-18",P11 ="病14-18"  ),OR(  Q11 ="x",Q11="補",Q11="婚",Q11="公",Q11="病",Q11="事",Q11="x"  ), $AP11 =""),"18放早走",  IF(  AND(  OR(  P11 =""),OR(  Q11 ="x",Q11="補",Q11="婚",Q11="公",Q11="病",Q11="事",Q11="x榮*",Q11="榮",Q11="榮-22"  ), $AP11 =""),"18放",  IF(  AND(  OR(  P11="當日退伍"  ),OR(  Q11="退伍",Q11="退", Q11=""  ), $AP11 =""),"當日退伍",  IF(AND(  OR(P11="退",P11="退伍" ), OR(Q11="退",Q11="退伍" ), $AP11 =""),"退伍","全日勤"  )  )  )  )  )  )  )  )  )  )  ),"")</f>
        <v>全日勤</v>
      </c>
      <c r="Q52" s="66" t="str">
        <f>IF(   (ROW(BC11)-1)&lt;=暫1!$B$2,           IF(  AND(  OR(  Q11="x",Q11="補"  ), OR(  R11 ="x",R11="補",R11="x榮18-22",R11="x公18-22",R11="x榮22-08"  ), $AP11 =""),"全日休",  IF(  AND(  OR(  Q11="x",Q11="病"  ), OR(  R11 ="病"  ), $AP11 =""),"病(事)假",  IF(  AND(  OR(  Q11="x",Q11="補"  ), OR(  R11 ="補"  ), $AP11 =""),"補休",  IF(  AND(  OR(  Q11="x",Q11="喪"  ), OR(  R11 ="喪"  ), $AP11 =""),"喪假",  IF(  AND(  OR(  Q11="x",Q11="婚",Q11="產"  ), OR(  R11 ="婚",R11="產"  ), $AP11 =""),"婚(產)假",  IF(  AND(  OR(  Q11="x",Q11="公"  ), OR(  R11 ="公"  ), $AP11 =""),"公假",  IF(  AND(  OR(  Q11="x",Q11="補",Q11="婚",Q11="公",Q11="病",Q11="事",Q11="x榮18-22"  ),OR(R11=""), $AP11 =""  ),"18收",  IF(  AND(  OR(  Q11 ="榮14-18",Q11 ="榮10-18",Q11 ="榮06-18",Q11 ="病14-18"  ),OR(  R11 ="x",R11="補",R11="婚",R11="公",R11="病",R11="事",R11="x"  ), $AP11 =""),"18放早走",  IF(  AND(  OR(  Q11 =""),OR(  R11 ="x",R11="補",R11="婚",R11="公",R11="病",R11="事",R11="x榮*",R11="榮",R11="榮-22"  ), $AP11 =""),"18放",  IF(  AND(  OR(  Q11="當日退伍"  ),OR(  R11="退伍",R11="退", R11=""  ), $AP11 =""),"當日退伍",  IF(AND(  OR(Q11="退",Q11="退伍" ), OR(R11="退",R11="退伍" ), $AP11 =""),"退伍","全日勤"  )  )  )  )  )  )  )  )  )  )  ),"")</f>
        <v>全日勤</v>
      </c>
      <c r="R52" s="66" t="str">
        <f>IF(   (ROW(BD11)-1)&lt;=暫1!$B$2,           IF(  AND(  OR(  R11="x",R11="補"  ), OR(  S11 ="x",S11="補",S11="x榮18-22",S11="x公18-22",S11="x榮22-08"  ), $AP11 =""),"全日休",  IF(  AND(  OR(  R11="x",R11="病"  ), OR(  S11 ="病"  ), $AP11 =""),"病(事)假",  IF(  AND(  OR(  R11="x",R11="補"  ), OR(  S11 ="補"  ), $AP11 =""),"補休",  IF(  AND(  OR(  R11="x",R11="喪"  ), OR(  S11 ="喪"  ), $AP11 =""),"喪假",  IF(  AND(  OR(  R11="x",R11="婚",R11="產"  ), OR(  S11 ="婚",S11="產"  ), $AP11 =""),"婚(產)假",  IF(  AND(  OR(  R11="x",R11="公"  ), OR(  S11 ="公"  ), $AP11 =""),"公假",  IF(  AND(  OR(  R11="x",R11="補",R11="婚",R11="公",R11="病",R11="事",R11="x榮18-22"  ),OR(S11=""), $AP11 =""  ),"18收",  IF(  AND(  OR(  R11 ="榮14-18",R11 ="榮10-18",R11 ="榮06-18",R11 ="病14-18"  ),OR(  S11 ="x",S11="補",S11="婚",S11="公",S11="病",S11="事",S11="x"  ), $AP11 =""),"18放早走",  IF(  AND(  OR(  R11 =""),OR(  S11 ="x",S11="補",S11="婚",S11="公",S11="病",S11="事",S11="x榮*",S11="榮",S11="榮-22"  ), $AP11 =""),"18放",  IF(  AND(  OR(  R11="當日退伍"  ),OR(  S11="退伍",S11="退", S11=""  ), $AP11 =""),"當日退伍",  IF(AND(  OR(R11="退",R11="退伍" ), OR(S11="退",S11="退伍" ), $AP11 =""),"退伍","全日勤"  )  )  )  )  )  )  )  )  )  )  ),"")</f>
        <v>全日勤</v>
      </c>
      <c r="S52" s="66" t="str">
        <f>IF(   (ROW(BE11)-1)&lt;=暫1!$B$2,           IF(  AND(  OR(  S11="x",S11="補"  ), OR(  T11 ="x",T11="補",T11="x榮18-22",T11="x公18-22",T11="x榮22-08"  ), $AP11 =""),"全日休",  IF(  AND(  OR(  S11="x",S11="病"  ), OR(  T11 ="病"  ), $AP11 =""),"病(事)假",  IF(  AND(  OR(  S11="x",S11="補"  ), OR(  T11 ="補"  ), $AP11 =""),"補休",  IF(  AND(  OR(  S11="x",S11="喪"  ), OR(  T11 ="喪"  ), $AP11 =""),"喪假",  IF(  AND(  OR(  S11="x",S11="婚",S11="產"  ), OR(  T11 ="婚",T11="產"  ), $AP11 =""),"婚(產)假",  IF(  AND(  OR(  S11="x",S11="公"  ), OR(  T11 ="公"  ), $AP11 =""),"公假",  IF(  AND(  OR(  S11="x",S11="補",S11="婚",S11="公",S11="病",S11="事",S11="x榮18-22"  ),OR(T11=""), $AP11 =""  ),"18收",  IF(  AND(  OR(  S11 ="榮14-18",S11 ="榮10-18",S11 ="榮06-18",S11 ="病14-18"  ),OR(  T11 ="x",T11="補",T11="婚",T11="公",T11="病",T11="事",T11="x"  ), $AP11 =""),"18放早走",  IF(  AND(  OR(  S11 =""),OR(  T11 ="x",T11="補",T11="婚",T11="公",T11="病",T11="事",T11="x榮*",T11="榮",T11="榮-22"  ), $AP11 =""),"18放",  IF(  AND(  OR(  S11="當日退伍"  ),OR(  T11="退伍",T11="退", T11=""  ), $AP11 =""),"當日退伍",  IF(AND(  OR(S11="退",S11="退伍" ), OR(T11="退",T11="退伍" ), $AP11 =""),"退伍","全日勤"  )  )  )  )  )  )  )  )  )  )  ),"")</f>
        <v>全日勤</v>
      </c>
      <c r="T52" s="66" t="str">
        <f>IF(   (ROW(BF11)-1)&lt;=暫1!$B$2,           IF(  AND(  OR(  T11="x",T11="補"  ), OR(  U11 ="x",U11="補",U11="x榮18-22",U11="x公18-22",U11="x榮22-08"  ), $AP11 =""),"全日休",  IF(  AND(  OR(  T11="x",T11="病"  ), OR(  U11 ="病"  ), $AP11 =""),"病(事)假",  IF(  AND(  OR(  T11="x",T11="補"  ), OR(  U11 ="補"  ), $AP11 =""),"補休",  IF(  AND(  OR(  T11="x",T11="喪"  ), OR(  U11 ="喪"  ), $AP11 =""),"喪假",  IF(  AND(  OR(  T11="x",T11="婚",T11="產"  ), OR(  U11 ="婚",U11="產"  ), $AP11 =""),"婚(產)假",  IF(  AND(  OR(  T11="x",T11="公"  ), OR(  U11 ="公"  ), $AP11 =""),"公假",  IF(  AND(  OR(  T11="x",T11="補",T11="婚",T11="公",T11="病",T11="事",T11="x榮18-22"  ),OR(U11=""), $AP11 =""  ),"18收",  IF(  AND(  OR(  T11 ="榮14-18",T11 ="榮10-18",T11 ="榮06-18",T11 ="病14-18"  ),OR(  U11 ="x",U11="補",U11="婚",U11="公",U11="病",U11="事",U11="x"  ), $AP11 =""),"18放早走",  IF(  AND(  OR(  T11 =""),OR(  U11 ="x",U11="補",U11="婚",U11="公",U11="病",U11="事",U11="x榮*",U11="榮",U11="榮-22"  ), $AP11 =""),"18放",  IF(  AND(  OR(  T11="當日退伍"  ),OR(  U11="退伍",U11="退", U11=""  ), $AP11 =""),"當日退伍",  IF(AND(  OR(T11="退",T11="退伍" ), OR(U11="退",U11="退伍" ), $AP11 =""),"退伍","全日勤"  )  )  )  )  )  )  )  )  )  )  ),"")</f>
        <v>全日勤</v>
      </c>
      <c r="U52" s="66" t="str">
        <f>IF(   (ROW(BG11)-1)&lt;=暫1!$B$2,           IF(  AND(  OR(  U11="x",U11="補"  ), OR(  V11 ="x",V11="補",V11="x榮18-22",V11="x公18-22",V11="x榮22-08"  ), $AP11 =""),"全日休",  IF(  AND(  OR(  U11="x",U11="病"  ), OR(  V11 ="病"  ), $AP11 =""),"病(事)假",  IF(  AND(  OR(  U11="x",U11="補"  ), OR(  V11 ="補"  ), $AP11 =""),"補休",  IF(  AND(  OR(  U11="x",U11="喪"  ), OR(  V11 ="喪"  ), $AP11 =""),"喪假",  IF(  AND(  OR(  U11="x",U11="婚",U11="產"  ), OR(  V11 ="婚",V11="產"  ), $AP11 =""),"婚(產)假",  IF(  AND(  OR(  U11="x",U11="公"  ), OR(  V11 ="公"  ), $AP11 =""),"公假",  IF(  AND(  OR(  U11="x",U11="補",U11="婚",U11="公",U11="病",U11="事",U11="x榮18-22"  ),OR(V11=""), $AP11 =""  ),"18收",  IF(  AND(  OR(  U11 ="榮14-18",U11 ="榮10-18",U11 ="榮06-18",U11 ="病14-18"  ),OR(  V11 ="x",V11="補",V11="婚",V11="公",V11="病",V11="事",V11="x"  ), $AP11 =""),"18放早走",  IF(  AND(  OR(  U11 =""),OR(  V11 ="x",V11="補",V11="婚",V11="公",V11="病",V11="事",V11="x榮*",V11="榮",V11="榮-22"  ), $AP11 =""),"18放",  IF(  AND(  OR(  U11="當日退伍"  ),OR(  V11="退伍",V11="退", V11=""  ), $AP11 =""),"當日退伍",  IF(AND(  OR(U11="退",U11="退伍" ), OR(V11="退",V11="退伍" ), $AP11 =""),"退伍","全日勤"  )  )  )  )  )  )  )  )  )  )  ),"")</f>
        <v>全日勤</v>
      </c>
      <c r="V52" s="66" t="str">
        <f>IF(   (ROW(BH11)-1)&lt;=暫1!$B$2,           IF(  AND(  OR(  V11="x",V11="補"  ), OR(  W11 ="x",W11="補",W11="x榮18-22",W11="x公18-22",W11="x榮22-08"  ), $AP11 =""),"全日休",  IF(  AND(  OR(  V11="x",V11="病"  ), OR(  W11 ="病"  ), $AP11 =""),"病(事)假",  IF(  AND(  OR(  V11="x",V11="補"  ), OR(  W11 ="補"  ), $AP11 =""),"補休",  IF(  AND(  OR(  V11="x",V11="喪"  ), OR(  W11 ="喪"  ), $AP11 =""),"喪假",  IF(  AND(  OR(  V11="x",V11="婚",V11="產"  ), OR(  W11 ="婚",W11="產"  ), $AP11 =""),"婚(產)假",  IF(  AND(  OR(  V11="x",V11="公"  ), OR(  W11 ="公"  ), $AP11 =""),"公假",  IF(  AND(  OR(  V11="x",V11="補",V11="婚",V11="公",V11="病",V11="事",V11="x榮18-22"  ),OR(W11=""), $AP11 =""  ),"18收",  IF(  AND(  OR(  V11 ="榮14-18",V11 ="榮10-18",V11 ="榮06-18",V11 ="病14-18"  ),OR(  W11 ="x",W11="補",W11="婚",W11="公",W11="病",W11="事",W11="x"  ), $AP11 =""),"18放早走",  IF(  AND(  OR(  V11 =""),OR(  W11 ="x",W11="補",W11="婚",W11="公",W11="病",W11="事",W11="x榮*",W11="榮",W11="榮-22"  ), $AP11 =""),"18放",  IF(  AND(  OR(  V11="當日退伍"  ),OR(  W11="退伍",W11="退", W11=""  ), $AP11 =""),"當日退伍",  IF(AND(  OR(V11="退",V11="退伍" ), OR(W11="退",W11="退伍" ), $AP11 =""),"退伍","全日勤"  )  )  )  )  )  )  )  )  )  )  ),"")</f>
        <v>全日勤</v>
      </c>
      <c r="W52" s="66" t="str">
        <f>IF(   (ROW(BI11)-1)&lt;=暫1!$B$2,           IF(  AND(  OR(  W11="x",W11="補"  ), OR(  X11 ="x",X11="補",X11="x榮18-22",X11="x公18-22",X11="x榮22-08"  ), $AP11 =""),"全日休",  IF(  AND(  OR(  W11="x",W11="病"  ), OR(  X11 ="病"  ), $AP11 =""),"病(事)假",  IF(  AND(  OR(  W11="x",W11="補"  ), OR(  X11 ="補"  ), $AP11 =""),"補休",  IF(  AND(  OR(  W11="x",W11="喪"  ), OR(  X11 ="喪"  ), $AP11 =""),"喪假",  IF(  AND(  OR(  W11="x",W11="婚",W11="產"  ), OR(  X11 ="婚",X11="產"  ), $AP11 =""),"婚(產)假",  IF(  AND(  OR(  W11="x",W11="公"  ), OR(  X11 ="公"  ), $AP11 =""),"公假",  IF(  AND(  OR(  W11="x",W11="補",W11="婚",W11="公",W11="病",W11="事",W11="x榮18-22"  ),OR(X11=""), $AP11 =""  ),"18收",  IF(  AND(  OR(  W11 ="榮14-18",W11 ="榮10-18",W11 ="榮06-18",W11 ="病14-18"  ),OR(  X11 ="x",X11="補",X11="婚",X11="公",X11="病",X11="事",X11="x"  ), $AP11 =""),"18放早走",  IF(  AND(  OR(  W11 =""),OR(  X11 ="x",X11="補",X11="婚",X11="公",X11="病",X11="事",X11="x榮*",X11="榮",X11="榮-22"  ), $AP11 =""),"18放",  IF(  AND(  OR(  W11="當日退伍"  ),OR(  X11="退伍",X11="退", X11=""  ), $AP11 =""),"當日退伍",  IF(AND(  OR(W11="退",W11="退伍" ), OR(X11="退",X11="退伍" ), $AP11 =""),"退伍","全日勤"  )  )  )  )  )  )  )  )  )  )  ),"")</f>
        <v>全日勤</v>
      </c>
      <c r="X52" s="66" t="str">
        <f>IF(   (ROW(BJ11)-1)&lt;=暫1!$B$2,           IF(  AND(  OR(  X11="x",X11="補"  ), OR(  Y11 ="x",Y11="補",Y11="x榮18-22",Y11="x公18-22",Y11="x榮22-08"  ), $AP11 =""),"全日休",  IF(  AND(  OR(  X11="x",X11="病"  ), OR(  Y11 ="病"  ), $AP11 =""),"病(事)假",  IF(  AND(  OR(  X11="x",X11="補"  ), OR(  Y11 ="補"  ), $AP11 =""),"補休",  IF(  AND(  OR(  X11="x",X11="喪"  ), OR(  Y11 ="喪"  ), $AP11 =""),"喪假",  IF(  AND(  OR(  X11="x",X11="婚",X11="產"  ), OR(  Y11 ="婚",Y11="產"  ), $AP11 =""),"婚(產)假",  IF(  AND(  OR(  X11="x",X11="公"  ), OR(  Y11 ="公"  ), $AP11 =""),"公假",  IF(  AND(  OR(  X11="x",X11="補",X11="婚",X11="公",X11="病",X11="事",X11="x榮18-22"  ),OR(Y11=""), $AP11 =""  ),"18收",  IF(  AND(  OR(  X11 ="榮14-18",X11 ="榮10-18",X11 ="榮06-18",X11 ="病14-18"  ),OR(  Y11 ="x",Y11="補",Y11="婚",Y11="公",Y11="病",Y11="事",Y11="x"  ), $AP11 =""),"18放早走",  IF(  AND(  OR(  X11 =""),OR(  Y11 ="x",Y11="補",Y11="婚",Y11="公",Y11="病",Y11="事",Y11="x榮*",Y11="榮",Y11="榮-22"  ), $AP11 =""),"18放",  IF(  AND(  OR(  X11="當日退伍"  ),OR(  Y11="退伍",Y11="退", Y11=""  ), $AP11 =""),"當日退伍",  IF(AND(  OR(X11="退",X11="退伍" ), OR(Y11="退",Y11="退伍" ), $AP11 =""),"退伍","全日勤"  )  )  )  )  )  )  )  )  )  )  ),"")</f>
        <v>全日勤</v>
      </c>
      <c r="Y52" s="66" t="str">
        <f>IF(   (ROW(BK11)-1)&lt;=暫1!$B$2,           IF(  AND(  OR(  Y11="x",Y11="補"  ), OR(  Z11 ="x",Z11="補",Z11="x榮18-22",Z11="x公18-22",Z11="x榮22-08"  ), $AP11 =""),"全日休",  IF(  AND(  OR(  Y11="x",Y11="病"  ), OR(  Z11 ="病"  ), $AP11 =""),"病(事)假",  IF(  AND(  OR(  Y11="x",Y11="補"  ), OR(  Z11 ="補"  ), $AP11 =""),"補休",  IF(  AND(  OR(  Y11="x",Y11="喪"  ), OR(  Z11 ="喪"  ), $AP11 =""),"喪假",  IF(  AND(  OR(  Y11="x",Y11="婚",Y11="產"  ), OR(  Z11 ="婚",Z11="產"  ), $AP11 =""),"婚(產)假",  IF(  AND(  OR(  Y11="x",Y11="公"  ), OR(  Z11 ="公"  ), $AP11 =""),"公假",  IF(  AND(  OR(  Y11="x",Y11="補",Y11="婚",Y11="公",Y11="病",Y11="事",Y11="x榮18-22"  ),OR(Z11=""), $AP11 =""  ),"18收",  IF(  AND(  OR(  Y11 ="榮14-18",Y11 ="榮10-18",Y11 ="榮06-18",Y11 ="病14-18"  ),OR(  Z11 ="x",Z11="補",Z11="婚",Z11="公",Z11="病",Z11="事",Z11="x"  ), $AP11 =""),"18放早走",  IF(  AND(  OR(  Y11 =""),OR(  Z11 ="x",Z11="補",Z11="婚",Z11="公",Z11="病",Z11="事",Z11="x榮*",Z11="榮",Z11="榮-22"  ), $AP11 =""),"18放",  IF(  AND(  OR(  Y11="當日退伍"  ),OR(  Z11="退伍",Z11="退", Z11=""  ), $AP11 =""),"當日退伍",  IF(AND(  OR(Y11="退",Y11="退伍" ), OR(Z11="退",Z11="退伍" ), $AP11 =""),"退伍","全日勤"  )  )  )  )  )  )  )  )  )  )  ),"")</f>
        <v>全日勤</v>
      </c>
      <c r="Z52" s="66" t="str">
        <f>IF(   (ROW(BL11)-1)&lt;=暫1!$B$2,           IF(  AND(  OR(  Z11="x",Z11="補"  ), OR(  AA11 ="x",AA11="補",AA11="x榮18-22",AA11="x公18-22",AA11="x榮22-08"  ), $AP11 =""),"全日休",  IF(  AND(  OR(  Z11="x",Z11="病"  ), OR(  AA11 ="病"  ), $AP11 =""),"病(事)假",  IF(  AND(  OR(  Z11="x",Z11="補"  ), OR(  AA11 ="補"  ), $AP11 =""),"補休",  IF(  AND(  OR(  Z11="x",Z11="喪"  ), OR(  AA11 ="喪"  ), $AP11 =""),"喪假",  IF(  AND(  OR(  Z11="x",Z11="婚",Z11="產"  ), OR(  AA11 ="婚",AA11="產"  ), $AP11 =""),"婚(產)假",  IF(  AND(  OR(  Z11="x",Z11="公"  ), OR(  AA11 ="公"  ), $AP11 =""),"公假",  IF(  AND(  OR(  Z11="x",Z11="補",Z11="婚",Z11="公",Z11="病",Z11="事",Z11="x榮18-22"  ),OR(AA11=""), $AP11 =""  ),"18收",  IF(  AND(  OR(  Z11 ="榮14-18",Z11 ="榮10-18",Z11 ="榮06-18",Z11 ="病14-18"  ),OR(  AA11 ="x",AA11="補",AA11="婚",AA11="公",AA11="病",AA11="事",AA11="x"  ), $AP11 =""),"18放早走",  IF(  AND(  OR(  Z11 =""),OR(  AA11 ="x",AA11="補",AA11="婚",AA11="公",AA11="病",AA11="事",AA11="x榮*",AA11="榮",AA11="榮-22"  ), $AP11 =""),"18放",  IF(  AND(  OR(  Z11="當日退伍"  ),OR(  AA11="退伍",AA11="退", AA11=""  ), $AP11 =""),"當日退伍",  IF(AND(  OR(Z11="退",Z11="退伍" ), OR(AA11="退",AA11="退伍" ), $AP11 =""),"退伍","全日勤"  )  )  )  )  )  )  )  )  )  )  ),"")</f>
        <v>全日勤</v>
      </c>
      <c r="AA52" s="66" t="str">
        <f>IF(   (ROW(BM11)-1)&lt;=暫1!$B$2,           IF(  AND(  OR(  AA11="x",AA11="補"  ), OR(  AB11 ="x",AB11="補",AB11="x榮18-22",AB11="x公18-22",AB11="x榮22-08"  ), $AP11 =""),"全日休",  IF(  AND(  OR(  AA11="x",AA11="病"  ), OR(  AB11 ="病"  ), $AP11 =""),"病(事)假",  IF(  AND(  OR(  AA11="x",AA11="補"  ), OR(  AB11 ="補"  ), $AP11 =""),"補休",  IF(  AND(  OR(  AA11="x",AA11="喪"  ), OR(  AB11 ="喪"  ), $AP11 =""),"喪假",  IF(  AND(  OR(  AA11="x",AA11="婚",AA11="產"  ), OR(  AB11 ="婚",AB11="產"  ), $AP11 =""),"婚(產)假",  IF(  AND(  OR(  AA11="x",AA11="公"  ), OR(  AB11 ="公"  ), $AP11 =""),"公假",  IF(  AND(  OR(  AA11="x",AA11="補",AA11="婚",AA11="公",AA11="病",AA11="事",AA11="x榮18-22"  ),OR(AB11=""), $AP11 =""  ),"18收",  IF(  AND(  OR(  AA11 ="榮14-18",AA11 ="榮10-18",AA11 ="榮06-18",AA11 ="病14-18"  ),OR(  AB11 ="x",AB11="補",AB11="婚",AB11="公",AB11="病",AB11="事",AB11="x"  ), $AP11 =""),"18放早走",  IF(  AND(  OR(  AA11 =""),OR(  AB11 ="x",AB11="補",AB11="婚",AB11="公",AB11="病",AB11="事",AB11="x榮*",AB11="榮",AB11="榮-22"  ), $AP11 =""),"18放",  IF(  AND(  OR(  AA11="當日退伍"  ),OR(  AB11="退伍",AB11="退", AB11=""  ), $AP11 =""),"當日退伍",  IF(AND(  OR(AA11="退",AA11="退伍" ), OR(AB11="退",AB11="退伍" ), $AP11 =""),"退伍","全日勤"  )  )  )  )  )  )  )  )  )  )  ),"")</f>
        <v>全日勤</v>
      </c>
      <c r="AB52" s="66" t="str">
        <f>IF(   (ROW(BN11)-1)&lt;=暫1!$B$2,           IF(  AND(  OR(  AB11="x",AB11="補"  ), OR(  AC11 ="x",AC11="補",AC11="x榮18-22",AC11="x公18-22",AC11="x榮22-08"  ), $AP11 =""),"全日休",  IF(  AND(  OR(  AB11="x",AB11="病"  ), OR(  AC11 ="病"  ), $AP11 =""),"病(事)假",  IF(  AND(  OR(  AB11="x",AB11="補"  ), OR(  AC11 ="補"  ), $AP11 =""),"補休",  IF(  AND(  OR(  AB11="x",AB11="喪"  ), OR(  AC11 ="喪"  ), $AP11 =""),"喪假",  IF(  AND(  OR(  AB11="x",AB11="婚",AB11="產"  ), OR(  AC11 ="婚",AC11="產"  ), $AP11 =""),"婚(產)假",  IF(  AND(  OR(  AB11="x",AB11="公"  ), OR(  AC11 ="公"  ), $AP11 =""),"公假",  IF(  AND(  OR(  AB11="x",AB11="補",AB11="婚",AB11="公",AB11="病",AB11="事",AB11="x榮18-22"  ),OR(AC11=""), $AP11 =""  ),"18收",  IF(  AND(  OR(  AB11 ="榮14-18",AB11 ="榮10-18",AB11 ="榮06-18",AB11 ="病14-18"  ),OR(  AC11 ="x",AC11="補",AC11="婚",AC11="公",AC11="病",AC11="事",AC11="x"  ), $AP11 =""),"18放早走",  IF(  AND(  OR(  AB11 =""),OR(  AC11 ="x",AC11="補",AC11="婚",AC11="公",AC11="病",AC11="事",AC11="x榮*",AC11="榮",AC11="榮-22"  ), $AP11 =""),"18放",  IF(  AND(  OR(  AB11="當日退伍"  ),OR(  AC11="退伍",AC11="退", AC11=""  ), $AP11 =""),"當日退伍",  IF(AND(  OR(AB11="退",AB11="退伍" ), OR(AC11="退",AC11="退伍" ), $AP11 =""),"退伍","全日勤"  )  )  )  )  )  )  )  )  )  )  ),"")</f>
        <v>全日勤</v>
      </c>
      <c r="AC52" s="66" t="str">
        <f>IF(   (ROW(BO11)-1)&lt;=暫1!$B$2,           IF(  AND(  OR(  AC11="x",AC11="補"  ), OR(  AD11 ="x",AD11="補",AD11="x榮18-22",AD11="x公18-22",AD11="x榮22-08"  ), $AP11 =""),"全日休",  IF(  AND(  OR(  AC11="x",AC11="病"  ), OR(  AD11 ="病"  ), $AP11 =""),"病(事)假",  IF(  AND(  OR(  AC11="x",AC11="補"  ), OR(  AD11 ="補"  ), $AP11 =""),"補休",  IF(  AND(  OR(  AC11="x",AC11="喪"  ), OR(  AD11 ="喪"  ), $AP11 =""),"喪假",  IF(  AND(  OR(  AC11="x",AC11="婚",AC11="產"  ), OR(  AD11 ="婚",AD11="產"  ), $AP11 =""),"婚(產)假",  IF(  AND(  OR(  AC11="x",AC11="公"  ), OR(  AD11 ="公"  ), $AP11 =""),"公假",  IF(  AND(  OR(  AC11="x",AC11="補",AC11="婚",AC11="公",AC11="病",AC11="事",AC11="x榮18-22"  ),OR(AD11=""), $AP11 =""  ),"18收",  IF(  AND(  OR(  AC11 ="榮14-18",AC11 ="榮10-18",AC11 ="榮06-18",AC11 ="病14-18"  ),OR(  AD11 ="x",AD11="補",AD11="婚",AD11="公",AD11="病",AD11="事",AD11="x"  ), $AP11 =""),"18放早走",  IF(  AND(  OR(  AC11 =""),OR(  AD11 ="x",AD11="補",AD11="婚",AD11="公",AD11="病",AD11="事",AD11="x榮*",AD11="榮",AD11="榮-22"  ), $AP11 =""),"18放",  IF(  AND(  OR(  AC11="當日退伍"  ),OR(  AD11="退伍",AD11="退", AD11=""  ), $AP11 =""),"當日退伍",  IF(AND(  OR(AC11="退",AC11="退伍" ), OR(AD11="退",AD11="退伍" ), $AP11 =""),"退伍","全日勤"  )  )  )  )  )  )  )  )  )  )  ),"")</f>
        <v>全日勤</v>
      </c>
      <c r="AD52" s="66" t="str">
        <f>IF(   (ROW(BP11)-1)&lt;=暫1!$B$2,           IF(  AND(  OR(  AD11="x",AD11="補"  ), OR(  AE11 ="x",AE11="補",AE11="x榮18-22",AE11="x公18-22",AE11="x榮22-08"  ), $AP11 =""),"全日休",  IF(  AND(  OR(  AD11="x",AD11="病"  ), OR(  AE11 ="病"  ), $AP11 =""),"病(事)假",  IF(  AND(  OR(  AD11="x",AD11="補"  ), OR(  AE11 ="補"  ), $AP11 =""),"補休",  IF(  AND(  OR(  AD11="x",AD11="喪"  ), OR(  AE11 ="喪"  ), $AP11 =""),"喪假",  IF(  AND(  OR(  AD11="x",AD11="婚",AD11="產"  ), OR(  AE11 ="婚",AE11="產"  ), $AP11 =""),"婚(產)假",  IF(  AND(  OR(  AD11="x",AD11="公"  ), OR(  AE11 ="公"  ), $AP11 =""),"公假",  IF(  AND(  OR(  AD11="x",AD11="補",AD11="婚",AD11="公",AD11="病",AD11="事",AD11="x榮18-22"  ),OR(AE11=""), $AP11 =""  ),"18收",  IF(  AND(  OR(  AD11 ="榮14-18",AD11 ="榮10-18",AD11 ="榮06-18",AD11 ="病14-18"  ),OR(  AE11 ="x",AE11="補",AE11="婚",AE11="公",AE11="病",AE11="事",AE11="x"  ), $AP11 =""),"18放早走",  IF(  AND(  OR(  AD11 =""),OR(  AE11 ="x",AE11="補",AE11="婚",AE11="公",AE11="病",AE11="事",AE11="x榮*",AE11="榮",AE11="榮-22"  ), $AP11 =""),"18放",  IF(  AND(  OR(  AD11="當日退伍"  ),OR(  AE11="退伍",AE11="退", AE11=""  ), $AP11 =""),"當日退伍",  IF(AND(  OR(AD11="退",AD11="退伍" ), OR(AE11="退",AE11="退伍" ), $AP11 =""),"退伍","全日勤"  )  )  )  )  )  )  )  )  )  )  ),"")</f>
        <v>全日勤</v>
      </c>
      <c r="AE52" s="66" t="str">
        <f>IF(   (ROW(BQ11)-1)&lt;=暫1!$B$2,           IF(  AND(  OR(  AE11="x",AE11="補"  ), OR(  AF11 ="x",AF11="補",AF11="x榮18-22",AF11="x公18-22",AF11="x榮22-08"  ), $AP11 =""),"全日休",  IF(  AND(  OR(  AE11="x",AE11="病"  ), OR(  AF11 ="病"  ), $AP11 =""),"病(事)假",  IF(  AND(  OR(  AE11="x",AE11="補"  ), OR(  AF11 ="補"  ), $AP11 =""),"補休",  IF(  AND(  OR(  AE11="x",AE11="喪"  ), OR(  AF11 ="喪"  ), $AP11 =""),"喪假",  IF(  AND(  OR(  AE11="x",AE11="婚",AE11="產"  ), OR(  AF11 ="婚",AF11="產"  ), $AP11 =""),"婚(產)假",  IF(  AND(  OR(  AE11="x",AE11="公"  ), OR(  AF11 ="公"  ), $AP11 =""),"公假",  IF(  AND(  OR(  AE11="x",AE11="補",AE11="婚",AE11="公",AE11="病",AE11="事",AE11="x榮18-22"  ),OR(AF11=""), $AP11 =""  ),"18收",  IF(  AND(  OR(  AE11 ="榮14-18",AE11 ="榮10-18",AE11 ="榮06-18",AE11 ="病14-18"  ),OR(  AF11 ="x",AF11="補",AF11="婚",AF11="公",AF11="病",AF11="事",AF11="x"  ), $AP11 =""),"18放早走",  IF(  AND(  OR(  AE11 =""),OR(  AF11 ="x",AF11="補",AF11="婚",AF11="公",AF11="病",AF11="事",AF11="x榮*",AF11="榮",AF11="榮-22"  ), $AP11 =""),"18放",  IF(  AND(  OR(  AE11="當日退伍"  ),OR(  AF11="退伍",AF11="退", AF11=""  ), $AP11 =""),"當日退伍",  IF(AND(  OR(AE11="退",AE11="退伍" ), OR(AF11="退",AF11="退伍" ), $AP11 =""),"退伍","全日勤"  )  )  )  )  )  )  )  )  )  )  ),"")</f>
        <v>全日勤</v>
      </c>
      <c r="AF52" s="66" t="str">
        <f>IF(   (ROW(BR11)-1)&lt;=暫1!$B$2,           IF(  AND(  OR(  AF11="x",AF11="補"  ), OR(  AG11 ="x",AG11="補",AG11="x榮18-22",AG11="x公18-22",AG11="x榮22-08"  ), $AP11 =""),"全日休",  IF(  AND(  OR(  AF11="x",AF11="病"  ), OR(  AG11 ="病"  ), $AP11 =""),"病(事)假",  IF(  AND(  OR(  AF11="x",AF11="補"  ), OR(  AG11 ="補"  ), $AP11 =""),"補休",  IF(  AND(  OR(  AF11="x",AF11="喪"  ), OR(  AG11 ="喪"  ), $AP11 =""),"喪假",  IF(  AND(  OR(  AF11="x",AF11="婚",AF11="產"  ), OR(  AG11 ="婚",AG11="產"  ), $AP11 =""),"婚(產)假",  IF(  AND(  OR(  AF11="x",AF11="公"  ), OR(  AG11 ="公"  ), $AP11 =""),"公假",  IF(  AND(  OR(  AF11="x",AF11="補",AF11="婚",AF11="公",AF11="病",AF11="事",AF11="x榮18-22"  ),OR(AG11=""), $AP11 =""  ),"18收",  IF(  AND(  OR(  AF11 ="榮14-18",AF11 ="榮10-18",AF11 ="榮06-18",AF11 ="病14-18"  ),OR(  AG11 ="x",AG11="補",AG11="婚",AG11="公",AG11="病",AG11="事",AG11="x"  ), $AP11 =""),"18放早走",  IF(  AND(  OR(  AF11 =""),OR(  AG11 ="x",AG11="補",AG11="婚",AG11="公",AG11="病",AG11="事",AG11="x榮*",AG11="榮",AG11="榮-22"  ), $AP11 =""),"18放",  IF(  AND(  OR(  AF11="當日退伍"  ),OR(  AG11="退伍",AG11="退", AG11=""  ), $AP11 =""),"當日退伍",  IF(AND(  OR(AF11="退",AF11="退伍" ), OR(AG11="退",AG11="退伍" ), $AP11 =""),"退伍","全日勤"  )  )  )  )  )  )  )  )  )  )  ),"")</f>
        <v>18放</v>
      </c>
      <c r="AG52" s="66" t="str">
        <f>IF(   (ROW(BS11)-1)&lt;=暫1!$B$2,           IF(  AND(  OR(  AG11="x",AG11="補"  ), OR(  AH11 ="x",AH11="補",AH11="x榮18-22",AH11="x公18-22",AH11="x榮22-08"  ), $AP11 =""),"全日休",  IF(  AND(  OR(  AG11="x",AG11="病"  ), OR(  AH11 ="病"  ), $AP11 =""),"病(事)假",  IF(  AND(  OR(  AG11="x",AG11="補"  ), OR(  AH11 ="補"  ), $AP11 =""),"補休",  IF(  AND(  OR(  AG11="x",AG11="喪"  ), OR(  AH11 ="喪"  ), $AP11 =""),"喪假",  IF(  AND(  OR(  AG11="x",AG11="婚",AG11="產"  ), OR(  AH11 ="婚",AH11="產"  ), $AP11 =""),"婚(產)假",  IF(  AND(  OR(  AG11="x",AG11="公"  ), OR(  AH11 ="公"  ), $AP11 =""),"公假",  IF(  AND(  OR(  AG11="x",AG11="補",AG11="婚",AG11="公",AG11="病",AG11="事",AG11="x榮18-22"  ),OR(AH11=""), $AP11 =""  ),"18收",  IF(  AND(  OR(  AG11 ="榮14-18",AG11 ="榮10-18",AG11 ="榮06-18",AG11 ="病14-18"  ),OR(  AH11 ="x",AH11="補",AH11="婚",AH11="公",AH11="病",AH11="事",AH11="x"  ), $AP11 =""),"18放早走",  IF(  AND(  OR(  AG11 =""),OR(  AH11 ="x",AH11="補",AH11="婚",AH11="公",AH11="病",AH11="事",AH11="x榮*",AH11="榮",AH11="榮-22"  ), $AP11 =""),"18放",  IF(  AND(  OR(  AG11="當日退伍"  ),OR(  AH11="退伍",AH11="退", AH11=""  ), $AP11 =""),"當日退伍",  IF(AND(  OR(AG11="退",AG11="退伍" ), OR(AH11="退",AH11="退伍" ), $AP11 =""),"退伍","全日勤"  )  )  )  )  )  )  )  )  )  )  ),"")</f>
        <v>18收</v>
      </c>
      <c r="AH52" s="66" t="str">
        <f>IF(   (ROW(BT11)-1)&lt;=暫1!$B$2,           IF(  AND(  OR(  AH11="x",AH11="補"  ), OR(  AI11 ="x",AI11="補",AI11="x榮18-22",AI11="x公18-22",AI11="x榮22-08"  ), $AP11 =""),"全日休",  IF(  AND(  OR(  AH11="x",AH11="病"  ), OR(  AI11 ="病"  ), $AP11 =""),"病(事)假",  IF(  AND(  OR(  AH11="x",AH11="補"  ), OR(  AI11 ="補"  ), $AP11 =""),"補休",  IF(  AND(  OR(  AH11="x",AH11="喪"  ), OR(  AI11 ="喪"  ), $AP11 =""),"喪假",  IF(  AND(  OR(  AH11="x",AH11="婚",AH11="產"  ), OR(  AI11 ="婚",AI11="產"  ), $AP11 =""),"婚(產)假",  IF(  AND(  OR(  AH11="x",AH11="公"  ), OR(  AI11 ="公"  ), $AP11 =""),"公假",  IF(  AND(  OR(  AH11="x",AH11="補",AH11="婚",AH11="公",AH11="病",AH11="事",AH11="x榮18-22"  ),OR(AI11=""), $AP11 =""  ),"18收",  IF(  AND(  OR(  AH11 ="榮14-18",AH11 ="榮10-18",AH11 ="榮06-18",AH11 ="病14-18"  ),OR(  AI11 ="x",AI11="補",AI11="婚",AI11="公",AI11="病",AI11="事",AI11="x"  ), $AP11 =""),"18放早走",  IF(  AND(  OR(  AH11 =""),OR(  AI11 ="x",AI11="補",AI11="婚",AI11="公",AI11="病",AI11="事",AI11="x榮*",AI11="榮",AI11="榮-22"  ), $AP11 =""),"18放",  IF(  AND(  OR(  AH11="當日退伍"  ),OR(  AI11="退伍",AI11="退", AI11=""  ), $AP11 =""),"當日退伍",  IF(AND(  OR(AH11="退",AH11="退伍" ), OR(AI11="退",AI11="退伍" ), $AP11 =""),"退伍","全日勤"  )  )  )  )  )  )  )  )  )  )  ),"")</f>
        <v>全日勤</v>
      </c>
      <c r="AI52" s="66" t="str">
        <f>IF(   (ROW(BU11)-1)&lt;=暫1!$B$2,           IF(  AND(  OR(  AI11="x",AI11="補"  ), OR(  AJ11 ="x",AJ11="補",AJ11="x榮18-22",AJ11="x公18-22",AJ11="x榮22-08"  ), $AP11 =""),"全日休",  IF(  AND(  OR(  AI11="x",AI11="病"  ), OR(  AJ11 ="病"  ), $AP11 =""),"病(事)假",  IF(  AND(  OR(  AI11="x",AI11="補"  ), OR(  AJ11 ="補"  ), $AP11 =""),"補休",  IF(  AND(  OR(  AI11="x",AI11="喪"  ), OR(  AJ11 ="喪"  ), $AP11 =""),"喪假",  IF(  AND(  OR(  AI11="x",AI11="婚",AI11="產"  ), OR(  AJ11 ="婚",AJ11="產"  ), $AP11 =""),"婚(產)假",  IF(  AND(  OR(  AI11="x",AI11="公"  ), OR(  AJ11 ="公"  ), $AP11 =""),"公假",  IF(  AND(  OR(  AI11="x",AI11="補",AI11="婚",AI11="公",AI11="病",AI11="事",AI11="x榮18-22"  ),OR(AJ11=""), $AP11 =""  ),"18收",  IF(  AND(  OR(  AI11 ="榮14-18",AI11 ="榮10-18",AI11 ="榮06-18",AI11 ="病14-18"  ),OR(  AJ11 ="x",AJ11="補",AJ11="婚",AJ11="公",AJ11="病",AJ11="事",AJ11="x"  ), $AP11 =""),"18放早走",  IF(  AND(  OR(  AI11 =""),OR(  AJ11 ="x",AJ11="補",AJ11="婚",AJ11="公",AJ11="病",AJ11="事",AJ11="x榮*",AJ11="榮",AJ11="榮-22"  ), $AP11 =""),"18放",  IF(  AND(  OR(  AI11="當日退伍"  ),OR(  AJ11="退伍",AJ11="退", AJ11=""  ), $AP11 =""),"當日退伍",  IF(AND(  OR(AI11="退",AI11="退伍" ), OR(AJ11="退",AJ11="退伍" ), $AP11 =""),"退伍","全日勤"  )  )  )  )  )  )  )  )  )  )  ),"")</f>
        <v>全日勤</v>
      </c>
      <c r="AJ52" s="66" t="str">
        <f>IF(   (ROW(BV11)-1)&lt;=暫1!$B$2,           IF(  AND(  OR(  AJ11="x",AJ11="補"  ), OR(  AK11 ="x",AK11="補",AK11="x榮18-22",AK11="x公18-22",AK11="x榮22-08"  ), $AP11 =""),"全日休",  IF(  AND(  OR(  AJ11="x",AJ11="病"  ), OR(  AK11 ="病"  ), $AP11 =""),"病(事)假",  IF(  AND(  OR(  AJ11="x",AJ11="補"  ), OR(  AK11 ="補"  ), $AP11 =""),"補休",  IF(  AND(  OR(  AJ11="x",AJ11="喪"  ), OR(  AK11 ="喪"  ), $AP11 =""),"喪假",  IF(  AND(  OR(  AJ11="x",AJ11="婚",AJ11="產"  ), OR(  AK11 ="婚",AK11="產"  ), $AP11 =""),"婚(產)假",  IF(  AND(  OR(  AJ11="x",AJ11="公"  ), OR(  AK11 ="公"  ), $AP11 =""),"公假",  IF(  AND(  OR(  AJ11="x",AJ11="補",AJ11="婚",AJ11="公",AJ11="病",AJ11="事",AJ11="x榮18-22"  ),OR(AK11=""), $AP11 =""  ),"18收",  IF(  AND(  OR(  AJ11 ="榮14-18",AJ11 ="榮10-18",AJ11 ="榮06-18",AJ11 ="病14-18"  ),OR(  AK11 ="x",AK11="補",AK11="婚",AK11="公",AK11="病",AK11="事",AK11="x"  ), $AP11 =""),"18放早走",  IF(  AND(  OR(  AJ11 =""),OR(  AK11 ="x",AK11="補",AK11="婚",AK11="公",AK11="病",AK11="事",AK11="x榮*",AK11="榮",AK11="榮-22"  ), $AP11 =""),"18放",  IF(  AND(  OR(  AJ11="當日退伍"  ),OR(  AK11="退伍",AK11="退", AK11=""  ), $AP11 =""),"當日退伍",  IF(AND(  OR(AJ11="退",AJ11="退伍" ), OR(AK11="退",AK11="退伍" ), $AP11 =""),"退伍","全日勤"  )  )  )  )  )  )  )  )  )  )  ),"")</f>
        <v>全日勤</v>
      </c>
      <c r="AO52" s="76"/>
      <c r="AP52" s="63"/>
      <c r="AU52" s="63"/>
      <c r="AY52" s="63"/>
      <c r="AZ52" s="63"/>
      <c r="BA52" s="63"/>
    </row>
    <row r="53" spans="1:55" ht="25.5" customHeight="1">
      <c r="A53" s="66">
        <f t="shared" si="4"/>
        <v>11</v>
      </c>
      <c r="B53" s="66" t="str">
        <f t="shared" si="6"/>
        <v>梁展碩</v>
      </c>
      <c r="C53" s="66" t="str">
        <f>IF(   (ROW(AO12)-1)&lt;=暫1!$B$2,           IF(  AND(  OR(  C12="x",C12="補"  ), OR(  D12 ="x",D12="補",D12="x榮18-22",D12="x公18-22",D12="x榮22-08"  ), $AP12 =""),"全日休",  IF(  AND(  OR(  C12="x",C12="病"  ), OR(  D12 ="病"  ), $AP12 =""),"病(事)假",  IF(  AND(  OR(  C12="x",C12="補"  ), OR(  D12 ="補"  ), $AP12 =""),"補休",  IF(  AND(  OR(  C12="x",C12="喪"  ), OR(  D12 ="喪"  ), $AP12 =""),"喪假",  IF(  AND(  OR(  C12="x",C12="婚",C12="產"  ), OR(  D12 ="婚",D12="產"  ), $AP12 =""),"婚(產)假",  IF(  AND(  OR(  C12="x",C12="公"  ), OR(  D12 ="公"  ), $AP12 =""),"公假",  IF(  AND(  OR(  C12="x",C12="補",C12="婚",C12="公",C12="病",C12="事",C12="x榮18-22"  ),OR(D12=""), $AP12 =""  ),"18收",  IF(  AND(  OR(  C12 ="榮14-18",C12 ="榮10-18",C12 ="榮06-18",C12 ="病14-18"  ),OR(  D12 ="x",D12="補",D12="婚",D12="公",D12="病",D12="事",D12="x"  ), $AP12 =""),"18放早走",  IF(  AND(  OR(  C12 =""),OR(  D12 ="x",D12="補",D12="婚",D12="公",D12="病",D12="事",D12="x榮*",D12="榮",D12="榮-22"  ), $AP12 =""),"18放",  IF(  AND(  OR(  C12="當日退伍"  ),OR(  D12="退伍",D12="退", D12=""  ), $AP12 =""),"當日退伍",  IF(AND(  OR(C12="退",C12="退伍" ), OR(D12="退",D12="退伍" ), $AP12 =""),"退伍","全日勤"  )  )  )  )  )  )  )  )  )  )  ),"")</f>
        <v>全日勤</v>
      </c>
      <c r="D53" s="66" t="str">
        <f>IF(   (ROW(AP12)-1)&lt;=暫1!$B$2,           IF(  AND(  OR(  D12="x",D12="補"  ), OR(  E12 ="x",E12="補",E12="x榮18-22",E12="x公18-22",E12="x榮22-08"  ), $AP12 =""),"全日休",  IF(  AND(  OR(  D12="x",D12="病"  ), OR(  E12 ="病"  ), $AP12 =""),"病(事)假",  IF(  AND(  OR(  D12="x",D12="補"  ), OR(  E12 ="補"  ), $AP12 =""),"補休",  IF(  AND(  OR(  D12="x",D12="喪"  ), OR(  E12 ="喪"  ), $AP12 =""),"喪假",  IF(  AND(  OR(  D12="x",D12="婚",D12="產"  ), OR(  E12 ="婚",E12="產"  ), $AP12 =""),"婚(產)假",  IF(  AND(  OR(  D12="x",D12="公"  ), OR(  E12 ="公"  ), $AP12 =""),"公假",  IF(  AND(  OR(  D12="x",D12="補",D12="婚",D12="公",D12="病",D12="事",D12="x榮18-22"  ),OR(E12=""), $AP12 =""  ),"18收",  IF(  AND(  OR(  D12 ="榮14-18",D12 ="榮10-18",D12 ="榮06-18",D12 ="病14-18"  ),OR(  E12 ="x",E12="補",E12="婚",E12="公",E12="病",E12="事",E12="x"  ), $AP12 =""),"18放早走",  IF(  AND(  OR(  D12 =""),OR(  E12 ="x",E12="補",E12="婚",E12="公",E12="病",E12="事",E12="x榮*",E12="榮",E12="榮-22"  ), $AP12 =""),"18放",  IF(  AND(  OR(  D12="當日退伍"  ),OR(  E12="退伍",E12="退", E12=""  ), $AP12 =""),"當日退伍",  IF(AND(  OR(D12="退",D12="退伍" ), OR(E12="退",E12="退伍" ), $AP12 =""),"退伍","全日勤"  )  )  )  )  )  )  )  )  )  )  ),"")</f>
        <v>全日勤</v>
      </c>
      <c r="E53" s="66" t="str">
        <f>IF(   (ROW(AQ12)-1)&lt;=暫1!$B$2,           IF(  AND(  OR(  E12="x",E12="補"  ), OR(  F12 ="x",F12="補",F12="x榮18-22",F12="x公18-22",F12="x榮22-08"  ), $AP12 =""),"全日休",  IF(  AND(  OR(  E12="x",E12="病"  ), OR(  F12 ="病"  ), $AP12 =""),"病(事)假",  IF(  AND(  OR(  E12="x",E12="補"  ), OR(  F12 ="補"  ), $AP12 =""),"補休",  IF(  AND(  OR(  E12="x",E12="喪"  ), OR(  F12 ="喪"  ), $AP12 =""),"喪假",  IF(  AND(  OR(  E12="x",E12="婚",E12="產"  ), OR(  F12 ="婚",F12="產"  ), $AP12 =""),"婚(產)假",  IF(  AND(  OR(  E12="x",E12="公"  ), OR(  F12 ="公"  ), $AP12 =""),"公假",  IF(  AND(  OR(  E12="x",E12="補",E12="婚",E12="公",E12="病",E12="事",E12="x榮18-22"  ),OR(F12=""), $AP12 =""  ),"18收",  IF(  AND(  OR(  E12 ="榮14-18",E12 ="榮10-18",E12 ="榮06-18",E12 ="病14-18"  ),OR(  F12 ="x",F12="補",F12="婚",F12="公",F12="病",F12="事",F12="x"  ), $AP12 =""),"18放早走",  IF(  AND(  OR(  E12 =""),OR(  F12 ="x",F12="補",F12="婚",F12="公",F12="病",F12="事",F12="x榮*",F12="榮",F12="榮-22"  ), $AP12 =""),"18放",  IF(  AND(  OR(  E12="當日退伍"  ),OR(  F12="退伍",F12="退", F12=""  ), $AP12 =""),"當日退伍",  IF(AND(  OR(E12="退",E12="退伍" ), OR(F12="退",F12="退伍" ), $AP12 =""),"退伍","全日勤"  )  )  )  )  )  )  )  )  )  )  ),"")</f>
        <v>全日勤</v>
      </c>
      <c r="F53" s="66" t="str">
        <f>IF(   (ROW(AR12)-1)&lt;=暫1!$B$2,           IF(  AND(  OR(  F12="x",F12="補"  ), OR(  G12 ="x",G12="補",G12="x榮18-22",G12="x公18-22",G12="x榮22-08"  ), $AP12 =""),"全日休",  IF(  AND(  OR(  F12="x",F12="病"  ), OR(  G12 ="病"  ), $AP12 =""),"病(事)假",  IF(  AND(  OR(  F12="x",F12="補"  ), OR(  G12 ="補"  ), $AP12 =""),"補休",  IF(  AND(  OR(  F12="x",F12="喪"  ), OR(  G12 ="喪"  ), $AP12 =""),"喪假",  IF(  AND(  OR(  F12="x",F12="婚",F12="產"  ), OR(  G12 ="婚",G12="產"  ), $AP12 =""),"婚(產)假",  IF(  AND(  OR(  F12="x",F12="公"  ), OR(  G12 ="公"  ), $AP12 =""),"公假",  IF(  AND(  OR(  F12="x",F12="補",F12="婚",F12="公",F12="病",F12="事",F12="x榮18-22"  ),OR(G12=""), $AP12 =""  ),"18收",  IF(  AND(  OR(  F12 ="榮14-18",F12 ="榮10-18",F12 ="榮06-18",F12 ="病14-18"  ),OR(  G12 ="x",G12="補",G12="婚",G12="公",G12="病",G12="事",G12="x"  ), $AP12 =""),"18放早走",  IF(  AND(  OR(  F12 =""),OR(  G12 ="x",G12="補",G12="婚",G12="公",G12="病",G12="事",G12="x榮*",G12="榮",G12="榮-22"  ), $AP12 =""),"18放",  IF(  AND(  OR(  F12="當日退伍"  ),OR(  G12="退伍",G12="退", G12=""  ), $AP12 =""),"當日退伍",  IF(AND(  OR(F12="退",F12="退伍" ), OR(G12="退",G12="退伍" ), $AP12 =""),"退伍","全日勤"  )  )  )  )  )  )  )  )  )  )  ),"")</f>
        <v>全日勤</v>
      </c>
      <c r="G53" s="66" t="str">
        <f>IF(   (ROW(AS12)-1)&lt;=暫1!$B$2,           IF(  AND(  OR(  G12="x",G12="補"  ), OR(  H12 ="x",H12="補",H12="x榮18-22",H12="x公18-22",H12="x榮22-08"  ), $AP12 =""),"全日休",  IF(  AND(  OR(  G12="x",G12="病"  ), OR(  H12 ="病"  ), $AP12 =""),"病(事)假",  IF(  AND(  OR(  G12="x",G12="補"  ), OR(  H12 ="補"  ), $AP12 =""),"補休",  IF(  AND(  OR(  G12="x",G12="喪"  ), OR(  H12 ="喪"  ), $AP12 =""),"喪假",  IF(  AND(  OR(  G12="x",G12="婚",G12="產"  ), OR(  H12 ="婚",H12="產"  ), $AP12 =""),"婚(產)假",  IF(  AND(  OR(  G12="x",G12="公"  ), OR(  H12 ="公"  ), $AP12 =""),"公假",  IF(  AND(  OR(  G12="x",G12="補",G12="婚",G12="公",G12="病",G12="事",G12="x榮18-22"  ),OR(H12=""), $AP12 =""  ),"18收",  IF(  AND(  OR(  G12 ="榮14-18",G12 ="榮10-18",G12 ="榮06-18",G12 ="病14-18"  ),OR(  H12 ="x",H12="補",H12="婚",H12="公",H12="病",H12="事",H12="x"  ), $AP12 =""),"18放早走",  IF(  AND(  OR(  G12 =""),OR(  H12 ="x",H12="補",H12="婚",H12="公",H12="病",H12="事",H12="x榮*",H12="榮",H12="榮-22"  ), $AP12 =""),"18放",  IF(  AND(  OR(  G12="當日退伍"  ),OR(  H12="退伍",H12="退", H12=""  ), $AP12 =""),"當日退伍",  IF(AND(  OR(G12="退",G12="退伍" ), OR(H12="退",H12="退伍" ), $AP12 =""),"退伍","全日勤"  )  )  )  )  )  )  )  )  )  )  ),"")</f>
        <v>全日勤</v>
      </c>
      <c r="H53" s="66" t="str">
        <f>IF(   (ROW(AT12)-1)&lt;=暫1!$B$2,           IF(  AND(  OR(  H12="x",H12="補"  ), OR(  I12 ="x",I12="補",I12="x榮18-22",I12="x公18-22",I12="x榮22-08"  ), $AP12 =""),"全日休",  IF(  AND(  OR(  H12="x",H12="病"  ), OR(  I12 ="病"  ), $AP12 =""),"病(事)假",  IF(  AND(  OR(  H12="x",H12="補"  ), OR(  I12 ="補"  ), $AP12 =""),"補休",  IF(  AND(  OR(  H12="x",H12="喪"  ), OR(  I12 ="喪"  ), $AP12 =""),"喪假",  IF(  AND(  OR(  H12="x",H12="婚",H12="產"  ), OR(  I12 ="婚",I12="產"  ), $AP12 =""),"婚(產)假",  IF(  AND(  OR(  H12="x",H12="公"  ), OR(  I12 ="公"  ), $AP12 =""),"公假",  IF(  AND(  OR(  H12="x",H12="補",H12="婚",H12="公",H12="病",H12="事",H12="x榮18-22"  ),OR(I12=""), $AP12 =""  ),"18收",  IF(  AND(  OR(  H12 ="榮14-18",H12 ="榮10-18",H12 ="榮06-18",H12 ="病14-18"  ),OR(  I12 ="x",I12="補",I12="婚",I12="公",I12="病",I12="事",I12="x"  ), $AP12 =""),"18放早走",  IF(  AND(  OR(  H12 =""),OR(  I12 ="x",I12="補",I12="婚",I12="公",I12="病",I12="事",I12="x榮*",I12="榮",I12="榮-22"  ), $AP12 =""),"18放",  IF(  AND(  OR(  H12="當日退伍"  ),OR(  I12="退伍",I12="退", I12=""  ), $AP12 =""),"當日退伍",  IF(AND(  OR(H12="退",H12="退伍" ), OR(I12="退",I12="退伍" ), $AP12 =""),"退伍","全日勤"  )  )  )  )  )  )  )  )  )  )  ),"")</f>
        <v>全日勤</v>
      </c>
      <c r="I53" s="66" t="str">
        <f>IF(   (ROW(AU12)-1)&lt;=暫1!$B$2,           IF(  AND(  OR(  I12="x",I12="補"  ), OR(  J12 ="x",J12="補",J12="x榮18-22",J12="x公18-22",J12="x榮22-08"  ), $AP12 =""),"全日休",  IF(  AND(  OR(  I12="x",I12="病"  ), OR(  J12 ="病"  ), $AP12 =""),"病(事)假",  IF(  AND(  OR(  I12="x",I12="補"  ), OR(  J12 ="補"  ), $AP12 =""),"補休",  IF(  AND(  OR(  I12="x",I12="喪"  ), OR(  J12 ="喪"  ), $AP12 =""),"喪假",  IF(  AND(  OR(  I12="x",I12="婚",I12="產"  ), OR(  J12 ="婚",J12="產"  ), $AP12 =""),"婚(產)假",  IF(  AND(  OR(  I12="x",I12="公"  ), OR(  J12 ="公"  ), $AP12 =""),"公假",  IF(  AND(  OR(  I12="x",I12="補",I12="婚",I12="公",I12="病",I12="事",I12="x榮18-22"  ),OR(J12=""), $AP12 =""  ),"18收",  IF(  AND(  OR(  I12 ="榮14-18",I12 ="榮10-18",I12 ="榮06-18",I12 ="病14-18"  ),OR(  J12 ="x",J12="補",J12="婚",J12="公",J12="病",J12="事",J12="x"  ), $AP12 =""),"18放早走",  IF(  AND(  OR(  I12 =""),OR(  J12 ="x",J12="補",J12="婚",J12="公",J12="病",J12="事",J12="x榮*",J12="榮",J12="榮-22"  ), $AP12 =""),"18放",  IF(  AND(  OR(  I12="當日退伍"  ),OR(  J12="退伍",J12="退", J12=""  ), $AP12 =""),"當日退伍",  IF(AND(  OR(I12="退",I12="退伍" ), OR(J12="退",J12="退伍" ), $AP12 =""),"退伍","全日勤"  )  )  )  )  )  )  )  )  )  )  ),"")</f>
        <v>全日勤</v>
      </c>
      <c r="J53" s="66" t="str">
        <f>IF(   (ROW(AV12)-1)&lt;=暫1!$B$2,           IF(  AND(  OR(  J12="x",J12="補"  ), OR(  K12 ="x",K12="補",K12="x榮18-22",K12="x公18-22",K12="x榮22-08"  ), $AP12 =""),"全日休",  IF(  AND(  OR(  J12="x",J12="病"  ), OR(  K12 ="病"  ), $AP12 =""),"病(事)假",  IF(  AND(  OR(  J12="x",J12="補"  ), OR(  K12 ="補"  ), $AP12 =""),"補休",  IF(  AND(  OR(  J12="x",J12="喪"  ), OR(  K12 ="喪"  ), $AP12 =""),"喪假",  IF(  AND(  OR(  J12="x",J12="婚",J12="產"  ), OR(  K12 ="婚",K12="產"  ), $AP12 =""),"婚(產)假",  IF(  AND(  OR(  J12="x",J12="公"  ), OR(  K12 ="公"  ), $AP12 =""),"公假",  IF(  AND(  OR(  J12="x",J12="補",J12="婚",J12="公",J12="病",J12="事",J12="x榮18-22"  ),OR(K12=""), $AP12 =""  ),"18收",  IF(  AND(  OR(  J12 ="榮14-18",J12 ="榮10-18",J12 ="榮06-18",J12 ="病14-18"  ),OR(  K12 ="x",K12="補",K12="婚",K12="公",K12="病",K12="事",K12="x"  ), $AP12 =""),"18放早走",  IF(  AND(  OR(  J12 =""),OR(  K12 ="x",K12="補",K12="婚",K12="公",K12="病",K12="事",K12="x榮*",K12="榮",K12="榮-22"  ), $AP12 =""),"18放",  IF(  AND(  OR(  J12="當日退伍"  ),OR(  K12="退伍",K12="退", K12=""  ), $AP12 =""),"當日退伍",  IF(AND(  OR(J12="退",J12="退伍" ), OR(K12="退",K12="退伍" ), $AP12 =""),"退伍","全日勤"  )  )  )  )  )  )  )  )  )  )  ),"")</f>
        <v>全日勤</v>
      </c>
      <c r="K53" s="66" t="str">
        <f>IF(   (ROW(AW12)-1)&lt;=暫1!$B$2,           IF(  AND(  OR(  K12="x",K12="補"  ), OR(  L12 ="x",L12="補",L12="x榮18-22",L12="x公18-22",L12="x榮22-08"  ), $AP12 =""),"全日休",  IF(  AND(  OR(  K12="x",K12="病"  ), OR(  L12 ="病"  ), $AP12 =""),"病(事)假",  IF(  AND(  OR(  K12="x",K12="補"  ), OR(  L12 ="補"  ), $AP12 =""),"補休",  IF(  AND(  OR(  K12="x",K12="喪"  ), OR(  L12 ="喪"  ), $AP12 =""),"喪假",  IF(  AND(  OR(  K12="x",K12="婚",K12="產"  ), OR(  L12 ="婚",L12="產"  ), $AP12 =""),"婚(產)假",  IF(  AND(  OR(  K12="x",K12="公"  ), OR(  L12 ="公"  ), $AP12 =""),"公假",  IF(  AND(  OR(  K12="x",K12="補",K12="婚",K12="公",K12="病",K12="事",K12="x榮18-22"  ),OR(L12=""), $AP12 =""  ),"18收",  IF(  AND(  OR(  K12 ="榮14-18",K12 ="榮10-18",K12 ="榮06-18",K12 ="病14-18"  ),OR(  L12 ="x",L12="補",L12="婚",L12="公",L12="病",L12="事",L12="x"  ), $AP12 =""),"18放早走",  IF(  AND(  OR(  K12 =""),OR(  L12 ="x",L12="補",L12="婚",L12="公",L12="病",L12="事",L12="x榮*",L12="榮",L12="榮-22"  ), $AP12 =""),"18放",  IF(  AND(  OR(  K12="當日退伍"  ),OR(  L12="退伍",L12="退", L12=""  ), $AP12 =""),"當日退伍",  IF(AND(  OR(K12="退",K12="退伍" ), OR(L12="退",L12="退伍" ), $AP12 =""),"退伍","全日勤"  )  )  )  )  )  )  )  )  )  )  ),"")</f>
        <v>全日勤</v>
      </c>
      <c r="L53" s="66" t="str">
        <f>IF(   (ROW(AX12)-1)&lt;=暫1!$B$2,           IF(  AND(  OR(  L12="x",L12="補"  ), OR(  M12 ="x",M12="補",M12="x榮18-22",M12="x公18-22",M12="x榮22-08"  ), $AP12 =""),"全日休",  IF(  AND(  OR(  L12="x",L12="病"  ), OR(  M12 ="病"  ), $AP12 =""),"病(事)假",  IF(  AND(  OR(  L12="x",L12="補"  ), OR(  M12 ="補"  ), $AP12 =""),"補休",  IF(  AND(  OR(  L12="x",L12="喪"  ), OR(  M12 ="喪"  ), $AP12 =""),"喪假",  IF(  AND(  OR(  L12="x",L12="婚",L12="產"  ), OR(  M12 ="婚",M12="產"  ), $AP12 =""),"婚(產)假",  IF(  AND(  OR(  L12="x",L12="公"  ), OR(  M12 ="公"  ), $AP12 =""),"公假",  IF(  AND(  OR(  L12="x",L12="補",L12="婚",L12="公",L12="病",L12="事",L12="x榮18-22"  ),OR(M12=""), $AP12 =""  ),"18收",  IF(  AND(  OR(  L12 ="榮14-18",L12 ="榮10-18",L12 ="榮06-18",L12 ="病14-18"  ),OR(  M12 ="x",M12="補",M12="婚",M12="公",M12="病",M12="事",M12="x"  ), $AP12 =""),"18放早走",  IF(  AND(  OR(  L12 =""),OR(  M12 ="x",M12="補",M12="婚",M12="公",M12="病",M12="事",M12="x榮*",M12="榮",M12="榮-22"  ), $AP12 =""),"18放",  IF(  AND(  OR(  L12="當日退伍"  ),OR(  M12="退伍",M12="退", M12=""  ), $AP12 =""),"當日退伍",  IF(AND(  OR(L12="退",L12="退伍" ), OR(M12="退",M12="退伍" ), $AP12 =""),"退伍","全日勤"  )  )  )  )  )  )  )  )  )  )  ),"")</f>
        <v>全日勤</v>
      </c>
      <c r="M53" s="66" t="str">
        <f>IF(   (ROW(AY12)-1)&lt;=暫1!$B$2,           IF(  AND(  OR(  M12="x",M12="補"  ), OR(  N12 ="x",N12="補",N12="x榮18-22",N12="x公18-22",N12="x榮22-08"  ), $AP12 =""),"全日休",  IF(  AND(  OR(  M12="x",M12="病"  ), OR(  N12 ="病"  ), $AP12 =""),"病(事)假",  IF(  AND(  OR(  M12="x",M12="補"  ), OR(  N12 ="補"  ), $AP12 =""),"補休",  IF(  AND(  OR(  M12="x",M12="喪"  ), OR(  N12 ="喪"  ), $AP12 =""),"喪假",  IF(  AND(  OR(  M12="x",M12="婚",M12="產"  ), OR(  N12 ="婚",N12="產"  ), $AP12 =""),"婚(產)假",  IF(  AND(  OR(  M12="x",M12="公"  ), OR(  N12 ="公"  ), $AP12 =""),"公假",  IF(  AND(  OR(  M12="x",M12="補",M12="婚",M12="公",M12="病",M12="事",M12="x榮18-22"  ),OR(N12=""), $AP12 =""  ),"18收",  IF(  AND(  OR(  M12 ="榮14-18",M12 ="榮10-18",M12 ="榮06-18",M12 ="病14-18"  ),OR(  N12 ="x",N12="補",N12="婚",N12="公",N12="病",N12="事",N12="x"  ), $AP12 =""),"18放早走",  IF(  AND(  OR(  M12 =""),OR(  N12 ="x",N12="補",N12="婚",N12="公",N12="病",N12="事",N12="x榮*",N12="榮",N12="榮-22"  ), $AP12 =""),"18放",  IF(  AND(  OR(  M12="當日退伍"  ),OR(  N12="退伍",N12="退", N12=""  ), $AP12 =""),"當日退伍",  IF(AND(  OR(M12="退",M12="退伍" ), OR(N12="退",N12="退伍" ), $AP12 =""),"退伍","全日勤"  )  )  )  )  )  )  )  )  )  )  ),"")</f>
        <v>全日勤</v>
      </c>
      <c r="N53" s="66" t="str">
        <f>IF(   (ROW(AZ12)-1)&lt;=暫1!$B$2,           IF(  AND(  OR(  N12="x",N12="補"  ), OR(  O12 ="x",O12="補",O12="x榮18-22",O12="x公18-22",O12="x榮22-08"  ), $AP12 =""),"全日休",  IF(  AND(  OR(  N12="x",N12="病"  ), OR(  O12 ="病"  ), $AP12 =""),"病(事)假",  IF(  AND(  OR(  N12="x",N12="補"  ), OR(  O12 ="補"  ), $AP12 =""),"補休",  IF(  AND(  OR(  N12="x",N12="喪"  ), OR(  O12 ="喪"  ), $AP12 =""),"喪假",  IF(  AND(  OR(  N12="x",N12="婚",N12="產"  ), OR(  O12 ="婚",O12="產"  ), $AP12 =""),"婚(產)假",  IF(  AND(  OR(  N12="x",N12="公"  ), OR(  O12 ="公"  ), $AP12 =""),"公假",  IF(  AND(  OR(  N12="x",N12="補",N12="婚",N12="公",N12="病",N12="事",N12="x榮18-22"  ),OR(O12=""), $AP12 =""  ),"18收",  IF(  AND(  OR(  N12 ="榮14-18",N12 ="榮10-18",N12 ="榮06-18",N12 ="病14-18"  ),OR(  O12 ="x",O12="補",O12="婚",O12="公",O12="病",O12="事",O12="x"  ), $AP12 =""),"18放早走",  IF(  AND(  OR(  N12 =""),OR(  O12 ="x",O12="補",O12="婚",O12="公",O12="病",O12="事",O12="x榮*",O12="榮",O12="榮-22"  ), $AP12 =""),"18放",  IF(  AND(  OR(  N12="當日退伍"  ),OR(  O12="退伍",O12="退", O12=""  ), $AP12 =""),"當日退伍",  IF(AND(  OR(N12="退",N12="退伍" ), OR(O12="退",O12="退伍" ), $AP12 =""),"退伍","全日勤"  )  )  )  )  )  )  )  )  )  )  ),"")</f>
        <v>全日勤</v>
      </c>
      <c r="O53" s="66" t="str">
        <f>IF(   (ROW(BA12)-1)&lt;=暫1!$B$2,           IF(  AND(  OR(  O12="x",O12="補"  ), OR(  P12 ="x",P12="補",P12="x榮18-22",P12="x公18-22",P12="x榮22-08"  ), $AP12 =""),"全日休",  IF(  AND(  OR(  O12="x",O12="病"  ), OR(  P12 ="病"  ), $AP12 =""),"病(事)假",  IF(  AND(  OR(  O12="x",O12="補"  ), OR(  P12 ="補"  ), $AP12 =""),"補休",  IF(  AND(  OR(  O12="x",O12="喪"  ), OR(  P12 ="喪"  ), $AP12 =""),"喪假",  IF(  AND(  OR(  O12="x",O12="婚",O12="產"  ), OR(  P12 ="婚",P12="產"  ), $AP12 =""),"婚(產)假",  IF(  AND(  OR(  O12="x",O12="公"  ), OR(  P12 ="公"  ), $AP12 =""),"公假",  IF(  AND(  OR(  O12="x",O12="補",O12="婚",O12="公",O12="病",O12="事",O12="x榮18-22"  ),OR(P12=""), $AP12 =""  ),"18收",  IF(  AND(  OR(  O12 ="榮14-18",O12 ="榮10-18",O12 ="榮06-18",O12 ="病14-18"  ),OR(  P12 ="x",P12="補",P12="婚",P12="公",P12="病",P12="事",P12="x"  ), $AP12 =""),"18放早走",  IF(  AND(  OR(  O12 =""),OR(  P12 ="x",P12="補",P12="婚",P12="公",P12="病",P12="事",P12="x榮*",P12="榮",P12="榮-22"  ), $AP12 =""),"18放",  IF(  AND(  OR(  O12="當日退伍"  ),OR(  P12="退伍",P12="退", P12=""  ), $AP12 =""),"當日退伍",  IF(AND(  OR(O12="退",O12="退伍" ), OR(P12="退",P12="退伍" ), $AP12 =""),"退伍","全日勤"  )  )  )  )  )  )  )  )  )  )  ),"")</f>
        <v>全日勤</v>
      </c>
      <c r="P53" s="66" t="str">
        <f>IF(   (ROW(BB12)-1)&lt;=暫1!$B$2,           IF(  AND(  OR(  P12="x",P12="補"  ), OR(  Q12 ="x",Q12="補",Q12="x榮18-22",Q12="x公18-22",Q12="x榮22-08"  ), $AP12 =""),"全日休",  IF(  AND(  OR(  P12="x",P12="病"  ), OR(  Q12 ="病"  ), $AP12 =""),"病(事)假",  IF(  AND(  OR(  P12="x",P12="補"  ), OR(  Q12 ="補"  ), $AP12 =""),"補休",  IF(  AND(  OR(  P12="x",P12="喪"  ), OR(  Q12 ="喪"  ), $AP12 =""),"喪假",  IF(  AND(  OR(  P12="x",P12="婚",P12="產"  ), OR(  Q12 ="婚",Q12="產"  ), $AP12 =""),"婚(產)假",  IF(  AND(  OR(  P12="x",P12="公"  ), OR(  Q12 ="公"  ), $AP12 =""),"公假",  IF(  AND(  OR(  P12="x",P12="補",P12="婚",P12="公",P12="病",P12="事",P12="x榮18-22"  ),OR(Q12=""), $AP12 =""  ),"18收",  IF(  AND(  OR(  P12 ="榮14-18",P12 ="榮10-18",P12 ="榮06-18",P12 ="病14-18"  ),OR(  Q12 ="x",Q12="補",Q12="婚",Q12="公",Q12="病",Q12="事",Q12="x"  ), $AP12 =""),"18放早走",  IF(  AND(  OR(  P12 =""),OR(  Q12 ="x",Q12="補",Q12="婚",Q12="公",Q12="病",Q12="事",Q12="x榮*",Q12="榮",Q12="榮-22"  ), $AP12 =""),"18放",  IF(  AND(  OR(  P12="當日退伍"  ),OR(  Q12="退伍",Q12="退", Q12=""  ), $AP12 =""),"當日退伍",  IF(AND(  OR(P12="退",P12="退伍" ), OR(Q12="退",Q12="退伍" ), $AP12 =""),"退伍","全日勤"  )  )  )  )  )  )  )  )  )  )  ),"")</f>
        <v>全日勤</v>
      </c>
      <c r="Q53" s="66" t="str">
        <f>IF(   (ROW(BC12)-1)&lt;=暫1!$B$2,           IF(  AND(  OR(  Q12="x",Q12="補"  ), OR(  R12 ="x",R12="補",R12="x榮18-22",R12="x公18-22",R12="x榮22-08"  ), $AP12 =""),"全日休",  IF(  AND(  OR(  Q12="x",Q12="病"  ), OR(  R12 ="病"  ), $AP12 =""),"病(事)假",  IF(  AND(  OR(  Q12="x",Q12="補"  ), OR(  R12 ="補"  ), $AP12 =""),"補休",  IF(  AND(  OR(  Q12="x",Q12="喪"  ), OR(  R12 ="喪"  ), $AP12 =""),"喪假",  IF(  AND(  OR(  Q12="x",Q12="婚",Q12="產"  ), OR(  R12 ="婚",R12="產"  ), $AP12 =""),"婚(產)假",  IF(  AND(  OR(  Q12="x",Q12="公"  ), OR(  R12 ="公"  ), $AP12 =""),"公假",  IF(  AND(  OR(  Q12="x",Q12="補",Q12="婚",Q12="公",Q12="病",Q12="事",Q12="x榮18-22"  ),OR(R12=""), $AP12 =""  ),"18收",  IF(  AND(  OR(  Q12 ="榮14-18",Q12 ="榮10-18",Q12 ="榮06-18",Q12 ="病14-18"  ),OR(  R12 ="x",R12="補",R12="婚",R12="公",R12="病",R12="事",R12="x"  ), $AP12 =""),"18放早走",  IF(  AND(  OR(  Q12 =""),OR(  R12 ="x",R12="補",R12="婚",R12="公",R12="病",R12="事",R12="x榮*",R12="榮",R12="榮-22"  ), $AP12 =""),"18放",  IF(  AND(  OR(  Q12="當日退伍"  ),OR(  R12="退伍",R12="退", R12=""  ), $AP12 =""),"當日退伍",  IF(AND(  OR(Q12="退",Q12="退伍" ), OR(R12="退",R12="退伍" ), $AP12 =""),"退伍","全日勤"  )  )  )  )  )  )  )  )  )  )  ),"")</f>
        <v>全日勤</v>
      </c>
      <c r="R53" s="66" t="str">
        <f>IF(   (ROW(BD12)-1)&lt;=暫1!$B$2,           IF(  AND(  OR(  R12="x",R12="補"  ), OR(  S12 ="x",S12="補",S12="x榮18-22",S12="x公18-22",S12="x榮22-08"  ), $AP12 =""),"全日休",  IF(  AND(  OR(  R12="x",R12="病"  ), OR(  S12 ="病"  ), $AP12 =""),"病(事)假",  IF(  AND(  OR(  R12="x",R12="補"  ), OR(  S12 ="補"  ), $AP12 =""),"補休",  IF(  AND(  OR(  R12="x",R12="喪"  ), OR(  S12 ="喪"  ), $AP12 =""),"喪假",  IF(  AND(  OR(  R12="x",R12="婚",R12="產"  ), OR(  S12 ="婚",S12="產"  ), $AP12 =""),"婚(產)假",  IF(  AND(  OR(  R12="x",R12="公"  ), OR(  S12 ="公"  ), $AP12 =""),"公假",  IF(  AND(  OR(  R12="x",R12="補",R12="婚",R12="公",R12="病",R12="事",R12="x榮18-22"  ),OR(S12=""), $AP12 =""  ),"18收",  IF(  AND(  OR(  R12 ="榮14-18",R12 ="榮10-18",R12 ="榮06-18",R12 ="病14-18"  ),OR(  S12 ="x",S12="補",S12="婚",S12="公",S12="病",S12="事",S12="x"  ), $AP12 =""),"18放早走",  IF(  AND(  OR(  R12 =""),OR(  S12 ="x",S12="補",S12="婚",S12="公",S12="病",S12="事",S12="x榮*",S12="榮",S12="榮-22"  ), $AP12 =""),"18放",  IF(  AND(  OR(  R12="當日退伍"  ),OR(  S12="退伍",S12="退", S12=""  ), $AP12 =""),"當日退伍",  IF(AND(  OR(R12="退",R12="退伍" ), OR(S12="退",S12="退伍" ), $AP12 =""),"退伍","全日勤"  )  )  )  )  )  )  )  )  )  )  ),"")</f>
        <v>全日勤</v>
      </c>
      <c r="S53" s="66" t="str">
        <f>IF(   (ROW(BE12)-1)&lt;=暫1!$B$2,           IF(  AND(  OR(  S12="x",S12="補"  ), OR(  T12 ="x",T12="補",T12="x榮18-22",T12="x公18-22",T12="x榮22-08"  ), $AP12 =""),"全日休",  IF(  AND(  OR(  S12="x",S12="病"  ), OR(  T12 ="病"  ), $AP12 =""),"病(事)假",  IF(  AND(  OR(  S12="x",S12="補"  ), OR(  T12 ="補"  ), $AP12 =""),"補休",  IF(  AND(  OR(  S12="x",S12="喪"  ), OR(  T12 ="喪"  ), $AP12 =""),"喪假",  IF(  AND(  OR(  S12="x",S12="婚",S12="產"  ), OR(  T12 ="婚",T12="產"  ), $AP12 =""),"婚(產)假",  IF(  AND(  OR(  S12="x",S12="公"  ), OR(  T12 ="公"  ), $AP12 =""),"公假",  IF(  AND(  OR(  S12="x",S12="補",S12="婚",S12="公",S12="病",S12="事",S12="x榮18-22"  ),OR(T12=""), $AP12 =""  ),"18收",  IF(  AND(  OR(  S12 ="榮14-18",S12 ="榮10-18",S12 ="榮06-18",S12 ="病14-18"  ),OR(  T12 ="x",T12="補",T12="婚",T12="公",T12="病",T12="事",T12="x"  ), $AP12 =""),"18放早走",  IF(  AND(  OR(  S12 =""),OR(  T12 ="x",T12="補",T12="婚",T12="公",T12="病",T12="事",T12="x榮*",T12="榮",T12="榮-22"  ), $AP12 =""),"18放",  IF(  AND(  OR(  S12="當日退伍"  ),OR(  T12="退伍",T12="退", T12=""  ), $AP12 =""),"當日退伍",  IF(AND(  OR(S12="退",S12="退伍" ), OR(T12="退",T12="退伍" ), $AP12 =""),"退伍","全日勤"  )  )  )  )  )  )  )  )  )  )  ),"")</f>
        <v>全日勤</v>
      </c>
      <c r="T53" s="66" t="str">
        <f>IF(   (ROW(BF12)-1)&lt;=暫1!$B$2,           IF(  AND(  OR(  T12="x",T12="補"  ), OR(  U12 ="x",U12="補",U12="x榮18-22",U12="x公18-22",U12="x榮22-08"  ), $AP12 =""),"全日休",  IF(  AND(  OR(  T12="x",T12="病"  ), OR(  U12 ="病"  ), $AP12 =""),"病(事)假",  IF(  AND(  OR(  T12="x",T12="補"  ), OR(  U12 ="補"  ), $AP12 =""),"補休",  IF(  AND(  OR(  T12="x",T12="喪"  ), OR(  U12 ="喪"  ), $AP12 =""),"喪假",  IF(  AND(  OR(  T12="x",T12="婚",T12="產"  ), OR(  U12 ="婚",U12="產"  ), $AP12 =""),"婚(產)假",  IF(  AND(  OR(  T12="x",T12="公"  ), OR(  U12 ="公"  ), $AP12 =""),"公假",  IF(  AND(  OR(  T12="x",T12="補",T12="婚",T12="公",T12="病",T12="事",T12="x榮18-22"  ),OR(U12=""), $AP12 =""  ),"18收",  IF(  AND(  OR(  T12 ="榮14-18",T12 ="榮10-18",T12 ="榮06-18",T12 ="病14-18"  ),OR(  U12 ="x",U12="補",U12="婚",U12="公",U12="病",U12="事",U12="x"  ), $AP12 =""),"18放早走",  IF(  AND(  OR(  T12 =""),OR(  U12 ="x",U12="補",U12="婚",U12="公",U12="病",U12="事",U12="x榮*",U12="榮",U12="榮-22"  ), $AP12 =""),"18放",  IF(  AND(  OR(  T12="當日退伍"  ),OR(  U12="退伍",U12="退", U12=""  ), $AP12 =""),"當日退伍",  IF(AND(  OR(T12="退",T12="退伍" ), OR(U12="退",U12="退伍" ), $AP12 =""),"退伍","全日勤"  )  )  )  )  )  )  )  )  )  )  ),"")</f>
        <v>全日勤</v>
      </c>
      <c r="U53" s="66" t="str">
        <f>IF(   (ROW(BG12)-1)&lt;=暫1!$B$2,           IF(  AND(  OR(  U12="x",U12="補"  ), OR(  V12 ="x",V12="補",V12="x榮18-22",V12="x公18-22",V12="x榮22-08"  ), $AP12 =""),"全日休",  IF(  AND(  OR(  U12="x",U12="病"  ), OR(  V12 ="病"  ), $AP12 =""),"病(事)假",  IF(  AND(  OR(  U12="x",U12="補"  ), OR(  V12 ="補"  ), $AP12 =""),"補休",  IF(  AND(  OR(  U12="x",U12="喪"  ), OR(  V12 ="喪"  ), $AP12 =""),"喪假",  IF(  AND(  OR(  U12="x",U12="婚",U12="產"  ), OR(  V12 ="婚",V12="產"  ), $AP12 =""),"婚(產)假",  IF(  AND(  OR(  U12="x",U12="公"  ), OR(  V12 ="公"  ), $AP12 =""),"公假",  IF(  AND(  OR(  U12="x",U12="補",U12="婚",U12="公",U12="病",U12="事",U12="x榮18-22"  ),OR(V12=""), $AP12 =""  ),"18收",  IF(  AND(  OR(  U12 ="榮14-18",U12 ="榮10-18",U12 ="榮06-18",U12 ="病14-18"  ),OR(  V12 ="x",V12="補",V12="婚",V12="公",V12="病",V12="事",V12="x"  ), $AP12 =""),"18放早走",  IF(  AND(  OR(  U12 =""),OR(  V12 ="x",V12="補",V12="婚",V12="公",V12="病",V12="事",V12="x榮*",V12="榮",V12="榮-22"  ), $AP12 =""),"18放",  IF(  AND(  OR(  U12="當日退伍"  ),OR(  V12="退伍",V12="退", V12=""  ), $AP12 =""),"當日退伍",  IF(AND(  OR(U12="退",U12="退伍" ), OR(V12="退",V12="退伍" ), $AP12 =""),"退伍","全日勤"  )  )  )  )  )  )  )  )  )  )  ),"")</f>
        <v>全日勤</v>
      </c>
      <c r="V53" s="66" t="str">
        <f>IF(   (ROW(BH12)-1)&lt;=暫1!$B$2,           IF(  AND(  OR(  V12="x",V12="補"  ), OR(  W12 ="x",W12="補",W12="x榮18-22",W12="x公18-22",W12="x榮22-08"  ), $AP12 =""),"全日休",  IF(  AND(  OR(  V12="x",V12="病"  ), OR(  W12 ="病"  ), $AP12 =""),"病(事)假",  IF(  AND(  OR(  V12="x",V12="補"  ), OR(  W12 ="補"  ), $AP12 =""),"補休",  IF(  AND(  OR(  V12="x",V12="喪"  ), OR(  W12 ="喪"  ), $AP12 =""),"喪假",  IF(  AND(  OR(  V12="x",V12="婚",V12="產"  ), OR(  W12 ="婚",W12="產"  ), $AP12 =""),"婚(產)假",  IF(  AND(  OR(  V12="x",V12="公"  ), OR(  W12 ="公"  ), $AP12 =""),"公假",  IF(  AND(  OR(  V12="x",V12="補",V12="婚",V12="公",V12="病",V12="事",V12="x榮18-22"  ),OR(W12=""), $AP12 =""  ),"18收",  IF(  AND(  OR(  V12 ="榮14-18",V12 ="榮10-18",V12 ="榮06-18",V12 ="病14-18"  ),OR(  W12 ="x",W12="補",W12="婚",W12="公",W12="病",W12="事",W12="x"  ), $AP12 =""),"18放早走",  IF(  AND(  OR(  V12 =""),OR(  W12 ="x",W12="補",W12="婚",W12="公",W12="病",W12="事",W12="x榮*",W12="榮",W12="榮-22"  ), $AP12 =""),"18放",  IF(  AND(  OR(  V12="當日退伍"  ),OR(  W12="退伍",W12="退", W12=""  ), $AP12 =""),"當日退伍",  IF(AND(  OR(V12="退",V12="退伍" ), OR(W12="退",W12="退伍" ), $AP12 =""),"退伍","全日勤"  )  )  )  )  )  )  )  )  )  )  ),"")</f>
        <v>全日勤</v>
      </c>
      <c r="W53" s="66" t="str">
        <f>IF(   (ROW(BI12)-1)&lt;=暫1!$B$2,           IF(  AND(  OR(  W12="x",W12="補"  ), OR(  X12 ="x",X12="補",X12="x榮18-22",X12="x公18-22",X12="x榮22-08"  ), $AP12 =""),"全日休",  IF(  AND(  OR(  W12="x",W12="病"  ), OR(  X12 ="病"  ), $AP12 =""),"病(事)假",  IF(  AND(  OR(  W12="x",W12="補"  ), OR(  X12 ="補"  ), $AP12 =""),"補休",  IF(  AND(  OR(  W12="x",W12="喪"  ), OR(  X12 ="喪"  ), $AP12 =""),"喪假",  IF(  AND(  OR(  W12="x",W12="婚",W12="產"  ), OR(  X12 ="婚",X12="產"  ), $AP12 =""),"婚(產)假",  IF(  AND(  OR(  W12="x",W12="公"  ), OR(  X12 ="公"  ), $AP12 =""),"公假",  IF(  AND(  OR(  W12="x",W12="補",W12="婚",W12="公",W12="病",W12="事",W12="x榮18-22"  ),OR(X12=""), $AP12 =""  ),"18收",  IF(  AND(  OR(  W12 ="榮14-18",W12 ="榮10-18",W12 ="榮06-18",W12 ="病14-18"  ),OR(  X12 ="x",X12="補",X12="婚",X12="公",X12="病",X12="事",X12="x"  ), $AP12 =""),"18放早走",  IF(  AND(  OR(  W12 =""),OR(  X12 ="x",X12="補",X12="婚",X12="公",X12="病",X12="事",X12="x榮*",X12="榮",X12="榮-22"  ), $AP12 =""),"18放",  IF(  AND(  OR(  W12="當日退伍"  ),OR(  X12="退伍",X12="退", X12=""  ), $AP12 =""),"當日退伍",  IF(AND(  OR(W12="退",W12="退伍" ), OR(X12="退",X12="退伍" ), $AP12 =""),"退伍","全日勤"  )  )  )  )  )  )  )  )  )  )  ),"")</f>
        <v>全日勤</v>
      </c>
      <c r="X53" s="66" t="str">
        <f>IF(   (ROW(BJ12)-1)&lt;=暫1!$B$2,           IF(  AND(  OR(  X12="x",X12="補"  ), OR(  Y12 ="x",Y12="補",Y12="x榮18-22",Y12="x公18-22",Y12="x榮22-08"  ), $AP12 =""),"全日休",  IF(  AND(  OR(  X12="x",X12="病"  ), OR(  Y12 ="病"  ), $AP12 =""),"病(事)假",  IF(  AND(  OR(  X12="x",X12="補"  ), OR(  Y12 ="補"  ), $AP12 =""),"補休",  IF(  AND(  OR(  X12="x",X12="喪"  ), OR(  Y12 ="喪"  ), $AP12 =""),"喪假",  IF(  AND(  OR(  X12="x",X12="婚",X12="產"  ), OR(  Y12 ="婚",Y12="產"  ), $AP12 =""),"婚(產)假",  IF(  AND(  OR(  X12="x",X12="公"  ), OR(  Y12 ="公"  ), $AP12 =""),"公假",  IF(  AND(  OR(  X12="x",X12="補",X12="婚",X12="公",X12="病",X12="事",X12="x榮18-22"  ),OR(Y12=""), $AP12 =""  ),"18收",  IF(  AND(  OR(  X12 ="榮14-18",X12 ="榮10-18",X12 ="榮06-18",X12 ="病14-18"  ),OR(  Y12 ="x",Y12="補",Y12="婚",Y12="公",Y12="病",Y12="事",Y12="x"  ), $AP12 =""),"18放早走",  IF(  AND(  OR(  X12 =""),OR(  Y12 ="x",Y12="補",Y12="婚",Y12="公",Y12="病",Y12="事",Y12="x榮*",Y12="榮",Y12="榮-22"  ), $AP12 =""),"18放",  IF(  AND(  OR(  X12="當日退伍"  ),OR(  Y12="退伍",Y12="退", Y12=""  ), $AP12 =""),"當日退伍",  IF(AND(  OR(X12="退",X12="退伍" ), OR(Y12="退",Y12="退伍" ), $AP12 =""),"退伍","全日勤"  )  )  )  )  )  )  )  )  )  )  ),"")</f>
        <v>全日勤</v>
      </c>
      <c r="Y53" s="66" t="str">
        <f>IF(   (ROW(BK12)-1)&lt;=暫1!$B$2,           IF(  AND(  OR(  Y12="x",Y12="補"  ), OR(  Z12 ="x",Z12="補",Z12="x榮18-22",Z12="x公18-22",Z12="x榮22-08"  ), $AP12 =""),"全日休",  IF(  AND(  OR(  Y12="x",Y12="病"  ), OR(  Z12 ="病"  ), $AP12 =""),"病(事)假",  IF(  AND(  OR(  Y12="x",Y12="補"  ), OR(  Z12 ="補"  ), $AP12 =""),"補休",  IF(  AND(  OR(  Y12="x",Y12="喪"  ), OR(  Z12 ="喪"  ), $AP12 =""),"喪假",  IF(  AND(  OR(  Y12="x",Y12="婚",Y12="產"  ), OR(  Z12 ="婚",Z12="產"  ), $AP12 =""),"婚(產)假",  IF(  AND(  OR(  Y12="x",Y12="公"  ), OR(  Z12 ="公"  ), $AP12 =""),"公假",  IF(  AND(  OR(  Y12="x",Y12="補",Y12="婚",Y12="公",Y12="病",Y12="事",Y12="x榮18-22"  ),OR(Z12=""), $AP12 =""  ),"18收",  IF(  AND(  OR(  Y12 ="榮14-18",Y12 ="榮10-18",Y12 ="榮06-18",Y12 ="病14-18"  ),OR(  Z12 ="x",Z12="補",Z12="婚",Z12="公",Z12="病",Z12="事",Z12="x"  ), $AP12 =""),"18放早走",  IF(  AND(  OR(  Y12 =""),OR(  Z12 ="x",Z12="補",Z12="婚",Z12="公",Z12="病",Z12="事",Z12="x榮*",Z12="榮",Z12="榮-22"  ), $AP12 =""),"18放",  IF(  AND(  OR(  Y12="當日退伍"  ),OR(  Z12="退伍",Z12="退", Z12=""  ), $AP12 =""),"當日退伍",  IF(AND(  OR(Y12="退",Y12="退伍" ), OR(Z12="退",Z12="退伍" ), $AP12 =""),"退伍","全日勤"  )  )  )  )  )  )  )  )  )  )  ),"")</f>
        <v>全日勤</v>
      </c>
      <c r="Z53" s="66" t="str">
        <f>IF(   (ROW(BL12)-1)&lt;=暫1!$B$2,           IF(  AND(  OR(  Z12="x",Z12="補"  ), OR(  AA12 ="x",AA12="補",AA12="x榮18-22",AA12="x公18-22",AA12="x榮22-08"  ), $AP12 =""),"全日休",  IF(  AND(  OR(  Z12="x",Z12="病"  ), OR(  AA12 ="病"  ), $AP12 =""),"病(事)假",  IF(  AND(  OR(  Z12="x",Z12="補"  ), OR(  AA12 ="補"  ), $AP12 =""),"補休",  IF(  AND(  OR(  Z12="x",Z12="喪"  ), OR(  AA12 ="喪"  ), $AP12 =""),"喪假",  IF(  AND(  OR(  Z12="x",Z12="婚",Z12="產"  ), OR(  AA12 ="婚",AA12="產"  ), $AP12 =""),"婚(產)假",  IF(  AND(  OR(  Z12="x",Z12="公"  ), OR(  AA12 ="公"  ), $AP12 =""),"公假",  IF(  AND(  OR(  Z12="x",Z12="補",Z12="婚",Z12="公",Z12="病",Z12="事",Z12="x榮18-22"  ),OR(AA12=""), $AP12 =""  ),"18收",  IF(  AND(  OR(  Z12 ="榮14-18",Z12 ="榮10-18",Z12 ="榮06-18",Z12 ="病14-18"  ),OR(  AA12 ="x",AA12="補",AA12="婚",AA12="公",AA12="病",AA12="事",AA12="x"  ), $AP12 =""),"18放早走",  IF(  AND(  OR(  Z12 =""),OR(  AA12 ="x",AA12="補",AA12="婚",AA12="公",AA12="病",AA12="事",AA12="x榮*",AA12="榮",AA12="榮-22"  ), $AP12 =""),"18放",  IF(  AND(  OR(  Z12="當日退伍"  ),OR(  AA12="退伍",AA12="退", AA12=""  ), $AP12 =""),"當日退伍",  IF(AND(  OR(Z12="退",Z12="退伍" ), OR(AA12="退",AA12="退伍" ), $AP12 =""),"退伍","全日勤"  )  )  )  )  )  )  )  )  )  )  ),"")</f>
        <v>全日勤</v>
      </c>
      <c r="AA53" s="66" t="str">
        <f>IF(   (ROW(BM12)-1)&lt;=暫1!$B$2,           IF(  AND(  OR(  AA12="x",AA12="補"  ), OR(  AB12 ="x",AB12="補",AB12="x榮18-22",AB12="x公18-22",AB12="x榮22-08"  ), $AP12 =""),"全日休",  IF(  AND(  OR(  AA12="x",AA12="病"  ), OR(  AB12 ="病"  ), $AP12 =""),"病(事)假",  IF(  AND(  OR(  AA12="x",AA12="補"  ), OR(  AB12 ="補"  ), $AP12 =""),"補休",  IF(  AND(  OR(  AA12="x",AA12="喪"  ), OR(  AB12 ="喪"  ), $AP12 =""),"喪假",  IF(  AND(  OR(  AA12="x",AA12="婚",AA12="產"  ), OR(  AB12 ="婚",AB12="產"  ), $AP12 =""),"婚(產)假",  IF(  AND(  OR(  AA12="x",AA12="公"  ), OR(  AB12 ="公"  ), $AP12 =""),"公假",  IF(  AND(  OR(  AA12="x",AA12="補",AA12="婚",AA12="公",AA12="病",AA12="事",AA12="x榮18-22"  ),OR(AB12=""), $AP12 =""  ),"18收",  IF(  AND(  OR(  AA12 ="榮14-18",AA12 ="榮10-18",AA12 ="榮06-18",AA12 ="病14-18"  ),OR(  AB12 ="x",AB12="補",AB12="婚",AB12="公",AB12="病",AB12="事",AB12="x"  ), $AP12 =""),"18放早走",  IF(  AND(  OR(  AA12 =""),OR(  AB12 ="x",AB12="補",AB12="婚",AB12="公",AB12="病",AB12="事",AB12="x榮*",AB12="榮",AB12="榮-22"  ), $AP12 =""),"18放",  IF(  AND(  OR(  AA12="當日退伍"  ),OR(  AB12="退伍",AB12="退", AB12=""  ), $AP12 =""),"當日退伍",  IF(AND(  OR(AA12="退",AA12="退伍" ), OR(AB12="退",AB12="退伍" ), $AP12 =""),"退伍","全日勤"  )  )  )  )  )  )  )  )  )  )  ),"")</f>
        <v>全日勤</v>
      </c>
      <c r="AB53" s="66" t="str">
        <f>IF(   (ROW(BN12)-1)&lt;=暫1!$B$2,           IF(  AND(  OR(  AB12="x",AB12="補"  ), OR(  AC12 ="x",AC12="補",AC12="x榮18-22",AC12="x公18-22",AC12="x榮22-08"  ), $AP12 =""),"全日休",  IF(  AND(  OR(  AB12="x",AB12="病"  ), OR(  AC12 ="病"  ), $AP12 =""),"病(事)假",  IF(  AND(  OR(  AB12="x",AB12="補"  ), OR(  AC12 ="補"  ), $AP12 =""),"補休",  IF(  AND(  OR(  AB12="x",AB12="喪"  ), OR(  AC12 ="喪"  ), $AP12 =""),"喪假",  IF(  AND(  OR(  AB12="x",AB12="婚",AB12="產"  ), OR(  AC12 ="婚",AC12="產"  ), $AP12 =""),"婚(產)假",  IF(  AND(  OR(  AB12="x",AB12="公"  ), OR(  AC12 ="公"  ), $AP12 =""),"公假",  IF(  AND(  OR(  AB12="x",AB12="補",AB12="婚",AB12="公",AB12="病",AB12="事",AB12="x榮18-22"  ),OR(AC12=""), $AP12 =""  ),"18收",  IF(  AND(  OR(  AB12 ="榮14-18",AB12 ="榮10-18",AB12 ="榮06-18",AB12 ="病14-18"  ),OR(  AC12 ="x",AC12="補",AC12="婚",AC12="公",AC12="病",AC12="事",AC12="x"  ), $AP12 =""),"18放早走",  IF(  AND(  OR(  AB12 =""),OR(  AC12 ="x",AC12="補",AC12="婚",AC12="公",AC12="病",AC12="事",AC12="x榮*",AC12="榮",AC12="榮-22"  ), $AP12 =""),"18放",  IF(  AND(  OR(  AB12="當日退伍"  ),OR(  AC12="退伍",AC12="退", AC12=""  ), $AP12 =""),"當日退伍",  IF(AND(  OR(AB12="退",AB12="退伍" ), OR(AC12="退",AC12="退伍" ), $AP12 =""),"退伍","全日勤"  )  )  )  )  )  )  )  )  )  )  ),"")</f>
        <v>全日勤</v>
      </c>
      <c r="AC53" s="66" t="str">
        <f>IF(   (ROW(BO12)-1)&lt;=暫1!$B$2,           IF(  AND(  OR(  AC12="x",AC12="補"  ), OR(  AD12 ="x",AD12="補",AD12="x榮18-22",AD12="x公18-22",AD12="x榮22-08"  ), $AP12 =""),"全日休",  IF(  AND(  OR(  AC12="x",AC12="病"  ), OR(  AD12 ="病"  ), $AP12 =""),"病(事)假",  IF(  AND(  OR(  AC12="x",AC12="補"  ), OR(  AD12 ="補"  ), $AP12 =""),"補休",  IF(  AND(  OR(  AC12="x",AC12="喪"  ), OR(  AD12 ="喪"  ), $AP12 =""),"喪假",  IF(  AND(  OR(  AC12="x",AC12="婚",AC12="產"  ), OR(  AD12 ="婚",AD12="產"  ), $AP12 =""),"婚(產)假",  IF(  AND(  OR(  AC12="x",AC12="公"  ), OR(  AD12 ="公"  ), $AP12 =""),"公假",  IF(  AND(  OR(  AC12="x",AC12="補",AC12="婚",AC12="公",AC12="病",AC12="事",AC12="x榮18-22"  ),OR(AD12=""), $AP12 =""  ),"18收",  IF(  AND(  OR(  AC12 ="榮14-18",AC12 ="榮10-18",AC12 ="榮06-18",AC12 ="病14-18"  ),OR(  AD12 ="x",AD12="補",AD12="婚",AD12="公",AD12="病",AD12="事",AD12="x"  ), $AP12 =""),"18放早走",  IF(  AND(  OR(  AC12 =""),OR(  AD12 ="x",AD12="補",AD12="婚",AD12="公",AD12="病",AD12="事",AD12="x榮*",AD12="榮",AD12="榮-22"  ), $AP12 =""),"18放",  IF(  AND(  OR(  AC12="當日退伍"  ),OR(  AD12="退伍",AD12="退", AD12=""  ), $AP12 =""),"當日退伍",  IF(AND(  OR(AC12="退",AC12="退伍" ), OR(AD12="退",AD12="退伍" ), $AP12 =""),"退伍","全日勤"  )  )  )  )  )  )  )  )  )  )  ),"")</f>
        <v>全日勤</v>
      </c>
      <c r="AD53" s="66" t="str">
        <f>IF(   (ROW(BP12)-1)&lt;=暫1!$B$2,           IF(  AND(  OR(  AD12="x",AD12="補"  ), OR(  AE12 ="x",AE12="補",AE12="x榮18-22",AE12="x公18-22",AE12="x榮22-08"  ), $AP12 =""),"全日休",  IF(  AND(  OR(  AD12="x",AD12="病"  ), OR(  AE12 ="病"  ), $AP12 =""),"病(事)假",  IF(  AND(  OR(  AD12="x",AD12="補"  ), OR(  AE12 ="補"  ), $AP12 =""),"補休",  IF(  AND(  OR(  AD12="x",AD12="喪"  ), OR(  AE12 ="喪"  ), $AP12 =""),"喪假",  IF(  AND(  OR(  AD12="x",AD12="婚",AD12="產"  ), OR(  AE12 ="婚",AE12="產"  ), $AP12 =""),"婚(產)假",  IF(  AND(  OR(  AD12="x",AD12="公"  ), OR(  AE12 ="公"  ), $AP12 =""),"公假",  IF(  AND(  OR(  AD12="x",AD12="補",AD12="婚",AD12="公",AD12="病",AD12="事",AD12="x榮18-22"  ),OR(AE12=""), $AP12 =""  ),"18收",  IF(  AND(  OR(  AD12 ="榮14-18",AD12 ="榮10-18",AD12 ="榮06-18",AD12 ="病14-18"  ),OR(  AE12 ="x",AE12="補",AE12="婚",AE12="公",AE12="病",AE12="事",AE12="x"  ), $AP12 =""),"18放早走",  IF(  AND(  OR(  AD12 =""),OR(  AE12 ="x",AE12="補",AE12="婚",AE12="公",AE12="病",AE12="事",AE12="x榮*",AE12="榮",AE12="榮-22"  ), $AP12 =""),"18放",  IF(  AND(  OR(  AD12="當日退伍"  ),OR(  AE12="退伍",AE12="退", AE12=""  ), $AP12 =""),"當日退伍",  IF(AND(  OR(AD12="退",AD12="退伍" ), OR(AE12="退",AE12="退伍" ), $AP12 =""),"退伍","全日勤"  )  )  )  )  )  )  )  )  )  )  ),"")</f>
        <v>全日勤</v>
      </c>
      <c r="AE53" s="66" t="str">
        <f>IF(   (ROW(BQ12)-1)&lt;=暫1!$B$2,           IF(  AND(  OR(  AE12="x",AE12="補"  ), OR(  AF12 ="x",AF12="補",AF12="x榮18-22",AF12="x公18-22",AF12="x榮22-08"  ), $AP12 =""),"全日休",  IF(  AND(  OR(  AE12="x",AE12="病"  ), OR(  AF12 ="病"  ), $AP12 =""),"病(事)假",  IF(  AND(  OR(  AE12="x",AE12="補"  ), OR(  AF12 ="補"  ), $AP12 =""),"補休",  IF(  AND(  OR(  AE12="x",AE12="喪"  ), OR(  AF12 ="喪"  ), $AP12 =""),"喪假",  IF(  AND(  OR(  AE12="x",AE12="婚",AE12="產"  ), OR(  AF12 ="婚",AF12="產"  ), $AP12 =""),"婚(產)假",  IF(  AND(  OR(  AE12="x",AE12="公"  ), OR(  AF12 ="公"  ), $AP12 =""),"公假",  IF(  AND(  OR(  AE12="x",AE12="補",AE12="婚",AE12="公",AE12="病",AE12="事",AE12="x榮18-22"  ),OR(AF12=""), $AP12 =""  ),"18收",  IF(  AND(  OR(  AE12 ="榮14-18",AE12 ="榮10-18",AE12 ="榮06-18",AE12 ="病14-18"  ),OR(  AF12 ="x",AF12="補",AF12="婚",AF12="公",AF12="病",AF12="事",AF12="x"  ), $AP12 =""),"18放早走",  IF(  AND(  OR(  AE12 =""),OR(  AF12 ="x",AF12="補",AF12="婚",AF12="公",AF12="病",AF12="事",AF12="x榮*",AF12="榮",AF12="榮-22"  ), $AP12 =""),"18放",  IF(  AND(  OR(  AE12="當日退伍"  ),OR(  AF12="退伍",AF12="退", AF12=""  ), $AP12 =""),"當日退伍",  IF(AND(  OR(AE12="退",AE12="退伍" ), OR(AF12="退",AF12="退伍" ), $AP12 =""),"退伍","全日勤"  )  )  )  )  )  )  )  )  )  )  ),"")</f>
        <v>全日勤</v>
      </c>
      <c r="AF53" s="66" t="str">
        <f>IF(   (ROW(BR12)-1)&lt;=暫1!$B$2,           IF(  AND(  OR(  AF12="x",AF12="補"  ), OR(  AG12 ="x",AG12="補",AG12="x榮18-22",AG12="x公18-22",AG12="x榮22-08"  ), $AP12 =""),"全日休",  IF(  AND(  OR(  AF12="x",AF12="病"  ), OR(  AG12 ="病"  ), $AP12 =""),"病(事)假",  IF(  AND(  OR(  AF12="x",AF12="補"  ), OR(  AG12 ="補"  ), $AP12 =""),"補休",  IF(  AND(  OR(  AF12="x",AF12="喪"  ), OR(  AG12 ="喪"  ), $AP12 =""),"喪假",  IF(  AND(  OR(  AF12="x",AF12="婚",AF12="產"  ), OR(  AG12 ="婚",AG12="產"  ), $AP12 =""),"婚(產)假",  IF(  AND(  OR(  AF12="x",AF12="公"  ), OR(  AG12 ="公"  ), $AP12 =""),"公假",  IF(  AND(  OR(  AF12="x",AF12="補",AF12="婚",AF12="公",AF12="病",AF12="事",AF12="x榮18-22"  ),OR(AG12=""), $AP12 =""  ),"18收",  IF(  AND(  OR(  AF12 ="榮14-18",AF12 ="榮10-18",AF12 ="榮06-18",AF12 ="病14-18"  ),OR(  AG12 ="x",AG12="補",AG12="婚",AG12="公",AG12="病",AG12="事",AG12="x"  ), $AP12 =""),"18放早走",  IF(  AND(  OR(  AF12 =""),OR(  AG12 ="x",AG12="補",AG12="婚",AG12="公",AG12="病",AG12="事",AG12="x榮*",AG12="榮",AG12="榮-22"  ), $AP12 =""),"18放",  IF(  AND(  OR(  AF12="當日退伍"  ),OR(  AG12="退伍",AG12="退", AG12=""  ), $AP12 =""),"當日退伍",  IF(AND(  OR(AF12="退",AF12="退伍" ), OR(AG12="退",AG12="退伍" ), $AP12 =""),"退伍","全日勤"  )  )  )  )  )  )  )  )  )  )  ),"")</f>
        <v>全日勤</v>
      </c>
      <c r="AG53" s="66" t="str">
        <f>IF(   (ROW(BS12)-1)&lt;=暫1!$B$2,           IF(  AND(  OR(  AG12="x",AG12="補"  ), OR(  AH12 ="x",AH12="補",AH12="x榮18-22",AH12="x公18-22",AH12="x榮22-08"  ), $AP12 =""),"全日休",  IF(  AND(  OR(  AG12="x",AG12="病"  ), OR(  AH12 ="病"  ), $AP12 =""),"病(事)假",  IF(  AND(  OR(  AG12="x",AG12="補"  ), OR(  AH12 ="補"  ), $AP12 =""),"補休",  IF(  AND(  OR(  AG12="x",AG12="喪"  ), OR(  AH12 ="喪"  ), $AP12 =""),"喪假",  IF(  AND(  OR(  AG12="x",AG12="婚",AG12="產"  ), OR(  AH12 ="婚",AH12="產"  ), $AP12 =""),"婚(產)假",  IF(  AND(  OR(  AG12="x",AG12="公"  ), OR(  AH12 ="公"  ), $AP12 =""),"公假",  IF(  AND(  OR(  AG12="x",AG12="補",AG12="婚",AG12="公",AG12="病",AG12="事",AG12="x榮18-22"  ),OR(AH12=""), $AP12 =""  ),"18收",  IF(  AND(  OR(  AG12 ="榮14-18",AG12 ="榮10-18",AG12 ="榮06-18",AG12 ="病14-18"  ),OR(  AH12 ="x",AH12="補",AH12="婚",AH12="公",AH12="病",AH12="事",AH12="x"  ), $AP12 =""),"18放早走",  IF(  AND(  OR(  AG12 =""),OR(  AH12 ="x",AH12="補",AH12="婚",AH12="公",AH12="病",AH12="事",AH12="x榮*",AH12="榮",AH12="榮-22"  ), $AP12 =""),"18放",  IF(  AND(  OR(  AG12="當日退伍"  ),OR(  AH12="退伍",AH12="退", AH12=""  ), $AP12 =""),"當日退伍",  IF(AND(  OR(AG12="退",AG12="退伍" ), OR(AH12="退",AH12="退伍" ), $AP12 =""),"退伍","全日勤"  )  )  )  )  )  )  )  )  )  )  ),"")</f>
        <v>全日勤</v>
      </c>
      <c r="AH53" s="66" t="str">
        <f>IF(   (ROW(BT12)-1)&lt;=暫1!$B$2,           IF(  AND(  OR(  AH12="x",AH12="補"  ), OR(  AI12 ="x",AI12="補",AI12="x榮18-22",AI12="x公18-22",AI12="x榮22-08"  ), $AP12 =""),"全日休",  IF(  AND(  OR(  AH12="x",AH12="病"  ), OR(  AI12 ="病"  ), $AP12 =""),"病(事)假",  IF(  AND(  OR(  AH12="x",AH12="補"  ), OR(  AI12 ="補"  ), $AP12 =""),"補休",  IF(  AND(  OR(  AH12="x",AH12="喪"  ), OR(  AI12 ="喪"  ), $AP12 =""),"喪假",  IF(  AND(  OR(  AH12="x",AH12="婚",AH12="產"  ), OR(  AI12 ="婚",AI12="產"  ), $AP12 =""),"婚(產)假",  IF(  AND(  OR(  AH12="x",AH12="公"  ), OR(  AI12 ="公"  ), $AP12 =""),"公假",  IF(  AND(  OR(  AH12="x",AH12="補",AH12="婚",AH12="公",AH12="病",AH12="事",AH12="x榮18-22"  ),OR(AI12=""), $AP12 =""  ),"18收",  IF(  AND(  OR(  AH12 ="榮14-18",AH12 ="榮10-18",AH12 ="榮06-18",AH12 ="病14-18"  ),OR(  AI12 ="x",AI12="補",AI12="婚",AI12="公",AI12="病",AI12="事",AI12="x"  ), $AP12 =""),"18放早走",  IF(  AND(  OR(  AH12 =""),OR(  AI12 ="x",AI12="補",AI12="婚",AI12="公",AI12="病",AI12="事",AI12="x榮*",AI12="榮",AI12="榮-22"  ), $AP12 =""),"18放",  IF(  AND(  OR(  AH12="當日退伍"  ),OR(  AI12="退伍",AI12="退", AI12=""  ), $AP12 =""),"當日退伍",  IF(AND(  OR(AH12="退",AH12="退伍" ), OR(AI12="退",AI12="退伍" ), $AP12 =""),"退伍","全日勤"  )  )  )  )  )  )  )  )  )  )  ),"")</f>
        <v>全日勤</v>
      </c>
      <c r="AI53" s="66" t="str">
        <f>IF(   (ROW(BU12)-1)&lt;=暫1!$B$2,           IF(  AND(  OR(  AI12="x",AI12="補"  ), OR(  AJ12 ="x",AJ12="補",AJ12="x榮18-22",AJ12="x公18-22",AJ12="x榮22-08"  ), $AP12 =""),"全日休",  IF(  AND(  OR(  AI12="x",AI12="病"  ), OR(  AJ12 ="病"  ), $AP12 =""),"病(事)假",  IF(  AND(  OR(  AI12="x",AI12="補"  ), OR(  AJ12 ="補"  ), $AP12 =""),"補休",  IF(  AND(  OR(  AI12="x",AI12="喪"  ), OR(  AJ12 ="喪"  ), $AP12 =""),"喪假",  IF(  AND(  OR(  AI12="x",AI12="婚",AI12="產"  ), OR(  AJ12 ="婚",AJ12="產"  ), $AP12 =""),"婚(產)假",  IF(  AND(  OR(  AI12="x",AI12="公"  ), OR(  AJ12 ="公"  ), $AP12 =""),"公假",  IF(  AND(  OR(  AI12="x",AI12="補",AI12="婚",AI12="公",AI12="病",AI12="事",AI12="x榮18-22"  ),OR(AJ12=""), $AP12 =""  ),"18收",  IF(  AND(  OR(  AI12 ="榮14-18",AI12 ="榮10-18",AI12 ="榮06-18",AI12 ="病14-18"  ),OR(  AJ12 ="x",AJ12="補",AJ12="婚",AJ12="公",AJ12="病",AJ12="事",AJ12="x"  ), $AP12 =""),"18放早走",  IF(  AND(  OR(  AI12 =""),OR(  AJ12 ="x",AJ12="補",AJ12="婚",AJ12="公",AJ12="病",AJ12="事",AJ12="x榮*",AJ12="榮",AJ12="榮-22"  ), $AP12 =""),"18放",  IF(  AND(  OR(  AI12="當日退伍"  ),OR(  AJ12="退伍",AJ12="退", AJ12=""  ), $AP12 =""),"當日退伍",  IF(AND(  OR(AI12="退",AI12="退伍" ), OR(AJ12="退",AJ12="退伍" ), $AP12 =""),"退伍","全日勤"  )  )  )  )  )  )  )  )  )  )  ),"")</f>
        <v>全日勤</v>
      </c>
      <c r="AJ53" s="66" t="str">
        <f>IF(   (ROW(BV12)-1)&lt;=暫1!$B$2,           IF(  AND(  OR(  AJ12="x",AJ12="補"  ), OR(  AK12 ="x",AK12="補",AK12="x榮18-22",AK12="x公18-22",AK12="x榮22-08"  ), $AP12 =""),"全日休",  IF(  AND(  OR(  AJ12="x",AJ12="病"  ), OR(  AK12 ="病"  ), $AP12 =""),"病(事)假",  IF(  AND(  OR(  AJ12="x",AJ12="補"  ), OR(  AK12 ="補"  ), $AP12 =""),"補休",  IF(  AND(  OR(  AJ12="x",AJ12="喪"  ), OR(  AK12 ="喪"  ), $AP12 =""),"喪假",  IF(  AND(  OR(  AJ12="x",AJ12="婚",AJ12="產"  ), OR(  AK12 ="婚",AK12="產"  ), $AP12 =""),"婚(產)假",  IF(  AND(  OR(  AJ12="x",AJ12="公"  ), OR(  AK12 ="公"  ), $AP12 =""),"公假",  IF(  AND(  OR(  AJ12="x",AJ12="補",AJ12="婚",AJ12="公",AJ12="病",AJ12="事",AJ12="x榮18-22"  ),OR(AK12=""), $AP12 =""  ),"18收",  IF(  AND(  OR(  AJ12 ="榮14-18",AJ12 ="榮10-18",AJ12 ="榮06-18",AJ12 ="病14-18"  ),OR(  AK12 ="x",AK12="補",AK12="婚",AK12="公",AK12="病",AK12="事",AK12="x"  ), $AP12 =""),"18放早走",  IF(  AND(  OR(  AJ12 =""),OR(  AK12 ="x",AK12="補",AK12="婚",AK12="公",AK12="病",AK12="事",AK12="x榮*",AK12="榮",AK12="榮-22"  ), $AP12 =""),"18放",  IF(  AND(  OR(  AJ12="當日退伍"  ),OR(  AK12="退伍",AK12="退", AK12=""  ), $AP12 =""),"當日退伍",  IF(AND(  OR(AJ12="退",AJ12="退伍" ), OR(AK12="退",AK12="退伍" ), $AP12 =""),"退伍","全日勤"  )  )  )  )  )  )  )  )  )  )  ),"")</f>
        <v>全日勤</v>
      </c>
      <c r="AO53" s="76"/>
      <c r="AP53" s="63"/>
      <c r="AU53" s="63"/>
      <c r="AY53" s="63"/>
      <c r="AZ53" s="63"/>
      <c r="BA53" s="63"/>
    </row>
    <row r="54" spans="1:55" ht="25.5" customHeight="1">
      <c r="A54" s="66">
        <f t="shared" si="4"/>
        <v>12</v>
      </c>
      <c r="B54" s="66" t="str">
        <f t="shared" si="6"/>
        <v>何奕諠</v>
      </c>
      <c r="C54" s="66" t="str">
        <f>IF(   (ROW(AO13)-1)&lt;=暫1!$B$2,           IF(  AND(  OR(  C13="x",C13="補"  ), OR(  D13 ="x",D13="補",D13="x榮18-22",D13="x公18-22",D13="x榮22-08"  ), $AP13 =""),"全日休",  IF(  AND(  OR(  C13="x",C13="病"  ), OR(  D13 ="病"  ), $AP13 =""),"病(事)假",  IF(  AND(  OR(  C13="x",C13="補"  ), OR(  D13 ="補"  ), $AP13 =""),"補休",  IF(  AND(  OR(  C13="x",C13="喪"  ), OR(  D13 ="喪"  ), $AP13 =""),"喪假",  IF(  AND(  OR(  C13="x",C13="婚",C13="產"  ), OR(  D13 ="婚",D13="產"  ), $AP13 =""),"婚(產)假",  IF(  AND(  OR(  C13="x",C13="公"  ), OR(  D13 ="公"  ), $AP13 =""),"公假",  IF(  AND(  OR(  C13="x",C13="補",C13="婚",C13="公",C13="病",C13="事",C13="x榮18-22"  ),OR(D13=""), $AP13 =""  ),"18收",  IF(  AND(  OR(  C13 ="榮14-18",C13 ="榮10-18",C13 ="榮06-18",C13 ="病14-18"  ),OR(  D13 ="x",D13="補",D13="婚",D13="公",D13="病",D13="事",D13="x"  ), $AP13 =""),"18放早走",  IF(  AND(  OR(  C13 =""),OR(  D13 ="x",D13="補",D13="婚",D13="公",D13="病",D13="事",D13="x榮*",D13="榮",D13="榮-22"  ), $AP13 =""),"18放",  IF(  AND(  OR(  C13="當日退伍"  ),OR(  D13="退伍",D13="退", D13=""  ), $AP13 =""),"當日退伍",  IF(AND(  OR(C13="退",C13="退伍" ), OR(D13="退",D13="退伍" ), $AP13 =""),"退伍","全日勤"  )  )  )  )  )  )  )  )  )  )  ),"")</f>
        <v>全日勤</v>
      </c>
      <c r="D54" s="66" t="str">
        <f>IF(   (ROW(AP13)-1)&lt;=暫1!$B$2,           IF(  AND(  OR(  D13="x",D13="補"  ), OR(  E13 ="x",E13="補",E13="x榮18-22",E13="x公18-22",E13="x榮22-08"  ), $AP13 =""),"全日休",  IF(  AND(  OR(  D13="x",D13="病"  ), OR(  E13 ="病"  ), $AP13 =""),"病(事)假",  IF(  AND(  OR(  D13="x",D13="補"  ), OR(  E13 ="補"  ), $AP13 =""),"補休",  IF(  AND(  OR(  D13="x",D13="喪"  ), OR(  E13 ="喪"  ), $AP13 =""),"喪假",  IF(  AND(  OR(  D13="x",D13="婚",D13="產"  ), OR(  E13 ="婚",E13="產"  ), $AP13 =""),"婚(產)假",  IF(  AND(  OR(  D13="x",D13="公"  ), OR(  E13 ="公"  ), $AP13 =""),"公假",  IF(  AND(  OR(  D13="x",D13="補",D13="婚",D13="公",D13="病",D13="事",D13="x榮18-22"  ),OR(E13=""), $AP13 =""  ),"18收",  IF(  AND(  OR(  D13 ="榮14-18",D13 ="榮10-18",D13 ="榮06-18",D13 ="病14-18"  ),OR(  E13 ="x",E13="補",E13="婚",E13="公",E13="病",E13="事",E13="x"  ), $AP13 =""),"18放早走",  IF(  AND(  OR(  D13 =""),OR(  E13 ="x",E13="補",E13="婚",E13="公",E13="病",E13="事",E13="x榮*",E13="榮",E13="榮-22"  ), $AP13 =""),"18放",  IF(  AND(  OR(  D13="當日退伍"  ),OR(  E13="退伍",E13="退", E13=""  ), $AP13 =""),"當日退伍",  IF(AND(  OR(D13="退",D13="退伍" ), OR(E13="退",E13="退伍" ), $AP13 =""),"退伍","全日勤"  )  )  )  )  )  )  )  )  )  )  ),"")</f>
        <v>全日勤</v>
      </c>
      <c r="E54" s="66" t="str">
        <f>IF(   (ROW(AQ13)-1)&lt;=暫1!$B$2,           IF(  AND(  OR(  E13="x",E13="補"  ), OR(  F13 ="x",F13="補",F13="x榮18-22",F13="x公18-22",F13="x榮22-08"  ), $AP13 =""),"全日休",  IF(  AND(  OR(  E13="x",E13="病"  ), OR(  F13 ="病"  ), $AP13 =""),"病(事)假",  IF(  AND(  OR(  E13="x",E13="補"  ), OR(  F13 ="補"  ), $AP13 =""),"補休",  IF(  AND(  OR(  E13="x",E13="喪"  ), OR(  F13 ="喪"  ), $AP13 =""),"喪假",  IF(  AND(  OR(  E13="x",E13="婚",E13="產"  ), OR(  F13 ="婚",F13="產"  ), $AP13 =""),"婚(產)假",  IF(  AND(  OR(  E13="x",E13="公"  ), OR(  F13 ="公"  ), $AP13 =""),"公假",  IF(  AND(  OR(  E13="x",E13="補",E13="婚",E13="公",E13="病",E13="事",E13="x榮18-22"  ),OR(F13=""), $AP13 =""  ),"18收",  IF(  AND(  OR(  E13 ="榮14-18",E13 ="榮10-18",E13 ="榮06-18",E13 ="病14-18"  ),OR(  F13 ="x",F13="補",F13="婚",F13="公",F13="病",F13="事",F13="x"  ), $AP13 =""),"18放早走",  IF(  AND(  OR(  E13 =""),OR(  F13 ="x",F13="補",F13="婚",F13="公",F13="病",F13="事",F13="x榮*",F13="榮",F13="榮-22"  ), $AP13 =""),"18放",  IF(  AND(  OR(  E13="當日退伍"  ),OR(  F13="退伍",F13="退", F13=""  ), $AP13 =""),"當日退伍",  IF(AND(  OR(E13="退",E13="退伍" ), OR(F13="退",F13="退伍" ), $AP13 =""),"退伍","全日勤"  )  )  )  )  )  )  )  )  )  )  ),"")</f>
        <v>全日勤</v>
      </c>
      <c r="F54" s="66" t="str">
        <f>IF(   (ROW(AR13)-1)&lt;=暫1!$B$2,           IF(  AND(  OR(  F13="x",F13="補"  ), OR(  G13 ="x",G13="補",G13="x榮18-22",G13="x公18-22",G13="x榮22-08"  ), $AP13 =""),"全日休",  IF(  AND(  OR(  F13="x",F13="病"  ), OR(  G13 ="病"  ), $AP13 =""),"病(事)假",  IF(  AND(  OR(  F13="x",F13="補"  ), OR(  G13 ="補"  ), $AP13 =""),"補休",  IF(  AND(  OR(  F13="x",F13="喪"  ), OR(  G13 ="喪"  ), $AP13 =""),"喪假",  IF(  AND(  OR(  F13="x",F13="婚",F13="產"  ), OR(  G13 ="婚",G13="產"  ), $AP13 =""),"婚(產)假",  IF(  AND(  OR(  F13="x",F13="公"  ), OR(  G13 ="公"  ), $AP13 =""),"公假",  IF(  AND(  OR(  F13="x",F13="補",F13="婚",F13="公",F13="病",F13="事",F13="x榮18-22"  ),OR(G13=""), $AP13 =""  ),"18收",  IF(  AND(  OR(  F13 ="榮14-18",F13 ="榮10-18",F13 ="榮06-18",F13 ="病14-18"  ),OR(  G13 ="x",G13="補",G13="婚",G13="公",G13="病",G13="事",G13="x"  ), $AP13 =""),"18放早走",  IF(  AND(  OR(  F13 =""),OR(  G13 ="x",G13="補",G13="婚",G13="公",G13="病",G13="事",G13="x榮*",G13="榮",G13="榮-22"  ), $AP13 =""),"18放",  IF(  AND(  OR(  F13="當日退伍"  ),OR(  G13="退伍",G13="退", G13=""  ), $AP13 =""),"當日退伍",  IF(AND(  OR(F13="退",F13="退伍" ), OR(G13="退",G13="退伍" ), $AP13 =""),"退伍","全日勤"  )  )  )  )  )  )  )  )  )  )  ),"")</f>
        <v>全日勤</v>
      </c>
      <c r="G54" s="66" t="str">
        <f>IF(   (ROW(AS13)-1)&lt;=暫1!$B$2,           IF(  AND(  OR(  G13="x",G13="補"  ), OR(  H13 ="x",H13="補",H13="x榮18-22",H13="x公18-22",H13="x榮22-08"  ), $AP13 =""),"全日休",  IF(  AND(  OR(  G13="x",G13="病"  ), OR(  H13 ="病"  ), $AP13 =""),"病(事)假",  IF(  AND(  OR(  G13="x",G13="補"  ), OR(  H13 ="補"  ), $AP13 =""),"補休",  IF(  AND(  OR(  G13="x",G13="喪"  ), OR(  H13 ="喪"  ), $AP13 =""),"喪假",  IF(  AND(  OR(  G13="x",G13="婚",G13="產"  ), OR(  H13 ="婚",H13="產"  ), $AP13 =""),"婚(產)假",  IF(  AND(  OR(  G13="x",G13="公"  ), OR(  H13 ="公"  ), $AP13 =""),"公假",  IF(  AND(  OR(  G13="x",G13="補",G13="婚",G13="公",G13="病",G13="事",G13="x榮18-22"  ),OR(H13=""), $AP13 =""  ),"18收",  IF(  AND(  OR(  G13 ="榮14-18",G13 ="榮10-18",G13 ="榮06-18",G13 ="病14-18"  ),OR(  H13 ="x",H13="補",H13="婚",H13="公",H13="病",H13="事",H13="x"  ), $AP13 =""),"18放早走",  IF(  AND(  OR(  G13 =""),OR(  H13 ="x",H13="補",H13="婚",H13="公",H13="病",H13="事",H13="x榮*",H13="榮",H13="榮-22"  ), $AP13 =""),"18放",  IF(  AND(  OR(  G13="當日退伍"  ),OR(  H13="退伍",H13="退", H13=""  ), $AP13 =""),"當日退伍",  IF(AND(  OR(G13="退",G13="退伍" ), OR(H13="退",H13="退伍" ), $AP13 =""),"退伍","全日勤"  )  )  )  )  )  )  )  )  )  )  ),"")</f>
        <v>全日勤</v>
      </c>
      <c r="H54" s="66" t="str">
        <f>IF(   (ROW(AT13)-1)&lt;=暫1!$B$2,           IF(  AND(  OR(  H13="x",H13="補"  ), OR(  I13 ="x",I13="補",I13="x榮18-22",I13="x公18-22",I13="x榮22-08"  ), $AP13 =""),"全日休",  IF(  AND(  OR(  H13="x",H13="病"  ), OR(  I13 ="病"  ), $AP13 =""),"病(事)假",  IF(  AND(  OR(  H13="x",H13="補"  ), OR(  I13 ="補"  ), $AP13 =""),"補休",  IF(  AND(  OR(  H13="x",H13="喪"  ), OR(  I13 ="喪"  ), $AP13 =""),"喪假",  IF(  AND(  OR(  H13="x",H13="婚",H13="產"  ), OR(  I13 ="婚",I13="產"  ), $AP13 =""),"婚(產)假",  IF(  AND(  OR(  H13="x",H13="公"  ), OR(  I13 ="公"  ), $AP13 =""),"公假",  IF(  AND(  OR(  H13="x",H13="補",H13="婚",H13="公",H13="病",H13="事",H13="x榮18-22"  ),OR(I13=""), $AP13 =""  ),"18收",  IF(  AND(  OR(  H13 ="榮14-18",H13 ="榮10-18",H13 ="榮06-18",H13 ="病14-18"  ),OR(  I13 ="x",I13="補",I13="婚",I13="公",I13="病",I13="事",I13="x"  ), $AP13 =""),"18放早走",  IF(  AND(  OR(  H13 =""),OR(  I13 ="x",I13="補",I13="婚",I13="公",I13="病",I13="事",I13="x榮*",I13="榮",I13="榮-22"  ), $AP13 =""),"18放",  IF(  AND(  OR(  H13="當日退伍"  ),OR(  I13="退伍",I13="退", I13=""  ), $AP13 =""),"當日退伍",  IF(AND(  OR(H13="退",H13="退伍" ), OR(I13="退",I13="退伍" ), $AP13 =""),"退伍","全日勤"  )  )  )  )  )  )  )  )  )  )  ),"")</f>
        <v>全日勤</v>
      </c>
      <c r="I54" s="66" t="str">
        <f>IF(   (ROW(AU13)-1)&lt;=暫1!$B$2,           IF(  AND(  OR(  I13="x",I13="補"  ), OR(  J13 ="x",J13="補",J13="x榮18-22",J13="x公18-22",J13="x榮22-08"  ), $AP13 =""),"全日休",  IF(  AND(  OR(  I13="x",I13="病"  ), OR(  J13 ="病"  ), $AP13 =""),"病(事)假",  IF(  AND(  OR(  I13="x",I13="補"  ), OR(  J13 ="補"  ), $AP13 =""),"補休",  IF(  AND(  OR(  I13="x",I13="喪"  ), OR(  J13 ="喪"  ), $AP13 =""),"喪假",  IF(  AND(  OR(  I13="x",I13="婚",I13="產"  ), OR(  J13 ="婚",J13="產"  ), $AP13 =""),"婚(產)假",  IF(  AND(  OR(  I13="x",I13="公"  ), OR(  J13 ="公"  ), $AP13 =""),"公假",  IF(  AND(  OR(  I13="x",I13="補",I13="婚",I13="公",I13="病",I13="事",I13="x榮18-22"  ),OR(J13=""), $AP13 =""  ),"18收",  IF(  AND(  OR(  I13 ="榮14-18",I13 ="榮10-18",I13 ="榮06-18",I13 ="病14-18"  ),OR(  J13 ="x",J13="補",J13="婚",J13="公",J13="病",J13="事",J13="x"  ), $AP13 =""),"18放早走",  IF(  AND(  OR(  I13 =""),OR(  J13 ="x",J13="補",J13="婚",J13="公",J13="病",J13="事",J13="x榮*",J13="榮",J13="榮-22"  ), $AP13 =""),"18放",  IF(  AND(  OR(  I13="當日退伍"  ),OR(  J13="退伍",J13="退", J13=""  ), $AP13 =""),"當日退伍",  IF(AND(  OR(I13="退",I13="退伍" ), OR(J13="退",J13="退伍" ), $AP13 =""),"退伍","全日勤"  )  )  )  )  )  )  )  )  )  )  ),"")</f>
        <v>全日勤</v>
      </c>
      <c r="J54" s="66" t="str">
        <f>IF(   (ROW(AV13)-1)&lt;=暫1!$B$2,           IF(  AND(  OR(  J13="x",J13="補"  ), OR(  K13 ="x",K13="補",K13="x榮18-22",K13="x公18-22",K13="x榮22-08"  ), $AP13 =""),"全日休",  IF(  AND(  OR(  J13="x",J13="病"  ), OR(  K13 ="病"  ), $AP13 =""),"病(事)假",  IF(  AND(  OR(  J13="x",J13="補"  ), OR(  K13 ="補"  ), $AP13 =""),"補休",  IF(  AND(  OR(  J13="x",J13="喪"  ), OR(  K13 ="喪"  ), $AP13 =""),"喪假",  IF(  AND(  OR(  J13="x",J13="婚",J13="產"  ), OR(  K13 ="婚",K13="產"  ), $AP13 =""),"婚(產)假",  IF(  AND(  OR(  J13="x",J13="公"  ), OR(  K13 ="公"  ), $AP13 =""),"公假",  IF(  AND(  OR(  J13="x",J13="補",J13="婚",J13="公",J13="病",J13="事",J13="x榮18-22"  ),OR(K13=""), $AP13 =""  ),"18收",  IF(  AND(  OR(  J13 ="榮14-18",J13 ="榮10-18",J13 ="榮06-18",J13 ="病14-18"  ),OR(  K13 ="x",K13="補",K13="婚",K13="公",K13="病",K13="事",K13="x"  ), $AP13 =""),"18放早走",  IF(  AND(  OR(  J13 =""),OR(  K13 ="x",K13="補",K13="婚",K13="公",K13="病",K13="事",K13="x榮*",K13="榮",K13="榮-22"  ), $AP13 =""),"18放",  IF(  AND(  OR(  J13="當日退伍"  ),OR(  K13="退伍",K13="退", K13=""  ), $AP13 =""),"當日退伍",  IF(AND(  OR(J13="退",J13="退伍" ), OR(K13="退",K13="退伍" ), $AP13 =""),"退伍","全日勤"  )  )  )  )  )  )  )  )  )  )  ),"")</f>
        <v>全日勤</v>
      </c>
      <c r="K54" s="66" t="str">
        <f>IF(   (ROW(AW13)-1)&lt;=暫1!$B$2,           IF(  AND(  OR(  K13="x",K13="補"  ), OR(  L13 ="x",L13="補",L13="x榮18-22",L13="x公18-22",L13="x榮22-08"  ), $AP13 =""),"全日休",  IF(  AND(  OR(  K13="x",K13="病"  ), OR(  L13 ="病"  ), $AP13 =""),"病(事)假",  IF(  AND(  OR(  K13="x",K13="補"  ), OR(  L13 ="補"  ), $AP13 =""),"補休",  IF(  AND(  OR(  K13="x",K13="喪"  ), OR(  L13 ="喪"  ), $AP13 =""),"喪假",  IF(  AND(  OR(  K13="x",K13="婚",K13="產"  ), OR(  L13 ="婚",L13="產"  ), $AP13 =""),"婚(產)假",  IF(  AND(  OR(  K13="x",K13="公"  ), OR(  L13 ="公"  ), $AP13 =""),"公假",  IF(  AND(  OR(  K13="x",K13="補",K13="婚",K13="公",K13="病",K13="事",K13="x榮18-22"  ),OR(L13=""), $AP13 =""  ),"18收",  IF(  AND(  OR(  K13 ="榮14-18",K13 ="榮10-18",K13 ="榮06-18",K13 ="病14-18"  ),OR(  L13 ="x",L13="補",L13="婚",L13="公",L13="病",L13="事",L13="x"  ), $AP13 =""),"18放早走",  IF(  AND(  OR(  K13 =""),OR(  L13 ="x",L13="補",L13="婚",L13="公",L13="病",L13="事",L13="x榮*",L13="榮",L13="榮-22"  ), $AP13 =""),"18放",  IF(  AND(  OR(  K13="當日退伍"  ),OR(  L13="退伍",L13="退", L13=""  ), $AP13 =""),"當日退伍",  IF(AND(  OR(K13="退",K13="退伍" ), OR(L13="退",L13="退伍" ), $AP13 =""),"退伍","全日勤"  )  )  )  )  )  )  )  )  )  )  ),"")</f>
        <v>全日勤</v>
      </c>
      <c r="L54" s="66" t="str">
        <f>IF(   (ROW(AX13)-1)&lt;=暫1!$B$2,           IF(  AND(  OR(  L13="x",L13="補"  ), OR(  M13 ="x",M13="補",M13="x榮18-22",M13="x公18-22",M13="x榮22-08"  ), $AP13 =""),"全日休",  IF(  AND(  OR(  L13="x",L13="病"  ), OR(  M13 ="病"  ), $AP13 =""),"病(事)假",  IF(  AND(  OR(  L13="x",L13="補"  ), OR(  M13 ="補"  ), $AP13 =""),"補休",  IF(  AND(  OR(  L13="x",L13="喪"  ), OR(  M13 ="喪"  ), $AP13 =""),"喪假",  IF(  AND(  OR(  L13="x",L13="婚",L13="產"  ), OR(  M13 ="婚",M13="產"  ), $AP13 =""),"婚(產)假",  IF(  AND(  OR(  L13="x",L13="公"  ), OR(  M13 ="公"  ), $AP13 =""),"公假",  IF(  AND(  OR(  L13="x",L13="補",L13="婚",L13="公",L13="病",L13="事",L13="x榮18-22"  ),OR(M13=""), $AP13 =""  ),"18收",  IF(  AND(  OR(  L13 ="榮14-18",L13 ="榮10-18",L13 ="榮06-18",L13 ="病14-18"  ),OR(  M13 ="x",M13="補",M13="婚",M13="公",M13="病",M13="事",M13="x"  ), $AP13 =""),"18放早走",  IF(  AND(  OR(  L13 =""),OR(  M13 ="x",M13="補",M13="婚",M13="公",M13="病",M13="事",M13="x榮*",M13="榮",M13="榮-22"  ), $AP13 =""),"18放",  IF(  AND(  OR(  L13="當日退伍"  ),OR(  M13="退伍",M13="退", M13=""  ), $AP13 =""),"當日退伍",  IF(AND(  OR(L13="退",L13="退伍" ), OR(M13="退",M13="退伍" ), $AP13 =""),"退伍","全日勤"  )  )  )  )  )  )  )  )  )  )  ),"")</f>
        <v>全日勤</v>
      </c>
      <c r="M54" s="66" t="str">
        <f>IF(   (ROW(AY13)-1)&lt;=暫1!$B$2,           IF(  AND(  OR(  M13="x",M13="補"  ), OR(  N13 ="x",N13="補",N13="x榮18-22",N13="x公18-22",N13="x榮22-08"  ), $AP13 =""),"全日休",  IF(  AND(  OR(  M13="x",M13="病"  ), OR(  N13 ="病"  ), $AP13 =""),"病(事)假",  IF(  AND(  OR(  M13="x",M13="補"  ), OR(  N13 ="補"  ), $AP13 =""),"補休",  IF(  AND(  OR(  M13="x",M13="喪"  ), OR(  N13 ="喪"  ), $AP13 =""),"喪假",  IF(  AND(  OR(  M13="x",M13="婚",M13="產"  ), OR(  N13 ="婚",N13="產"  ), $AP13 =""),"婚(產)假",  IF(  AND(  OR(  M13="x",M13="公"  ), OR(  N13 ="公"  ), $AP13 =""),"公假",  IF(  AND(  OR(  M13="x",M13="補",M13="婚",M13="公",M13="病",M13="事",M13="x榮18-22"  ),OR(N13=""), $AP13 =""  ),"18收",  IF(  AND(  OR(  M13 ="榮14-18",M13 ="榮10-18",M13 ="榮06-18",M13 ="病14-18"  ),OR(  N13 ="x",N13="補",N13="婚",N13="公",N13="病",N13="事",N13="x"  ), $AP13 =""),"18放早走",  IF(  AND(  OR(  M13 =""),OR(  N13 ="x",N13="補",N13="婚",N13="公",N13="病",N13="事",N13="x榮*",N13="榮",N13="榮-22"  ), $AP13 =""),"18放",  IF(  AND(  OR(  M13="當日退伍"  ),OR(  N13="退伍",N13="退", N13=""  ), $AP13 =""),"當日退伍",  IF(AND(  OR(M13="退",M13="退伍" ), OR(N13="退",N13="退伍" ), $AP13 =""),"退伍","全日勤"  )  )  )  )  )  )  )  )  )  )  ),"")</f>
        <v>全日勤</v>
      </c>
      <c r="N54" s="66" t="str">
        <f>IF(   (ROW(AZ13)-1)&lt;=暫1!$B$2,           IF(  AND(  OR(  N13="x",N13="補"  ), OR(  O13 ="x",O13="補",O13="x榮18-22",O13="x公18-22",O13="x榮22-08"  ), $AP13 =""),"全日休",  IF(  AND(  OR(  N13="x",N13="病"  ), OR(  O13 ="病"  ), $AP13 =""),"病(事)假",  IF(  AND(  OR(  N13="x",N13="補"  ), OR(  O13 ="補"  ), $AP13 =""),"補休",  IF(  AND(  OR(  N13="x",N13="喪"  ), OR(  O13 ="喪"  ), $AP13 =""),"喪假",  IF(  AND(  OR(  N13="x",N13="婚",N13="產"  ), OR(  O13 ="婚",O13="產"  ), $AP13 =""),"婚(產)假",  IF(  AND(  OR(  N13="x",N13="公"  ), OR(  O13 ="公"  ), $AP13 =""),"公假",  IF(  AND(  OR(  N13="x",N13="補",N13="婚",N13="公",N13="病",N13="事",N13="x榮18-22"  ),OR(O13=""), $AP13 =""  ),"18收",  IF(  AND(  OR(  N13 ="榮14-18",N13 ="榮10-18",N13 ="榮06-18",N13 ="病14-18"  ),OR(  O13 ="x",O13="補",O13="婚",O13="公",O13="病",O13="事",O13="x"  ), $AP13 =""),"18放早走",  IF(  AND(  OR(  N13 =""),OR(  O13 ="x",O13="補",O13="婚",O13="公",O13="病",O13="事",O13="x榮*",O13="榮",O13="榮-22"  ), $AP13 =""),"18放",  IF(  AND(  OR(  N13="當日退伍"  ),OR(  O13="退伍",O13="退", O13=""  ), $AP13 =""),"當日退伍",  IF(AND(  OR(N13="退",N13="退伍" ), OR(O13="退",O13="退伍" ), $AP13 =""),"退伍","全日勤"  )  )  )  )  )  )  )  )  )  )  ),"")</f>
        <v>全日勤</v>
      </c>
      <c r="O54" s="66" t="str">
        <f>IF(   (ROW(BA13)-1)&lt;=暫1!$B$2,           IF(  AND(  OR(  O13="x",O13="補"  ), OR(  P13 ="x",P13="補",P13="x榮18-22",P13="x公18-22",P13="x榮22-08"  ), $AP13 =""),"全日休",  IF(  AND(  OR(  O13="x",O13="病"  ), OR(  P13 ="病"  ), $AP13 =""),"病(事)假",  IF(  AND(  OR(  O13="x",O13="補"  ), OR(  P13 ="補"  ), $AP13 =""),"補休",  IF(  AND(  OR(  O13="x",O13="喪"  ), OR(  P13 ="喪"  ), $AP13 =""),"喪假",  IF(  AND(  OR(  O13="x",O13="婚",O13="產"  ), OR(  P13 ="婚",P13="產"  ), $AP13 =""),"婚(產)假",  IF(  AND(  OR(  O13="x",O13="公"  ), OR(  P13 ="公"  ), $AP13 =""),"公假",  IF(  AND(  OR(  O13="x",O13="補",O13="婚",O13="公",O13="病",O13="事",O13="x榮18-22"  ),OR(P13=""), $AP13 =""  ),"18收",  IF(  AND(  OR(  O13 ="榮14-18",O13 ="榮10-18",O13 ="榮06-18",O13 ="病14-18"  ),OR(  P13 ="x",P13="補",P13="婚",P13="公",P13="病",P13="事",P13="x"  ), $AP13 =""),"18放早走",  IF(  AND(  OR(  O13 =""),OR(  P13 ="x",P13="補",P13="婚",P13="公",P13="病",P13="事",P13="x榮*",P13="榮",P13="榮-22"  ), $AP13 =""),"18放",  IF(  AND(  OR(  O13="當日退伍"  ),OR(  P13="退伍",P13="退", P13=""  ), $AP13 =""),"當日退伍",  IF(AND(  OR(O13="退",O13="退伍" ), OR(P13="退",P13="退伍" ), $AP13 =""),"退伍","全日勤"  )  )  )  )  )  )  )  )  )  )  ),"")</f>
        <v>全日勤</v>
      </c>
      <c r="P54" s="66" t="str">
        <f>IF(   (ROW(BB13)-1)&lt;=暫1!$B$2,           IF(  AND(  OR(  P13="x",P13="補"  ), OR(  Q13 ="x",Q13="補",Q13="x榮18-22",Q13="x公18-22",Q13="x榮22-08"  ), $AP13 =""),"全日休",  IF(  AND(  OR(  P13="x",P13="病"  ), OR(  Q13 ="病"  ), $AP13 =""),"病(事)假",  IF(  AND(  OR(  P13="x",P13="補"  ), OR(  Q13 ="補"  ), $AP13 =""),"補休",  IF(  AND(  OR(  P13="x",P13="喪"  ), OR(  Q13 ="喪"  ), $AP13 =""),"喪假",  IF(  AND(  OR(  P13="x",P13="婚",P13="產"  ), OR(  Q13 ="婚",Q13="產"  ), $AP13 =""),"婚(產)假",  IF(  AND(  OR(  P13="x",P13="公"  ), OR(  Q13 ="公"  ), $AP13 =""),"公假",  IF(  AND(  OR(  P13="x",P13="補",P13="婚",P13="公",P13="病",P13="事",P13="x榮18-22"  ),OR(Q13=""), $AP13 =""  ),"18收",  IF(  AND(  OR(  P13 ="榮14-18",P13 ="榮10-18",P13 ="榮06-18",P13 ="病14-18"  ),OR(  Q13 ="x",Q13="補",Q13="婚",Q13="公",Q13="病",Q13="事",Q13="x"  ), $AP13 =""),"18放早走",  IF(  AND(  OR(  P13 =""),OR(  Q13 ="x",Q13="補",Q13="婚",Q13="公",Q13="病",Q13="事",Q13="x榮*",Q13="榮",Q13="榮-22"  ), $AP13 =""),"18放",  IF(  AND(  OR(  P13="當日退伍"  ),OR(  Q13="退伍",Q13="退", Q13=""  ), $AP13 =""),"當日退伍",  IF(AND(  OR(P13="退",P13="退伍" ), OR(Q13="退",Q13="退伍" ), $AP13 =""),"退伍","全日勤"  )  )  )  )  )  )  )  )  )  )  ),"")</f>
        <v>全日勤</v>
      </c>
      <c r="Q54" s="66" t="str">
        <f>IF(   (ROW(BC13)-1)&lt;=暫1!$B$2,           IF(  AND(  OR(  Q13="x",Q13="補"  ), OR(  R13 ="x",R13="補",R13="x榮18-22",R13="x公18-22",R13="x榮22-08"  ), $AP13 =""),"全日休",  IF(  AND(  OR(  Q13="x",Q13="病"  ), OR(  R13 ="病"  ), $AP13 =""),"病(事)假",  IF(  AND(  OR(  Q13="x",Q13="補"  ), OR(  R13 ="補"  ), $AP13 =""),"補休",  IF(  AND(  OR(  Q13="x",Q13="喪"  ), OR(  R13 ="喪"  ), $AP13 =""),"喪假",  IF(  AND(  OR(  Q13="x",Q13="婚",Q13="產"  ), OR(  R13 ="婚",R13="產"  ), $AP13 =""),"婚(產)假",  IF(  AND(  OR(  Q13="x",Q13="公"  ), OR(  R13 ="公"  ), $AP13 =""),"公假",  IF(  AND(  OR(  Q13="x",Q13="補",Q13="婚",Q13="公",Q13="病",Q13="事",Q13="x榮18-22"  ),OR(R13=""), $AP13 =""  ),"18收",  IF(  AND(  OR(  Q13 ="榮14-18",Q13 ="榮10-18",Q13 ="榮06-18",Q13 ="病14-18"  ),OR(  R13 ="x",R13="補",R13="婚",R13="公",R13="病",R13="事",R13="x"  ), $AP13 =""),"18放早走",  IF(  AND(  OR(  Q13 =""),OR(  R13 ="x",R13="補",R13="婚",R13="公",R13="病",R13="事",R13="x榮*",R13="榮",R13="榮-22"  ), $AP13 =""),"18放",  IF(  AND(  OR(  Q13="當日退伍"  ),OR(  R13="退伍",R13="退", R13=""  ), $AP13 =""),"當日退伍",  IF(AND(  OR(Q13="退",Q13="退伍" ), OR(R13="退",R13="退伍" ), $AP13 =""),"退伍","全日勤"  )  )  )  )  )  )  )  )  )  )  ),"")</f>
        <v>全日勤</v>
      </c>
      <c r="R54" s="66" t="str">
        <f>IF(   (ROW(BD13)-1)&lt;=暫1!$B$2,           IF(  AND(  OR(  R13="x",R13="補"  ), OR(  S13 ="x",S13="補",S13="x榮18-22",S13="x公18-22",S13="x榮22-08"  ), $AP13 =""),"全日休",  IF(  AND(  OR(  R13="x",R13="病"  ), OR(  S13 ="病"  ), $AP13 =""),"病(事)假",  IF(  AND(  OR(  R13="x",R13="補"  ), OR(  S13 ="補"  ), $AP13 =""),"補休",  IF(  AND(  OR(  R13="x",R13="喪"  ), OR(  S13 ="喪"  ), $AP13 =""),"喪假",  IF(  AND(  OR(  R13="x",R13="婚",R13="產"  ), OR(  S13 ="婚",S13="產"  ), $AP13 =""),"婚(產)假",  IF(  AND(  OR(  R13="x",R13="公"  ), OR(  S13 ="公"  ), $AP13 =""),"公假",  IF(  AND(  OR(  R13="x",R13="補",R13="婚",R13="公",R13="病",R13="事",R13="x榮18-22"  ),OR(S13=""), $AP13 =""  ),"18收",  IF(  AND(  OR(  R13 ="榮14-18",R13 ="榮10-18",R13 ="榮06-18",R13 ="病14-18"  ),OR(  S13 ="x",S13="補",S13="婚",S13="公",S13="病",S13="事",S13="x"  ), $AP13 =""),"18放早走",  IF(  AND(  OR(  R13 =""),OR(  S13 ="x",S13="補",S13="婚",S13="公",S13="病",S13="事",S13="x榮*",S13="榮",S13="榮-22"  ), $AP13 =""),"18放",  IF(  AND(  OR(  R13="當日退伍"  ),OR(  S13="退伍",S13="退", S13=""  ), $AP13 =""),"當日退伍",  IF(AND(  OR(R13="退",R13="退伍" ), OR(S13="退",S13="退伍" ), $AP13 =""),"退伍","全日勤"  )  )  )  )  )  )  )  )  )  )  ),"")</f>
        <v>全日勤</v>
      </c>
      <c r="S54" s="66" t="str">
        <f>IF(   (ROW(BE13)-1)&lt;=暫1!$B$2,           IF(  AND(  OR(  S13="x",S13="補"  ), OR(  T13 ="x",T13="補",T13="x榮18-22",T13="x公18-22",T13="x榮22-08"  ), $AP13 =""),"全日休",  IF(  AND(  OR(  S13="x",S13="病"  ), OR(  T13 ="病"  ), $AP13 =""),"病(事)假",  IF(  AND(  OR(  S13="x",S13="補"  ), OR(  T13 ="補"  ), $AP13 =""),"補休",  IF(  AND(  OR(  S13="x",S13="喪"  ), OR(  T13 ="喪"  ), $AP13 =""),"喪假",  IF(  AND(  OR(  S13="x",S13="婚",S13="產"  ), OR(  T13 ="婚",T13="產"  ), $AP13 =""),"婚(產)假",  IF(  AND(  OR(  S13="x",S13="公"  ), OR(  T13 ="公"  ), $AP13 =""),"公假",  IF(  AND(  OR(  S13="x",S13="補",S13="婚",S13="公",S13="病",S13="事",S13="x榮18-22"  ),OR(T13=""), $AP13 =""  ),"18收",  IF(  AND(  OR(  S13 ="榮14-18",S13 ="榮10-18",S13 ="榮06-18",S13 ="病14-18"  ),OR(  T13 ="x",T13="補",T13="婚",T13="公",T13="病",T13="事",T13="x"  ), $AP13 =""),"18放早走",  IF(  AND(  OR(  S13 =""),OR(  T13 ="x",T13="補",T13="婚",T13="公",T13="病",T13="事",T13="x榮*",T13="榮",T13="榮-22"  ), $AP13 =""),"18放",  IF(  AND(  OR(  S13="當日退伍"  ),OR(  T13="退伍",T13="退", T13=""  ), $AP13 =""),"當日退伍",  IF(AND(  OR(S13="退",S13="退伍" ), OR(T13="退",T13="退伍" ), $AP13 =""),"退伍","全日勤"  )  )  )  )  )  )  )  )  )  )  ),"")</f>
        <v>全日勤</v>
      </c>
      <c r="T54" s="66" t="str">
        <f>IF(   (ROW(BF13)-1)&lt;=暫1!$B$2,           IF(  AND(  OR(  T13="x",T13="補"  ), OR(  U13 ="x",U13="補",U13="x榮18-22",U13="x公18-22",U13="x榮22-08"  ), $AP13 =""),"全日休",  IF(  AND(  OR(  T13="x",T13="病"  ), OR(  U13 ="病"  ), $AP13 =""),"病(事)假",  IF(  AND(  OR(  T13="x",T13="補"  ), OR(  U13 ="補"  ), $AP13 =""),"補休",  IF(  AND(  OR(  T13="x",T13="喪"  ), OR(  U13 ="喪"  ), $AP13 =""),"喪假",  IF(  AND(  OR(  T13="x",T13="婚",T13="產"  ), OR(  U13 ="婚",U13="產"  ), $AP13 =""),"婚(產)假",  IF(  AND(  OR(  T13="x",T13="公"  ), OR(  U13 ="公"  ), $AP13 =""),"公假",  IF(  AND(  OR(  T13="x",T13="補",T13="婚",T13="公",T13="病",T13="事",T13="x榮18-22"  ),OR(U13=""), $AP13 =""  ),"18收",  IF(  AND(  OR(  T13 ="榮14-18",T13 ="榮10-18",T13 ="榮06-18",T13 ="病14-18"  ),OR(  U13 ="x",U13="補",U13="婚",U13="公",U13="病",U13="事",U13="x"  ), $AP13 =""),"18放早走",  IF(  AND(  OR(  T13 =""),OR(  U13 ="x",U13="補",U13="婚",U13="公",U13="病",U13="事",U13="x榮*",U13="榮",U13="榮-22"  ), $AP13 =""),"18放",  IF(  AND(  OR(  T13="當日退伍"  ),OR(  U13="退伍",U13="退", U13=""  ), $AP13 =""),"當日退伍",  IF(AND(  OR(T13="退",T13="退伍" ), OR(U13="退",U13="退伍" ), $AP13 =""),"退伍","全日勤"  )  )  )  )  )  )  )  )  )  )  ),"")</f>
        <v>全日勤</v>
      </c>
      <c r="U54" s="66" t="str">
        <f>IF(   (ROW(BG13)-1)&lt;=暫1!$B$2,           IF(  AND(  OR(  U13="x",U13="補"  ), OR(  V13 ="x",V13="補",V13="x榮18-22",V13="x公18-22",V13="x榮22-08"  ), $AP13 =""),"全日休",  IF(  AND(  OR(  U13="x",U13="病"  ), OR(  V13 ="病"  ), $AP13 =""),"病(事)假",  IF(  AND(  OR(  U13="x",U13="補"  ), OR(  V13 ="補"  ), $AP13 =""),"補休",  IF(  AND(  OR(  U13="x",U13="喪"  ), OR(  V13 ="喪"  ), $AP13 =""),"喪假",  IF(  AND(  OR(  U13="x",U13="婚",U13="產"  ), OR(  V13 ="婚",V13="產"  ), $AP13 =""),"婚(產)假",  IF(  AND(  OR(  U13="x",U13="公"  ), OR(  V13 ="公"  ), $AP13 =""),"公假",  IF(  AND(  OR(  U13="x",U13="補",U13="婚",U13="公",U13="病",U13="事",U13="x榮18-22"  ),OR(V13=""), $AP13 =""  ),"18收",  IF(  AND(  OR(  U13 ="榮14-18",U13 ="榮10-18",U13 ="榮06-18",U13 ="病14-18"  ),OR(  V13 ="x",V13="補",V13="婚",V13="公",V13="病",V13="事",V13="x"  ), $AP13 =""),"18放早走",  IF(  AND(  OR(  U13 =""),OR(  V13 ="x",V13="補",V13="婚",V13="公",V13="病",V13="事",V13="x榮*",V13="榮",V13="榮-22"  ), $AP13 =""),"18放",  IF(  AND(  OR(  U13="當日退伍"  ),OR(  V13="退伍",V13="退", V13=""  ), $AP13 =""),"當日退伍",  IF(AND(  OR(U13="退",U13="退伍" ), OR(V13="退",V13="退伍" ), $AP13 =""),"退伍","全日勤"  )  )  )  )  )  )  )  )  )  )  ),"")</f>
        <v>全日勤</v>
      </c>
      <c r="V54" s="66" t="str">
        <f>IF(   (ROW(BH13)-1)&lt;=暫1!$B$2,           IF(  AND(  OR(  V13="x",V13="補"  ), OR(  W13 ="x",W13="補",W13="x榮18-22",W13="x公18-22",W13="x榮22-08"  ), $AP13 =""),"全日休",  IF(  AND(  OR(  V13="x",V13="病"  ), OR(  W13 ="病"  ), $AP13 =""),"病(事)假",  IF(  AND(  OR(  V13="x",V13="補"  ), OR(  W13 ="補"  ), $AP13 =""),"補休",  IF(  AND(  OR(  V13="x",V13="喪"  ), OR(  W13 ="喪"  ), $AP13 =""),"喪假",  IF(  AND(  OR(  V13="x",V13="婚",V13="產"  ), OR(  W13 ="婚",W13="產"  ), $AP13 =""),"婚(產)假",  IF(  AND(  OR(  V13="x",V13="公"  ), OR(  W13 ="公"  ), $AP13 =""),"公假",  IF(  AND(  OR(  V13="x",V13="補",V13="婚",V13="公",V13="病",V13="事",V13="x榮18-22"  ),OR(W13=""), $AP13 =""  ),"18收",  IF(  AND(  OR(  V13 ="榮14-18",V13 ="榮10-18",V13 ="榮06-18",V13 ="病14-18"  ),OR(  W13 ="x",W13="補",W13="婚",W13="公",W13="病",W13="事",W13="x"  ), $AP13 =""),"18放早走",  IF(  AND(  OR(  V13 =""),OR(  W13 ="x",W13="補",W13="婚",W13="公",W13="病",W13="事",W13="x榮*",W13="榮",W13="榮-22"  ), $AP13 =""),"18放",  IF(  AND(  OR(  V13="當日退伍"  ),OR(  W13="退伍",W13="退", W13=""  ), $AP13 =""),"當日退伍",  IF(AND(  OR(V13="退",V13="退伍" ), OR(W13="退",W13="退伍" ), $AP13 =""),"退伍","全日勤"  )  )  )  )  )  )  )  )  )  )  ),"")</f>
        <v>全日勤</v>
      </c>
      <c r="W54" s="66" t="str">
        <f>IF(   (ROW(BI13)-1)&lt;=暫1!$B$2,           IF(  AND(  OR(  W13="x",W13="補"  ), OR(  X13 ="x",X13="補",X13="x榮18-22",X13="x公18-22",X13="x榮22-08"  ), $AP13 =""),"全日休",  IF(  AND(  OR(  W13="x",W13="病"  ), OR(  X13 ="病"  ), $AP13 =""),"病(事)假",  IF(  AND(  OR(  W13="x",W13="補"  ), OR(  X13 ="補"  ), $AP13 =""),"補休",  IF(  AND(  OR(  W13="x",W13="喪"  ), OR(  X13 ="喪"  ), $AP13 =""),"喪假",  IF(  AND(  OR(  W13="x",W13="婚",W13="產"  ), OR(  X13 ="婚",X13="產"  ), $AP13 =""),"婚(產)假",  IF(  AND(  OR(  W13="x",W13="公"  ), OR(  X13 ="公"  ), $AP13 =""),"公假",  IF(  AND(  OR(  W13="x",W13="補",W13="婚",W13="公",W13="病",W13="事",W13="x榮18-22"  ),OR(X13=""), $AP13 =""  ),"18收",  IF(  AND(  OR(  W13 ="榮14-18",W13 ="榮10-18",W13 ="榮06-18",W13 ="病14-18"  ),OR(  X13 ="x",X13="補",X13="婚",X13="公",X13="病",X13="事",X13="x"  ), $AP13 =""),"18放早走",  IF(  AND(  OR(  W13 =""),OR(  X13 ="x",X13="補",X13="婚",X13="公",X13="病",X13="事",X13="x榮*",X13="榮",X13="榮-22"  ), $AP13 =""),"18放",  IF(  AND(  OR(  W13="當日退伍"  ),OR(  X13="退伍",X13="退", X13=""  ), $AP13 =""),"當日退伍",  IF(AND(  OR(W13="退",W13="退伍" ), OR(X13="退",X13="退伍" ), $AP13 =""),"退伍","全日勤"  )  )  )  )  )  )  )  )  )  )  ),"")</f>
        <v>全日勤</v>
      </c>
      <c r="X54" s="66" t="str">
        <f>IF(   (ROW(BJ13)-1)&lt;=暫1!$B$2,           IF(  AND(  OR(  X13="x",X13="補"  ), OR(  Y13 ="x",Y13="補",Y13="x榮18-22",Y13="x公18-22",Y13="x榮22-08"  ), $AP13 =""),"全日休",  IF(  AND(  OR(  X13="x",X13="病"  ), OR(  Y13 ="病"  ), $AP13 =""),"病(事)假",  IF(  AND(  OR(  X13="x",X13="補"  ), OR(  Y13 ="補"  ), $AP13 =""),"補休",  IF(  AND(  OR(  X13="x",X13="喪"  ), OR(  Y13 ="喪"  ), $AP13 =""),"喪假",  IF(  AND(  OR(  X13="x",X13="婚",X13="產"  ), OR(  Y13 ="婚",Y13="產"  ), $AP13 =""),"婚(產)假",  IF(  AND(  OR(  X13="x",X13="公"  ), OR(  Y13 ="公"  ), $AP13 =""),"公假",  IF(  AND(  OR(  X13="x",X13="補",X13="婚",X13="公",X13="病",X13="事",X13="x榮18-22"  ),OR(Y13=""), $AP13 =""  ),"18收",  IF(  AND(  OR(  X13 ="榮14-18",X13 ="榮10-18",X13 ="榮06-18",X13 ="病14-18"  ),OR(  Y13 ="x",Y13="補",Y13="婚",Y13="公",Y13="病",Y13="事",Y13="x"  ), $AP13 =""),"18放早走",  IF(  AND(  OR(  X13 =""),OR(  Y13 ="x",Y13="補",Y13="婚",Y13="公",Y13="病",Y13="事",Y13="x榮*",Y13="榮",Y13="榮-22"  ), $AP13 =""),"18放",  IF(  AND(  OR(  X13="當日退伍"  ),OR(  Y13="退伍",Y13="退", Y13=""  ), $AP13 =""),"當日退伍",  IF(AND(  OR(X13="退",X13="退伍" ), OR(Y13="退",Y13="退伍" ), $AP13 =""),"退伍","全日勤"  )  )  )  )  )  )  )  )  )  )  ),"")</f>
        <v>全日勤</v>
      </c>
      <c r="Y54" s="66" t="str">
        <f>IF(   (ROW(BK13)-1)&lt;=暫1!$B$2,           IF(  AND(  OR(  Y13="x",Y13="補"  ), OR(  Z13 ="x",Z13="補",Z13="x榮18-22",Z13="x公18-22",Z13="x榮22-08"  ), $AP13 =""),"全日休",  IF(  AND(  OR(  Y13="x",Y13="病"  ), OR(  Z13 ="病"  ), $AP13 =""),"病(事)假",  IF(  AND(  OR(  Y13="x",Y13="補"  ), OR(  Z13 ="補"  ), $AP13 =""),"補休",  IF(  AND(  OR(  Y13="x",Y13="喪"  ), OR(  Z13 ="喪"  ), $AP13 =""),"喪假",  IF(  AND(  OR(  Y13="x",Y13="婚",Y13="產"  ), OR(  Z13 ="婚",Z13="產"  ), $AP13 =""),"婚(產)假",  IF(  AND(  OR(  Y13="x",Y13="公"  ), OR(  Z13 ="公"  ), $AP13 =""),"公假",  IF(  AND(  OR(  Y13="x",Y13="補",Y13="婚",Y13="公",Y13="病",Y13="事",Y13="x榮18-22"  ),OR(Z13=""), $AP13 =""  ),"18收",  IF(  AND(  OR(  Y13 ="榮14-18",Y13 ="榮10-18",Y13 ="榮06-18",Y13 ="病14-18"  ),OR(  Z13 ="x",Z13="補",Z13="婚",Z13="公",Z13="病",Z13="事",Z13="x"  ), $AP13 =""),"18放早走",  IF(  AND(  OR(  Y13 =""),OR(  Z13 ="x",Z13="補",Z13="婚",Z13="公",Z13="病",Z13="事",Z13="x榮*",Z13="榮",Z13="榮-22"  ), $AP13 =""),"18放",  IF(  AND(  OR(  Y13="當日退伍"  ),OR(  Z13="退伍",Z13="退", Z13=""  ), $AP13 =""),"當日退伍",  IF(AND(  OR(Y13="退",Y13="退伍" ), OR(Z13="退",Z13="退伍" ), $AP13 =""),"退伍","全日勤"  )  )  )  )  )  )  )  )  )  )  ),"")</f>
        <v>全日勤</v>
      </c>
      <c r="Z54" s="66" t="str">
        <f>IF(   (ROW(BL13)-1)&lt;=暫1!$B$2,           IF(  AND(  OR(  Z13="x",Z13="補"  ), OR(  AA13 ="x",AA13="補",AA13="x榮18-22",AA13="x公18-22",AA13="x榮22-08"  ), $AP13 =""),"全日休",  IF(  AND(  OR(  Z13="x",Z13="病"  ), OR(  AA13 ="病"  ), $AP13 =""),"病(事)假",  IF(  AND(  OR(  Z13="x",Z13="補"  ), OR(  AA13 ="補"  ), $AP13 =""),"補休",  IF(  AND(  OR(  Z13="x",Z13="喪"  ), OR(  AA13 ="喪"  ), $AP13 =""),"喪假",  IF(  AND(  OR(  Z13="x",Z13="婚",Z13="產"  ), OR(  AA13 ="婚",AA13="產"  ), $AP13 =""),"婚(產)假",  IF(  AND(  OR(  Z13="x",Z13="公"  ), OR(  AA13 ="公"  ), $AP13 =""),"公假",  IF(  AND(  OR(  Z13="x",Z13="補",Z13="婚",Z13="公",Z13="病",Z13="事",Z13="x榮18-22"  ),OR(AA13=""), $AP13 =""  ),"18收",  IF(  AND(  OR(  Z13 ="榮14-18",Z13 ="榮10-18",Z13 ="榮06-18",Z13 ="病14-18"  ),OR(  AA13 ="x",AA13="補",AA13="婚",AA13="公",AA13="病",AA13="事",AA13="x"  ), $AP13 =""),"18放早走",  IF(  AND(  OR(  Z13 =""),OR(  AA13 ="x",AA13="補",AA13="婚",AA13="公",AA13="病",AA13="事",AA13="x榮*",AA13="榮",AA13="榮-22"  ), $AP13 =""),"18放",  IF(  AND(  OR(  Z13="當日退伍"  ),OR(  AA13="退伍",AA13="退", AA13=""  ), $AP13 =""),"當日退伍",  IF(AND(  OR(Z13="退",Z13="退伍" ), OR(AA13="退",AA13="退伍" ), $AP13 =""),"退伍","全日勤"  )  )  )  )  )  )  )  )  )  )  ),"")</f>
        <v>全日勤</v>
      </c>
      <c r="AA54" s="66" t="str">
        <f>IF(   (ROW(BM13)-1)&lt;=暫1!$B$2,           IF(  AND(  OR(  AA13="x",AA13="補"  ), OR(  AB13 ="x",AB13="補",AB13="x榮18-22",AB13="x公18-22",AB13="x榮22-08"  ), $AP13 =""),"全日休",  IF(  AND(  OR(  AA13="x",AA13="病"  ), OR(  AB13 ="病"  ), $AP13 =""),"病(事)假",  IF(  AND(  OR(  AA13="x",AA13="補"  ), OR(  AB13 ="補"  ), $AP13 =""),"補休",  IF(  AND(  OR(  AA13="x",AA13="喪"  ), OR(  AB13 ="喪"  ), $AP13 =""),"喪假",  IF(  AND(  OR(  AA13="x",AA13="婚",AA13="產"  ), OR(  AB13 ="婚",AB13="產"  ), $AP13 =""),"婚(產)假",  IF(  AND(  OR(  AA13="x",AA13="公"  ), OR(  AB13 ="公"  ), $AP13 =""),"公假",  IF(  AND(  OR(  AA13="x",AA13="補",AA13="婚",AA13="公",AA13="病",AA13="事",AA13="x榮18-22"  ),OR(AB13=""), $AP13 =""  ),"18收",  IF(  AND(  OR(  AA13 ="榮14-18",AA13 ="榮10-18",AA13 ="榮06-18",AA13 ="病14-18"  ),OR(  AB13 ="x",AB13="補",AB13="婚",AB13="公",AB13="病",AB13="事",AB13="x"  ), $AP13 =""),"18放早走",  IF(  AND(  OR(  AA13 =""),OR(  AB13 ="x",AB13="補",AB13="婚",AB13="公",AB13="病",AB13="事",AB13="x榮*",AB13="榮",AB13="榮-22"  ), $AP13 =""),"18放",  IF(  AND(  OR(  AA13="當日退伍"  ),OR(  AB13="退伍",AB13="退", AB13=""  ), $AP13 =""),"當日退伍",  IF(AND(  OR(AA13="退",AA13="退伍" ), OR(AB13="退",AB13="退伍" ), $AP13 =""),"退伍","全日勤"  )  )  )  )  )  )  )  )  )  )  ),"")</f>
        <v>全日勤</v>
      </c>
      <c r="AB54" s="66" t="str">
        <f>IF(   (ROW(BN13)-1)&lt;=暫1!$B$2,           IF(  AND(  OR(  AB13="x",AB13="補"  ), OR(  AC13 ="x",AC13="補",AC13="x榮18-22",AC13="x公18-22",AC13="x榮22-08"  ), $AP13 =""),"全日休",  IF(  AND(  OR(  AB13="x",AB13="病"  ), OR(  AC13 ="病"  ), $AP13 =""),"病(事)假",  IF(  AND(  OR(  AB13="x",AB13="補"  ), OR(  AC13 ="補"  ), $AP13 =""),"補休",  IF(  AND(  OR(  AB13="x",AB13="喪"  ), OR(  AC13 ="喪"  ), $AP13 =""),"喪假",  IF(  AND(  OR(  AB13="x",AB13="婚",AB13="產"  ), OR(  AC13 ="婚",AC13="產"  ), $AP13 =""),"婚(產)假",  IF(  AND(  OR(  AB13="x",AB13="公"  ), OR(  AC13 ="公"  ), $AP13 =""),"公假",  IF(  AND(  OR(  AB13="x",AB13="補",AB13="婚",AB13="公",AB13="病",AB13="事",AB13="x榮18-22"  ),OR(AC13=""), $AP13 =""  ),"18收",  IF(  AND(  OR(  AB13 ="榮14-18",AB13 ="榮10-18",AB13 ="榮06-18",AB13 ="病14-18"  ),OR(  AC13 ="x",AC13="補",AC13="婚",AC13="公",AC13="病",AC13="事",AC13="x"  ), $AP13 =""),"18放早走",  IF(  AND(  OR(  AB13 =""),OR(  AC13 ="x",AC13="補",AC13="婚",AC13="公",AC13="病",AC13="事",AC13="x榮*",AC13="榮",AC13="榮-22"  ), $AP13 =""),"18放",  IF(  AND(  OR(  AB13="當日退伍"  ),OR(  AC13="退伍",AC13="退", AC13=""  ), $AP13 =""),"當日退伍",  IF(AND(  OR(AB13="退",AB13="退伍" ), OR(AC13="退",AC13="退伍" ), $AP13 =""),"退伍","全日勤"  )  )  )  )  )  )  )  )  )  )  ),"")</f>
        <v>全日勤</v>
      </c>
      <c r="AC54" s="66" t="str">
        <f>IF(   (ROW(BO13)-1)&lt;=暫1!$B$2,           IF(  AND(  OR(  AC13="x",AC13="補"  ), OR(  AD13 ="x",AD13="補",AD13="x榮18-22",AD13="x公18-22",AD13="x榮22-08"  ), $AP13 =""),"全日休",  IF(  AND(  OR(  AC13="x",AC13="病"  ), OR(  AD13 ="病"  ), $AP13 =""),"病(事)假",  IF(  AND(  OR(  AC13="x",AC13="補"  ), OR(  AD13 ="補"  ), $AP13 =""),"補休",  IF(  AND(  OR(  AC13="x",AC13="喪"  ), OR(  AD13 ="喪"  ), $AP13 =""),"喪假",  IF(  AND(  OR(  AC13="x",AC13="婚",AC13="產"  ), OR(  AD13 ="婚",AD13="產"  ), $AP13 =""),"婚(產)假",  IF(  AND(  OR(  AC13="x",AC13="公"  ), OR(  AD13 ="公"  ), $AP13 =""),"公假",  IF(  AND(  OR(  AC13="x",AC13="補",AC13="婚",AC13="公",AC13="病",AC13="事",AC13="x榮18-22"  ),OR(AD13=""), $AP13 =""  ),"18收",  IF(  AND(  OR(  AC13 ="榮14-18",AC13 ="榮10-18",AC13 ="榮06-18",AC13 ="病14-18"  ),OR(  AD13 ="x",AD13="補",AD13="婚",AD13="公",AD13="病",AD13="事",AD13="x"  ), $AP13 =""),"18放早走",  IF(  AND(  OR(  AC13 =""),OR(  AD13 ="x",AD13="補",AD13="婚",AD13="公",AD13="病",AD13="事",AD13="x榮*",AD13="榮",AD13="榮-22"  ), $AP13 =""),"18放",  IF(  AND(  OR(  AC13="當日退伍"  ),OR(  AD13="退伍",AD13="退", AD13=""  ), $AP13 =""),"當日退伍",  IF(AND(  OR(AC13="退",AC13="退伍" ), OR(AD13="退",AD13="退伍" ), $AP13 =""),"退伍","全日勤"  )  )  )  )  )  )  )  )  )  )  ),"")</f>
        <v>全日勤</v>
      </c>
      <c r="AD54" s="66" t="str">
        <f>IF(   (ROW(BP13)-1)&lt;=暫1!$B$2,           IF(  AND(  OR(  AD13="x",AD13="補"  ), OR(  AE13 ="x",AE13="補",AE13="x榮18-22",AE13="x公18-22",AE13="x榮22-08"  ), $AP13 =""),"全日休",  IF(  AND(  OR(  AD13="x",AD13="病"  ), OR(  AE13 ="病"  ), $AP13 =""),"病(事)假",  IF(  AND(  OR(  AD13="x",AD13="補"  ), OR(  AE13 ="補"  ), $AP13 =""),"補休",  IF(  AND(  OR(  AD13="x",AD13="喪"  ), OR(  AE13 ="喪"  ), $AP13 =""),"喪假",  IF(  AND(  OR(  AD13="x",AD13="婚",AD13="產"  ), OR(  AE13 ="婚",AE13="產"  ), $AP13 =""),"婚(產)假",  IF(  AND(  OR(  AD13="x",AD13="公"  ), OR(  AE13 ="公"  ), $AP13 =""),"公假",  IF(  AND(  OR(  AD13="x",AD13="補",AD13="婚",AD13="公",AD13="病",AD13="事",AD13="x榮18-22"  ),OR(AE13=""), $AP13 =""  ),"18收",  IF(  AND(  OR(  AD13 ="榮14-18",AD13 ="榮10-18",AD13 ="榮06-18",AD13 ="病14-18"  ),OR(  AE13 ="x",AE13="補",AE13="婚",AE13="公",AE13="病",AE13="事",AE13="x"  ), $AP13 =""),"18放早走",  IF(  AND(  OR(  AD13 =""),OR(  AE13 ="x",AE13="補",AE13="婚",AE13="公",AE13="病",AE13="事",AE13="x榮*",AE13="榮",AE13="榮-22"  ), $AP13 =""),"18放",  IF(  AND(  OR(  AD13="當日退伍"  ),OR(  AE13="退伍",AE13="退", AE13=""  ), $AP13 =""),"當日退伍",  IF(AND(  OR(AD13="退",AD13="退伍" ), OR(AE13="退",AE13="退伍" ), $AP13 =""),"退伍","全日勤"  )  )  )  )  )  )  )  )  )  )  ),"")</f>
        <v>全日勤</v>
      </c>
      <c r="AE54" s="66" t="str">
        <f>IF(   (ROW(BQ13)-1)&lt;=暫1!$B$2,           IF(  AND(  OR(  AE13="x",AE13="補"  ), OR(  AF13 ="x",AF13="補",AF13="x榮18-22",AF13="x公18-22",AF13="x榮22-08"  ), $AP13 =""),"全日休",  IF(  AND(  OR(  AE13="x",AE13="病"  ), OR(  AF13 ="病"  ), $AP13 =""),"病(事)假",  IF(  AND(  OR(  AE13="x",AE13="補"  ), OR(  AF13 ="補"  ), $AP13 =""),"補休",  IF(  AND(  OR(  AE13="x",AE13="喪"  ), OR(  AF13 ="喪"  ), $AP13 =""),"喪假",  IF(  AND(  OR(  AE13="x",AE13="婚",AE13="產"  ), OR(  AF13 ="婚",AF13="產"  ), $AP13 =""),"婚(產)假",  IF(  AND(  OR(  AE13="x",AE13="公"  ), OR(  AF13 ="公"  ), $AP13 =""),"公假",  IF(  AND(  OR(  AE13="x",AE13="補",AE13="婚",AE13="公",AE13="病",AE13="事",AE13="x榮18-22"  ),OR(AF13=""), $AP13 =""  ),"18收",  IF(  AND(  OR(  AE13 ="榮14-18",AE13 ="榮10-18",AE13 ="榮06-18",AE13 ="病14-18"  ),OR(  AF13 ="x",AF13="補",AF13="婚",AF13="公",AF13="病",AF13="事",AF13="x"  ), $AP13 =""),"18放早走",  IF(  AND(  OR(  AE13 =""),OR(  AF13 ="x",AF13="補",AF13="婚",AF13="公",AF13="病",AF13="事",AF13="x榮*",AF13="榮",AF13="榮-22"  ), $AP13 =""),"18放",  IF(  AND(  OR(  AE13="當日退伍"  ),OR(  AF13="退伍",AF13="退", AF13=""  ), $AP13 =""),"當日退伍",  IF(AND(  OR(AE13="退",AE13="退伍" ), OR(AF13="退",AF13="退伍" ), $AP13 =""),"退伍","全日勤"  )  )  )  )  )  )  )  )  )  )  ),"")</f>
        <v>全日勤</v>
      </c>
      <c r="AF54" s="66" t="str">
        <f>IF(   (ROW(BR13)-1)&lt;=暫1!$B$2,           IF(  AND(  OR(  AF13="x",AF13="補"  ), OR(  AG13 ="x",AG13="補",AG13="x榮18-22",AG13="x公18-22",AG13="x榮22-08"  ), $AP13 =""),"全日休",  IF(  AND(  OR(  AF13="x",AF13="病"  ), OR(  AG13 ="病"  ), $AP13 =""),"病(事)假",  IF(  AND(  OR(  AF13="x",AF13="補"  ), OR(  AG13 ="補"  ), $AP13 =""),"補休",  IF(  AND(  OR(  AF13="x",AF13="喪"  ), OR(  AG13 ="喪"  ), $AP13 =""),"喪假",  IF(  AND(  OR(  AF13="x",AF13="婚",AF13="產"  ), OR(  AG13 ="婚",AG13="產"  ), $AP13 =""),"婚(產)假",  IF(  AND(  OR(  AF13="x",AF13="公"  ), OR(  AG13 ="公"  ), $AP13 =""),"公假",  IF(  AND(  OR(  AF13="x",AF13="補",AF13="婚",AF13="公",AF13="病",AF13="事",AF13="x榮18-22"  ),OR(AG13=""), $AP13 =""  ),"18收",  IF(  AND(  OR(  AF13 ="榮14-18",AF13 ="榮10-18",AF13 ="榮06-18",AF13 ="病14-18"  ),OR(  AG13 ="x",AG13="補",AG13="婚",AG13="公",AG13="病",AG13="事",AG13="x"  ), $AP13 =""),"18放早走",  IF(  AND(  OR(  AF13 =""),OR(  AG13 ="x",AG13="補",AG13="婚",AG13="公",AG13="病",AG13="事",AG13="x榮*",AG13="榮",AG13="榮-22"  ), $AP13 =""),"18放",  IF(  AND(  OR(  AF13="當日退伍"  ),OR(  AG13="退伍",AG13="退", AG13=""  ), $AP13 =""),"當日退伍",  IF(AND(  OR(AF13="退",AF13="退伍" ), OR(AG13="退",AG13="退伍" ), $AP13 =""),"退伍","全日勤"  )  )  )  )  )  )  )  )  )  )  ),"")</f>
        <v>全日勤</v>
      </c>
      <c r="AG54" s="66" t="str">
        <f>IF(   (ROW(BS13)-1)&lt;=暫1!$B$2,           IF(  AND(  OR(  AG13="x",AG13="補"  ), OR(  AH13 ="x",AH13="補",AH13="x榮18-22",AH13="x公18-22",AH13="x榮22-08"  ), $AP13 =""),"全日休",  IF(  AND(  OR(  AG13="x",AG13="病"  ), OR(  AH13 ="病"  ), $AP13 =""),"病(事)假",  IF(  AND(  OR(  AG13="x",AG13="補"  ), OR(  AH13 ="補"  ), $AP13 =""),"補休",  IF(  AND(  OR(  AG13="x",AG13="喪"  ), OR(  AH13 ="喪"  ), $AP13 =""),"喪假",  IF(  AND(  OR(  AG13="x",AG13="婚",AG13="產"  ), OR(  AH13 ="婚",AH13="產"  ), $AP13 =""),"婚(產)假",  IF(  AND(  OR(  AG13="x",AG13="公"  ), OR(  AH13 ="公"  ), $AP13 =""),"公假",  IF(  AND(  OR(  AG13="x",AG13="補",AG13="婚",AG13="公",AG13="病",AG13="事",AG13="x榮18-22"  ),OR(AH13=""), $AP13 =""  ),"18收",  IF(  AND(  OR(  AG13 ="榮14-18",AG13 ="榮10-18",AG13 ="榮06-18",AG13 ="病14-18"  ),OR(  AH13 ="x",AH13="補",AH13="婚",AH13="公",AH13="病",AH13="事",AH13="x"  ), $AP13 =""),"18放早走",  IF(  AND(  OR(  AG13 =""),OR(  AH13 ="x",AH13="補",AH13="婚",AH13="公",AH13="病",AH13="事",AH13="x榮*",AH13="榮",AH13="榮-22"  ), $AP13 =""),"18放",  IF(  AND(  OR(  AG13="當日退伍"  ),OR(  AH13="退伍",AH13="退", AH13=""  ), $AP13 =""),"當日退伍",  IF(AND(  OR(AG13="退",AG13="退伍" ), OR(AH13="退",AH13="退伍" ), $AP13 =""),"退伍","全日勤"  )  )  )  )  )  )  )  )  )  )  ),"")</f>
        <v>全日勤</v>
      </c>
      <c r="AH54" s="66" t="str">
        <f>IF(   (ROW(BT13)-1)&lt;=暫1!$B$2,           IF(  AND(  OR(  AH13="x",AH13="補"  ), OR(  AI13 ="x",AI13="補",AI13="x榮18-22",AI13="x公18-22",AI13="x榮22-08"  ), $AP13 =""),"全日休",  IF(  AND(  OR(  AH13="x",AH13="病"  ), OR(  AI13 ="病"  ), $AP13 =""),"病(事)假",  IF(  AND(  OR(  AH13="x",AH13="補"  ), OR(  AI13 ="補"  ), $AP13 =""),"補休",  IF(  AND(  OR(  AH13="x",AH13="喪"  ), OR(  AI13 ="喪"  ), $AP13 =""),"喪假",  IF(  AND(  OR(  AH13="x",AH13="婚",AH13="產"  ), OR(  AI13 ="婚",AI13="產"  ), $AP13 =""),"婚(產)假",  IF(  AND(  OR(  AH13="x",AH13="公"  ), OR(  AI13 ="公"  ), $AP13 =""),"公假",  IF(  AND(  OR(  AH13="x",AH13="補",AH13="婚",AH13="公",AH13="病",AH13="事",AH13="x榮18-22"  ),OR(AI13=""), $AP13 =""  ),"18收",  IF(  AND(  OR(  AH13 ="榮14-18",AH13 ="榮10-18",AH13 ="榮06-18",AH13 ="病14-18"  ),OR(  AI13 ="x",AI13="補",AI13="婚",AI13="公",AI13="病",AI13="事",AI13="x"  ), $AP13 =""),"18放早走",  IF(  AND(  OR(  AH13 =""),OR(  AI13 ="x",AI13="補",AI13="婚",AI13="公",AI13="病",AI13="事",AI13="x榮*",AI13="榮",AI13="榮-22"  ), $AP13 =""),"18放",  IF(  AND(  OR(  AH13="當日退伍"  ),OR(  AI13="退伍",AI13="退", AI13=""  ), $AP13 =""),"當日退伍",  IF(AND(  OR(AH13="退",AH13="退伍" ), OR(AI13="退",AI13="退伍" ), $AP13 =""),"退伍","全日勤"  )  )  )  )  )  )  )  )  )  )  ),"")</f>
        <v>全日勤</v>
      </c>
      <c r="AI54" s="66" t="str">
        <f>IF(   (ROW(BU13)-1)&lt;=暫1!$B$2,           IF(  AND(  OR(  AI13="x",AI13="補"  ), OR(  AJ13 ="x",AJ13="補",AJ13="x榮18-22",AJ13="x公18-22",AJ13="x榮22-08"  ), $AP13 =""),"全日休",  IF(  AND(  OR(  AI13="x",AI13="病"  ), OR(  AJ13 ="病"  ), $AP13 =""),"病(事)假",  IF(  AND(  OR(  AI13="x",AI13="補"  ), OR(  AJ13 ="補"  ), $AP13 =""),"補休",  IF(  AND(  OR(  AI13="x",AI13="喪"  ), OR(  AJ13 ="喪"  ), $AP13 =""),"喪假",  IF(  AND(  OR(  AI13="x",AI13="婚",AI13="產"  ), OR(  AJ13 ="婚",AJ13="產"  ), $AP13 =""),"婚(產)假",  IF(  AND(  OR(  AI13="x",AI13="公"  ), OR(  AJ13 ="公"  ), $AP13 =""),"公假",  IF(  AND(  OR(  AI13="x",AI13="補",AI13="婚",AI13="公",AI13="病",AI13="事",AI13="x榮18-22"  ),OR(AJ13=""), $AP13 =""  ),"18收",  IF(  AND(  OR(  AI13 ="榮14-18",AI13 ="榮10-18",AI13 ="榮06-18",AI13 ="病14-18"  ),OR(  AJ13 ="x",AJ13="補",AJ13="婚",AJ13="公",AJ13="病",AJ13="事",AJ13="x"  ), $AP13 =""),"18放早走",  IF(  AND(  OR(  AI13 =""),OR(  AJ13 ="x",AJ13="補",AJ13="婚",AJ13="公",AJ13="病",AJ13="事",AJ13="x榮*",AJ13="榮",AJ13="榮-22"  ), $AP13 =""),"18放",  IF(  AND(  OR(  AI13="當日退伍"  ),OR(  AJ13="退伍",AJ13="退", AJ13=""  ), $AP13 =""),"當日退伍",  IF(AND(  OR(AI13="退",AI13="退伍" ), OR(AJ13="退",AJ13="退伍" ), $AP13 =""),"退伍","全日勤"  )  )  )  )  )  )  )  )  )  )  ),"")</f>
        <v>全日勤</v>
      </c>
      <c r="AJ54" s="66" t="str">
        <f>IF(   (ROW(BV13)-1)&lt;=暫1!$B$2,           IF(  AND(  OR(  AJ13="x",AJ13="補"  ), OR(  AK13 ="x",AK13="補",AK13="x榮18-22",AK13="x公18-22",AK13="x榮22-08"  ), $AP13 =""),"全日休",  IF(  AND(  OR(  AJ13="x",AJ13="病"  ), OR(  AK13 ="病"  ), $AP13 =""),"病(事)假",  IF(  AND(  OR(  AJ13="x",AJ13="補"  ), OR(  AK13 ="補"  ), $AP13 =""),"補休",  IF(  AND(  OR(  AJ13="x",AJ13="喪"  ), OR(  AK13 ="喪"  ), $AP13 =""),"喪假",  IF(  AND(  OR(  AJ13="x",AJ13="婚",AJ13="產"  ), OR(  AK13 ="婚",AK13="產"  ), $AP13 =""),"婚(產)假",  IF(  AND(  OR(  AJ13="x",AJ13="公"  ), OR(  AK13 ="公"  ), $AP13 =""),"公假",  IF(  AND(  OR(  AJ13="x",AJ13="補",AJ13="婚",AJ13="公",AJ13="病",AJ13="事",AJ13="x榮18-22"  ),OR(AK13=""), $AP13 =""  ),"18收",  IF(  AND(  OR(  AJ13 ="榮14-18",AJ13 ="榮10-18",AJ13 ="榮06-18",AJ13 ="病14-18"  ),OR(  AK13 ="x",AK13="補",AK13="婚",AK13="公",AK13="病",AK13="事",AK13="x"  ), $AP13 =""),"18放早走",  IF(  AND(  OR(  AJ13 =""),OR(  AK13 ="x",AK13="補",AK13="婚",AK13="公",AK13="病",AK13="事",AK13="x榮*",AK13="榮",AK13="榮-22"  ), $AP13 =""),"18放",  IF(  AND(  OR(  AJ13="當日退伍"  ),OR(  AK13="退伍",AK13="退", AK13=""  ), $AP13 =""),"當日退伍",  IF(AND(  OR(AJ13="退",AJ13="退伍" ), OR(AK13="退",AK13="退伍" ), $AP13 =""),"退伍","全日勤"  )  )  )  )  )  )  )  )  )  )  ),"")</f>
        <v>全日勤</v>
      </c>
      <c r="AO54" s="76"/>
      <c r="AP54" s="63"/>
      <c r="AU54" s="63"/>
      <c r="AY54" s="63"/>
      <c r="AZ54" s="63"/>
      <c r="BA54" s="63"/>
    </row>
    <row r="55" spans="1:55" s="275" customFormat="1" ht="25.5" customHeight="1">
      <c r="A55" s="274">
        <f t="shared" si="4"/>
        <v>13</v>
      </c>
      <c r="B55" s="274" t="str">
        <f t="shared" si="6"/>
        <v>楊瑞麟</v>
      </c>
      <c r="C55" s="66" t="str">
        <f>IF(   (ROW(AO14)-1)&lt;=暫1!$B$2,           IF(  AND(  OR(  C14="x",C14="補"  ), OR(  D14 ="x",D14="補",D14="x榮18-22",D14="x公18-22",D14="x榮22-08"  ), $AP14 =""),"全日休",  IF(  AND(  OR(  C14="x",C14="病"  ), OR(  D14 ="病"  ), $AP14 =""),"病(事)假",  IF(  AND(  OR(  C14="x",C14="補"  ), OR(  D14 ="補"  ), $AP14 =""),"補休",  IF(  AND(  OR(  C14="x",C14="喪"  ), OR(  D14 ="喪"  ), $AP14 =""),"喪假",  IF(  AND(  OR(  C14="x",C14="婚",C14="產"  ), OR(  D14 ="婚",D14="產"  ), $AP14 =""),"婚(產)假",  IF(  AND(  OR(  C14="x",C14="公"  ), OR(  D14 ="公"  ), $AP14 =""),"公假",  IF(  AND(  OR(  C14="x",C14="補",C14="婚",C14="公",C14="病",C14="事",C14="x榮18-22"  ),OR(D14=""), $AP14 =""  ),"18收",  IF(  AND(  OR(  C14 ="榮14-18",C14 ="榮10-18",C14 ="榮06-18",C14 ="病14-18"  ),OR(  D14 ="x",D14="補",D14="婚",D14="公",D14="病",D14="事",D14="x"  ), $AP14 =""),"18放早走",  IF(  AND(  OR(  C14 =""),OR(  D14 ="x",D14="補",D14="婚",D14="公",D14="病",D14="事",D14="x榮*",D14="榮",D14="榮-22"  ), $AP14 =""),"18放",  IF(  AND(  OR(  C14="當日退伍"  ),OR(  D14="退伍",D14="退", D14=""  ), $AP14 =""),"當日退伍",  IF(AND(  OR(C14="退",C14="退伍" ), OR(D14="退",D14="退伍" ), $AP14 =""),"退伍","全日勤"  )  )  )  )  )  )  )  )  )  )  ),"")</f>
        <v>全日勤</v>
      </c>
      <c r="D55" s="66" t="str">
        <f>IF(   (ROW(AP14)-1)&lt;=暫1!$B$2,           IF(  AND(  OR(  D14="x",D14="補"  ), OR(  E14 ="x",E14="補",E14="x榮18-22",E14="x公18-22",E14="x榮22-08"  ), $AP14 =""),"全日休",  IF(  AND(  OR(  D14="x",D14="病"  ), OR(  E14 ="病"  ), $AP14 =""),"病(事)假",  IF(  AND(  OR(  D14="x",D14="補"  ), OR(  E14 ="補"  ), $AP14 =""),"補休",  IF(  AND(  OR(  D14="x",D14="喪"  ), OR(  E14 ="喪"  ), $AP14 =""),"喪假",  IF(  AND(  OR(  D14="x",D14="婚",D14="產"  ), OR(  E14 ="婚",E14="產"  ), $AP14 =""),"婚(產)假",  IF(  AND(  OR(  D14="x",D14="公"  ), OR(  E14 ="公"  ), $AP14 =""),"公假",  IF(  AND(  OR(  D14="x",D14="補",D14="婚",D14="公",D14="病",D14="事",D14="x榮18-22"  ),OR(E14=""), $AP14 =""  ),"18收",  IF(  AND(  OR(  D14 ="榮14-18",D14 ="榮10-18",D14 ="榮06-18",D14 ="病14-18"  ),OR(  E14 ="x",E14="補",E14="婚",E14="公",E14="病",E14="事",E14="x"  ), $AP14 =""),"18放早走",  IF(  AND(  OR(  D14 =""),OR(  E14 ="x",E14="補",E14="婚",E14="公",E14="病",E14="事",E14="x榮*",E14="榮",E14="榮-22"  ), $AP14 =""),"18放",  IF(  AND(  OR(  D14="當日退伍"  ),OR(  E14="退伍",E14="退", E14=""  ), $AP14 =""),"當日退伍",  IF(AND(  OR(D14="退",D14="退伍" ), OR(E14="退",E14="退伍" ), $AP14 =""),"退伍","全日勤"  )  )  )  )  )  )  )  )  )  )  ),"")</f>
        <v>全日勤</v>
      </c>
      <c r="E55" s="66" t="str">
        <f>IF(   (ROW(AQ14)-1)&lt;=暫1!$B$2,           IF(  AND(  OR(  E14="x",E14="補"  ), OR(  F14 ="x",F14="補",F14="x榮18-22",F14="x公18-22",F14="x榮22-08"  ), $AP14 =""),"全日休",  IF(  AND(  OR(  E14="x",E14="病"  ), OR(  F14 ="病"  ), $AP14 =""),"病(事)假",  IF(  AND(  OR(  E14="x",E14="補"  ), OR(  F14 ="補"  ), $AP14 =""),"補休",  IF(  AND(  OR(  E14="x",E14="喪"  ), OR(  F14 ="喪"  ), $AP14 =""),"喪假",  IF(  AND(  OR(  E14="x",E14="婚",E14="產"  ), OR(  F14 ="婚",F14="產"  ), $AP14 =""),"婚(產)假",  IF(  AND(  OR(  E14="x",E14="公"  ), OR(  F14 ="公"  ), $AP14 =""),"公假",  IF(  AND(  OR(  E14="x",E14="補",E14="婚",E14="公",E14="病",E14="事",E14="x榮18-22"  ),OR(F14=""), $AP14 =""  ),"18收",  IF(  AND(  OR(  E14 ="榮14-18",E14 ="榮10-18",E14 ="榮06-18",E14 ="病14-18"  ),OR(  F14 ="x",F14="補",F14="婚",F14="公",F14="病",F14="事",F14="x"  ), $AP14 =""),"18放早走",  IF(  AND(  OR(  E14 =""),OR(  F14 ="x",F14="補",F14="婚",F14="公",F14="病",F14="事",F14="x榮*",F14="榮",F14="榮-22"  ), $AP14 =""),"18放",  IF(  AND(  OR(  E14="當日退伍"  ),OR(  F14="退伍",F14="退", F14=""  ), $AP14 =""),"當日退伍",  IF(AND(  OR(E14="退",E14="退伍" ), OR(F14="退",F14="退伍" ), $AP14 =""),"退伍","全日勤"  )  )  )  )  )  )  )  )  )  )  ),"")</f>
        <v>全日勤</v>
      </c>
      <c r="F55" s="66" t="str">
        <f>IF(   (ROW(AR14)-1)&lt;=暫1!$B$2,           IF(  AND(  OR(  F14="x",F14="補"  ), OR(  G14 ="x",G14="補",G14="x榮18-22",G14="x公18-22",G14="x榮22-08"  ), $AP14 =""),"全日休",  IF(  AND(  OR(  F14="x",F14="病"  ), OR(  G14 ="病"  ), $AP14 =""),"病(事)假",  IF(  AND(  OR(  F14="x",F14="補"  ), OR(  G14 ="補"  ), $AP14 =""),"補休",  IF(  AND(  OR(  F14="x",F14="喪"  ), OR(  G14 ="喪"  ), $AP14 =""),"喪假",  IF(  AND(  OR(  F14="x",F14="婚",F14="產"  ), OR(  G14 ="婚",G14="產"  ), $AP14 =""),"婚(產)假",  IF(  AND(  OR(  F14="x",F14="公"  ), OR(  G14 ="公"  ), $AP14 =""),"公假",  IF(  AND(  OR(  F14="x",F14="補",F14="婚",F14="公",F14="病",F14="事",F14="x榮18-22"  ),OR(G14=""), $AP14 =""  ),"18收",  IF(  AND(  OR(  F14 ="榮14-18",F14 ="榮10-18",F14 ="榮06-18",F14 ="病14-18"  ),OR(  G14 ="x",G14="補",G14="婚",G14="公",G14="病",G14="事",G14="x"  ), $AP14 =""),"18放早走",  IF(  AND(  OR(  F14 =""),OR(  G14 ="x",G14="補",G14="婚",G14="公",G14="病",G14="事",G14="x榮*",G14="榮",G14="榮-22"  ), $AP14 =""),"18放",  IF(  AND(  OR(  F14="當日退伍"  ),OR(  G14="退伍",G14="退", G14=""  ), $AP14 =""),"當日退伍",  IF(AND(  OR(F14="退",F14="退伍" ), OR(G14="退",G14="退伍" ), $AP14 =""),"退伍","全日勤"  )  )  )  )  )  )  )  )  )  )  ),"")</f>
        <v>全日勤</v>
      </c>
      <c r="G55" s="66" t="str">
        <f>IF(   (ROW(AS14)-1)&lt;=暫1!$B$2,           IF(  AND(  OR(  G14="x",G14="補"  ), OR(  H14 ="x",H14="補",H14="x榮18-22",H14="x公18-22",H14="x榮22-08"  ), $AP14 =""),"全日休",  IF(  AND(  OR(  G14="x",G14="病"  ), OR(  H14 ="病"  ), $AP14 =""),"病(事)假",  IF(  AND(  OR(  G14="x",G14="補"  ), OR(  H14 ="補"  ), $AP14 =""),"補休",  IF(  AND(  OR(  G14="x",G14="喪"  ), OR(  H14 ="喪"  ), $AP14 =""),"喪假",  IF(  AND(  OR(  G14="x",G14="婚",G14="產"  ), OR(  H14 ="婚",H14="產"  ), $AP14 =""),"婚(產)假",  IF(  AND(  OR(  G14="x",G14="公"  ), OR(  H14 ="公"  ), $AP14 =""),"公假",  IF(  AND(  OR(  G14="x",G14="補",G14="婚",G14="公",G14="病",G14="事",G14="x榮18-22"  ),OR(H14=""), $AP14 =""  ),"18收",  IF(  AND(  OR(  G14 ="榮14-18",G14 ="榮10-18",G14 ="榮06-18",G14 ="病14-18"  ),OR(  H14 ="x",H14="補",H14="婚",H14="公",H14="病",H14="事",H14="x"  ), $AP14 =""),"18放早走",  IF(  AND(  OR(  G14 =""),OR(  H14 ="x",H14="補",H14="婚",H14="公",H14="病",H14="事",H14="x榮*",H14="榮",H14="榮-22"  ), $AP14 =""),"18放",  IF(  AND(  OR(  G14="當日退伍"  ),OR(  H14="退伍",H14="退", H14=""  ), $AP14 =""),"當日退伍",  IF(AND(  OR(G14="退",G14="退伍" ), OR(H14="退",H14="退伍" ), $AP14 =""),"退伍","全日勤"  )  )  )  )  )  )  )  )  )  )  ),"")</f>
        <v>全日勤</v>
      </c>
      <c r="H55" s="66" t="str">
        <f>IF(   (ROW(AT14)-1)&lt;=暫1!$B$2,           IF(  AND(  OR(  H14="x",H14="補"  ), OR(  I14 ="x",I14="補",I14="x榮18-22",I14="x公18-22",I14="x榮22-08"  ), $AP14 =""),"全日休",  IF(  AND(  OR(  H14="x",H14="病"  ), OR(  I14 ="病"  ), $AP14 =""),"病(事)假",  IF(  AND(  OR(  H14="x",H14="補"  ), OR(  I14 ="補"  ), $AP14 =""),"補休",  IF(  AND(  OR(  H14="x",H14="喪"  ), OR(  I14 ="喪"  ), $AP14 =""),"喪假",  IF(  AND(  OR(  H14="x",H14="婚",H14="產"  ), OR(  I14 ="婚",I14="產"  ), $AP14 =""),"婚(產)假",  IF(  AND(  OR(  H14="x",H14="公"  ), OR(  I14 ="公"  ), $AP14 =""),"公假",  IF(  AND(  OR(  H14="x",H14="補",H14="婚",H14="公",H14="病",H14="事",H14="x榮18-22"  ),OR(I14=""), $AP14 =""  ),"18收",  IF(  AND(  OR(  H14 ="榮14-18",H14 ="榮10-18",H14 ="榮06-18",H14 ="病14-18"  ),OR(  I14 ="x",I14="補",I14="婚",I14="公",I14="病",I14="事",I14="x"  ), $AP14 =""),"18放早走",  IF(  AND(  OR(  H14 =""),OR(  I14 ="x",I14="補",I14="婚",I14="公",I14="病",I14="事",I14="x榮*",I14="榮",I14="榮-22"  ), $AP14 =""),"18放",  IF(  AND(  OR(  H14="當日退伍"  ),OR(  I14="退伍",I14="退", I14=""  ), $AP14 =""),"當日退伍",  IF(AND(  OR(H14="退",H14="退伍" ), OR(I14="退",I14="退伍" ), $AP14 =""),"退伍","全日勤"  )  )  )  )  )  )  )  )  )  )  ),"")</f>
        <v>全日勤</v>
      </c>
      <c r="I55" s="66" t="str">
        <f>IF(   (ROW(AU14)-1)&lt;=暫1!$B$2,           IF(  AND(  OR(  I14="x",I14="補"  ), OR(  J14 ="x",J14="補",J14="x榮18-22",J14="x公18-22",J14="x榮22-08"  ), $AP14 =""),"全日休",  IF(  AND(  OR(  I14="x",I14="病"  ), OR(  J14 ="病"  ), $AP14 =""),"病(事)假",  IF(  AND(  OR(  I14="x",I14="補"  ), OR(  J14 ="補"  ), $AP14 =""),"補休",  IF(  AND(  OR(  I14="x",I14="喪"  ), OR(  J14 ="喪"  ), $AP14 =""),"喪假",  IF(  AND(  OR(  I14="x",I14="婚",I14="產"  ), OR(  J14 ="婚",J14="產"  ), $AP14 =""),"婚(產)假",  IF(  AND(  OR(  I14="x",I14="公"  ), OR(  J14 ="公"  ), $AP14 =""),"公假",  IF(  AND(  OR(  I14="x",I14="補",I14="婚",I14="公",I14="病",I14="事",I14="x榮18-22"  ),OR(J14=""), $AP14 =""  ),"18收",  IF(  AND(  OR(  I14 ="榮14-18",I14 ="榮10-18",I14 ="榮06-18",I14 ="病14-18"  ),OR(  J14 ="x",J14="補",J14="婚",J14="公",J14="病",J14="事",J14="x"  ), $AP14 =""),"18放早走",  IF(  AND(  OR(  I14 =""),OR(  J14 ="x",J14="補",J14="婚",J14="公",J14="病",J14="事",J14="x榮*",J14="榮",J14="榮-22"  ), $AP14 =""),"18放",  IF(  AND(  OR(  I14="當日退伍"  ),OR(  J14="退伍",J14="退", J14=""  ), $AP14 =""),"當日退伍",  IF(AND(  OR(I14="退",I14="退伍" ), OR(J14="退",J14="退伍" ), $AP14 =""),"退伍","全日勤"  )  )  )  )  )  )  )  )  )  )  ),"")</f>
        <v>全日勤</v>
      </c>
      <c r="J55" s="66" t="str">
        <f>IF(   (ROW(AV14)-1)&lt;=暫1!$B$2,           IF(  AND(  OR(  J14="x",J14="補"  ), OR(  K14 ="x",K14="補",K14="x榮18-22",K14="x公18-22",K14="x榮22-08"  ), $AP14 =""),"全日休",  IF(  AND(  OR(  J14="x",J14="病"  ), OR(  K14 ="病"  ), $AP14 =""),"病(事)假",  IF(  AND(  OR(  J14="x",J14="補"  ), OR(  K14 ="補"  ), $AP14 =""),"補休",  IF(  AND(  OR(  J14="x",J14="喪"  ), OR(  K14 ="喪"  ), $AP14 =""),"喪假",  IF(  AND(  OR(  J14="x",J14="婚",J14="產"  ), OR(  K14 ="婚",K14="產"  ), $AP14 =""),"婚(產)假",  IF(  AND(  OR(  J14="x",J14="公"  ), OR(  K14 ="公"  ), $AP14 =""),"公假",  IF(  AND(  OR(  J14="x",J14="補",J14="婚",J14="公",J14="病",J14="事",J14="x榮18-22"  ),OR(K14=""), $AP14 =""  ),"18收",  IF(  AND(  OR(  J14 ="榮14-18",J14 ="榮10-18",J14 ="榮06-18",J14 ="病14-18"  ),OR(  K14 ="x",K14="補",K14="婚",K14="公",K14="病",K14="事",K14="x"  ), $AP14 =""),"18放早走",  IF(  AND(  OR(  J14 =""),OR(  K14 ="x",K14="補",K14="婚",K14="公",K14="病",K14="事",K14="x榮*",K14="榮",K14="榮-22"  ), $AP14 =""),"18放",  IF(  AND(  OR(  J14="當日退伍"  ),OR(  K14="退伍",K14="退", K14=""  ), $AP14 =""),"當日退伍",  IF(AND(  OR(J14="退",J14="退伍" ), OR(K14="退",K14="退伍" ), $AP14 =""),"退伍","全日勤"  )  )  )  )  )  )  )  )  )  )  ),"")</f>
        <v>全日勤</v>
      </c>
      <c r="K55" s="66" t="str">
        <f>IF(   (ROW(AW14)-1)&lt;=暫1!$B$2,           IF(  AND(  OR(  K14="x",K14="補"  ), OR(  L14 ="x",L14="補",L14="x榮18-22",L14="x公18-22",L14="x榮22-08"  ), $AP14 =""),"全日休",  IF(  AND(  OR(  K14="x",K14="病"  ), OR(  L14 ="病"  ), $AP14 =""),"病(事)假",  IF(  AND(  OR(  K14="x",K14="補"  ), OR(  L14 ="補"  ), $AP14 =""),"補休",  IF(  AND(  OR(  K14="x",K14="喪"  ), OR(  L14 ="喪"  ), $AP14 =""),"喪假",  IF(  AND(  OR(  K14="x",K14="婚",K14="產"  ), OR(  L14 ="婚",L14="產"  ), $AP14 =""),"婚(產)假",  IF(  AND(  OR(  K14="x",K14="公"  ), OR(  L14 ="公"  ), $AP14 =""),"公假",  IF(  AND(  OR(  K14="x",K14="補",K14="婚",K14="公",K14="病",K14="事",K14="x榮18-22"  ),OR(L14=""), $AP14 =""  ),"18收",  IF(  AND(  OR(  K14 ="榮14-18",K14 ="榮10-18",K14 ="榮06-18",K14 ="病14-18"  ),OR(  L14 ="x",L14="補",L14="婚",L14="公",L14="病",L14="事",L14="x"  ), $AP14 =""),"18放早走",  IF(  AND(  OR(  K14 =""),OR(  L14 ="x",L14="補",L14="婚",L14="公",L14="病",L14="事",L14="x榮*",L14="榮",L14="榮-22"  ), $AP14 =""),"18放",  IF(  AND(  OR(  K14="當日退伍"  ),OR(  L14="退伍",L14="退", L14=""  ), $AP14 =""),"當日退伍",  IF(AND(  OR(K14="退",K14="退伍" ), OR(L14="退",L14="退伍" ), $AP14 =""),"退伍","全日勤"  )  )  )  )  )  )  )  )  )  )  ),"")</f>
        <v>全日勤</v>
      </c>
      <c r="L55" s="66" t="str">
        <f>IF(   (ROW(AX14)-1)&lt;=暫1!$B$2,           IF(  AND(  OR(  L14="x",L14="補"  ), OR(  M14 ="x",M14="補",M14="x榮18-22",M14="x公18-22",M14="x榮22-08"  ), $AP14 =""),"全日休",  IF(  AND(  OR(  L14="x",L14="病"  ), OR(  M14 ="病"  ), $AP14 =""),"病(事)假",  IF(  AND(  OR(  L14="x",L14="補"  ), OR(  M14 ="補"  ), $AP14 =""),"補休",  IF(  AND(  OR(  L14="x",L14="喪"  ), OR(  M14 ="喪"  ), $AP14 =""),"喪假",  IF(  AND(  OR(  L14="x",L14="婚",L14="產"  ), OR(  M14 ="婚",M14="產"  ), $AP14 =""),"婚(產)假",  IF(  AND(  OR(  L14="x",L14="公"  ), OR(  M14 ="公"  ), $AP14 =""),"公假",  IF(  AND(  OR(  L14="x",L14="補",L14="婚",L14="公",L14="病",L14="事",L14="x榮18-22"  ),OR(M14=""), $AP14 =""  ),"18收",  IF(  AND(  OR(  L14 ="榮14-18",L14 ="榮10-18",L14 ="榮06-18",L14 ="病14-18"  ),OR(  M14 ="x",M14="補",M14="婚",M14="公",M14="病",M14="事",M14="x"  ), $AP14 =""),"18放早走",  IF(  AND(  OR(  L14 =""),OR(  M14 ="x",M14="補",M14="婚",M14="公",M14="病",M14="事",M14="x榮*",M14="榮",M14="榮-22"  ), $AP14 =""),"18放",  IF(  AND(  OR(  L14="當日退伍"  ),OR(  M14="退伍",M14="退", M14=""  ), $AP14 =""),"當日退伍",  IF(AND(  OR(L14="退",L14="退伍" ), OR(M14="退",M14="退伍" ), $AP14 =""),"退伍","全日勤"  )  )  )  )  )  )  )  )  )  )  ),"")</f>
        <v>全日勤</v>
      </c>
      <c r="M55" s="66" t="str">
        <f>IF(   (ROW(AY14)-1)&lt;=暫1!$B$2,           IF(  AND(  OR(  M14="x",M14="補"  ), OR(  N14 ="x",N14="補",N14="x榮18-22",N14="x公18-22",N14="x榮22-08"  ), $AP14 =""),"全日休",  IF(  AND(  OR(  M14="x",M14="病"  ), OR(  N14 ="病"  ), $AP14 =""),"病(事)假",  IF(  AND(  OR(  M14="x",M14="補"  ), OR(  N14 ="補"  ), $AP14 =""),"補休",  IF(  AND(  OR(  M14="x",M14="喪"  ), OR(  N14 ="喪"  ), $AP14 =""),"喪假",  IF(  AND(  OR(  M14="x",M14="婚",M14="產"  ), OR(  N14 ="婚",N14="產"  ), $AP14 =""),"婚(產)假",  IF(  AND(  OR(  M14="x",M14="公"  ), OR(  N14 ="公"  ), $AP14 =""),"公假",  IF(  AND(  OR(  M14="x",M14="補",M14="婚",M14="公",M14="病",M14="事",M14="x榮18-22"  ),OR(N14=""), $AP14 =""  ),"18收",  IF(  AND(  OR(  M14 ="榮14-18",M14 ="榮10-18",M14 ="榮06-18",M14 ="病14-18"  ),OR(  N14 ="x",N14="補",N14="婚",N14="公",N14="病",N14="事",N14="x"  ), $AP14 =""),"18放早走",  IF(  AND(  OR(  M14 =""),OR(  N14 ="x",N14="補",N14="婚",N14="公",N14="病",N14="事",N14="x榮*",N14="榮",N14="榮-22"  ), $AP14 =""),"18放",  IF(  AND(  OR(  M14="當日退伍"  ),OR(  N14="退伍",N14="退", N14=""  ), $AP14 =""),"當日退伍",  IF(AND(  OR(M14="退",M14="退伍" ), OR(N14="退",N14="退伍" ), $AP14 =""),"退伍","全日勤"  )  )  )  )  )  )  )  )  )  )  ),"")</f>
        <v>全日勤</v>
      </c>
      <c r="N55" s="66" t="str">
        <f>IF(   (ROW(AZ14)-1)&lt;=暫1!$B$2,           IF(  AND(  OR(  N14="x",N14="補"  ), OR(  O14 ="x",O14="補",O14="x榮18-22",O14="x公18-22",O14="x榮22-08"  ), $AP14 =""),"全日休",  IF(  AND(  OR(  N14="x",N14="病"  ), OR(  O14 ="病"  ), $AP14 =""),"病(事)假",  IF(  AND(  OR(  N14="x",N14="補"  ), OR(  O14 ="補"  ), $AP14 =""),"補休",  IF(  AND(  OR(  N14="x",N14="喪"  ), OR(  O14 ="喪"  ), $AP14 =""),"喪假",  IF(  AND(  OR(  N14="x",N14="婚",N14="產"  ), OR(  O14 ="婚",O14="產"  ), $AP14 =""),"婚(產)假",  IF(  AND(  OR(  N14="x",N14="公"  ), OR(  O14 ="公"  ), $AP14 =""),"公假",  IF(  AND(  OR(  N14="x",N14="補",N14="婚",N14="公",N14="病",N14="事",N14="x榮18-22"  ),OR(O14=""), $AP14 =""  ),"18收",  IF(  AND(  OR(  N14 ="榮14-18",N14 ="榮10-18",N14 ="榮06-18",N14 ="病14-18"  ),OR(  O14 ="x",O14="補",O14="婚",O14="公",O14="病",O14="事",O14="x"  ), $AP14 =""),"18放早走",  IF(  AND(  OR(  N14 =""),OR(  O14 ="x",O14="補",O14="婚",O14="公",O14="病",O14="事",O14="x榮*",O14="榮",O14="榮-22"  ), $AP14 =""),"18放",  IF(  AND(  OR(  N14="當日退伍"  ),OR(  O14="退伍",O14="退", O14=""  ), $AP14 =""),"當日退伍",  IF(AND(  OR(N14="退",N14="退伍" ), OR(O14="退",O14="退伍" ), $AP14 =""),"退伍","全日勤"  )  )  )  )  )  )  )  )  )  )  ),"")</f>
        <v>全日勤</v>
      </c>
      <c r="O55" s="66" t="str">
        <f>IF(   (ROW(BA14)-1)&lt;=暫1!$B$2,           IF(  AND(  OR(  O14="x",O14="補"  ), OR(  P14 ="x",P14="補",P14="x榮18-22",P14="x公18-22",P14="x榮22-08"  ), $AP14 =""),"全日休",  IF(  AND(  OR(  O14="x",O14="病"  ), OR(  P14 ="病"  ), $AP14 =""),"病(事)假",  IF(  AND(  OR(  O14="x",O14="補"  ), OR(  P14 ="補"  ), $AP14 =""),"補休",  IF(  AND(  OR(  O14="x",O14="喪"  ), OR(  P14 ="喪"  ), $AP14 =""),"喪假",  IF(  AND(  OR(  O14="x",O14="婚",O14="產"  ), OR(  P14 ="婚",P14="產"  ), $AP14 =""),"婚(產)假",  IF(  AND(  OR(  O14="x",O14="公"  ), OR(  P14 ="公"  ), $AP14 =""),"公假",  IF(  AND(  OR(  O14="x",O14="補",O14="婚",O14="公",O14="病",O14="事",O14="x榮18-22"  ),OR(P14=""), $AP14 =""  ),"18收",  IF(  AND(  OR(  O14 ="榮14-18",O14 ="榮10-18",O14 ="榮06-18",O14 ="病14-18"  ),OR(  P14 ="x",P14="補",P14="婚",P14="公",P14="病",P14="事",P14="x"  ), $AP14 =""),"18放早走",  IF(  AND(  OR(  O14 =""),OR(  P14 ="x",P14="補",P14="婚",P14="公",P14="病",P14="事",P14="x榮*",P14="榮",P14="榮-22"  ), $AP14 =""),"18放",  IF(  AND(  OR(  O14="當日退伍"  ),OR(  P14="退伍",P14="退", P14=""  ), $AP14 =""),"當日退伍",  IF(AND(  OR(O14="退",O14="退伍" ), OR(P14="退",P14="退伍" ), $AP14 =""),"退伍","全日勤"  )  )  )  )  )  )  )  )  )  )  ),"")</f>
        <v>全日勤</v>
      </c>
      <c r="P55" s="66" t="str">
        <f>IF(   (ROW(BB14)-1)&lt;=暫1!$B$2,           IF(  AND(  OR(  P14="x",P14="補"  ), OR(  Q14 ="x",Q14="補",Q14="x榮18-22",Q14="x公18-22",Q14="x榮22-08"  ), $AP14 =""),"全日休",  IF(  AND(  OR(  P14="x",P14="病"  ), OR(  Q14 ="病"  ), $AP14 =""),"病(事)假",  IF(  AND(  OR(  P14="x",P14="補"  ), OR(  Q14 ="補"  ), $AP14 =""),"補休",  IF(  AND(  OR(  P14="x",P14="喪"  ), OR(  Q14 ="喪"  ), $AP14 =""),"喪假",  IF(  AND(  OR(  P14="x",P14="婚",P14="產"  ), OR(  Q14 ="婚",Q14="產"  ), $AP14 =""),"婚(產)假",  IF(  AND(  OR(  P14="x",P14="公"  ), OR(  Q14 ="公"  ), $AP14 =""),"公假",  IF(  AND(  OR(  P14="x",P14="補",P14="婚",P14="公",P14="病",P14="事",P14="x榮18-22"  ),OR(Q14=""), $AP14 =""  ),"18收",  IF(  AND(  OR(  P14 ="榮14-18",P14 ="榮10-18",P14 ="榮06-18",P14 ="病14-18"  ),OR(  Q14 ="x",Q14="補",Q14="婚",Q14="公",Q14="病",Q14="事",Q14="x"  ), $AP14 =""),"18放早走",  IF(  AND(  OR(  P14 =""),OR(  Q14 ="x",Q14="補",Q14="婚",Q14="公",Q14="病",Q14="事",Q14="x榮*",Q14="榮",Q14="榮-22"  ), $AP14 =""),"18放",  IF(  AND(  OR(  P14="當日退伍"  ),OR(  Q14="退伍",Q14="退", Q14=""  ), $AP14 =""),"當日退伍",  IF(AND(  OR(P14="退",P14="退伍" ), OR(Q14="退",Q14="退伍" ), $AP14 =""),"退伍","全日勤"  )  )  )  )  )  )  )  )  )  )  ),"")</f>
        <v>全日勤</v>
      </c>
      <c r="Q55" s="66" t="str">
        <f>IF(   (ROW(BC14)-1)&lt;=暫1!$B$2,           IF(  AND(  OR(  Q14="x",Q14="補"  ), OR(  R14 ="x",R14="補",R14="x榮18-22",R14="x公18-22",R14="x榮22-08"  ), $AP14 =""),"全日休",  IF(  AND(  OR(  Q14="x",Q14="病"  ), OR(  R14 ="病"  ), $AP14 =""),"病(事)假",  IF(  AND(  OR(  Q14="x",Q14="補"  ), OR(  R14 ="補"  ), $AP14 =""),"補休",  IF(  AND(  OR(  Q14="x",Q14="喪"  ), OR(  R14 ="喪"  ), $AP14 =""),"喪假",  IF(  AND(  OR(  Q14="x",Q14="婚",Q14="產"  ), OR(  R14 ="婚",R14="產"  ), $AP14 =""),"婚(產)假",  IF(  AND(  OR(  Q14="x",Q14="公"  ), OR(  R14 ="公"  ), $AP14 =""),"公假",  IF(  AND(  OR(  Q14="x",Q14="補",Q14="婚",Q14="公",Q14="病",Q14="事",Q14="x榮18-22"  ),OR(R14=""), $AP14 =""  ),"18收",  IF(  AND(  OR(  Q14 ="榮14-18",Q14 ="榮10-18",Q14 ="榮06-18",Q14 ="病14-18"  ),OR(  R14 ="x",R14="補",R14="婚",R14="公",R14="病",R14="事",R14="x"  ), $AP14 =""),"18放早走",  IF(  AND(  OR(  Q14 =""),OR(  R14 ="x",R14="補",R14="婚",R14="公",R14="病",R14="事",R14="x榮*",R14="榮",R14="榮-22"  ), $AP14 =""),"18放",  IF(  AND(  OR(  Q14="當日退伍"  ),OR(  R14="退伍",R14="退", R14=""  ), $AP14 =""),"當日退伍",  IF(AND(  OR(Q14="退",Q14="退伍" ), OR(R14="退",R14="退伍" ), $AP14 =""),"退伍","全日勤"  )  )  )  )  )  )  )  )  )  )  ),"")</f>
        <v>全日勤</v>
      </c>
      <c r="R55" s="66" t="str">
        <f>IF(   (ROW(BD14)-1)&lt;=暫1!$B$2,           IF(  AND(  OR(  R14="x",R14="補"  ), OR(  S14 ="x",S14="補",S14="x榮18-22",S14="x公18-22",S14="x榮22-08"  ), $AP14 =""),"全日休",  IF(  AND(  OR(  R14="x",R14="病"  ), OR(  S14 ="病"  ), $AP14 =""),"病(事)假",  IF(  AND(  OR(  R14="x",R14="補"  ), OR(  S14 ="補"  ), $AP14 =""),"補休",  IF(  AND(  OR(  R14="x",R14="喪"  ), OR(  S14 ="喪"  ), $AP14 =""),"喪假",  IF(  AND(  OR(  R14="x",R14="婚",R14="產"  ), OR(  S14 ="婚",S14="產"  ), $AP14 =""),"婚(產)假",  IF(  AND(  OR(  R14="x",R14="公"  ), OR(  S14 ="公"  ), $AP14 =""),"公假",  IF(  AND(  OR(  R14="x",R14="補",R14="婚",R14="公",R14="病",R14="事",R14="x榮18-22"  ),OR(S14=""), $AP14 =""  ),"18收",  IF(  AND(  OR(  R14 ="榮14-18",R14 ="榮10-18",R14 ="榮06-18",R14 ="病14-18"  ),OR(  S14 ="x",S14="補",S14="婚",S14="公",S14="病",S14="事",S14="x"  ), $AP14 =""),"18放早走",  IF(  AND(  OR(  R14 =""),OR(  S14 ="x",S14="補",S14="婚",S14="公",S14="病",S14="事",S14="x榮*",S14="榮",S14="榮-22"  ), $AP14 =""),"18放",  IF(  AND(  OR(  R14="當日退伍"  ),OR(  S14="退伍",S14="退", S14=""  ), $AP14 =""),"當日退伍",  IF(AND(  OR(R14="退",R14="退伍" ), OR(S14="退",S14="退伍" ), $AP14 =""),"退伍","全日勤"  )  )  )  )  )  )  )  )  )  )  ),"")</f>
        <v>全日勤</v>
      </c>
      <c r="S55" s="66" t="str">
        <f>IF(   (ROW(BE14)-1)&lt;=暫1!$B$2,           IF(  AND(  OR(  S14="x",S14="補"  ), OR(  T14 ="x",T14="補",T14="x榮18-22",T14="x公18-22",T14="x榮22-08"  ), $AP14 =""),"全日休",  IF(  AND(  OR(  S14="x",S14="病"  ), OR(  T14 ="病"  ), $AP14 =""),"病(事)假",  IF(  AND(  OR(  S14="x",S14="補"  ), OR(  T14 ="補"  ), $AP14 =""),"補休",  IF(  AND(  OR(  S14="x",S14="喪"  ), OR(  T14 ="喪"  ), $AP14 =""),"喪假",  IF(  AND(  OR(  S14="x",S14="婚",S14="產"  ), OR(  T14 ="婚",T14="產"  ), $AP14 =""),"婚(產)假",  IF(  AND(  OR(  S14="x",S14="公"  ), OR(  T14 ="公"  ), $AP14 =""),"公假",  IF(  AND(  OR(  S14="x",S14="補",S14="婚",S14="公",S14="病",S14="事",S14="x榮18-22"  ),OR(T14=""), $AP14 =""  ),"18收",  IF(  AND(  OR(  S14 ="榮14-18",S14 ="榮10-18",S14 ="榮06-18",S14 ="病14-18"  ),OR(  T14 ="x",T14="補",T14="婚",T14="公",T14="病",T14="事",T14="x"  ), $AP14 =""),"18放早走",  IF(  AND(  OR(  S14 =""),OR(  T14 ="x",T14="補",T14="婚",T14="公",T14="病",T14="事",T14="x榮*",T14="榮",T14="榮-22"  ), $AP14 =""),"18放",  IF(  AND(  OR(  S14="當日退伍"  ),OR(  T14="退伍",T14="退", T14=""  ), $AP14 =""),"當日退伍",  IF(AND(  OR(S14="退",S14="退伍" ), OR(T14="退",T14="退伍" ), $AP14 =""),"退伍","全日勤"  )  )  )  )  )  )  )  )  )  )  ),"")</f>
        <v>全日勤</v>
      </c>
      <c r="T55" s="66" t="str">
        <f>IF(   (ROW(BF14)-1)&lt;=暫1!$B$2,           IF(  AND(  OR(  T14="x",T14="補"  ), OR(  U14 ="x",U14="補",U14="x榮18-22",U14="x公18-22",U14="x榮22-08"  ), $AP14 =""),"全日休",  IF(  AND(  OR(  T14="x",T14="病"  ), OR(  U14 ="病"  ), $AP14 =""),"病(事)假",  IF(  AND(  OR(  T14="x",T14="補"  ), OR(  U14 ="補"  ), $AP14 =""),"補休",  IF(  AND(  OR(  T14="x",T14="喪"  ), OR(  U14 ="喪"  ), $AP14 =""),"喪假",  IF(  AND(  OR(  T14="x",T14="婚",T14="產"  ), OR(  U14 ="婚",U14="產"  ), $AP14 =""),"婚(產)假",  IF(  AND(  OR(  T14="x",T14="公"  ), OR(  U14 ="公"  ), $AP14 =""),"公假",  IF(  AND(  OR(  T14="x",T14="補",T14="婚",T14="公",T14="病",T14="事",T14="x榮18-22"  ),OR(U14=""), $AP14 =""  ),"18收",  IF(  AND(  OR(  T14 ="榮14-18",T14 ="榮10-18",T14 ="榮06-18",T14 ="病14-18"  ),OR(  U14 ="x",U14="補",U14="婚",U14="公",U14="病",U14="事",U14="x"  ), $AP14 =""),"18放早走",  IF(  AND(  OR(  T14 =""),OR(  U14 ="x",U14="補",U14="婚",U14="公",U14="病",U14="事",U14="x榮*",U14="榮",U14="榮-22"  ), $AP14 =""),"18放",  IF(  AND(  OR(  T14="當日退伍"  ),OR(  U14="退伍",U14="退", U14=""  ), $AP14 =""),"當日退伍",  IF(AND(  OR(T14="退",T14="退伍" ), OR(U14="退",U14="退伍" ), $AP14 =""),"退伍","全日勤"  )  )  )  )  )  )  )  )  )  )  ),"")</f>
        <v>全日勤</v>
      </c>
      <c r="U55" s="66" t="str">
        <f>IF(   (ROW(BG14)-1)&lt;=暫1!$B$2,           IF(  AND(  OR(  U14="x",U14="補"  ), OR(  V14 ="x",V14="補",V14="x榮18-22",V14="x公18-22",V14="x榮22-08"  ), $AP14 =""),"全日休",  IF(  AND(  OR(  U14="x",U14="病"  ), OR(  V14 ="病"  ), $AP14 =""),"病(事)假",  IF(  AND(  OR(  U14="x",U14="補"  ), OR(  V14 ="補"  ), $AP14 =""),"補休",  IF(  AND(  OR(  U14="x",U14="喪"  ), OR(  V14 ="喪"  ), $AP14 =""),"喪假",  IF(  AND(  OR(  U14="x",U14="婚",U14="產"  ), OR(  V14 ="婚",V14="產"  ), $AP14 =""),"婚(產)假",  IF(  AND(  OR(  U14="x",U14="公"  ), OR(  V14 ="公"  ), $AP14 =""),"公假",  IF(  AND(  OR(  U14="x",U14="補",U14="婚",U14="公",U14="病",U14="事",U14="x榮18-22"  ),OR(V14=""), $AP14 =""  ),"18收",  IF(  AND(  OR(  U14 ="榮14-18",U14 ="榮10-18",U14 ="榮06-18",U14 ="病14-18"  ),OR(  V14 ="x",V14="補",V14="婚",V14="公",V14="病",V14="事",V14="x"  ), $AP14 =""),"18放早走",  IF(  AND(  OR(  U14 =""),OR(  V14 ="x",V14="補",V14="婚",V14="公",V14="病",V14="事",V14="x榮*",V14="榮",V14="榮-22"  ), $AP14 =""),"18放",  IF(  AND(  OR(  U14="當日退伍"  ),OR(  V14="退伍",V14="退", V14=""  ), $AP14 =""),"當日退伍",  IF(AND(  OR(U14="退",U14="退伍" ), OR(V14="退",V14="退伍" ), $AP14 =""),"退伍","全日勤"  )  )  )  )  )  )  )  )  )  )  ),"")</f>
        <v>全日勤</v>
      </c>
      <c r="V55" s="66" t="str">
        <f>IF(   (ROW(BH14)-1)&lt;=暫1!$B$2,           IF(  AND(  OR(  V14="x",V14="補"  ), OR(  W14 ="x",W14="補",W14="x榮18-22",W14="x公18-22",W14="x榮22-08"  ), $AP14 =""),"全日休",  IF(  AND(  OR(  V14="x",V14="病"  ), OR(  W14 ="病"  ), $AP14 =""),"病(事)假",  IF(  AND(  OR(  V14="x",V14="補"  ), OR(  W14 ="補"  ), $AP14 =""),"補休",  IF(  AND(  OR(  V14="x",V14="喪"  ), OR(  W14 ="喪"  ), $AP14 =""),"喪假",  IF(  AND(  OR(  V14="x",V14="婚",V14="產"  ), OR(  W14 ="婚",W14="產"  ), $AP14 =""),"婚(產)假",  IF(  AND(  OR(  V14="x",V14="公"  ), OR(  W14 ="公"  ), $AP14 =""),"公假",  IF(  AND(  OR(  V14="x",V14="補",V14="婚",V14="公",V14="病",V14="事",V14="x榮18-22"  ),OR(W14=""), $AP14 =""  ),"18收",  IF(  AND(  OR(  V14 ="榮14-18",V14 ="榮10-18",V14 ="榮06-18",V14 ="病14-18"  ),OR(  W14 ="x",W14="補",W14="婚",W14="公",W14="病",W14="事",W14="x"  ), $AP14 =""),"18放早走",  IF(  AND(  OR(  V14 =""),OR(  W14 ="x",W14="補",W14="婚",W14="公",W14="病",W14="事",W14="x榮*",W14="榮",W14="榮-22"  ), $AP14 =""),"18放",  IF(  AND(  OR(  V14="當日退伍"  ),OR(  W14="退伍",W14="退", W14=""  ), $AP14 =""),"當日退伍",  IF(AND(  OR(V14="退",V14="退伍" ), OR(W14="退",W14="退伍" ), $AP14 =""),"退伍","全日勤"  )  )  )  )  )  )  )  )  )  )  ),"")</f>
        <v>全日勤</v>
      </c>
      <c r="W55" s="66" t="str">
        <f>IF(   (ROW(BI14)-1)&lt;=暫1!$B$2,           IF(  AND(  OR(  W14="x",W14="補"  ), OR(  X14 ="x",X14="補",X14="x榮18-22",X14="x公18-22",X14="x榮22-08"  ), $AP14 =""),"全日休",  IF(  AND(  OR(  W14="x",W14="病"  ), OR(  X14 ="病"  ), $AP14 =""),"病(事)假",  IF(  AND(  OR(  W14="x",W14="補"  ), OR(  X14 ="補"  ), $AP14 =""),"補休",  IF(  AND(  OR(  W14="x",W14="喪"  ), OR(  X14 ="喪"  ), $AP14 =""),"喪假",  IF(  AND(  OR(  W14="x",W14="婚",W14="產"  ), OR(  X14 ="婚",X14="產"  ), $AP14 =""),"婚(產)假",  IF(  AND(  OR(  W14="x",W14="公"  ), OR(  X14 ="公"  ), $AP14 =""),"公假",  IF(  AND(  OR(  W14="x",W14="補",W14="婚",W14="公",W14="病",W14="事",W14="x榮18-22"  ),OR(X14=""), $AP14 =""  ),"18收",  IF(  AND(  OR(  W14 ="榮14-18",W14 ="榮10-18",W14 ="榮06-18",W14 ="病14-18"  ),OR(  X14 ="x",X14="補",X14="婚",X14="公",X14="病",X14="事",X14="x"  ), $AP14 =""),"18放早走",  IF(  AND(  OR(  W14 =""),OR(  X14 ="x",X14="補",X14="婚",X14="公",X14="病",X14="事",X14="x榮*",X14="榮",X14="榮-22"  ), $AP14 =""),"18放",  IF(  AND(  OR(  W14="當日退伍"  ),OR(  X14="退伍",X14="退", X14=""  ), $AP14 =""),"當日退伍",  IF(AND(  OR(W14="退",W14="退伍" ), OR(X14="退",X14="退伍" ), $AP14 =""),"退伍","全日勤"  )  )  )  )  )  )  )  )  )  )  ),"")</f>
        <v>全日勤</v>
      </c>
      <c r="X55" s="66" t="str">
        <f>IF(   (ROW(BJ14)-1)&lt;=暫1!$B$2,           IF(  AND(  OR(  X14="x",X14="補"  ), OR(  Y14 ="x",Y14="補",Y14="x榮18-22",Y14="x公18-22",Y14="x榮22-08"  ), $AP14 =""),"全日休",  IF(  AND(  OR(  X14="x",X14="病"  ), OR(  Y14 ="病"  ), $AP14 =""),"病(事)假",  IF(  AND(  OR(  X14="x",X14="補"  ), OR(  Y14 ="補"  ), $AP14 =""),"補休",  IF(  AND(  OR(  X14="x",X14="喪"  ), OR(  Y14 ="喪"  ), $AP14 =""),"喪假",  IF(  AND(  OR(  X14="x",X14="婚",X14="產"  ), OR(  Y14 ="婚",Y14="產"  ), $AP14 =""),"婚(產)假",  IF(  AND(  OR(  X14="x",X14="公"  ), OR(  Y14 ="公"  ), $AP14 =""),"公假",  IF(  AND(  OR(  X14="x",X14="補",X14="婚",X14="公",X14="病",X14="事",X14="x榮18-22"  ),OR(Y14=""), $AP14 =""  ),"18收",  IF(  AND(  OR(  X14 ="榮14-18",X14 ="榮10-18",X14 ="榮06-18",X14 ="病14-18"  ),OR(  Y14 ="x",Y14="補",Y14="婚",Y14="公",Y14="病",Y14="事",Y14="x"  ), $AP14 =""),"18放早走",  IF(  AND(  OR(  X14 =""),OR(  Y14 ="x",Y14="補",Y14="婚",Y14="公",Y14="病",Y14="事",Y14="x榮*",Y14="榮",Y14="榮-22"  ), $AP14 =""),"18放",  IF(  AND(  OR(  X14="當日退伍"  ),OR(  Y14="退伍",Y14="退", Y14=""  ), $AP14 =""),"當日退伍",  IF(AND(  OR(X14="退",X14="退伍" ), OR(Y14="退",Y14="退伍" ), $AP14 =""),"退伍","全日勤"  )  )  )  )  )  )  )  )  )  )  ),"")</f>
        <v>全日勤</v>
      </c>
      <c r="Y55" s="66" t="str">
        <f>IF(   (ROW(BK14)-1)&lt;=暫1!$B$2,           IF(  AND(  OR(  Y14="x",Y14="補"  ), OR(  Z14 ="x",Z14="補",Z14="x榮18-22",Z14="x公18-22",Z14="x榮22-08"  ), $AP14 =""),"全日休",  IF(  AND(  OR(  Y14="x",Y14="病"  ), OR(  Z14 ="病"  ), $AP14 =""),"病(事)假",  IF(  AND(  OR(  Y14="x",Y14="補"  ), OR(  Z14 ="補"  ), $AP14 =""),"補休",  IF(  AND(  OR(  Y14="x",Y14="喪"  ), OR(  Z14 ="喪"  ), $AP14 =""),"喪假",  IF(  AND(  OR(  Y14="x",Y14="婚",Y14="產"  ), OR(  Z14 ="婚",Z14="產"  ), $AP14 =""),"婚(產)假",  IF(  AND(  OR(  Y14="x",Y14="公"  ), OR(  Z14 ="公"  ), $AP14 =""),"公假",  IF(  AND(  OR(  Y14="x",Y14="補",Y14="婚",Y14="公",Y14="病",Y14="事",Y14="x榮18-22"  ),OR(Z14=""), $AP14 =""  ),"18收",  IF(  AND(  OR(  Y14 ="榮14-18",Y14 ="榮10-18",Y14 ="榮06-18",Y14 ="病14-18"  ),OR(  Z14 ="x",Z14="補",Z14="婚",Z14="公",Z14="病",Z14="事",Z14="x"  ), $AP14 =""),"18放早走",  IF(  AND(  OR(  Y14 =""),OR(  Z14 ="x",Z14="補",Z14="婚",Z14="公",Z14="病",Z14="事",Z14="x榮*",Z14="榮",Z14="榮-22"  ), $AP14 =""),"18放",  IF(  AND(  OR(  Y14="當日退伍"  ),OR(  Z14="退伍",Z14="退", Z14=""  ), $AP14 =""),"當日退伍",  IF(AND(  OR(Y14="退",Y14="退伍" ), OR(Z14="退",Z14="退伍" ), $AP14 =""),"退伍","全日勤"  )  )  )  )  )  )  )  )  )  )  ),"")</f>
        <v>全日勤</v>
      </c>
      <c r="Z55" s="66" t="str">
        <f>IF(   (ROW(BL14)-1)&lt;=暫1!$B$2,           IF(  AND(  OR(  Z14="x",Z14="補"  ), OR(  AA14 ="x",AA14="補",AA14="x榮18-22",AA14="x公18-22",AA14="x榮22-08"  ), $AP14 =""),"全日休",  IF(  AND(  OR(  Z14="x",Z14="病"  ), OR(  AA14 ="病"  ), $AP14 =""),"病(事)假",  IF(  AND(  OR(  Z14="x",Z14="補"  ), OR(  AA14 ="補"  ), $AP14 =""),"補休",  IF(  AND(  OR(  Z14="x",Z14="喪"  ), OR(  AA14 ="喪"  ), $AP14 =""),"喪假",  IF(  AND(  OR(  Z14="x",Z14="婚",Z14="產"  ), OR(  AA14 ="婚",AA14="產"  ), $AP14 =""),"婚(產)假",  IF(  AND(  OR(  Z14="x",Z14="公"  ), OR(  AA14 ="公"  ), $AP14 =""),"公假",  IF(  AND(  OR(  Z14="x",Z14="補",Z14="婚",Z14="公",Z14="病",Z14="事",Z14="x榮18-22"  ),OR(AA14=""), $AP14 =""  ),"18收",  IF(  AND(  OR(  Z14 ="榮14-18",Z14 ="榮10-18",Z14 ="榮06-18",Z14 ="病14-18"  ),OR(  AA14 ="x",AA14="補",AA14="婚",AA14="公",AA14="病",AA14="事",AA14="x"  ), $AP14 =""),"18放早走",  IF(  AND(  OR(  Z14 =""),OR(  AA14 ="x",AA14="補",AA14="婚",AA14="公",AA14="病",AA14="事",AA14="x榮*",AA14="榮",AA14="榮-22"  ), $AP14 =""),"18放",  IF(  AND(  OR(  Z14="當日退伍"  ),OR(  AA14="退伍",AA14="退", AA14=""  ), $AP14 =""),"當日退伍",  IF(AND(  OR(Z14="退",Z14="退伍" ), OR(AA14="退",AA14="退伍" ), $AP14 =""),"退伍","全日勤"  )  )  )  )  )  )  )  )  )  )  ),"")</f>
        <v>全日勤</v>
      </c>
      <c r="AA55" s="66" t="str">
        <f>IF(   (ROW(BM14)-1)&lt;=暫1!$B$2,           IF(  AND(  OR(  AA14="x",AA14="補"  ), OR(  AB14 ="x",AB14="補",AB14="x榮18-22",AB14="x公18-22",AB14="x榮22-08"  ), $AP14 =""),"全日休",  IF(  AND(  OR(  AA14="x",AA14="病"  ), OR(  AB14 ="病"  ), $AP14 =""),"病(事)假",  IF(  AND(  OR(  AA14="x",AA14="補"  ), OR(  AB14 ="補"  ), $AP14 =""),"補休",  IF(  AND(  OR(  AA14="x",AA14="喪"  ), OR(  AB14 ="喪"  ), $AP14 =""),"喪假",  IF(  AND(  OR(  AA14="x",AA14="婚",AA14="產"  ), OR(  AB14 ="婚",AB14="產"  ), $AP14 =""),"婚(產)假",  IF(  AND(  OR(  AA14="x",AA14="公"  ), OR(  AB14 ="公"  ), $AP14 =""),"公假",  IF(  AND(  OR(  AA14="x",AA14="補",AA14="婚",AA14="公",AA14="病",AA14="事",AA14="x榮18-22"  ),OR(AB14=""), $AP14 =""  ),"18收",  IF(  AND(  OR(  AA14 ="榮14-18",AA14 ="榮10-18",AA14 ="榮06-18",AA14 ="病14-18"  ),OR(  AB14 ="x",AB14="補",AB14="婚",AB14="公",AB14="病",AB14="事",AB14="x"  ), $AP14 =""),"18放早走",  IF(  AND(  OR(  AA14 =""),OR(  AB14 ="x",AB14="補",AB14="婚",AB14="公",AB14="病",AB14="事",AB14="x榮*",AB14="榮",AB14="榮-22"  ), $AP14 =""),"18放",  IF(  AND(  OR(  AA14="當日退伍"  ),OR(  AB14="退伍",AB14="退", AB14=""  ), $AP14 =""),"當日退伍",  IF(AND(  OR(AA14="退",AA14="退伍" ), OR(AB14="退",AB14="退伍" ), $AP14 =""),"退伍","全日勤"  )  )  )  )  )  )  )  )  )  )  ),"")</f>
        <v>全日勤</v>
      </c>
      <c r="AB55" s="66" t="str">
        <f>IF(   (ROW(BN14)-1)&lt;=暫1!$B$2,           IF(  AND(  OR(  AB14="x",AB14="補"  ), OR(  AC14 ="x",AC14="補",AC14="x榮18-22",AC14="x公18-22",AC14="x榮22-08"  ), $AP14 =""),"全日休",  IF(  AND(  OR(  AB14="x",AB14="病"  ), OR(  AC14 ="病"  ), $AP14 =""),"病(事)假",  IF(  AND(  OR(  AB14="x",AB14="補"  ), OR(  AC14 ="補"  ), $AP14 =""),"補休",  IF(  AND(  OR(  AB14="x",AB14="喪"  ), OR(  AC14 ="喪"  ), $AP14 =""),"喪假",  IF(  AND(  OR(  AB14="x",AB14="婚",AB14="產"  ), OR(  AC14 ="婚",AC14="產"  ), $AP14 =""),"婚(產)假",  IF(  AND(  OR(  AB14="x",AB14="公"  ), OR(  AC14 ="公"  ), $AP14 =""),"公假",  IF(  AND(  OR(  AB14="x",AB14="補",AB14="婚",AB14="公",AB14="病",AB14="事",AB14="x榮18-22"  ),OR(AC14=""), $AP14 =""  ),"18收",  IF(  AND(  OR(  AB14 ="榮14-18",AB14 ="榮10-18",AB14 ="榮06-18",AB14 ="病14-18"  ),OR(  AC14 ="x",AC14="補",AC14="婚",AC14="公",AC14="病",AC14="事",AC14="x"  ), $AP14 =""),"18放早走",  IF(  AND(  OR(  AB14 =""),OR(  AC14 ="x",AC14="補",AC14="婚",AC14="公",AC14="病",AC14="事",AC14="x榮*",AC14="榮",AC14="榮-22"  ), $AP14 =""),"18放",  IF(  AND(  OR(  AB14="當日退伍"  ),OR(  AC14="退伍",AC14="退", AC14=""  ), $AP14 =""),"當日退伍",  IF(AND(  OR(AB14="退",AB14="退伍" ), OR(AC14="退",AC14="退伍" ), $AP14 =""),"退伍","全日勤"  )  )  )  )  )  )  )  )  )  )  ),"")</f>
        <v>全日勤</v>
      </c>
      <c r="AC55" s="66" t="str">
        <f>IF(   (ROW(BO14)-1)&lt;=暫1!$B$2,           IF(  AND(  OR(  AC14="x",AC14="補"  ), OR(  AD14 ="x",AD14="補",AD14="x榮18-22",AD14="x公18-22",AD14="x榮22-08"  ), $AP14 =""),"全日休",  IF(  AND(  OR(  AC14="x",AC14="病"  ), OR(  AD14 ="病"  ), $AP14 =""),"病(事)假",  IF(  AND(  OR(  AC14="x",AC14="補"  ), OR(  AD14 ="補"  ), $AP14 =""),"補休",  IF(  AND(  OR(  AC14="x",AC14="喪"  ), OR(  AD14 ="喪"  ), $AP14 =""),"喪假",  IF(  AND(  OR(  AC14="x",AC14="婚",AC14="產"  ), OR(  AD14 ="婚",AD14="產"  ), $AP14 =""),"婚(產)假",  IF(  AND(  OR(  AC14="x",AC14="公"  ), OR(  AD14 ="公"  ), $AP14 =""),"公假",  IF(  AND(  OR(  AC14="x",AC14="補",AC14="婚",AC14="公",AC14="病",AC14="事",AC14="x榮18-22"  ),OR(AD14=""), $AP14 =""  ),"18收",  IF(  AND(  OR(  AC14 ="榮14-18",AC14 ="榮10-18",AC14 ="榮06-18",AC14 ="病14-18"  ),OR(  AD14 ="x",AD14="補",AD14="婚",AD14="公",AD14="病",AD14="事",AD14="x"  ), $AP14 =""),"18放早走",  IF(  AND(  OR(  AC14 =""),OR(  AD14 ="x",AD14="補",AD14="婚",AD14="公",AD14="病",AD14="事",AD14="x榮*",AD14="榮",AD14="榮-22"  ), $AP14 =""),"18放",  IF(  AND(  OR(  AC14="當日退伍"  ),OR(  AD14="退伍",AD14="退", AD14=""  ), $AP14 =""),"當日退伍",  IF(AND(  OR(AC14="退",AC14="退伍" ), OR(AD14="退",AD14="退伍" ), $AP14 =""),"退伍","全日勤"  )  )  )  )  )  )  )  )  )  )  ),"")</f>
        <v>全日勤</v>
      </c>
      <c r="AD55" s="66" t="str">
        <f>IF(   (ROW(BP14)-1)&lt;=暫1!$B$2,           IF(  AND(  OR(  AD14="x",AD14="補"  ), OR(  AE14 ="x",AE14="補",AE14="x榮18-22",AE14="x公18-22",AE14="x榮22-08"  ), $AP14 =""),"全日休",  IF(  AND(  OR(  AD14="x",AD14="病"  ), OR(  AE14 ="病"  ), $AP14 =""),"病(事)假",  IF(  AND(  OR(  AD14="x",AD14="補"  ), OR(  AE14 ="補"  ), $AP14 =""),"補休",  IF(  AND(  OR(  AD14="x",AD14="喪"  ), OR(  AE14 ="喪"  ), $AP14 =""),"喪假",  IF(  AND(  OR(  AD14="x",AD14="婚",AD14="產"  ), OR(  AE14 ="婚",AE14="產"  ), $AP14 =""),"婚(產)假",  IF(  AND(  OR(  AD14="x",AD14="公"  ), OR(  AE14 ="公"  ), $AP14 =""),"公假",  IF(  AND(  OR(  AD14="x",AD14="補",AD14="婚",AD14="公",AD14="病",AD14="事",AD14="x榮18-22"  ),OR(AE14=""), $AP14 =""  ),"18收",  IF(  AND(  OR(  AD14 ="榮14-18",AD14 ="榮10-18",AD14 ="榮06-18",AD14 ="病14-18"  ),OR(  AE14 ="x",AE14="補",AE14="婚",AE14="公",AE14="病",AE14="事",AE14="x"  ), $AP14 =""),"18放早走",  IF(  AND(  OR(  AD14 =""),OR(  AE14 ="x",AE14="補",AE14="婚",AE14="公",AE14="病",AE14="事",AE14="x榮*",AE14="榮",AE14="榮-22"  ), $AP14 =""),"18放",  IF(  AND(  OR(  AD14="當日退伍"  ),OR(  AE14="退伍",AE14="退", AE14=""  ), $AP14 =""),"當日退伍",  IF(AND(  OR(AD14="退",AD14="退伍" ), OR(AE14="退",AE14="退伍" ), $AP14 =""),"退伍","全日勤"  )  )  )  )  )  )  )  )  )  )  ),"")</f>
        <v>全日勤</v>
      </c>
      <c r="AE55" s="66" t="str">
        <f>IF(   (ROW(BQ14)-1)&lt;=暫1!$B$2,           IF(  AND(  OR(  AE14="x",AE14="補"  ), OR(  AF14 ="x",AF14="補",AF14="x榮18-22",AF14="x公18-22",AF14="x榮22-08"  ), $AP14 =""),"全日休",  IF(  AND(  OR(  AE14="x",AE14="病"  ), OR(  AF14 ="病"  ), $AP14 =""),"病(事)假",  IF(  AND(  OR(  AE14="x",AE14="補"  ), OR(  AF14 ="補"  ), $AP14 =""),"補休",  IF(  AND(  OR(  AE14="x",AE14="喪"  ), OR(  AF14 ="喪"  ), $AP14 =""),"喪假",  IF(  AND(  OR(  AE14="x",AE14="婚",AE14="產"  ), OR(  AF14 ="婚",AF14="產"  ), $AP14 =""),"婚(產)假",  IF(  AND(  OR(  AE14="x",AE14="公"  ), OR(  AF14 ="公"  ), $AP14 =""),"公假",  IF(  AND(  OR(  AE14="x",AE14="補",AE14="婚",AE14="公",AE14="病",AE14="事",AE14="x榮18-22"  ),OR(AF14=""), $AP14 =""  ),"18收",  IF(  AND(  OR(  AE14 ="榮14-18",AE14 ="榮10-18",AE14 ="榮06-18",AE14 ="病14-18"  ),OR(  AF14 ="x",AF14="補",AF14="婚",AF14="公",AF14="病",AF14="事",AF14="x"  ), $AP14 =""),"18放早走",  IF(  AND(  OR(  AE14 =""),OR(  AF14 ="x",AF14="補",AF14="婚",AF14="公",AF14="病",AF14="事",AF14="x榮*",AF14="榮",AF14="榮-22"  ), $AP14 =""),"18放",  IF(  AND(  OR(  AE14="當日退伍"  ),OR(  AF14="退伍",AF14="退", AF14=""  ), $AP14 =""),"當日退伍",  IF(AND(  OR(AE14="退",AE14="退伍" ), OR(AF14="退",AF14="退伍" ), $AP14 =""),"退伍","全日勤"  )  )  )  )  )  )  )  )  )  )  ),"")</f>
        <v>全日勤</v>
      </c>
      <c r="AF55" s="66" t="str">
        <f>IF(   (ROW(BR14)-1)&lt;=暫1!$B$2,           IF(  AND(  OR(  AF14="x",AF14="補"  ), OR(  AG14 ="x",AG14="補",AG14="x榮18-22",AG14="x公18-22",AG14="x榮22-08"  ), $AP14 =""),"全日休",  IF(  AND(  OR(  AF14="x",AF14="病"  ), OR(  AG14 ="病"  ), $AP14 =""),"病(事)假",  IF(  AND(  OR(  AF14="x",AF14="補"  ), OR(  AG14 ="補"  ), $AP14 =""),"補休",  IF(  AND(  OR(  AF14="x",AF14="喪"  ), OR(  AG14 ="喪"  ), $AP14 =""),"喪假",  IF(  AND(  OR(  AF14="x",AF14="婚",AF14="產"  ), OR(  AG14 ="婚",AG14="產"  ), $AP14 =""),"婚(產)假",  IF(  AND(  OR(  AF14="x",AF14="公"  ), OR(  AG14 ="公"  ), $AP14 =""),"公假",  IF(  AND(  OR(  AF14="x",AF14="補",AF14="婚",AF14="公",AF14="病",AF14="事",AF14="x榮18-22"  ),OR(AG14=""), $AP14 =""  ),"18收",  IF(  AND(  OR(  AF14 ="榮14-18",AF14 ="榮10-18",AF14 ="榮06-18",AF14 ="病14-18"  ),OR(  AG14 ="x",AG14="補",AG14="婚",AG14="公",AG14="病",AG14="事",AG14="x"  ), $AP14 =""),"18放早走",  IF(  AND(  OR(  AF14 =""),OR(  AG14 ="x",AG14="補",AG14="婚",AG14="公",AG14="病",AG14="事",AG14="x榮*",AG14="榮",AG14="榮-22"  ), $AP14 =""),"18放",  IF(  AND(  OR(  AF14="當日退伍"  ),OR(  AG14="退伍",AG14="退", AG14=""  ), $AP14 =""),"當日退伍",  IF(AND(  OR(AF14="退",AF14="退伍" ), OR(AG14="退",AG14="退伍" ), $AP14 =""),"退伍","全日勤"  )  )  )  )  )  )  )  )  )  )  ),"")</f>
        <v>18放</v>
      </c>
      <c r="AG55" s="66" t="str">
        <f>IF(   (ROW(BS14)-1)&lt;=暫1!$B$2,           IF(  AND(  OR(  AG14="x",AG14="補"  ), OR(  AH14 ="x",AH14="補",AH14="x榮18-22",AH14="x公18-22",AH14="x榮22-08"  ), $AP14 =""),"全日休",  IF(  AND(  OR(  AG14="x",AG14="病"  ), OR(  AH14 ="病"  ), $AP14 =""),"病(事)假",  IF(  AND(  OR(  AG14="x",AG14="補"  ), OR(  AH14 ="補"  ), $AP14 =""),"補休",  IF(  AND(  OR(  AG14="x",AG14="喪"  ), OR(  AH14 ="喪"  ), $AP14 =""),"喪假",  IF(  AND(  OR(  AG14="x",AG14="婚",AG14="產"  ), OR(  AH14 ="婚",AH14="產"  ), $AP14 =""),"婚(產)假",  IF(  AND(  OR(  AG14="x",AG14="公"  ), OR(  AH14 ="公"  ), $AP14 =""),"公假",  IF(  AND(  OR(  AG14="x",AG14="補",AG14="婚",AG14="公",AG14="病",AG14="事",AG14="x榮18-22"  ),OR(AH14=""), $AP14 =""  ),"18收",  IF(  AND(  OR(  AG14 ="榮14-18",AG14 ="榮10-18",AG14 ="榮06-18",AG14 ="病14-18"  ),OR(  AH14 ="x",AH14="補",AH14="婚",AH14="公",AH14="病",AH14="事",AH14="x"  ), $AP14 =""),"18放早走",  IF(  AND(  OR(  AG14 =""),OR(  AH14 ="x",AH14="補",AH14="婚",AH14="公",AH14="病",AH14="事",AH14="x榮*",AH14="榮",AH14="榮-22"  ), $AP14 =""),"18放",  IF(  AND(  OR(  AG14="當日退伍"  ),OR(  AH14="退伍",AH14="退", AH14=""  ), $AP14 =""),"當日退伍",  IF(AND(  OR(AG14="退",AG14="退伍" ), OR(AH14="退",AH14="退伍" ), $AP14 =""),"退伍","全日勤"  )  )  )  )  )  )  )  )  )  )  ),"")</f>
        <v>18收</v>
      </c>
      <c r="AH55" s="66" t="str">
        <f>IF(   (ROW(BT14)-1)&lt;=暫1!$B$2,           IF(  AND(  OR(  AH14="x",AH14="補"  ), OR(  AI14 ="x",AI14="補",AI14="x榮18-22",AI14="x公18-22",AI14="x榮22-08"  ), $AP14 =""),"全日休",  IF(  AND(  OR(  AH14="x",AH14="病"  ), OR(  AI14 ="病"  ), $AP14 =""),"病(事)假",  IF(  AND(  OR(  AH14="x",AH14="補"  ), OR(  AI14 ="補"  ), $AP14 =""),"補休",  IF(  AND(  OR(  AH14="x",AH14="喪"  ), OR(  AI14 ="喪"  ), $AP14 =""),"喪假",  IF(  AND(  OR(  AH14="x",AH14="婚",AH14="產"  ), OR(  AI14 ="婚",AI14="產"  ), $AP14 =""),"婚(產)假",  IF(  AND(  OR(  AH14="x",AH14="公"  ), OR(  AI14 ="公"  ), $AP14 =""),"公假",  IF(  AND(  OR(  AH14="x",AH14="補",AH14="婚",AH14="公",AH14="病",AH14="事",AH14="x榮18-22"  ),OR(AI14=""), $AP14 =""  ),"18收",  IF(  AND(  OR(  AH14 ="榮14-18",AH14 ="榮10-18",AH14 ="榮06-18",AH14 ="病14-18"  ),OR(  AI14 ="x",AI14="補",AI14="婚",AI14="公",AI14="病",AI14="事",AI14="x"  ), $AP14 =""),"18放早走",  IF(  AND(  OR(  AH14 =""),OR(  AI14 ="x",AI14="補",AI14="婚",AI14="公",AI14="病",AI14="事",AI14="x榮*",AI14="榮",AI14="榮-22"  ), $AP14 =""),"18放",  IF(  AND(  OR(  AH14="當日退伍"  ),OR(  AI14="退伍",AI14="退", AI14=""  ), $AP14 =""),"當日退伍",  IF(AND(  OR(AH14="退",AH14="退伍" ), OR(AI14="退",AI14="退伍" ), $AP14 =""),"退伍","全日勤"  )  )  )  )  )  )  )  )  )  )  ),"")</f>
        <v>全日勤</v>
      </c>
      <c r="AI55" s="66" t="str">
        <f>IF(   (ROW(BU14)-1)&lt;=暫1!$B$2,           IF(  AND(  OR(  AI14="x",AI14="補"  ), OR(  AJ14 ="x",AJ14="補",AJ14="x榮18-22",AJ14="x公18-22",AJ14="x榮22-08"  ), $AP14 =""),"全日休",  IF(  AND(  OR(  AI14="x",AI14="病"  ), OR(  AJ14 ="病"  ), $AP14 =""),"病(事)假",  IF(  AND(  OR(  AI14="x",AI14="補"  ), OR(  AJ14 ="補"  ), $AP14 =""),"補休",  IF(  AND(  OR(  AI14="x",AI14="喪"  ), OR(  AJ14 ="喪"  ), $AP14 =""),"喪假",  IF(  AND(  OR(  AI14="x",AI14="婚",AI14="產"  ), OR(  AJ14 ="婚",AJ14="產"  ), $AP14 =""),"婚(產)假",  IF(  AND(  OR(  AI14="x",AI14="公"  ), OR(  AJ14 ="公"  ), $AP14 =""),"公假",  IF(  AND(  OR(  AI14="x",AI14="補",AI14="婚",AI14="公",AI14="病",AI14="事",AI14="x榮18-22"  ),OR(AJ14=""), $AP14 =""  ),"18收",  IF(  AND(  OR(  AI14 ="榮14-18",AI14 ="榮10-18",AI14 ="榮06-18",AI14 ="病14-18"  ),OR(  AJ14 ="x",AJ14="補",AJ14="婚",AJ14="公",AJ14="病",AJ14="事",AJ14="x"  ), $AP14 =""),"18放早走",  IF(  AND(  OR(  AI14 =""),OR(  AJ14 ="x",AJ14="補",AJ14="婚",AJ14="公",AJ14="病",AJ14="事",AJ14="x榮*",AJ14="榮",AJ14="榮-22"  ), $AP14 =""),"18放",  IF(  AND(  OR(  AI14="當日退伍"  ),OR(  AJ14="退伍",AJ14="退", AJ14=""  ), $AP14 =""),"當日退伍",  IF(AND(  OR(AI14="退",AI14="退伍" ), OR(AJ14="退",AJ14="退伍" ), $AP14 =""),"退伍","全日勤"  )  )  )  )  )  )  )  )  )  )  ),"")</f>
        <v>全日勤</v>
      </c>
      <c r="AJ55" s="66" t="str">
        <f>IF(   (ROW(BV14)-1)&lt;=暫1!$B$2,           IF(  AND(  OR(  AJ14="x",AJ14="補"  ), OR(  AK14 ="x",AK14="補",AK14="x榮18-22",AK14="x公18-22",AK14="x榮22-08"  ), $AP14 =""),"全日休",  IF(  AND(  OR(  AJ14="x",AJ14="病"  ), OR(  AK14 ="病"  ), $AP14 =""),"病(事)假",  IF(  AND(  OR(  AJ14="x",AJ14="補"  ), OR(  AK14 ="補"  ), $AP14 =""),"補休",  IF(  AND(  OR(  AJ14="x",AJ14="喪"  ), OR(  AK14 ="喪"  ), $AP14 =""),"喪假",  IF(  AND(  OR(  AJ14="x",AJ14="婚",AJ14="產"  ), OR(  AK14 ="婚",AK14="產"  ), $AP14 =""),"婚(產)假",  IF(  AND(  OR(  AJ14="x",AJ14="公"  ), OR(  AK14 ="公"  ), $AP14 =""),"公假",  IF(  AND(  OR(  AJ14="x",AJ14="補",AJ14="婚",AJ14="公",AJ14="病",AJ14="事",AJ14="x榮18-22"  ),OR(AK14=""), $AP14 =""  ),"18收",  IF(  AND(  OR(  AJ14 ="榮14-18",AJ14 ="榮10-18",AJ14 ="榮06-18",AJ14 ="病14-18"  ),OR(  AK14 ="x",AK14="補",AK14="婚",AK14="公",AK14="病",AK14="事",AK14="x"  ), $AP14 =""),"18放早走",  IF(  AND(  OR(  AJ14 =""),OR(  AK14 ="x",AK14="補",AK14="婚",AK14="公",AK14="病",AK14="事",AK14="x榮*",AK14="榮",AK14="榮-22"  ), $AP14 =""),"18放",  IF(  AND(  OR(  AJ14="當日退伍"  ),OR(  AK14="退伍",AK14="退", AK14=""  ), $AP14 =""),"當日退伍",  IF(AND(  OR(AJ14="退",AJ14="退伍" ), OR(AK14="退",AK14="退伍" ), $AP14 =""),"退伍","全日勤"  )  )  )  )  )  )  )  )  )  )  ),"")</f>
        <v>全日勤</v>
      </c>
      <c r="AO55" s="276"/>
      <c r="AV55" s="277"/>
      <c r="BB55" s="277"/>
      <c r="BC55" s="277"/>
    </row>
    <row r="56" spans="1:55" ht="25.5" customHeight="1">
      <c r="A56" s="66">
        <f t="shared" si="4"/>
        <v>14</v>
      </c>
      <c r="B56" s="66" t="str">
        <f t="shared" si="6"/>
        <v>鄭品豪</v>
      </c>
      <c r="C56" s="66" t="str">
        <f>IF(   (ROW(AO15)-1)&lt;=暫1!$B$2,           IF(  AND(  OR(  C15="x",C15="補"  ), OR(  D15 ="x",D15="補",D15="x榮18-22",D15="x公18-22",D15="x榮22-08"  ), $AP15 =""),"全日休",  IF(  AND(  OR(  C15="x",C15="病"  ), OR(  D15 ="病"  ), $AP15 =""),"病(事)假",  IF(  AND(  OR(  C15="x",C15="補"  ), OR(  D15 ="補"  ), $AP15 =""),"補休",  IF(  AND(  OR(  C15="x",C15="喪"  ), OR(  D15 ="喪"  ), $AP15 =""),"喪假",  IF(  AND(  OR(  C15="x",C15="婚",C15="產"  ), OR(  D15 ="婚",D15="產"  ), $AP15 =""),"婚(產)假",  IF(  AND(  OR(  C15="x",C15="公"  ), OR(  D15 ="公"  ), $AP15 =""),"公假",  IF(  AND(  OR(  C15="x",C15="補",C15="婚",C15="公",C15="病",C15="事",C15="x榮18-22"  ),OR(D15=""), $AP15 =""  ),"18收",  IF(  AND(  OR(  C15 ="榮14-18",C15 ="榮10-18",C15 ="榮06-18",C15 ="病14-18"  ),OR(  D15 ="x",D15="補",D15="婚",D15="公",D15="病",D15="事",D15="x"  ), $AP15 =""),"18放早走",  IF(  AND(  OR(  C15 =""),OR(  D15 ="x",D15="補",D15="婚",D15="公",D15="病",D15="事",D15="x榮*",D15="榮",D15="榮-22"  ), $AP15 =""),"18放",  IF(  AND(  OR(  C15="當日退伍"  ),OR(  D15="退伍",D15="退", D15=""  ), $AP15 =""),"當日退伍",  IF(AND(  OR(C15="退",C15="退伍" ), OR(D15="退",D15="退伍" ), $AP15 =""),"退伍","全日勤"  )  )  )  )  )  )  )  )  )  )  ),"")</f>
        <v>全日勤</v>
      </c>
      <c r="D56" s="66" t="str">
        <f>IF(   (ROW(AP15)-1)&lt;=暫1!$B$2,           IF(  AND(  OR(  D15="x",D15="補"  ), OR(  E15 ="x",E15="補",E15="x榮18-22",E15="x公18-22",E15="x榮22-08"  ), $AP15 =""),"全日休",  IF(  AND(  OR(  D15="x",D15="病"  ), OR(  E15 ="病"  ), $AP15 =""),"病(事)假",  IF(  AND(  OR(  D15="x",D15="補"  ), OR(  E15 ="補"  ), $AP15 =""),"補休",  IF(  AND(  OR(  D15="x",D15="喪"  ), OR(  E15 ="喪"  ), $AP15 =""),"喪假",  IF(  AND(  OR(  D15="x",D15="婚",D15="產"  ), OR(  E15 ="婚",E15="產"  ), $AP15 =""),"婚(產)假",  IF(  AND(  OR(  D15="x",D15="公"  ), OR(  E15 ="公"  ), $AP15 =""),"公假",  IF(  AND(  OR(  D15="x",D15="補",D15="婚",D15="公",D15="病",D15="事",D15="x榮18-22"  ),OR(E15=""), $AP15 =""  ),"18收",  IF(  AND(  OR(  D15 ="榮14-18",D15 ="榮10-18",D15 ="榮06-18",D15 ="病14-18"  ),OR(  E15 ="x",E15="補",E15="婚",E15="公",E15="病",E15="事",E15="x"  ), $AP15 =""),"18放早走",  IF(  AND(  OR(  D15 =""),OR(  E15 ="x",E15="補",E15="婚",E15="公",E15="病",E15="事",E15="x榮*",E15="榮",E15="榮-22"  ), $AP15 =""),"18放",  IF(  AND(  OR(  D15="當日退伍"  ),OR(  E15="退伍",E15="退", E15=""  ), $AP15 =""),"當日退伍",  IF(AND(  OR(D15="退",D15="退伍" ), OR(E15="退",E15="退伍" ), $AP15 =""),"退伍","全日勤"  )  )  )  )  )  )  )  )  )  )  ),"")</f>
        <v>全日勤</v>
      </c>
      <c r="E56" s="66" t="str">
        <f>IF(   (ROW(AQ15)-1)&lt;=暫1!$B$2,           IF(  AND(  OR(  E15="x",E15="補"  ), OR(  F15 ="x",F15="補",F15="x榮18-22",F15="x公18-22",F15="x榮22-08"  ), $AP15 =""),"全日休",  IF(  AND(  OR(  E15="x",E15="病"  ), OR(  F15 ="病"  ), $AP15 =""),"病(事)假",  IF(  AND(  OR(  E15="x",E15="補"  ), OR(  F15 ="補"  ), $AP15 =""),"補休",  IF(  AND(  OR(  E15="x",E15="喪"  ), OR(  F15 ="喪"  ), $AP15 =""),"喪假",  IF(  AND(  OR(  E15="x",E15="婚",E15="產"  ), OR(  F15 ="婚",F15="產"  ), $AP15 =""),"婚(產)假",  IF(  AND(  OR(  E15="x",E15="公"  ), OR(  F15 ="公"  ), $AP15 =""),"公假",  IF(  AND(  OR(  E15="x",E15="補",E15="婚",E15="公",E15="病",E15="事",E15="x榮18-22"  ),OR(F15=""), $AP15 =""  ),"18收",  IF(  AND(  OR(  E15 ="榮14-18",E15 ="榮10-18",E15 ="榮06-18",E15 ="病14-18"  ),OR(  F15 ="x",F15="補",F15="婚",F15="公",F15="病",F15="事",F15="x"  ), $AP15 =""),"18放早走",  IF(  AND(  OR(  E15 =""),OR(  F15 ="x",F15="補",F15="婚",F15="公",F15="病",F15="事",F15="x榮*",F15="榮",F15="榮-22"  ), $AP15 =""),"18放",  IF(  AND(  OR(  E15="當日退伍"  ),OR(  F15="退伍",F15="退", F15=""  ), $AP15 =""),"當日退伍",  IF(AND(  OR(E15="退",E15="退伍" ), OR(F15="退",F15="退伍" ), $AP15 =""),"退伍","全日勤"  )  )  )  )  )  )  )  )  )  )  ),"")</f>
        <v>全日勤</v>
      </c>
      <c r="F56" s="66" t="str">
        <f>IF(   (ROW(AR15)-1)&lt;=暫1!$B$2,           IF(  AND(  OR(  F15="x",F15="補"  ), OR(  G15 ="x",G15="補",G15="x榮18-22",G15="x公18-22",G15="x榮22-08"  ), $AP15 =""),"全日休",  IF(  AND(  OR(  F15="x",F15="病"  ), OR(  G15 ="病"  ), $AP15 =""),"病(事)假",  IF(  AND(  OR(  F15="x",F15="補"  ), OR(  G15 ="補"  ), $AP15 =""),"補休",  IF(  AND(  OR(  F15="x",F15="喪"  ), OR(  G15 ="喪"  ), $AP15 =""),"喪假",  IF(  AND(  OR(  F15="x",F15="婚",F15="產"  ), OR(  G15 ="婚",G15="產"  ), $AP15 =""),"婚(產)假",  IF(  AND(  OR(  F15="x",F15="公"  ), OR(  G15 ="公"  ), $AP15 =""),"公假",  IF(  AND(  OR(  F15="x",F15="補",F15="婚",F15="公",F15="病",F15="事",F15="x榮18-22"  ),OR(G15=""), $AP15 =""  ),"18收",  IF(  AND(  OR(  F15 ="榮14-18",F15 ="榮10-18",F15 ="榮06-18",F15 ="病14-18"  ),OR(  G15 ="x",G15="補",G15="婚",G15="公",G15="病",G15="事",G15="x"  ), $AP15 =""),"18放早走",  IF(  AND(  OR(  F15 =""),OR(  G15 ="x",G15="補",G15="婚",G15="公",G15="病",G15="事",G15="x榮*",G15="榮",G15="榮-22"  ), $AP15 =""),"18放",  IF(  AND(  OR(  F15="當日退伍"  ),OR(  G15="退伍",G15="退", G15=""  ), $AP15 =""),"當日退伍",  IF(AND(  OR(F15="退",F15="退伍" ), OR(G15="退",G15="退伍" ), $AP15 =""),"退伍","全日勤"  )  )  )  )  )  )  )  )  )  )  ),"")</f>
        <v>全日勤</v>
      </c>
      <c r="G56" s="66" t="str">
        <f>IF(   (ROW(AS15)-1)&lt;=暫1!$B$2,           IF(  AND(  OR(  G15="x",G15="補"  ), OR(  H15 ="x",H15="補",H15="x榮18-22",H15="x公18-22",H15="x榮22-08"  ), $AP15 =""),"全日休",  IF(  AND(  OR(  G15="x",G15="病"  ), OR(  H15 ="病"  ), $AP15 =""),"病(事)假",  IF(  AND(  OR(  G15="x",G15="補"  ), OR(  H15 ="補"  ), $AP15 =""),"補休",  IF(  AND(  OR(  G15="x",G15="喪"  ), OR(  H15 ="喪"  ), $AP15 =""),"喪假",  IF(  AND(  OR(  G15="x",G15="婚",G15="產"  ), OR(  H15 ="婚",H15="產"  ), $AP15 =""),"婚(產)假",  IF(  AND(  OR(  G15="x",G15="公"  ), OR(  H15 ="公"  ), $AP15 =""),"公假",  IF(  AND(  OR(  G15="x",G15="補",G15="婚",G15="公",G15="病",G15="事",G15="x榮18-22"  ),OR(H15=""), $AP15 =""  ),"18收",  IF(  AND(  OR(  G15 ="榮14-18",G15 ="榮10-18",G15 ="榮06-18",G15 ="病14-18"  ),OR(  H15 ="x",H15="補",H15="婚",H15="公",H15="病",H15="事",H15="x"  ), $AP15 =""),"18放早走",  IF(  AND(  OR(  G15 =""),OR(  H15 ="x",H15="補",H15="婚",H15="公",H15="病",H15="事",H15="x榮*",H15="榮",H15="榮-22"  ), $AP15 =""),"18放",  IF(  AND(  OR(  G15="當日退伍"  ),OR(  H15="退伍",H15="退", H15=""  ), $AP15 =""),"當日退伍",  IF(AND(  OR(G15="退",G15="退伍" ), OR(H15="退",H15="退伍" ), $AP15 =""),"退伍","全日勤"  )  )  )  )  )  )  )  )  )  )  ),"")</f>
        <v>全日勤</v>
      </c>
      <c r="H56" s="66" t="str">
        <f>IF(   (ROW(AT15)-1)&lt;=暫1!$B$2,           IF(  AND(  OR(  H15="x",H15="補"  ), OR(  I15 ="x",I15="補",I15="x榮18-22",I15="x公18-22",I15="x榮22-08"  ), $AP15 =""),"全日休",  IF(  AND(  OR(  H15="x",H15="病"  ), OR(  I15 ="病"  ), $AP15 =""),"病(事)假",  IF(  AND(  OR(  H15="x",H15="補"  ), OR(  I15 ="補"  ), $AP15 =""),"補休",  IF(  AND(  OR(  H15="x",H15="喪"  ), OR(  I15 ="喪"  ), $AP15 =""),"喪假",  IF(  AND(  OR(  H15="x",H15="婚",H15="產"  ), OR(  I15 ="婚",I15="產"  ), $AP15 =""),"婚(產)假",  IF(  AND(  OR(  H15="x",H15="公"  ), OR(  I15 ="公"  ), $AP15 =""),"公假",  IF(  AND(  OR(  H15="x",H15="補",H15="婚",H15="公",H15="病",H15="事",H15="x榮18-22"  ),OR(I15=""), $AP15 =""  ),"18收",  IF(  AND(  OR(  H15 ="榮14-18",H15 ="榮10-18",H15 ="榮06-18",H15 ="病14-18"  ),OR(  I15 ="x",I15="補",I15="婚",I15="公",I15="病",I15="事",I15="x"  ), $AP15 =""),"18放早走",  IF(  AND(  OR(  H15 =""),OR(  I15 ="x",I15="補",I15="婚",I15="公",I15="病",I15="事",I15="x榮*",I15="榮",I15="榮-22"  ), $AP15 =""),"18放",  IF(  AND(  OR(  H15="當日退伍"  ),OR(  I15="退伍",I15="退", I15=""  ), $AP15 =""),"當日退伍",  IF(AND(  OR(H15="退",H15="退伍" ), OR(I15="退",I15="退伍" ), $AP15 =""),"退伍","全日勤"  )  )  )  )  )  )  )  )  )  )  ),"")</f>
        <v>全日勤</v>
      </c>
      <c r="I56" s="66" t="str">
        <f>IF(   (ROW(AU15)-1)&lt;=暫1!$B$2,           IF(  AND(  OR(  I15="x",I15="補"  ), OR(  J15 ="x",J15="補",J15="x榮18-22",J15="x公18-22",J15="x榮22-08"  ), $AP15 =""),"全日休",  IF(  AND(  OR(  I15="x",I15="病"  ), OR(  J15 ="病"  ), $AP15 =""),"病(事)假",  IF(  AND(  OR(  I15="x",I15="補"  ), OR(  J15 ="補"  ), $AP15 =""),"補休",  IF(  AND(  OR(  I15="x",I15="喪"  ), OR(  J15 ="喪"  ), $AP15 =""),"喪假",  IF(  AND(  OR(  I15="x",I15="婚",I15="產"  ), OR(  J15 ="婚",J15="產"  ), $AP15 =""),"婚(產)假",  IF(  AND(  OR(  I15="x",I15="公"  ), OR(  J15 ="公"  ), $AP15 =""),"公假",  IF(  AND(  OR(  I15="x",I15="補",I15="婚",I15="公",I15="病",I15="事",I15="x榮18-22"  ),OR(J15=""), $AP15 =""  ),"18收",  IF(  AND(  OR(  I15 ="榮14-18",I15 ="榮10-18",I15 ="榮06-18",I15 ="病14-18"  ),OR(  J15 ="x",J15="補",J15="婚",J15="公",J15="病",J15="事",J15="x"  ), $AP15 =""),"18放早走",  IF(  AND(  OR(  I15 =""),OR(  J15 ="x",J15="補",J15="婚",J15="公",J15="病",J15="事",J15="x榮*",J15="榮",J15="榮-22"  ), $AP15 =""),"18放",  IF(  AND(  OR(  I15="當日退伍"  ),OR(  J15="退伍",J15="退", J15=""  ), $AP15 =""),"當日退伍",  IF(AND(  OR(I15="退",I15="退伍" ), OR(J15="退",J15="退伍" ), $AP15 =""),"退伍","全日勤"  )  )  )  )  )  )  )  )  )  )  ),"")</f>
        <v>全日勤</v>
      </c>
      <c r="J56" s="66" t="str">
        <f>IF(   (ROW(AV15)-1)&lt;=暫1!$B$2,           IF(  AND(  OR(  J15="x",J15="補"  ), OR(  K15 ="x",K15="補",K15="x榮18-22",K15="x公18-22",K15="x榮22-08"  ), $AP15 =""),"全日休",  IF(  AND(  OR(  J15="x",J15="病"  ), OR(  K15 ="病"  ), $AP15 =""),"病(事)假",  IF(  AND(  OR(  J15="x",J15="補"  ), OR(  K15 ="補"  ), $AP15 =""),"補休",  IF(  AND(  OR(  J15="x",J15="喪"  ), OR(  K15 ="喪"  ), $AP15 =""),"喪假",  IF(  AND(  OR(  J15="x",J15="婚",J15="產"  ), OR(  K15 ="婚",K15="產"  ), $AP15 =""),"婚(產)假",  IF(  AND(  OR(  J15="x",J15="公"  ), OR(  K15 ="公"  ), $AP15 =""),"公假",  IF(  AND(  OR(  J15="x",J15="補",J15="婚",J15="公",J15="病",J15="事",J15="x榮18-22"  ),OR(K15=""), $AP15 =""  ),"18收",  IF(  AND(  OR(  J15 ="榮14-18",J15 ="榮10-18",J15 ="榮06-18",J15 ="病14-18"  ),OR(  K15 ="x",K15="補",K15="婚",K15="公",K15="病",K15="事",K15="x"  ), $AP15 =""),"18放早走",  IF(  AND(  OR(  J15 =""),OR(  K15 ="x",K15="補",K15="婚",K15="公",K15="病",K15="事",K15="x榮*",K15="榮",K15="榮-22"  ), $AP15 =""),"18放",  IF(  AND(  OR(  J15="當日退伍"  ),OR(  K15="退伍",K15="退", K15=""  ), $AP15 =""),"當日退伍",  IF(AND(  OR(J15="退",J15="退伍" ), OR(K15="退",K15="退伍" ), $AP15 =""),"退伍","全日勤"  )  )  )  )  )  )  )  )  )  )  ),"")</f>
        <v>全日勤</v>
      </c>
      <c r="K56" s="66" t="str">
        <f>IF(   (ROW(AW15)-1)&lt;=暫1!$B$2,           IF(  AND(  OR(  K15="x",K15="補"  ), OR(  L15 ="x",L15="補",L15="x榮18-22",L15="x公18-22",L15="x榮22-08"  ), $AP15 =""),"全日休",  IF(  AND(  OR(  K15="x",K15="病"  ), OR(  L15 ="病"  ), $AP15 =""),"病(事)假",  IF(  AND(  OR(  K15="x",K15="補"  ), OR(  L15 ="補"  ), $AP15 =""),"補休",  IF(  AND(  OR(  K15="x",K15="喪"  ), OR(  L15 ="喪"  ), $AP15 =""),"喪假",  IF(  AND(  OR(  K15="x",K15="婚",K15="產"  ), OR(  L15 ="婚",L15="產"  ), $AP15 =""),"婚(產)假",  IF(  AND(  OR(  K15="x",K15="公"  ), OR(  L15 ="公"  ), $AP15 =""),"公假",  IF(  AND(  OR(  K15="x",K15="補",K15="婚",K15="公",K15="病",K15="事",K15="x榮18-22"  ),OR(L15=""), $AP15 =""  ),"18收",  IF(  AND(  OR(  K15 ="榮14-18",K15 ="榮10-18",K15 ="榮06-18",K15 ="病14-18"  ),OR(  L15 ="x",L15="補",L15="婚",L15="公",L15="病",L15="事",L15="x"  ), $AP15 =""),"18放早走",  IF(  AND(  OR(  K15 =""),OR(  L15 ="x",L15="補",L15="婚",L15="公",L15="病",L15="事",L15="x榮*",L15="榮",L15="榮-22"  ), $AP15 =""),"18放",  IF(  AND(  OR(  K15="當日退伍"  ),OR(  L15="退伍",L15="退", L15=""  ), $AP15 =""),"當日退伍",  IF(AND(  OR(K15="退",K15="退伍" ), OR(L15="退",L15="退伍" ), $AP15 =""),"退伍","全日勤"  )  )  )  )  )  )  )  )  )  )  ),"")</f>
        <v>全日勤</v>
      </c>
      <c r="L56" s="66" t="str">
        <f>IF(   (ROW(AX15)-1)&lt;=暫1!$B$2,           IF(  AND(  OR(  L15="x",L15="補"  ), OR(  M15 ="x",M15="補",M15="x榮18-22",M15="x公18-22",M15="x榮22-08"  ), $AP15 =""),"全日休",  IF(  AND(  OR(  L15="x",L15="病"  ), OR(  M15 ="病"  ), $AP15 =""),"病(事)假",  IF(  AND(  OR(  L15="x",L15="補"  ), OR(  M15 ="補"  ), $AP15 =""),"補休",  IF(  AND(  OR(  L15="x",L15="喪"  ), OR(  M15 ="喪"  ), $AP15 =""),"喪假",  IF(  AND(  OR(  L15="x",L15="婚",L15="產"  ), OR(  M15 ="婚",M15="產"  ), $AP15 =""),"婚(產)假",  IF(  AND(  OR(  L15="x",L15="公"  ), OR(  M15 ="公"  ), $AP15 =""),"公假",  IF(  AND(  OR(  L15="x",L15="補",L15="婚",L15="公",L15="病",L15="事",L15="x榮18-22"  ),OR(M15=""), $AP15 =""  ),"18收",  IF(  AND(  OR(  L15 ="榮14-18",L15 ="榮10-18",L15 ="榮06-18",L15 ="病14-18"  ),OR(  M15 ="x",M15="補",M15="婚",M15="公",M15="病",M15="事",M15="x"  ), $AP15 =""),"18放早走",  IF(  AND(  OR(  L15 =""),OR(  M15 ="x",M15="補",M15="婚",M15="公",M15="病",M15="事",M15="x榮*",M15="榮",M15="榮-22"  ), $AP15 =""),"18放",  IF(  AND(  OR(  L15="當日退伍"  ),OR(  M15="退伍",M15="退", M15=""  ), $AP15 =""),"當日退伍",  IF(AND(  OR(L15="退",L15="退伍" ), OR(M15="退",M15="退伍" ), $AP15 =""),"退伍","全日勤"  )  )  )  )  )  )  )  )  )  )  ),"")</f>
        <v>全日勤</v>
      </c>
      <c r="M56" s="66" t="str">
        <f>IF(   (ROW(AY15)-1)&lt;=暫1!$B$2,           IF(  AND(  OR(  M15="x",M15="補"  ), OR(  N15 ="x",N15="補",N15="x榮18-22",N15="x公18-22",N15="x榮22-08"  ), $AP15 =""),"全日休",  IF(  AND(  OR(  M15="x",M15="病"  ), OR(  N15 ="病"  ), $AP15 =""),"病(事)假",  IF(  AND(  OR(  M15="x",M15="補"  ), OR(  N15 ="補"  ), $AP15 =""),"補休",  IF(  AND(  OR(  M15="x",M15="喪"  ), OR(  N15 ="喪"  ), $AP15 =""),"喪假",  IF(  AND(  OR(  M15="x",M15="婚",M15="產"  ), OR(  N15 ="婚",N15="產"  ), $AP15 =""),"婚(產)假",  IF(  AND(  OR(  M15="x",M15="公"  ), OR(  N15 ="公"  ), $AP15 =""),"公假",  IF(  AND(  OR(  M15="x",M15="補",M15="婚",M15="公",M15="病",M15="事",M15="x榮18-22"  ),OR(N15=""), $AP15 =""  ),"18收",  IF(  AND(  OR(  M15 ="榮14-18",M15 ="榮10-18",M15 ="榮06-18",M15 ="病14-18"  ),OR(  N15 ="x",N15="補",N15="婚",N15="公",N15="病",N15="事",N15="x"  ), $AP15 =""),"18放早走",  IF(  AND(  OR(  M15 =""),OR(  N15 ="x",N15="補",N15="婚",N15="公",N15="病",N15="事",N15="x榮*",N15="榮",N15="榮-22"  ), $AP15 =""),"18放",  IF(  AND(  OR(  M15="當日退伍"  ),OR(  N15="退伍",N15="退", N15=""  ), $AP15 =""),"當日退伍",  IF(AND(  OR(M15="退",M15="退伍" ), OR(N15="退",N15="退伍" ), $AP15 =""),"退伍","全日勤"  )  )  )  )  )  )  )  )  )  )  ),"")</f>
        <v>全日勤</v>
      </c>
      <c r="N56" s="66" t="str">
        <f>IF(   (ROW(AZ15)-1)&lt;=暫1!$B$2,           IF(  AND(  OR(  N15="x",N15="補"  ), OR(  O15 ="x",O15="補",O15="x榮18-22",O15="x公18-22",O15="x榮22-08"  ), $AP15 =""),"全日休",  IF(  AND(  OR(  N15="x",N15="病"  ), OR(  O15 ="病"  ), $AP15 =""),"病(事)假",  IF(  AND(  OR(  N15="x",N15="補"  ), OR(  O15 ="補"  ), $AP15 =""),"補休",  IF(  AND(  OR(  N15="x",N15="喪"  ), OR(  O15 ="喪"  ), $AP15 =""),"喪假",  IF(  AND(  OR(  N15="x",N15="婚",N15="產"  ), OR(  O15 ="婚",O15="產"  ), $AP15 =""),"婚(產)假",  IF(  AND(  OR(  N15="x",N15="公"  ), OR(  O15 ="公"  ), $AP15 =""),"公假",  IF(  AND(  OR(  N15="x",N15="補",N15="婚",N15="公",N15="病",N15="事",N15="x榮18-22"  ),OR(O15=""), $AP15 =""  ),"18收",  IF(  AND(  OR(  N15 ="榮14-18",N15 ="榮10-18",N15 ="榮06-18",N15 ="病14-18"  ),OR(  O15 ="x",O15="補",O15="婚",O15="公",O15="病",O15="事",O15="x"  ), $AP15 =""),"18放早走",  IF(  AND(  OR(  N15 =""),OR(  O15 ="x",O15="補",O15="婚",O15="公",O15="病",O15="事",O15="x榮*",O15="榮",O15="榮-22"  ), $AP15 =""),"18放",  IF(  AND(  OR(  N15="當日退伍"  ),OR(  O15="退伍",O15="退", O15=""  ), $AP15 =""),"當日退伍",  IF(AND(  OR(N15="退",N15="退伍" ), OR(O15="退",O15="退伍" ), $AP15 =""),"退伍","全日勤"  )  )  )  )  )  )  )  )  )  )  ),"")</f>
        <v>全日勤</v>
      </c>
      <c r="O56" s="66" t="str">
        <f>IF(   (ROW(BA15)-1)&lt;=暫1!$B$2,           IF(  AND(  OR(  O15="x",O15="補"  ), OR(  P15 ="x",P15="補",P15="x榮18-22",P15="x公18-22",P15="x榮22-08"  ), $AP15 =""),"全日休",  IF(  AND(  OR(  O15="x",O15="病"  ), OR(  P15 ="病"  ), $AP15 =""),"病(事)假",  IF(  AND(  OR(  O15="x",O15="補"  ), OR(  P15 ="補"  ), $AP15 =""),"補休",  IF(  AND(  OR(  O15="x",O15="喪"  ), OR(  P15 ="喪"  ), $AP15 =""),"喪假",  IF(  AND(  OR(  O15="x",O15="婚",O15="產"  ), OR(  P15 ="婚",P15="產"  ), $AP15 =""),"婚(產)假",  IF(  AND(  OR(  O15="x",O15="公"  ), OR(  P15 ="公"  ), $AP15 =""),"公假",  IF(  AND(  OR(  O15="x",O15="補",O15="婚",O15="公",O15="病",O15="事",O15="x榮18-22"  ),OR(P15=""), $AP15 =""  ),"18收",  IF(  AND(  OR(  O15 ="榮14-18",O15 ="榮10-18",O15 ="榮06-18",O15 ="病14-18"  ),OR(  P15 ="x",P15="補",P15="婚",P15="公",P15="病",P15="事",P15="x"  ), $AP15 =""),"18放早走",  IF(  AND(  OR(  O15 =""),OR(  P15 ="x",P15="補",P15="婚",P15="公",P15="病",P15="事",P15="x榮*",P15="榮",P15="榮-22"  ), $AP15 =""),"18放",  IF(  AND(  OR(  O15="當日退伍"  ),OR(  P15="退伍",P15="退", P15=""  ), $AP15 =""),"當日退伍",  IF(AND(  OR(O15="退",O15="退伍" ), OR(P15="退",P15="退伍" ), $AP15 =""),"退伍","全日勤"  )  )  )  )  )  )  )  )  )  )  ),"")</f>
        <v>全日勤</v>
      </c>
      <c r="P56" s="66" t="str">
        <f>IF(   (ROW(BB15)-1)&lt;=暫1!$B$2,           IF(  AND(  OR(  P15="x",P15="補"  ), OR(  Q15 ="x",Q15="補",Q15="x榮18-22",Q15="x公18-22",Q15="x榮22-08"  ), $AP15 =""),"全日休",  IF(  AND(  OR(  P15="x",P15="病"  ), OR(  Q15 ="病"  ), $AP15 =""),"病(事)假",  IF(  AND(  OR(  P15="x",P15="補"  ), OR(  Q15 ="補"  ), $AP15 =""),"補休",  IF(  AND(  OR(  P15="x",P15="喪"  ), OR(  Q15 ="喪"  ), $AP15 =""),"喪假",  IF(  AND(  OR(  P15="x",P15="婚",P15="產"  ), OR(  Q15 ="婚",Q15="產"  ), $AP15 =""),"婚(產)假",  IF(  AND(  OR(  P15="x",P15="公"  ), OR(  Q15 ="公"  ), $AP15 =""),"公假",  IF(  AND(  OR(  P15="x",P15="補",P15="婚",P15="公",P15="病",P15="事",P15="x榮18-22"  ),OR(Q15=""), $AP15 =""  ),"18收",  IF(  AND(  OR(  P15 ="榮14-18",P15 ="榮10-18",P15 ="榮06-18",P15 ="病14-18"  ),OR(  Q15 ="x",Q15="補",Q15="婚",Q15="公",Q15="病",Q15="事",Q15="x"  ), $AP15 =""),"18放早走",  IF(  AND(  OR(  P15 =""),OR(  Q15 ="x",Q15="補",Q15="婚",Q15="公",Q15="病",Q15="事",Q15="x榮*",Q15="榮",Q15="榮-22"  ), $AP15 =""),"18放",  IF(  AND(  OR(  P15="當日退伍"  ),OR(  Q15="退伍",Q15="退", Q15=""  ), $AP15 =""),"當日退伍",  IF(AND(  OR(P15="退",P15="退伍" ), OR(Q15="退",Q15="退伍" ), $AP15 =""),"退伍","全日勤"  )  )  )  )  )  )  )  )  )  )  ),"")</f>
        <v>全日勤</v>
      </c>
      <c r="Q56" s="66" t="str">
        <f>IF(   (ROW(BC15)-1)&lt;=暫1!$B$2,           IF(  AND(  OR(  Q15="x",Q15="補"  ), OR(  R15 ="x",R15="補",R15="x榮18-22",R15="x公18-22",R15="x榮22-08"  ), $AP15 =""),"全日休",  IF(  AND(  OR(  Q15="x",Q15="病"  ), OR(  R15 ="病"  ), $AP15 =""),"病(事)假",  IF(  AND(  OR(  Q15="x",Q15="補"  ), OR(  R15 ="補"  ), $AP15 =""),"補休",  IF(  AND(  OR(  Q15="x",Q15="喪"  ), OR(  R15 ="喪"  ), $AP15 =""),"喪假",  IF(  AND(  OR(  Q15="x",Q15="婚",Q15="產"  ), OR(  R15 ="婚",R15="產"  ), $AP15 =""),"婚(產)假",  IF(  AND(  OR(  Q15="x",Q15="公"  ), OR(  R15 ="公"  ), $AP15 =""),"公假",  IF(  AND(  OR(  Q15="x",Q15="補",Q15="婚",Q15="公",Q15="病",Q15="事",Q15="x榮18-22"  ),OR(R15=""), $AP15 =""  ),"18收",  IF(  AND(  OR(  Q15 ="榮14-18",Q15 ="榮10-18",Q15 ="榮06-18",Q15 ="病14-18"  ),OR(  R15 ="x",R15="補",R15="婚",R15="公",R15="病",R15="事",R15="x"  ), $AP15 =""),"18放早走",  IF(  AND(  OR(  Q15 =""),OR(  R15 ="x",R15="補",R15="婚",R15="公",R15="病",R15="事",R15="x榮*",R15="榮",R15="榮-22"  ), $AP15 =""),"18放",  IF(  AND(  OR(  Q15="當日退伍"  ),OR(  R15="退伍",R15="退", R15=""  ), $AP15 =""),"當日退伍",  IF(AND(  OR(Q15="退",Q15="退伍" ), OR(R15="退",R15="退伍" ), $AP15 =""),"退伍","全日勤"  )  )  )  )  )  )  )  )  )  )  ),"")</f>
        <v>全日勤</v>
      </c>
      <c r="R56" s="66" t="str">
        <f>IF(   (ROW(BD15)-1)&lt;=暫1!$B$2,           IF(  AND(  OR(  R15="x",R15="補"  ), OR(  S15 ="x",S15="補",S15="x榮18-22",S15="x公18-22",S15="x榮22-08"  ), $AP15 =""),"全日休",  IF(  AND(  OR(  R15="x",R15="病"  ), OR(  S15 ="病"  ), $AP15 =""),"病(事)假",  IF(  AND(  OR(  R15="x",R15="補"  ), OR(  S15 ="補"  ), $AP15 =""),"補休",  IF(  AND(  OR(  R15="x",R15="喪"  ), OR(  S15 ="喪"  ), $AP15 =""),"喪假",  IF(  AND(  OR(  R15="x",R15="婚",R15="產"  ), OR(  S15 ="婚",S15="產"  ), $AP15 =""),"婚(產)假",  IF(  AND(  OR(  R15="x",R15="公"  ), OR(  S15 ="公"  ), $AP15 =""),"公假",  IF(  AND(  OR(  R15="x",R15="補",R15="婚",R15="公",R15="病",R15="事",R15="x榮18-22"  ),OR(S15=""), $AP15 =""  ),"18收",  IF(  AND(  OR(  R15 ="榮14-18",R15 ="榮10-18",R15 ="榮06-18",R15 ="病14-18"  ),OR(  S15 ="x",S15="補",S15="婚",S15="公",S15="病",S15="事",S15="x"  ), $AP15 =""),"18放早走",  IF(  AND(  OR(  R15 =""),OR(  S15 ="x",S15="補",S15="婚",S15="公",S15="病",S15="事",S15="x榮*",S15="榮",S15="榮-22"  ), $AP15 =""),"18放",  IF(  AND(  OR(  R15="當日退伍"  ),OR(  S15="退伍",S15="退", S15=""  ), $AP15 =""),"當日退伍",  IF(AND(  OR(R15="退",R15="退伍" ), OR(S15="退",S15="退伍" ), $AP15 =""),"退伍","全日勤"  )  )  )  )  )  )  )  )  )  )  ),"")</f>
        <v>全日勤</v>
      </c>
      <c r="S56" s="66" t="str">
        <f>IF(   (ROW(BE15)-1)&lt;=暫1!$B$2,           IF(  AND(  OR(  S15="x",S15="補"  ), OR(  T15 ="x",T15="補",T15="x榮18-22",T15="x公18-22",T15="x榮22-08"  ), $AP15 =""),"全日休",  IF(  AND(  OR(  S15="x",S15="病"  ), OR(  T15 ="病"  ), $AP15 =""),"病(事)假",  IF(  AND(  OR(  S15="x",S15="補"  ), OR(  T15 ="補"  ), $AP15 =""),"補休",  IF(  AND(  OR(  S15="x",S15="喪"  ), OR(  T15 ="喪"  ), $AP15 =""),"喪假",  IF(  AND(  OR(  S15="x",S15="婚",S15="產"  ), OR(  T15 ="婚",T15="產"  ), $AP15 =""),"婚(產)假",  IF(  AND(  OR(  S15="x",S15="公"  ), OR(  T15 ="公"  ), $AP15 =""),"公假",  IF(  AND(  OR(  S15="x",S15="補",S15="婚",S15="公",S15="病",S15="事",S15="x榮18-22"  ),OR(T15=""), $AP15 =""  ),"18收",  IF(  AND(  OR(  S15 ="榮14-18",S15 ="榮10-18",S15 ="榮06-18",S15 ="病14-18"  ),OR(  T15 ="x",T15="補",T15="婚",T15="公",T15="病",T15="事",T15="x"  ), $AP15 =""),"18放早走",  IF(  AND(  OR(  S15 =""),OR(  T15 ="x",T15="補",T15="婚",T15="公",T15="病",T15="事",T15="x榮*",T15="榮",T15="榮-22"  ), $AP15 =""),"18放",  IF(  AND(  OR(  S15="當日退伍"  ),OR(  T15="退伍",T15="退", T15=""  ), $AP15 =""),"當日退伍",  IF(AND(  OR(S15="退",S15="退伍" ), OR(T15="退",T15="退伍" ), $AP15 =""),"退伍","全日勤"  )  )  )  )  )  )  )  )  )  )  ),"")</f>
        <v>全日勤</v>
      </c>
      <c r="T56" s="66" t="str">
        <f>IF(   (ROW(BF15)-1)&lt;=暫1!$B$2,           IF(  AND(  OR(  T15="x",T15="補"  ), OR(  U15 ="x",U15="補",U15="x榮18-22",U15="x公18-22",U15="x榮22-08"  ), $AP15 =""),"全日休",  IF(  AND(  OR(  T15="x",T15="病"  ), OR(  U15 ="病"  ), $AP15 =""),"病(事)假",  IF(  AND(  OR(  T15="x",T15="補"  ), OR(  U15 ="補"  ), $AP15 =""),"補休",  IF(  AND(  OR(  T15="x",T15="喪"  ), OR(  U15 ="喪"  ), $AP15 =""),"喪假",  IF(  AND(  OR(  T15="x",T15="婚",T15="產"  ), OR(  U15 ="婚",U15="產"  ), $AP15 =""),"婚(產)假",  IF(  AND(  OR(  T15="x",T15="公"  ), OR(  U15 ="公"  ), $AP15 =""),"公假",  IF(  AND(  OR(  T15="x",T15="補",T15="婚",T15="公",T15="病",T15="事",T15="x榮18-22"  ),OR(U15=""), $AP15 =""  ),"18收",  IF(  AND(  OR(  T15 ="榮14-18",T15 ="榮10-18",T15 ="榮06-18",T15 ="病14-18"  ),OR(  U15 ="x",U15="補",U15="婚",U15="公",U15="病",U15="事",U15="x"  ), $AP15 =""),"18放早走",  IF(  AND(  OR(  T15 =""),OR(  U15 ="x",U15="補",U15="婚",U15="公",U15="病",U15="事",U15="x榮*",U15="榮",U15="榮-22"  ), $AP15 =""),"18放",  IF(  AND(  OR(  T15="當日退伍"  ),OR(  U15="退伍",U15="退", U15=""  ), $AP15 =""),"當日退伍",  IF(AND(  OR(T15="退",T15="退伍" ), OR(U15="退",U15="退伍" ), $AP15 =""),"退伍","全日勤"  )  )  )  )  )  )  )  )  )  )  ),"")</f>
        <v>全日勤</v>
      </c>
      <c r="U56" s="66" t="str">
        <f>IF(   (ROW(BG15)-1)&lt;=暫1!$B$2,           IF(  AND(  OR(  U15="x",U15="補"  ), OR(  V15 ="x",V15="補",V15="x榮18-22",V15="x公18-22",V15="x榮22-08"  ), $AP15 =""),"全日休",  IF(  AND(  OR(  U15="x",U15="病"  ), OR(  V15 ="病"  ), $AP15 =""),"病(事)假",  IF(  AND(  OR(  U15="x",U15="補"  ), OR(  V15 ="補"  ), $AP15 =""),"補休",  IF(  AND(  OR(  U15="x",U15="喪"  ), OR(  V15 ="喪"  ), $AP15 =""),"喪假",  IF(  AND(  OR(  U15="x",U15="婚",U15="產"  ), OR(  V15 ="婚",V15="產"  ), $AP15 =""),"婚(產)假",  IF(  AND(  OR(  U15="x",U15="公"  ), OR(  V15 ="公"  ), $AP15 =""),"公假",  IF(  AND(  OR(  U15="x",U15="補",U15="婚",U15="公",U15="病",U15="事",U15="x榮18-22"  ),OR(V15=""), $AP15 =""  ),"18收",  IF(  AND(  OR(  U15 ="榮14-18",U15 ="榮10-18",U15 ="榮06-18",U15 ="病14-18"  ),OR(  V15 ="x",V15="補",V15="婚",V15="公",V15="病",V15="事",V15="x"  ), $AP15 =""),"18放早走",  IF(  AND(  OR(  U15 =""),OR(  V15 ="x",V15="補",V15="婚",V15="公",V15="病",V15="事",V15="x榮*",V15="榮",V15="榮-22"  ), $AP15 =""),"18放",  IF(  AND(  OR(  U15="當日退伍"  ),OR(  V15="退伍",V15="退", V15=""  ), $AP15 =""),"當日退伍",  IF(AND(  OR(U15="退",U15="退伍" ), OR(V15="退",V15="退伍" ), $AP15 =""),"退伍","全日勤"  )  )  )  )  )  )  )  )  )  )  ),"")</f>
        <v>全日勤</v>
      </c>
      <c r="V56" s="66" t="str">
        <f>IF(   (ROW(BH15)-1)&lt;=暫1!$B$2,           IF(  AND(  OR(  V15="x",V15="補"  ), OR(  W15 ="x",W15="補",W15="x榮18-22",W15="x公18-22",W15="x榮22-08"  ), $AP15 =""),"全日休",  IF(  AND(  OR(  V15="x",V15="病"  ), OR(  W15 ="病"  ), $AP15 =""),"病(事)假",  IF(  AND(  OR(  V15="x",V15="補"  ), OR(  W15 ="補"  ), $AP15 =""),"補休",  IF(  AND(  OR(  V15="x",V15="喪"  ), OR(  W15 ="喪"  ), $AP15 =""),"喪假",  IF(  AND(  OR(  V15="x",V15="婚",V15="產"  ), OR(  W15 ="婚",W15="產"  ), $AP15 =""),"婚(產)假",  IF(  AND(  OR(  V15="x",V15="公"  ), OR(  W15 ="公"  ), $AP15 =""),"公假",  IF(  AND(  OR(  V15="x",V15="補",V15="婚",V15="公",V15="病",V15="事",V15="x榮18-22"  ),OR(W15=""), $AP15 =""  ),"18收",  IF(  AND(  OR(  V15 ="榮14-18",V15 ="榮10-18",V15 ="榮06-18",V15 ="病14-18"  ),OR(  W15 ="x",W15="補",W15="婚",W15="公",W15="病",W15="事",W15="x"  ), $AP15 =""),"18放早走",  IF(  AND(  OR(  V15 =""),OR(  W15 ="x",W15="補",W15="婚",W15="公",W15="病",W15="事",W15="x榮*",W15="榮",W15="榮-22"  ), $AP15 =""),"18放",  IF(  AND(  OR(  V15="當日退伍"  ),OR(  W15="退伍",W15="退", W15=""  ), $AP15 =""),"當日退伍",  IF(AND(  OR(V15="退",V15="退伍" ), OR(W15="退",W15="退伍" ), $AP15 =""),"退伍","全日勤"  )  )  )  )  )  )  )  )  )  )  ),"")</f>
        <v>全日勤</v>
      </c>
      <c r="W56" s="66" t="str">
        <f>IF(   (ROW(BI15)-1)&lt;=暫1!$B$2,           IF(  AND(  OR(  W15="x",W15="補"  ), OR(  X15 ="x",X15="補",X15="x榮18-22",X15="x公18-22",X15="x榮22-08"  ), $AP15 =""),"全日休",  IF(  AND(  OR(  W15="x",W15="病"  ), OR(  X15 ="病"  ), $AP15 =""),"病(事)假",  IF(  AND(  OR(  W15="x",W15="補"  ), OR(  X15 ="補"  ), $AP15 =""),"補休",  IF(  AND(  OR(  W15="x",W15="喪"  ), OR(  X15 ="喪"  ), $AP15 =""),"喪假",  IF(  AND(  OR(  W15="x",W15="婚",W15="產"  ), OR(  X15 ="婚",X15="產"  ), $AP15 =""),"婚(產)假",  IF(  AND(  OR(  W15="x",W15="公"  ), OR(  X15 ="公"  ), $AP15 =""),"公假",  IF(  AND(  OR(  W15="x",W15="補",W15="婚",W15="公",W15="病",W15="事",W15="x榮18-22"  ),OR(X15=""), $AP15 =""  ),"18收",  IF(  AND(  OR(  W15 ="榮14-18",W15 ="榮10-18",W15 ="榮06-18",W15 ="病14-18"  ),OR(  X15 ="x",X15="補",X15="婚",X15="公",X15="病",X15="事",X15="x"  ), $AP15 =""),"18放早走",  IF(  AND(  OR(  W15 =""),OR(  X15 ="x",X15="補",X15="婚",X15="公",X15="病",X15="事",X15="x榮*",X15="榮",X15="榮-22"  ), $AP15 =""),"18放",  IF(  AND(  OR(  W15="當日退伍"  ),OR(  X15="退伍",X15="退", X15=""  ), $AP15 =""),"當日退伍",  IF(AND(  OR(W15="退",W15="退伍" ), OR(X15="退",X15="退伍" ), $AP15 =""),"退伍","全日勤"  )  )  )  )  )  )  )  )  )  )  ),"")</f>
        <v>全日勤</v>
      </c>
      <c r="X56" s="66" t="str">
        <f>IF(   (ROW(BJ15)-1)&lt;=暫1!$B$2,           IF(  AND(  OR(  X15="x",X15="補"  ), OR(  Y15 ="x",Y15="補",Y15="x榮18-22",Y15="x公18-22",Y15="x榮22-08"  ), $AP15 =""),"全日休",  IF(  AND(  OR(  X15="x",X15="病"  ), OR(  Y15 ="病"  ), $AP15 =""),"病(事)假",  IF(  AND(  OR(  X15="x",X15="補"  ), OR(  Y15 ="補"  ), $AP15 =""),"補休",  IF(  AND(  OR(  X15="x",X15="喪"  ), OR(  Y15 ="喪"  ), $AP15 =""),"喪假",  IF(  AND(  OR(  X15="x",X15="婚",X15="產"  ), OR(  Y15 ="婚",Y15="產"  ), $AP15 =""),"婚(產)假",  IF(  AND(  OR(  X15="x",X15="公"  ), OR(  Y15 ="公"  ), $AP15 =""),"公假",  IF(  AND(  OR(  X15="x",X15="補",X15="婚",X15="公",X15="病",X15="事",X15="x榮18-22"  ),OR(Y15=""), $AP15 =""  ),"18收",  IF(  AND(  OR(  X15 ="榮14-18",X15 ="榮10-18",X15 ="榮06-18",X15 ="病14-18"  ),OR(  Y15 ="x",Y15="補",Y15="婚",Y15="公",Y15="病",Y15="事",Y15="x"  ), $AP15 =""),"18放早走",  IF(  AND(  OR(  X15 =""),OR(  Y15 ="x",Y15="補",Y15="婚",Y15="公",Y15="病",Y15="事",Y15="x榮*",Y15="榮",Y15="榮-22"  ), $AP15 =""),"18放",  IF(  AND(  OR(  X15="當日退伍"  ),OR(  Y15="退伍",Y15="退", Y15=""  ), $AP15 =""),"當日退伍",  IF(AND(  OR(X15="退",X15="退伍" ), OR(Y15="退",Y15="退伍" ), $AP15 =""),"退伍","全日勤"  )  )  )  )  )  )  )  )  )  )  ),"")</f>
        <v>全日勤</v>
      </c>
      <c r="Y56" s="66" t="str">
        <f>IF(   (ROW(BK15)-1)&lt;=暫1!$B$2,           IF(  AND(  OR(  Y15="x",Y15="補"  ), OR(  Z15 ="x",Z15="補",Z15="x榮18-22",Z15="x公18-22",Z15="x榮22-08"  ), $AP15 =""),"全日休",  IF(  AND(  OR(  Y15="x",Y15="病"  ), OR(  Z15 ="病"  ), $AP15 =""),"病(事)假",  IF(  AND(  OR(  Y15="x",Y15="補"  ), OR(  Z15 ="補"  ), $AP15 =""),"補休",  IF(  AND(  OR(  Y15="x",Y15="喪"  ), OR(  Z15 ="喪"  ), $AP15 =""),"喪假",  IF(  AND(  OR(  Y15="x",Y15="婚",Y15="產"  ), OR(  Z15 ="婚",Z15="產"  ), $AP15 =""),"婚(產)假",  IF(  AND(  OR(  Y15="x",Y15="公"  ), OR(  Z15 ="公"  ), $AP15 =""),"公假",  IF(  AND(  OR(  Y15="x",Y15="補",Y15="婚",Y15="公",Y15="病",Y15="事",Y15="x榮18-22"  ),OR(Z15=""), $AP15 =""  ),"18收",  IF(  AND(  OR(  Y15 ="榮14-18",Y15 ="榮10-18",Y15 ="榮06-18",Y15 ="病14-18"  ),OR(  Z15 ="x",Z15="補",Z15="婚",Z15="公",Z15="病",Z15="事",Z15="x"  ), $AP15 =""),"18放早走",  IF(  AND(  OR(  Y15 =""),OR(  Z15 ="x",Z15="補",Z15="婚",Z15="公",Z15="病",Z15="事",Z15="x榮*",Z15="榮",Z15="榮-22"  ), $AP15 =""),"18放",  IF(  AND(  OR(  Y15="當日退伍"  ),OR(  Z15="退伍",Z15="退", Z15=""  ), $AP15 =""),"當日退伍",  IF(AND(  OR(Y15="退",Y15="退伍" ), OR(Z15="退",Z15="退伍" ), $AP15 =""),"退伍","全日勤"  )  )  )  )  )  )  )  )  )  )  ),"")</f>
        <v>全日勤</v>
      </c>
      <c r="Z56" s="66" t="str">
        <f>IF(   (ROW(BL15)-1)&lt;=暫1!$B$2,           IF(  AND(  OR(  Z15="x",Z15="補"  ), OR(  AA15 ="x",AA15="補",AA15="x榮18-22",AA15="x公18-22",AA15="x榮22-08"  ), $AP15 =""),"全日休",  IF(  AND(  OR(  Z15="x",Z15="病"  ), OR(  AA15 ="病"  ), $AP15 =""),"病(事)假",  IF(  AND(  OR(  Z15="x",Z15="補"  ), OR(  AA15 ="補"  ), $AP15 =""),"補休",  IF(  AND(  OR(  Z15="x",Z15="喪"  ), OR(  AA15 ="喪"  ), $AP15 =""),"喪假",  IF(  AND(  OR(  Z15="x",Z15="婚",Z15="產"  ), OR(  AA15 ="婚",AA15="產"  ), $AP15 =""),"婚(產)假",  IF(  AND(  OR(  Z15="x",Z15="公"  ), OR(  AA15 ="公"  ), $AP15 =""),"公假",  IF(  AND(  OR(  Z15="x",Z15="補",Z15="婚",Z15="公",Z15="病",Z15="事",Z15="x榮18-22"  ),OR(AA15=""), $AP15 =""  ),"18收",  IF(  AND(  OR(  Z15 ="榮14-18",Z15 ="榮10-18",Z15 ="榮06-18",Z15 ="病14-18"  ),OR(  AA15 ="x",AA15="補",AA15="婚",AA15="公",AA15="病",AA15="事",AA15="x"  ), $AP15 =""),"18放早走",  IF(  AND(  OR(  Z15 =""),OR(  AA15 ="x",AA15="補",AA15="婚",AA15="公",AA15="病",AA15="事",AA15="x榮*",AA15="榮",AA15="榮-22"  ), $AP15 =""),"18放",  IF(  AND(  OR(  Z15="當日退伍"  ),OR(  AA15="退伍",AA15="退", AA15=""  ), $AP15 =""),"當日退伍",  IF(AND(  OR(Z15="退",Z15="退伍" ), OR(AA15="退",AA15="退伍" ), $AP15 =""),"退伍","全日勤"  )  )  )  )  )  )  )  )  )  )  ),"")</f>
        <v>全日勤</v>
      </c>
      <c r="AA56" s="66" t="str">
        <f>IF(   (ROW(BM15)-1)&lt;=暫1!$B$2,           IF(  AND(  OR(  AA15="x",AA15="補"  ), OR(  AB15 ="x",AB15="補",AB15="x榮18-22",AB15="x公18-22",AB15="x榮22-08"  ), $AP15 =""),"全日休",  IF(  AND(  OR(  AA15="x",AA15="病"  ), OR(  AB15 ="病"  ), $AP15 =""),"病(事)假",  IF(  AND(  OR(  AA15="x",AA15="補"  ), OR(  AB15 ="補"  ), $AP15 =""),"補休",  IF(  AND(  OR(  AA15="x",AA15="喪"  ), OR(  AB15 ="喪"  ), $AP15 =""),"喪假",  IF(  AND(  OR(  AA15="x",AA15="婚",AA15="產"  ), OR(  AB15 ="婚",AB15="產"  ), $AP15 =""),"婚(產)假",  IF(  AND(  OR(  AA15="x",AA15="公"  ), OR(  AB15 ="公"  ), $AP15 =""),"公假",  IF(  AND(  OR(  AA15="x",AA15="補",AA15="婚",AA15="公",AA15="病",AA15="事",AA15="x榮18-22"  ),OR(AB15=""), $AP15 =""  ),"18收",  IF(  AND(  OR(  AA15 ="榮14-18",AA15 ="榮10-18",AA15 ="榮06-18",AA15 ="病14-18"  ),OR(  AB15 ="x",AB15="補",AB15="婚",AB15="公",AB15="病",AB15="事",AB15="x"  ), $AP15 =""),"18放早走",  IF(  AND(  OR(  AA15 =""),OR(  AB15 ="x",AB15="補",AB15="婚",AB15="公",AB15="病",AB15="事",AB15="x榮*",AB15="榮",AB15="榮-22"  ), $AP15 =""),"18放",  IF(  AND(  OR(  AA15="當日退伍"  ),OR(  AB15="退伍",AB15="退", AB15=""  ), $AP15 =""),"當日退伍",  IF(AND(  OR(AA15="退",AA15="退伍" ), OR(AB15="退",AB15="退伍" ), $AP15 =""),"退伍","全日勤"  )  )  )  )  )  )  )  )  )  )  ),"")</f>
        <v>全日勤</v>
      </c>
      <c r="AB56" s="66" t="str">
        <f>IF(   (ROW(BN15)-1)&lt;=暫1!$B$2,           IF(  AND(  OR(  AB15="x",AB15="補"  ), OR(  AC15 ="x",AC15="補",AC15="x榮18-22",AC15="x公18-22",AC15="x榮22-08"  ), $AP15 =""),"全日休",  IF(  AND(  OR(  AB15="x",AB15="病"  ), OR(  AC15 ="病"  ), $AP15 =""),"病(事)假",  IF(  AND(  OR(  AB15="x",AB15="補"  ), OR(  AC15 ="補"  ), $AP15 =""),"補休",  IF(  AND(  OR(  AB15="x",AB15="喪"  ), OR(  AC15 ="喪"  ), $AP15 =""),"喪假",  IF(  AND(  OR(  AB15="x",AB15="婚",AB15="產"  ), OR(  AC15 ="婚",AC15="產"  ), $AP15 =""),"婚(產)假",  IF(  AND(  OR(  AB15="x",AB15="公"  ), OR(  AC15 ="公"  ), $AP15 =""),"公假",  IF(  AND(  OR(  AB15="x",AB15="補",AB15="婚",AB15="公",AB15="病",AB15="事",AB15="x榮18-22"  ),OR(AC15=""), $AP15 =""  ),"18收",  IF(  AND(  OR(  AB15 ="榮14-18",AB15 ="榮10-18",AB15 ="榮06-18",AB15 ="病14-18"  ),OR(  AC15 ="x",AC15="補",AC15="婚",AC15="公",AC15="病",AC15="事",AC15="x"  ), $AP15 =""),"18放早走",  IF(  AND(  OR(  AB15 =""),OR(  AC15 ="x",AC15="補",AC15="婚",AC15="公",AC15="病",AC15="事",AC15="x榮*",AC15="榮",AC15="榮-22"  ), $AP15 =""),"18放",  IF(  AND(  OR(  AB15="當日退伍"  ),OR(  AC15="退伍",AC15="退", AC15=""  ), $AP15 =""),"當日退伍",  IF(AND(  OR(AB15="退",AB15="退伍" ), OR(AC15="退",AC15="退伍" ), $AP15 =""),"退伍","全日勤"  )  )  )  )  )  )  )  )  )  )  ),"")</f>
        <v>全日勤</v>
      </c>
      <c r="AC56" s="66" t="str">
        <f>IF(   (ROW(BO15)-1)&lt;=暫1!$B$2,           IF(  AND(  OR(  AC15="x",AC15="補"  ), OR(  AD15 ="x",AD15="補",AD15="x榮18-22",AD15="x公18-22",AD15="x榮22-08"  ), $AP15 =""),"全日休",  IF(  AND(  OR(  AC15="x",AC15="病"  ), OR(  AD15 ="病"  ), $AP15 =""),"病(事)假",  IF(  AND(  OR(  AC15="x",AC15="補"  ), OR(  AD15 ="補"  ), $AP15 =""),"補休",  IF(  AND(  OR(  AC15="x",AC15="喪"  ), OR(  AD15 ="喪"  ), $AP15 =""),"喪假",  IF(  AND(  OR(  AC15="x",AC15="婚",AC15="產"  ), OR(  AD15 ="婚",AD15="產"  ), $AP15 =""),"婚(產)假",  IF(  AND(  OR(  AC15="x",AC15="公"  ), OR(  AD15 ="公"  ), $AP15 =""),"公假",  IF(  AND(  OR(  AC15="x",AC15="補",AC15="婚",AC15="公",AC15="病",AC15="事",AC15="x榮18-22"  ),OR(AD15=""), $AP15 =""  ),"18收",  IF(  AND(  OR(  AC15 ="榮14-18",AC15 ="榮10-18",AC15 ="榮06-18",AC15 ="病14-18"  ),OR(  AD15 ="x",AD15="補",AD15="婚",AD15="公",AD15="病",AD15="事",AD15="x"  ), $AP15 =""),"18放早走",  IF(  AND(  OR(  AC15 =""),OR(  AD15 ="x",AD15="補",AD15="婚",AD15="公",AD15="病",AD15="事",AD15="x榮*",AD15="榮",AD15="榮-22"  ), $AP15 =""),"18放",  IF(  AND(  OR(  AC15="當日退伍"  ),OR(  AD15="退伍",AD15="退", AD15=""  ), $AP15 =""),"當日退伍",  IF(AND(  OR(AC15="退",AC15="退伍" ), OR(AD15="退",AD15="退伍" ), $AP15 =""),"退伍","全日勤"  )  )  )  )  )  )  )  )  )  )  ),"")</f>
        <v>全日勤</v>
      </c>
      <c r="AD56" s="66" t="str">
        <f>IF(   (ROW(BP15)-1)&lt;=暫1!$B$2,           IF(  AND(  OR(  AD15="x",AD15="補"  ), OR(  AE15 ="x",AE15="補",AE15="x榮18-22",AE15="x公18-22",AE15="x榮22-08"  ), $AP15 =""),"全日休",  IF(  AND(  OR(  AD15="x",AD15="病"  ), OR(  AE15 ="病"  ), $AP15 =""),"病(事)假",  IF(  AND(  OR(  AD15="x",AD15="補"  ), OR(  AE15 ="補"  ), $AP15 =""),"補休",  IF(  AND(  OR(  AD15="x",AD15="喪"  ), OR(  AE15 ="喪"  ), $AP15 =""),"喪假",  IF(  AND(  OR(  AD15="x",AD15="婚",AD15="產"  ), OR(  AE15 ="婚",AE15="產"  ), $AP15 =""),"婚(產)假",  IF(  AND(  OR(  AD15="x",AD15="公"  ), OR(  AE15 ="公"  ), $AP15 =""),"公假",  IF(  AND(  OR(  AD15="x",AD15="補",AD15="婚",AD15="公",AD15="病",AD15="事",AD15="x榮18-22"  ),OR(AE15=""), $AP15 =""  ),"18收",  IF(  AND(  OR(  AD15 ="榮14-18",AD15 ="榮10-18",AD15 ="榮06-18",AD15 ="病14-18"  ),OR(  AE15 ="x",AE15="補",AE15="婚",AE15="公",AE15="病",AE15="事",AE15="x"  ), $AP15 =""),"18放早走",  IF(  AND(  OR(  AD15 =""),OR(  AE15 ="x",AE15="補",AE15="婚",AE15="公",AE15="病",AE15="事",AE15="x榮*",AE15="榮",AE15="榮-22"  ), $AP15 =""),"18放",  IF(  AND(  OR(  AD15="當日退伍"  ),OR(  AE15="退伍",AE15="退", AE15=""  ), $AP15 =""),"當日退伍",  IF(AND(  OR(AD15="退",AD15="退伍" ), OR(AE15="退",AE15="退伍" ), $AP15 =""),"退伍","全日勤"  )  )  )  )  )  )  )  )  )  )  ),"")</f>
        <v>全日勤</v>
      </c>
      <c r="AE56" s="66" t="str">
        <f>IF(   (ROW(BQ15)-1)&lt;=暫1!$B$2,           IF(  AND(  OR(  AE15="x",AE15="補"  ), OR(  AF15 ="x",AF15="補",AF15="x榮18-22",AF15="x公18-22",AF15="x榮22-08"  ), $AP15 =""),"全日休",  IF(  AND(  OR(  AE15="x",AE15="病"  ), OR(  AF15 ="病"  ), $AP15 =""),"病(事)假",  IF(  AND(  OR(  AE15="x",AE15="補"  ), OR(  AF15 ="補"  ), $AP15 =""),"補休",  IF(  AND(  OR(  AE15="x",AE15="喪"  ), OR(  AF15 ="喪"  ), $AP15 =""),"喪假",  IF(  AND(  OR(  AE15="x",AE15="婚",AE15="產"  ), OR(  AF15 ="婚",AF15="產"  ), $AP15 =""),"婚(產)假",  IF(  AND(  OR(  AE15="x",AE15="公"  ), OR(  AF15 ="公"  ), $AP15 =""),"公假",  IF(  AND(  OR(  AE15="x",AE15="補",AE15="婚",AE15="公",AE15="病",AE15="事",AE15="x榮18-22"  ),OR(AF15=""), $AP15 =""  ),"18收",  IF(  AND(  OR(  AE15 ="榮14-18",AE15 ="榮10-18",AE15 ="榮06-18",AE15 ="病14-18"  ),OR(  AF15 ="x",AF15="補",AF15="婚",AF15="公",AF15="病",AF15="事",AF15="x"  ), $AP15 =""),"18放早走",  IF(  AND(  OR(  AE15 =""),OR(  AF15 ="x",AF15="補",AF15="婚",AF15="公",AF15="病",AF15="事",AF15="x榮*",AF15="榮",AF15="榮-22"  ), $AP15 =""),"18放",  IF(  AND(  OR(  AE15="當日退伍"  ),OR(  AF15="退伍",AF15="退", AF15=""  ), $AP15 =""),"當日退伍",  IF(AND(  OR(AE15="退",AE15="退伍" ), OR(AF15="退",AF15="退伍" ), $AP15 =""),"退伍","全日勤"  )  )  )  )  )  )  )  )  )  )  ),"")</f>
        <v>全日勤</v>
      </c>
      <c r="AF56" s="66" t="str">
        <f>IF(   (ROW(BR15)-1)&lt;=暫1!$B$2,           IF(  AND(  OR(  AF15="x",AF15="補"  ), OR(  AG15 ="x",AG15="補",AG15="x榮18-22",AG15="x公18-22",AG15="x榮22-08"  ), $AP15 =""),"全日休",  IF(  AND(  OR(  AF15="x",AF15="病"  ), OR(  AG15 ="病"  ), $AP15 =""),"病(事)假",  IF(  AND(  OR(  AF15="x",AF15="補"  ), OR(  AG15 ="補"  ), $AP15 =""),"補休",  IF(  AND(  OR(  AF15="x",AF15="喪"  ), OR(  AG15 ="喪"  ), $AP15 =""),"喪假",  IF(  AND(  OR(  AF15="x",AF15="婚",AF15="產"  ), OR(  AG15 ="婚",AG15="產"  ), $AP15 =""),"婚(產)假",  IF(  AND(  OR(  AF15="x",AF15="公"  ), OR(  AG15 ="公"  ), $AP15 =""),"公假",  IF(  AND(  OR(  AF15="x",AF15="補",AF15="婚",AF15="公",AF15="病",AF15="事",AF15="x榮18-22"  ),OR(AG15=""), $AP15 =""  ),"18收",  IF(  AND(  OR(  AF15 ="榮14-18",AF15 ="榮10-18",AF15 ="榮06-18",AF15 ="病14-18"  ),OR(  AG15 ="x",AG15="補",AG15="婚",AG15="公",AG15="病",AG15="事",AG15="x"  ), $AP15 =""),"18放早走",  IF(  AND(  OR(  AF15 =""),OR(  AG15 ="x",AG15="補",AG15="婚",AG15="公",AG15="病",AG15="事",AG15="x榮*",AG15="榮",AG15="榮-22"  ), $AP15 =""),"18放",  IF(  AND(  OR(  AF15="當日退伍"  ),OR(  AG15="退伍",AG15="退", AG15=""  ), $AP15 =""),"當日退伍",  IF(AND(  OR(AF15="退",AF15="退伍" ), OR(AG15="退",AG15="退伍" ), $AP15 =""),"退伍","全日勤"  )  )  )  )  )  )  )  )  )  )  ),"")</f>
        <v>全日勤</v>
      </c>
      <c r="AG56" s="66" t="str">
        <f>IF(   (ROW(BS15)-1)&lt;=暫1!$B$2,           IF(  AND(  OR(  AG15="x",AG15="補"  ), OR(  AH15 ="x",AH15="補",AH15="x榮18-22",AH15="x公18-22",AH15="x榮22-08"  ), $AP15 =""),"全日休",  IF(  AND(  OR(  AG15="x",AG15="病"  ), OR(  AH15 ="病"  ), $AP15 =""),"病(事)假",  IF(  AND(  OR(  AG15="x",AG15="補"  ), OR(  AH15 ="補"  ), $AP15 =""),"補休",  IF(  AND(  OR(  AG15="x",AG15="喪"  ), OR(  AH15 ="喪"  ), $AP15 =""),"喪假",  IF(  AND(  OR(  AG15="x",AG15="婚",AG15="產"  ), OR(  AH15 ="婚",AH15="產"  ), $AP15 =""),"婚(產)假",  IF(  AND(  OR(  AG15="x",AG15="公"  ), OR(  AH15 ="公"  ), $AP15 =""),"公假",  IF(  AND(  OR(  AG15="x",AG15="補",AG15="婚",AG15="公",AG15="病",AG15="事",AG15="x榮18-22"  ),OR(AH15=""), $AP15 =""  ),"18收",  IF(  AND(  OR(  AG15 ="榮14-18",AG15 ="榮10-18",AG15 ="榮06-18",AG15 ="病14-18"  ),OR(  AH15 ="x",AH15="補",AH15="婚",AH15="公",AH15="病",AH15="事",AH15="x"  ), $AP15 =""),"18放早走",  IF(  AND(  OR(  AG15 =""),OR(  AH15 ="x",AH15="補",AH15="婚",AH15="公",AH15="病",AH15="事",AH15="x榮*",AH15="榮",AH15="榮-22"  ), $AP15 =""),"18放",  IF(  AND(  OR(  AG15="當日退伍"  ),OR(  AH15="退伍",AH15="退", AH15=""  ), $AP15 =""),"當日退伍",  IF(AND(  OR(AG15="退",AG15="退伍" ), OR(AH15="退",AH15="退伍" ), $AP15 =""),"退伍","全日勤"  )  )  )  )  )  )  )  )  )  )  ),"")</f>
        <v>全日勤</v>
      </c>
      <c r="AH56" s="66" t="str">
        <f>IF(   (ROW(BT15)-1)&lt;=暫1!$B$2,           IF(  AND(  OR(  AH15="x",AH15="補"  ), OR(  AI15 ="x",AI15="補",AI15="x榮18-22",AI15="x公18-22",AI15="x榮22-08"  ), $AP15 =""),"全日休",  IF(  AND(  OR(  AH15="x",AH15="病"  ), OR(  AI15 ="病"  ), $AP15 =""),"病(事)假",  IF(  AND(  OR(  AH15="x",AH15="補"  ), OR(  AI15 ="補"  ), $AP15 =""),"補休",  IF(  AND(  OR(  AH15="x",AH15="喪"  ), OR(  AI15 ="喪"  ), $AP15 =""),"喪假",  IF(  AND(  OR(  AH15="x",AH15="婚",AH15="產"  ), OR(  AI15 ="婚",AI15="產"  ), $AP15 =""),"婚(產)假",  IF(  AND(  OR(  AH15="x",AH15="公"  ), OR(  AI15 ="公"  ), $AP15 =""),"公假",  IF(  AND(  OR(  AH15="x",AH15="補",AH15="婚",AH15="公",AH15="病",AH15="事",AH15="x榮18-22"  ),OR(AI15=""), $AP15 =""  ),"18收",  IF(  AND(  OR(  AH15 ="榮14-18",AH15 ="榮10-18",AH15 ="榮06-18",AH15 ="病14-18"  ),OR(  AI15 ="x",AI15="補",AI15="婚",AI15="公",AI15="病",AI15="事",AI15="x"  ), $AP15 =""),"18放早走",  IF(  AND(  OR(  AH15 =""),OR(  AI15 ="x",AI15="補",AI15="婚",AI15="公",AI15="病",AI15="事",AI15="x榮*",AI15="榮",AI15="榮-22"  ), $AP15 =""),"18放",  IF(  AND(  OR(  AH15="當日退伍"  ),OR(  AI15="退伍",AI15="退", AI15=""  ), $AP15 =""),"當日退伍",  IF(AND(  OR(AH15="退",AH15="退伍" ), OR(AI15="退",AI15="退伍" ), $AP15 =""),"退伍","全日勤"  )  )  )  )  )  )  )  )  )  )  ),"")</f>
        <v>全日勤</v>
      </c>
      <c r="AI56" s="66" t="str">
        <f>IF(   (ROW(BU15)-1)&lt;=暫1!$B$2,           IF(  AND(  OR(  AI15="x",AI15="補"  ), OR(  AJ15 ="x",AJ15="補",AJ15="x榮18-22",AJ15="x公18-22",AJ15="x榮22-08"  ), $AP15 =""),"全日休",  IF(  AND(  OR(  AI15="x",AI15="病"  ), OR(  AJ15 ="病"  ), $AP15 =""),"病(事)假",  IF(  AND(  OR(  AI15="x",AI15="補"  ), OR(  AJ15 ="補"  ), $AP15 =""),"補休",  IF(  AND(  OR(  AI15="x",AI15="喪"  ), OR(  AJ15 ="喪"  ), $AP15 =""),"喪假",  IF(  AND(  OR(  AI15="x",AI15="婚",AI15="產"  ), OR(  AJ15 ="婚",AJ15="產"  ), $AP15 =""),"婚(產)假",  IF(  AND(  OR(  AI15="x",AI15="公"  ), OR(  AJ15 ="公"  ), $AP15 =""),"公假",  IF(  AND(  OR(  AI15="x",AI15="補",AI15="婚",AI15="公",AI15="病",AI15="事",AI15="x榮18-22"  ),OR(AJ15=""), $AP15 =""  ),"18收",  IF(  AND(  OR(  AI15 ="榮14-18",AI15 ="榮10-18",AI15 ="榮06-18",AI15 ="病14-18"  ),OR(  AJ15 ="x",AJ15="補",AJ15="婚",AJ15="公",AJ15="病",AJ15="事",AJ15="x"  ), $AP15 =""),"18放早走",  IF(  AND(  OR(  AI15 =""),OR(  AJ15 ="x",AJ15="補",AJ15="婚",AJ15="公",AJ15="病",AJ15="事",AJ15="x榮*",AJ15="榮",AJ15="榮-22"  ), $AP15 =""),"18放",  IF(  AND(  OR(  AI15="當日退伍"  ),OR(  AJ15="退伍",AJ15="退", AJ15=""  ), $AP15 =""),"當日退伍",  IF(AND(  OR(AI15="退",AI15="退伍" ), OR(AJ15="退",AJ15="退伍" ), $AP15 =""),"退伍","全日勤"  )  )  )  )  )  )  )  )  )  )  ),"")</f>
        <v>全日勤</v>
      </c>
      <c r="AJ56" s="66" t="str">
        <f>IF(   (ROW(BV15)-1)&lt;=暫1!$B$2,           IF(  AND(  OR(  AJ15="x",AJ15="補"  ), OR(  AK15 ="x",AK15="補",AK15="x榮18-22",AK15="x公18-22",AK15="x榮22-08"  ), $AP15 =""),"全日休",  IF(  AND(  OR(  AJ15="x",AJ15="病"  ), OR(  AK15 ="病"  ), $AP15 =""),"病(事)假",  IF(  AND(  OR(  AJ15="x",AJ15="補"  ), OR(  AK15 ="補"  ), $AP15 =""),"補休",  IF(  AND(  OR(  AJ15="x",AJ15="喪"  ), OR(  AK15 ="喪"  ), $AP15 =""),"喪假",  IF(  AND(  OR(  AJ15="x",AJ15="婚",AJ15="產"  ), OR(  AK15 ="婚",AK15="產"  ), $AP15 =""),"婚(產)假",  IF(  AND(  OR(  AJ15="x",AJ15="公"  ), OR(  AK15 ="公"  ), $AP15 =""),"公假",  IF(  AND(  OR(  AJ15="x",AJ15="補",AJ15="婚",AJ15="公",AJ15="病",AJ15="事",AJ15="x榮18-22"  ),OR(AK15=""), $AP15 =""  ),"18收",  IF(  AND(  OR(  AJ15 ="榮14-18",AJ15 ="榮10-18",AJ15 ="榮06-18",AJ15 ="病14-18"  ),OR(  AK15 ="x",AK15="補",AK15="婚",AK15="公",AK15="病",AK15="事",AK15="x"  ), $AP15 =""),"18放早走",  IF(  AND(  OR(  AJ15 =""),OR(  AK15 ="x",AK15="補",AK15="婚",AK15="公",AK15="病",AK15="事",AK15="x榮*",AK15="榮",AK15="榮-22"  ), $AP15 =""),"18放",  IF(  AND(  OR(  AJ15="當日退伍"  ),OR(  AK15="退伍",AK15="退", AK15=""  ), $AP15 =""),"當日退伍",  IF(AND(  OR(AJ15="退",AJ15="退伍" ), OR(AK15="退",AK15="退伍" ), $AP15 =""),"退伍","全日勤"  )  )  )  )  )  )  )  )  )  )  ),"")</f>
        <v>全日勤</v>
      </c>
      <c r="AO56" s="76"/>
      <c r="AP56" s="63"/>
      <c r="AU56" s="63"/>
      <c r="AY56" s="63"/>
      <c r="AZ56" s="63"/>
      <c r="BA56" s="63"/>
    </row>
    <row r="57" spans="1:55" ht="25.5" customHeight="1">
      <c r="A57" s="66">
        <f t="shared" si="4"/>
        <v>15</v>
      </c>
      <c r="B57" s="66" t="str">
        <f t="shared" si="6"/>
        <v>林晉弘</v>
      </c>
      <c r="C57" s="66" t="str">
        <f>IF(   (ROW(AO16)-1)&lt;=暫1!$B$2,           IF(  AND(  OR(  C16="x",C16="補"  ), OR(  D16 ="x",D16="補",D16="x榮18-22",D16="x公18-22",D16="x榮22-08"  ), $AP16 =""),"全日休",  IF(  AND(  OR(  C16="x",C16="病"  ), OR(  D16 ="病"  ), $AP16 =""),"病(事)假",  IF(  AND(  OR(  C16="x",C16="補"  ), OR(  D16 ="補"  ), $AP16 =""),"補休",  IF(  AND(  OR(  C16="x",C16="喪"  ), OR(  D16 ="喪"  ), $AP16 =""),"喪假",  IF(  AND(  OR(  C16="x",C16="婚",C16="產"  ), OR(  D16 ="婚",D16="產"  ), $AP16 =""),"婚(產)假",  IF(  AND(  OR(  C16="x",C16="公"  ), OR(  D16 ="公"  ), $AP16 =""),"公假",  IF(  AND(  OR(  C16="x",C16="補",C16="婚",C16="公",C16="病",C16="事",C16="x榮18-22"  ),OR(D16=""), $AP16 =""  ),"18收",  IF(  AND(  OR(  C16 ="榮14-18",C16 ="榮10-18",C16 ="榮06-18",C16 ="病14-18"  ),OR(  D16 ="x",D16="補",D16="婚",D16="公",D16="病",D16="事",D16="x"  ), $AP16 =""),"18放早走",  IF(  AND(  OR(  C16 =""),OR(  D16 ="x",D16="補",D16="婚",D16="公",D16="病",D16="事",D16="x榮*",D16="榮",D16="榮-22"  ), $AP16 =""),"18放",  IF(  AND(  OR(  C16="當日退伍"  ),OR(  D16="退伍",D16="退", D16=""  ), $AP16 =""),"當日退伍",  IF(AND(  OR(C16="退",C16="退伍" ), OR(D16="退",D16="退伍" ), $AP16 =""),"退伍","全日勤"  )  )  )  )  )  )  )  )  )  )  ),"")</f>
        <v>全日勤</v>
      </c>
      <c r="D57" s="66" t="str">
        <f>IF(   (ROW(AP16)-1)&lt;=暫1!$B$2,           IF(  AND(  OR(  D16="x",D16="補"  ), OR(  E16 ="x",E16="補",E16="x榮18-22",E16="x公18-22",E16="x榮22-08"  ), $AP16 =""),"全日休",  IF(  AND(  OR(  D16="x",D16="病"  ), OR(  E16 ="病"  ), $AP16 =""),"病(事)假",  IF(  AND(  OR(  D16="x",D16="補"  ), OR(  E16 ="補"  ), $AP16 =""),"補休",  IF(  AND(  OR(  D16="x",D16="喪"  ), OR(  E16 ="喪"  ), $AP16 =""),"喪假",  IF(  AND(  OR(  D16="x",D16="婚",D16="產"  ), OR(  E16 ="婚",E16="產"  ), $AP16 =""),"婚(產)假",  IF(  AND(  OR(  D16="x",D16="公"  ), OR(  E16 ="公"  ), $AP16 =""),"公假",  IF(  AND(  OR(  D16="x",D16="補",D16="婚",D16="公",D16="病",D16="事",D16="x榮18-22"  ),OR(E16=""), $AP16 =""  ),"18收",  IF(  AND(  OR(  D16 ="榮14-18",D16 ="榮10-18",D16 ="榮06-18",D16 ="病14-18"  ),OR(  E16 ="x",E16="補",E16="婚",E16="公",E16="病",E16="事",E16="x"  ), $AP16 =""),"18放早走",  IF(  AND(  OR(  D16 =""),OR(  E16 ="x",E16="補",E16="婚",E16="公",E16="病",E16="事",E16="x榮*",E16="榮",E16="榮-22"  ), $AP16 =""),"18放",  IF(  AND(  OR(  D16="當日退伍"  ),OR(  E16="退伍",E16="退", E16=""  ), $AP16 =""),"當日退伍",  IF(AND(  OR(D16="退",D16="退伍" ), OR(E16="退",E16="退伍" ), $AP16 =""),"退伍","全日勤"  )  )  )  )  )  )  )  )  )  )  ),"")</f>
        <v>全日勤</v>
      </c>
      <c r="E57" s="66" t="str">
        <f>IF(   (ROW(AQ16)-1)&lt;=暫1!$B$2,           IF(  AND(  OR(  E16="x",E16="補"  ), OR(  F16 ="x",F16="補",F16="x榮18-22",F16="x公18-22",F16="x榮22-08"  ), $AP16 =""),"全日休",  IF(  AND(  OR(  E16="x",E16="病"  ), OR(  F16 ="病"  ), $AP16 =""),"病(事)假",  IF(  AND(  OR(  E16="x",E16="補"  ), OR(  F16 ="補"  ), $AP16 =""),"補休",  IF(  AND(  OR(  E16="x",E16="喪"  ), OR(  F16 ="喪"  ), $AP16 =""),"喪假",  IF(  AND(  OR(  E16="x",E16="婚",E16="產"  ), OR(  F16 ="婚",F16="產"  ), $AP16 =""),"婚(產)假",  IF(  AND(  OR(  E16="x",E16="公"  ), OR(  F16 ="公"  ), $AP16 =""),"公假",  IF(  AND(  OR(  E16="x",E16="補",E16="婚",E16="公",E16="病",E16="事",E16="x榮18-22"  ),OR(F16=""), $AP16 =""  ),"18收",  IF(  AND(  OR(  E16 ="榮14-18",E16 ="榮10-18",E16 ="榮06-18",E16 ="病14-18"  ),OR(  F16 ="x",F16="補",F16="婚",F16="公",F16="病",F16="事",F16="x"  ), $AP16 =""),"18放早走",  IF(  AND(  OR(  E16 =""),OR(  F16 ="x",F16="補",F16="婚",F16="公",F16="病",F16="事",F16="x榮*",F16="榮",F16="榮-22"  ), $AP16 =""),"18放",  IF(  AND(  OR(  E16="當日退伍"  ),OR(  F16="退伍",F16="退", F16=""  ), $AP16 =""),"當日退伍",  IF(AND(  OR(E16="退",E16="退伍" ), OR(F16="退",F16="退伍" ), $AP16 =""),"退伍","全日勤"  )  )  )  )  )  )  )  )  )  )  ),"")</f>
        <v>全日勤</v>
      </c>
      <c r="F57" s="66" t="str">
        <f>IF(   (ROW(AR16)-1)&lt;=暫1!$B$2,           IF(  AND(  OR(  F16="x",F16="補"  ), OR(  G16 ="x",G16="補",G16="x榮18-22",G16="x公18-22",G16="x榮22-08"  ), $AP16 =""),"全日休",  IF(  AND(  OR(  F16="x",F16="病"  ), OR(  G16 ="病"  ), $AP16 =""),"病(事)假",  IF(  AND(  OR(  F16="x",F16="補"  ), OR(  G16 ="補"  ), $AP16 =""),"補休",  IF(  AND(  OR(  F16="x",F16="喪"  ), OR(  G16 ="喪"  ), $AP16 =""),"喪假",  IF(  AND(  OR(  F16="x",F16="婚",F16="產"  ), OR(  G16 ="婚",G16="產"  ), $AP16 =""),"婚(產)假",  IF(  AND(  OR(  F16="x",F16="公"  ), OR(  G16 ="公"  ), $AP16 =""),"公假",  IF(  AND(  OR(  F16="x",F16="補",F16="婚",F16="公",F16="病",F16="事",F16="x榮18-22"  ),OR(G16=""), $AP16 =""  ),"18收",  IF(  AND(  OR(  F16 ="榮14-18",F16 ="榮10-18",F16 ="榮06-18",F16 ="病14-18"  ),OR(  G16 ="x",G16="補",G16="婚",G16="公",G16="病",G16="事",G16="x"  ), $AP16 =""),"18放早走",  IF(  AND(  OR(  F16 =""),OR(  G16 ="x",G16="補",G16="婚",G16="公",G16="病",G16="事",G16="x榮*",G16="榮",G16="榮-22"  ), $AP16 =""),"18放",  IF(  AND(  OR(  F16="當日退伍"  ),OR(  G16="退伍",G16="退", G16=""  ), $AP16 =""),"當日退伍",  IF(AND(  OR(F16="退",F16="退伍" ), OR(G16="退",G16="退伍" ), $AP16 =""),"退伍","全日勤"  )  )  )  )  )  )  )  )  )  )  ),"")</f>
        <v>全日勤</v>
      </c>
      <c r="G57" s="66" t="str">
        <f>IF(   (ROW(AS16)-1)&lt;=暫1!$B$2,           IF(  AND(  OR(  G16="x",G16="補"  ), OR(  H16 ="x",H16="補",H16="x榮18-22",H16="x公18-22",H16="x榮22-08"  ), $AP16 =""),"全日休",  IF(  AND(  OR(  G16="x",G16="病"  ), OR(  H16 ="病"  ), $AP16 =""),"病(事)假",  IF(  AND(  OR(  G16="x",G16="補"  ), OR(  H16 ="補"  ), $AP16 =""),"補休",  IF(  AND(  OR(  G16="x",G16="喪"  ), OR(  H16 ="喪"  ), $AP16 =""),"喪假",  IF(  AND(  OR(  G16="x",G16="婚",G16="產"  ), OR(  H16 ="婚",H16="產"  ), $AP16 =""),"婚(產)假",  IF(  AND(  OR(  G16="x",G16="公"  ), OR(  H16 ="公"  ), $AP16 =""),"公假",  IF(  AND(  OR(  G16="x",G16="補",G16="婚",G16="公",G16="病",G16="事",G16="x榮18-22"  ),OR(H16=""), $AP16 =""  ),"18收",  IF(  AND(  OR(  G16 ="榮14-18",G16 ="榮10-18",G16 ="榮06-18",G16 ="病14-18"  ),OR(  H16 ="x",H16="補",H16="婚",H16="公",H16="病",H16="事",H16="x"  ), $AP16 =""),"18放早走",  IF(  AND(  OR(  G16 =""),OR(  H16 ="x",H16="補",H16="婚",H16="公",H16="病",H16="事",H16="x榮*",H16="榮",H16="榮-22"  ), $AP16 =""),"18放",  IF(  AND(  OR(  G16="當日退伍"  ),OR(  H16="退伍",H16="退", H16=""  ), $AP16 =""),"當日退伍",  IF(AND(  OR(G16="退",G16="退伍" ), OR(H16="退",H16="退伍" ), $AP16 =""),"退伍","全日勤"  )  )  )  )  )  )  )  )  )  )  ),"")</f>
        <v>全日勤</v>
      </c>
      <c r="H57" s="66" t="str">
        <f>IF(   (ROW(AT16)-1)&lt;=暫1!$B$2,           IF(  AND(  OR(  H16="x",H16="補"  ), OR(  I16 ="x",I16="補",I16="x榮18-22",I16="x公18-22",I16="x榮22-08"  ), $AP16 =""),"全日休",  IF(  AND(  OR(  H16="x",H16="病"  ), OR(  I16 ="病"  ), $AP16 =""),"病(事)假",  IF(  AND(  OR(  H16="x",H16="補"  ), OR(  I16 ="補"  ), $AP16 =""),"補休",  IF(  AND(  OR(  H16="x",H16="喪"  ), OR(  I16 ="喪"  ), $AP16 =""),"喪假",  IF(  AND(  OR(  H16="x",H16="婚",H16="產"  ), OR(  I16 ="婚",I16="產"  ), $AP16 =""),"婚(產)假",  IF(  AND(  OR(  H16="x",H16="公"  ), OR(  I16 ="公"  ), $AP16 =""),"公假",  IF(  AND(  OR(  H16="x",H16="補",H16="婚",H16="公",H16="病",H16="事",H16="x榮18-22"  ),OR(I16=""), $AP16 =""  ),"18收",  IF(  AND(  OR(  H16 ="榮14-18",H16 ="榮10-18",H16 ="榮06-18",H16 ="病14-18"  ),OR(  I16 ="x",I16="補",I16="婚",I16="公",I16="病",I16="事",I16="x"  ), $AP16 =""),"18放早走",  IF(  AND(  OR(  H16 =""),OR(  I16 ="x",I16="補",I16="婚",I16="公",I16="病",I16="事",I16="x榮*",I16="榮",I16="榮-22"  ), $AP16 =""),"18放",  IF(  AND(  OR(  H16="當日退伍"  ),OR(  I16="退伍",I16="退", I16=""  ), $AP16 =""),"當日退伍",  IF(AND(  OR(H16="退",H16="退伍" ), OR(I16="退",I16="退伍" ), $AP16 =""),"退伍","全日勤"  )  )  )  )  )  )  )  )  )  )  ),"")</f>
        <v>全日勤</v>
      </c>
      <c r="I57" s="66" t="str">
        <f>IF(   (ROW(AU16)-1)&lt;=暫1!$B$2,           IF(  AND(  OR(  I16="x",I16="補"  ), OR(  J16 ="x",J16="補",J16="x榮18-22",J16="x公18-22",J16="x榮22-08"  ), $AP16 =""),"全日休",  IF(  AND(  OR(  I16="x",I16="病"  ), OR(  J16 ="病"  ), $AP16 =""),"病(事)假",  IF(  AND(  OR(  I16="x",I16="補"  ), OR(  J16 ="補"  ), $AP16 =""),"補休",  IF(  AND(  OR(  I16="x",I16="喪"  ), OR(  J16 ="喪"  ), $AP16 =""),"喪假",  IF(  AND(  OR(  I16="x",I16="婚",I16="產"  ), OR(  J16 ="婚",J16="產"  ), $AP16 =""),"婚(產)假",  IF(  AND(  OR(  I16="x",I16="公"  ), OR(  J16 ="公"  ), $AP16 =""),"公假",  IF(  AND(  OR(  I16="x",I16="補",I16="婚",I16="公",I16="病",I16="事",I16="x榮18-22"  ),OR(J16=""), $AP16 =""  ),"18收",  IF(  AND(  OR(  I16 ="榮14-18",I16 ="榮10-18",I16 ="榮06-18",I16 ="病14-18"  ),OR(  J16 ="x",J16="補",J16="婚",J16="公",J16="病",J16="事",J16="x"  ), $AP16 =""),"18放早走",  IF(  AND(  OR(  I16 =""),OR(  J16 ="x",J16="補",J16="婚",J16="公",J16="病",J16="事",J16="x榮*",J16="榮",J16="榮-22"  ), $AP16 =""),"18放",  IF(  AND(  OR(  I16="當日退伍"  ),OR(  J16="退伍",J16="退", J16=""  ), $AP16 =""),"當日退伍",  IF(AND(  OR(I16="退",I16="退伍" ), OR(J16="退",J16="退伍" ), $AP16 =""),"退伍","全日勤"  )  )  )  )  )  )  )  )  )  )  ),"")</f>
        <v>全日勤</v>
      </c>
      <c r="J57" s="66" t="str">
        <f>IF(   (ROW(AV16)-1)&lt;=暫1!$B$2,           IF(  AND(  OR(  J16="x",J16="補"  ), OR(  K16 ="x",K16="補",K16="x榮18-22",K16="x公18-22",K16="x榮22-08"  ), $AP16 =""),"全日休",  IF(  AND(  OR(  J16="x",J16="病"  ), OR(  K16 ="病"  ), $AP16 =""),"病(事)假",  IF(  AND(  OR(  J16="x",J16="補"  ), OR(  K16 ="補"  ), $AP16 =""),"補休",  IF(  AND(  OR(  J16="x",J16="喪"  ), OR(  K16 ="喪"  ), $AP16 =""),"喪假",  IF(  AND(  OR(  J16="x",J16="婚",J16="產"  ), OR(  K16 ="婚",K16="產"  ), $AP16 =""),"婚(產)假",  IF(  AND(  OR(  J16="x",J16="公"  ), OR(  K16 ="公"  ), $AP16 =""),"公假",  IF(  AND(  OR(  J16="x",J16="補",J16="婚",J16="公",J16="病",J16="事",J16="x榮18-22"  ),OR(K16=""), $AP16 =""  ),"18收",  IF(  AND(  OR(  J16 ="榮14-18",J16 ="榮10-18",J16 ="榮06-18",J16 ="病14-18"  ),OR(  K16 ="x",K16="補",K16="婚",K16="公",K16="病",K16="事",K16="x"  ), $AP16 =""),"18放早走",  IF(  AND(  OR(  J16 =""),OR(  K16 ="x",K16="補",K16="婚",K16="公",K16="病",K16="事",K16="x榮*",K16="榮",K16="榮-22"  ), $AP16 =""),"18放",  IF(  AND(  OR(  J16="當日退伍"  ),OR(  K16="退伍",K16="退", K16=""  ), $AP16 =""),"當日退伍",  IF(AND(  OR(J16="退",J16="退伍" ), OR(K16="退",K16="退伍" ), $AP16 =""),"退伍","全日勤"  )  )  )  )  )  )  )  )  )  )  ),"")</f>
        <v>全日勤</v>
      </c>
      <c r="K57" s="66" t="str">
        <f>IF(   (ROW(AW16)-1)&lt;=暫1!$B$2,           IF(  AND(  OR(  K16="x",K16="補"  ), OR(  L16 ="x",L16="補",L16="x榮18-22",L16="x公18-22",L16="x榮22-08"  ), $AP16 =""),"全日休",  IF(  AND(  OR(  K16="x",K16="病"  ), OR(  L16 ="病"  ), $AP16 =""),"病(事)假",  IF(  AND(  OR(  K16="x",K16="補"  ), OR(  L16 ="補"  ), $AP16 =""),"補休",  IF(  AND(  OR(  K16="x",K16="喪"  ), OR(  L16 ="喪"  ), $AP16 =""),"喪假",  IF(  AND(  OR(  K16="x",K16="婚",K16="產"  ), OR(  L16 ="婚",L16="產"  ), $AP16 =""),"婚(產)假",  IF(  AND(  OR(  K16="x",K16="公"  ), OR(  L16 ="公"  ), $AP16 =""),"公假",  IF(  AND(  OR(  K16="x",K16="補",K16="婚",K16="公",K16="病",K16="事",K16="x榮18-22"  ),OR(L16=""), $AP16 =""  ),"18收",  IF(  AND(  OR(  K16 ="榮14-18",K16 ="榮10-18",K16 ="榮06-18",K16 ="病14-18"  ),OR(  L16 ="x",L16="補",L16="婚",L16="公",L16="病",L16="事",L16="x"  ), $AP16 =""),"18放早走",  IF(  AND(  OR(  K16 =""),OR(  L16 ="x",L16="補",L16="婚",L16="公",L16="病",L16="事",L16="x榮*",L16="榮",L16="榮-22"  ), $AP16 =""),"18放",  IF(  AND(  OR(  K16="當日退伍"  ),OR(  L16="退伍",L16="退", L16=""  ), $AP16 =""),"當日退伍",  IF(AND(  OR(K16="退",K16="退伍" ), OR(L16="退",L16="退伍" ), $AP16 =""),"退伍","全日勤"  )  )  )  )  )  )  )  )  )  )  ),"")</f>
        <v>全日勤</v>
      </c>
      <c r="L57" s="66" t="str">
        <f>IF(   (ROW(AX16)-1)&lt;=暫1!$B$2,           IF(  AND(  OR(  L16="x",L16="補"  ), OR(  M16 ="x",M16="補",M16="x榮18-22",M16="x公18-22",M16="x榮22-08"  ), $AP16 =""),"全日休",  IF(  AND(  OR(  L16="x",L16="病"  ), OR(  M16 ="病"  ), $AP16 =""),"病(事)假",  IF(  AND(  OR(  L16="x",L16="補"  ), OR(  M16 ="補"  ), $AP16 =""),"補休",  IF(  AND(  OR(  L16="x",L16="喪"  ), OR(  M16 ="喪"  ), $AP16 =""),"喪假",  IF(  AND(  OR(  L16="x",L16="婚",L16="產"  ), OR(  M16 ="婚",M16="產"  ), $AP16 =""),"婚(產)假",  IF(  AND(  OR(  L16="x",L16="公"  ), OR(  M16 ="公"  ), $AP16 =""),"公假",  IF(  AND(  OR(  L16="x",L16="補",L16="婚",L16="公",L16="病",L16="事",L16="x榮18-22"  ),OR(M16=""), $AP16 =""  ),"18收",  IF(  AND(  OR(  L16 ="榮14-18",L16 ="榮10-18",L16 ="榮06-18",L16 ="病14-18"  ),OR(  M16 ="x",M16="補",M16="婚",M16="公",M16="病",M16="事",M16="x"  ), $AP16 =""),"18放早走",  IF(  AND(  OR(  L16 =""),OR(  M16 ="x",M16="補",M16="婚",M16="公",M16="病",M16="事",M16="x榮*",M16="榮",M16="榮-22"  ), $AP16 =""),"18放",  IF(  AND(  OR(  L16="當日退伍"  ),OR(  M16="退伍",M16="退", M16=""  ), $AP16 =""),"當日退伍",  IF(AND(  OR(L16="退",L16="退伍" ), OR(M16="退",M16="退伍" ), $AP16 =""),"退伍","全日勤"  )  )  )  )  )  )  )  )  )  )  ),"")</f>
        <v>全日勤</v>
      </c>
      <c r="M57" s="66" t="str">
        <f>IF(   (ROW(AY16)-1)&lt;=暫1!$B$2,           IF(  AND(  OR(  M16="x",M16="補"  ), OR(  N16 ="x",N16="補",N16="x榮18-22",N16="x公18-22",N16="x榮22-08"  ), $AP16 =""),"全日休",  IF(  AND(  OR(  M16="x",M16="病"  ), OR(  N16 ="病"  ), $AP16 =""),"病(事)假",  IF(  AND(  OR(  M16="x",M16="補"  ), OR(  N16 ="補"  ), $AP16 =""),"補休",  IF(  AND(  OR(  M16="x",M16="喪"  ), OR(  N16 ="喪"  ), $AP16 =""),"喪假",  IF(  AND(  OR(  M16="x",M16="婚",M16="產"  ), OR(  N16 ="婚",N16="產"  ), $AP16 =""),"婚(產)假",  IF(  AND(  OR(  M16="x",M16="公"  ), OR(  N16 ="公"  ), $AP16 =""),"公假",  IF(  AND(  OR(  M16="x",M16="補",M16="婚",M16="公",M16="病",M16="事",M16="x榮18-22"  ),OR(N16=""), $AP16 =""  ),"18收",  IF(  AND(  OR(  M16 ="榮14-18",M16 ="榮10-18",M16 ="榮06-18",M16 ="病14-18"  ),OR(  N16 ="x",N16="補",N16="婚",N16="公",N16="病",N16="事",N16="x"  ), $AP16 =""),"18放早走",  IF(  AND(  OR(  M16 =""),OR(  N16 ="x",N16="補",N16="婚",N16="公",N16="病",N16="事",N16="x榮*",N16="榮",N16="榮-22"  ), $AP16 =""),"18放",  IF(  AND(  OR(  M16="當日退伍"  ),OR(  N16="退伍",N16="退", N16=""  ), $AP16 =""),"當日退伍",  IF(AND(  OR(M16="退",M16="退伍" ), OR(N16="退",N16="退伍" ), $AP16 =""),"退伍","全日勤"  )  )  )  )  )  )  )  )  )  )  ),"")</f>
        <v>全日勤</v>
      </c>
      <c r="N57" s="66" t="str">
        <f>IF(   (ROW(AZ16)-1)&lt;=暫1!$B$2,           IF(  AND(  OR(  N16="x",N16="補"  ), OR(  O16 ="x",O16="補",O16="x榮18-22",O16="x公18-22",O16="x榮22-08"  ), $AP16 =""),"全日休",  IF(  AND(  OR(  N16="x",N16="病"  ), OR(  O16 ="病"  ), $AP16 =""),"病(事)假",  IF(  AND(  OR(  N16="x",N16="補"  ), OR(  O16 ="補"  ), $AP16 =""),"補休",  IF(  AND(  OR(  N16="x",N16="喪"  ), OR(  O16 ="喪"  ), $AP16 =""),"喪假",  IF(  AND(  OR(  N16="x",N16="婚",N16="產"  ), OR(  O16 ="婚",O16="產"  ), $AP16 =""),"婚(產)假",  IF(  AND(  OR(  N16="x",N16="公"  ), OR(  O16 ="公"  ), $AP16 =""),"公假",  IF(  AND(  OR(  N16="x",N16="補",N16="婚",N16="公",N16="病",N16="事",N16="x榮18-22"  ),OR(O16=""), $AP16 =""  ),"18收",  IF(  AND(  OR(  N16 ="榮14-18",N16 ="榮10-18",N16 ="榮06-18",N16 ="病14-18"  ),OR(  O16 ="x",O16="補",O16="婚",O16="公",O16="病",O16="事",O16="x"  ), $AP16 =""),"18放早走",  IF(  AND(  OR(  N16 =""),OR(  O16 ="x",O16="補",O16="婚",O16="公",O16="病",O16="事",O16="x榮*",O16="榮",O16="榮-22"  ), $AP16 =""),"18放",  IF(  AND(  OR(  N16="當日退伍"  ),OR(  O16="退伍",O16="退", O16=""  ), $AP16 =""),"當日退伍",  IF(AND(  OR(N16="退",N16="退伍" ), OR(O16="退",O16="退伍" ), $AP16 =""),"退伍","全日勤"  )  )  )  )  )  )  )  )  )  )  ),"")</f>
        <v>全日勤</v>
      </c>
      <c r="O57" s="66" t="str">
        <f>IF(   (ROW(BA16)-1)&lt;=暫1!$B$2,           IF(  AND(  OR(  O16="x",O16="補"  ), OR(  P16 ="x",P16="補",P16="x榮18-22",P16="x公18-22",P16="x榮22-08"  ), $AP16 =""),"全日休",  IF(  AND(  OR(  O16="x",O16="病"  ), OR(  P16 ="病"  ), $AP16 =""),"病(事)假",  IF(  AND(  OR(  O16="x",O16="補"  ), OR(  P16 ="補"  ), $AP16 =""),"補休",  IF(  AND(  OR(  O16="x",O16="喪"  ), OR(  P16 ="喪"  ), $AP16 =""),"喪假",  IF(  AND(  OR(  O16="x",O16="婚",O16="產"  ), OR(  P16 ="婚",P16="產"  ), $AP16 =""),"婚(產)假",  IF(  AND(  OR(  O16="x",O16="公"  ), OR(  P16 ="公"  ), $AP16 =""),"公假",  IF(  AND(  OR(  O16="x",O16="補",O16="婚",O16="公",O16="病",O16="事",O16="x榮18-22"  ),OR(P16=""), $AP16 =""  ),"18收",  IF(  AND(  OR(  O16 ="榮14-18",O16 ="榮10-18",O16 ="榮06-18",O16 ="病14-18"  ),OR(  P16 ="x",P16="補",P16="婚",P16="公",P16="病",P16="事",P16="x"  ), $AP16 =""),"18放早走",  IF(  AND(  OR(  O16 =""),OR(  P16 ="x",P16="補",P16="婚",P16="公",P16="病",P16="事",P16="x榮*",P16="榮",P16="榮-22"  ), $AP16 =""),"18放",  IF(  AND(  OR(  O16="當日退伍"  ),OR(  P16="退伍",P16="退", P16=""  ), $AP16 =""),"當日退伍",  IF(AND(  OR(O16="退",O16="退伍" ), OR(P16="退",P16="退伍" ), $AP16 =""),"退伍","全日勤"  )  )  )  )  )  )  )  )  )  )  ),"")</f>
        <v>全日勤</v>
      </c>
      <c r="P57" s="66" t="str">
        <f>IF(   (ROW(BB16)-1)&lt;=暫1!$B$2,           IF(  AND(  OR(  P16="x",P16="補"  ), OR(  Q16 ="x",Q16="補",Q16="x榮18-22",Q16="x公18-22",Q16="x榮22-08"  ), $AP16 =""),"全日休",  IF(  AND(  OR(  P16="x",P16="病"  ), OR(  Q16 ="病"  ), $AP16 =""),"病(事)假",  IF(  AND(  OR(  P16="x",P16="補"  ), OR(  Q16 ="補"  ), $AP16 =""),"補休",  IF(  AND(  OR(  P16="x",P16="喪"  ), OR(  Q16 ="喪"  ), $AP16 =""),"喪假",  IF(  AND(  OR(  P16="x",P16="婚",P16="產"  ), OR(  Q16 ="婚",Q16="產"  ), $AP16 =""),"婚(產)假",  IF(  AND(  OR(  P16="x",P16="公"  ), OR(  Q16 ="公"  ), $AP16 =""),"公假",  IF(  AND(  OR(  P16="x",P16="補",P16="婚",P16="公",P16="病",P16="事",P16="x榮18-22"  ),OR(Q16=""), $AP16 =""  ),"18收",  IF(  AND(  OR(  P16 ="榮14-18",P16 ="榮10-18",P16 ="榮06-18",P16 ="病14-18"  ),OR(  Q16 ="x",Q16="補",Q16="婚",Q16="公",Q16="病",Q16="事",Q16="x"  ), $AP16 =""),"18放早走",  IF(  AND(  OR(  P16 =""),OR(  Q16 ="x",Q16="補",Q16="婚",Q16="公",Q16="病",Q16="事",Q16="x榮*",Q16="榮",Q16="榮-22"  ), $AP16 =""),"18放",  IF(  AND(  OR(  P16="當日退伍"  ),OR(  Q16="退伍",Q16="退", Q16=""  ), $AP16 =""),"當日退伍",  IF(AND(  OR(P16="退",P16="退伍" ), OR(Q16="退",Q16="退伍" ), $AP16 =""),"退伍","全日勤"  )  )  )  )  )  )  )  )  )  )  ),"")</f>
        <v>全日勤</v>
      </c>
      <c r="Q57" s="66" t="str">
        <f>IF(   (ROW(BC16)-1)&lt;=暫1!$B$2,           IF(  AND(  OR(  Q16="x",Q16="補"  ), OR(  R16 ="x",R16="補",R16="x榮18-22",R16="x公18-22",R16="x榮22-08"  ), $AP16 =""),"全日休",  IF(  AND(  OR(  Q16="x",Q16="病"  ), OR(  R16 ="病"  ), $AP16 =""),"病(事)假",  IF(  AND(  OR(  Q16="x",Q16="補"  ), OR(  R16 ="補"  ), $AP16 =""),"補休",  IF(  AND(  OR(  Q16="x",Q16="喪"  ), OR(  R16 ="喪"  ), $AP16 =""),"喪假",  IF(  AND(  OR(  Q16="x",Q16="婚",Q16="產"  ), OR(  R16 ="婚",R16="產"  ), $AP16 =""),"婚(產)假",  IF(  AND(  OR(  Q16="x",Q16="公"  ), OR(  R16 ="公"  ), $AP16 =""),"公假",  IF(  AND(  OR(  Q16="x",Q16="補",Q16="婚",Q16="公",Q16="病",Q16="事",Q16="x榮18-22"  ),OR(R16=""), $AP16 =""  ),"18收",  IF(  AND(  OR(  Q16 ="榮14-18",Q16 ="榮10-18",Q16 ="榮06-18",Q16 ="病14-18"  ),OR(  R16 ="x",R16="補",R16="婚",R16="公",R16="病",R16="事",R16="x"  ), $AP16 =""),"18放早走",  IF(  AND(  OR(  Q16 =""),OR(  R16 ="x",R16="補",R16="婚",R16="公",R16="病",R16="事",R16="x榮*",R16="榮",R16="榮-22"  ), $AP16 =""),"18放",  IF(  AND(  OR(  Q16="當日退伍"  ),OR(  R16="退伍",R16="退", R16=""  ), $AP16 =""),"當日退伍",  IF(AND(  OR(Q16="退",Q16="退伍" ), OR(R16="退",R16="退伍" ), $AP16 =""),"退伍","全日勤"  )  )  )  )  )  )  )  )  )  )  ),"")</f>
        <v>全日勤</v>
      </c>
      <c r="R57" s="66" t="str">
        <f>IF(   (ROW(BD16)-1)&lt;=暫1!$B$2,           IF(  AND(  OR(  R16="x",R16="補"  ), OR(  S16 ="x",S16="補",S16="x榮18-22",S16="x公18-22",S16="x榮22-08"  ), $AP16 =""),"全日休",  IF(  AND(  OR(  R16="x",R16="病"  ), OR(  S16 ="病"  ), $AP16 =""),"病(事)假",  IF(  AND(  OR(  R16="x",R16="補"  ), OR(  S16 ="補"  ), $AP16 =""),"補休",  IF(  AND(  OR(  R16="x",R16="喪"  ), OR(  S16 ="喪"  ), $AP16 =""),"喪假",  IF(  AND(  OR(  R16="x",R16="婚",R16="產"  ), OR(  S16 ="婚",S16="產"  ), $AP16 =""),"婚(產)假",  IF(  AND(  OR(  R16="x",R16="公"  ), OR(  S16 ="公"  ), $AP16 =""),"公假",  IF(  AND(  OR(  R16="x",R16="補",R16="婚",R16="公",R16="病",R16="事",R16="x榮18-22"  ),OR(S16=""), $AP16 =""  ),"18收",  IF(  AND(  OR(  R16 ="榮14-18",R16 ="榮10-18",R16 ="榮06-18",R16 ="病14-18"  ),OR(  S16 ="x",S16="補",S16="婚",S16="公",S16="病",S16="事",S16="x"  ), $AP16 =""),"18放早走",  IF(  AND(  OR(  R16 =""),OR(  S16 ="x",S16="補",S16="婚",S16="公",S16="病",S16="事",S16="x榮*",S16="榮",S16="榮-22"  ), $AP16 =""),"18放",  IF(  AND(  OR(  R16="當日退伍"  ),OR(  S16="退伍",S16="退", S16=""  ), $AP16 =""),"當日退伍",  IF(AND(  OR(R16="退",R16="退伍" ), OR(S16="退",S16="退伍" ), $AP16 =""),"退伍","全日勤"  )  )  )  )  )  )  )  )  )  )  ),"")</f>
        <v>全日勤</v>
      </c>
      <c r="S57" s="66" t="str">
        <f>IF(   (ROW(BE16)-1)&lt;=暫1!$B$2,           IF(  AND(  OR(  S16="x",S16="補"  ), OR(  T16 ="x",T16="補",T16="x榮18-22",T16="x公18-22",T16="x榮22-08"  ), $AP16 =""),"全日休",  IF(  AND(  OR(  S16="x",S16="病"  ), OR(  T16 ="病"  ), $AP16 =""),"病(事)假",  IF(  AND(  OR(  S16="x",S16="補"  ), OR(  T16 ="補"  ), $AP16 =""),"補休",  IF(  AND(  OR(  S16="x",S16="喪"  ), OR(  T16 ="喪"  ), $AP16 =""),"喪假",  IF(  AND(  OR(  S16="x",S16="婚",S16="產"  ), OR(  T16 ="婚",T16="產"  ), $AP16 =""),"婚(產)假",  IF(  AND(  OR(  S16="x",S16="公"  ), OR(  T16 ="公"  ), $AP16 =""),"公假",  IF(  AND(  OR(  S16="x",S16="補",S16="婚",S16="公",S16="病",S16="事",S16="x榮18-22"  ),OR(T16=""), $AP16 =""  ),"18收",  IF(  AND(  OR(  S16 ="榮14-18",S16 ="榮10-18",S16 ="榮06-18",S16 ="病14-18"  ),OR(  T16 ="x",T16="補",T16="婚",T16="公",T16="病",T16="事",T16="x"  ), $AP16 =""),"18放早走",  IF(  AND(  OR(  S16 =""),OR(  T16 ="x",T16="補",T16="婚",T16="公",T16="病",T16="事",T16="x榮*",T16="榮",T16="榮-22"  ), $AP16 =""),"18放",  IF(  AND(  OR(  S16="當日退伍"  ),OR(  T16="退伍",T16="退", T16=""  ), $AP16 =""),"當日退伍",  IF(AND(  OR(S16="退",S16="退伍" ), OR(T16="退",T16="退伍" ), $AP16 =""),"退伍","全日勤"  )  )  )  )  )  )  )  )  )  )  ),"")</f>
        <v>全日勤</v>
      </c>
      <c r="T57" s="66" t="str">
        <f>IF(   (ROW(BF16)-1)&lt;=暫1!$B$2,           IF(  AND(  OR(  T16="x",T16="補"  ), OR(  U16 ="x",U16="補",U16="x榮18-22",U16="x公18-22",U16="x榮22-08"  ), $AP16 =""),"全日休",  IF(  AND(  OR(  T16="x",T16="病"  ), OR(  U16 ="病"  ), $AP16 =""),"病(事)假",  IF(  AND(  OR(  T16="x",T16="補"  ), OR(  U16 ="補"  ), $AP16 =""),"補休",  IF(  AND(  OR(  T16="x",T16="喪"  ), OR(  U16 ="喪"  ), $AP16 =""),"喪假",  IF(  AND(  OR(  T16="x",T16="婚",T16="產"  ), OR(  U16 ="婚",U16="產"  ), $AP16 =""),"婚(產)假",  IF(  AND(  OR(  T16="x",T16="公"  ), OR(  U16 ="公"  ), $AP16 =""),"公假",  IF(  AND(  OR(  T16="x",T16="補",T16="婚",T16="公",T16="病",T16="事",T16="x榮18-22"  ),OR(U16=""), $AP16 =""  ),"18收",  IF(  AND(  OR(  T16 ="榮14-18",T16 ="榮10-18",T16 ="榮06-18",T16 ="病14-18"  ),OR(  U16 ="x",U16="補",U16="婚",U16="公",U16="病",U16="事",U16="x"  ), $AP16 =""),"18放早走",  IF(  AND(  OR(  T16 =""),OR(  U16 ="x",U16="補",U16="婚",U16="公",U16="病",U16="事",U16="x榮*",U16="榮",U16="榮-22"  ), $AP16 =""),"18放",  IF(  AND(  OR(  T16="當日退伍"  ),OR(  U16="退伍",U16="退", U16=""  ), $AP16 =""),"當日退伍",  IF(AND(  OR(T16="退",T16="退伍" ), OR(U16="退",U16="退伍" ), $AP16 =""),"退伍","全日勤"  )  )  )  )  )  )  )  )  )  )  ),"")</f>
        <v>全日勤</v>
      </c>
      <c r="U57" s="66" t="str">
        <f>IF(   (ROW(BG16)-1)&lt;=暫1!$B$2,           IF(  AND(  OR(  U16="x",U16="補"  ), OR(  V16 ="x",V16="補",V16="x榮18-22",V16="x公18-22",V16="x榮22-08"  ), $AP16 =""),"全日休",  IF(  AND(  OR(  U16="x",U16="病"  ), OR(  V16 ="病"  ), $AP16 =""),"病(事)假",  IF(  AND(  OR(  U16="x",U16="補"  ), OR(  V16 ="補"  ), $AP16 =""),"補休",  IF(  AND(  OR(  U16="x",U16="喪"  ), OR(  V16 ="喪"  ), $AP16 =""),"喪假",  IF(  AND(  OR(  U16="x",U16="婚",U16="產"  ), OR(  V16 ="婚",V16="產"  ), $AP16 =""),"婚(產)假",  IF(  AND(  OR(  U16="x",U16="公"  ), OR(  V16 ="公"  ), $AP16 =""),"公假",  IF(  AND(  OR(  U16="x",U16="補",U16="婚",U16="公",U16="病",U16="事",U16="x榮18-22"  ),OR(V16=""), $AP16 =""  ),"18收",  IF(  AND(  OR(  U16 ="榮14-18",U16 ="榮10-18",U16 ="榮06-18",U16 ="病14-18"  ),OR(  V16 ="x",V16="補",V16="婚",V16="公",V16="病",V16="事",V16="x"  ), $AP16 =""),"18放早走",  IF(  AND(  OR(  U16 =""),OR(  V16 ="x",V16="補",V16="婚",V16="公",V16="病",V16="事",V16="x榮*",V16="榮",V16="榮-22"  ), $AP16 =""),"18放",  IF(  AND(  OR(  U16="當日退伍"  ),OR(  V16="退伍",V16="退", V16=""  ), $AP16 =""),"當日退伍",  IF(AND(  OR(U16="退",U16="退伍" ), OR(V16="退",V16="退伍" ), $AP16 =""),"退伍","全日勤"  )  )  )  )  )  )  )  )  )  )  ),"")</f>
        <v>全日勤</v>
      </c>
      <c r="V57" s="66" t="str">
        <f>IF(   (ROW(BH16)-1)&lt;=暫1!$B$2,           IF(  AND(  OR(  V16="x",V16="補"  ), OR(  W16 ="x",W16="補",W16="x榮18-22",W16="x公18-22",W16="x榮22-08"  ), $AP16 =""),"全日休",  IF(  AND(  OR(  V16="x",V16="病"  ), OR(  W16 ="病"  ), $AP16 =""),"病(事)假",  IF(  AND(  OR(  V16="x",V16="補"  ), OR(  W16 ="補"  ), $AP16 =""),"補休",  IF(  AND(  OR(  V16="x",V16="喪"  ), OR(  W16 ="喪"  ), $AP16 =""),"喪假",  IF(  AND(  OR(  V16="x",V16="婚",V16="產"  ), OR(  W16 ="婚",W16="產"  ), $AP16 =""),"婚(產)假",  IF(  AND(  OR(  V16="x",V16="公"  ), OR(  W16 ="公"  ), $AP16 =""),"公假",  IF(  AND(  OR(  V16="x",V16="補",V16="婚",V16="公",V16="病",V16="事",V16="x榮18-22"  ),OR(W16=""), $AP16 =""  ),"18收",  IF(  AND(  OR(  V16 ="榮14-18",V16 ="榮10-18",V16 ="榮06-18",V16 ="病14-18"  ),OR(  W16 ="x",W16="補",W16="婚",W16="公",W16="病",W16="事",W16="x"  ), $AP16 =""),"18放早走",  IF(  AND(  OR(  V16 =""),OR(  W16 ="x",W16="補",W16="婚",W16="公",W16="病",W16="事",W16="x榮*",W16="榮",W16="榮-22"  ), $AP16 =""),"18放",  IF(  AND(  OR(  V16="當日退伍"  ),OR(  W16="退伍",W16="退", W16=""  ), $AP16 =""),"當日退伍",  IF(AND(  OR(V16="退",V16="退伍" ), OR(W16="退",W16="退伍" ), $AP16 =""),"退伍","全日勤"  )  )  )  )  )  )  )  )  )  )  ),"")</f>
        <v>全日勤</v>
      </c>
      <c r="W57" s="66" t="str">
        <f>IF(   (ROW(BI16)-1)&lt;=暫1!$B$2,           IF(  AND(  OR(  W16="x",W16="補"  ), OR(  X16 ="x",X16="補",X16="x榮18-22",X16="x公18-22",X16="x榮22-08"  ), $AP16 =""),"全日休",  IF(  AND(  OR(  W16="x",W16="病"  ), OR(  X16 ="病"  ), $AP16 =""),"病(事)假",  IF(  AND(  OR(  W16="x",W16="補"  ), OR(  X16 ="補"  ), $AP16 =""),"補休",  IF(  AND(  OR(  W16="x",W16="喪"  ), OR(  X16 ="喪"  ), $AP16 =""),"喪假",  IF(  AND(  OR(  W16="x",W16="婚",W16="產"  ), OR(  X16 ="婚",X16="產"  ), $AP16 =""),"婚(產)假",  IF(  AND(  OR(  W16="x",W16="公"  ), OR(  X16 ="公"  ), $AP16 =""),"公假",  IF(  AND(  OR(  W16="x",W16="補",W16="婚",W16="公",W16="病",W16="事",W16="x榮18-22"  ),OR(X16=""), $AP16 =""  ),"18收",  IF(  AND(  OR(  W16 ="榮14-18",W16 ="榮10-18",W16 ="榮06-18",W16 ="病14-18"  ),OR(  X16 ="x",X16="補",X16="婚",X16="公",X16="病",X16="事",X16="x"  ), $AP16 =""),"18放早走",  IF(  AND(  OR(  W16 =""),OR(  X16 ="x",X16="補",X16="婚",X16="公",X16="病",X16="事",X16="x榮*",X16="榮",X16="榮-22"  ), $AP16 =""),"18放",  IF(  AND(  OR(  W16="當日退伍"  ),OR(  X16="退伍",X16="退", X16=""  ), $AP16 =""),"當日退伍",  IF(AND(  OR(W16="退",W16="退伍" ), OR(X16="退",X16="退伍" ), $AP16 =""),"退伍","全日勤"  )  )  )  )  )  )  )  )  )  )  ),"")</f>
        <v>全日勤</v>
      </c>
      <c r="X57" s="66" t="str">
        <f>IF(   (ROW(BJ16)-1)&lt;=暫1!$B$2,           IF(  AND(  OR(  X16="x",X16="補"  ), OR(  Y16 ="x",Y16="補",Y16="x榮18-22",Y16="x公18-22",Y16="x榮22-08"  ), $AP16 =""),"全日休",  IF(  AND(  OR(  X16="x",X16="病"  ), OR(  Y16 ="病"  ), $AP16 =""),"病(事)假",  IF(  AND(  OR(  X16="x",X16="補"  ), OR(  Y16 ="補"  ), $AP16 =""),"補休",  IF(  AND(  OR(  X16="x",X16="喪"  ), OR(  Y16 ="喪"  ), $AP16 =""),"喪假",  IF(  AND(  OR(  X16="x",X16="婚",X16="產"  ), OR(  Y16 ="婚",Y16="產"  ), $AP16 =""),"婚(產)假",  IF(  AND(  OR(  X16="x",X16="公"  ), OR(  Y16 ="公"  ), $AP16 =""),"公假",  IF(  AND(  OR(  X16="x",X16="補",X16="婚",X16="公",X16="病",X16="事",X16="x榮18-22"  ),OR(Y16=""), $AP16 =""  ),"18收",  IF(  AND(  OR(  X16 ="榮14-18",X16 ="榮10-18",X16 ="榮06-18",X16 ="病14-18"  ),OR(  Y16 ="x",Y16="補",Y16="婚",Y16="公",Y16="病",Y16="事",Y16="x"  ), $AP16 =""),"18放早走",  IF(  AND(  OR(  X16 =""),OR(  Y16 ="x",Y16="補",Y16="婚",Y16="公",Y16="病",Y16="事",Y16="x榮*",Y16="榮",Y16="榮-22"  ), $AP16 =""),"18放",  IF(  AND(  OR(  X16="當日退伍"  ),OR(  Y16="退伍",Y16="退", Y16=""  ), $AP16 =""),"當日退伍",  IF(AND(  OR(X16="退",X16="退伍" ), OR(Y16="退",Y16="退伍" ), $AP16 =""),"退伍","全日勤"  )  )  )  )  )  )  )  )  )  )  ),"")</f>
        <v>全日勤</v>
      </c>
      <c r="Y57" s="66" t="str">
        <f>IF(   (ROW(BK16)-1)&lt;=暫1!$B$2,           IF(  AND(  OR(  Y16="x",Y16="補"  ), OR(  Z16 ="x",Z16="補",Z16="x榮18-22",Z16="x公18-22",Z16="x榮22-08"  ), $AP16 =""),"全日休",  IF(  AND(  OR(  Y16="x",Y16="病"  ), OR(  Z16 ="病"  ), $AP16 =""),"病(事)假",  IF(  AND(  OR(  Y16="x",Y16="補"  ), OR(  Z16 ="補"  ), $AP16 =""),"補休",  IF(  AND(  OR(  Y16="x",Y16="喪"  ), OR(  Z16 ="喪"  ), $AP16 =""),"喪假",  IF(  AND(  OR(  Y16="x",Y16="婚",Y16="產"  ), OR(  Z16 ="婚",Z16="產"  ), $AP16 =""),"婚(產)假",  IF(  AND(  OR(  Y16="x",Y16="公"  ), OR(  Z16 ="公"  ), $AP16 =""),"公假",  IF(  AND(  OR(  Y16="x",Y16="補",Y16="婚",Y16="公",Y16="病",Y16="事",Y16="x榮18-22"  ),OR(Z16=""), $AP16 =""  ),"18收",  IF(  AND(  OR(  Y16 ="榮14-18",Y16 ="榮10-18",Y16 ="榮06-18",Y16 ="病14-18"  ),OR(  Z16 ="x",Z16="補",Z16="婚",Z16="公",Z16="病",Z16="事",Z16="x"  ), $AP16 =""),"18放早走",  IF(  AND(  OR(  Y16 =""),OR(  Z16 ="x",Z16="補",Z16="婚",Z16="公",Z16="病",Z16="事",Z16="x榮*",Z16="榮",Z16="榮-22"  ), $AP16 =""),"18放",  IF(  AND(  OR(  Y16="當日退伍"  ),OR(  Z16="退伍",Z16="退", Z16=""  ), $AP16 =""),"當日退伍",  IF(AND(  OR(Y16="退",Y16="退伍" ), OR(Z16="退",Z16="退伍" ), $AP16 =""),"退伍","全日勤"  )  )  )  )  )  )  )  )  )  )  ),"")</f>
        <v>全日勤</v>
      </c>
      <c r="Z57" s="66" t="str">
        <f>IF(   (ROW(BL16)-1)&lt;=暫1!$B$2,           IF(  AND(  OR(  Z16="x",Z16="補"  ), OR(  AA16 ="x",AA16="補",AA16="x榮18-22",AA16="x公18-22",AA16="x榮22-08"  ), $AP16 =""),"全日休",  IF(  AND(  OR(  Z16="x",Z16="病"  ), OR(  AA16 ="病"  ), $AP16 =""),"病(事)假",  IF(  AND(  OR(  Z16="x",Z16="補"  ), OR(  AA16 ="補"  ), $AP16 =""),"補休",  IF(  AND(  OR(  Z16="x",Z16="喪"  ), OR(  AA16 ="喪"  ), $AP16 =""),"喪假",  IF(  AND(  OR(  Z16="x",Z16="婚",Z16="產"  ), OR(  AA16 ="婚",AA16="產"  ), $AP16 =""),"婚(產)假",  IF(  AND(  OR(  Z16="x",Z16="公"  ), OR(  AA16 ="公"  ), $AP16 =""),"公假",  IF(  AND(  OR(  Z16="x",Z16="補",Z16="婚",Z16="公",Z16="病",Z16="事",Z16="x榮18-22"  ),OR(AA16=""), $AP16 =""  ),"18收",  IF(  AND(  OR(  Z16 ="榮14-18",Z16 ="榮10-18",Z16 ="榮06-18",Z16 ="病14-18"  ),OR(  AA16 ="x",AA16="補",AA16="婚",AA16="公",AA16="病",AA16="事",AA16="x"  ), $AP16 =""),"18放早走",  IF(  AND(  OR(  Z16 =""),OR(  AA16 ="x",AA16="補",AA16="婚",AA16="公",AA16="病",AA16="事",AA16="x榮*",AA16="榮",AA16="榮-22"  ), $AP16 =""),"18放",  IF(  AND(  OR(  Z16="當日退伍"  ),OR(  AA16="退伍",AA16="退", AA16=""  ), $AP16 =""),"當日退伍",  IF(AND(  OR(Z16="退",Z16="退伍" ), OR(AA16="退",AA16="退伍" ), $AP16 =""),"退伍","全日勤"  )  )  )  )  )  )  )  )  )  )  ),"")</f>
        <v>全日勤</v>
      </c>
      <c r="AA57" s="66" t="str">
        <f>IF(   (ROW(BM16)-1)&lt;=暫1!$B$2,           IF(  AND(  OR(  AA16="x",AA16="補"  ), OR(  AB16 ="x",AB16="補",AB16="x榮18-22",AB16="x公18-22",AB16="x榮22-08"  ), $AP16 =""),"全日休",  IF(  AND(  OR(  AA16="x",AA16="病"  ), OR(  AB16 ="病"  ), $AP16 =""),"病(事)假",  IF(  AND(  OR(  AA16="x",AA16="補"  ), OR(  AB16 ="補"  ), $AP16 =""),"補休",  IF(  AND(  OR(  AA16="x",AA16="喪"  ), OR(  AB16 ="喪"  ), $AP16 =""),"喪假",  IF(  AND(  OR(  AA16="x",AA16="婚",AA16="產"  ), OR(  AB16 ="婚",AB16="產"  ), $AP16 =""),"婚(產)假",  IF(  AND(  OR(  AA16="x",AA16="公"  ), OR(  AB16 ="公"  ), $AP16 =""),"公假",  IF(  AND(  OR(  AA16="x",AA16="補",AA16="婚",AA16="公",AA16="病",AA16="事",AA16="x榮18-22"  ),OR(AB16=""), $AP16 =""  ),"18收",  IF(  AND(  OR(  AA16 ="榮14-18",AA16 ="榮10-18",AA16 ="榮06-18",AA16 ="病14-18"  ),OR(  AB16 ="x",AB16="補",AB16="婚",AB16="公",AB16="病",AB16="事",AB16="x"  ), $AP16 =""),"18放早走",  IF(  AND(  OR(  AA16 =""),OR(  AB16 ="x",AB16="補",AB16="婚",AB16="公",AB16="病",AB16="事",AB16="x榮*",AB16="榮",AB16="榮-22"  ), $AP16 =""),"18放",  IF(  AND(  OR(  AA16="當日退伍"  ),OR(  AB16="退伍",AB16="退", AB16=""  ), $AP16 =""),"當日退伍",  IF(AND(  OR(AA16="退",AA16="退伍" ), OR(AB16="退",AB16="退伍" ), $AP16 =""),"退伍","全日勤"  )  )  )  )  )  )  )  )  )  )  ),"")</f>
        <v>全日勤</v>
      </c>
      <c r="AB57" s="66" t="str">
        <f>IF(   (ROW(BN16)-1)&lt;=暫1!$B$2,           IF(  AND(  OR(  AB16="x",AB16="補"  ), OR(  AC16 ="x",AC16="補",AC16="x榮18-22",AC16="x公18-22",AC16="x榮22-08"  ), $AP16 =""),"全日休",  IF(  AND(  OR(  AB16="x",AB16="病"  ), OR(  AC16 ="病"  ), $AP16 =""),"病(事)假",  IF(  AND(  OR(  AB16="x",AB16="補"  ), OR(  AC16 ="補"  ), $AP16 =""),"補休",  IF(  AND(  OR(  AB16="x",AB16="喪"  ), OR(  AC16 ="喪"  ), $AP16 =""),"喪假",  IF(  AND(  OR(  AB16="x",AB16="婚",AB16="產"  ), OR(  AC16 ="婚",AC16="產"  ), $AP16 =""),"婚(產)假",  IF(  AND(  OR(  AB16="x",AB16="公"  ), OR(  AC16 ="公"  ), $AP16 =""),"公假",  IF(  AND(  OR(  AB16="x",AB16="補",AB16="婚",AB16="公",AB16="病",AB16="事",AB16="x榮18-22"  ),OR(AC16=""), $AP16 =""  ),"18收",  IF(  AND(  OR(  AB16 ="榮14-18",AB16 ="榮10-18",AB16 ="榮06-18",AB16 ="病14-18"  ),OR(  AC16 ="x",AC16="補",AC16="婚",AC16="公",AC16="病",AC16="事",AC16="x"  ), $AP16 =""),"18放早走",  IF(  AND(  OR(  AB16 =""),OR(  AC16 ="x",AC16="補",AC16="婚",AC16="公",AC16="病",AC16="事",AC16="x榮*",AC16="榮",AC16="榮-22"  ), $AP16 =""),"18放",  IF(  AND(  OR(  AB16="當日退伍"  ),OR(  AC16="退伍",AC16="退", AC16=""  ), $AP16 =""),"當日退伍",  IF(AND(  OR(AB16="退",AB16="退伍" ), OR(AC16="退",AC16="退伍" ), $AP16 =""),"退伍","全日勤"  )  )  )  )  )  )  )  )  )  )  ),"")</f>
        <v>全日勤</v>
      </c>
      <c r="AC57" s="66" t="str">
        <f>IF(   (ROW(BO16)-1)&lt;=暫1!$B$2,           IF(  AND(  OR(  AC16="x",AC16="補"  ), OR(  AD16 ="x",AD16="補",AD16="x榮18-22",AD16="x公18-22",AD16="x榮22-08"  ), $AP16 =""),"全日休",  IF(  AND(  OR(  AC16="x",AC16="病"  ), OR(  AD16 ="病"  ), $AP16 =""),"病(事)假",  IF(  AND(  OR(  AC16="x",AC16="補"  ), OR(  AD16 ="補"  ), $AP16 =""),"補休",  IF(  AND(  OR(  AC16="x",AC16="喪"  ), OR(  AD16 ="喪"  ), $AP16 =""),"喪假",  IF(  AND(  OR(  AC16="x",AC16="婚",AC16="產"  ), OR(  AD16 ="婚",AD16="產"  ), $AP16 =""),"婚(產)假",  IF(  AND(  OR(  AC16="x",AC16="公"  ), OR(  AD16 ="公"  ), $AP16 =""),"公假",  IF(  AND(  OR(  AC16="x",AC16="補",AC16="婚",AC16="公",AC16="病",AC16="事",AC16="x榮18-22"  ),OR(AD16=""), $AP16 =""  ),"18收",  IF(  AND(  OR(  AC16 ="榮14-18",AC16 ="榮10-18",AC16 ="榮06-18",AC16 ="病14-18"  ),OR(  AD16 ="x",AD16="補",AD16="婚",AD16="公",AD16="病",AD16="事",AD16="x"  ), $AP16 =""),"18放早走",  IF(  AND(  OR(  AC16 =""),OR(  AD16 ="x",AD16="補",AD16="婚",AD16="公",AD16="病",AD16="事",AD16="x榮*",AD16="榮",AD16="榮-22"  ), $AP16 =""),"18放",  IF(  AND(  OR(  AC16="當日退伍"  ),OR(  AD16="退伍",AD16="退", AD16=""  ), $AP16 =""),"當日退伍",  IF(AND(  OR(AC16="退",AC16="退伍" ), OR(AD16="退",AD16="退伍" ), $AP16 =""),"退伍","全日勤"  )  )  )  )  )  )  )  )  )  )  ),"")</f>
        <v>全日勤</v>
      </c>
      <c r="AD57" s="66" t="str">
        <f>IF(   (ROW(BP16)-1)&lt;=暫1!$B$2,           IF(  AND(  OR(  AD16="x",AD16="補"  ), OR(  AE16 ="x",AE16="補",AE16="x榮18-22",AE16="x公18-22",AE16="x榮22-08"  ), $AP16 =""),"全日休",  IF(  AND(  OR(  AD16="x",AD16="病"  ), OR(  AE16 ="病"  ), $AP16 =""),"病(事)假",  IF(  AND(  OR(  AD16="x",AD16="補"  ), OR(  AE16 ="補"  ), $AP16 =""),"補休",  IF(  AND(  OR(  AD16="x",AD16="喪"  ), OR(  AE16 ="喪"  ), $AP16 =""),"喪假",  IF(  AND(  OR(  AD16="x",AD16="婚",AD16="產"  ), OR(  AE16 ="婚",AE16="產"  ), $AP16 =""),"婚(產)假",  IF(  AND(  OR(  AD16="x",AD16="公"  ), OR(  AE16 ="公"  ), $AP16 =""),"公假",  IF(  AND(  OR(  AD16="x",AD16="補",AD16="婚",AD16="公",AD16="病",AD16="事",AD16="x榮18-22"  ),OR(AE16=""), $AP16 =""  ),"18收",  IF(  AND(  OR(  AD16 ="榮14-18",AD16 ="榮10-18",AD16 ="榮06-18",AD16 ="病14-18"  ),OR(  AE16 ="x",AE16="補",AE16="婚",AE16="公",AE16="病",AE16="事",AE16="x"  ), $AP16 =""),"18放早走",  IF(  AND(  OR(  AD16 =""),OR(  AE16 ="x",AE16="補",AE16="婚",AE16="公",AE16="病",AE16="事",AE16="x榮*",AE16="榮",AE16="榮-22"  ), $AP16 =""),"18放",  IF(  AND(  OR(  AD16="當日退伍"  ),OR(  AE16="退伍",AE16="退", AE16=""  ), $AP16 =""),"當日退伍",  IF(AND(  OR(AD16="退",AD16="退伍" ), OR(AE16="退",AE16="退伍" ), $AP16 =""),"退伍","全日勤"  )  )  )  )  )  )  )  )  )  )  ),"")</f>
        <v>全日勤</v>
      </c>
      <c r="AE57" s="66" t="str">
        <f>IF(   (ROW(BQ16)-1)&lt;=暫1!$B$2,           IF(  AND(  OR(  AE16="x",AE16="補"  ), OR(  AF16 ="x",AF16="補",AF16="x榮18-22",AF16="x公18-22",AF16="x榮22-08"  ), $AP16 =""),"全日休",  IF(  AND(  OR(  AE16="x",AE16="病"  ), OR(  AF16 ="病"  ), $AP16 =""),"病(事)假",  IF(  AND(  OR(  AE16="x",AE16="補"  ), OR(  AF16 ="補"  ), $AP16 =""),"補休",  IF(  AND(  OR(  AE16="x",AE16="喪"  ), OR(  AF16 ="喪"  ), $AP16 =""),"喪假",  IF(  AND(  OR(  AE16="x",AE16="婚",AE16="產"  ), OR(  AF16 ="婚",AF16="產"  ), $AP16 =""),"婚(產)假",  IF(  AND(  OR(  AE16="x",AE16="公"  ), OR(  AF16 ="公"  ), $AP16 =""),"公假",  IF(  AND(  OR(  AE16="x",AE16="補",AE16="婚",AE16="公",AE16="病",AE16="事",AE16="x榮18-22"  ),OR(AF16=""), $AP16 =""  ),"18收",  IF(  AND(  OR(  AE16 ="榮14-18",AE16 ="榮10-18",AE16 ="榮06-18",AE16 ="病14-18"  ),OR(  AF16 ="x",AF16="補",AF16="婚",AF16="公",AF16="病",AF16="事",AF16="x"  ), $AP16 =""),"18放早走",  IF(  AND(  OR(  AE16 =""),OR(  AF16 ="x",AF16="補",AF16="婚",AF16="公",AF16="病",AF16="事",AF16="x榮*",AF16="榮",AF16="榮-22"  ), $AP16 =""),"18放",  IF(  AND(  OR(  AE16="當日退伍"  ),OR(  AF16="退伍",AF16="退", AF16=""  ), $AP16 =""),"當日退伍",  IF(AND(  OR(AE16="退",AE16="退伍" ), OR(AF16="退",AF16="退伍" ), $AP16 =""),"退伍","全日勤"  )  )  )  )  )  )  )  )  )  )  ),"")</f>
        <v>全日勤</v>
      </c>
      <c r="AF57" s="66" t="str">
        <f>IF(   (ROW(BR16)-1)&lt;=暫1!$B$2,           IF(  AND(  OR(  AF16="x",AF16="補"  ), OR(  AG16 ="x",AG16="補",AG16="x榮18-22",AG16="x公18-22",AG16="x榮22-08"  ), $AP16 =""),"全日休",  IF(  AND(  OR(  AF16="x",AF16="病"  ), OR(  AG16 ="病"  ), $AP16 =""),"病(事)假",  IF(  AND(  OR(  AF16="x",AF16="補"  ), OR(  AG16 ="補"  ), $AP16 =""),"補休",  IF(  AND(  OR(  AF16="x",AF16="喪"  ), OR(  AG16 ="喪"  ), $AP16 =""),"喪假",  IF(  AND(  OR(  AF16="x",AF16="婚",AF16="產"  ), OR(  AG16 ="婚",AG16="產"  ), $AP16 =""),"婚(產)假",  IF(  AND(  OR(  AF16="x",AF16="公"  ), OR(  AG16 ="公"  ), $AP16 =""),"公假",  IF(  AND(  OR(  AF16="x",AF16="補",AF16="婚",AF16="公",AF16="病",AF16="事",AF16="x榮18-22"  ),OR(AG16=""), $AP16 =""  ),"18收",  IF(  AND(  OR(  AF16 ="榮14-18",AF16 ="榮10-18",AF16 ="榮06-18",AF16 ="病14-18"  ),OR(  AG16 ="x",AG16="補",AG16="婚",AG16="公",AG16="病",AG16="事",AG16="x"  ), $AP16 =""),"18放早走",  IF(  AND(  OR(  AF16 =""),OR(  AG16 ="x",AG16="補",AG16="婚",AG16="公",AG16="病",AG16="事",AG16="x榮*",AG16="榮",AG16="榮-22"  ), $AP16 =""),"18放",  IF(  AND(  OR(  AF16="當日退伍"  ),OR(  AG16="退伍",AG16="退", AG16=""  ), $AP16 =""),"當日退伍",  IF(AND(  OR(AF16="退",AF16="退伍" ), OR(AG16="退",AG16="退伍" ), $AP16 =""),"退伍","全日勤"  )  )  )  )  )  )  )  )  )  )  ),"")</f>
        <v>18放</v>
      </c>
      <c r="AG57" s="66" t="str">
        <f>IF(   (ROW(BS16)-1)&lt;=暫1!$B$2,           IF(  AND(  OR(  AG16="x",AG16="補"  ), OR(  AH16 ="x",AH16="補",AH16="x榮18-22",AH16="x公18-22",AH16="x榮22-08"  ), $AP16 =""),"全日休",  IF(  AND(  OR(  AG16="x",AG16="病"  ), OR(  AH16 ="病"  ), $AP16 =""),"病(事)假",  IF(  AND(  OR(  AG16="x",AG16="補"  ), OR(  AH16 ="補"  ), $AP16 =""),"補休",  IF(  AND(  OR(  AG16="x",AG16="喪"  ), OR(  AH16 ="喪"  ), $AP16 =""),"喪假",  IF(  AND(  OR(  AG16="x",AG16="婚",AG16="產"  ), OR(  AH16 ="婚",AH16="產"  ), $AP16 =""),"婚(產)假",  IF(  AND(  OR(  AG16="x",AG16="公"  ), OR(  AH16 ="公"  ), $AP16 =""),"公假",  IF(  AND(  OR(  AG16="x",AG16="補",AG16="婚",AG16="公",AG16="病",AG16="事",AG16="x榮18-22"  ),OR(AH16=""), $AP16 =""  ),"18收",  IF(  AND(  OR(  AG16 ="榮14-18",AG16 ="榮10-18",AG16 ="榮06-18",AG16 ="病14-18"  ),OR(  AH16 ="x",AH16="補",AH16="婚",AH16="公",AH16="病",AH16="事",AH16="x"  ), $AP16 =""),"18放早走",  IF(  AND(  OR(  AG16 =""),OR(  AH16 ="x",AH16="補",AH16="婚",AH16="公",AH16="病",AH16="事",AH16="x榮*",AH16="榮",AH16="榮-22"  ), $AP16 =""),"18放",  IF(  AND(  OR(  AG16="當日退伍"  ),OR(  AH16="退伍",AH16="退", AH16=""  ), $AP16 =""),"當日退伍",  IF(AND(  OR(AG16="退",AG16="退伍" ), OR(AH16="退",AH16="退伍" ), $AP16 =""),"退伍","全日勤"  )  )  )  )  )  )  )  )  )  )  ),"")</f>
        <v>18收</v>
      </c>
      <c r="AH57" s="66" t="str">
        <f>IF(   (ROW(BT16)-1)&lt;=暫1!$B$2,           IF(  AND(  OR(  AH16="x",AH16="補"  ), OR(  AI16 ="x",AI16="補",AI16="x榮18-22",AI16="x公18-22",AI16="x榮22-08"  ), $AP16 =""),"全日休",  IF(  AND(  OR(  AH16="x",AH16="病"  ), OR(  AI16 ="病"  ), $AP16 =""),"病(事)假",  IF(  AND(  OR(  AH16="x",AH16="補"  ), OR(  AI16 ="補"  ), $AP16 =""),"補休",  IF(  AND(  OR(  AH16="x",AH16="喪"  ), OR(  AI16 ="喪"  ), $AP16 =""),"喪假",  IF(  AND(  OR(  AH16="x",AH16="婚",AH16="產"  ), OR(  AI16 ="婚",AI16="產"  ), $AP16 =""),"婚(產)假",  IF(  AND(  OR(  AH16="x",AH16="公"  ), OR(  AI16 ="公"  ), $AP16 =""),"公假",  IF(  AND(  OR(  AH16="x",AH16="補",AH16="婚",AH16="公",AH16="病",AH16="事",AH16="x榮18-22"  ),OR(AI16=""), $AP16 =""  ),"18收",  IF(  AND(  OR(  AH16 ="榮14-18",AH16 ="榮10-18",AH16 ="榮06-18",AH16 ="病14-18"  ),OR(  AI16 ="x",AI16="補",AI16="婚",AI16="公",AI16="病",AI16="事",AI16="x"  ), $AP16 =""),"18放早走",  IF(  AND(  OR(  AH16 =""),OR(  AI16 ="x",AI16="補",AI16="婚",AI16="公",AI16="病",AI16="事",AI16="x榮*",AI16="榮",AI16="榮-22"  ), $AP16 =""),"18放",  IF(  AND(  OR(  AH16="當日退伍"  ),OR(  AI16="退伍",AI16="退", AI16=""  ), $AP16 =""),"當日退伍",  IF(AND(  OR(AH16="退",AH16="退伍" ), OR(AI16="退",AI16="退伍" ), $AP16 =""),"退伍","全日勤"  )  )  )  )  )  )  )  )  )  )  ),"")</f>
        <v>全日勤</v>
      </c>
      <c r="AI57" s="66" t="str">
        <f>IF(   (ROW(BU16)-1)&lt;=暫1!$B$2,           IF(  AND(  OR(  AI16="x",AI16="補"  ), OR(  AJ16 ="x",AJ16="補",AJ16="x榮18-22",AJ16="x公18-22",AJ16="x榮22-08"  ), $AP16 =""),"全日休",  IF(  AND(  OR(  AI16="x",AI16="病"  ), OR(  AJ16 ="病"  ), $AP16 =""),"病(事)假",  IF(  AND(  OR(  AI16="x",AI16="補"  ), OR(  AJ16 ="補"  ), $AP16 =""),"補休",  IF(  AND(  OR(  AI16="x",AI16="喪"  ), OR(  AJ16 ="喪"  ), $AP16 =""),"喪假",  IF(  AND(  OR(  AI16="x",AI16="婚",AI16="產"  ), OR(  AJ16 ="婚",AJ16="產"  ), $AP16 =""),"婚(產)假",  IF(  AND(  OR(  AI16="x",AI16="公"  ), OR(  AJ16 ="公"  ), $AP16 =""),"公假",  IF(  AND(  OR(  AI16="x",AI16="補",AI16="婚",AI16="公",AI16="病",AI16="事",AI16="x榮18-22"  ),OR(AJ16=""), $AP16 =""  ),"18收",  IF(  AND(  OR(  AI16 ="榮14-18",AI16 ="榮10-18",AI16 ="榮06-18",AI16 ="病14-18"  ),OR(  AJ16 ="x",AJ16="補",AJ16="婚",AJ16="公",AJ16="病",AJ16="事",AJ16="x"  ), $AP16 =""),"18放早走",  IF(  AND(  OR(  AI16 =""),OR(  AJ16 ="x",AJ16="補",AJ16="婚",AJ16="公",AJ16="病",AJ16="事",AJ16="x榮*",AJ16="榮",AJ16="榮-22"  ), $AP16 =""),"18放",  IF(  AND(  OR(  AI16="當日退伍"  ),OR(  AJ16="退伍",AJ16="退", AJ16=""  ), $AP16 =""),"當日退伍",  IF(AND(  OR(AI16="退",AI16="退伍" ), OR(AJ16="退",AJ16="退伍" ), $AP16 =""),"退伍","全日勤"  )  )  )  )  )  )  )  )  )  )  ),"")</f>
        <v>全日勤</v>
      </c>
      <c r="AJ57" s="66" t="str">
        <f>IF(   (ROW(BV16)-1)&lt;=暫1!$B$2,           IF(  AND(  OR(  AJ16="x",AJ16="補"  ), OR(  AK16 ="x",AK16="補",AK16="x榮18-22",AK16="x公18-22",AK16="x榮22-08"  ), $AP16 =""),"全日休",  IF(  AND(  OR(  AJ16="x",AJ16="病"  ), OR(  AK16 ="病"  ), $AP16 =""),"病(事)假",  IF(  AND(  OR(  AJ16="x",AJ16="補"  ), OR(  AK16 ="補"  ), $AP16 =""),"補休",  IF(  AND(  OR(  AJ16="x",AJ16="喪"  ), OR(  AK16 ="喪"  ), $AP16 =""),"喪假",  IF(  AND(  OR(  AJ16="x",AJ16="婚",AJ16="產"  ), OR(  AK16 ="婚",AK16="產"  ), $AP16 =""),"婚(產)假",  IF(  AND(  OR(  AJ16="x",AJ16="公"  ), OR(  AK16 ="公"  ), $AP16 =""),"公假",  IF(  AND(  OR(  AJ16="x",AJ16="補",AJ16="婚",AJ16="公",AJ16="病",AJ16="事",AJ16="x榮18-22"  ),OR(AK16=""), $AP16 =""  ),"18收",  IF(  AND(  OR(  AJ16 ="榮14-18",AJ16 ="榮10-18",AJ16 ="榮06-18",AJ16 ="病14-18"  ),OR(  AK16 ="x",AK16="補",AK16="婚",AK16="公",AK16="病",AK16="事",AK16="x"  ), $AP16 =""),"18放早走",  IF(  AND(  OR(  AJ16 =""),OR(  AK16 ="x",AK16="補",AK16="婚",AK16="公",AK16="病",AK16="事",AK16="x榮*",AK16="榮",AK16="榮-22"  ), $AP16 =""),"18放",  IF(  AND(  OR(  AJ16="當日退伍"  ),OR(  AK16="退伍",AK16="退", AK16=""  ), $AP16 =""),"當日退伍",  IF(AND(  OR(AJ16="退",AJ16="退伍" ), OR(AK16="退",AK16="退伍" ), $AP16 =""),"退伍","全日勤"  )  )  )  )  )  )  )  )  )  )  ),"")</f>
        <v>全日勤</v>
      </c>
      <c r="AO57" s="76"/>
      <c r="AP57" s="63"/>
      <c r="AU57" s="63"/>
      <c r="AY57" s="63"/>
      <c r="AZ57" s="63"/>
      <c r="BA57" s="63"/>
    </row>
    <row r="58" spans="1:55" ht="25.5" customHeight="1">
      <c r="A58" s="66">
        <f t="shared" si="4"/>
        <v>16</v>
      </c>
      <c r="B58" s="66" t="str">
        <f t="shared" si="6"/>
        <v>張恩齊</v>
      </c>
      <c r="C58" s="66" t="str">
        <f>IF(   (ROW(AO17)-1)&lt;=暫1!$B$2,           IF(  AND(  OR(  C17="x",C17="補"  ), OR(  D17 ="x",D17="補",D17="x榮18-22",D17="x公18-22",D17="x榮22-08"  ), $AP17 =""),"全日休",  IF(  AND(  OR(  C17="x",C17="病"  ), OR(  D17 ="病"  ), $AP17 =""),"病(事)假",  IF(  AND(  OR(  C17="x",C17="補"  ), OR(  D17 ="補"  ), $AP17 =""),"補休",  IF(  AND(  OR(  C17="x",C17="喪"  ), OR(  D17 ="喪"  ), $AP17 =""),"喪假",  IF(  AND(  OR(  C17="x",C17="婚",C17="產"  ), OR(  D17 ="婚",D17="產"  ), $AP17 =""),"婚(產)假",  IF(  AND(  OR(  C17="x",C17="公"  ), OR(  D17 ="公"  ), $AP17 =""),"公假",  IF(  AND(  OR(  C17="x",C17="補",C17="婚",C17="公",C17="病",C17="事",C17="x榮18-22"  ),OR(D17=""), $AP17 =""  ),"18收",  IF(  AND(  OR(  C17 ="榮14-18",C17 ="榮10-18",C17 ="榮06-18",C17 ="病14-18"  ),OR(  D17 ="x",D17="補",D17="婚",D17="公",D17="病",D17="事",D17="x"  ), $AP17 =""),"18放早走",  IF(  AND(  OR(  C17 =""),OR(  D17 ="x",D17="補",D17="婚",D17="公",D17="病",D17="事",D17="x榮*",D17="榮",D17="榮-22"  ), $AP17 =""),"18放",  IF(  AND(  OR(  C17="當日退伍"  ),OR(  D17="退伍",D17="退", D17=""  ), $AP17 =""),"當日退伍",  IF(AND(  OR(C17="退",C17="退伍" ), OR(D17="退",D17="退伍" ), $AP17 =""),"退伍","全日勤"  )  )  )  )  )  )  )  )  )  )  ),"")</f>
        <v>全日勤</v>
      </c>
      <c r="D58" s="66" t="str">
        <f>IF(   (ROW(AP17)-1)&lt;=暫1!$B$2,           IF(  AND(  OR(  D17="x",D17="補"  ), OR(  E17 ="x",E17="補",E17="x榮18-22",E17="x公18-22",E17="x榮22-08"  ), $AP17 =""),"全日休",  IF(  AND(  OR(  D17="x",D17="病"  ), OR(  E17 ="病"  ), $AP17 =""),"病(事)假",  IF(  AND(  OR(  D17="x",D17="補"  ), OR(  E17 ="補"  ), $AP17 =""),"補休",  IF(  AND(  OR(  D17="x",D17="喪"  ), OR(  E17 ="喪"  ), $AP17 =""),"喪假",  IF(  AND(  OR(  D17="x",D17="婚",D17="產"  ), OR(  E17 ="婚",E17="產"  ), $AP17 =""),"婚(產)假",  IF(  AND(  OR(  D17="x",D17="公"  ), OR(  E17 ="公"  ), $AP17 =""),"公假",  IF(  AND(  OR(  D17="x",D17="補",D17="婚",D17="公",D17="病",D17="事",D17="x榮18-22"  ),OR(E17=""), $AP17 =""  ),"18收",  IF(  AND(  OR(  D17 ="榮14-18",D17 ="榮10-18",D17 ="榮06-18",D17 ="病14-18"  ),OR(  E17 ="x",E17="補",E17="婚",E17="公",E17="病",E17="事",E17="x"  ), $AP17 =""),"18放早走",  IF(  AND(  OR(  D17 =""),OR(  E17 ="x",E17="補",E17="婚",E17="公",E17="病",E17="事",E17="x榮*",E17="榮",E17="榮-22"  ), $AP17 =""),"18放",  IF(  AND(  OR(  D17="當日退伍"  ),OR(  E17="退伍",E17="退", E17=""  ), $AP17 =""),"當日退伍",  IF(AND(  OR(D17="退",D17="退伍" ), OR(E17="退",E17="退伍" ), $AP17 =""),"退伍","全日勤"  )  )  )  )  )  )  )  )  )  )  ),"")</f>
        <v>全日勤</v>
      </c>
      <c r="E58" s="66" t="str">
        <f>IF(   (ROW(AQ17)-1)&lt;=暫1!$B$2,           IF(  AND(  OR(  E17="x",E17="補"  ), OR(  F17 ="x",F17="補",F17="x榮18-22",F17="x公18-22",F17="x榮22-08"  ), $AP17 =""),"全日休",  IF(  AND(  OR(  E17="x",E17="病"  ), OR(  F17 ="病"  ), $AP17 =""),"病(事)假",  IF(  AND(  OR(  E17="x",E17="補"  ), OR(  F17 ="補"  ), $AP17 =""),"補休",  IF(  AND(  OR(  E17="x",E17="喪"  ), OR(  F17 ="喪"  ), $AP17 =""),"喪假",  IF(  AND(  OR(  E17="x",E17="婚",E17="產"  ), OR(  F17 ="婚",F17="產"  ), $AP17 =""),"婚(產)假",  IF(  AND(  OR(  E17="x",E17="公"  ), OR(  F17 ="公"  ), $AP17 =""),"公假",  IF(  AND(  OR(  E17="x",E17="補",E17="婚",E17="公",E17="病",E17="事",E17="x榮18-22"  ),OR(F17=""), $AP17 =""  ),"18收",  IF(  AND(  OR(  E17 ="榮14-18",E17 ="榮10-18",E17 ="榮06-18",E17 ="病14-18"  ),OR(  F17 ="x",F17="補",F17="婚",F17="公",F17="病",F17="事",F17="x"  ), $AP17 =""),"18放早走",  IF(  AND(  OR(  E17 =""),OR(  F17 ="x",F17="補",F17="婚",F17="公",F17="病",F17="事",F17="x榮*",F17="榮",F17="榮-22"  ), $AP17 =""),"18放",  IF(  AND(  OR(  E17="當日退伍"  ),OR(  F17="退伍",F17="退", F17=""  ), $AP17 =""),"當日退伍",  IF(AND(  OR(E17="退",E17="退伍" ), OR(F17="退",F17="退伍" ), $AP17 =""),"退伍","全日勤"  )  )  )  )  )  )  )  )  )  )  ),"")</f>
        <v>全日勤</v>
      </c>
      <c r="F58" s="66" t="str">
        <f>IF(   (ROW(AR17)-1)&lt;=暫1!$B$2,           IF(  AND(  OR(  F17="x",F17="補"  ), OR(  G17 ="x",G17="補",G17="x榮18-22",G17="x公18-22",G17="x榮22-08"  ), $AP17 =""),"全日休",  IF(  AND(  OR(  F17="x",F17="病"  ), OR(  G17 ="病"  ), $AP17 =""),"病(事)假",  IF(  AND(  OR(  F17="x",F17="補"  ), OR(  G17 ="補"  ), $AP17 =""),"補休",  IF(  AND(  OR(  F17="x",F17="喪"  ), OR(  G17 ="喪"  ), $AP17 =""),"喪假",  IF(  AND(  OR(  F17="x",F17="婚",F17="產"  ), OR(  G17 ="婚",G17="產"  ), $AP17 =""),"婚(產)假",  IF(  AND(  OR(  F17="x",F17="公"  ), OR(  G17 ="公"  ), $AP17 =""),"公假",  IF(  AND(  OR(  F17="x",F17="補",F17="婚",F17="公",F17="病",F17="事",F17="x榮18-22"  ),OR(G17=""), $AP17 =""  ),"18收",  IF(  AND(  OR(  F17 ="榮14-18",F17 ="榮10-18",F17 ="榮06-18",F17 ="病14-18"  ),OR(  G17 ="x",G17="補",G17="婚",G17="公",G17="病",G17="事",G17="x"  ), $AP17 =""),"18放早走",  IF(  AND(  OR(  F17 =""),OR(  G17 ="x",G17="補",G17="婚",G17="公",G17="病",G17="事",G17="x榮*",G17="榮",G17="榮-22"  ), $AP17 =""),"18放",  IF(  AND(  OR(  F17="當日退伍"  ),OR(  G17="退伍",G17="退", G17=""  ), $AP17 =""),"當日退伍",  IF(AND(  OR(F17="退",F17="退伍" ), OR(G17="退",G17="退伍" ), $AP17 =""),"退伍","全日勤"  )  )  )  )  )  )  )  )  )  )  ),"")</f>
        <v>全日勤</v>
      </c>
      <c r="G58" s="66" t="str">
        <f>IF(   (ROW(AS17)-1)&lt;=暫1!$B$2,           IF(  AND(  OR(  G17="x",G17="補"  ), OR(  H17 ="x",H17="補",H17="x榮18-22",H17="x公18-22",H17="x榮22-08"  ), $AP17 =""),"全日休",  IF(  AND(  OR(  G17="x",G17="病"  ), OR(  H17 ="病"  ), $AP17 =""),"病(事)假",  IF(  AND(  OR(  G17="x",G17="補"  ), OR(  H17 ="補"  ), $AP17 =""),"補休",  IF(  AND(  OR(  G17="x",G17="喪"  ), OR(  H17 ="喪"  ), $AP17 =""),"喪假",  IF(  AND(  OR(  G17="x",G17="婚",G17="產"  ), OR(  H17 ="婚",H17="產"  ), $AP17 =""),"婚(產)假",  IF(  AND(  OR(  G17="x",G17="公"  ), OR(  H17 ="公"  ), $AP17 =""),"公假",  IF(  AND(  OR(  G17="x",G17="補",G17="婚",G17="公",G17="病",G17="事",G17="x榮18-22"  ),OR(H17=""), $AP17 =""  ),"18收",  IF(  AND(  OR(  G17 ="榮14-18",G17 ="榮10-18",G17 ="榮06-18",G17 ="病14-18"  ),OR(  H17 ="x",H17="補",H17="婚",H17="公",H17="病",H17="事",H17="x"  ), $AP17 =""),"18放早走",  IF(  AND(  OR(  G17 =""),OR(  H17 ="x",H17="補",H17="婚",H17="公",H17="病",H17="事",H17="x榮*",H17="榮",H17="榮-22"  ), $AP17 =""),"18放",  IF(  AND(  OR(  G17="當日退伍"  ),OR(  H17="退伍",H17="退", H17=""  ), $AP17 =""),"當日退伍",  IF(AND(  OR(G17="退",G17="退伍" ), OR(H17="退",H17="退伍" ), $AP17 =""),"退伍","全日勤"  )  )  )  )  )  )  )  )  )  )  ),"")</f>
        <v>全日勤</v>
      </c>
      <c r="H58" s="66" t="str">
        <f>IF(   (ROW(AT17)-1)&lt;=暫1!$B$2,           IF(  AND(  OR(  H17="x",H17="補"  ), OR(  I17 ="x",I17="補",I17="x榮18-22",I17="x公18-22",I17="x榮22-08"  ), $AP17 =""),"全日休",  IF(  AND(  OR(  H17="x",H17="病"  ), OR(  I17 ="病"  ), $AP17 =""),"病(事)假",  IF(  AND(  OR(  H17="x",H17="補"  ), OR(  I17 ="補"  ), $AP17 =""),"補休",  IF(  AND(  OR(  H17="x",H17="喪"  ), OR(  I17 ="喪"  ), $AP17 =""),"喪假",  IF(  AND(  OR(  H17="x",H17="婚",H17="產"  ), OR(  I17 ="婚",I17="產"  ), $AP17 =""),"婚(產)假",  IF(  AND(  OR(  H17="x",H17="公"  ), OR(  I17 ="公"  ), $AP17 =""),"公假",  IF(  AND(  OR(  H17="x",H17="補",H17="婚",H17="公",H17="病",H17="事",H17="x榮18-22"  ),OR(I17=""), $AP17 =""  ),"18收",  IF(  AND(  OR(  H17 ="榮14-18",H17 ="榮10-18",H17 ="榮06-18",H17 ="病14-18"  ),OR(  I17 ="x",I17="補",I17="婚",I17="公",I17="病",I17="事",I17="x"  ), $AP17 =""),"18放早走",  IF(  AND(  OR(  H17 =""),OR(  I17 ="x",I17="補",I17="婚",I17="公",I17="病",I17="事",I17="x榮*",I17="榮",I17="榮-22"  ), $AP17 =""),"18放",  IF(  AND(  OR(  H17="當日退伍"  ),OR(  I17="退伍",I17="退", I17=""  ), $AP17 =""),"當日退伍",  IF(AND(  OR(H17="退",H17="退伍" ), OR(I17="退",I17="退伍" ), $AP17 =""),"退伍","全日勤"  )  )  )  )  )  )  )  )  )  )  ),"")</f>
        <v>全日勤</v>
      </c>
      <c r="I58" s="66" t="str">
        <f>IF(   (ROW(AU17)-1)&lt;=暫1!$B$2,           IF(  AND(  OR(  I17="x",I17="補"  ), OR(  J17 ="x",J17="補",J17="x榮18-22",J17="x公18-22",J17="x榮22-08"  ), $AP17 =""),"全日休",  IF(  AND(  OR(  I17="x",I17="病"  ), OR(  J17 ="病"  ), $AP17 =""),"病(事)假",  IF(  AND(  OR(  I17="x",I17="補"  ), OR(  J17 ="補"  ), $AP17 =""),"補休",  IF(  AND(  OR(  I17="x",I17="喪"  ), OR(  J17 ="喪"  ), $AP17 =""),"喪假",  IF(  AND(  OR(  I17="x",I17="婚",I17="產"  ), OR(  J17 ="婚",J17="產"  ), $AP17 =""),"婚(產)假",  IF(  AND(  OR(  I17="x",I17="公"  ), OR(  J17 ="公"  ), $AP17 =""),"公假",  IF(  AND(  OR(  I17="x",I17="補",I17="婚",I17="公",I17="病",I17="事",I17="x榮18-22"  ),OR(J17=""), $AP17 =""  ),"18收",  IF(  AND(  OR(  I17 ="榮14-18",I17 ="榮10-18",I17 ="榮06-18",I17 ="病14-18"  ),OR(  J17 ="x",J17="補",J17="婚",J17="公",J17="病",J17="事",J17="x"  ), $AP17 =""),"18放早走",  IF(  AND(  OR(  I17 =""),OR(  J17 ="x",J17="補",J17="婚",J17="公",J17="病",J17="事",J17="x榮*",J17="榮",J17="榮-22"  ), $AP17 =""),"18放",  IF(  AND(  OR(  I17="當日退伍"  ),OR(  J17="退伍",J17="退", J17=""  ), $AP17 =""),"當日退伍",  IF(AND(  OR(I17="退",I17="退伍" ), OR(J17="退",J17="退伍" ), $AP17 =""),"退伍","全日勤"  )  )  )  )  )  )  )  )  )  )  ),"")</f>
        <v>全日勤</v>
      </c>
      <c r="J58" s="66" t="str">
        <f>IF(   (ROW(AV17)-1)&lt;=暫1!$B$2,           IF(  AND(  OR(  J17="x",J17="補"  ), OR(  K17 ="x",K17="補",K17="x榮18-22",K17="x公18-22",K17="x榮22-08"  ), $AP17 =""),"全日休",  IF(  AND(  OR(  J17="x",J17="病"  ), OR(  K17 ="病"  ), $AP17 =""),"病(事)假",  IF(  AND(  OR(  J17="x",J17="補"  ), OR(  K17 ="補"  ), $AP17 =""),"補休",  IF(  AND(  OR(  J17="x",J17="喪"  ), OR(  K17 ="喪"  ), $AP17 =""),"喪假",  IF(  AND(  OR(  J17="x",J17="婚",J17="產"  ), OR(  K17 ="婚",K17="產"  ), $AP17 =""),"婚(產)假",  IF(  AND(  OR(  J17="x",J17="公"  ), OR(  K17 ="公"  ), $AP17 =""),"公假",  IF(  AND(  OR(  J17="x",J17="補",J17="婚",J17="公",J17="病",J17="事",J17="x榮18-22"  ),OR(K17=""), $AP17 =""  ),"18收",  IF(  AND(  OR(  J17 ="榮14-18",J17 ="榮10-18",J17 ="榮06-18",J17 ="病14-18"  ),OR(  K17 ="x",K17="補",K17="婚",K17="公",K17="病",K17="事",K17="x"  ), $AP17 =""),"18放早走",  IF(  AND(  OR(  J17 =""),OR(  K17 ="x",K17="補",K17="婚",K17="公",K17="病",K17="事",K17="x榮*",K17="榮",K17="榮-22"  ), $AP17 =""),"18放",  IF(  AND(  OR(  J17="當日退伍"  ),OR(  K17="退伍",K17="退", K17=""  ), $AP17 =""),"當日退伍",  IF(AND(  OR(J17="退",J17="退伍" ), OR(K17="退",K17="退伍" ), $AP17 =""),"退伍","全日勤"  )  )  )  )  )  )  )  )  )  )  ),"")</f>
        <v>全日勤</v>
      </c>
      <c r="K58" s="66" t="str">
        <f>IF(   (ROW(AW17)-1)&lt;=暫1!$B$2,           IF(  AND(  OR(  K17="x",K17="補"  ), OR(  L17 ="x",L17="補",L17="x榮18-22",L17="x公18-22",L17="x榮22-08"  ), $AP17 =""),"全日休",  IF(  AND(  OR(  K17="x",K17="病"  ), OR(  L17 ="病"  ), $AP17 =""),"病(事)假",  IF(  AND(  OR(  K17="x",K17="補"  ), OR(  L17 ="補"  ), $AP17 =""),"補休",  IF(  AND(  OR(  K17="x",K17="喪"  ), OR(  L17 ="喪"  ), $AP17 =""),"喪假",  IF(  AND(  OR(  K17="x",K17="婚",K17="產"  ), OR(  L17 ="婚",L17="產"  ), $AP17 =""),"婚(產)假",  IF(  AND(  OR(  K17="x",K17="公"  ), OR(  L17 ="公"  ), $AP17 =""),"公假",  IF(  AND(  OR(  K17="x",K17="補",K17="婚",K17="公",K17="病",K17="事",K17="x榮18-22"  ),OR(L17=""), $AP17 =""  ),"18收",  IF(  AND(  OR(  K17 ="榮14-18",K17 ="榮10-18",K17 ="榮06-18",K17 ="病14-18"  ),OR(  L17 ="x",L17="補",L17="婚",L17="公",L17="病",L17="事",L17="x"  ), $AP17 =""),"18放早走",  IF(  AND(  OR(  K17 =""),OR(  L17 ="x",L17="補",L17="婚",L17="公",L17="病",L17="事",L17="x榮*",L17="榮",L17="榮-22"  ), $AP17 =""),"18放",  IF(  AND(  OR(  K17="當日退伍"  ),OR(  L17="退伍",L17="退", L17=""  ), $AP17 =""),"當日退伍",  IF(AND(  OR(K17="退",K17="退伍" ), OR(L17="退",L17="退伍" ), $AP17 =""),"退伍","全日勤"  )  )  )  )  )  )  )  )  )  )  ),"")</f>
        <v>全日勤</v>
      </c>
      <c r="L58" s="66" t="str">
        <f>IF(   (ROW(AX17)-1)&lt;=暫1!$B$2,           IF(  AND(  OR(  L17="x",L17="補"  ), OR(  M17 ="x",M17="補",M17="x榮18-22",M17="x公18-22",M17="x榮22-08"  ), $AP17 =""),"全日休",  IF(  AND(  OR(  L17="x",L17="病"  ), OR(  M17 ="病"  ), $AP17 =""),"病(事)假",  IF(  AND(  OR(  L17="x",L17="補"  ), OR(  M17 ="補"  ), $AP17 =""),"補休",  IF(  AND(  OR(  L17="x",L17="喪"  ), OR(  M17 ="喪"  ), $AP17 =""),"喪假",  IF(  AND(  OR(  L17="x",L17="婚",L17="產"  ), OR(  M17 ="婚",M17="產"  ), $AP17 =""),"婚(產)假",  IF(  AND(  OR(  L17="x",L17="公"  ), OR(  M17 ="公"  ), $AP17 =""),"公假",  IF(  AND(  OR(  L17="x",L17="補",L17="婚",L17="公",L17="病",L17="事",L17="x榮18-22"  ),OR(M17=""), $AP17 =""  ),"18收",  IF(  AND(  OR(  L17 ="榮14-18",L17 ="榮10-18",L17 ="榮06-18",L17 ="病14-18"  ),OR(  M17 ="x",M17="補",M17="婚",M17="公",M17="病",M17="事",M17="x"  ), $AP17 =""),"18放早走",  IF(  AND(  OR(  L17 =""),OR(  M17 ="x",M17="補",M17="婚",M17="公",M17="病",M17="事",M17="x榮*",M17="榮",M17="榮-22"  ), $AP17 =""),"18放",  IF(  AND(  OR(  L17="當日退伍"  ),OR(  M17="退伍",M17="退", M17=""  ), $AP17 =""),"當日退伍",  IF(AND(  OR(L17="退",L17="退伍" ), OR(M17="退",M17="退伍" ), $AP17 =""),"退伍","全日勤"  )  )  )  )  )  )  )  )  )  )  ),"")</f>
        <v>全日勤</v>
      </c>
      <c r="M58" s="66" t="str">
        <f>IF(   (ROW(AY17)-1)&lt;=暫1!$B$2,           IF(  AND(  OR(  M17="x",M17="補"  ), OR(  N17 ="x",N17="補",N17="x榮18-22",N17="x公18-22",N17="x榮22-08"  ), $AP17 =""),"全日休",  IF(  AND(  OR(  M17="x",M17="病"  ), OR(  N17 ="病"  ), $AP17 =""),"病(事)假",  IF(  AND(  OR(  M17="x",M17="補"  ), OR(  N17 ="補"  ), $AP17 =""),"補休",  IF(  AND(  OR(  M17="x",M17="喪"  ), OR(  N17 ="喪"  ), $AP17 =""),"喪假",  IF(  AND(  OR(  M17="x",M17="婚",M17="產"  ), OR(  N17 ="婚",N17="產"  ), $AP17 =""),"婚(產)假",  IF(  AND(  OR(  M17="x",M17="公"  ), OR(  N17 ="公"  ), $AP17 =""),"公假",  IF(  AND(  OR(  M17="x",M17="補",M17="婚",M17="公",M17="病",M17="事",M17="x榮18-22"  ),OR(N17=""), $AP17 =""  ),"18收",  IF(  AND(  OR(  M17 ="榮14-18",M17 ="榮10-18",M17 ="榮06-18",M17 ="病14-18"  ),OR(  N17 ="x",N17="補",N17="婚",N17="公",N17="病",N17="事",N17="x"  ), $AP17 =""),"18放早走",  IF(  AND(  OR(  M17 =""),OR(  N17 ="x",N17="補",N17="婚",N17="公",N17="病",N17="事",N17="x榮*",N17="榮",N17="榮-22"  ), $AP17 =""),"18放",  IF(  AND(  OR(  M17="當日退伍"  ),OR(  N17="退伍",N17="退", N17=""  ), $AP17 =""),"當日退伍",  IF(AND(  OR(M17="退",M17="退伍" ), OR(N17="退",N17="退伍" ), $AP17 =""),"退伍","全日勤"  )  )  )  )  )  )  )  )  )  )  ),"")</f>
        <v>全日勤</v>
      </c>
      <c r="N58" s="66" t="str">
        <f>IF(   (ROW(AZ17)-1)&lt;=暫1!$B$2,           IF(  AND(  OR(  N17="x",N17="補"  ), OR(  O17 ="x",O17="補",O17="x榮18-22",O17="x公18-22",O17="x榮22-08"  ), $AP17 =""),"全日休",  IF(  AND(  OR(  N17="x",N17="病"  ), OR(  O17 ="病"  ), $AP17 =""),"病(事)假",  IF(  AND(  OR(  N17="x",N17="補"  ), OR(  O17 ="補"  ), $AP17 =""),"補休",  IF(  AND(  OR(  N17="x",N17="喪"  ), OR(  O17 ="喪"  ), $AP17 =""),"喪假",  IF(  AND(  OR(  N17="x",N17="婚",N17="產"  ), OR(  O17 ="婚",O17="產"  ), $AP17 =""),"婚(產)假",  IF(  AND(  OR(  N17="x",N17="公"  ), OR(  O17 ="公"  ), $AP17 =""),"公假",  IF(  AND(  OR(  N17="x",N17="補",N17="婚",N17="公",N17="病",N17="事",N17="x榮18-22"  ),OR(O17=""), $AP17 =""  ),"18收",  IF(  AND(  OR(  N17 ="榮14-18",N17 ="榮10-18",N17 ="榮06-18",N17 ="病14-18"  ),OR(  O17 ="x",O17="補",O17="婚",O17="公",O17="病",O17="事",O17="x"  ), $AP17 =""),"18放早走",  IF(  AND(  OR(  N17 =""),OR(  O17 ="x",O17="補",O17="婚",O17="公",O17="病",O17="事",O17="x榮*",O17="榮",O17="榮-22"  ), $AP17 =""),"18放",  IF(  AND(  OR(  N17="當日退伍"  ),OR(  O17="退伍",O17="退", O17=""  ), $AP17 =""),"當日退伍",  IF(AND(  OR(N17="退",N17="退伍" ), OR(O17="退",O17="退伍" ), $AP17 =""),"退伍","全日勤"  )  )  )  )  )  )  )  )  )  )  ),"")</f>
        <v>全日勤</v>
      </c>
      <c r="O58" s="66" t="str">
        <f>IF(   (ROW(BA17)-1)&lt;=暫1!$B$2,           IF(  AND(  OR(  O17="x",O17="補"  ), OR(  P17 ="x",P17="補",P17="x榮18-22",P17="x公18-22",P17="x榮22-08"  ), $AP17 =""),"全日休",  IF(  AND(  OR(  O17="x",O17="病"  ), OR(  P17 ="病"  ), $AP17 =""),"病(事)假",  IF(  AND(  OR(  O17="x",O17="補"  ), OR(  P17 ="補"  ), $AP17 =""),"補休",  IF(  AND(  OR(  O17="x",O17="喪"  ), OR(  P17 ="喪"  ), $AP17 =""),"喪假",  IF(  AND(  OR(  O17="x",O17="婚",O17="產"  ), OR(  P17 ="婚",P17="產"  ), $AP17 =""),"婚(產)假",  IF(  AND(  OR(  O17="x",O17="公"  ), OR(  P17 ="公"  ), $AP17 =""),"公假",  IF(  AND(  OR(  O17="x",O17="補",O17="婚",O17="公",O17="病",O17="事",O17="x榮18-22"  ),OR(P17=""), $AP17 =""  ),"18收",  IF(  AND(  OR(  O17 ="榮14-18",O17 ="榮10-18",O17 ="榮06-18",O17 ="病14-18"  ),OR(  P17 ="x",P17="補",P17="婚",P17="公",P17="病",P17="事",P17="x"  ), $AP17 =""),"18放早走",  IF(  AND(  OR(  O17 =""),OR(  P17 ="x",P17="補",P17="婚",P17="公",P17="病",P17="事",P17="x榮*",P17="榮",P17="榮-22"  ), $AP17 =""),"18放",  IF(  AND(  OR(  O17="當日退伍"  ),OR(  P17="退伍",P17="退", P17=""  ), $AP17 =""),"當日退伍",  IF(AND(  OR(O17="退",O17="退伍" ), OR(P17="退",P17="退伍" ), $AP17 =""),"退伍","全日勤"  )  )  )  )  )  )  )  )  )  )  ),"")</f>
        <v>全日勤</v>
      </c>
      <c r="P58" s="66" t="str">
        <f>IF(   (ROW(BB17)-1)&lt;=暫1!$B$2,           IF(  AND(  OR(  P17="x",P17="補"  ), OR(  Q17 ="x",Q17="補",Q17="x榮18-22",Q17="x公18-22",Q17="x榮22-08"  ), $AP17 =""),"全日休",  IF(  AND(  OR(  P17="x",P17="病"  ), OR(  Q17 ="病"  ), $AP17 =""),"病(事)假",  IF(  AND(  OR(  P17="x",P17="補"  ), OR(  Q17 ="補"  ), $AP17 =""),"補休",  IF(  AND(  OR(  P17="x",P17="喪"  ), OR(  Q17 ="喪"  ), $AP17 =""),"喪假",  IF(  AND(  OR(  P17="x",P17="婚",P17="產"  ), OR(  Q17 ="婚",Q17="產"  ), $AP17 =""),"婚(產)假",  IF(  AND(  OR(  P17="x",P17="公"  ), OR(  Q17 ="公"  ), $AP17 =""),"公假",  IF(  AND(  OR(  P17="x",P17="補",P17="婚",P17="公",P17="病",P17="事",P17="x榮18-22"  ),OR(Q17=""), $AP17 =""  ),"18收",  IF(  AND(  OR(  P17 ="榮14-18",P17 ="榮10-18",P17 ="榮06-18",P17 ="病14-18"  ),OR(  Q17 ="x",Q17="補",Q17="婚",Q17="公",Q17="病",Q17="事",Q17="x"  ), $AP17 =""),"18放早走",  IF(  AND(  OR(  P17 =""),OR(  Q17 ="x",Q17="補",Q17="婚",Q17="公",Q17="病",Q17="事",Q17="x榮*",Q17="榮",Q17="榮-22"  ), $AP17 =""),"18放",  IF(  AND(  OR(  P17="當日退伍"  ),OR(  Q17="退伍",Q17="退", Q17=""  ), $AP17 =""),"當日退伍",  IF(AND(  OR(P17="退",P17="退伍" ), OR(Q17="退",Q17="退伍" ), $AP17 =""),"退伍","全日勤"  )  )  )  )  )  )  )  )  )  )  ),"")</f>
        <v>全日勤</v>
      </c>
      <c r="Q58" s="66" t="str">
        <f>IF(   (ROW(BC17)-1)&lt;=暫1!$B$2,           IF(  AND(  OR(  Q17="x",Q17="補"  ), OR(  R17 ="x",R17="補",R17="x榮18-22",R17="x公18-22",R17="x榮22-08"  ), $AP17 =""),"全日休",  IF(  AND(  OR(  Q17="x",Q17="病"  ), OR(  R17 ="病"  ), $AP17 =""),"病(事)假",  IF(  AND(  OR(  Q17="x",Q17="補"  ), OR(  R17 ="補"  ), $AP17 =""),"補休",  IF(  AND(  OR(  Q17="x",Q17="喪"  ), OR(  R17 ="喪"  ), $AP17 =""),"喪假",  IF(  AND(  OR(  Q17="x",Q17="婚",Q17="產"  ), OR(  R17 ="婚",R17="產"  ), $AP17 =""),"婚(產)假",  IF(  AND(  OR(  Q17="x",Q17="公"  ), OR(  R17 ="公"  ), $AP17 =""),"公假",  IF(  AND(  OR(  Q17="x",Q17="補",Q17="婚",Q17="公",Q17="病",Q17="事",Q17="x榮18-22"  ),OR(R17=""), $AP17 =""  ),"18收",  IF(  AND(  OR(  Q17 ="榮14-18",Q17 ="榮10-18",Q17 ="榮06-18",Q17 ="病14-18"  ),OR(  R17 ="x",R17="補",R17="婚",R17="公",R17="病",R17="事",R17="x"  ), $AP17 =""),"18放早走",  IF(  AND(  OR(  Q17 =""),OR(  R17 ="x",R17="補",R17="婚",R17="公",R17="病",R17="事",R17="x榮*",R17="榮",R17="榮-22"  ), $AP17 =""),"18放",  IF(  AND(  OR(  Q17="當日退伍"  ),OR(  R17="退伍",R17="退", R17=""  ), $AP17 =""),"當日退伍",  IF(AND(  OR(Q17="退",Q17="退伍" ), OR(R17="退",R17="退伍" ), $AP17 =""),"退伍","全日勤"  )  )  )  )  )  )  )  )  )  )  ),"")</f>
        <v>全日勤</v>
      </c>
      <c r="R58" s="66" t="str">
        <f>IF(   (ROW(BD17)-1)&lt;=暫1!$B$2,           IF(  AND(  OR(  R17="x",R17="補"  ), OR(  S17 ="x",S17="補",S17="x榮18-22",S17="x公18-22",S17="x榮22-08"  ), $AP17 =""),"全日休",  IF(  AND(  OR(  R17="x",R17="病"  ), OR(  S17 ="病"  ), $AP17 =""),"病(事)假",  IF(  AND(  OR(  R17="x",R17="補"  ), OR(  S17 ="補"  ), $AP17 =""),"補休",  IF(  AND(  OR(  R17="x",R17="喪"  ), OR(  S17 ="喪"  ), $AP17 =""),"喪假",  IF(  AND(  OR(  R17="x",R17="婚",R17="產"  ), OR(  S17 ="婚",S17="產"  ), $AP17 =""),"婚(產)假",  IF(  AND(  OR(  R17="x",R17="公"  ), OR(  S17 ="公"  ), $AP17 =""),"公假",  IF(  AND(  OR(  R17="x",R17="補",R17="婚",R17="公",R17="病",R17="事",R17="x榮18-22"  ),OR(S17=""), $AP17 =""  ),"18收",  IF(  AND(  OR(  R17 ="榮14-18",R17 ="榮10-18",R17 ="榮06-18",R17 ="病14-18"  ),OR(  S17 ="x",S17="補",S17="婚",S17="公",S17="病",S17="事",S17="x"  ), $AP17 =""),"18放早走",  IF(  AND(  OR(  R17 =""),OR(  S17 ="x",S17="補",S17="婚",S17="公",S17="病",S17="事",S17="x榮*",S17="榮",S17="榮-22"  ), $AP17 =""),"18放",  IF(  AND(  OR(  R17="當日退伍"  ),OR(  S17="退伍",S17="退", S17=""  ), $AP17 =""),"當日退伍",  IF(AND(  OR(R17="退",R17="退伍" ), OR(S17="退",S17="退伍" ), $AP17 =""),"退伍","全日勤"  )  )  )  )  )  )  )  )  )  )  ),"")</f>
        <v>全日勤</v>
      </c>
      <c r="S58" s="66" t="str">
        <f>IF(   (ROW(BE17)-1)&lt;=暫1!$B$2,           IF(  AND(  OR(  S17="x",S17="補"  ), OR(  T17 ="x",T17="補",T17="x榮18-22",T17="x公18-22",T17="x榮22-08"  ), $AP17 =""),"全日休",  IF(  AND(  OR(  S17="x",S17="病"  ), OR(  T17 ="病"  ), $AP17 =""),"病(事)假",  IF(  AND(  OR(  S17="x",S17="補"  ), OR(  T17 ="補"  ), $AP17 =""),"補休",  IF(  AND(  OR(  S17="x",S17="喪"  ), OR(  T17 ="喪"  ), $AP17 =""),"喪假",  IF(  AND(  OR(  S17="x",S17="婚",S17="產"  ), OR(  T17 ="婚",T17="產"  ), $AP17 =""),"婚(產)假",  IF(  AND(  OR(  S17="x",S17="公"  ), OR(  T17 ="公"  ), $AP17 =""),"公假",  IF(  AND(  OR(  S17="x",S17="補",S17="婚",S17="公",S17="病",S17="事",S17="x榮18-22"  ),OR(T17=""), $AP17 =""  ),"18收",  IF(  AND(  OR(  S17 ="榮14-18",S17 ="榮10-18",S17 ="榮06-18",S17 ="病14-18"  ),OR(  T17 ="x",T17="補",T17="婚",T17="公",T17="病",T17="事",T17="x"  ), $AP17 =""),"18放早走",  IF(  AND(  OR(  S17 =""),OR(  T17 ="x",T17="補",T17="婚",T17="公",T17="病",T17="事",T17="x榮*",T17="榮",T17="榮-22"  ), $AP17 =""),"18放",  IF(  AND(  OR(  S17="當日退伍"  ),OR(  T17="退伍",T17="退", T17=""  ), $AP17 =""),"當日退伍",  IF(AND(  OR(S17="退",S17="退伍" ), OR(T17="退",T17="退伍" ), $AP17 =""),"退伍","全日勤"  )  )  )  )  )  )  )  )  )  )  ),"")</f>
        <v>全日勤</v>
      </c>
      <c r="T58" s="66" t="str">
        <f>IF(   (ROW(BF17)-1)&lt;=暫1!$B$2,           IF(  AND(  OR(  T17="x",T17="補"  ), OR(  U17 ="x",U17="補",U17="x榮18-22",U17="x公18-22",U17="x榮22-08"  ), $AP17 =""),"全日休",  IF(  AND(  OR(  T17="x",T17="病"  ), OR(  U17 ="病"  ), $AP17 =""),"病(事)假",  IF(  AND(  OR(  T17="x",T17="補"  ), OR(  U17 ="補"  ), $AP17 =""),"補休",  IF(  AND(  OR(  T17="x",T17="喪"  ), OR(  U17 ="喪"  ), $AP17 =""),"喪假",  IF(  AND(  OR(  T17="x",T17="婚",T17="產"  ), OR(  U17 ="婚",U17="產"  ), $AP17 =""),"婚(產)假",  IF(  AND(  OR(  T17="x",T17="公"  ), OR(  U17 ="公"  ), $AP17 =""),"公假",  IF(  AND(  OR(  T17="x",T17="補",T17="婚",T17="公",T17="病",T17="事",T17="x榮18-22"  ),OR(U17=""), $AP17 =""  ),"18收",  IF(  AND(  OR(  T17 ="榮14-18",T17 ="榮10-18",T17 ="榮06-18",T17 ="病14-18"  ),OR(  U17 ="x",U17="補",U17="婚",U17="公",U17="病",U17="事",U17="x"  ), $AP17 =""),"18放早走",  IF(  AND(  OR(  T17 =""),OR(  U17 ="x",U17="補",U17="婚",U17="公",U17="病",U17="事",U17="x榮*",U17="榮",U17="榮-22"  ), $AP17 =""),"18放",  IF(  AND(  OR(  T17="當日退伍"  ),OR(  U17="退伍",U17="退", U17=""  ), $AP17 =""),"當日退伍",  IF(AND(  OR(T17="退",T17="退伍" ), OR(U17="退",U17="退伍" ), $AP17 =""),"退伍","全日勤"  )  )  )  )  )  )  )  )  )  )  ),"")</f>
        <v>全日勤</v>
      </c>
      <c r="U58" s="66" t="str">
        <f>IF(   (ROW(BG17)-1)&lt;=暫1!$B$2,           IF(  AND(  OR(  U17="x",U17="補"  ), OR(  V17 ="x",V17="補",V17="x榮18-22",V17="x公18-22",V17="x榮22-08"  ), $AP17 =""),"全日休",  IF(  AND(  OR(  U17="x",U17="病"  ), OR(  V17 ="病"  ), $AP17 =""),"病(事)假",  IF(  AND(  OR(  U17="x",U17="補"  ), OR(  V17 ="補"  ), $AP17 =""),"補休",  IF(  AND(  OR(  U17="x",U17="喪"  ), OR(  V17 ="喪"  ), $AP17 =""),"喪假",  IF(  AND(  OR(  U17="x",U17="婚",U17="產"  ), OR(  V17 ="婚",V17="產"  ), $AP17 =""),"婚(產)假",  IF(  AND(  OR(  U17="x",U17="公"  ), OR(  V17 ="公"  ), $AP17 =""),"公假",  IF(  AND(  OR(  U17="x",U17="補",U17="婚",U17="公",U17="病",U17="事",U17="x榮18-22"  ),OR(V17=""), $AP17 =""  ),"18收",  IF(  AND(  OR(  U17 ="榮14-18",U17 ="榮10-18",U17 ="榮06-18",U17 ="病14-18"  ),OR(  V17 ="x",V17="補",V17="婚",V17="公",V17="病",V17="事",V17="x"  ), $AP17 =""),"18放早走",  IF(  AND(  OR(  U17 =""),OR(  V17 ="x",V17="補",V17="婚",V17="公",V17="病",V17="事",V17="x榮*",V17="榮",V17="榮-22"  ), $AP17 =""),"18放",  IF(  AND(  OR(  U17="當日退伍"  ),OR(  V17="退伍",V17="退", V17=""  ), $AP17 =""),"當日退伍",  IF(AND(  OR(U17="退",U17="退伍" ), OR(V17="退",V17="退伍" ), $AP17 =""),"退伍","全日勤"  )  )  )  )  )  )  )  )  )  )  ),"")</f>
        <v>全日勤</v>
      </c>
      <c r="V58" s="66" t="str">
        <f>IF(   (ROW(BH17)-1)&lt;=暫1!$B$2,           IF(  AND(  OR(  V17="x",V17="補"  ), OR(  W17 ="x",W17="補",W17="x榮18-22",W17="x公18-22",W17="x榮22-08"  ), $AP17 =""),"全日休",  IF(  AND(  OR(  V17="x",V17="病"  ), OR(  W17 ="病"  ), $AP17 =""),"病(事)假",  IF(  AND(  OR(  V17="x",V17="補"  ), OR(  W17 ="補"  ), $AP17 =""),"補休",  IF(  AND(  OR(  V17="x",V17="喪"  ), OR(  W17 ="喪"  ), $AP17 =""),"喪假",  IF(  AND(  OR(  V17="x",V17="婚",V17="產"  ), OR(  W17 ="婚",W17="產"  ), $AP17 =""),"婚(產)假",  IF(  AND(  OR(  V17="x",V17="公"  ), OR(  W17 ="公"  ), $AP17 =""),"公假",  IF(  AND(  OR(  V17="x",V17="補",V17="婚",V17="公",V17="病",V17="事",V17="x榮18-22"  ),OR(W17=""), $AP17 =""  ),"18收",  IF(  AND(  OR(  V17 ="榮14-18",V17 ="榮10-18",V17 ="榮06-18",V17 ="病14-18"  ),OR(  W17 ="x",W17="補",W17="婚",W17="公",W17="病",W17="事",W17="x"  ), $AP17 =""),"18放早走",  IF(  AND(  OR(  V17 =""),OR(  W17 ="x",W17="補",W17="婚",W17="公",W17="病",W17="事",W17="x榮*",W17="榮",W17="榮-22"  ), $AP17 =""),"18放",  IF(  AND(  OR(  V17="當日退伍"  ),OR(  W17="退伍",W17="退", W17=""  ), $AP17 =""),"當日退伍",  IF(AND(  OR(V17="退",V17="退伍" ), OR(W17="退",W17="退伍" ), $AP17 =""),"退伍","全日勤"  )  )  )  )  )  )  )  )  )  )  ),"")</f>
        <v>全日勤</v>
      </c>
      <c r="W58" s="66" t="str">
        <f>IF(   (ROW(BI17)-1)&lt;=暫1!$B$2,           IF(  AND(  OR(  W17="x",W17="補"  ), OR(  X17 ="x",X17="補",X17="x榮18-22",X17="x公18-22",X17="x榮22-08"  ), $AP17 =""),"全日休",  IF(  AND(  OR(  W17="x",W17="病"  ), OR(  X17 ="病"  ), $AP17 =""),"病(事)假",  IF(  AND(  OR(  W17="x",W17="補"  ), OR(  X17 ="補"  ), $AP17 =""),"補休",  IF(  AND(  OR(  W17="x",W17="喪"  ), OR(  X17 ="喪"  ), $AP17 =""),"喪假",  IF(  AND(  OR(  W17="x",W17="婚",W17="產"  ), OR(  X17 ="婚",X17="產"  ), $AP17 =""),"婚(產)假",  IF(  AND(  OR(  W17="x",W17="公"  ), OR(  X17 ="公"  ), $AP17 =""),"公假",  IF(  AND(  OR(  W17="x",W17="補",W17="婚",W17="公",W17="病",W17="事",W17="x榮18-22"  ),OR(X17=""), $AP17 =""  ),"18收",  IF(  AND(  OR(  W17 ="榮14-18",W17 ="榮10-18",W17 ="榮06-18",W17 ="病14-18"  ),OR(  X17 ="x",X17="補",X17="婚",X17="公",X17="病",X17="事",X17="x"  ), $AP17 =""),"18放早走",  IF(  AND(  OR(  W17 =""),OR(  X17 ="x",X17="補",X17="婚",X17="公",X17="病",X17="事",X17="x榮*",X17="榮",X17="榮-22"  ), $AP17 =""),"18放",  IF(  AND(  OR(  W17="當日退伍"  ),OR(  X17="退伍",X17="退", X17=""  ), $AP17 =""),"當日退伍",  IF(AND(  OR(W17="退",W17="退伍" ), OR(X17="退",X17="退伍" ), $AP17 =""),"退伍","全日勤"  )  )  )  )  )  )  )  )  )  )  ),"")</f>
        <v>全日勤</v>
      </c>
      <c r="X58" s="66" t="str">
        <f>IF(   (ROW(BJ17)-1)&lt;=暫1!$B$2,           IF(  AND(  OR(  X17="x",X17="補"  ), OR(  Y17 ="x",Y17="補",Y17="x榮18-22",Y17="x公18-22",Y17="x榮22-08"  ), $AP17 =""),"全日休",  IF(  AND(  OR(  X17="x",X17="病"  ), OR(  Y17 ="病"  ), $AP17 =""),"病(事)假",  IF(  AND(  OR(  X17="x",X17="補"  ), OR(  Y17 ="補"  ), $AP17 =""),"補休",  IF(  AND(  OR(  X17="x",X17="喪"  ), OR(  Y17 ="喪"  ), $AP17 =""),"喪假",  IF(  AND(  OR(  X17="x",X17="婚",X17="產"  ), OR(  Y17 ="婚",Y17="產"  ), $AP17 =""),"婚(產)假",  IF(  AND(  OR(  X17="x",X17="公"  ), OR(  Y17 ="公"  ), $AP17 =""),"公假",  IF(  AND(  OR(  X17="x",X17="補",X17="婚",X17="公",X17="病",X17="事",X17="x榮18-22"  ),OR(Y17=""), $AP17 =""  ),"18收",  IF(  AND(  OR(  X17 ="榮14-18",X17 ="榮10-18",X17 ="榮06-18",X17 ="病14-18"  ),OR(  Y17 ="x",Y17="補",Y17="婚",Y17="公",Y17="病",Y17="事",Y17="x"  ), $AP17 =""),"18放早走",  IF(  AND(  OR(  X17 =""),OR(  Y17 ="x",Y17="補",Y17="婚",Y17="公",Y17="病",Y17="事",Y17="x榮*",Y17="榮",Y17="榮-22"  ), $AP17 =""),"18放",  IF(  AND(  OR(  X17="當日退伍"  ),OR(  Y17="退伍",Y17="退", Y17=""  ), $AP17 =""),"當日退伍",  IF(AND(  OR(X17="退",X17="退伍" ), OR(Y17="退",Y17="退伍" ), $AP17 =""),"退伍","全日勤"  )  )  )  )  )  )  )  )  )  )  ),"")</f>
        <v>全日勤</v>
      </c>
      <c r="Y58" s="66" t="str">
        <f>IF(   (ROW(BK17)-1)&lt;=暫1!$B$2,           IF(  AND(  OR(  Y17="x",Y17="補"  ), OR(  Z17 ="x",Z17="補",Z17="x榮18-22",Z17="x公18-22",Z17="x榮22-08"  ), $AP17 =""),"全日休",  IF(  AND(  OR(  Y17="x",Y17="病"  ), OR(  Z17 ="病"  ), $AP17 =""),"病(事)假",  IF(  AND(  OR(  Y17="x",Y17="補"  ), OR(  Z17 ="補"  ), $AP17 =""),"補休",  IF(  AND(  OR(  Y17="x",Y17="喪"  ), OR(  Z17 ="喪"  ), $AP17 =""),"喪假",  IF(  AND(  OR(  Y17="x",Y17="婚",Y17="產"  ), OR(  Z17 ="婚",Z17="產"  ), $AP17 =""),"婚(產)假",  IF(  AND(  OR(  Y17="x",Y17="公"  ), OR(  Z17 ="公"  ), $AP17 =""),"公假",  IF(  AND(  OR(  Y17="x",Y17="補",Y17="婚",Y17="公",Y17="病",Y17="事",Y17="x榮18-22"  ),OR(Z17=""), $AP17 =""  ),"18收",  IF(  AND(  OR(  Y17 ="榮14-18",Y17 ="榮10-18",Y17 ="榮06-18",Y17 ="病14-18"  ),OR(  Z17 ="x",Z17="補",Z17="婚",Z17="公",Z17="病",Z17="事",Z17="x"  ), $AP17 =""),"18放早走",  IF(  AND(  OR(  Y17 =""),OR(  Z17 ="x",Z17="補",Z17="婚",Z17="公",Z17="病",Z17="事",Z17="x榮*",Z17="榮",Z17="榮-22"  ), $AP17 =""),"18放",  IF(  AND(  OR(  Y17="當日退伍"  ),OR(  Z17="退伍",Z17="退", Z17=""  ), $AP17 =""),"當日退伍",  IF(AND(  OR(Y17="退",Y17="退伍" ), OR(Z17="退",Z17="退伍" ), $AP17 =""),"退伍","全日勤"  )  )  )  )  )  )  )  )  )  )  ),"")</f>
        <v>全日勤</v>
      </c>
      <c r="Z58" s="66" t="str">
        <f>IF(   (ROW(BL17)-1)&lt;=暫1!$B$2,           IF(  AND(  OR(  Z17="x",Z17="補"  ), OR(  AA17 ="x",AA17="補",AA17="x榮18-22",AA17="x公18-22",AA17="x榮22-08"  ), $AP17 =""),"全日休",  IF(  AND(  OR(  Z17="x",Z17="病"  ), OR(  AA17 ="病"  ), $AP17 =""),"病(事)假",  IF(  AND(  OR(  Z17="x",Z17="補"  ), OR(  AA17 ="補"  ), $AP17 =""),"補休",  IF(  AND(  OR(  Z17="x",Z17="喪"  ), OR(  AA17 ="喪"  ), $AP17 =""),"喪假",  IF(  AND(  OR(  Z17="x",Z17="婚",Z17="產"  ), OR(  AA17 ="婚",AA17="產"  ), $AP17 =""),"婚(產)假",  IF(  AND(  OR(  Z17="x",Z17="公"  ), OR(  AA17 ="公"  ), $AP17 =""),"公假",  IF(  AND(  OR(  Z17="x",Z17="補",Z17="婚",Z17="公",Z17="病",Z17="事",Z17="x榮18-22"  ),OR(AA17=""), $AP17 =""  ),"18收",  IF(  AND(  OR(  Z17 ="榮14-18",Z17 ="榮10-18",Z17 ="榮06-18",Z17 ="病14-18"  ),OR(  AA17 ="x",AA17="補",AA17="婚",AA17="公",AA17="病",AA17="事",AA17="x"  ), $AP17 =""),"18放早走",  IF(  AND(  OR(  Z17 =""),OR(  AA17 ="x",AA17="補",AA17="婚",AA17="公",AA17="病",AA17="事",AA17="x榮*",AA17="榮",AA17="榮-22"  ), $AP17 =""),"18放",  IF(  AND(  OR(  Z17="當日退伍"  ),OR(  AA17="退伍",AA17="退", AA17=""  ), $AP17 =""),"當日退伍",  IF(AND(  OR(Z17="退",Z17="退伍" ), OR(AA17="退",AA17="退伍" ), $AP17 =""),"退伍","全日勤"  )  )  )  )  )  )  )  )  )  )  ),"")</f>
        <v>全日勤</v>
      </c>
      <c r="AA58" s="66" t="str">
        <f>IF(   (ROW(BM17)-1)&lt;=暫1!$B$2,           IF(  AND(  OR(  AA17="x",AA17="補"  ), OR(  AB17 ="x",AB17="補",AB17="x榮18-22",AB17="x公18-22",AB17="x榮22-08"  ), $AP17 =""),"全日休",  IF(  AND(  OR(  AA17="x",AA17="病"  ), OR(  AB17 ="病"  ), $AP17 =""),"病(事)假",  IF(  AND(  OR(  AA17="x",AA17="補"  ), OR(  AB17 ="補"  ), $AP17 =""),"補休",  IF(  AND(  OR(  AA17="x",AA17="喪"  ), OR(  AB17 ="喪"  ), $AP17 =""),"喪假",  IF(  AND(  OR(  AA17="x",AA17="婚",AA17="產"  ), OR(  AB17 ="婚",AB17="產"  ), $AP17 =""),"婚(產)假",  IF(  AND(  OR(  AA17="x",AA17="公"  ), OR(  AB17 ="公"  ), $AP17 =""),"公假",  IF(  AND(  OR(  AA17="x",AA17="補",AA17="婚",AA17="公",AA17="病",AA17="事",AA17="x榮18-22"  ),OR(AB17=""), $AP17 =""  ),"18收",  IF(  AND(  OR(  AA17 ="榮14-18",AA17 ="榮10-18",AA17 ="榮06-18",AA17 ="病14-18"  ),OR(  AB17 ="x",AB17="補",AB17="婚",AB17="公",AB17="病",AB17="事",AB17="x"  ), $AP17 =""),"18放早走",  IF(  AND(  OR(  AA17 =""),OR(  AB17 ="x",AB17="補",AB17="婚",AB17="公",AB17="病",AB17="事",AB17="x榮*",AB17="榮",AB17="榮-22"  ), $AP17 =""),"18放",  IF(  AND(  OR(  AA17="當日退伍"  ),OR(  AB17="退伍",AB17="退", AB17=""  ), $AP17 =""),"當日退伍",  IF(AND(  OR(AA17="退",AA17="退伍" ), OR(AB17="退",AB17="退伍" ), $AP17 =""),"退伍","全日勤"  )  )  )  )  )  )  )  )  )  )  ),"")</f>
        <v>全日勤</v>
      </c>
      <c r="AB58" s="66" t="str">
        <f>IF(   (ROW(BN17)-1)&lt;=暫1!$B$2,           IF(  AND(  OR(  AB17="x",AB17="補"  ), OR(  AC17 ="x",AC17="補",AC17="x榮18-22",AC17="x公18-22",AC17="x榮22-08"  ), $AP17 =""),"全日休",  IF(  AND(  OR(  AB17="x",AB17="病"  ), OR(  AC17 ="病"  ), $AP17 =""),"病(事)假",  IF(  AND(  OR(  AB17="x",AB17="補"  ), OR(  AC17 ="補"  ), $AP17 =""),"補休",  IF(  AND(  OR(  AB17="x",AB17="喪"  ), OR(  AC17 ="喪"  ), $AP17 =""),"喪假",  IF(  AND(  OR(  AB17="x",AB17="婚",AB17="產"  ), OR(  AC17 ="婚",AC17="產"  ), $AP17 =""),"婚(產)假",  IF(  AND(  OR(  AB17="x",AB17="公"  ), OR(  AC17 ="公"  ), $AP17 =""),"公假",  IF(  AND(  OR(  AB17="x",AB17="補",AB17="婚",AB17="公",AB17="病",AB17="事",AB17="x榮18-22"  ),OR(AC17=""), $AP17 =""  ),"18收",  IF(  AND(  OR(  AB17 ="榮14-18",AB17 ="榮10-18",AB17 ="榮06-18",AB17 ="病14-18"  ),OR(  AC17 ="x",AC17="補",AC17="婚",AC17="公",AC17="病",AC17="事",AC17="x"  ), $AP17 =""),"18放早走",  IF(  AND(  OR(  AB17 =""),OR(  AC17 ="x",AC17="補",AC17="婚",AC17="公",AC17="病",AC17="事",AC17="x榮*",AC17="榮",AC17="榮-22"  ), $AP17 =""),"18放",  IF(  AND(  OR(  AB17="當日退伍"  ),OR(  AC17="退伍",AC17="退", AC17=""  ), $AP17 =""),"當日退伍",  IF(AND(  OR(AB17="退",AB17="退伍" ), OR(AC17="退",AC17="退伍" ), $AP17 =""),"退伍","全日勤"  )  )  )  )  )  )  )  )  )  )  ),"")</f>
        <v>全日勤</v>
      </c>
      <c r="AC58" s="66" t="str">
        <f>IF(   (ROW(BO17)-1)&lt;=暫1!$B$2,           IF(  AND(  OR(  AC17="x",AC17="補"  ), OR(  AD17 ="x",AD17="補",AD17="x榮18-22",AD17="x公18-22",AD17="x榮22-08"  ), $AP17 =""),"全日休",  IF(  AND(  OR(  AC17="x",AC17="病"  ), OR(  AD17 ="病"  ), $AP17 =""),"病(事)假",  IF(  AND(  OR(  AC17="x",AC17="補"  ), OR(  AD17 ="補"  ), $AP17 =""),"補休",  IF(  AND(  OR(  AC17="x",AC17="喪"  ), OR(  AD17 ="喪"  ), $AP17 =""),"喪假",  IF(  AND(  OR(  AC17="x",AC17="婚",AC17="產"  ), OR(  AD17 ="婚",AD17="產"  ), $AP17 =""),"婚(產)假",  IF(  AND(  OR(  AC17="x",AC17="公"  ), OR(  AD17 ="公"  ), $AP17 =""),"公假",  IF(  AND(  OR(  AC17="x",AC17="補",AC17="婚",AC17="公",AC17="病",AC17="事",AC17="x榮18-22"  ),OR(AD17=""), $AP17 =""  ),"18收",  IF(  AND(  OR(  AC17 ="榮14-18",AC17 ="榮10-18",AC17 ="榮06-18",AC17 ="病14-18"  ),OR(  AD17 ="x",AD17="補",AD17="婚",AD17="公",AD17="病",AD17="事",AD17="x"  ), $AP17 =""),"18放早走",  IF(  AND(  OR(  AC17 =""),OR(  AD17 ="x",AD17="補",AD17="婚",AD17="公",AD17="病",AD17="事",AD17="x榮*",AD17="榮",AD17="榮-22"  ), $AP17 =""),"18放",  IF(  AND(  OR(  AC17="當日退伍"  ),OR(  AD17="退伍",AD17="退", AD17=""  ), $AP17 =""),"當日退伍",  IF(AND(  OR(AC17="退",AC17="退伍" ), OR(AD17="退",AD17="退伍" ), $AP17 =""),"退伍","全日勤"  )  )  )  )  )  )  )  )  )  )  ),"")</f>
        <v>全日勤</v>
      </c>
      <c r="AD58" s="66" t="str">
        <f>IF(   (ROW(BP17)-1)&lt;=暫1!$B$2,           IF(  AND(  OR(  AD17="x",AD17="補"  ), OR(  AE17 ="x",AE17="補",AE17="x榮18-22",AE17="x公18-22",AE17="x榮22-08"  ), $AP17 =""),"全日休",  IF(  AND(  OR(  AD17="x",AD17="病"  ), OR(  AE17 ="病"  ), $AP17 =""),"病(事)假",  IF(  AND(  OR(  AD17="x",AD17="補"  ), OR(  AE17 ="補"  ), $AP17 =""),"補休",  IF(  AND(  OR(  AD17="x",AD17="喪"  ), OR(  AE17 ="喪"  ), $AP17 =""),"喪假",  IF(  AND(  OR(  AD17="x",AD17="婚",AD17="產"  ), OR(  AE17 ="婚",AE17="產"  ), $AP17 =""),"婚(產)假",  IF(  AND(  OR(  AD17="x",AD17="公"  ), OR(  AE17 ="公"  ), $AP17 =""),"公假",  IF(  AND(  OR(  AD17="x",AD17="補",AD17="婚",AD17="公",AD17="病",AD17="事",AD17="x榮18-22"  ),OR(AE17=""), $AP17 =""  ),"18收",  IF(  AND(  OR(  AD17 ="榮14-18",AD17 ="榮10-18",AD17 ="榮06-18",AD17 ="病14-18"  ),OR(  AE17 ="x",AE17="補",AE17="婚",AE17="公",AE17="病",AE17="事",AE17="x"  ), $AP17 =""),"18放早走",  IF(  AND(  OR(  AD17 =""),OR(  AE17 ="x",AE17="補",AE17="婚",AE17="公",AE17="病",AE17="事",AE17="x榮*",AE17="榮",AE17="榮-22"  ), $AP17 =""),"18放",  IF(  AND(  OR(  AD17="當日退伍"  ),OR(  AE17="退伍",AE17="退", AE17=""  ), $AP17 =""),"當日退伍",  IF(AND(  OR(AD17="退",AD17="退伍" ), OR(AE17="退",AE17="退伍" ), $AP17 =""),"退伍","全日勤"  )  )  )  )  )  )  )  )  )  )  ),"")</f>
        <v>全日勤</v>
      </c>
      <c r="AE58" s="66" t="str">
        <f>IF(   (ROW(BQ17)-1)&lt;=暫1!$B$2,           IF(  AND(  OR(  AE17="x",AE17="補"  ), OR(  AF17 ="x",AF17="補",AF17="x榮18-22",AF17="x公18-22",AF17="x榮22-08"  ), $AP17 =""),"全日休",  IF(  AND(  OR(  AE17="x",AE17="病"  ), OR(  AF17 ="病"  ), $AP17 =""),"病(事)假",  IF(  AND(  OR(  AE17="x",AE17="補"  ), OR(  AF17 ="補"  ), $AP17 =""),"補休",  IF(  AND(  OR(  AE17="x",AE17="喪"  ), OR(  AF17 ="喪"  ), $AP17 =""),"喪假",  IF(  AND(  OR(  AE17="x",AE17="婚",AE17="產"  ), OR(  AF17 ="婚",AF17="產"  ), $AP17 =""),"婚(產)假",  IF(  AND(  OR(  AE17="x",AE17="公"  ), OR(  AF17 ="公"  ), $AP17 =""),"公假",  IF(  AND(  OR(  AE17="x",AE17="補",AE17="婚",AE17="公",AE17="病",AE17="事",AE17="x榮18-22"  ),OR(AF17=""), $AP17 =""  ),"18收",  IF(  AND(  OR(  AE17 ="榮14-18",AE17 ="榮10-18",AE17 ="榮06-18",AE17 ="病14-18"  ),OR(  AF17 ="x",AF17="補",AF17="婚",AF17="公",AF17="病",AF17="事",AF17="x"  ), $AP17 =""),"18放早走",  IF(  AND(  OR(  AE17 =""),OR(  AF17 ="x",AF17="補",AF17="婚",AF17="公",AF17="病",AF17="事",AF17="x榮*",AF17="榮",AF17="榮-22"  ), $AP17 =""),"18放",  IF(  AND(  OR(  AE17="當日退伍"  ),OR(  AF17="退伍",AF17="退", AF17=""  ), $AP17 =""),"當日退伍",  IF(AND(  OR(AE17="退",AE17="退伍" ), OR(AF17="退",AF17="退伍" ), $AP17 =""),"退伍","全日勤"  )  )  )  )  )  )  )  )  )  )  ),"")</f>
        <v>全日勤</v>
      </c>
      <c r="AF58" s="66" t="str">
        <f>IF(   (ROW(BR17)-1)&lt;=暫1!$B$2,           IF(  AND(  OR(  AF17="x",AF17="補"  ), OR(  AG17 ="x",AG17="補",AG17="x榮18-22",AG17="x公18-22",AG17="x榮22-08"  ), $AP17 =""),"全日休",  IF(  AND(  OR(  AF17="x",AF17="病"  ), OR(  AG17 ="病"  ), $AP17 =""),"病(事)假",  IF(  AND(  OR(  AF17="x",AF17="補"  ), OR(  AG17 ="補"  ), $AP17 =""),"補休",  IF(  AND(  OR(  AF17="x",AF17="喪"  ), OR(  AG17 ="喪"  ), $AP17 =""),"喪假",  IF(  AND(  OR(  AF17="x",AF17="婚",AF17="產"  ), OR(  AG17 ="婚",AG17="產"  ), $AP17 =""),"婚(產)假",  IF(  AND(  OR(  AF17="x",AF17="公"  ), OR(  AG17 ="公"  ), $AP17 =""),"公假",  IF(  AND(  OR(  AF17="x",AF17="補",AF17="婚",AF17="公",AF17="病",AF17="事",AF17="x榮18-22"  ),OR(AG17=""), $AP17 =""  ),"18收",  IF(  AND(  OR(  AF17 ="榮14-18",AF17 ="榮10-18",AF17 ="榮06-18",AF17 ="病14-18"  ),OR(  AG17 ="x",AG17="補",AG17="婚",AG17="公",AG17="病",AG17="事",AG17="x"  ), $AP17 =""),"18放早走",  IF(  AND(  OR(  AF17 =""),OR(  AG17 ="x",AG17="補",AG17="婚",AG17="公",AG17="病",AG17="事",AG17="x榮*",AG17="榮",AG17="榮-22"  ), $AP17 =""),"18放",  IF(  AND(  OR(  AF17="當日退伍"  ),OR(  AG17="退伍",AG17="退", AG17=""  ), $AP17 =""),"當日退伍",  IF(AND(  OR(AF17="退",AF17="退伍" ), OR(AG17="退",AG17="退伍" ), $AP17 =""),"退伍","全日勤"  )  )  )  )  )  )  )  )  )  )  ),"")</f>
        <v>全日勤</v>
      </c>
      <c r="AG58" s="66" t="str">
        <f>IF(   (ROW(BS17)-1)&lt;=暫1!$B$2,           IF(  AND(  OR(  AG17="x",AG17="補"  ), OR(  AH17 ="x",AH17="補",AH17="x榮18-22",AH17="x公18-22",AH17="x榮22-08"  ), $AP17 =""),"全日休",  IF(  AND(  OR(  AG17="x",AG17="病"  ), OR(  AH17 ="病"  ), $AP17 =""),"病(事)假",  IF(  AND(  OR(  AG17="x",AG17="補"  ), OR(  AH17 ="補"  ), $AP17 =""),"補休",  IF(  AND(  OR(  AG17="x",AG17="喪"  ), OR(  AH17 ="喪"  ), $AP17 =""),"喪假",  IF(  AND(  OR(  AG17="x",AG17="婚",AG17="產"  ), OR(  AH17 ="婚",AH17="產"  ), $AP17 =""),"婚(產)假",  IF(  AND(  OR(  AG17="x",AG17="公"  ), OR(  AH17 ="公"  ), $AP17 =""),"公假",  IF(  AND(  OR(  AG17="x",AG17="補",AG17="婚",AG17="公",AG17="病",AG17="事",AG17="x榮18-22"  ),OR(AH17=""), $AP17 =""  ),"18收",  IF(  AND(  OR(  AG17 ="榮14-18",AG17 ="榮10-18",AG17 ="榮06-18",AG17 ="病14-18"  ),OR(  AH17 ="x",AH17="補",AH17="婚",AH17="公",AH17="病",AH17="事",AH17="x"  ), $AP17 =""),"18放早走",  IF(  AND(  OR(  AG17 =""),OR(  AH17 ="x",AH17="補",AH17="婚",AH17="公",AH17="病",AH17="事",AH17="x榮*",AH17="榮",AH17="榮-22"  ), $AP17 =""),"18放",  IF(  AND(  OR(  AG17="當日退伍"  ),OR(  AH17="退伍",AH17="退", AH17=""  ), $AP17 =""),"當日退伍",  IF(AND(  OR(AG17="退",AG17="退伍" ), OR(AH17="退",AH17="退伍" ), $AP17 =""),"退伍","全日勤"  )  )  )  )  )  )  )  )  )  )  ),"")</f>
        <v>全日勤</v>
      </c>
      <c r="AH58" s="66" t="str">
        <f>IF(   (ROW(BT17)-1)&lt;=暫1!$B$2,           IF(  AND(  OR(  AH17="x",AH17="補"  ), OR(  AI17 ="x",AI17="補",AI17="x榮18-22",AI17="x公18-22",AI17="x榮22-08"  ), $AP17 =""),"全日休",  IF(  AND(  OR(  AH17="x",AH17="病"  ), OR(  AI17 ="病"  ), $AP17 =""),"病(事)假",  IF(  AND(  OR(  AH17="x",AH17="補"  ), OR(  AI17 ="補"  ), $AP17 =""),"補休",  IF(  AND(  OR(  AH17="x",AH17="喪"  ), OR(  AI17 ="喪"  ), $AP17 =""),"喪假",  IF(  AND(  OR(  AH17="x",AH17="婚",AH17="產"  ), OR(  AI17 ="婚",AI17="產"  ), $AP17 =""),"婚(產)假",  IF(  AND(  OR(  AH17="x",AH17="公"  ), OR(  AI17 ="公"  ), $AP17 =""),"公假",  IF(  AND(  OR(  AH17="x",AH17="補",AH17="婚",AH17="公",AH17="病",AH17="事",AH17="x榮18-22"  ),OR(AI17=""), $AP17 =""  ),"18收",  IF(  AND(  OR(  AH17 ="榮14-18",AH17 ="榮10-18",AH17 ="榮06-18",AH17 ="病14-18"  ),OR(  AI17 ="x",AI17="補",AI17="婚",AI17="公",AI17="病",AI17="事",AI17="x"  ), $AP17 =""),"18放早走",  IF(  AND(  OR(  AH17 =""),OR(  AI17 ="x",AI17="補",AI17="婚",AI17="公",AI17="病",AI17="事",AI17="x榮*",AI17="榮",AI17="榮-22"  ), $AP17 =""),"18放",  IF(  AND(  OR(  AH17="當日退伍"  ),OR(  AI17="退伍",AI17="退", AI17=""  ), $AP17 =""),"當日退伍",  IF(AND(  OR(AH17="退",AH17="退伍" ), OR(AI17="退",AI17="退伍" ), $AP17 =""),"退伍","全日勤"  )  )  )  )  )  )  )  )  )  )  ),"")</f>
        <v>全日勤</v>
      </c>
      <c r="AI58" s="66" t="str">
        <f>IF(   (ROW(BU17)-1)&lt;=暫1!$B$2,           IF(  AND(  OR(  AI17="x",AI17="補"  ), OR(  AJ17 ="x",AJ17="補",AJ17="x榮18-22",AJ17="x公18-22",AJ17="x榮22-08"  ), $AP17 =""),"全日休",  IF(  AND(  OR(  AI17="x",AI17="病"  ), OR(  AJ17 ="病"  ), $AP17 =""),"病(事)假",  IF(  AND(  OR(  AI17="x",AI17="補"  ), OR(  AJ17 ="補"  ), $AP17 =""),"補休",  IF(  AND(  OR(  AI17="x",AI17="喪"  ), OR(  AJ17 ="喪"  ), $AP17 =""),"喪假",  IF(  AND(  OR(  AI17="x",AI17="婚",AI17="產"  ), OR(  AJ17 ="婚",AJ17="產"  ), $AP17 =""),"婚(產)假",  IF(  AND(  OR(  AI17="x",AI17="公"  ), OR(  AJ17 ="公"  ), $AP17 =""),"公假",  IF(  AND(  OR(  AI17="x",AI17="補",AI17="婚",AI17="公",AI17="病",AI17="事",AI17="x榮18-22"  ),OR(AJ17=""), $AP17 =""  ),"18收",  IF(  AND(  OR(  AI17 ="榮14-18",AI17 ="榮10-18",AI17 ="榮06-18",AI17 ="病14-18"  ),OR(  AJ17 ="x",AJ17="補",AJ17="婚",AJ17="公",AJ17="病",AJ17="事",AJ17="x"  ), $AP17 =""),"18放早走",  IF(  AND(  OR(  AI17 =""),OR(  AJ17 ="x",AJ17="補",AJ17="婚",AJ17="公",AJ17="病",AJ17="事",AJ17="x榮*",AJ17="榮",AJ17="榮-22"  ), $AP17 =""),"18放",  IF(  AND(  OR(  AI17="當日退伍"  ),OR(  AJ17="退伍",AJ17="退", AJ17=""  ), $AP17 =""),"當日退伍",  IF(AND(  OR(AI17="退",AI17="退伍" ), OR(AJ17="退",AJ17="退伍" ), $AP17 =""),"退伍","全日勤"  )  )  )  )  )  )  )  )  )  )  ),"")</f>
        <v>全日勤</v>
      </c>
      <c r="AJ58" s="66" t="str">
        <f>IF(   (ROW(BV17)-1)&lt;=暫1!$B$2,           IF(  AND(  OR(  AJ17="x",AJ17="補"  ), OR(  AK17 ="x",AK17="補",AK17="x榮18-22",AK17="x公18-22",AK17="x榮22-08"  ), $AP17 =""),"全日休",  IF(  AND(  OR(  AJ17="x",AJ17="病"  ), OR(  AK17 ="病"  ), $AP17 =""),"病(事)假",  IF(  AND(  OR(  AJ17="x",AJ17="補"  ), OR(  AK17 ="補"  ), $AP17 =""),"補休",  IF(  AND(  OR(  AJ17="x",AJ17="喪"  ), OR(  AK17 ="喪"  ), $AP17 =""),"喪假",  IF(  AND(  OR(  AJ17="x",AJ17="婚",AJ17="產"  ), OR(  AK17 ="婚",AK17="產"  ), $AP17 =""),"婚(產)假",  IF(  AND(  OR(  AJ17="x",AJ17="公"  ), OR(  AK17 ="公"  ), $AP17 =""),"公假",  IF(  AND(  OR(  AJ17="x",AJ17="補",AJ17="婚",AJ17="公",AJ17="病",AJ17="事",AJ17="x榮18-22"  ),OR(AK17=""), $AP17 =""  ),"18收",  IF(  AND(  OR(  AJ17 ="榮14-18",AJ17 ="榮10-18",AJ17 ="榮06-18",AJ17 ="病14-18"  ),OR(  AK17 ="x",AK17="補",AK17="婚",AK17="公",AK17="病",AK17="事",AK17="x"  ), $AP17 =""),"18放早走",  IF(  AND(  OR(  AJ17 =""),OR(  AK17 ="x",AK17="補",AK17="婚",AK17="公",AK17="病",AK17="事",AK17="x榮*",AK17="榮",AK17="榮-22"  ), $AP17 =""),"18放",  IF(  AND(  OR(  AJ17="當日退伍"  ),OR(  AK17="退伍",AK17="退", AK17=""  ), $AP17 =""),"當日退伍",  IF(AND(  OR(AJ17="退",AJ17="退伍" ), OR(AK17="退",AK17="退伍" ), $AP17 =""),"退伍","全日勤"  )  )  )  )  )  )  )  )  )  )  ),"")</f>
        <v>全日勤</v>
      </c>
      <c r="AO58" s="76"/>
      <c r="AP58" s="63"/>
      <c r="AU58" s="63"/>
      <c r="AY58" s="63"/>
      <c r="AZ58" s="63"/>
      <c r="BA58" s="63"/>
    </row>
    <row r="59" spans="1:55" ht="25.5" customHeight="1">
      <c r="A59" s="66">
        <f t="shared" si="4"/>
        <v>17</v>
      </c>
      <c r="B59" s="66" t="str">
        <f t="shared" si="6"/>
        <v>周承澔</v>
      </c>
      <c r="C59" s="66" t="str">
        <f>IF(   (ROW(AO18)-1)&lt;=暫1!$B$2,           IF(  AND(  OR(  C18="x",C18="補"  ), OR(  D18 ="x",D18="補",D18="x榮18-22",D18="x公18-22",D18="x榮22-08"  ), $AP18 =""),"全日休",  IF(  AND(  OR(  C18="x",C18="病"  ), OR(  D18 ="病"  ), $AP18 =""),"病(事)假",  IF(  AND(  OR(  C18="x",C18="補"  ), OR(  D18 ="補"  ), $AP18 =""),"補休",  IF(  AND(  OR(  C18="x",C18="喪"  ), OR(  D18 ="喪"  ), $AP18 =""),"喪假",  IF(  AND(  OR(  C18="x",C18="婚",C18="產"  ), OR(  D18 ="婚",D18="產"  ), $AP18 =""),"婚(產)假",  IF(  AND(  OR(  C18="x",C18="公"  ), OR(  D18 ="公"  ), $AP18 =""),"公假",  IF(  AND(  OR(  C18="x",C18="補",C18="婚",C18="公",C18="病",C18="事",C18="x榮18-22"  ),OR(D18=""), $AP18 =""  ),"18收",  IF(  AND(  OR(  C18 ="榮14-18",C18 ="榮10-18",C18 ="榮06-18",C18 ="病14-18"  ),OR(  D18 ="x",D18="補",D18="婚",D18="公",D18="病",D18="事",D18="x"  ), $AP18 =""),"18放早走",  IF(  AND(  OR(  C18 =""),OR(  D18 ="x",D18="補",D18="婚",D18="公",D18="病",D18="事",D18="x榮*",D18="榮",D18="榮-22"  ), $AP18 =""),"18放",  IF(  AND(  OR(  C18="當日退伍"  ),OR(  D18="退伍",D18="退", D18=""  ), $AP18 =""),"當日退伍",  IF(AND(  OR(C18="退",C18="退伍" ), OR(D18="退",D18="退伍" ), $AP18 =""),"退伍","全日勤"  )  )  )  )  )  )  )  )  )  )  ),"")</f>
        <v>全日勤</v>
      </c>
      <c r="D59" s="66" t="str">
        <f>IF(   (ROW(AP18)-1)&lt;=暫1!$B$2,           IF(  AND(  OR(  D18="x",D18="補"  ), OR(  E18 ="x",E18="補",E18="x榮18-22",E18="x公18-22",E18="x榮22-08"  ), $AP18 =""),"全日休",  IF(  AND(  OR(  D18="x",D18="病"  ), OR(  E18 ="病"  ), $AP18 =""),"病(事)假",  IF(  AND(  OR(  D18="x",D18="補"  ), OR(  E18 ="補"  ), $AP18 =""),"補休",  IF(  AND(  OR(  D18="x",D18="喪"  ), OR(  E18 ="喪"  ), $AP18 =""),"喪假",  IF(  AND(  OR(  D18="x",D18="婚",D18="產"  ), OR(  E18 ="婚",E18="產"  ), $AP18 =""),"婚(產)假",  IF(  AND(  OR(  D18="x",D18="公"  ), OR(  E18 ="公"  ), $AP18 =""),"公假",  IF(  AND(  OR(  D18="x",D18="補",D18="婚",D18="公",D18="病",D18="事",D18="x榮18-22"  ),OR(E18=""), $AP18 =""  ),"18收",  IF(  AND(  OR(  D18 ="榮14-18",D18 ="榮10-18",D18 ="榮06-18",D18 ="病14-18"  ),OR(  E18 ="x",E18="補",E18="婚",E18="公",E18="病",E18="事",E18="x"  ), $AP18 =""),"18放早走",  IF(  AND(  OR(  D18 =""),OR(  E18 ="x",E18="補",E18="婚",E18="公",E18="病",E18="事",E18="x榮*",E18="榮",E18="榮-22"  ), $AP18 =""),"18放",  IF(  AND(  OR(  D18="當日退伍"  ),OR(  E18="退伍",E18="退", E18=""  ), $AP18 =""),"當日退伍",  IF(AND(  OR(D18="退",D18="退伍" ), OR(E18="退",E18="退伍" ), $AP18 =""),"退伍","全日勤"  )  )  )  )  )  )  )  )  )  )  ),"")</f>
        <v>全日勤</v>
      </c>
      <c r="E59" s="66" t="str">
        <f>IF(   (ROW(AQ18)-1)&lt;=暫1!$B$2,           IF(  AND(  OR(  E18="x",E18="補"  ), OR(  F18 ="x",F18="補",F18="x榮18-22",F18="x公18-22",F18="x榮22-08"  ), $AP18 =""),"全日休",  IF(  AND(  OR(  E18="x",E18="病"  ), OR(  F18 ="病"  ), $AP18 =""),"病(事)假",  IF(  AND(  OR(  E18="x",E18="補"  ), OR(  F18 ="補"  ), $AP18 =""),"補休",  IF(  AND(  OR(  E18="x",E18="喪"  ), OR(  F18 ="喪"  ), $AP18 =""),"喪假",  IF(  AND(  OR(  E18="x",E18="婚",E18="產"  ), OR(  F18 ="婚",F18="產"  ), $AP18 =""),"婚(產)假",  IF(  AND(  OR(  E18="x",E18="公"  ), OR(  F18 ="公"  ), $AP18 =""),"公假",  IF(  AND(  OR(  E18="x",E18="補",E18="婚",E18="公",E18="病",E18="事",E18="x榮18-22"  ),OR(F18=""), $AP18 =""  ),"18收",  IF(  AND(  OR(  E18 ="榮14-18",E18 ="榮10-18",E18 ="榮06-18",E18 ="病14-18"  ),OR(  F18 ="x",F18="補",F18="婚",F18="公",F18="病",F18="事",F18="x"  ), $AP18 =""),"18放早走",  IF(  AND(  OR(  E18 =""),OR(  F18 ="x",F18="補",F18="婚",F18="公",F18="病",F18="事",F18="x榮*",F18="榮",F18="榮-22"  ), $AP18 =""),"18放",  IF(  AND(  OR(  E18="當日退伍"  ),OR(  F18="退伍",F18="退", F18=""  ), $AP18 =""),"當日退伍",  IF(AND(  OR(E18="退",E18="退伍" ), OR(F18="退",F18="退伍" ), $AP18 =""),"退伍","全日勤"  )  )  )  )  )  )  )  )  )  )  ),"")</f>
        <v>全日勤</v>
      </c>
      <c r="F59" s="66" t="str">
        <f>IF(   (ROW(AR18)-1)&lt;=暫1!$B$2,           IF(  AND(  OR(  F18="x",F18="補"  ), OR(  G18 ="x",G18="補",G18="x榮18-22",G18="x公18-22",G18="x榮22-08"  ), $AP18 =""),"全日休",  IF(  AND(  OR(  F18="x",F18="病"  ), OR(  G18 ="病"  ), $AP18 =""),"病(事)假",  IF(  AND(  OR(  F18="x",F18="補"  ), OR(  G18 ="補"  ), $AP18 =""),"補休",  IF(  AND(  OR(  F18="x",F18="喪"  ), OR(  G18 ="喪"  ), $AP18 =""),"喪假",  IF(  AND(  OR(  F18="x",F18="婚",F18="產"  ), OR(  G18 ="婚",G18="產"  ), $AP18 =""),"婚(產)假",  IF(  AND(  OR(  F18="x",F18="公"  ), OR(  G18 ="公"  ), $AP18 =""),"公假",  IF(  AND(  OR(  F18="x",F18="補",F18="婚",F18="公",F18="病",F18="事",F18="x榮18-22"  ),OR(G18=""), $AP18 =""  ),"18收",  IF(  AND(  OR(  F18 ="榮14-18",F18 ="榮10-18",F18 ="榮06-18",F18 ="病14-18"  ),OR(  G18 ="x",G18="補",G18="婚",G18="公",G18="病",G18="事",G18="x"  ), $AP18 =""),"18放早走",  IF(  AND(  OR(  F18 =""),OR(  G18 ="x",G18="補",G18="婚",G18="公",G18="病",G18="事",G18="x榮*",G18="榮",G18="榮-22"  ), $AP18 =""),"18放",  IF(  AND(  OR(  F18="當日退伍"  ),OR(  G18="退伍",G18="退", G18=""  ), $AP18 =""),"當日退伍",  IF(AND(  OR(F18="退",F18="退伍" ), OR(G18="退",G18="退伍" ), $AP18 =""),"退伍","全日勤"  )  )  )  )  )  )  )  )  )  )  ),"")</f>
        <v>全日勤</v>
      </c>
      <c r="G59" s="66" t="str">
        <f>IF(   (ROW(AS18)-1)&lt;=暫1!$B$2,           IF(  AND(  OR(  G18="x",G18="補"  ), OR(  H18 ="x",H18="補",H18="x榮18-22",H18="x公18-22",H18="x榮22-08"  ), $AP18 =""),"全日休",  IF(  AND(  OR(  G18="x",G18="病"  ), OR(  H18 ="病"  ), $AP18 =""),"病(事)假",  IF(  AND(  OR(  G18="x",G18="補"  ), OR(  H18 ="補"  ), $AP18 =""),"補休",  IF(  AND(  OR(  G18="x",G18="喪"  ), OR(  H18 ="喪"  ), $AP18 =""),"喪假",  IF(  AND(  OR(  G18="x",G18="婚",G18="產"  ), OR(  H18 ="婚",H18="產"  ), $AP18 =""),"婚(產)假",  IF(  AND(  OR(  G18="x",G18="公"  ), OR(  H18 ="公"  ), $AP18 =""),"公假",  IF(  AND(  OR(  G18="x",G18="補",G18="婚",G18="公",G18="病",G18="事",G18="x榮18-22"  ),OR(H18=""), $AP18 =""  ),"18收",  IF(  AND(  OR(  G18 ="榮14-18",G18 ="榮10-18",G18 ="榮06-18",G18 ="病14-18"  ),OR(  H18 ="x",H18="補",H18="婚",H18="公",H18="病",H18="事",H18="x"  ), $AP18 =""),"18放早走",  IF(  AND(  OR(  G18 =""),OR(  H18 ="x",H18="補",H18="婚",H18="公",H18="病",H18="事",H18="x榮*",H18="榮",H18="榮-22"  ), $AP18 =""),"18放",  IF(  AND(  OR(  G18="當日退伍"  ),OR(  H18="退伍",H18="退", H18=""  ), $AP18 =""),"當日退伍",  IF(AND(  OR(G18="退",G18="退伍" ), OR(H18="退",H18="退伍" ), $AP18 =""),"退伍","全日勤"  )  )  )  )  )  )  )  )  )  )  ),"")</f>
        <v>全日勤</v>
      </c>
      <c r="H59" s="66" t="str">
        <f>IF(   (ROW(AT18)-1)&lt;=暫1!$B$2,           IF(  AND(  OR(  H18="x",H18="補"  ), OR(  I18 ="x",I18="補",I18="x榮18-22",I18="x公18-22",I18="x榮22-08"  ), $AP18 =""),"全日休",  IF(  AND(  OR(  H18="x",H18="病"  ), OR(  I18 ="病"  ), $AP18 =""),"病(事)假",  IF(  AND(  OR(  H18="x",H18="補"  ), OR(  I18 ="補"  ), $AP18 =""),"補休",  IF(  AND(  OR(  H18="x",H18="喪"  ), OR(  I18 ="喪"  ), $AP18 =""),"喪假",  IF(  AND(  OR(  H18="x",H18="婚",H18="產"  ), OR(  I18 ="婚",I18="產"  ), $AP18 =""),"婚(產)假",  IF(  AND(  OR(  H18="x",H18="公"  ), OR(  I18 ="公"  ), $AP18 =""),"公假",  IF(  AND(  OR(  H18="x",H18="補",H18="婚",H18="公",H18="病",H18="事",H18="x榮18-22"  ),OR(I18=""), $AP18 =""  ),"18收",  IF(  AND(  OR(  H18 ="榮14-18",H18 ="榮10-18",H18 ="榮06-18",H18 ="病14-18"  ),OR(  I18 ="x",I18="補",I18="婚",I18="公",I18="病",I18="事",I18="x"  ), $AP18 =""),"18放早走",  IF(  AND(  OR(  H18 =""),OR(  I18 ="x",I18="補",I18="婚",I18="公",I18="病",I18="事",I18="x榮*",I18="榮",I18="榮-22"  ), $AP18 =""),"18放",  IF(  AND(  OR(  H18="當日退伍"  ),OR(  I18="退伍",I18="退", I18=""  ), $AP18 =""),"當日退伍",  IF(AND(  OR(H18="退",H18="退伍" ), OR(I18="退",I18="退伍" ), $AP18 =""),"退伍","全日勤"  )  )  )  )  )  )  )  )  )  )  ),"")</f>
        <v>全日勤</v>
      </c>
      <c r="I59" s="66" t="str">
        <f>IF(   (ROW(AU18)-1)&lt;=暫1!$B$2,           IF(  AND(  OR(  I18="x",I18="補"  ), OR(  J18 ="x",J18="補",J18="x榮18-22",J18="x公18-22",J18="x榮22-08"  ), $AP18 =""),"全日休",  IF(  AND(  OR(  I18="x",I18="病"  ), OR(  J18 ="病"  ), $AP18 =""),"病(事)假",  IF(  AND(  OR(  I18="x",I18="補"  ), OR(  J18 ="補"  ), $AP18 =""),"補休",  IF(  AND(  OR(  I18="x",I18="喪"  ), OR(  J18 ="喪"  ), $AP18 =""),"喪假",  IF(  AND(  OR(  I18="x",I18="婚",I18="產"  ), OR(  J18 ="婚",J18="產"  ), $AP18 =""),"婚(產)假",  IF(  AND(  OR(  I18="x",I18="公"  ), OR(  J18 ="公"  ), $AP18 =""),"公假",  IF(  AND(  OR(  I18="x",I18="補",I18="婚",I18="公",I18="病",I18="事",I18="x榮18-22"  ),OR(J18=""), $AP18 =""  ),"18收",  IF(  AND(  OR(  I18 ="榮14-18",I18 ="榮10-18",I18 ="榮06-18",I18 ="病14-18"  ),OR(  J18 ="x",J18="補",J18="婚",J18="公",J18="病",J18="事",J18="x"  ), $AP18 =""),"18放早走",  IF(  AND(  OR(  I18 =""),OR(  J18 ="x",J18="補",J18="婚",J18="公",J18="病",J18="事",J18="x榮*",J18="榮",J18="榮-22"  ), $AP18 =""),"18放",  IF(  AND(  OR(  I18="當日退伍"  ),OR(  J18="退伍",J18="退", J18=""  ), $AP18 =""),"當日退伍",  IF(AND(  OR(I18="退",I18="退伍" ), OR(J18="退",J18="退伍" ), $AP18 =""),"退伍","全日勤"  )  )  )  )  )  )  )  )  )  )  ),"")</f>
        <v>全日勤</v>
      </c>
      <c r="J59" s="66" t="str">
        <f>IF(   (ROW(AV18)-1)&lt;=暫1!$B$2,           IF(  AND(  OR(  J18="x",J18="補"  ), OR(  K18 ="x",K18="補",K18="x榮18-22",K18="x公18-22",K18="x榮22-08"  ), $AP18 =""),"全日休",  IF(  AND(  OR(  J18="x",J18="病"  ), OR(  K18 ="病"  ), $AP18 =""),"病(事)假",  IF(  AND(  OR(  J18="x",J18="補"  ), OR(  K18 ="補"  ), $AP18 =""),"補休",  IF(  AND(  OR(  J18="x",J18="喪"  ), OR(  K18 ="喪"  ), $AP18 =""),"喪假",  IF(  AND(  OR(  J18="x",J18="婚",J18="產"  ), OR(  K18 ="婚",K18="產"  ), $AP18 =""),"婚(產)假",  IF(  AND(  OR(  J18="x",J18="公"  ), OR(  K18 ="公"  ), $AP18 =""),"公假",  IF(  AND(  OR(  J18="x",J18="補",J18="婚",J18="公",J18="病",J18="事",J18="x榮18-22"  ),OR(K18=""), $AP18 =""  ),"18收",  IF(  AND(  OR(  J18 ="榮14-18",J18 ="榮10-18",J18 ="榮06-18",J18 ="病14-18"  ),OR(  K18 ="x",K18="補",K18="婚",K18="公",K18="病",K18="事",K18="x"  ), $AP18 =""),"18放早走",  IF(  AND(  OR(  J18 =""),OR(  K18 ="x",K18="補",K18="婚",K18="公",K18="病",K18="事",K18="x榮*",K18="榮",K18="榮-22"  ), $AP18 =""),"18放",  IF(  AND(  OR(  J18="當日退伍"  ),OR(  K18="退伍",K18="退", K18=""  ), $AP18 =""),"當日退伍",  IF(AND(  OR(J18="退",J18="退伍" ), OR(K18="退",K18="退伍" ), $AP18 =""),"退伍","全日勤"  )  )  )  )  )  )  )  )  )  )  ),"")</f>
        <v>全日勤</v>
      </c>
      <c r="K59" s="66" t="str">
        <f>IF(   (ROW(AW18)-1)&lt;=暫1!$B$2,           IF(  AND(  OR(  K18="x",K18="補"  ), OR(  L18 ="x",L18="補",L18="x榮18-22",L18="x公18-22",L18="x榮22-08"  ), $AP18 =""),"全日休",  IF(  AND(  OR(  K18="x",K18="病"  ), OR(  L18 ="病"  ), $AP18 =""),"病(事)假",  IF(  AND(  OR(  K18="x",K18="補"  ), OR(  L18 ="補"  ), $AP18 =""),"補休",  IF(  AND(  OR(  K18="x",K18="喪"  ), OR(  L18 ="喪"  ), $AP18 =""),"喪假",  IF(  AND(  OR(  K18="x",K18="婚",K18="產"  ), OR(  L18 ="婚",L18="產"  ), $AP18 =""),"婚(產)假",  IF(  AND(  OR(  K18="x",K18="公"  ), OR(  L18 ="公"  ), $AP18 =""),"公假",  IF(  AND(  OR(  K18="x",K18="補",K18="婚",K18="公",K18="病",K18="事",K18="x榮18-22"  ),OR(L18=""), $AP18 =""  ),"18收",  IF(  AND(  OR(  K18 ="榮14-18",K18 ="榮10-18",K18 ="榮06-18",K18 ="病14-18"  ),OR(  L18 ="x",L18="補",L18="婚",L18="公",L18="病",L18="事",L18="x"  ), $AP18 =""),"18放早走",  IF(  AND(  OR(  K18 =""),OR(  L18 ="x",L18="補",L18="婚",L18="公",L18="病",L18="事",L18="x榮*",L18="榮",L18="榮-22"  ), $AP18 =""),"18放",  IF(  AND(  OR(  K18="當日退伍"  ),OR(  L18="退伍",L18="退", L18=""  ), $AP18 =""),"當日退伍",  IF(AND(  OR(K18="退",K18="退伍" ), OR(L18="退",L18="退伍" ), $AP18 =""),"退伍","全日勤"  )  )  )  )  )  )  )  )  )  )  ),"")</f>
        <v>全日勤</v>
      </c>
      <c r="L59" s="66" t="str">
        <f>IF(   (ROW(AX18)-1)&lt;=暫1!$B$2,           IF(  AND(  OR(  L18="x",L18="補"  ), OR(  M18 ="x",M18="補",M18="x榮18-22",M18="x公18-22",M18="x榮22-08"  ), $AP18 =""),"全日休",  IF(  AND(  OR(  L18="x",L18="病"  ), OR(  M18 ="病"  ), $AP18 =""),"病(事)假",  IF(  AND(  OR(  L18="x",L18="補"  ), OR(  M18 ="補"  ), $AP18 =""),"補休",  IF(  AND(  OR(  L18="x",L18="喪"  ), OR(  M18 ="喪"  ), $AP18 =""),"喪假",  IF(  AND(  OR(  L18="x",L18="婚",L18="產"  ), OR(  M18 ="婚",M18="產"  ), $AP18 =""),"婚(產)假",  IF(  AND(  OR(  L18="x",L18="公"  ), OR(  M18 ="公"  ), $AP18 =""),"公假",  IF(  AND(  OR(  L18="x",L18="補",L18="婚",L18="公",L18="病",L18="事",L18="x榮18-22"  ),OR(M18=""), $AP18 =""  ),"18收",  IF(  AND(  OR(  L18 ="榮14-18",L18 ="榮10-18",L18 ="榮06-18",L18 ="病14-18"  ),OR(  M18 ="x",M18="補",M18="婚",M18="公",M18="病",M18="事",M18="x"  ), $AP18 =""),"18放早走",  IF(  AND(  OR(  L18 =""),OR(  M18 ="x",M18="補",M18="婚",M18="公",M18="病",M18="事",M18="x榮*",M18="榮",M18="榮-22"  ), $AP18 =""),"18放",  IF(  AND(  OR(  L18="當日退伍"  ),OR(  M18="退伍",M18="退", M18=""  ), $AP18 =""),"當日退伍",  IF(AND(  OR(L18="退",L18="退伍" ), OR(M18="退",M18="退伍" ), $AP18 =""),"退伍","全日勤"  )  )  )  )  )  )  )  )  )  )  ),"")</f>
        <v>全日勤</v>
      </c>
      <c r="M59" s="66" t="str">
        <f>IF(   (ROW(AY18)-1)&lt;=暫1!$B$2,           IF(  AND(  OR(  M18="x",M18="補"  ), OR(  N18 ="x",N18="補",N18="x榮18-22",N18="x公18-22",N18="x榮22-08"  ), $AP18 =""),"全日休",  IF(  AND(  OR(  M18="x",M18="病"  ), OR(  N18 ="病"  ), $AP18 =""),"病(事)假",  IF(  AND(  OR(  M18="x",M18="補"  ), OR(  N18 ="補"  ), $AP18 =""),"補休",  IF(  AND(  OR(  M18="x",M18="喪"  ), OR(  N18 ="喪"  ), $AP18 =""),"喪假",  IF(  AND(  OR(  M18="x",M18="婚",M18="產"  ), OR(  N18 ="婚",N18="產"  ), $AP18 =""),"婚(產)假",  IF(  AND(  OR(  M18="x",M18="公"  ), OR(  N18 ="公"  ), $AP18 =""),"公假",  IF(  AND(  OR(  M18="x",M18="補",M18="婚",M18="公",M18="病",M18="事",M18="x榮18-22"  ),OR(N18=""), $AP18 =""  ),"18收",  IF(  AND(  OR(  M18 ="榮14-18",M18 ="榮10-18",M18 ="榮06-18",M18 ="病14-18"  ),OR(  N18 ="x",N18="補",N18="婚",N18="公",N18="病",N18="事",N18="x"  ), $AP18 =""),"18放早走",  IF(  AND(  OR(  M18 =""),OR(  N18 ="x",N18="補",N18="婚",N18="公",N18="病",N18="事",N18="x榮*",N18="榮",N18="榮-22"  ), $AP18 =""),"18放",  IF(  AND(  OR(  M18="當日退伍"  ),OR(  N18="退伍",N18="退", N18=""  ), $AP18 =""),"當日退伍",  IF(AND(  OR(M18="退",M18="退伍" ), OR(N18="退",N18="退伍" ), $AP18 =""),"退伍","全日勤"  )  )  )  )  )  )  )  )  )  )  ),"")</f>
        <v>全日勤</v>
      </c>
      <c r="N59" s="66" t="str">
        <f>IF(   (ROW(AZ18)-1)&lt;=暫1!$B$2,           IF(  AND(  OR(  N18="x",N18="補"  ), OR(  O18 ="x",O18="補",O18="x榮18-22",O18="x公18-22",O18="x榮22-08"  ), $AP18 =""),"全日休",  IF(  AND(  OR(  N18="x",N18="病"  ), OR(  O18 ="病"  ), $AP18 =""),"病(事)假",  IF(  AND(  OR(  N18="x",N18="補"  ), OR(  O18 ="補"  ), $AP18 =""),"補休",  IF(  AND(  OR(  N18="x",N18="喪"  ), OR(  O18 ="喪"  ), $AP18 =""),"喪假",  IF(  AND(  OR(  N18="x",N18="婚",N18="產"  ), OR(  O18 ="婚",O18="產"  ), $AP18 =""),"婚(產)假",  IF(  AND(  OR(  N18="x",N18="公"  ), OR(  O18 ="公"  ), $AP18 =""),"公假",  IF(  AND(  OR(  N18="x",N18="補",N18="婚",N18="公",N18="病",N18="事",N18="x榮18-22"  ),OR(O18=""), $AP18 =""  ),"18收",  IF(  AND(  OR(  N18 ="榮14-18",N18 ="榮10-18",N18 ="榮06-18",N18 ="病14-18"  ),OR(  O18 ="x",O18="補",O18="婚",O18="公",O18="病",O18="事",O18="x"  ), $AP18 =""),"18放早走",  IF(  AND(  OR(  N18 =""),OR(  O18 ="x",O18="補",O18="婚",O18="公",O18="病",O18="事",O18="x榮*",O18="榮",O18="榮-22"  ), $AP18 =""),"18放",  IF(  AND(  OR(  N18="當日退伍"  ),OR(  O18="退伍",O18="退", O18=""  ), $AP18 =""),"當日退伍",  IF(AND(  OR(N18="退",N18="退伍" ), OR(O18="退",O18="退伍" ), $AP18 =""),"退伍","全日勤"  )  )  )  )  )  )  )  )  )  )  ),"")</f>
        <v>全日勤</v>
      </c>
      <c r="O59" s="66" t="str">
        <f>IF(   (ROW(BA18)-1)&lt;=暫1!$B$2,           IF(  AND(  OR(  O18="x",O18="補"  ), OR(  P18 ="x",P18="補",P18="x榮18-22",P18="x公18-22",P18="x榮22-08"  ), $AP18 =""),"全日休",  IF(  AND(  OR(  O18="x",O18="病"  ), OR(  P18 ="病"  ), $AP18 =""),"病(事)假",  IF(  AND(  OR(  O18="x",O18="補"  ), OR(  P18 ="補"  ), $AP18 =""),"補休",  IF(  AND(  OR(  O18="x",O18="喪"  ), OR(  P18 ="喪"  ), $AP18 =""),"喪假",  IF(  AND(  OR(  O18="x",O18="婚",O18="產"  ), OR(  P18 ="婚",P18="產"  ), $AP18 =""),"婚(產)假",  IF(  AND(  OR(  O18="x",O18="公"  ), OR(  P18 ="公"  ), $AP18 =""),"公假",  IF(  AND(  OR(  O18="x",O18="補",O18="婚",O18="公",O18="病",O18="事",O18="x榮18-22"  ),OR(P18=""), $AP18 =""  ),"18收",  IF(  AND(  OR(  O18 ="榮14-18",O18 ="榮10-18",O18 ="榮06-18",O18 ="病14-18"  ),OR(  P18 ="x",P18="補",P18="婚",P18="公",P18="病",P18="事",P18="x"  ), $AP18 =""),"18放早走",  IF(  AND(  OR(  O18 =""),OR(  P18 ="x",P18="補",P18="婚",P18="公",P18="病",P18="事",P18="x榮*",P18="榮",P18="榮-22"  ), $AP18 =""),"18放",  IF(  AND(  OR(  O18="當日退伍"  ),OR(  P18="退伍",P18="退", P18=""  ), $AP18 =""),"當日退伍",  IF(AND(  OR(O18="退",O18="退伍" ), OR(P18="退",P18="退伍" ), $AP18 =""),"退伍","全日勤"  )  )  )  )  )  )  )  )  )  )  ),"")</f>
        <v>全日勤</v>
      </c>
      <c r="P59" s="66" t="str">
        <f>IF(   (ROW(BB18)-1)&lt;=暫1!$B$2,           IF(  AND(  OR(  P18="x",P18="補"  ), OR(  Q18 ="x",Q18="補",Q18="x榮18-22",Q18="x公18-22",Q18="x榮22-08"  ), $AP18 =""),"全日休",  IF(  AND(  OR(  P18="x",P18="病"  ), OR(  Q18 ="病"  ), $AP18 =""),"病(事)假",  IF(  AND(  OR(  P18="x",P18="補"  ), OR(  Q18 ="補"  ), $AP18 =""),"補休",  IF(  AND(  OR(  P18="x",P18="喪"  ), OR(  Q18 ="喪"  ), $AP18 =""),"喪假",  IF(  AND(  OR(  P18="x",P18="婚",P18="產"  ), OR(  Q18 ="婚",Q18="產"  ), $AP18 =""),"婚(產)假",  IF(  AND(  OR(  P18="x",P18="公"  ), OR(  Q18 ="公"  ), $AP18 =""),"公假",  IF(  AND(  OR(  P18="x",P18="補",P18="婚",P18="公",P18="病",P18="事",P18="x榮18-22"  ),OR(Q18=""), $AP18 =""  ),"18收",  IF(  AND(  OR(  P18 ="榮14-18",P18 ="榮10-18",P18 ="榮06-18",P18 ="病14-18"  ),OR(  Q18 ="x",Q18="補",Q18="婚",Q18="公",Q18="病",Q18="事",Q18="x"  ), $AP18 =""),"18放早走",  IF(  AND(  OR(  P18 =""),OR(  Q18 ="x",Q18="補",Q18="婚",Q18="公",Q18="病",Q18="事",Q18="x榮*",Q18="榮",Q18="榮-22"  ), $AP18 =""),"18放",  IF(  AND(  OR(  P18="當日退伍"  ),OR(  Q18="退伍",Q18="退", Q18=""  ), $AP18 =""),"當日退伍",  IF(AND(  OR(P18="退",P18="退伍" ), OR(Q18="退",Q18="退伍" ), $AP18 =""),"退伍","全日勤"  )  )  )  )  )  )  )  )  )  )  ),"")</f>
        <v>全日勤</v>
      </c>
      <c r="Q59" s="66" t="str">
        <f>IF(   (ROW(BC18)-1)&lt;=暫1!$B$2,           IF(  AND(  OR(  Q18="x",Q18="補"  ), OR(  R18 ="x",R18="補",R18="x榮18-22",R18="x公18-22",R18="x榮22-08"  ), $AP18 =""),"全日休",  IF(  AND(  OR(  Q18="x",Q18="病"  ), OR(  R18 ="病"  ), $AP18 =""),"病(事)假",  IF(  AND(  OR(  Q18="x",Q18="補"  ), OR(  R18 ="補"  ), $AP18 =""),"補休",  IF(  AND(  OR(  Q18="x",Q18="喪"  ), OR(  R18 ="喪"  ), $AP18 =""),"喪假",  IF(  AND(  OR(  Q18="x",Q18="婚",Q18="產"  ), OR(  R18 ="婚",R18="產"  ), $AP18 =""),"婚(產)假",  IF(  AND(  OR(  Q18="x",Q18="公"  ), OR(  R18 ="公"  ), $AP18 =""),"公假",  IF(  AND(  OR(  Q18="x",Q18="補",Q18="婚",Q18="公",Q18="病",Q18="事",Q18="x榮18-22"  ),OR(R18=""), $AP18 =""  ),"18收",  IF(  AND(  OR(  Q18 ="榮14-18",Q18 ="榮10-18",Q18 ="榮06-18",Q18 ="病14-18"  ),OR(  R18 ="x",R18="補",R18="婚",R18="公",R18="病",R18="事",R18="x"  ), $AP18 =""),"18放早走",  IF(  AND(  OR(  Q18 =""),OR(  R18 ="x",R18="補",R18="婚",R18="公",R18="病",R18="事",R18="x榮*",R18="榮",R18="榮-22"  ), $AP18 =""),"18放",  IF(  AND(  OR(  Q18="當日退伍"  ),OR(  R18="退伍",R18="退", R18=""  ), $AP18 =""),"當日退伍",  IF(AND(  OR(Q18="退",Q18="退伍" ), OR(R18="退",R18="退伍" ), $AP18 =""),"退伍","全日勤"  )  )  )  )  )  )  )  )  )  )  ),"")</f>
        <v>全日勤</v>
      </c>
      <c r="R59" s="66" t="str">
        <f>IF(   (ROW(BD18)-1)&lt;=暫1!$B$2,           IF(  AND(  OR(  R18="x",R18="補"  ), OR(  S18 ="x",S18="補",S18="x榮18-22",S18="x公18-22",S18="x榮22-08"  ), $AP18 =""),"全日休",  IF(  AND(  OR(  R18="x",R18="病"  ), OR(  S18 ="病"  ), $AP18 =""),"病(事)假",  IF(  AND(  OR(  R18="x",R18="補"  ), OR(  S18 ="補"  ), $AP18 =""),"補休",  IF(  AND(  OR(  R18="x",R18="喪"  ), OR(  S18 ="喪"  ), $AP18 =""),"喪假",  IF(  AND(  OR(  R18="x",R18="婚",R18="產"  ), OR(  S18 ="婚",S18="產"  ), $AP18 =""),"婚(產)假",  IF(  AND(  OR(  R18="x",R18="公"  ), OR(  S18 ="公"  ), $AP18 =""),"公假",  IF(  AND(  OR(  R18="x",R18="補",R18="婚",R18="公",R18="病",R18="事",R18="x榮18-22"  ),OR(S18=""), $AP18 =""  ),"18收",  IF(  AND(  OR(  R18 ="榮14-18",R18 ="榮10-18",R18 ="榮06-18",R18 ="病14-18"  ),OR(  S18 ="x",S18="補",S18="婚",S18="公",S18="病",S18="事",S18="x"  ), $AP18 =""),"18放早走",  IF(  AND(  OR(  R18 =""),OR(  S18 ="x",S18="補",S18="婚",S18="公",S18="病",S18="事",S18="x榮*",S18="榮",S18="榮-22"  ), $AP18 =""),"18放",  IF(  AND(  OR(  R18="當日退伍"  ),OR(  S18="退伍",S18="退", S18=""  ), $AP18 =""),"當日退伍",  IF(AND(  OR(R18="退",R18="退伍" ), OR(S18="退",S18="退伍" ), $AP18 =""),"退伍","全日勤"  )  )  )  )  )  )  )  )  )  )  ),"")</f>
        <v>全日勤</v>
      </c>
      <c r="S59" s="66" t="str">
        <f>IF(   (ROW(BE18)-1)&lt;=暫1!$B$2,           IF(  AND(  OR(  S18="x",S18="補"  ), OR(  T18 ="x",T18="補",T18="x榮18-22",T18="x公18-22",T18="x榮22-08"  ), $AP18 =""),"全日休",  IF(  AND(  OR(  S18="x",S18="病"  ), OR(  T18 ="病"  ), $AP18 =""),"病(事)假",  IF(  AND(  OR(  S18="x",S18="補"  ), OR(  T18 ="補"  ), $AP18 =""),"補休",  IF(  AND(  OR(  S18="x",S18="喪"  ), OR(  T18 ="喪"  ), $AP18 =""),"喪假",  IF(  AND(  OR(  S18="x",S18="婚",S18="產"  ), OR(  T18 ="婚",T18="產"  ), $AP18 =""),"婚(產)假",  IF(  AND(  OR(  S18="x",S18="公"  ), OR(  T18 ="公"  ), $AP18 =""),"公假",  IF(  AND(  OR(  S18="x",S18="補",S18="婚",S18="公",S18="病",S18="事",S18="x榮18-22"  ),OR(T18=""), $AP18 =""  ),"18收",  IF(  AND(  OR(  S18 ="榮14-18",S18 ="榮10-18",S18 ="榮06-18",S18 ="病14-18"  ),OR(  T18 ="x",T18="補",T18="婚",T18="公",T18="病",T18="事",T18="x"  ), $AP18 =""),"18放早走",  IF(  AND(  OR(  S18 =""),OR(  T18 ="x",T18="補",T18="婚",T18="公",T18="病",T18="事",T18="x榮*",T18="榮",T18="榮-22"  ), $AP18 =""),"18放",  IF(  AND(  OR(  S18="當日退伍"  ),OR(  T18="退伍",T18="退", T18=""  ), $AP18 =""),"當日退伍",  IF(AND(  OR(S18="退",S18="退伍" ), OR(T18="退",T18="退伍" ), $AP18 =""),"退伍","全日勤"  )  )  )  )  )  )  )  )  )  )  ),"")</f>
        <v>全日勤</v>
      </c>
      <c r="T59" s="66" t="str">
        <f>IF(   (ROW(BF18)-1)&lt;=暫1!$B$2,           IF(  AND(  OR(  T18="x",T18="補"  ), OR(  U18 ="x",U18="補",U18="x榮18-22",U18="x公18-22",U18="x榮22-08"  ), $AP18 =""),"全日休",  IF(  AND(  OR(  T18="x",T18="病"  ), OR(  U18 ="病"  ), $AP18 =""),"病(事)假",  IF(  AND(  OR(  T18="x",T18="補"  ), OR(  U18 ="補"  ), $AP18 =""),"補休",  IF(  AND(  OR(  T18="x",T18="喪"  ), OR(  U18 ="喪"  ), $AP18 =""),"喪假",  IF(  AND(  OR(  T18="x",T18="婚",T18="產"  ), OR(  U18 ="婚",U18="產"  ), $AP18 =""),"婚(產)假",  IF(  AND(  OR(  T18="x",T18="公"  ), OR(  U18 ="公"  ), $AP18 =""),"公假",  IF(  AND(  OR(  T18="x",T18="補",T18="婚",T18="公",T18="病",T18="事",T18="x榮18-22"  ),OR(U18=""), $AP18 =""  ),"18收",  IF(  AND(  OR(  T18 ="榮14-18",T18 ="榮10-18",T18 ="榮06-18",T18 ="病14-18"  ),OR(  U18 ="x",U18="補",U18="婚",U18="公",U18="病",U18="事",U18="x"  ), $AP18 =""),"18放早走",  IF(  AND(  OR(  T18 =""),OR(  U18 ="x",U18="補",U18="婚",U18="公",U18="病",U18="事",U18="x榮*",U18="榮",U18="榮-22"  ), $AP18 =""),"18放",  IF(  AND(  OR(  T18="當日退伍"  ),OR(  U18="退伍",U18="退", U18=""  ), $AP18 =""),"當日退伍",  IF(AND(  OR(T18="退",T18="退伍" ), OR(U18="退",U18="退伍" ), $AP18 =""),"退伍","全日勤"  )  )  )  )  )  )  )  )  )  )  ),"")</f>
        <v>全日勤</v>
      </c>
      <c r="U59" s="66" t="str">
        <f>IF(   (ROW(BG18)-1)&lt;=暫1!$B$2,           IF(  AND(  OR(  U18="x",U18="補"  ), OR(  V18 ="x",V18="補",V18="x榮18-22",V18="x公18-22",V18="x榮22-08"  ), $AP18 =""),"全日休",  IF(  AND(  OR(  U18="x",U18="病"  ), OR(  V18 ="病"  ), $AP18 =""),"病(事)假",  IF(  AND(  OR(  U18="x",U18="補"  ), OR(  V18 ="補"  ), $AP18 =""),"補休",  IF(  AND(  OR(  U18="x",U18="喪"  ), OR(  V18 ="喪"  ), $AP18 =""),"喪假",  IF(  AND(  OR(  U18="x",U18="婚",U18="產"  ), OR(  V18 ="婚",V18="產"  ), $AP18 =""),"婚(產)假",  IF(  AND(  OR(  U18="x",U18="公"  ), OR(  V18 ="公"  ), $AP18 =""),"公假",  IF(  AND(  OR(  U18="x",U18="補",U18="婚",U18="公",U18="病",U18="事",U18="x榮18-22"  ),OR(V18=""), $AP18 =""  ),"18收",  IF(  AND(  OR(  U18 ="榮14-18",U18 ="榮10-18",U18 ="榮06-18",U18 ="病14-18"  ),OR(  V18 ="x",V18="補",V18="婚",V18="公",V18="病",V18="事",V18="x"  ), $AP18 =""),"18放早走",  IF(  AND(  OR(  U18 =""),OR(  V18 ="x",V18="補",V18="婚",V18="公",V18="病",V18="事",V18="x榮*",V18="榮",V18="榮-22"  ), $AP18 =""),"18放",  IF(  AND(  OR(  U18="當日退伍"  ),OR(  V18="退伍",V18="退", V18=""  ), $AP18 =""),"當日退伍",  IF(AND(  OR(U18="退",U18="退伍" ), OR(V18="退",V18="退伍" ), $AP18 =""),"退伍","全日勤"  )  )  )  )  )  )  )  )  )  )  ),"")</f>
        <v>全日勤</v>
      </c>
      <c r="V59" s="66" t="str">
        <f>IF(   (ROW(BH18)-1)&lt;=暫1!$B$2,           IF(  AND(  OR(  V18="x",V18="補"  ), OR(  W18 ="x",W18="補",W18="x榮18-22",W18="x公18-22",W18="x榮22-08"  ), $AP18 =""),"全日休",  IF(  AND(  OR(  V18="x",V18="病"  ), OR(  W18 ="病"  ), $AP18 =""),"病(事)假",  IF(  AND(  OR(  V18="x",V18="補"  ), OR(  W18 ="補"  ), $AP18 =""),"補休",  IF(  AND(  OR(  V18="x",V18="喪"  ), OR(  W18 ="喪"  ), $AP18 =""),"喪假",  IF(  AND(  OR(  V18="x",V18="婚",V18="產"  ), OR(  W18 ="婚",W18="產"  ), $AP18 =""),"婚(產)假",  IF(  AND(  OR(  V18="x",V18="公"  ), OR(  W18 ="公"  ), $AP18 =""),"公假",  IF(  AND(  OR(  V18="x",V18="補",V18="婚",V18="公",V18="病",V18="事",V18="x榮18-22"  ),OR(W18=""), $AP18 =""  ),"18收",  IF(  AND(  OR(  V18 ="榮14-18",V18 ="榮10-18",V18 ="榮06-18",V18 ="病14-18"  ),OR(  W18 ="x",W18="補",W18="婚",W18="公",W18="病",W18="事",W18="x"  ), $AP18 =""),"18放早走",  IF(  AND(  OR(  V18 =""),OR(  W18 ="x",W18="補",W18="婚",W18="公",W18="病",W18="事",W18="x榮*",W18="榮",W18="榮-22"  ), $AP18 =""),"18放",  IF(  AND(  OR(  V18="當日退伍"  ),OR(  W18="退伍",W18="退", W18=""  ), $AP18 =""),"當日退伍",  IF(AND(  OR(V18="退",V18="退伍" ), OR(W18="退",W18="退伍" ), $AP18 =""),"退伍","全日勤"  )  )  )  )  )  )  )  )  )  )  ),"")</f>
        <v>全日勤</v>
      </c>
      <c r="W59" s="66" t="str">
        <f>IF(   (ROW(BI18)-1)&lt;=暫1!$B$2,           IF(  AND(  OR(  W18="x",W18="補"  ), OR(  X18 ="x",X18="補",X18="x榮18-22",X18="x公18-22",X18="x榮22-08"  ), $AP18 =""),"全日休",  IF(  AND(  OR(  W18="x",W18="病"  ), OR(  X18 ="病"  ), $AP18 =""),"病(事)假",  IF(  AND(  OR(  W18="x",W18="補"  ), OR(  X18 ="補"  ), $AP18 =""),"補休",  IF(  AND(  OR(  W18="x",W18="喪"  ), OR(  X18 ="喪"  ), $AP18 =""),"喪假",  IF(  AND(  OR(  W18="x",W18="婚",W18="產"  ), OR(  X18 ="婚",X18="產"  ), $AP18 =""),"婚(產)假",  IF(  AND(  OR(  W18="x",W18="公"  ), OR(  X18 ="公"  ), $AP18 =""),"公假",  IF(  AND(  OR(  W18="x",W18="補",W18="婚",W18="公",W18="病",W18="事",W18="x榮18-22"  ),OR(X18=""), $AP18 =""  ),"18收",  IF(  AND(  OR(  W18 ="榮14-18",W18 ="榮10-18",W18 ="榮06-18",W18 ="病14-18"  ),OR(  X18 ="x",X18="補",X18="婚",X18="公",X18="病",X18="事",X18="x"  ), $AP18 =""),"18放早走",  IF(  AND(  OR(  W18 =""),OR(  X18 ="x",X18="補",X18="婚",X18="公",X18="病",X18="事",X18="x榮*",X18="榮",X18="榮-22"  ), $AP18 =""),"18放",  IF(  AND(  OR(  W18="當日退伍"  ),OR(  X18="退伍",X18="退", X18=""  ), $AP18 =""),"當日退伍",  IF(AND(  OR(W18="退",W18="退伍" ), OR(X18="退",X18="退伍" ), $AP18 =""),"退伍","全日勤"  )  )  )  )  )  )  )  )  )  )  ),"")</f>
        <v>全日勤</v>
      </c>
      <c r="X59" s="66" t="str">
        <f>IF(   (ROW(BJ18)-1)&lt;=暫1!$B$2,           IF(  AND(  OR(  X18="x",X18="補"  ), OR(  Y18 ="x",Y18="補",Y18="x榮18-22",Y18="x公18-22",Y18="x榮22-08"  ), $AP18 =""),"全日休",  IF(  AND(  OR(  X18="x",X18="病"  ), OR(  Y18 ="病"  ), $AP18 =""),"病(事)假",  IF(  AND(  OR(  X18="x",X18="補"  ), OR(  Y18 ="補"  ), $AP18 =""),"補休",  IF(  AND(  OR(  X18="x",X18="喪"  ), OR(  Y18 ="喪"  ), $AP18 =""),"喪假",  IF(  AND(  OR(  X18="x",X18="婚",X18="產"  ), OR(  Y18 ="婚",Y18="產"  ), $AP18 =""),"婚(產)假",  IF(  AND(  OR(  X18="x",X18="公"  ), OR(  Y18 ="公"  ), $AP18 =""),"公假",  IF(  AND(  OR(  X18="x",X18="補",X18="婚",X18="公",X18="病",X18="事",X18="x榮18-22"  ),OR(Y18=""), $AP18 =""  ),"18收",  IF(  AND(  OR(  X18 ="榮14-18",X18 ="榮10-18",X18 ="榮06-18",X18 ="病14-18"  ),OR(  Y18 ="x",Y18="補",Y18="婚",Y18="公",Y18="病",Y18="事",Y18="x"  ), $AP18 =""),"18放早走",  IF(  AND(  OR(  X18 =""),OR(  Y18 ="x",Y18="補",Y18="婚",Y18="公",Y18="病",Y18="事",Y18="x榮*",Y18="榮",Y18="榮-22"  ), $AP18 =""),"18放",  IF(  AND(  OR(  X18="當日退伍"  ),OR(  Y18="退伍",Y18="退", Y18=""  ), $AP18 =""),"當日退伍",  IF(AND(  OR(X18="退",X18="退伍" ), OR(Y18="退",Y18="退伍" ), $AP18 =""),"退伍","全日勤"  )  )  )  )  )  )  )  )  )  )  ),"")</f>
        <v>全日勤</v>
      </c>
      <c r="Y59" s="66" t="str">
        <f>IF(   (ROW(BK18)-1)&lt;=暫1!$B$2,           IF(  AND(  OR(  Y18="x",Y18="補"  ), OR(  Z18 ="x",Z18="補",Z18="x榮18-22",Z18="x公18-22",Z18="x榮22-08"  ), $AP18 =""),"全日休",  IF(  AND(  OR(  Y18="x",Y18="病"  ), OR(  Z18 ="病"  ), $AP18 =""),"病(事)假",  IF(  AND(  OR(  Y18="x",Y18="補"  ), OR(  Z18 ="補"  ), $AP18 =""),"補休",  IF(  AND(  OR(  Y18="x",Y18="喪"  ), OR(  Z18 ="喪"  ), $AP18 =""),"喪假",  IF(  AND(  OR(  Y18="x",Y18="婚",Y18="產"  ), OR(  Z18 ="婚",Z18="產"  ), $AP18 =""),"婚(產)假",  IF(  AND(  OR(  Y18="x",Y18="公"  ), OR(  Z18 ="公"  ), $AP18 =""),"公假",  IF(  AND(  OR(  Y18="x",Y18="補",Y18="婚",Y18="公",Y18="病",Y18="事",Y18="x榮18-22"  ),OR(Z18=""), $AP18 =""  ),"18收",  IF(  AND(  OR(  Y18 ="榮14-18",Y18 ="榮10-18",Y18 ="榮06-18",Y18 ="病14-18"  ),OR(  Z18 ="x",Z18="補",Z18="婚",Z18="公",Z18="病",Z18="事",Z18="x"  ), $AP18 =""),"18放早走",  IF(  AND(  OR(  Y18 =""),OR(  Z18 ="x",Z18="補",Z18="婚",Z18="公",Z18="病",Z18="事",Z18="x榮*",Z18="榮",Z18="榮-22"  ), $AP18 =""),"18放",  IF(  AND(  OR(  Y18="當日退伍"  ),OR(  Z18="退伍",Z18="退", Z18=""  ), $AP18 =""),"當日退伍",  IF(AND(  OR(Y18="退",Y18="退伍" ), OR(Z18="退",Z18="退伍" ), $AP18 =""),"退伍","全日勤"  )  )  )  )  )  )  )  )  )  )  ),"")</f>
        <v>全日勤</v>
      </c>
      <c r="Z59" s="66" t="str">
        <f>IF(   (ROW(BL18)-1)&lt;=暫1!$B$2,           IF(  AND(  OR(  Z18="x",Z18="補"  ), OR(  AA18 ="x",AA18="補",AA18="x榮18-22",AA18="x公18-22",AA18="x榮22-08"  ), $AP18 =""),"全日休",  IF(  AND(  OR(  Z18="x",Z18="病"  ), OR(  AA18 ="病"  ), $AP18 =""),"病(事)假",  IF(  AND(  OR(  Z18="x",Z18="補"  ), OR(  AA18 ="補"  ), $AP18 =""),"補休",  IF(  AND(  OR(  Z18="x",Z18="喪"  ), OR(  AA18 ="喪"  ), $AP18 =""),"喪假",  IF(  AND(  OR(  Z18="x",Z18="婚",Z18="產"  ), OR(  AA18 ="婚",AA18="產"  ), $AP18 =""),"婚(產)假",  IF(  AND(  OR(  Z18="x",Z18="公"  ), OR(  AA18 ="公"  ), $AP18 =""),"公假",  IF(  AND(  OR(  Z18="x",Z18="補",Z18="婚",Z18="公",Z18="病",Z18="事",Z18="x榮18-22"  ),OR(AA18=""), $AP18 =""  ),"18收",  IF(  AND(  OR(  Z18 ="榮14-18",Z18 ="榮10-18",Z18 ="榮06-18",Z18 ="病14-18"  ),OR(  AA18 ="x",AA18="補",AA18="婚",AA18="公",AA18="病",AA18="事",AA18="x"  ), $AP18 =""),"18放早走",  IF(  AND(  OR(  Z18 =""),OR(  AA18 ="x",AA18="補",AA18="婚",AA18="公",AA18="病",AA18="事",AA18="x榮*",AA18="榮",AA18="榮-22"  ), $AP18 =""),"18放",  IF(  AND(  OR(  Z18="當日退伍"  ),OR(  AA18="退伍",AA18="退", AA18=""  ), $AP18 =""),"當日退伍",  IF(AND(  OR(Z18="退",Z18="退伍" ), OR(AA18="退",AA18="退伍" ), $AP18 =""),"退伍","全日勤"  )  )  )  )  )  )  )  )  )  )  ),"")</f>
        <v>全日勤</v>
      </c>
      <c r="AA59" s="66" t="str">
        <f>IF(   (ROW(BM18)-1)&lt;=暫1!$B$2,           IF(  AND(  OR(  AA18="x",AA18="補"  ), OR(  AB18 ="x",AB18="補",AB18="x榮18-22",AB18="x公18-22",AB18="x榮22-08"  ), $AP18 =""),"全日休",  IF(  AND(  OR(  AA18="x",AA18="病"  ), OR(  AB18 ="病"  ), $AP18 =""),"病(事)假",  IF(  AND(  OR(  AA18="x",AA18="補"  ), OR(  AB18 ="補"  ), $AP18 =""),"補休",  IF(  AND(  OR(  AA18="x",AA18="喪"  ), OR(  AB18 ="喪"  ), $AP18 =""),"喪假",  IF(  AND(  OR(  AA18="x",AA18="婚",AA18="產"  ), OR(  AB18 ="婚",AB18="產"  ), $AP18 =""),"婚(產)假",  IF(  AND(  OR(  AA18="x",AA18="公"  ), OR(  AB18 ="公"  ), $AP18 =""),"公假",  IF(  AND(  OR(  AA18="x",AA18="補",AA18="婚",AA18="公",AA18="病",AA18="事",AA18="x榮18-22"  ),OR(AB18=""), $AP18 =""  ),"18收",  IF(  AND(  OR(  AA18 ="榮14-18",AA18 ="榮10-18",AA18 ="榮06-18",AA18 ="病14-18"  ),OR(  AB18 ="x",AB18="補",AB18="婚",AB18="公",AB18="病",AB18="事",AB18="x"  ), $AP18 =""),"18放早走",  IF(  AND(  OR(  AA18 =""),OR(  AB18 ="x",AB18="補",AB18="婚",AB18="公",AB18="病",AB18="事",AB18="x榮*",AB18="榮",AB18="榮-22"  ), $AP18 =""),"18放",  IF(  AND(  OR(  AA18="當日退伍"  ),OR(  AB18="退伍",AB18="退", AB18=""  ), $AP18 =""),"當日退伍",  IF(AND(  OR(AA18="退",AA18="退伍" ), OR(AB18="退",AB18="退伍" ), $AP18 =""),"退伍","全日勤"  )  )  )  )  )  )  )  )  )  )  ),"")</f>
        <v>全日勤</v>
      </c>
      <c r="AB59" s="66" t="str">
        <f>IF(   (ROW(BN18)-1)&lt;=暫1!$B$2,           IF(  AND(  OR(  AB18="x",AB18="補"  ), OR(  AC18 ="x",AC18="補",AC18="x榮18-22",AC18="x公18-22",AC18="x榮22-08"  ), $AP18 =""),"全日休",  IF(  AND(  OR(  AB18="x",AB18="病"  ), OR(  AC18 ="病"  ), $AP18 =""),"病(事)假",  IF(  AND(  OR(  AB18="x",AB18="補"  ), OR(  AC18 ="補"  ), $AP18 =""),"補休",  IF(  AND(  OR(  AB18="x",AB18="喪"  ), OR(  AC18 ="喪"  ), $AP18 =""),"喪假",  IF(  AND(  OR(  AB18="x",AB18="婚",AB18="產"  ), OR(  AC18 ="婚",AC18="產"  ), $AP18 =""),"婚(產)假",  IF(  AND(  OR(  AB18="x",AB18="公"  ), OR(  AC18 ="公"  ), $AP18 =""),"公假",  IF(  AND(  OR(  AB18="x",AB18="補",AB18="婚",AB18="公",AB18="病",AB18="事",AB18="x榮18-22"  ),OR(AC18=""), $AP18 =""  ),"18收",  IF(  AND(  OR(  AB18 ="榮14-18",AB18 ="榮10-18",AB18 ="榮06-18",AB18 ="病14-18"  ),OR(  AC18 ="x",AC18="補",AC18="婚",AC18="公",AC18="病",AC18="事",AC18="x"  ), $AP18 =""),"18放早走",  IF(  AND(  OR(  AB18 =""),OR(  AC18 ="x",AC18="補",AC18="婚",AC18="公",AC18="病",AC18="事",AC18="x榮*",AC18="榮",AC18="榮-22"  ), $AP18 =""),"18放",  IF(  AND(  OR(  AB18="當日退伍"  ),OR(  AC18="退伍",AC18="退", AC18=""  ), $AP18 =""),"當日退伍",  IF(AND(  OR(AB18="退",AB18="退伍" ), OR(AC18="退",AC18="退伍" ), $AP18 =""),"退伍","全日勤"  )  )  )  )  )  )  )  )  )  )  ),"")</f>
        <v>全日勤</v>
      </c>
      <c r="AC59" s="66" t="str">
        <f>IF(   (ROW(BO18)-1)&lt;=暫1!$B$2,           IF(  AND(  OR(  AC18="x",AC18="補"  ), OR(  AD18 ="x",AD18="補",AD18="x榮18-22",AD18="x公18-22",AD18="x榮22-08"  ), $AP18 =""),"全日休",  IF(  AND(  OR(  AC18="x",AC18="病"  ), OR(  AD18 ="病"  ), $AP18 =""),"病(事)假",  IF(  AND(  OR(  AC18="x",AC18="補"  ), OR(  AD18 ="補"  ), $AP18 =""),"補休",  IF(  AND(  OR(  AC18="x",AC18="喪"  ), OR(  AD18 ="喪"  ), $AP18 =""),"喪假",  IF(  AND(  OR(  AC18="x",AC18="婚",AC18="產"  ), OR(  AD18 ="婚",AD18="產"  ), $AP18 =""),"婚(產)假",  IF(  AND(  OR(  AC18="x",AC18="公"  ), OR(  AD18 ="公"  ), $AP18 =""),"公假",  IF(  AND(  OR(  AC18="x",AC18="補",AC18="婚",AC18="公",AC18="病",AC18="事",AC18="x榮18-22"  ),OR(AD18=""), $AP18 =""  ),"18收",  IF(  AND(  OR(  AC18 ="榮14-18",AC18 ="榮10-18",AC18 ="榮06-18",AC18 ="病14-18"  ),OR(  AD18 ="x",AD18="補",AD18="婚",AD18="公",AD18="病",AD18="事",AD18="x"  ), $AP18 =""),"18放早走",  IF(  AND(  OR(  AC18 =""),OR(  AD18 ="x",AD18="補",AD18="婚",AD18="公",AD18="病",AD18="事",AD18="x榮*",AD18="榮",AD18="榮-22"  ), $AP18 =""),"18放",  IF(  AND(  OR(  AC18="當日退伍"  ),OR(  AD18="退伍",AD18="退", AD18=""  ), $AP18 =""),"當日退伍",  IF(AND(  OR(AC18="退",AC18="退伍" ), OR(AD18="退",AD18="退伍" ), $AP18 =""),"退伍","全日勤"  )  )  )  )  )  )  )  )  )  )  ),"")</f>
        <v>全日勤</v>
      </c>
      <c r="AD59" s="66" t="str">
        <f>IF(   (ROW(BP18)-1)&lt;=暫1!$B$2,           IF(  AND(  OR(  AD18="x",AD18="補"  ), OR(  AE18 ="x",AE18="補",AE18="x榮18-22",AE18="x公18-22",AE18="x榮22-08"  ), $AP18 =""),"全日休",  IF(  AND(  OR(  AD18="x",AD18="病"  ), OR(  AE18 ="病"  ), $AP18 =""),"病(事)假",  IF(  AND(  OR(  AD18="x",AD18="補"  ), OR(  AE18 ="補"  ), $AP18 =""),"補休",  IF(  AND(  OR(  AD18="x",AD18="喪"  ), OR(  AE18 ="喪"  ), $AP18 =""),"喪假",  IF(  AND(  OR(  AD18="x",AD18="婚",AD18="產"  ), OR(  AE18 ="婚",AE18="產"  ), $AP18 =""),"婚(產)假",  IF(  AND(  OR(  AD18="x",AD18="公"  ), OR(  AE18 ="公"  ), $AP18 =""),"公假",  IF(  AND(  OR(  AD18="x",AD18="補",AD18="婚",AD18="公",AD18="病",AD18="事",AD18="x榮18-22"  ),OR(AE18=""), $AP18 =""  ),"18收",  IF(  AND(  OR(  AD18 ="榮14-18",AD18 ="榮10-18",AD18 ="榮06-18",AD18 ="病14-18"  ),OR(  AE18 ="x",AE18="補",AE18="婚",AE18="公",AE18="病",AE18="事",AE18="x"  ), $AP18 =""),"18放早走",  IF(  AND(  OR(  AD18 =""),OR(  AE18 ="x",AE18="補",AE18="婚",AE18="公",AE18="病",AE18="事",AE18="x榮*",AE18="榮",AE18="榮-22"  ), $AP18 =""),"18放",  IF(  AND(  OR(  AD18="當日退伍"  ),OR(  AE18="退伍",AE18="退", AE18=""  ), $AP18 =""),"當日退伍",  IF(AND(  OR(AD18="退",AD18="退伍" ), OR(AE18="退",AE18="退伍" ), $AP18 =""),"退伍","全日勤"  )  )  )  )  )  )  )  )  )  )  ),"")</f>
        <v>全日勤</v>
      </c>
      <c r="AE59" s="66" t="str">
        <f>IF(   (ROW(BQ18)-1)&lt;=暫1!$B$2,           IF(  AND(  OR(  AE18="x",AE18="補"  ), OR(  AF18 ="x",AF18="補",AF18="x榮18-22",AF18="x公18-22",AF18="x榮22-08"  ), $AP18 =""),"全日休",  IF(  AND(  OR(  AE18="x",AE18="病"  ), OR(  AF18 ="病"  ), $AP18 =""),"病(事)假",  IF(  AND(  OR(  AE18="x",AE18="補"  ), OR(  AF18 ="補"  ), $AP18 =""),"補休",  IF(  AND(  OR(  AE18="x",AE18="喪"  ), OR(  AF18 ="喪"  ), $AP18 =""),"喪假",  IF(  AND(  OR(  AE18="x",AE18="婚",AE18="產"  ), OR(  AF18 ="婚",AF18="產"  ), $AP18 =""),"婚(產)假",  IF(  AND(  OR(  AE18="x",AE18="公"  ), OR(  AF18 ="公"  ), $AP18 =""),"公假",  IF(  AND(  OR(  AE18="x",AE18="補",AE18="婚",AE18="公",AE18="病",AE18="事",AE18="x榮18-22"  ),OR(AF18=""), $AP18 =""  ),"18收",  IF(  AND(  OR(  AE18 ="榮14-18",AE18 ="榮10-18",AE18 ="榮06-18",AE18 ="病14-18"  ),OR(  AF18 ="x",AF18="補",AF18="婚",AF18="公",AF18="病",AF18="事",AF18="x"  ), $AP18 =""),"18放早走",  IF(  AND(  OR(  AE18 =""),OR(  AF18 ="x",AF18="補",AF18="婚",AF18="公",AF18="病",AF18="事",AF18="x榮*",AF18="榮",AF18="榮-22"  ), $AP18 =""),"18放",  IF(  AND(  OR(  AE18="當日退伍"  ),OR(  AF18="退伍",AF18="退", AF18=""  ), $AP18 =""),"當日退伍",  IF(AND(  OR(AE18="退",AE18="退伍" ), OR(AF18="退",AF18="退伍" ), $AP18 =""),"退伍","全日勤"  )  )  )  )  )  )  )  )  )  )  ),"")</f>
        <v>全日勤</v>
      </c>
      <c r="AF59" s="66" t="str">
        <f>IF(   (ROW(BR18)-1)&lt;=暫1!$B$2,           IF(  AND(  OR(  AF18="x",AF18="補"  ), OR(  AG18 ="x",AG18="補",AG18="x榮18-22",AG18="x公18-22",AG18="x榮22-08"  ), $AP18 =""),"全日休",  IF(  AND(  OR(  AF18="x",AF18="病"  ), OR(  AG18 ="病"  ), $AP18 =""),"病(事)假",  IF(  AND(  OR(  AF18="x",AF18="補"  ), OR(  AG18 ="補"  ), $AP18 =""),"補休",  IF(  AND(  OR(  AF18="x",AF18="喪"  ), OR(  AG18 ="喪"  ), $AP18 =""),"喪假",  IF(  AND(  OR(  AF18="x",AF18="婚",AF18="產"  ), OR(  AG18 ="婚",AG18="產"  ), $AP18 =""),"婚(產)假",  IF(  AND(  OR(  AF18="x",AF18="公"  ), OR(  AG18 ="公"  ), $AP18 =""),"公假",  IF(  AND(  OR(  AF18="x",AF18="補",AF18="婚",AF18="公",AF18="病",AF18="事",AF18="x榮18-22"  ),OR(AG18=""), $AP18 =""  ),"18收",  IF(  AND(  OR(  AF18 ="榮14-18",AF18 ="榮10-18",AF18 ="榮06-18",AF18 ="病14-18"  ),OR(  AG18 ="x",AG18="補",AG18="婚",AG18="公",AG18="病",AG18="事",AG18="x"  ), $AP18 =""),"18放早走",  IF(  AND(  OR(  AF18 =""),OR(  AG18 ="x",AG18="補",AG18="婚",AG18="公",AG18="病",AG18="事",AG18="x榮*",AG18="榮",AG18="榮-22"  ), $AP18 =""),"18放",  IF(  AND(  OR(  AF18="當日退伍"  ),OR(  AG18="退伍",AG18="退", AG18=""  ), $AP18 =""),"當日退伍",  IF(AND(  OR(AF18="退",AF18="退伍" ), OR(AG18="退",AG18="退伍" ), $AP18 =""),"退伍","全日勤"  )  )  )  )  )  )  )  )  )  )  ),"")</f>
        <v>全日勤</v>
      </c>
      <c r="AG59" s="66" t="str">
        <f>IF(   (ROW(BS18)-1)&lt;=暫1!$B$2,           IF(  AND(  OR(  AG18="x",AG18="補"  ), OR(  AH18 ="x",AH18="補",AH18="x榮18-22",AH18="x公18-22",AH18="x榮22-08"  ), $AP18 =""),"全日休",  IF(  AND(  OR(  AG18="x",AG18="病"  ), OR(  AH18 ="病"  ), $AP18 =""),"病(事)假",  IF(  AND(  OR(  AG18="x",AG18="補"  ), OR(  AH18 ="補"  ), $AP18 =""),"補休",  IF(  AND(  OR(  AG18="x",AG18="喪"  ), OR(  AH18 ="喪"  ), $AP18 =""),"喪假",  IF(  AND(  OR(  AG18="x",AG18="婚",AG18="產"  ), OR(  AH18 ="婚",AH18="產"  ), $AP18 =""),"婚(產)假",  IF(  AND(  OR(  AG18="x",AG18="公"  ), OR(  AH18 ="公"  ), $AP18 =""),"公假",  IF(  AND(  OR(  AG18="x",AG18="補",AG18="婚",AG18="公",AG18="病",AG18="事",AG18="x榮18-22"  ),OR(AH18=""), $AP18 =""  ),"18收",  IF(  AND(  OR(  AG18 ="榮14-18",AG18 ="榮10-18",AG18 ="榮06-18",AG18 ="病14-18"  ),OR(  AH18 ="x",AH18="補",AH18="婚",AH18="公",AH18="病",AH18="事",AH18="x"  ), $AP18 =""),"18放早走",  IF(  AND(  OR(  AG18 =""),OR(  AH18 ="x",AH18="補",AH18="婚",AH18="公",AH18="病",AH18="事",AH18="x榮*",AH18="榮",AH18="榮-22"  ), $AP18 =""),"18放",  IF(  AND(  OR(  AG18="當日退伍"  ),OR(  AH18="退伍",AH18="退", AH18=""  ), $AP18 =""),"當日退伍",  IF(AND(  OR(AG18="退",AG18="退伍" ), OR(AH18="退",AH18="退伍" ), $AP18 =""),"退伍","全日勤"  )  )  )  )  )  )  )  )  )  )  ),"")</f>
        <v>全日勤</v>
      </c>
      <c r="AH59" s="66" t="str">
        <f>IF(   (ROW(BT18)-1)&lt;=暫1!$B$2,           IF(  AND(  OR(  AH18="x",AH18="補"  ), OR(  AI18 ="x",AI18="補",AI18="x榮18-22",AI18="x公18-22",AI18="x榮22-08"  ), $AP18 =""),"全日休",  IF(  AND(  OR(  AH18="x",AH18="病"  ), OR(  AI18 ="病"  ), $AP18 =""),"病(事)假",  IF(  AND(  OR(  AH18="x",AH18="補"  ), OR(  AI18 ="補"  ), $AP18 =""),"補休",  IF(  AND(  OR(  AH18="x",AH18="喪"  ), OR(  AI18 ="喪"  ), $AP18 =""),"喪假",  IF(  AND(  OR(  AH18="x",AH18="婚",AH18="產"  ), OR(  AI18 ="婚",AI18="產"  ), $AP18 =""),"婚(產)假",  IF(  AND(  OR(  AH18="x",AH18="公"  ), OR(  AI18 ="公"  ), $AP18 =""),"公假",  IF(  AND(  OR(  AH18="x",AH18="補",AH18="婚",AH18="公",AH18="病",AH18="事",AH18="x榮18-22"  ),OR(AI18=""), $AP18 =""  ),"18收",  IF(  AND(  OR(  AH18 ="榮14-18",AH18 ="榮10-18",AH18 ="榮06-18",AH18 ="病14-18"  ),OR(  AI18 ="x",AI18="補",AI18="婚",AI18="公",AI18="病",AI18="事",AI18="x"  ), $AP18 =""),"18放早走",  IF(  AND(  OR(  AH18 =""),OR(  AI18 ="x",AI18="補",AI18="婚",AI18="公",AI18="病",AI18="事",AI18="x榮*",AI18="榮",AI18="榮-22"  ), $AP18 =""),"18放",  IF(  AND(  OR(  AH18="當日退伍"  ),OR(  AI18="退伍",AI18="退", AI18=""  ), $AP18 =""),"當日退伍",  IF(AND(  OR(AH18="退",AH18="退伍" ), OR(AI18="退",AI18="退伍" ), $AP18 =""),"退伍","全日勤"  )  )  )  )  )  )  )  )  )  )  ),"")</f>
        <v>全日勤</v>
      </c>
      <c r="AI59" s="66" t="str">
        <f>IF(   (ROW(BU18)-1)&lt;=暫1!$B$2,           IF(  AND(  OR(  AI18="x",AI18="補"  ), OR(  AJ18 ="x",AJ18="補",AJ18="x榮18-22",AJ18="x公18-22",AJ18="x榮22-08"  ), $AP18 =""),"全日休",  IF(  AND(  OR(  AI18="x",AI18="病"  ), OR(  AJ18 ="病"  ), $AP18 =""),"病(事)假",  IF(  AND(  OR(  AI18="x",AI18="補"  ), OR(  AJ18 ="補"  ), $AP18 =""),"補休",  IF(  AND(  OR(  AI18="x",AI18="喪"  ), OR(  AJ18 ="喪"  ), $AP18 =""),"喪假",  IF(  AND(  OR(  AI18="x",AI18="婚",AI18="產"  ), OR(  AJ18 ="婚",AJ18="產"  ), $AP18 =""),"婚(產)假",  IF(  AND(  OR(  AI18="x",AI18="公"  ), OR(  AJ18 ="公"  ), $AP18 =""),"公假",  IF(  AND(  OR(  AI18="x",AI18="補",AI18="婚",AI18="公",AI18="病",AI18="事",AI18="x榮18-22"  ),OR(AJ18=""), $AP18 =""  ),"18收",  IF(  AND(  OR(  AI18 ="榮14-18",AI18 ="榮10-18",AI18 ="榮06-18",AI18 ="病14-18"  ),OR(  AJ18 ="x",AJ18="補",AJ18="婚",AJ18="公",AJ18="病",AJ18="事",AJ18="x"  ), $AP18 =""),"18放早走",  IF(  AND(  OR(  AI18 =""),OR(  AJ18 ="x",AJ18="補",AJ18="婚",AJ18="公",AJ18="病",AJ18="事",AJ18="x榮*",AJ18="榮",AJ18="榮-22"  ), $AP18 =""),"18放",  IF(  AND(  OR(  AI18="當日退伍"  ),OR(  AJ18="退伍",AJ18="退", AJ18=""  ), $AP18 =""),"當日退伍",  IF(AND(  OR(AI18="退",AI18="退伍" ), OR(AJ18="退",AJ18="退伍" ), $AP18 =""),"退伍","全日勤"  )  )  )  )  )  )  )  )  )  )  ),"")</f>
        <v>全日勤</v>
      </c>
      <c r="AJ59" s="66" t="str">
        <f>IF(   (ROW(BV18)-1)&lt;=暫1!$B$2,           IF(  AND(  OR(  AJ18="x",AJ18="補"  ), OR(  AK18 ="x",AK18="補",AK18="x榮18-22",AK18="x公18-22",AK18="x榮22-08"  ), $AP18 =""),"全日休",  IF(  AND(  OR(  AJ18="x",AJ18="病"  ), OR(  AK18 ="病"  ), $AP18 =""),"病(事)假",  IF(  AND(  OR(  AJ18="x",AJ18="補"  ), OR(  AK18 ="補"  ), $AP18 =""),"補休",  IF(  AND(  OR(  AJ18="x",AJ18="喪"  ), OR(  AK18 ="喪"  ), $AP18 =""),"喪假",  IF(  AND(  OR(  AJ18="x",AJ18="婚",AJ18="產"  ), OR(  AK18 ="婚",AK18="產"  ), $AP18 =""),"婚(產)假",  IF(  AND(  OR(  AJ18="x",AJ18="公"  ), OR(  AK18 ="公"  ), $AP18 =""),"公假",  IF(  AND(  OR(  AJ18="x",AJ18="補",AJ18="婚",AJ18="公",AJ18="病",AJ18="事",AJ18="x榮18-22"  ),OR(AK18=""), $AP18 =""  ),"18收",  IF(  AND(  OR(  AJ18 ="榮14-18",AJ18 ="榮10-18",AJ18 ="榮06-18",AJ18 ="病14-18"  ),OR(  AK18 ="x",AK18="補",AK18="婚",AK18="公",AK18="病",AK18="事",AK18="x"  ), $AP18 =""),"18放早走",  IF(  AND(  OR(  AJ18 =""),OR(  AK18 ="x",AK18="補",AK18="婚",AK18="公",AK18="病",AK18="事",AK18="x榮*",AK18="榮",AK18="榮-22"  ), $AP18 =""),"18放",  IF(  AND(  OR(  AJ18="當日退伍"  ),OR(  AK18="退伍",AK18="退", AK18=""  ), $AP18 =""),"當日退伍",  IF(AND(  OR(AJ18="退",AJ18="退伍" ), OR(AK18="退",AK18="退伍" ), $AP18 =""),"退伍","全日勤"  )  )  )  )  )  )  )  )  )  )  ),"")</f>
        <v>全日勤</v>
      </c>
      <c r="AO59" s="76"/>
      <c r="AP59" s="63"/>
      <c r="AU59" s="63"/>
      <c r="AY59" s="63"/>
      <c r="AZ59" s="63"/>
      <c r="BA59" s="63"/>
    </row>
    <row r="60" spans="1:55" ht="25.5" customHeight="1">
      <c r="A60" s="66">
        <f t="shared" si="4"/>
        <v>18</v>
      </c>
      <c r="B60" s="66" t="str">
        <f t="shared" si="6"/>
        <v>蔡政倫</v>
      </c>
      <c r="C60" s="66" t="str">
        <f>IF(   (ROW(AO19)-1)&lt;=暫1!$B$2,           IF(  AND(  OR(  C19="x",C19="補"  ), OR(  D19 ="x",D19="補",D19="x榮18-22",D19="x公18-22",D19="x榮22-08"  ), $AP19 =""),"全日休",  IF(  AND(  OR(  C19="x",C19="病"  ), OR(  D19 ="病"  ), $AP19 =""),"病(事)假",  IF(  AND(  OR(  C19="x",C19="補"  ), OR(  D19 ="補"  ), $AP19 =""),"補休",  IF(  AND(  OR(  C19="x",C19="喪"  ), OR(  D19 ="喪"  ), $AP19 =""),"喪假",  IF(  AND(  OR(  C19="x",C19="婚",C19="產"  ), OR(  D19 ="婚",D19="產"  ), $AP19 =""),"婚(產)假",  IF(  AND(  OR(  C19="x",C19="公"  ), OR(  D19 ="公"  ), $AP19 =""),"公假",  IF(  AND(  OR(  C19="x",C19="補",C19="婚",C19="公",C19="病",C19="事",C19="x榮18-22"  ),OR(D19=""), $AP19 =""  ),"18收",  IF(  AND(  OR(  C19 ="榮14-18",C19 ="榮10-18",C19 ="榮06-18",C19 ="病14-18"  ),OR(  D19 ="x",D19="補",D19="婚",D19="公",D19="病",D19="事",D19="x"  ), $AP19 =""),"18放早走",  IF(  AND(  OR(  C19 =""),OR(  D19 ="x",D19="補",D19="婚",D19="公",D19="病",D19="事",D19="x榮*",D19="榮",D19="榮-22"  ), $AP19 =""),"18放",  IF(  AND(  OR(  C19="當日退伍"  ),OR(  D19="退伍",D19="退", D19=""  ), $AP19 =""),"當日退伍",  IF(AND(  OR(C19="退",C19="退伍" ), OR(D19="退",D19="退伍" ), $AP19 =""),"退伍","全日勤"  )  )  )  )  )  )  )  )  )  )  ),"")</f>
        <v>全日勤</v>
      </c>
      <c r="D60" s="66" t="str">
        <f>IF(   (ROW(AP19)-1)&lt;=暫1!$B$2,           IF(  AND(  OR(  D19="x",D19="補"  ), OR(  E19 ="x",E19="補",E19="x榮18-22",E19="x公18-22",E19="x榮22-08"  ), $AP19 =""),"全日休",  IF(  AND(  OR(  D19="x",D19="病"  ), OR(  E19 ="病"  ), $AP19 =""),"病(事)假",  IF(  AND(  OR(  D19="x",D19="補"  ), OR(  E19 ="補"  ), $AP19 =""),"補休",  IF(  AND(  OR(  D19="x",D19="喪"  ), OR(  E19 ="喪"  ), $AP19 =""),"喪假",  IF(  AND(  OR(  D19="x",D19="婚",D19="產"  ), OR(  E19 ="婚",E19="產"  ), $AP19 =""),"婚(產)假",  IF(  AND(  OR(  D19="x",D19="公"  ), OR(  E19 ="公"  ), $AP19 =""),"公假",  IF(  AND(  OR(  D19="x",D19="補",D19="婚",D19="公",D19="病",D19="事",D19="x榮18-22"  ),OR(E19=""), $AP19 =""  ),"18收",  IF(  AND(  OR(  D19 ="榮14-18",D19 ="榮10-18",D19 ="榮06-18",D19 ="病14-18"  ),OR(  E19 ="x",E19="補",E19="婚",E19="公",E19="病",E19="事",E19="x"  ), $AP19 =""),"18放早走",  IF(  AND(  OR(  D19 =""),OR(  E19 ="x",E19="補",E19="婚",E19="公",E19="病",E19="事",E19="x榮*",E19="榮",E19="榮-22"  ), $AP19 =""),"18放",  IF(  AND(  OR(  D19="當日退伍"  ),OR(  E19="退伍",E19="退", E19=""  ), $AP19 =""),"當日退伍",  IF(AND(  OR(D19="退",D19="退伍" ), OR(E19="退",E19="退伍" ), $AP19 =""),"退伍","全日勤"  )  )  )  )  )  )  )  )  )  )  ),"")</f>
        <v>全日勤</v>
      </c>
      <c r="E60" s="66" t="str">
        <f>IF(   (ROW(AQ19)-1)&lt;=暫1!$B$2,           IF(  AND(  OR(  E19="x",E19="補"  ), OR(  F19 ="x",F19="補",F19="x榮18-22",F19="x公18-22",F19="x榮22-08"  ), $AP19 =""),"全日休",  IF(  AND(  OR(  E19="x",E19="病"  ), OR(  F19 ="病"  ), $AP19 =""),"病(事)假",  IF(  AND(  OR(  E19="x",E19="補"  ), OR(  F19 ="補"  ), $AP19 =""),"補休",  IF(  AND(  OR(  E19="x",E19="喪"  ), OR(  F19 ="喪"  ), $AP19 =""),"喪假",  IF(  AND(  OR(  E19="x",E19="婚",E19="產"  ), OR(  F19 ="婚",F19="產"  ), $AP19 =""),"婚(產)假",  IF(  AND(  OR(  E19="x",E19="公"  ), OR(  F19 ="公"  ), $AP19 =""),"公假",  IF(  AND(  OR(  E19="x",E19="補",E19="婚",E19="公",E19="病",E19="事",E19="x榮18-22"  ),OR(F19=""), $AP19 =""  ),"18收",  IF(  AND(  OR(  E19 ="榮14-18",E19 ="榮10-18",E19 ="榮06-18",E19 ="病14-18"  ),OR(  F19 ="x",F19="補",F19="婚",F19="公",F19="病",F19="事",F19="x"  ), $AP19 =""),"18放早走",  IF(  AND(  OR(  E19 =""),OR(  F19 ="x",F19="補",F19="婚",F19="公",F19="病",F19="事",F19="x榮*",F19="榮",F19="榮-22"  ), $AP19 =""),"18放",  IF(  AND(  OR(  E19="當日退伍"  ),OR(  F19="退伍",F19="退", F19=""  ), $AP19 =""),"當日退伍",  IF(AND(  OR(E19="退",E19="退伍" ), OR(F19="退",F19="退伍" ), $AP19 =""),"退伍","全日勤"  )  )  )  )  )  )  )  )  )  )  ),"")</f>
        <v>全日勤</v>
      </c>
      <c r="F60" s="66" t="str">
        <f>IF(   (ROW(AR19)-1)&lt;=暫1!$B$2,           IF(  AND(  OR(  F19="x",F19="補"  ), OR(  G19 ="x",G19="補",G19="x榮18-22",G19="x公18-22",G19="x榮22-08"  ), $AP19 =""),"全日休",  IF(  AND(  OR(  F19="x",F19="病"  ), OR(  G19 ="病"  ), $AP19 =""),"病(事)假",  IF(  AND(  OR(  F19="x",F19="補"  ), OR(  G19 ="補"  ), $AP19 =""),"補休",  IF(  AND(  OR(  F19="x",F19="喪"  ), OR(  G19 ="喪"  ), $AP19 =""),"喪假",  IF(  AND(  OR(  F19="x",F19="婚",F19="產"  ), OR(  G19 ="婚",G19="產"  ), $AP19 =""),"婚(產)假",  IF(  AND(  OR(  F19="x",F19="公"  ), OR(  G19 ="公"  ), $AP19 =""),"公假",  IF(  AND(  OR(  F19="x",F19="補",F19="婚",F19="公",F19="病",F19="事",F19="x榮18-22"  ),OR(G19=""), $AP19 =""  ),"18收",  IF(  AND(  OR(  F19 ="榮14-18",F19 ="榮10-18",F19 ="榮06-18",F19 ="病14-18"  ),OR(  G19 ="x",G19="補",G19="婚",G19="公",G19="病",G19="事",G19="x"  ), $AP19 =""),"18放早走",  IF(  AND(  OR(  F19 =""),OR(  G19 ="x",G19="補",G19="婚",G19="公",G19="病",G19="事",G19="x榮*",G19="榮",G19="榮-22"  ), $AP19 =""),"18放",  IF(  AND(  OR(  F19="當日退伍"  ),OR(  G19="退伍",G19="退", G19=""  ), $AP19 =""),"當日退伍",  IF(AND(  OR(F19="退",F19="退伍" ), OR(G19="退",G19="退伍" ), $AP19 =""),"退伍","全日勤"  )  )  )  )  )  )  )  )  )  )  ),"")</f>
        <v>全日勤</v>
      </c>
      <c r="G60" s="66" t="str">
        <f>IF(   (ROW(AS19)-1)&lt;=暫1!$B$2,           IF(  AND(  OR(  G19="x",G19="補"  ), OR(  H19 ="x",H19="補",H19="x榮18-22",H19="x公18-22",H19="x榮22-08"  ), $AP19 =""),"全日休",  IF(  AND(  OR(  G19="x",G19="病"  ), OR(  H19 ="病"  ), $AP19 =""),"病(事)假",  IF(  AND(  OR(  G19="x",G19="補"  ), OR(  H19 ="補"  ), $AP19 =""),"補休",  IF(  AND(  OR(  G19="x",G19="喪"  ), OR(  H19 ="喪"  ), $AP19 =""),"喪假",  IF(  AND(  OR(  G19="x",G19="婚",G19="產"  ), OR(  H19 ="婚",H19="產"  ), $AP19 =""),"婚(產)假",  IF(  AND(  OR(  G19="x",G19="公"  ), OR(  H19 ="公"  ), $AP19 =""),"公假",  IF(  AND(  OR(  G19="x",G19="補",G19="婚",G19="公",G19="病",G19="事",G19="x榮18-22"  ),OR(H19=""), $AP19 =""  ),"18收",  IF(  AND(  OR(  G19 ="榮14-18",G19 ="榮10-18",G19 ="榮06-18",G19 ="病14-18"  ),OR(  H19 ="x",H19="補",H19="婚",H19="公",H19="病",H19="事",H19="x"  ), $AP19 =""),"18放早走",  IF(  AND(  OR(  G19 =""),OR(  H19 ="x",H19="補",H19="婚",H19="公",H19="病",H19="事",H19="x榮*",H19="榮",H19="榮-22"  ), $AP19 =""),"18放",  IF(  AND(  OR(  G19="當日退伍"  ),OR(  H19="退伍",H19="退", H19=""  ), $AP19 =""),"當日退伍",  IF(AND(  OR(G19="退",G19="退伍" ), OR(H19="退",H19="退伍" ), $AP19 =""),"退伍","全日勤"  )  )  )  )  )  )  )  )  )  )  ),"")</f>
        <v>全日勤</v>
      </c>
      <c r="H60" s="66" t="str">
        <f>IF(   (ROW(AT19)-1)&lt;=暫1!$B$2,           IF(  AND(  OR(  H19="x",H19="補"  ), OR(  I19 ="x",I19="補",I19="x榮18-22",I19="x公18-22",I19="x榮22-08"  ), $AP19 =""),"全日休",  IF(  AND(  OR(  H19="x",H19="病"  ), OR(  I19 ="病"  ), $AP19 =""),"病(事)假",  IF(  AND(  OR(  H19="x",H19="補"  ), OR(  I19 ="補"  ), $AP19 =""),"補休",  IF(  AND(  OR(  H19="x",H19="喪"  ), OR(  I19 ="喪"  ), $AP19 =""),"喪假",  IF(  AND(  OR(  H19="x",H19="婚",H19="產"  ), OR(  I19 ="婚",I19="產"  ), $AP19 =""),"婚(產)假",  IF(  AND(  OR(  H19="x",H19="公"  ), OR(  I19 ="公"  ), $AP19 =""),"公假",  IF(  AND(  OR(  H19="x",H19="補",H19="婚",H19="公",H19="病",H19="事",H19="x榮18-22"  ),OR(I19=""), $AP19 =""  ),"18收",  IF(  AND(  OR(  H19 ="榮14-18",H19 ="榮10-18",H19 ="榮06-18",H19 ="病14-18"  ),OR(  I19 ="x",I19="補",I19="婚",I19="公",I19="病",I19="事",I19="x"  ), $AP19 =""),"18放早走",  IF(  AND(  OR(  H19 ="",H19="榮8-12"),OR(  I19 ="x",I19="補",I19="婚",I19="公",I19="病",I19="事",I19="x榮*",I19="榮",I19="榮-22"  ), $AP19 =""),"18放",  IF(  AND(  OR(  H19="當日退伍"  ),OR(  I19="退伍",I19="退", I19=""  ), $AP19 =""),"當日退伍",  IF(AND(  OR(H19="退",H19="退伍" ), OR(I19="退",I19="退伍" ), $AP19 =""),"退伍","全日勤"  )  )  )  )  )  )  )  )  )  )  ),"")</f>
        <v>全日勤</v>
      </c>
      <c r="I60" s="66" t="str">
        <f>IF(   (ROW(AU19)-1)&lt;=暫1!$B$2,           IF(  AND(  OR(  I19="x",I19="補"  ), OR(  J19 ="x",J19="補",J19="x榮18-22",J19="x公18-22",J19="x榮22-08"  ), $AP19 =""),"全日休",  IF(  AND(  OR(  I19="x",I19="病"  ), OR(  J19 ="病"  ), $AP19 =""),"病(事)假",  IF(  AND(  OR(  I19="x",I19="補"  ), OR(  J19 ="補"  ), $AP19 =""),"補休",  IF(  AND(  OR(  I19="x",I19="喪"  ), OR(  J19 ="喪"  ), $AP19 =""),"喪假",  IF(  AND(  OR(  I19="x",I19="婚",I19="產"  ), OR(  J19 ="婚",J19="產"  ), $AP19 =""),"婚(產)假",  IF(  AND(  OR(  I19="x",I19="公"  ), OR(  J19 ="公"  ), $AP19 =""),"公假",  IF(  AND(  OR(  I19="x",I19="補",I19="婚",I19="公",I19="病",I19="事",I19="x榮18-22"  ),OR(J19=""), $AP19 =""  ),"18收",  IF(  AND(  OR(  I19 ="榮14-18",I19 ="榮10-18",I19 ="榮06-18",I19 ="病14-18"  ),OR(  J19 ="x",J19="補",J19="婚",J19="公",J19="病",J19="事",J19="x"  ), $AP19 =""),"18放早走",  IF(  AND(  OR(  I19 =""),OR(  J19 ="x",J19="補",J19="婚",J19="公",J19="病",J19="事",J19="x榮*",J19="榮",J19="榮-22"  ), $AP19 =""),"18放",  IF(  AND(  OR(  I19="當日退伍"  ),OR(  J19="退伍",J19="退", J19=""  ), $AP19 =""),"當日退伍",  IF(AND(  OR(I19="退",I19="退伍" ), OR(J19="退",J19="退伍" ), $AP19 =""),"退伍","全日勤"  )  )  )  )  )  )  )  )  )  )  ),"")</f>
        <v>全日勤</v>
      </c>
      <c r="J60" s="66" t="str">
        <f>IF(   (ROW(AV19)-1)&lt;=暫1!$B$2,           IF(  AND(  OR(  J19="x",J19="補"  ), OR(  K19 ="x",K19="補",K19="x榮18-22",K19="x公18-22",K19="x榮22-08"  ), $AP19 =""),"全日休",  IF(  AND(  OR(  J19="x",J19="病"  ), OR(  K19 ="病"  ), $AP19 =""),"病(事)假",  IF(  AND(  OR(  J19="x",J19="補"  ), OR(  K19 ="補"  ), $AP19 =""),"補休",  IF(  AND(  OR(  J19="x",J19="喪"  ), OR(  K19 ="喪"  ), $AP19 =""),"喪假",  IF(  AND(  OR(  J19="x",J19="婚",J19="產"  ), OR(  K19 ="婚",K19="產"  ), $AP19 =""),"婚(產)假",  IF(  AND(  OR(  J19="x",J19="公"  ), OR(  K19 ="公"  ), $AP19 =""),"公假",  IF(  AND(  OR(  J19="x",J19="補",J19="婚",J19="公",J19="病",J19="事",J19="x榮18-22"  ),OR(K19=""), $AP19 =""  ),"18收",  IF(  AND(  OR(  J19 ="榮14-18",J19 ="榮10-18",J19 ="榮06-18",J19 ="病14-18"  ),OR(  K19 ="x",K19="補",K19="婚",K19="公",K19="病",K19="事",K19="x"  ), $AP19 =""),"18放早走",  IF(  AND(  OR(  J19 =""),OR(  K19 ="x",K19="補",K19="婚",K19="公",K19="病",K19="事",K19="x榮*",K19="榮",K19="榮-22"  ), $AP19 =""),"18放",  IF(  AND(  OR(  J19="當日退伍"  ),OR(  K19="退伍",K19="退", K19=""  ), $AP19 =""),"當日退伍",  IF(AND(  OR(J19="退",J19="退伍" ), OR(K19="退",K19="退伍" ), $AP19 =""),"退伍","全日勤"  )  )  )  )  )  )  )  )  )  )  ),"")</f>
        <v>全日勤</v>
      </c>
      <c r="K60" s="66" t="str">
        <f>IF(   (ROW(AW19)-1)&lt;=暫1!$B$2,           IF(  AND(  OR(  K19="x",K19="補"  ), OR(  L19 ="x",L19="補",L19="x榮18-22",L19="x公18-22",L19="x榮22-08"  ), $AP19 =""),"全日休",  IF(  AND(  OR(  K19="x",K19="病"  ), OR(  L19 ="病"  ), $AP19 =""),"病(事)假",  IF(  AND(  OR(  K19="x",K19="補"  ), OR(  L19 ="補"  ), $AP19 =""),"補休",  IF(  AND(  OR(  K19="x",K19="喪"  ), OR(  L19 ="喪"  ), $AP19 =""),"喪假",  IF(  AND(  OR(  K19="x",K19="婚",K19="產"  ), OR(  L19 ="婚",L19="產"  ), $AP19 =""),"婚(產)假",  IF(  AND(  OR(  K19="x",K19="公"  ), OR(  L19 ="公"  ), $AP19 =""),"公假",  IF(  AND(  OR(  K19="x",K19="補",K19="婚",K19="公",K19="病",K19="事",K19="x榮18-22"  ),OR(L19=""), $AP19 =""  ),"18收",  IF(  AND(  OR(  K19 ="榮14-18",K19 ="榮10-18",K19 ="榮06-18",K19 ="病14-18"  ),OR(  L19 ="x",L19="補",L19="婚",L19="公",L19="病",L19="事",L19="x"  ), $AP19 =""),"18放早走",  IF(  AND(  OR(  K19 =""),OR(  L19 ="x",L19="補",L19="婚",L19="公",L19="病",L19="事",L19="x榮*",L19="榮",L19="榮-22"  ), $AP19 =""),"18放",  IF(  AND(  OR(  K19="當日退伍"  ),OR(  L19="退伍",L19="退", L19=""  ), $AP19 =""),"當日退伍",  IF(AND(  OR(K19="退",K19="退伍" ), OR(L19="退",L19="退伍" ), $AP19 =""),"退伍","全日勤"  )  )  )  )  )  )  )  )  )  )  ),"")</f>
        <v>全日勤</v>
      </c>
      <c r="L60" s="66" t="str">
        <f>IF(   (ROW(AX19)-1)&lt;=暫1!$B$2,           IF(  AND(  OR(  L19="x",L19="補"  ), OR(  M19 ="x",M19="補",M19="x榮18-22",M19="x公18-22",M19="x榮22-08"  ), $AP19 =""),"全日休",  IF(  AND(  OR(  L19="x",L19="病"  ), OR(  M19 ="病"  ), $AP19 =""),"病(事)假",  IF(  AND(  OR(  L19="x",L19="補"  ), OR(  M19 ="補"  ), $AP19 =""),"補休",  IF(  AND(  OR(  L19="x",L19="喪"  ), OR(  M19 ="喪"  ), $AP19 =""),"喪假",  IF(  AND(  OR(  L19="x",L19="婚",L19="產"  ), OR(  M19 ="婚",M19="產"  ), $AP19 =""),"婚(產)假",  IF(  AND(  OR(  L19="x",L19="公"  ), OR(  M19 ="公"  ), $AP19 =""),"公假",  IF(  AND(  OR(  L19="x",L19="補",L19="婚",L19="公",L19="病",L19="事",L19="x榮18-22"  ),OR(M19=""), $AP19 =""  ),"18收",  IF(  AND(  OR(  L19 ="榮14-18",L19 ="榮10-18",L19 ="榮06-18",L19 ="病14-18"  ),OR(  M19 ="x",M19="補",M19="婚",M19="公",M19="病",M19="事",M19="x"  ), $AP19 =""),"18放早走",  IF(  AND(  OR(  L19 =""),OR(  M19 ="x",M19="補",M19="婚",M19="公",M19="病",M19="事",M19="x榮*",M19="榮",M19="榮-22"  ), $AP19 =""),"18放",  IF(  AND(  OR(  L19="當日退伍"  ),OR(  M19="退伍",M19="退", M19=""  ), $AP19 =""),"當日退伍",  IF(AND(  OR(L19="退",L19="退伍" ), OR(M19="退",M19="退伍" ), $AP19 =""),"退伍","全日勤"  )  )  )  )  )  )  )  )  )  )  ),"")</f>
        <v>全日勤</v>
      </c>
      <c r="M60" s="66" t="str">
        <f>IF(   (ROW(AY19)-1)&lt;=暫1!$B$2,           IF(  AND(  OR(  M19="x",M19="補"  ), OR(  N19 ="x",N19="補",N19="x榮18-22",N19="x公18-22",N19="x榮22-08"  ), $AP19 =""),"全日休",  IF(  AND(  OR(  M19="x",M19="病"  ), OR(  N19 ="病"  ), $AP19 =""),"病(事)假",  IF(  AND(  OR(  M19="x",M19="補"  ), OR(  N19 ="補"  ), $AP19 =""),"補休",  IF(  AND(  OR(  M19="x",M19="喪"  ), OR(  N19 ="喪"  ), $AP19 =""),"喪假",  IF(  AND(  OR(  M19="x",M19="婚",M19="產"  ), OR(  N19 ="婚",N19="產"  ), $AP19 =""),"婚(產)假",  IF(  AND(  OR(  M19="x",M19="公"  ), OR(  N19 ="公"  ), $AP19 =""),"公假",  IF(  AND(  OR(  M19="x",M19="補",M19="婚",M19="公",M19="病",M19="事",M19="x榮18-22"  ),OR(N19=""), $AP19 =""  ),"18收",  IF(  AND(  OR(  M19 ="榮14-18",M19 ="榮10-18",M19 ="榮06-18",M19 ="病14-18"  ),OR(  N19 ="x",N19="補",N19="婚",N19="公",N19="病",N19="事",N19="x"  ), $AP19 =""),"18放早走",  IF(  AND(  OR(  M19 =""),OR(  N19 ="x",N19="補",N19="婚",N19="公",N19="病",N19="事",N19="x榮*",N19="榮",N19="榮-22"  ), $AP19 =""),"18放",  IF(  AND(  OR(  M19="當日退伍"  ),OR(  N19="退伍",N19="退", N19=""  ), $AP19 =""),"當日退伍",  IF(AND(  OR(M19="退",M19="退伍" ), OR(N19="退",N19="退伍" ), $AP19 =""),"退伍","全日勤"  )  )  )  )  )  )  )  )  )  )  ),"")</f>
        <v>全日勤</v>
      </c>
      <c r="N60" s="66" t="str">
        <f>IF(   (ROW(AZ19)-1)&lt;=暫1!$B$2,           IF(  AND(  OR(  N19="x",N19="補"  ), OR(  O19 ="x",O19="補",O19="x榮18-22",O19="x公18-22",O19="x榮22-08"  ), $AP19 =""),"全日休",  IF(  AND(  OR(  N19="x",N19="病"  ), OR(  O19 ="病"  ), $AP19 =""),"病(事)假",  IF(  AND(  OR(  N19="x",N19="補"  ), OR(  O19 ="補"  ), $AP19 =""),"補休",  IF(  AND(  OR(  N19="x",N19="喪"  ), OR(  O19 ="喪"  ), $AP19 =""),"喪假",  IF(  AND(  OR(  N19="x",N19="婚",N19="產"  ), OR(  O19 ="婚",O19="產"  ), $AP19 =""),"婚(產)假",  IF(  AND(  OR(  N19="x",N19="公"  ), OR(  O19 ="公"  ), $AP19 =""),"公假",  IF(  AND(  OR(  N19="x",N19="補",N19="婚",N19="公",N19="病",N19="事",N19="x榮18-22"  ),OR(O19=""), $AP19 =""  ),"18收",  IF(  AND(  OR(  N19 ="榮14-18",N19 ="榮10-18",N19 ="榮06-18",N19 ="病14-18"  ),OR(  O19 ="x",O19="補",O19="婚",O19="公",O19="病",O19="事",O19="x"  ), $AP19 =""),"18放早走",  IF(  AND(  OR(  N19 =""),OR(  O19 ="x",O19="補",O19="婚",O19="公",O19="病",O19="事",O19="x榮*",O19="榮",O19="榮-22"  ), $AP19 =""),"18放",  IF(  AND(  OR(  N19="當日退伍"  ),OR(  O19="退伍",O19="退", O19=""  ), $AP19 =""),"當日退伍",  IF(AND(  OR(N19="退",N19="退伍" ), OR(O19="退",O19="退伍" ), $AP19 =""),"退伍","全日勤"  )  )  )  )  )  )  )  )  )  )  ),"")</f>
        <v>全日勤</v>
      </c>
      <c r="O60" s="66" t="str">
        <f>IF(   (ROW(BA19)-1)&lt;=暫1!$B$2,           IF(  AND(  OR(  O19="x",O19="補"  ), OR(  P19 ="x",P19="補",P19="x榮18-22",P19="x公18-22",P19="x榮22-08"  ), $AP19 =""),"全日休",  IF(  AND(  OR(  O19="x",O19="病"  ), OR(  P19 ="病"  ), $AP19 =""),"病(事)假",  IF(  AND(  OR(  O19="x",O19="補"  ), OR(  P19 ="補"  ), $AP19 =""),"補休",  IF(  AND(  OR(  O19="x",O19="喪"  ), OR(  P19 ="喪"  ), $AP19 =""),"喪假",  IF(  AND(  OR(  O19="x",O19="婚",O19="產"  ), OR(  P19 ="婚",P19="產"  ), $AP19 =""),"婚(產)假",  IF(  AND(  OR(  O19="x",O19="公"  ), OR(  P19 ="公"  ), $AP19 =""),"公假",  IF(  AND(  OR(  O19="x",O19="補",O19="婚",O19="公",O19="病",O19="事",O19="x榮18-22"  ),OR(P19=""), $AP19 =""  ),"18收",  IF(  AND(  OR(  O19 ="榮14-18",O19 ="榮10-18",O19 ="榮06-18",O19 ="病14-18"  ),OR(  P19 ="x",P19="補",P19="婚",P19="公",P19="病",P19="事",P19="x"  ), $AP19 =""),"18放早走",  IF(  AND(  OR(  O19 =""),OR(  P19 ="x",P19="補",P19="婚",P19="公",P19="病",P19="事",P19="x榮*",P19="榮",P19="榮-22"  ), $AP19 =""),"18放",  IF(  AND(  OR(  O19="當日退伍"  ),OR(  P19="退伍",P19="退", P19=""  ), $AP19 =""),"當日退伍",  IF(AND(  OR(O19="退",O19="退伍" ), OR(P19="退",P19="退伍" ), $AP19 =""),"退伍","全日勤"  )  )  )  )  )  )  )  )  )  )  ),"")</f>
        <v>全日勤</v>
      </c>
      <c r="P60" s="66" t="str">
        <f>IF(   (ROW(BB19)-1)&lt;=暫1!$B$2,           IF(  AND(  OR(  P19="x",P19="補"  ), OR(  Q19 ="x",Q19="補",Q19="x榮18-22",Q19="x公18-22",Q19="x榮22-08"  ), $AP19 =""),"全日休",  IF(  AND(  OR(  P19="x",P19="病"  ), OR(  Q19 ="病"  ), $AP19 =""),"病(事)假",  IF(  AND(  OR(  P19="x",P19="補"  ), OR(  Q19 ="補"  ), $AP19 =""),"補休",  IF(  AND(  OR(  P19="x",P19="喪"  ), OR(  Q19 ="喪"  ), $AP19 =""),"喪假",  IF(  AND(  OR(  P19="x",P19="婚",P19="產"  ), OR(  Q19 ="婚",Q19="產"  ), $AP19 =""),"婚(產)假",  IF(  AND(  OR(  P19="x",P19="公"  ), OR(  Q19 ="公"  ), $AP19 =""),"公假",  IF(  AND(  OR(  P19="x",P19="補",P19="婚",P19="公",P19="病",P19="事",P19="x榮18-22"  ),OR(Q19=""), $AP19 =""  ),"18收",  IF(  AND(  OR(  P19 ="榮14-18",P19 ="榮10-18",P19 ="榮06-18",P19 ="病14-18"  ),OR(  Q19 ="x",Q19="補",Q19="婚",Q19="公",Q19="病",Q19="事",Q19="x"  ), $AP19 =""),"18放早走",  IF(  AND(  OR(  P19 =""),OR(  Q19 ="x",Q19="補",Q19="婚",Q19="公",Q19="病",Q19="事",Q19="x榮*",Q19="榮",Q19="榮-22"  ), $AP19 =""),"18放",  IF(  AND(  OR(  P19="當日退伍"  ),OR(  Q19="退伍",Q19="退", Q19=""  ), $AP19 =""),"當日退伍",  IF(AND(  OR(P19="退",P19="退伍" ), OR(Q19="退",Q19="退伍" ), $AP19 =""),"退伍","全日勤"  )  )  )  )  )  )  )  )  )  )  ),"")</f>
        <v>全日勤</v>
      </c>
      <c r="Q60" s="66" t="str">
        <f>IF(   (ROW(BC19)-1)&lt;=暫1!$B$2,           IF(  AND(  OR(  Q19="x",Q19="補"  ), OR(  R19 ="x",R19="補",R19="x榮18-22",R19="x公18-22",R19="x榮22-08"  ), $AP19 =""),"全日休",  IF(  AND(  OR(  Q19="x",Q19="病"  ), OR(  R19 ="病"  ), $AP19 =""),"病(事)假",  IF(  AND(  OR(  Q19="x",Q19="補"  ), OR(  R19 ="補"  ), $AP19 =""),"補休",  IF(  AND(  OR(  Q19="x",Q19="喪"  ), OR(  R19 ="喪"  ), $AP19 =""),"喪假",  IF(  AND(  OR(  Q19="x",Q19="婚",Q19="產"  ), OR(  R19 ="婚",R19="產"  ), $AP19 =""),"婚(產)假",  IF(  AND(  OR(  Q19="x",Q19="公"  ), OR(  R19 ="公"  ), $AP19 =""),"公假",  IF(  AND(  OR(  Q19="x",Q19="補",Q19="婚",Q19="公",Q19="病",Q19="事",Q19="x榮18-22"  ),OR(R19=""), $AP19 =""  ),"18收",  IF(  AND(  OR(  Q19 ="榮14-18",Q19 ="榮10-18",Q19 ="榮06-18",Q19 ="病14-18"  ),OR(  R19 ="x",R19="補",R19="婚",R19="公",R19="病",R19="事",R19="x"  ), $AP19 =""),"18放早走",  IF(  AND(  OR(  Q19 =""),OR(  R19 ="x",R19="補",R19="婚",R19="公",R19="病",R19="事",R19="x榮*",R19="榮",R19="榮-22"  ), $AP19 =""),"18放",  IF(  AND(  OR(  Q19="當日退伍"  ),OR(  R19="退伍",R19="退", R19=""  ), $AP19 =""),"當日退伍",  IF(AND(  OR(Q19="退",Q19="退伍" ), OR(R19="退",R19="退伍" ), $AP19 =""),"退伍","全日勤"  )  )  )  )  )  )  )  )  )  )  ),"")</f>
        <v>全日勤</v>
      </c>
      <c r="R60" s="66" t="str">
        <f>IF(   (ROW(BD19)-1)&lt;=暫1!$B$2,           IF(  AND(  OR(  R19="x",R19="補"  ), OR(  S19 ="x",S19="補",S19="x榮18-22",S19="x公18-22",S19="x榮22-08"  ), $AP19 =""),"全日休",  IF(  AND(  OR(  R19="x",R19="病"  ), OR(  S19 ="病"  ), $AP19 =""),"病(事)假",  IF(  AND(  OR(  R19="x",R19="補"  ), OR(  S19 ="補"  ), $AP19 =""),"補休",  IF(  AND(  OR(  R19="x",R19="喪"  ), OR(  S19 ="喪"  ), $AP19 =""),"喪假",  IF(  AND(  OR(  R19="x",R19="婚",R19="產"  ), OR(  S19 ="婚",S19="產"  ), $AP19 =""),"婚(產)假",  IF(  AND(  OR(  R19="x",R19="公"  ), OR(  S19 ="公"  ), $AP19 =""),"公假",  IF(  AND(  OR(  R19="x",R19="補",R19="婚",R19="公",R19="病",R19="事",R19="x榮18-22"  ),OR(S19=""), $AP19 =""  ),"18收",  IF(  AND(  OR(  R19 ="榮14-18",R19 ="榮10-18",R19 ="榮06-18",R19 ="病14-18"  ),OR(  S19 ="x",S19="補",S19="婚",S19="公",S19="病",S19="事",S19="x"  ), $AP19 =""),"18放早走",  IF(  AND(  OR(  R19 =""),OR(  S19 ="x",S19="補",S19="婚",S19="公",S19="病",S19="事",S19="x榮*",S19="榮",S19="榮-22"  ), $AP19 =""),"18放",  IF(  AND(  OR(  R19="當日退伍"  ),OR(  S19="退伍",S19="退", S19=""  ), $AP19 =""),"當日退伍",  IF(AND(  OR(R19="退",R19="退伍" ), OR(S19="退",S19="退伍" ), $AP19 =""),"退伍","全日勤"  )  )  )  )  )  )  )  )  )  )  ),"")</f>
        <v>全日勤</v>
      </c>
      <c r="S60" s="66" t="str">
        <f>IF(   (ROW(BE19)-1)&lt;=暫1!$B$2,           IF(  AND(  OR(  S19="x",S19="補"  ), OR(  T19 ="x",T19="補",T19="x榮18-22",T19="x公18-22",T19="x榮22-08"  ), $AP19 =""),"全日休",  IF(  AND(  OR(  S19="x",S19="病"  ), OR(  T19 ="病"  ), $AP19 =""),"病(事)假",  IF(  AND(  OR(  S19="x",S19="補"  ), OR(  T19 ="補"  ), $AP19 =""),"補休",  IF(  AND(  OR(  S19="x",S19="喪"  ), OR(  T19 ="喪"  ), $AP19 =""),"喪假",  IF(  AND(  OR(  S19="x",S19="婚",S19="產"  ), OR(  T19 ="婚",T19="產"  ), $AP19 =""),"婚(產)假",  IF(  AND(  OR(  S19="x",S19="公"  ), OR(  T19 ="公"  ), $AP19 =""),"公假",  IF(  AND(  OR(  S19="x",S19="補",S19="婚",S19="公",S19="病",S19="事",S19="x榮18-22"  ),OR(T19=""), $AP19 =""  ),"18收",  IF(  AND(  OR(  S19 ="榮14-18",S19 ="榮10-18",S19 ="榮06-18",S19 ="病14-18"  ),OR(  T19 ="x",T19="補",T19="婚",T19="公",T19="病",T19="事",T19="x"  ), $AP19 =""),"18放早走",  IF(  AND(  OR(  S19 =""),OR(  T19 ="x",T19="補",T19="婚",T19="公",T19="病",T19="事",T19="x榮*",T19="榮",T19="榮-22"  ), $AP19 =""),"18放",  IF(  AND(  OR(  S19="當日退伍"  ),OR(  T19="退伍",T19="退", T19=""  ), $AP19 =""),"當日退伍",  IF(AND(  OR(S19="退",S19="退伍" ), OR(T19="退",T19="退伍" ), $AP19 =""),"退伍","全日勤"  )  )  )  )  )  )  )  )  )  )  ),"")</f>
        <v>全日勤</v>
      </c>
      <c r="T60" s="66" t="str">
        <f>IF(   (ROW(BF19)-1)&lt;=暫1!$B$2,           IF(  AND(  OR(  T19="x",T19="補"  ), OR(  U19 ="x",U19="補",U19="x榮18-22",U19="x公18-22",U19="x榮22-08"  ), $AP19 =""),"全日休",  IF(  AND(  OR(  T19="x",T19="病"  ), OR(  U19 ="病"  ), $AP19 =""),"病(事)假",  IF(  AND(  OR(  T19="x",T19="補"  ), OR(  U19 ="補"  ), $AP19 =""),"補休",  IF(  AND(  OR(  T19="x",T19="喪"  ), OR(  U19 ="喪"  ), $AP19 =""),"喪假",  IF(  AND(  OR(  T19="x",T19="婚",T19="產"  ), OR(  U19 ="婚",U19="產"  ), $AP19 =""),"婚(產)假",  IF(  AND(  OR(  T19="x",T19="公"  ), OR(  U19 ="公"  ), $AP19 =""),"公假",  IF(  AND(  OR(  T19="x",T19="補",T19="婚",T19="公",T19="病",T19="事",T19="x榮18-22"  ),OR(U19=""), $AP19 =""  ),"18收",  IF(  AND(  OR(  T19 ="榮14-18",T19 ="榮10-18",T19 ="榮06-18",T19 ="病14-18"  ),OR(  U19 ="x",U19="補",U19="婚",U19="公",U19="病",U19="事",U19="x"  ), $AP19 =""),"18放早走",  IF(  AND(  OR(  T19 =""),OR(  U19 ="x",U19="補",U19="婚",U19="公",U19="病",U19="事",U19="x榮*",U19="榮",U19="榮-22"  ), $AP19 =""),"18放",  IF(  AND(  OR(  T19="當日退伍"  ),OR(  U19="退伍",U19="退", U19=""  ), $AP19 =""),"當日退伍",  IF(AND(  OR(T19="退",T19="退伍" ), OR(U19="退",U19="退伍" ), $AP19 =""),"退伍","全日勤"  )  )  )  )  )  )  )  )  )  )  ),"")</f>
        <v>全日勤</v>
      </c>
      <c r="U60" s="66" t="str">
        <f>IF(   (ROW(BG19)-1)&lt;=暫1!$B$2,           IF(  AND(  OR(  U19="x",U19="補"  ), OR(  V19 ="x",V19="補",V19="x榮18-22",V19="x公18-22",V19="x榮22-08"  ), $AP19 =""),"全日休",  IF(  AND(  OR(  U19="x",U19="病"  ), OR(  V19 ="病"  ), $AP19 =""),"病(事)假",  IF(  AND(  OR(  U19="x",U19="補"  ), OR(  V19 ="補"  ), $AP19 =""),"補休",  IF(  AND(  OR(  U19="x",U19="喪"  ), OR(  V19 ="喪"  ), $AP19 =""),"喪假",  IF(  AND(  OR(  U19="x",U19="婚",U19="產"  ), OR(  V19 ="婚",V19="產"  ), $AP19 =""),"婚(產)假",  IF(  AND(  OR(  U19="x",U19="公"  ), OR(  V19 ="公"  ), $AP19 =""),"公假",  IF(  AND(  OR(  U19="x",U19="補",U19="婚",U19="公",U19="病",U19="事",U19="x榮18-22"  ),OR(V19=""), $AP19 =""  ),"18收",  IF(  AND(  OR(  U19 ="榮14-18",U19 ="榮10-18",U19 ="榮06-18",U19 ="病14-18"  ),OR(  V19 ="x",V19="補",V19="婚",V19="公",V19="病",V19="事",V19="x"  ), $AP19 =""),"18放早走",  IF(  AND(  OR(  U19 =""),OR(  V19 ="x",V19="補",V19="婚",V19="公",V19="病",V19="事",V19="x榮*",V19="榮",V19="榮-22"  ), $AP19 =""),"18放",  IF(  AND(  OR(  U19="當日退伍"  ),OR(  V19="退伍",V19="退", V19=""  ), $AP19 =""),"當日退伍",  IF(AND(  OR(U19="退",U19="退伍" ), OR(V19="退",V19="退伍" ), $AP19 =""),"退伍","全日勤"  )  )  )  )  )  )  )  )  )  )  ),"")</f>
        <v>全日勤</v>
      </c>
      <c r="V60" s="66" t="str">
        <f>IF(   (ROW(BH19)-1)&lt;=暫1!$B$2,           IF(  AND(  OR(  V19="x",V19="補"  ), OR(  W19 ="x",W19="補",W19="x榮18-22",W19="x公18-22",W19="x榮22-08"  ), $AP19 =""),"全日休",  IF(  AND(  OR(  V19="x",V19="病"  ), OR(  W19 ="病"  ), $AP19 =""),"病(事)假",  IF(  AND(  OR(  V19="x",V19="補"  ), OR(  W19 ="補"  ), $AP19 =""),"補休",  IF(  AND(  OR(  V19="x",V19="喪"  ), OR(  W19 ="喪"  ), $AP19 =""),"喪假",  IF(  AND(  OR(  V19="x",V19="婚",V19="產"  ), OR(  W19 ="婚",W19="產"  ), $AP19 =""),"婚(產)假",  IF(  AND(  OR(  V19="x",V19="公"  ), OR(  W19 ="公"  ), $AP19 =""),"公假",  IF(  AND(  OR(  V19="x",V19="補",V19="婚",V19="公",V19="病",V19="事",V19="x榮18-22"  ),OR(W19=""), $AP19 =""  ),"18收",  IF(  AND(  OR(  V19 ="榮14-18",V19 ="榮10-18",V19 ="榮06-18",V19 ="病14-18"  ),OR(  W19 ="x",W19="補",W19="婚",W19="公",W19="病",W19="事",W19="x"  ), $AP19 =""),"18放早走",  IF(  AND(  OR(  V19 =""),OR(  W19 ="x",W19="補",W19="婚",W19="公",W19="病",W19="事",W19="x榮*",W19="榮",W19="榮-22"  ), $AP19 =""),"18放",  IF(  AND(  OR(  V19="當日退伍"  ),OR(  W19="退伍",W19="退", W19=""  ), $AP19 =""),"當日退伍",  IF(AND(  OR(V19="退",V19="退伍" ), OR(W19="退",W19="退伍" ), $AP19 =""),"退伍","全日勤"  )  )  )  )  )  )  )  )  )  )  ),"")</f>
        <v>全日勤</v>
      </c>
      <c r="W60" s="66" t="str">
        <f>IF(   (ROW(BI19)-1)&lt;=暫1!$B$2,           IF(  AND(  OR(  W19="x",W19="補"  ), OR(  X19 ="x",X19="補",X19="x榮18-22",X19="x公18-22",X19="x榮22-08"  ), $AP19 =""),"全日休",  IF(  AND(  OR(  W19="x",W19="病"  ), OR(  X19 ="病"  ), $AP19 =""),"病(事)假",  IF(  AND(  OR(  W19="x",W19="補"  ), OR(  X19 ="補"  ), $AP19 =""),"補休",  IF(  AND(  OR(  W19="x",W19="喪"  ), OR(  X19 ="喪"  ), $AP19 =""),"喪假",  IF(  AND(  OR(  W19="x",W19="婚",W19="產"  ), OR(  X19 ="婚",X19="產"  ), $AP19 =""),"婚(產)假",  IF(  AND(  OR(  W19="x",W19="公"  ), OR(  X19 ="公"  ), $AP19 =""),"公假",  IF(  AND(  OR(  W19="x",W19="補",W19="婚",W19="公",W19="病",W19="事",W19="x榮18-22"  ),OR(X19=""), $AP19 =""  ),"18收",  IF(  AND(  OR(  W19 ="榮14-18",W19 ="榮10-18",W19 ="榮06-18",W19 ="病14-18"  ),OR(  X19 ="x",X19="補",X19="婚",X19="公",X19="病",X19="事",X19="x"  ), $AP19 =""),"18放早走",  IF(  AND(  OR(  W19 =""),OR(  X19 ="x",X19="補",X19="婚",X19="公",X19="病",X19="事",X19="x榮*",X19="榮",X19="榮-22"  ), $AP19 =""),"18放",  IF(  AND(  OR(  W19="當日退伍"  ),OR(  X19="退伍",X19="退", X19=""  ), $AP19 =""),"當日退伍",  IF(AND(  OR(W19="退",W19="退伍" ), OR(X19="退",X19="退伍" ), $AP19 =""),"退伍","全日勤"  )  )  )  )  )  )  )  )  )  )  ),"")</f>
        <v>全日勤</v>
      </c>
      <c r="X60" s="66" t="str">
        <f>IF(   (ROW(BJ19)-1)&lt;=暫1!$B$2,           IF(  AND(  OR(  X19="x",X19="補"  ), OR(  Y19 ="x",Y19="補",Y19="x榮18-22",Y19="x公18-22",Y19="x榮22-08"  ), $AP19 =""),"全日休",  IF(  AND(  OR(  X19="x",X19="病"  ), OR(  Y19 ="病"  ), $AP19 =""),"病(事)假",  IF(  AND(  OR(  X19="x",X19="補"  ), OR(  Y19 ="補"  ), $AP19 =""),"補休",  IF(  AND(  OR(  X19="x",X19="喪"  ), OR(  Y19 ="喪"  ), $AP19 =""),"喪假",  IF(  AND(  OR(  X19="x",X19="婚",X19="產"  ), OR(  Y19 ="婚",Y19="產"  ), $AP19 =""),"婚(產)假",  IF(  AND(  OR(  X19="x",X19="公"  ), OR(  Y19 ="公"  ), $AP19 =""),"公假",  IF(  AND(  OR(  X19="x",X19="補",X19="婚",X19="公",X19="病",X19="事",X19="x榮18-22"  ),OR(Y19=""), $AP19 =""  ),"18收",  IF(  AND(  OR(  X19 ="榮14-18",X19 ="榮10-18",X19 ="榮06-18",X19 ="病14-18"  ),OR(  Y19 ="x",Y19="補",Y19="婚",Y19="公",Y19="病",Y19="事",Y19="x"  ), $AP19 =""),"18放早走",  IF(  AND(  OR(  X19 =""),OR(  Y19 ="x",Y19="補",Y19="婚",Y19="公",Y19="病",Y19="事",Y19="x榮*",Y19="榮",Y19="榮-22"  ), $AP19 =""),"18放",  IF(  AND(  OR(  X19="當日退伍"  ),OR(  Y19="退伍",Y19="退", Y19=""  ), $AP19 =""),"當日退伍",  IF(AND(  OR(X19="退",X19="退伍" ), OR(Y19="退",Y19="退伍" ), $AP19 =""),"退伍","全日勤"  )  )  )  )  )  )  )  )  )  )  ),"")</f>
        <v>全日勤</v>
      </c>
      <c r="Y60" s="66" t="str">
        <f>IF(   (ROW(BK19)-1)&lt;=暫1!$B$2,           IF(  AND(  OR(  Y19="x",Y19="補"  ), OR(  Z19 ="x",Z19="補",Z19="x榮18-22",Z19="x公18-22",Z19="x榮22-08"  ), $AP19 =""),"全日休",  IF(  AND(  OR(  Y19="x",Y19="病"  ), OR(  Z19 ="病"  ), $AP19 =""),"病(事)假",  IF(  AND(  OR(  Y19="x",Y19="補"  ), OR(  Z19 ="補"  ), $AP19 =""),"補休",  IF(  AND(  OR(  Y19="x",Y19="喪"  ), OR(  Z19 ="喪"  ), $AP19 =""),"喪假",  IF(  AND(  OR(  Y19="x",Y19="婚",Y19="產"  ), OR(  Z19 ="婚",Z19="產"  ), $AP19 =""),"婚(產)假",  IF(  AND(  OR(  Y19="x",Y19="公"  ), OR(  Z19 ="公"  ), $AP19 =""),"公假",  IF(  AND(  OR(  Y19="x",Y19="補",Y19="婚",Y19="公",Y19="病",Y19="事",Y19="x榮18-22"  ),OR(Z19=""), $AP19 =""  ),"18收",  IF(  AND(  OR(  Y19 ="榮14-18",Y19 ="榮10-18",Y19 ="榮06-18",Y19 ="病14-18"  ),OR(  Z19 ="x",Z19="補",Z19="婚",Z19="公",Z19="病",Z19="事",Z19="x"  ), $AP19 =""),"18放早走",  IF(  AND(  OR(  Y19 =""),OR(  Z19 ="x",Z19="補",Z19="婚",Z19="公",Z19="病",Z19="事",Z19="x榮*",Z19="榮",Z19="榮-22"  ), $AP19 =""),"18放",  IF(  AND(  OR(  Y19="當日退伍"  ),OR(  Z19="退伍",Z19="退", Z19=""  ), $AP19 =""),"當日退伍",  IF(AND(  OR(Y19="退",Y19="退伍" ), OR(Z19="退",Z19="退伍" ), $AP19 =""),"退伍","全日勤"  )  )  )  )  )  )  )  )  )  )  ),"")</f>
        <v>全日勤</v>
      </c>
      <c r="Z60" s="66" t="str">
        <f>IF(   (ROW(BL19)-1)&lt;=暫1!$B$2,           IF(  AND(  OR(  Z19="x",Z19="補"  ), OR(  AA19 ="x",AA19="補",AA19="x榮18-22",AA19="x公18-22",AA19="x榮22-08"  ), $AP19 =""),"全日休",  IF(  AND(  OR(  Z19="x",Z19="病"  ), OR(  AA19 ="病"  ), $AP19 =""),"病(事)假",  IF(  AND(  OR(  Z19="x",Z19="補"  ), OR(  AA19 ="補"  ), $AP19 =""),"補休",  IF(  AND(  OR(  Z19="x",Z19="喪"  ), OR(  AA19 ="喪"  ), $AP19 =""),"喪假",  IF(  AND(  OR(  Z19="x",Z19="婚",Z19="產"  ), OR(  AA19 ="婚",AA19="產"  ), $AP19 =""),"婚(產)假",  IF(  AND(  OR(  Z19="x",Z19="公"  ), OR(  AA19 ="公"  ), $AP19 =""),"公假",  IF(  AND(  OR(  Z19="x",Z19="補",Z19="婚",Z19="公",Z19="病",Z19="事",Z19="x榮18-22"  ),OR(AA19=""), $AP19 =""  ),"18收",  IF(  AND(  OR(  Z19 ="榮14-18",Z19 ="榮10-18",Z19 ="榮06-18",Z19 ="病14-18"  ),OR(  AA19 ="x",AA19="補",AA19="婚",AA19="公",AA19="病",AA19="事",AA19="x"  ), $AP19 =""),"18放早走",  IF(  AND(  OR(  Z19 =""),OR(  AA19 ="x",AA19="補",AA19="婚",AA19="公",AA19="病",AA19="事",AA19="x榮*",AA19="榮",AA19="榮-22"  ), $AP19 =""),"18放",  IF(  AND(  OR(  Z19="當日退伍"  ),OR(  AA19="退伍",AA19="退", AA19=""  ), $AP19 =""),"當日退伍",  IF(AND(  OR(Z19="退",Z19="退伍" ), OR(AA19="退",AA19="退伍" ), $AP19 =""),"退伍","全日勤"  )  )  )  )  )  )  )  )  )  )  ),"")</f>
        <v>全日勤</v>
      </c>
      <c r="AA60" s="66" t="str">
        <f>IF(   (ROW(BM19)-1)&lt;=暫1!$B$2,           IF(  AND(  OR(  AA19="x",AA19="補"  ), OR(  AB19 ="x",AB19="補",AB19="x榮18-22",AB19="x公18-22",AB19="x榮22-08"  ), $AP19 =""),"全日休",  IF(  AND(  OR(  AA19="x",AA19="病"  ), OR(  AB19 ="病"  ), $AP19 =""),"病(事)假",  IF(  AND(  OR(  AA19="x",AA19="補"  ), OR(  AB19 ="補"  ), $AP19 =""),"補休",  IF(  AND(  OR(  AA19="x",AA19="喪"  ), OR(  AB19 ="喪"  ), $AP19 =""),"喪假",  IF(  AND(  OR(  AA19="x",AA19="婚",AA19="產"  ), OR(  AB19 ="婚",AB19="產"  ), $AP19 =""),"婚(產)假",  IF(  AND(  OR(  AA19="x",AA19="公"  ), OR(  AB19 ="公"  ), $AP19 =""),"公假",  IF(  AND(  OR(  AA19="x",AA19="補",AA19="婚",AA19="公",AA19="病",AA19="事",AA19="x榮18-22"  ),OR(AB19=""), $AP19 =""  ),"18收",  IF(  AND(  OR(  AA19 ="榮14-18",AA19 ="榮10-18",AA19 ="榮06-18",AA19 ="病14-18"  ),OR(  AB19 ="x",AB19="補",AB19="婚",AB19="公",AB19="病",AB19="事",AB19="x"  ), $AP19 =""),"18放早走",  IF(  AND(  OR(  AA19 =""),OR(  AB19 ="x",AB19="補",AB19="婚",AB19="公",AB19="病",AB19="事",AB19="x榮*",AB19="榮",AB19="榮-22"  ), $AP19 =""),"18放",  IF(  AND(  OR(  AA19="當日退伍"  ),OR(  AB19="退伍",AB19="退", AB19=""  ), $AP19 =""),"當日退伍",  IF(AND(  OR(AA19="退",AA19="退伍" ), OR(AB19="退",AB19="退伍" ), $AP19 =""),"退伍","全日勤"  )  )  )  )  )  )  )  )  )  )  ),"")</f>
        <v>全日勤</v>
      </c>
      <c r="AB60" s="66" t="str">
        <f>IF(   (ROW(BN19)-1)&lt;=暫1!$B$2,           IF(  AND(  OR(  AB19="x",AB19="補"  ), OR(  AC19 ="x",AC19="補",AC19="x榮18-22",AC19="x公18-22",AC19="x榮22-08"  ), $AP19 =""),"全日休",  IF(  AND(  OR(  AB19="x",AB19="病"  ), OR(  AC19 ="病"  ), $AP19 =""),"病(事)假",  IF(  AND(  OR(  AB19="x",AB19="補"  ), OR(  AC19 ="補"  ), $AP19 =""),"補休",  IF(  AND(  OR(  AB19="x",AB19="喪"  ), OR(  AC19 ="喪"  ), $AP19 =""),"喪假",  IF(  AND(  OR(  AB19="x",AB19="婚",AB19="產"  ), OR(  AC19 ="婚",AC19="產"  ), $AP19 =""),"婚(產)假",  IF(  AND(  OR(  AB19="x",AB19="公"  ), OR(  AC19 ="公"  ), $AP19 =""),"公假",  IF(  AND(  OR(  AB19="x",AB19="補",AB19="婚",AB19="公",AB19="病",AB19="事",AB19="x榮18-22"  ),OR(AC19=""), $AP19 =""  ),"18收",  IF(  AND(  OR(  AB19 ="榮14-18",AB19 ="榮10-18",AB19 ="榮06-18",AB19 ="病14-18"  ),OR(  AC19 ="x",AC19="補",AC19="婚",AC19="公",AC19="病",AC19="事",AC19="x"  ), $AP19 =""),"18放早走",  IF(  AND(  OR(  AB19 =""),OR(  AC19 ="x",AC19="補",AC19="婚",AC19="公",AC19="病",AC19="事",AC19="x榮*",AC19="榮",AC19="榮-22"  ), $AP19 =""),"18放",  IF(  AND(  OR(  AB19="當日退伍"  ),OR(  AC19="退伍",AC19="退", AC19=""  ), $AP19 =""),"當日退伍",  IF(AND(  OR(AB19="退",AB19="退伍" ), OR(AC19="退",AC19="退伍" ), $AP19 =""),"退伍","全日勤"  )  )  )  )  )  )  )  )  )  )  ),"")</f>
        <v>全日勤</v>
      </c>
      <c r="AC60" s="66" t="str">
        <f>IF(   (ROW(BO19)-1)&lt;=暫1!$B$2,           IF(  AND(  OR(  AC19="x",AC19="補"  ), OR(  AD19 ="x",AD19="補",AD19="x榮18-22",AD19="x公18-22",AD19="x榮22-08"  ), $AP19 =""),"全日休",  IF(  AND(  OR(  AC19="x",AC19="病"  ), OR(  AD19 ="病"  ), $AP19 =""),"病(事)假",  IF(  AND(  OR(  AC19="x",AC19="補"  ), OR(  AD19 ="補"  ), $AP19 =""),"補休",  IF(  AND(  OR(  AC19="x",AC19="喪"  ), OR(  AD19 ="喪"  ), $AP19 =""),"喪假",  IF(  AND(  OR(  AC19="x",AC19="婚",AC19="產"  ), OR(  AD19 ="婚",AD19="產"  ), $AP19 =""),"婚(產)假",  IF(  AND(  OR(  AC19="x",AC19="公"  ), OR(  AD19 ="公"  ), $AP19 =""),"公假",  IF(  AND(  OR(  AC19="x",AC19="補",AC19="婚",AC19="公",AC19="病",AC19="事",AC19="x榮18-22"  ),OR(AD19=""), $AP19 =""  ),"18收",  IF(  AND(  OR(  AC19 ="榮14-18",AC19 ="榮10-18",AC19 ="榮06-18",AC19 ="病14-18"  ),OR(  AD19 ="x",AD19="補",AD19="婚",AD19="公",AD19="病",AD19="事",AD19="x"  ), $AP19 =""),"18放早走",  IF(  AND(  OR(  AC19 =""),OR(  AD19 ="x",AD19="補",AD19="婚",AD19="公",AD19="病",AD19="事",AD19="x榮*",AD19="榮",AD19="榮-22"  ), $AP19 =""),"18放",  IF(  AND(  OR(  AC19="當日退伍"  ),OR(  AD19="退伍",AD19="退", AD19=""  ), $AP19 =""),"當日退伍",  IF(AND(  OR(AC19="退",AC19="退伍" ), OR(AD19="退",AD19="退伍" ), $AP19 =""),"退伍","全日勤"  )  )  )  )  )  )  )  )  )  )  ),"")</f>
        <v>全日勤</v>
      </c>
      <c r="AD60" s="66" t="str">
        <f>IF(   (ROW(BP19)-1)&lt;=暫1!$B$2,           IF(  AND(  OR(  AD19="x",AD19="補"  ), OR(  AE19 ="x",AE19="補",AE19="x榮18-22",AE19="x公18-22",AE19="x榮22-08"  ), $AP19 =""),"全日休",  IF(  AND(  OR(  AD19="x",AD19="病"  ), OR(  AE19 ="病"  ), $AP19 =""),"病(事)假",  IF(  AND(  OR(  AD19="x",AD19="補"  ), OR(  AE19 ="補"  ), $AP19 =""),"補休",  IF(  AND(  OR(  AD19="x",AD19="喪"  ), OR(  AE19 ="喪"  ), $AP19 =""),"喪假",  IF(  AND(  OR(  AD19="x",AD19="婚",AD19="產"  ), OR(  AE19 ="婚",AE19="產"  ), $AP19 =""),"婚(產)假",  IF(  AND(  OR(  AD19="x",AD19="公"  ), OR(  AE19 ="公"  ), $AP19 =""),"公假",  IF(  AND(  OR(  AD19="x",AD19="補",AD19="婚",AD19="公",AD19="病",AD19="事",AD19="x榮18-22"  ),OR(AE19=""), $AP19 =""  ),"18收",  IF(  AND(  OR(  AD19 ="榮14-18",AD19 ="榮10-18",AD19 ="榮06-18",AD19 ="病14-18"  ),OR(  AE19 ="x",AE19="補",AE19="婚",AE19="公",AE19="病",AE19="事",AE19="x"  ), $AP19 =""),"18放早走",  IF(  AND(  OR(  AD19 =""),OR(  AE19 ="x",AE19="補",AE19="婚",AE19="公",AE19="病",AE19="事",AE19="x榮*",AE19="榮",AE19="榮-22"  ), $AP19 =""),"18放",  IF(  AND(  OR(  AD19="當日退伍"  ),OR(  AE19="退伍",AE19="退", AE19=""  ), $AP19 =""),"當日退伍",  IF(AND(  OR(AD19="退",AD19="退伍" ), OR(AE19="退",AE19="退伍" ), $AP19 =""),"退伍","全日勤"  )  )  )  )  )  )  )  )  )  )  ),"")</f>
        <v>全日勤</v>
      </c>
      <c r="AE60" s="66" t="str">
        <f>IF(   (ROW(BQ19)-1)&lt;=暫1!$B$2,           IF(  AND(  OR(  AE19="x",AE19="補"  ), OR(  AF19 ="x",AF19="補",AF19="x榮18-22",AF19="x公18-22",AF19="x榮22-08"  ), $AP19 =""),"全日休",  IF(  AND(  OR(  AE19="x",AE19="病"  ), OR(  AF19 ="病"  ), $AP19 =""),"病(事)假",  IF(  AND(  OR(  AE19="x",AE19="補"  ), OR(  AF19 ="補"  ), $AP19 =""),"補休",  IF(  AND(  OR(  AE19="x",AE19="喪"  ), OR(  AF19 ="喪"  ), $AP19 =""),"喪假",  IF(  AND(  OR(  AE19="x",AE19="婚",AE19="產"  ), OR(  AF19 ="婚",AF19="產"  ), $AP19 =""),"婚(產)假",  IF(  AND(  OR(  AE19="x",AE19="公"  ), OR(  AF19 ="公"  ), $AP19 =""),"公假",  IF(  AND(  OR(  AE19="x",AE19="補",AE19="婚",AE19="公",AE19="病",AE19="事",AE19="x榮18-22"  ),OR(AF19=""), $AP19 =""  ),"18收",  IF(  AND(  OR(  AE19 ="榮14-18",AE19 ="榮10-18",AE19 ="榮06-18",AE19 ="病14-18"  ),OR(  AF19 ="x",AF19="補",AF19="婚",AF19="公",AF19="病",AF19="事",AF19="x"  ), $AP19 =""),"18放早走",  IF(  AND(  OR(  AE19 =""),OR(  AF19 ="x",AF19="補",AF19="婚",AF19="公",AF19="病",AF19="事",AF19="x榮*",AF19="榮",AF19="榮-22"  ), $AP19 =""),"18放",  IF(  AND(  OR(  AE19="當日退伍"  ),OR(  AF19="退伍",AF19="退", AF19=""  ), $AP19 =""),"當日退伍",  IF(AND(  OR(AE19="退",AE19="退伍" ), OR(AF19="退",AF19="退伍" ), $AP19 =""),"退伍","全日勤"  )  )  )  )  )  )  )  )  )  )  ),"")</f>
        <v>全日勤</v>
      </c>
      <c r="AF60" s="66" t="str">
        <f>IF(   (ROW(BR19)-1)&lt;=暫1!$B$2,           IF(  AND(  OR(  AF19="x",AF19="補"  ), OR(  AG19 ="x",AG19="補",AG19="x榮18-22",AG19="x公18-22",AG19="x榮22-08"  ), $AP19 =""),"全日休",  IF(  AND(  OR(  AF19="x",AF19="病"  ), OR(  AG19 ="病"  ), $AP19 =""),"病(事)假",  IF(  AND(  OR(  AF19="x",AF19="補"  ), OR(  AG19 ="補"  ), $AP19 =""),"補休",  IF(  AND(  OR(  AF19="x",AF19="喪"  ), OR(  AG19 ="喪"  ), $AP19 =""),"喪假",  IF(  AND(  OR(  AF19="x",AF19="婚",AF19="產"  ), OR(  AG19 ="婚",AG19="產"  ), $AP19 =""),"婚(產)假",  IF(  AND(  OR(  AF19="x",AF19="公"  ), OR(  AG19 ="公"  ), $AP19 =""),"公假",  IF(  AND(  OR(  AF19="x",AF19="補",AF19="婚",AF19="公",AF19="病",AF19="事",AF19="x榮18-22"  ),OR(AG19=""), $AP19 =""  ),"18收",  IF(  AND(  OR(  AF19 ="榮14-18",AF19 ="榮10-18",AF19 ="榮06-18",AF19 ="病14-18"  ),OR(  AG19 ="x",AG19="補",AG19="婚",AG19="公",AG19="病",AG19="事",AG19="x"  ), $AP19 =""),"18放早走",  IF(  AND(  OR(  AF19 =""),OR(  AG19 ="x",AG19="補",AG19="婚",AG19="公",AG19="病",AG19="事",AG19="x榮*",AG19="榮",AG19="榮-22"  ), $AP19 =""),"18放",  IF(  AND(  OR(  AF19="當日退伍"  ),OR(  AG19="退伍",AG19="退", AG19=""  ), $AP19 =""),"當日退伍",  IF(AND(  OR(AF19="退",AF19="退伍" ), OR(AG19="退",AG19="退伍" ), $AP19 =""),"退伍","全日勤"  )  )  )  )  )  )  )  )  )  )  ),"")</f>
        <v>全日勤</v>
      </c>
      <c r="AG60" s="66" t="str">
        <f>IF(   (ROW(BS19)-1)&lt;=暫1!$B$2,           IF(  AND(  OR(  AG19="x",AG19="補"  ), OR(  AH19 ="x",AH19="補",AH19="x榮18-22",AH19="x公18-22",AH19="x榮22-08"  ), $AP19 =""),"全日休",  IF(  AND(  OR(  AG19="x",AG19="病"  ), OR(  AH19 ="病"  ), $AP19 =""),"病(事)假",  IF(  AND(  OR(  AG19="x",AG19="補"  ), OR(  AH19 ="補"  ), $AP19 =""),"補休",  IF(  AND(  OR(  AG19="x",AG19="喪"  ), OR(  AH19 ="喪"  ), $AP19 =""),"喪假",  IF(  AND(  OR(  AG19="x",AG19="婚",AG19="產"  ), OR(  AH19 ="婚",AH19="產"  ), $AP19 =""),"婚(產)假",  IF(  AND(  OR(  AG19="x",AG19="公"  ), OR(  AH19 ="公"  ), $AP19 =""),"公假",  IF(  AND(  OR(  AG19="x",AG19="補",AG19="婚",AG19="公",AG19="病",AG19="事",AG19="x榮18-22"  ),OR(AH19=""), $AP19 =""  ),"18收",  IF(  AND(  OR(  AG19 ="榮14-18",AG19 ="榮10-18",AG19 ="榮06-18",AG19 ="病14-18"  ),OR(  AH19 ="x",AH19="補",AH19="婚",AH19="公",AH19="病",AH19="事",AH19="x"  ), $AP19 =""),"18放早走",  IF(  AND(  OR(  AG19 =""),OR(  AH19 ="x",AH19="補",AH19="婚",AH19="公",AH19="病",AH19="事",AH19="x榮*",AH19="榮",AH19="榮-22"  ), $AP19 =""),"18放",  IF(  AND(  OR(  AG19="當日退伍"  ),OR(  AH19="退伍",AH19="退", AH19=""  ), $AP19 =""),"當日退伍",  IF(AND(  OR(AG19="退",AG19="退伍" ), OR(AH19="退",AH19="退伍" ), $AP19 =""),"退伍","全日勤"  )  )  )  )  )  )  )  )  )  )  ),"")</f>
        <v>全日勤</v>
      </c>
      <c r="AH60" s="66" t="str">
        <f>IF(   (ROW(BT19)-1)&lt;=暫1!$B$2,           IF(  AND(  OR(  AH19="x",AH19="補"  ), OR(  AI19 ="x",AI19="補",AI19="x榮18-22",AI19="x公18-22",AI19="x榮22-08"  ), $AP19 =""),"全日休",  IF(  AND(  OR(  AH19="x",AH19="病"  ), OR(  AI19 ="病"  ), $AP19 =""),"病(事)假",  IF(  AND(  OR(  AH19="x",AH19="補"  ), OR(  AI19 ="補"  ), $AP19 =""),"補休",  IF(  AND(  OR(  AH19="x",AH19="喪"  ), OR(  AI19 ="喪"  ), $AP19 =""),"喪假",  IF(  AND(  OR(  AH19="x",AH19="婚",AH19="產"  ), OR(  AI19 ="婚",AI19="產"  ), $AP19 =""),"婚(產)假",  IF(  AND(  OR(  AH19="x",AH19="公"  ), OR(  AI19 ="公"  ), $AP19 =""),"公假",  IF(  AND(  OR(  AH19="x",AH19="補",AH19="婚",AH19="公",AH19="病",AH19="事",AH19="x榮18-22"  ),OR(AI19=""), $AP19 =""  ),"18收",  IF(  AND(  OR(  AH19 ="榮14-18",AH19 ="榮10-18",AH19 ="榮06-18",AH19 ="病14-18"  ),OR(  AI19 ="x",AI19="補",AI19="婚",AI19="公",AI19="病",AI19="事",AI19="x"  ), $AP19 =""),"18放早走",  IF(  AND(  OR(  AH19 =""),OR(  AI19 ="x",AI19="補",AI19="婚",AI19="公",AI19="病",AI19="事",AI19="x榮*",AI19="榮",AI19="榮-22"  ), $AP19 =""),"18放",  IF(  AND(  OR(  AH19="當日退伍"  ),OR(  AI19="退伍",AI19="退", AI19=""  ), $AP19 =""),"當日退伍",  IF(AND(  OR(AH19="退",AH19="退伍" ), OR(AI19="退",AI19="退伍" ), $AP19 =""),"退伍","全日勤"  )  )  )  )  )  )  )  )  )  )  ),"")</f>
        <v>全日勤</v>
      </c>
      <c r="AI60" s="66" t="str">
        <f>IF(   (ROW(BU19)-1)&lt;=暫1!$B$2,           IF(  AND(  OR(  AI19="x",AI19="補"  ), OR(  AJ19 ="x",AJ19="補",AJ19="x榮18-22",AJ19="x公18-22",AJ19="x榮22-08"  ), $AP19 =""),"全日休",  IF(  AND(  OR(  AI19="x",AI19="病"  ), OR(  AJ19 ="病"  ), $AP19 =""),"病(事)假",  IF(  AND(  OR(  AI19="x",AI19="補"  ), OR(  AJ19 ="補"  ), $AP19 =""),"補休",  IF(  AND(  OR(  AI19="x",AI19="喪"  ), OR(  AJ19 ="喪"  ), $AP19 =""),"喪假",  IF(  AND(  OR(  AI19="x",AI19="婚",AI19="產"  ), OR(  AJ19 ="婚",AJ19="產"  ), $AP19 =""),"婚(產)假",  IF(  AND(  OR(  AI19="x",AI19="公"  ), OR(  AJ19 ="公"  ), $AP19 =""),"公假",  IF(  AND(  OR(  AI19="x",AI19="補",AI19="婚",AI19="公",AI19="病",AI19="事",AI19="x榮18-22"  ),OR(AJ19=""), $AP19 =""  ),"18收",  IF(  AND(  OR(  AI19 ="榮14-18",AI19 ="榮10-18",AI19 ="榮06-18",AI19 ="病14-18"  ),OR(  AJ19 ="x",AJ19="補",AJ19="婚",AJ19="公",AJ19="病",AJ19="事",AJ19="x"  ), $AP19 =""),"18放早走",  IF(  AND(  OR(  AI19 =""),OR(  AJ19 ="x",AJ19="補",AJ19="婚",AJ19="公",AJ19="病",AJ19="事",AJ19="x榮*",AJ19="榮",AJ19="榮-22"  ), $AP19 =""),"18放",  IF(  AND(  OR(  AI19="當日退伍"  ),OR(  AJ19="退伍",AJ19="退", AJ19=""  ), $AP19 =""),"當日退伍",  IF(AND(  OR(AI19="退",AI19="退伍" ), OR(AJ19="退",AJ19="退伍" ), $AP19 =""),"退伍","全日勤"  )  )  )  )  )  )  )  )  )  )  ),"")</f>
        <v>全日勤</v>
      </c>
      <c r="AJ60" s="66" t="str">
        <f>IF(   (ROW(BV19)-1)&lt;=暫1!$B$2,           IF(  AND(  OR(  AJ19="x",AJ19="補"  ), OR(  AK19 ="x",AK19="補",AK19="x榮18-22",AK19="x公18-22",AK19="x榮22-08"  ), $AP19 =""),"全日休",  IF(  AND(  OR(  AJ19="x",AJ19="病"  ), OR(  AK19 ="病"  ), $AP19 =""),"病(事)假",  IF(  AND(  OR(  AJ19="x",AJ19="補"  ), OR(  AK19 ="補"  ), $AP19 =""),"補休",  IF(  AND(  OR(  AJ19="x",AJ19="喪"  ), OR(  AK19 ="喪"  ), $AP19 =""),"喪假",  IF(  AND(  OR(  AJ19="x",AJ19="婚",AJ19="產"  ), OR(  AK19 ="婚",AK19="產"  ), $AP19 =""),"婚(產)假",  IF(  AND(  OR(  AJ19="x",AJ19="公"  ), OR(  AK19 ="公"  ), $AP19 =""),"公假",  IF(  AND(  OR(  AJ19="x",AJ19="補",AJ19="婚",AJ19="公",AJ19="病",AJ19="事",AJ19="x榮18-22"  ),OR(AK19=""), $AP19 =""  ),"18收",  IF(  AND(  OR(  AJ19 ="榮14-18",AJ19 ="榮10-18",AJ19 ="榮06-18",AJ19 ="病14-18"  ),OR(  AK19 ="x",AK19="補",AK19="婚",AK19="公",AK19="病",AK19="事",AK19="x"  ), $AP19 =""),"18放早走",  IF(  AND(  OR(  AJ19 =""),OR(  AK19 ="x",AK19="補",AK19="婚",AK19="公",AK19="病",AK19="事",AK19="x榮*",AK19="榮",AK19="榮-22"  ), $AP19 =""),"18放",  IF(  AND(  OR(  AJ19="當日退伍"  ),OR(  AK19="退伍",AK19="退", AK19=""  ), $AP19 =""),"當日退伍",  IF(AND(  OR(AJ19="退",AJ19="退伍" ), OR(AK19="退",AK19="退伍" ), $AP19 =""),"退伍","全日勤"  )  )  )  )  )  )  )  )  )  )  ),"")</f>
        <v>全日勤</v>
      </c>
      <c r="AO60" s="76"/>
      <c r="AP60" s="63"/>
      <c r="AU60" s="63"/>
      <c r="AY60" s="63"/>
      <c r="AZ60" s="63"/>
      <c r="BA60" s="63"/>
    </row>
    <row r="61" spans="1:55" ht="25.5" customHeight="1">
      <c r="A61" s="66">
        <f t="shared" si="4"/>
        <v>19</v>
      </c>
      <c r="B61" s="66" t="str">
        <f t="shared" si="6"/>
        <v>蕭敬哲</v>
      </c>
      <c r="C61" s="66" t="str">
        <f>IF(   (ROW(AO20)-1)&lt;=暫1!$B$2,           IF(  AND(  OR(  C20="x",C20="補"  ), OR(  D20 ="x",D20="補",D20="x榮18-22",D20="x公18-22",D20="x榮22-08"  ), $AP20 =""),"全日休",  IF(  AND(  OR(  C20="x",C20="病"  ), OR(  D20 ="病"  ), $AP20 =""),"病(事)假",  IF(  AND(  OR(  C20="x",C20="補"  ), OR(  D20 ="補"  ), $AP20 =""),"補休",  IF(  AND(  OR(  C20="x",C20="喪"  ), OR(  D20 ="喪"  ), $AP20 =""),"喪假",  IF(  AND(  OR(  C20="x",C20="婚",C20="產"  ), OR(  D20 ="婚",D20="產"  ), $AP20 =""),"婚(產)假",  IF(  AND(  OR(  C20="x",C20="公"  ), OR(  D20 ="公"  ), $AP20 =""),"公假",  IF(  AND(  OR(  C20="x",C20="補",C20="婚",C20="公",C20="病",C20="事",C20="x榮18-22"  ),OR(D20=""), $AP20 =""  ),"18收",  IF(  AND(  OR(  C20 ="榮14-18",C20 ="榮10-18",C20 ="榮06-18",C20 ="病14-18"  ),OR(  D20 ="x",D20="補",D20="婚",D20="公",D20="病",D20="事",D20="x"  ), $AP20 =""),"18放早走",  IF(  AND(  OR(  C20 =""),OR(  D20 ="x",D20="補",D20="婚",D20="公",D20="病",D20="事",D20="x榮*",D20="榮",D20="榮-22"  ), $AP20 =""),"18放",  IF(  AND(  OR(  C20="當日退伍"  ),OR(  D20="退伍",D20="退", D20=""  ), $AP20 =""),"當日退伍",  IF(AND(  OR(C20="退",C20="退伍" ), OR(D20="退",D20="退伍" ), $AP20 =""),"退伍","全日勤"  )  )  )  )  )  )  )  )  )  )  ),"")</f>
        <v>全日勤</v>
      </c>
      <c r="D61" s="66" t="str">
        <f>IF(   (ROW(AP20)-1)&lt;=暫1!$B$2,           IF(  AND(  OR(  D20="x",D20="補"  ), OR(  E20 ="x",E20="補",E20="x榮18-22",E20="x公18-22",E20="x榮22-08"  ), $AP20 =""),"全日休",  IF(  AND(  OR(  D20="x",D20="病"  ), OR(  E20 ="病"  ), $AP20 =""),"病(事)假",  IF(  AND(  OR(  D20="x",D20="補"  ), OR(  E20 ="補"  ), $AP20 =""),"補休",  IF(  AND(  OR(  D20="x",D20="喪"  ), OR(  E20 ="喪"  ), $AP20 =""),"喪假",  IF(  AND(  OR(  D20="x",D20="婚",D20="產"  ), OR(  E20 ="婚",E20="產"  ), $AP20 =""),"婚(產)假",  IF(  AND(  OR(  D20="x",D20="公"  ), OR(  E20 ="公"  ), $AP20 =""),"公假",  IF(  AND(  OR(  D20="x",D20="補",D20="婚",D20="公",D20="病",D20="事",D20="x榮18-22"  ),OR(E20=""), $AP20 =""  ),"18收",  IF(  AND(  OR(  D20 ="榮14-18",D20 ="榮10-18",D20 ="榮06-18",D20 ="病14-18"  ),OR(  E20 ="x",E20="補",E20="婚",E20="公",E20="病",E20="事",E20="x"  ), $AP20 =""),"18放早走",  IF(  AND(  OR(  D20 =""),OR(  E20 ="x",E20="補",E20="婚",E20="公",E20="病",E20="事",E20="x榮*",E20="榮",E20="榮-22"  ), $AP20 =""),"18放",  IF(  AND(  OR(  D20="當日退伍"  ),OR(  E20="退伍",E20="退", E20=""  ), $AP20 =""),"當日退伍",  IF(AND(  OR(D20="退",D20="退伍" ), OR(E20="退",E20="退伍" ), $AP20 =""),"退伍","全日勤"  )  )  )  )  )  )  )  )  )  )  ),"")</f>
        <v>全日勤</v>
      </c>
      <c r="E61" s="66" t="str">
        <f>IF(   (ROW(AQ20)-1)&lt;=暫1!$B$2,           IF(  AND(  OR(  E20="x",E20="補"  ), OR(  F20 ="x",F20="補",F20="x榮18-22",F20="x公18-22",F20="x榮22-08"  ), $AP20 =""),"全日休",  IF(  AND(  OR(  E20="x",E20="病"  ), OR(  F20 ="病"  ), $AP20 =""),"病(事)假",  IF(  AND(  OR(  E20="x",E20="補"  ), OR(  F20 ="補"  ), $AP20 =""),"補休",  IF(  AND(  OR(  E20="x",E20="喪"  ), OR(  F20 ="喪"  ), $AP20 =""),"喪假",  IF(  AND(  OR(  E20="x",E20="婚",E20="產"  ), OR(  F20 ="婚",F20="產"  ), $AP20 =""),"婚(產)假",  IF(  AND(  OR(  E20="x",E20="公"  ), OR(  F20 ="公"  ), $AP20 =""),"公假",  IF(  AND(  OR(  E20="x",E20="補",E20="婚",E20="公",E20="病",E20="事",E20="x榮18-22"  ),OR(F20=""), $AP20 =""  ),"18收",  IF(  AND(  OR(  E20 ="榮14-18",E20 ="榮10-18",E20 ="榮06-18",E20 ="病14-18"  ),OR(  F20 ="x",F20="補",F20="婚",F20="公",F20="病",F20="事",F20="x"  ), $AP20 =""),"18放早走",  IF(  AND(  OR(  E20 =""),OR(  F20 ="x",F20="補",F20="婚",F20="公",F20="病",F20="事",F20="x榮*",F20="榮",F20="榮-22"  ), $AP20 =""),"18放",  IF(  AND(  OR(  E20="當日退伍"  ),OR(  F20="退伍",F20="退", F20=""  ), $AP20 =""),"當日退伍",  IF(AND(  OR(E20="退",E20="退伍" ), OR(F20="退",F20="退伍" ), $AP20 =""),"退伍","全日勤"  )  )  )  )  )  )  )  )  )  )  ),"")</f>
        <v>全日勤</v>
      </c>
      <c r="F61" s="66" t="str">
        <f>IF(   (ROW(AR20)-1)&lt;=暫1!$B$2,           IF(  AND(  OR(  F20="x",F20="補"  ), OR(  G20 ="x",G20="補",G20="x榮18-22",G20="x公18-22",G20="x榮22-08"  ), $AP20 =""),"全日休",  IF(  AND(  OR(  F20="x",F20="病"  ), OR(  G20 ="病"  ), $AP20 =""),"病(事)假",  IF(  AND(  OR(  F20="x",F20="補"  ), OR(  G20 ="補"  ), $AP20 =""),"補休",  IF(  AND(  OR(  F20="x",F20="喪"  ), OR(  G20 ="喪"  ), $AP20 =""),"喪假",  IF(  AND(  OR(  F20="x",F20="婚",F20="產"  ), OR(  G20 ="婚",G20="產"  ), $AP20 =""),"婚(產)假",  IF(  AND(  OR(  F20="x",F20="公"  ), OR(  G20 ="公"  ), $AP20 =""),"公假",  IF(  AND(  OR(  F20="x",F20="補",F20="婚",F20="公",F20="病",F20="事",F20="x榮18-22"  ),OR(G20=""), $AP20 =""  ),"18收",  IF(  AND(  OR(  F20 ="榮14-18",F20 ="榮10-18",F20 ="榮06-18",F20 ="病14-18"  ),OR(  G20 ="x",G20="補",G20="婚",G20="公",G20="病",G20="事",G20="x"  ), $AP20 =""),"18放早走",  IF(  AND(  OR(  F20 =""),OR(  G20 ="x",G20="補",G20="婚",G20="公",G20="病",G20="事",G20="x榮*",G20="榮",G20="榮-22"  ), $AP20 =""),"18放",  IF(  AND(  OR(  F20="當日退伍"  ),OR(  G20="退伍",G20="退", G20=""  ), $AP20 =""),"當日退伍",  IF(AND(  OR(F20="退",F20="退伍" ), OR(G20="退",G20="退伍" ), $AP20 =""),"退伍","全日勤"  )  )  )  )  )  )  )  )  )  )  ),"")</f>
        <v>全日勤</v>
      </c>
      <c r="G61" s="66" t="str">
        <f>IF(   (ROW(AS20)-1)&lt;=暫1!$B$2,           IF(  AND(  OR(  G20="x",G20="補"  ), OR(  H20 ="x",H20="補",H20="x榮18-22",H20="x公18-22",H20="x榮22-08"  ), $AP20 =""),"全日休",  IF(  AND(  OR(  G20="x",G20="病"  ), OR(  H20 ="病"  ), $AP20 =""),"病(事)假",  IF(  AND(  OR(  G20="x",G20="補"  ), OR(  H20 ="補"  ), $AP20 =""),"補休",  IF(  AND(  OR(  G20="x",G20="喪"  ), OR(  H20 ="喪"  ), $AP20 =""),"喪假",  IF(  AND(  OR(  G20="x",G20="婚",G20="產"  ), OR(  H20 ="婚",H20="產"  ), $AP20 =""),"婚(產)假",  IF(  AND(  OR(  G20="x",G20="公"  ), OR(  H20 ="公"  ), $AP20 =""),"公假",  IF(  AND(  OR(  G20="x",G20="補",G20="婚",G20="公",G20="病",G20="事",G20="x榮18-22"  ),OR(H20=""), $AP20 =""  ),"18收",  IF(  AND(  OR(  G20 ="榮14-18",G20 ="榮10-18",G20 ="榮06-18",G20 ="病14-18"  ),OR(  H20 ="x",H20="補",H20="婚",H20="公",H20="病",H20="事",H20="x"  ), $AP20 =""),"18放早走",  IF(  AND(  OR(  G20 =""),OR(  H20 ="x",H20="補",H20="婚",H20="公",H20="病",H20="事",H20="x榮*",H20="榮",H20="榮-22"  ), $AP20 =""),"18放",  IF(  AND(  OR(  G20="當日退伍"  ),OR(  H20="退伍",H20="退", H20=""  ), $AP20 =""),"當日退伍",  IF(AND(  OR(G20="退",G20="退伍" ), OR(H20="退",H20="退伍" ), $AP20 =""),"退伍","全日勤"  )  )  )  )  )  )  )  )  )  )  ),"")</f>
        <v>全日勤</v>
      </c>
      <c r="H61" s="66" t="str">
        <f>IF(   (ROW(AT20)-1)&lt;=暫1!$B$2,           IF(  AND(  OR(  H20="x",H20="補"  ), OR(  I20 ="x",I20="補",I20="x榮18-22",I20="x公18-22",I20="x榮22-08"  ), $AP20 =""),"全日休",  IF(  AND(  OR(  H20="x",H20="病"  ), OR(  I20 ="病"  ), $AP20 =""),"病(事)假",  IF(  AND(  OR(  H20="x",H20="補"  ), OR(  I20 ="補"  ), $AP20 =""),"補休",  IF(  AND(  OR(  H20="x",H20="喪"  ), OR(  I20 ="喪"  ), $AP20 =""),"喪假",  IF(  AND(  OR(  H20="x",H20="婚",H20="產"  ), OR(  I20 ="婚",I20="產"  ), $AP20 =""),"婚(產)假",  IF(  AND(  OR(  H20="x",H20="公"  ), OR(  I20 ="公"  ), $AP20 =""),"公假",  IF(  AND(  OR(  H20="x",H20="補",H20="婚",H20="公",H20="病",H20="事",H20="x榮18-22"  ),OR(I20=""), $AP20 =""  ),"18收",  IF(  AND(  OR(  H20 ="榮14-18",H20 ="榮10-18",H20 ="榮06-18",H20 ="病14-18"  ),OR(  I20 ="x",I20="補",I20="婚",I20="公",I20="病",I20="事",I20="x"  ), $AP20 =""),"18放早走",  IF(  AND(  OR(  H20 =""),OR(  I20 ="x",I20="補",I20="婚",I20="公",I20="病",I20="事",I20="x榮*",I20="榮",I20="榮-22"  ), $AP20 =""),"18放",  IF(  AND(  OR(  H20="當日退伍"  ),OR(  I20="退伍",I20="退", I20=""  ), $AP20 =""),"當日退伍",  IF(AND(  OR(H20="退",H20="退伍" ), OR(I20="退",I20="退伍" ), $AP20 =""),"退伍","全日勤"  )  )  )  )  )  )  )  )  )  )  ),"")</f>
        <v>全日勤</v>
      </c>
      <c r="I61" s="66" t="str">
        <f>IF(   (ROW(AU20)-1)&lt;=暫1!$B$2,           IF(  AND(  OR(  I20="x",I20="補"  ), OR(  J20 ="x",J20="補",J20="x榮18-22",J20="x公18-22",J20="x榮22-08"  ), $AP20 =""),"全日休",  IF(  AND(  OR(  I20="x",I20="病"  ), OR(  J20 ="病"  ), $AP20 =""),"病(事)假",  IF(  AND(  OR(  I20="x",I20="補"  ), OR(  J20 ="補"  ), $AP20 =""),"補休",  IF(  AND(  OR(  I20="x",I20="喪"  ), OR(  J20 ="喪"  ), $AP20 =""),"喪假",  IF(  AND(  OR(  I20="x",I20="婚",I20="產"  ), OR(  J20 ="婚",J20="產"  ), $AP20 =""),"婚(產)假",  IF(  AND(  OR(  I20="x",I20="公"  ), OR(  J20 ="公"  ), $AP20 =""),"公假",  IF(  AND(  OR(  I20="x",I20="補",I20="婚",I20="公",I20="病",I20="事",I20="x榮18-22"  ),OR(J20=""), $AP20 =""  ),"18收",  IF(  AND(  OR(  I20 ="榮14-18",I20 ="榮10-18",I20 ="榮06-18",I20 ="病14-18"  ),OR(  J20 ="x",J20="補",J20="婚",J20="公",J20="病",J20="事",J20="x"  ), $AP20 =""),"18放早走",  IF(  AND(  OR(  I20 =""),OR(  J20 ="x",J20="補",J20="婚",J20="公",J20="病",J20="事",J20="x榮*",J20="榮",J20="榮-22"  ), $AP20 =""),"18放",  IF(  AND(  OR(  I20="當日退伍"  ),OR(  J20="退伍",J20="退", J20=""  ), $AP20 =""),"當日退伍",  IF(AND(  OR(I20="退",I20="退伍" ), OR(J20="退",J20="退伍" ), $AP20 =""),"退伍","全日勤"  )  )  )  )  )  )  )  )  )  )  ),"")</f>
        <v>全日勤</v>
      </c>
      <c r="J61" s="66" t="str">
        <f>IF(   (ROW(AV20)-1)&lt;=暫1!$B$2,           IF(  AND(  OR(  J20="x",J20="補"  ), OR(  K20 ="x",K20="補",K20="x榮18-22",K20="x公18-22",K20="x榮22-08"  ), $AP20 =""),"全日休",  IF(  AND(  OR(  J20="x",J20="病"  ), OR(  K20 ="病"  ), $AP20 =""),"病(事)假",  IF(  AND(  OR(  J20="x",J20="補"  ), OR(  K20 ="補"  ), $AP20 =""),"補休",  IF(  AND(  OR(  J20="x",J20="喪"  ), OR(  K20 ="喪"  ), $AP20 =""),"喪假",  IF(  AND(  OR(  J20="x",J20="婚",J20="產"  ), OR(  K20 ="婚",K20="產"  ), $AP20 =""),"婚(產)假",  IF(  AND(  OR(  J20="x",J20="公"  ), OR(  K20 ="公"  ), $AP20 =""),"公假",  IF(  AND(  OR(  J20="x",J20="補",J20="婚",J20="公",J20="病",J20="事",J20="x榮18-22"  ),OR(K20=""), $AP20 =""  ),"18收",  IF(  AND(  OR(  J20 ="榮14-18",J20 ="榮10-18",J20 ="榮06-18",J20 ="病14-18"  ),OR(  K20 ="x",K20="補",K20="婚",K20="公",K20="病",K20="事",K20="x"  ), $AP20 =""),"18放早走",  IF(  AND(  OR(  J20 =""),OR(  K20 ="x",K20="補",K20="婚",K20="公",K20="病",K20="事",K20="x榮*",K20="榮",K20="榮-22"  ), $AP20 =""),"18放",  IF(  AND(  OR(  J20="當日退伍"  ),OR(  K20="退伍",K20="退", K20=""  ), $AP20 =""),"當日退伍",  IF(AND(  OR(J20="退",J20="退伍" ), OR(K20="退",K20="退伍" ), $AP20 =""),"退伍","全日勤"  )  )  )  )  )  )  )  )  )  )  ),"")</f>
        <v>全日勤</v>
      </c>
      <c r="K61" s="66" t="str">
        <f>IF(   (ROW(AW20)-1)&lt;=暫1!$B$2,           IF(  AND(  OR(  K20="x",K20="補"  ), OR(  L20 ="x",L20="補",L20="x榮18-22",L20="x公18-22",L20="x榮22-08"  ), $AP20 =""),"全日休",  IF(  AND(  OR(  K20="x",K20="病"  ), OR(  L20 ="病"  ), $AP20 =""),"病(事)假",  IF(  AND(  OR(  K20="x",K20="補"  ), OR(  L20 ="補"  ), $AP20 =""),"補休",  IF(  AND(  OR(  K20="x",K20="喪"  ), OR(  L20 ="喪"  ), $AP20 =""),"喪假",  IF(  AND(  OR(  K20="x",K20="婚",K20="產"  ), OR(  L20 ="婚",L20="產"  ), $AP20 =""),"婚(產)假",  IF(  AND(  OR(  K20="x",K20="公"  ), OR(  L20 ="公"  ), $AP20 =""),"公假",  IF(  AND(  OR(  K20="x",K20="補",K20="婚",K20="公",K20="病",K20="事",K20="x榮18-22"  ),OR(L20=""), $AP20 =""  ),"18收",  IF(  AND(  OR(  K20 ="榮14-18",K20 ="榮10-18",K20 ="榮06-18",K20 ="病14-18"  ),OR(  L20 ="x",L20="補",L20="婚",L20="公",L20="病",L20="事",L20="x"  ), $AP20 =""),"18放早走",  IF(  AND(  OR(  K20 =""),OR(  L20 ="x",L20="補",L20="婚",L20="公",L20="病",L20="事",L20="x榮*",L20="榮",L20="榮-22"  ), $AP20 =""),"18放",  IF(  AND(  OR(  K20="當日退伍"  ),OR(  L20="退伍",L20="退", L20=""  ), $AP20 =""),"當日退伍",  IF(AND(  OR(K20="退",K20="退伍" ), OR(L20="退",L20="退伍" ), $AP20 =""),"退伍","全日勤"  )  )  )  )  )  )  )  )  )  )  ),"")</f>
        <v>全日勤</v>
      </c>
      <c r="L61" s="66" t="str">
        <f>IF(   (ROW(AX20)-1)&lt;=暫1!$B$2,           IF(  AND(  OR(  L20="x",L20="補"  ), OR(  M20 ="x",M20="補",M20="x榮18-22",M20="x公18-22",M20="x榮22-08"  ), $AP20 =""),"全日休",  IF(  AND(  OR(  L20="x",L20="病"  ), OR(  M20 ="病"  ), $AP20 =""),"病(事)假",  IF(  AND(  OR(  L20="x",L20="補"  ), OR(  M20 ="補"  ), $AP20 =""),"補休",  IF(  AND(  OR(  L20="x",L20="喪"  ), OR(  M20 ="喪"  ), $AP20 =""),"喪假",  IF(  AND(  OR(  L20="x",L20="婚",L20="產"  ), OR(  M20 ="婚",M20="產"  ), $AP20 =""),"婚(產)假",  IF(  AND(  OR(  L20="x",L20="公"  ), OR(  M20 ="公"  ), $AP20 =""),"公假",  IF(  AND(  OR(  L20="x",L20="補",L20="婚",L20="公",L20="病",L20="事",L20="x榮18-22"  ),OR(M20=""), $AP20 =""  ),"18收",  IF(  AND(  OR(  L20 ="榮14-18",L20 ="榮10-18",L20 ="榮06-18",L20 ="病14-18"  ),OR(  M20 ="x",M20="補",M20="婚",M20="公",M20="病",M20="事",M20="x"  ), $AP20 =""),"18放早走",  IF(  AND(  OR(  L20 =""),OR(  M20 ="x",M20="補",M20="婚",M20="公",M20="病",M20="事",M20="x榮*",M20="榮",M20="榮-22"  ), $AP20 =""),"18放",  IF(  AND(  OR(  L20="當日退伍"  ),OR(  M20="退伍",M20="退", M20=""  ), $AP20 =""),"當日退伍",  IF(AND(  OR(L20="退",L20="退伍" ), OR(M20="退",M20="退伍" ), $AP20 =""),"退伍","全日勤"  )  )  )  )  )  )  )  )  )  )  ),"")</f>
        <v>全日勤</v>
      </c>
      <c r="M61" s="66" t="str">
        <f>IF(   (ROW(AY20)-1)&lt;=暫1!$B$2,           IF(  AND(  OR(  M20="x",M20="補"  ), OR(  N20 ="x",N20="補",N20="x榮18-22",N20="x公18-22",N20="x榮22-08"  ), $AP20 =""),"全日休",  IF(  AND(  OR(  M20="x",M20="病"  ), OR(  N20 ="病"  ), $AP20 =""),"病(事)假",  IF(  AND(  OR(  M20="x",M20="補"  ), OR(  N20 ="補"  ), $AP20 =""),"補休",  IF(  AND(  OR(  M20="x",M20="喪"  ), OR(  N20 ="喪"  ), $AP20 =""),"喪假",  IF(  AND(  OR(  M20="x",M20="婚",M20="產"  ), OR(  N20 ="婚",N20="產"  ), $AP20 =""),"婚(產)假",  IF(  AND(  OR(  M20="x",M20="公"  ), OR(  N20 ="公"  ), $AP20 =""),"公假",  IF(  AND(  OR(  M20="x",M20="補",M20="婚",M20="公",M20="病",M20="事",M20="x榮18-22"  ),OR(N20=""), $AP20 =""  ),"18收",  IF(  AND(  OR(  M20 ="榮14-18",M20 ="榮10-18",M20 ="榮06-18",M20 ="病14-18"  ),OR(  N20 ="x",N20="補",N20="婚",N20="公",N20="病",N20="事",N20="x"  ), $AP20 =""),"18放早走",  IF(  AND(  OR(  M20 =""),OR(  N20 ="x",N20="補",N20="婚",N20="公",N20="病",N20="事",N20="x榮*",N20="榮",N20="榮-22"  ), $AP20 =""),"18放",  IF(  AND(  OR(  M20="當日退伍"  ),OR(  N20="退伍",N20="退", N20=""  ), $AP20 =""),"當日退伍",  IF(AND(  OR(M20="退",M20="退伍" ), OR(N20="退",N20="退伍" ), $AP20 =""),"退伍","全日勤"  )  )  )  )  )  )  )  )  )  )  ),"")</f>
        <v>全日勤</v>
      </c>
      <c r="N61" s="66" t="str">
        <f>IF(   (ROW(AZ20)-1)&lt;=暫1!$B$2,           IF(  AND(  OR(  N20="x",N20="補"  ), OR(  O20 ="x",O20="補",O20="x榮18-22",O20="x公18-22",O20="x榮22-08"  ), $AP20 =""),"全日休",  IF(  AND(  OR(  N20="x",N20="病"  ), OR(  O20 ="病"  ), $AP20 =""),"病(事)假",  IF(  AND(  OR(  N20="x",N20="補"  ), OR(  O20 ="補"  ), $AP20 =""),"補休",  IF(  AND(  OR(  N20="x",N20="喪"  ), OR(  O20 ="喪"  ), $AP20 =""),"喪假",  IF(  AND(  OR(  N20="x",N20="婚",N20="產"  ), OR(  O20 ="婚",O20="產"  ), $AP20 =""),"婚(產)假",  IF(  AND(  OR(  N20="x",N20="公"  ), OR(  O20 ="公"  ), $AP20 =""),"公假",  IF(  AND(  OR(  N20="x",N20="補",N20="婚",N20="公",N20="病",N20="事",N20="x榮18-22"  ),OR(O20=""), $AP20 =""  ),"18收",  IF(  AND(  OR(  N20 ="榮14-18",N20 ="榮10-18",N20 ="榮06-18",N20 ="病14-18"  ),OR(  O20 ="x",O20="補",O20="婚",O20="公",O20="病",O20="事",O20="x"  ), $AP20 =""),"18放早走",  IF(  AND(  OR(  N20 =""),OR(  O20 ="x",O20="補",O20="婚",O20="公",O20="病",O20="事",O20="x榮*",O20="榮",O20="榮-22"  ), $AP20 =""),"18放",  IF(  AND(  OR(  N20="當日退伍"  ),OR(  O20="退伍",O20="退", O20=""  ), $AP20 =""),"當日退伍",  IF(AND(  OR(N20="退",N20="退伍" ), OR(O20="退",O20="退伍" ), $AP20 =""),"退伍","全日勤"  )  )  )  )  )  )  )  )  )  )  ),"")</f>
        <v>全日勤</v>
      </c>
      <c r="O61" s="66" t="str">
        <f>IF(   (ROW(BA20)-1)&lt;=暫1!$B$2,           IF(  AND(  OR(  O20="x",O20="補"  ), OR(  P20 ="x",P20="補",P20="x榮18-22",P20="x公18-22",P20="x榮22-08"  ), $AP20 =""),"全日休",  IF(  AND(  OR(  O20="x",O20="病"  ), OR(  P20 ="病"  ), $AP20 =""),"病(事)假",  IF(  AND(  OR(  O20="x",O20="補"  ), OR(  P20 ="補"  ), $AP20 =""),"補休",  IF(  AND(  OR(  O20="x",O20="喪"  ), OR(  P20 ="喪"  ), $AP20 =""),"喪假",  IF(  AND(  OR(  O20="x",O20="婚",O20="產"  ), OR(  P20 ="婚",P20="產"  ), $AP20 =""),"婚(產)假",  IF(  AND(  OR(  O20="x",O20="公"  ), OR(  P20 ="公"  ), $AP20 =""),"公假",  IF(  AND(  OR(  O20="x",O20="補",O20="婚",O20="公",O20="病",O20="事",O20="x榮18-22"  ),OR(P20=""), $AP20 =""  ),"18收",  IF(  AND(  OR(  O20 ="榮14-18",O20 ="榮10-18",O20 ="榮06-18",O20 ="病14-18"  ),OR(  P20 ="x",P20="補",P20="婚",P20="公",P20="病",P20="事",P20="x"  ), $AP20 =""),"18放早走",  IF(  AND(  OR(  O20 =""),OR(  P20 ="x",P20="補",P20="婚",P20="公",P20="病",P20="事",P20="x榮*",P20="榮",P20="榮-22"  ), $AP20 =""),"18放",  IF(  AND(  OR(  O20="當日退伍"  ),OR(  P20="退伍",P20="退", P20=""  ), $AP20 =""),"當日退伍",  IF(AND(  OR(O20="退",O20="退伍" ), OR(P20="退",P20="退伍" ), $AP20 =""),"退伍","全日勤"  )  )  )  )  )  )  )  )  )  )  ),"")</f>
        <v>全日勤</v>
      </c>
      <c r="P61" s="66" t="str">
        <f>IF(   (ROW(BB20)-1)&lt;=暫1!$B$2,           IF(  AND(  OR(  P20="x",P20="補"  ), OR(  Q20 ="x",Q20="補",Q20="x榮18-22",Q20="x公18-22",Q20="x榮22-08"  ), $AP20 =""),"全日休",  IF(  AND(  OR(  P20="x",P20="病"  ), OR(  Q20 ="病"  ), $AP20 =""),"病(事)假",  IF(  AND(  OR(  P20="x",P20="補"  ), OR(  Q20 ="補"  ), $AP20 =""),"補休",  IF(  AND(  OR(  P20="x",P20="喪"  ), OR(  Q20 ="喪"  ), $AP20 =""),"喪假",  IF(  AND(  OR(  P20="x",P20="婚",P20="產"  ), OR(  Q20 ="婚",Q20="產"  ), $AP20 =""),"婚(產)假",  IF(  AND(  OR(  P20="x",P20="公"  ), OR(  Q20 ="公"  ), $AP20 =""),"公假",  IF(  AND(  OR(  P20="x",P20="補",P20="婚",P20="公",P20="病",P20="事",P20="x榮18-22"  ),OR(Q20=""), $AP20 =""  ),"18收",  IF(  AND(  OR(  P20 ="榮14-18",P20 ="榮10-18",P20 ="榮06-18",P20 ="病14-18"  ),OR(  Q20 ="x",Q20="補",Q20="婚",Q20="公",Q20="病",Q20="事",Q20="x"  ), $AP20 =""),"18放早走",  IF(  AND(  OR(  P20 =""),OR(  Q20 ="x",Q20="補",Q20="婚",Q20="公",Q20="病",Q20="事",Q20="x榮*",Q20="榮",Q20="榮-22"  ), $AP20 =""),"18放",  IF(  AND(  OR(  P20="當日退伍"  ),OR(  Q20="退伍",Q20="退", Q20=""  ), $AP20 =""),"當日退伍",  IF(AND(  OR(P20="退",P20="退伍" ), OR(Q20="退",Q20="退伍" ), $AP20 =""),"退伍","全日勤"  )  )  )  )  )  )  )  )  )  )  ),"")</f>
        <v>全日勤</v>
      </c>
      <c r="Q61" s="66" t="str">
        <f>IF(   (ROW(BC20)-1)&lt;=暫1!$B$2,           IF(  AND(  OR(  Q20="x",Q20="補"  ), OR(  R20 ="x",R20="補",R20="x榮18-22",R20="x公18-22",R20="x榮22-08"  ), $AP20 =""),"全日休",  IF(  AND(  OR(  Q20="x",Q20="病"  ), OR(  R20 ="病"  ), $AP20 =""),"病(事)假",  IF(  AND(  OR(  Q20="x",Q20="補"  ), OR(  R20 ="補"  ), $AP20 =""),"補休",  IF(  AND(  OR(  Q20="x",Q20="喪"  ), OR(  R20 ="喪"  ), $AP20 =""),"喪假",  IF(  AND(  OR(  Q20="x",Q20="婚",Q20="產"  ), OR(  R20 ="婚",R20="產"  ), $AP20 =""),"婚(產)假",  IF(  AND(  OR(  Q20="x",Q20="公"  ), OR(  R20 ="公"  ), $AP20 =""),"公假",  IF(  AND(  OR(  Q20="x",Q20="補",Q20="婚",Q20="公",Q20="病",Q20="事",Q20="x榮18-22"  ),OR(R20=""), $AP20 =""  ),"18收",  IF(  AND(  OR(  Q20 ="榮14-18",Q20 ="榮10-18",Q20 ="榮06-18",Q20 ="病14-18"  ),OR(  R20 ="x",R20="補",R20="婚",R20="公",R20="病",R20="事",R20="x"  ), $AP20 =""),"18放早走",  IF(  AND(  OR(  Q20 =""),OR(  R20 ="x",R20="補",R20="婚",R20="公",R20="病",R20="事",R20="x榮*",R20="榮",R20="榮-22"  ), $AP20 =""),"18放",  IF(  AND(  OR(  Q20="當日退伍"  ),OR(  R20="退伍",R20="退", R20=""  ), $AP20 =""),"當日退伍",  IF(AND(  OR(Q20="退",Q20="退伍" ), OR(R20="退",R20="退伍" ), $AP20 =""),"退伍","全日勤"  )  )  )  )  )  )  )  )  )  )  ),"")</f>
        <v>全日勤</v>
      </c>
      <c r="R61" s="66" t="str">
        <f>IF(   (ROW(BD20)-1)&lt;=暫1!$B$2,           IF(  AND(  OR(  R20="x",R20="補"  ), OR(  S20 ="x",S20="補",S20="x榮18-22",S20="x公18-22",S20="x榮22-08"  ), $AP20 =""),"全日休",  IF(  AND(  OR(  R20="x",R20="病"  ), OR(  S20 ="病"  ), $AP20 =""),"病(事)假",  IF(  AND(  OR(  R20="x",R20="補"  ), OR(  S20 ="補"  ), $AP20 =""),"補休",  IF(  AND(  OR(  R20="x",R20="喪"  ), OR(  S20 ="喪"  ), $AP20 =""),"喪假",  IF(  AND(  OR(  R20="x",R20="婚",R20="產"  ), OR(  S20 ="婚",S20="產"  ), $AP20 =""),"婚(產)假",  IF(  AND(  OR(  R20="x",R20="公"  ), OR(  S20 ="公"  ), $AP20 =""),"公假",  IF(  AND(  OR(  R20="x",R20="補",R20="婚",R20="公",R20="病",R20="事",R20="x榮18-22"  ),OR(S20=""), $AP20 =""  ),"18收",  IF(  AND(  OR(  R20 ="榮14-18",R20 ="榮10-18",R20 ="榮06-18",R20 ="病14-18"  ),OR(  S20 ="x",S20="補",S20="婚",S20="公",S20="病",S20="事",S20="x"  ), $AP20 =""),"18放早走",  IF(  AND(  OR(  R20 =""),OR(  S20 ="x",S20="補",S20="婚",S20="公",S20="病",S20="事",S20="x榮*",S20="榮",S20="榮-22"  ), $AP20 =""),"18放",  IF(  AND(  OR(  R20="當日退伍"  ),OR(  S20="退伍",S20="退", S20=""  ), $AP20 =""),"當日退伍",  IF(AND(  OR(R20="退",R20="退伍" ), OR(S20="退",S20="退伍" ), $AP20 =""),"退伍","全日勤"  )  )  )  )  )  )  )  )  )  )  ),"")</f>
        <v>全日勤</v>
      </c>
      <c r="S61" s="66" t="str">
        <f>IF(   (ROW(BE20)-1)&lt;=暫1!$B$2,           IF(  AND(  OR(  S20="x",S20="補"  ), OR(  T20 ="x",T20="補",T20="x榮18-22",T20="x公18-22",T20="x榮22-08"  ), $AP20 =""),"全日休",  IF(  AND(  OR(  S20="x",S20="病"  ), OR(  T20 ="病"  ), $AP20 =""),"病(事)假",  IF(  AND(  OR(  S20="x",S20="補"  ), OR(  T20 ="補"  ), $AP20 =""),"補休",  IF(  AND(  OR(  S20="x",S20="喪"  ), OR(  T20 ="喪"  ), $AP20 =""),"喪假",  IF(  AND(  OR(  S20="x",S20="婚",S20="產"  ), OR(  T20 ="婚",T20="產"  ), $AP20 =""),"婚(產)假",  IF(  AND(  OR(  S20="x",S20="公"  ), OR(  T20 ="公"  ), $AP20 =""),"公假",  IF(  AND(  OR(  S20="x",S20="補",S20="婚",S20="公",S20="病",S20="事",S20="x榮18-22"  ),OR(T20=""), $AP20 =""  ),"18收",  IF(  AND(  OR(  S20 ="榮14-18",S20 ="榮10-18",S20 ="榮06-18",S20 ="病14-18"  ),OR(  T20 ="x",T20="補",T20="婚",T20="公",T20="病",T20="事",T20="x"  ), $AP20 =""),"18放早走",  IF(  AND(  OR(  S20 =""),OR(  T20 ="x",T20="補",T20="婚",T20="公",T20="病",T20="事",T20="x榮*",T20="榮",T20="榮-22"  ), $AP20 =""),"18放",  IF(  AND(  OR(  S20="當日退伍"  ),OR(  T20="退伍",T20="退", T20=""  ), $AP20 =""),"當日退伍",  IF(AND(  OR(S20="退",S20="退伍" ), OR(T20="退",T20="退伍" ), $AP20 =""),"退伍","全日勤"  )  )  )  )  )  )  )  )  )  )  ),"")</f>
        <v>全日勤</v>
      </c>
      <c r="T61" s="66" t="str">
        <f>IF(   (ROW(BF20)-1)&lt;=暫1!$B$2,           IF(  AND(  OR(  T20="x",T20="補"  ), OR(  U20 ="x",U20="補",U20="x榮18-22",U20="x公18-22",U20="x榮22-08"  ), $AP20 =""),"全日休",  IF(  AND(  OR(  T20="x",T20="病"  ), OR(  U20 ="病"  ), $AP20 =""),"病(事)假",  IF(  AND(  OR(  T20="x",T20="補"  ), OR(  U20 ="補"  ), $AP20 =""),"補休",  IF(  AND(  OR(  T20="x",T20="喪"  ), OR(  U20 ="喪"  ), $AP20 =""),"喪假",  IF(  AND(  OR(  T20="x",T20="婚",T20="產"  ), OR(  U20 ="婚",U20="產"  ), $AP20 =""),"婚(產)假",  IF(  AND(  OR(  T20="x",T20="公"  ), OR(  U20 ="公"  ), $AP20 =""),"公假",  IF(  AND(  OR(  T20="x",T20="補",T20="婚",T20="公",T20="病",T20="事",T20="x榮18-22"  ),OR(U20=""), $AP20 =""  ),"18收",  IF(  AND(  OR(  T20 ="榮14-18",T20 ="榮10-18",T20 ="榮06-18",T20 ="病14-18"  ),OR(  U20 ="x",U20="補",U20="婚",U20="公",U20="病",U20="事",U20="x"  ), $AP20 =""),"18放早走",  IF(  AND(  OR(  T20 =""),OR(  U20 ="x",U20="補",U20="婚",U20="公",U20="病",U20="事",U20="x榮*",U20="榮",U20="榮-22"  ), $AP20 =""),"18放",  IF(  AND(  OR(  T20="當日退伍"  ),OR(  U20="退伍",U20="退", U20=""  ), $AP20 =""),"當日退伍",  IF(AND(  OR(T20="退",T20="退伍" ), OR(U20="退",U20="退伍" ), $AP20 =""),"退伍","全日勤"  )  )  )  )  )  )  )  )  )  )  ),"")</f>
        <v>全日勤</v>
      </c>
      <c r="U61" s="66" t="str">
        <f>IF(   (ROW(BG20)-1)&lt;=暫1!$B$2,           IF(  AND(  OR(  U20="x",U20="補"  ), OR(  V20 ="x",V20="補",V20="x榮18-22",V20="x公18-22",V20="x榮22-08"  ), $AP20 =""),"全日休",  IF(  AND(  OR(  U20="x",U20="病"  ), OR(  V20 ="病"  ), $AP20 =""),"病(事)假",  IF(  AND(  OR(  U20="x",U20="補"  ), OR(  V20 ="補"  ), $AP20 =""),"補休",  IF(  AND(  OR(  U20="x",U20="喪"  ), OR(  V20 ="喪"  ), $AP20 =""),"喪假",  IF(  AND(  OR(  U20="x",U20="婚",U20="產"  ), OR(  V20 ="婚",V20="產"  ), $AP20 =""),"婚(產)假",  IF(  AND(  OR(  U20="x",U20="公"  ), OR(  V20 ="公"  ), $AP20 =""),"公假",  IF(  AND(  OR(  U20="x",U20="補",U20="婚",U20="公",U20="病",U20="事",U20="x榮18-22"  ),OR(V20=""), $AP20 =""  ),"18收",  IF(  AND(  OR(  U20 ="榮14-18",U20 ="榮10-18",U20 ="榮06-18",U20 ="病14-18"  ),OR(  V20 ="x",V20="補",V20="婚",V20="公",V20="病",V20="事",V20="x"  ), $AP20 =""),"18放早走",  IF(  AND(  OR(  U20 =""),OR(  V20 ="x",V20="補",V20="婚",V20="公",V20="病",V20="事",V20="x榮*",V20="榮",V20="榮-22"  ), $AP20 =""),"18放",  IF(  AND(  OR(  U20="當日退伍"  ),OR(  V20="退伍",V20="退", V20=""  ), $AP20 =""),"當日退伍",  IF(AND(  OR(U20="退",U20="退伍" ), OR(V20="退",V20="退伍" ), $AP20 =""),"退伍","全日勤"  )  )  )  )  )  )  )  )  )  )  ),"")</f>
        <v>全日勤</v>
      </c>
      <c r="V61" s="66" t="str">
        <f>IF(   (ROW(BH20)-1)&lt;=暫1!$B$2,           IF(  AND(  OR(  V20="x",V20="補"  ), OR(  W20 ="x",W20="補",W20="x榮18-22",W20="x公18-22",W20="x榮22-08"  ), $AP20 =""),"全日休",  IF(  AND(  OR(  V20="x",V20="病"  ), OR(  W20 ="病"  ), $AP20 =""),"病(事)假",  IF(  AND(  OR(  V20="x",V20="補"  ), OR(  W20 ="補"  ), $AP20 =""),"補休",  IF(  AND(  OR(  V20="x",V20="喪"  ), OR(  W20 ="喪"  ), $AP20 =""),"喪假",  IF(  AND(  OR(  V20="x",V20="婚",V20="產"  ), OR(  W20 ="婚",W20="產"  ), $AP20 =""),"婚(產)假",  IF(  AND(  OR(  V20="x",V20="公"  ), OR(  W20 ="公"  ), $AP20 =""),"公假",  IF(  AND(  OR(  V20="x",V20="補",V20="婚",V20="公",V20="病",V20="事",V20="x榮18-22"  ),OR(W20=""), $AP20 =""  ),"18收",  IF(  AND(  OR(  V20 ="榮14-18",V20 ="榮10-18",V20 ="榮06-18",V20 ="病14-18"  ),OR(  W20 ="x",W20="補",W20="婚",W20="公",W20="病",W20="事",W20="x"  ), $AP20 =""),"18放早走",  IF(  AND(  OR(  V20 =""),OR(  W20 ="x",W20="補",W20="婚",W20="公",W20="病",W20="事",W20="x榮*",W20="榮",W20="榮-22"  ), $AP20 =""),"18放",  IF(  AND(  OR(  V20="當日退伍"  ),OR(  W20="退伍",W20="退", W20=""  ), $AP20 =""),"當日退伍",  IF(AND(  OR(V20="退",V20="退伍" ), OR(W20="退",W20="退伍" ), $AP20 =""),"退伍","全日勤"  )  )  )  )  )  )  )  )  )  )  ),"")</f>
        <v>全日勤</v>
      </c>
      <c r="W61" s="66" t="str">
        <f>IF(   (ROW(BI20)-1)&lt;=暫1!$B$2,           IF(  AND(  OR(  W20="x",W20="補"  ), OR(  X20 ="x",X20="補",X20="x榮18-22",X20="x公18-22",X20="x榮22-08"  ), $AP20 =""),"全日休",  IF(  AND(  OR(  W20="x",W20="病"  ), OR(  X20 ="病"  ), $AP20 =""),"病(事)假",  IF(  AND(  OR(  W20="x",W20="補"  ), OR(  X20 ="補"  ), $AP20 =""),"補休",  IF(  AND(  OR(  W20="x",W20="喪"  ), OR(  X20 ="喪"  ), $AP20 =""),"喪假",  IF(  AND(  OR(  W20="x",W20="婚",W20="產"  ), OR(  X20 ="婚",X20="產"  ), $AP20 =""),"婚(產)假",  IF(  AND(  OR(  W20="x",W20="公"  ), OR(  X20 ="公"  ), $AP20 =""),"公假",  IF(  AND(  OR(  W20="x",W20="補",W20="婚",W20="公",W20="病",W20="事",W20="x榮18-22"  ),OR(X20=""), $AP20 =""  ),"18收",  IF(  AND(  OR(  W20 ="榮14-18",W20 ="榮10-18",W20 ="榮06-18",W20 ="病14-18"  ),OR(  X20 ="x",X20="補",X20="婚",X20="公",X20="病",X20="事",X20="x"  ), $AP20 =""),"18放早走",  IF(  AND(  OR(  W20 =""),OR(  X20 ="x",X20="補",X20="婚",X20="公",X20="病",X20="事",X20="x榮*",X20="榮",X20="榮-22"  ), $AP20 =""),"18放",  IF(  AND(  OR(  W20="當日退伍"  ),OR(  X20="退伍",X20="退", X20=""  ), $AP20 =""),"當日退伍",  IF(AND(  OR(W20="退",W20="退伍" ), OR(X20="退",X20="退伍" ), $AP20 =""),"退伍","全日勤"  )  )  )  )  )  )  )  )  )  )  ),"")</f>
        <v>全日勤</v>
      </c>
      <c r="X61" s="66" t="str">
        <f>IF(   (ROW(BJ20)-1)&lt;=暫1!$B$2,           IF(  AND(  OR(  X20="x",X20="補"  ), OR(  Y20 ="x",Y20="補",Y20="x榮18-22",Y20="x公18-22",Y20="x榮22-08"  ), $AP20 =""),"全日休",  IF(  AND(  OR(  X20="x",X20="病"  ), OR(  Y20 ="病"  ), $AP20 =""),"病(事)假",  IF(  AND(  OR(  X20="x",X20="補"  ), OR(  Y20 ="補"  ), $AP20 =""),"補休",  IF(  AND(  OR(  X20="x",X20="喪"  ), OR(  Y20 ="喪"  ), $AP20 =""),"喪假",  IF(  AND(  OR(  X20="x",X20="婚",X20="產"  ), OR(  Y20 ="婚",Y20="產"  ), $AP20 =""),"婚(產)假",  IF(  AND(  OR(  X20="x",X20="公"  ), OR(  Y20 ="公"  ), $AP20 =""),"公假",  IF(  AND(  OR(  X20="x",X20="補",X20="婚",X20="公",X20="病",X20="事",X20="x榮18-22"  ),OR(Y20=""), $AP20 =""  ),"18收",  IF(  AND(  OR(  X20 ="榮14-18",X20 ="榮10-18",X20 ="榮06-18",X20 ="病14-18"  ),OR(  Y20 ="x",Y20="補",Y20="婚",Y20="公",Y20="病",Y20="事",Y20="x"  ), $AP20 =""),"18放早走",  IF(  AND(  OR(  X20 =""),OR(  Y20 ="x",Y20="補",Y20="婚",Y20="公",Y20="病",Y20="事",Y20="x榮*",Y20="榮",Y20="榮-22"  ), $AP20 =""),"18放",  IF(  AND(  OR(  X20="當日退伍"  ),OR(  Y20="退伍",Y20="退", Y20=""  ), $AP20 =""),"當日退伍",  IF(AND(  OR(X20="退",X20="退伍" ), OR(Y20="退",Y20="退伍" ), $AP20 =""),"退伍","全日勤"  )  )  )  )  )  )  )  )  )  )  ),"")</f>
        <v>全日勤</v>
      </c>
      <c r="Y61" s="66" t="str">
        <f>IF(   (ROW(BK20)-1)&lt;=暫1!$B$2,           IF(  AND(  OR(  Y20="x",Y20="補"  ), OR(  Z20 ="x",Z20="補",Z20="x榮18-22",Z20="x公18-22",Z20="x榮22-08"  ), $AP20 =""),"全日休",  IF(  AND(  OR(  Y20="x",Y20="病"  ), OR(  Z20 ="病"  ), $AP20 =""),"病(事)假",  IF(  AND(  OR(  Y20="x",Y20="補"  ), OR(  Z20 ="補"  ), $AP20 =""),"補休",  IF(  AND(  OR(  Y20="x",Y20="喪"  ), OR(  Z20 ="喪"  ), $AP20 =""),"喪假",  IF(  AND(  OR(  Y20="x",Y20="婚",Y20="產"  ), OR(  Z20 ="婚",Z20="產"  ), $AP20 =""),"婚(產)假",  IF(  AND(  OR(  Y20="x",Y20="公"  ), OR(  Z20 ="公"  ), $AP20 =""),"公假",  IF(  AND(  OR(  Y20="x",Y20="補",Y20="婚",Y20="公",Y20="病",Y20="事",Y20="x榮18-22"  ),OR(Z20=""), $AP20 =""  ),"18收",  IF(  AND(  OR(  Y20 ="榮14-18",Y20 ="榮10-18",Y20 ="榮06-18",Y20 ="病14-18"  ),OR(  Z20 ="x",Z20="補",Z20="婚",Z20="公",Z20="病",Z20="事",Z20="x"  ), $AP20 =""),"18放早走",  IF(  AND(  OR(  Y20 =""),OR(  Z20 ="x",Z20="補",Z20="婚",Z20="公",Z20="病",Z20="事",Z20="x榮*",Z20="榮",Z20="榮-22"  ), $AP20 =""),"18放",  IF(  AND(  OR(  Y20="當日退伍"  ),OR(  Z20="退伍",Z20="退", Z20=""  ), $AP20 =""),"當日退伍",  IF(AND(  OR(Y20="退",Y20="退伍" ), OR(Z20="退",Z20="退伍" ), $AP20 =""),"退伍","全日勤"  )  )  )  )  )  )  )  )  )  )  ),"")</f>
        <v>全日勤</v>
      </c>
      <c r="Z61" s="66" t="str">
        <f>IF(   (ROW(BL20)-1)&lt;=暫1!$B$2,           IF(  AND(  OR(  Z20="x",Z20="補"  ), OR(  AA20 ="x",AA20="補",AA20="x榮18-22",AA20="x公18-22",AA20="x榮22-08"  ), $AP20 =""),"全日休",  IF(  AND(  OR(  Z20="x",Z20="病"  ), OR(  AA20 ="病"  ), $AP20 =""),"病(事)假",  IF(  AND(  OR(  Z20="x",Z20="補"  ), OR(  AA20 ="補"  ), $AP20 =""),"補休",  IF(  AND(  OR(  Z20="x",Z20="喪"  ), OR(  AA20 ="喪"  ), $AP20 =""),"喪假",  IF(  AND(  OR(  Z20="x",Z20="婚",Z20="產"  ), OR(  AA20 ="婚",AA20="產"  ), $AP20 =""),"婚(產)假",  IF(  AND(  OR(  Z20="x",Z20="公"  ), OR(  AA20 ="公"  ), $AP20 =""),"公假",  IF(  AND(  OR(  Z20="x",Z20="補",Z20="婚",Z20="公",Z20="病",Z20="事",Z20="x榮18-22"  ),OR(AA20=""), $AP20 =""  ),"18收",  IF(  AND(  OR(  Z20 ="榮14-18",Z20 ="榮10-18",Z20 ="榮06-18",Z20 ="病14-18"  ),OR(  AA20 ="x",AA20="補",AA20="婚",AA20="公",AA20="病",AA20="事",AA20="x"  ), $AP20 =""),"18放早走",  IF(  AND(  OR(  Z20 =""),OR(  AA20 ="x",AA20="補",AA20="婚",AA20="公",AA20="病",AA20="事",AA20="x榮*",AA20="榮",AA20="榮-22"  ), $AP20 =""),"18放",  IF(  AND(  OR(  Z20="當日退伍"  ),OR(  AA20="退伍",AA20="退", AA20=""  ), $AP20 =""),"當日退伍",  IF(AND(  OR(Z20="退",Z20="退伍" ), OR(AA20="退",AA20="退伍" ), $AP20 =""),"退伍","全日勤"  )  )  )  )  )  )  )  )  )  )  ),"")</f>
        <v>全日勤</v>
      </c>
      <c r="AA61" s="66" t="str">
        <f>IF(   (ROW(BM20)-1)&lt;=暫1!$B$2,           IF(  AND(  OR(  AA20="x",AA20="補"  ), OR(  AB20 ="x",AB20="補",AB20="x榮18-22",AB20="x公18-22",AB20="x榮22-08"  ), $AP20 =""),"全日休",  IF(  AND(  OR(  AA20="x",AA20="病"  ), OR(  AB20 ="病"  ), $AP20 =""),"病(事)假",  IF(  AND(  OR(  AA20="x",AA20="補"  ), OR(  AB20 ="補"  ), $AP20 =""),"補休",  IF(  AND(  OR(  AA20="x",AA20="喪"  ), OR(  AB20 ="喪"  ), $AP20 =""),"喪假",  IF(  AND(  OR(  AA20="x",AA20="婚",AA20="產"  ), OR(  AB20 ="婚",AB20="產"  ), $AP20 =""),"婚(產)假",  IF(  AND(  OR(  AA20="x",AA20="公"  ), OR(  AB20 ="公"  ), $AP20 =""),"公假",  IF(  AND(  OR(  AA20="x",AA20="補",AA20="婚",AA20="公",AA20="病",AA20="事",AA20="x榮18-22"  ),OR(AB20=""), $AP20 =""  ),"18收",  IF(  AND(  OR(  AA20 ="榮14-18",AA20 ="榮10-18",AA20 ="榮06-18",AA20 ="病14-18"  ),OR(  AB20 ="x",AB20="補",AB20="婚",AB20="公",AB20="病",AB20="事",AB20="x"  ), $AP20 =""),"18放早走",  IF(  AND(  OR(  AA20 =""),OR(  AB20 ="x",AB20="補",AB20="婚",AB20="公",AB20="病",AB20="事",AB20="x榮*",AB20="榮",AB20="榮-22"  ), $AP20 =""),"18放",  IF(  AND(  OR(  AA20="當日退伍"  ),OR(  AB20="退伍",AB20="退", AB20=""  ), $AP20 =""),"當日退伍",  IF(AND(  OR(AA20="退",AA20="退伍" ), OR(AB20="退",AB20="退伍" ), $AP20 =""),"退伍","全日勤"  )  )  )  )  )  )  )  )  )  )  ),"")</f>
        <v>全日勤</v>
      </c>
      <c r="AB61" s="66" t="str">
        <f>IF(   (ROW(BN20)-1)&lt;=暫1!$B$2,           IF(  AND(  OR(  AB20="x",AB20="補"  ), OR(  AC20 ="x",AC20="補",AC20="x榮18-22",AC20="x公18-22",AC20="x榮22-08"  ), $AP20 =""),"全日休",  IF(  AND(  OR(  AB20="x",AB20="病"  ), OR(  AC20 ="病"  ), $AP20 =""),"病(事)假",  IF(  AND(  OR(  AB20="x",AB20="補"  ), OR(  AC20 ="補"  ), $AP20 =""),"補休",  IF(  AND(  OR(  AB20="x",AB20="喪"  ), OR(  AC20 ="喪"  ), $AP20 =""),"喪假",  IF(  AND(  OR(  AB20="x",AB20="婚",AB20="產"  ), OR(  AC20 ="婚",AC20="產"  ), $AP20 =""),"婚(產)假",  IF(  AND(  OR(  AB20="x",AB20="公"  ), OR(  AC20 ="公"  ), $AP20 =""),"公假",  IF(  AND(  OR(  AB20="x",AB20="補",AB20="婚",AB20="公",AB20="病",AB20="事",AB20="x榮18-22"  ),OR(AC20=""), $AP20 =""  ),"18收",  IF(  AND(  OR(  AB20 ="榮14-18",AB20 ="榮10-18",AB20 ="榮06-18",AB20 ="病14-18"  ),OR(  AC20 ="x",AC20="補",AC20="婚",AC20="公",AC20="病",AC20="事",AC20="x"  ), $AP20 =""),"18放早走",  IF(  AND(  OR(  AB20 =""),OR(  AC20 ="x",AC20="補",AC20="婚",AC20="公",AC20="病",AC20="事",AC20="x榮*",AC20="榮",AC20="榮-22"  ), $AP20 =""),"18放",  IF(  AND(  OR(  AB20="當日退伍"  ),OR(  AC20="退伍",AC20="退", AC20=""  ), $AP20 =""),"當日退伍",  IF(AND(  OR(AB20="退",AB20="退伍" ), OR(AC20="退",AC20="退伍" ), $AP20 =""),"退伍","全日勤"  )  )  )  )  )  )  )  )  )  )  ),"")</f>
        <v>全日勤</v>
      </c>
      <c r="AC61" s="66" t="str">
        <f>IF(   (ROW(BO20)-1)&lt;=暫1!$B$2,           IF(  AND(  OR(  AC20="x",AC20="補"  ), OR(  AD20 ="x",AD20="補",AD20="x榮18-22",AD20="x公18-22",AD20="x榮22-08"  ), $AP20 =""),"全日休",  IF(  AND(  OR(  AC20="x",AC20="病"  ), OR(  AD20 ="病"  ), $AP20 =""),"病(事)假",  IF(  AND(  OR(  AC20="x",AC20="補"  ), OR(  AD20 ="補"  ), $AP20 =""),"補休",  IF(  AND(  OR(  AC20="x",AC20="喪"  ), OR(  AD20 ="喪"  ), $AP20 =""),"喪假",  IF(  AND(  OR(  AC20="x",AC20="婚",AC20="產"  ), OR(  AD20 ="婚",AD20="產"  ), $AP20 =""),"婚(產)假",  IF(  AND(  OR(  AC20="x",AC20="公"  ), OR(  AD20 ="公"  ), $AP20 =""),"公假",  IF(  AND(  OR(  AC20="x",AC20="補",AC20="婚",AC20="公",AC20="病",AC20="事",AC20="x榮18-22"  ),OR(AD20=""), $AP20 =""  ),"18收",  IF(  AND(  OR(  AC20 ="榮14-18",AC20 ="榮10-18",AC20 ="榮06-18",AC20 ="病14-18"  ),OR(  AD20 ="x",AD20="補",AD20="婚",AD20="公",AD20="病",AD20="事",AD20="x"  ), $AP20 =""),"18放早走",  IF(  AND(  OR(  AC20 =""),OR(  AD20 ="x",AD20="補",AD20="婚",AD20="公",AD20="病",AD20="事",AD20="x榮*",AD20="榮",AD20="榮-22"  ), $AP20 =""),"18放",  IF(  AND(  OR(  AC20="當日退伍"  ),OR(  AD20="退伍",AD20="退", AD20=""  ), $AP20 =""),"當日退伍",  IF(AND(  OR(AC20="退",AC20="退伍" ), OR(AD20="退",AD20="退伍" ), $AP20 =""),"退伍","全日勤"  )  )  )  )  )  )  )  )  )  )  ),"")</f>
        <v>全日勤</v>
      </c>
      <c r="AD61" s="66" t="str">
        <f>IF(   (ROW(BP20)-1)&lt;=暫1!$B$2,           IF(  AND(  OR(  AD20="x",AD20="補"  ), OR(  AE20 ="x",AE20="補",AE20="x榮18-22",AE20="x公18-22",AE20="x榮22-08"  ), $AP20 =""),"全日休",  IF(  AND(  OR(  AD20="x",AD20="病"  ), OR(  AE20 ="病"  ), $AP20 =""),"病(事)假",  IF(  AND(  OR(  AD20="x",AD20="補"  ), OR(  AE20 ="補"  ), $AP20 =""),"補休",  IF(  AND(  OR(  AD20="x",AD20="喪"  ), OR(  AE20 ="喪"  ), $AP20 =""),"喪假",  IF(  AND(  OR(  AD20="x",AD20="婚",AD20="產"  ), OR(  AE20 ="婚",AE20="產"  ), $AP20 =""),"婚(產)假",  IF(  AND(  OR(  AD20="x",AD20="公"  ), OR(  AE20 ="公"  ), $AP20 =""),"公假",  IF(  AND(  OR(  AD20="x",AD20="補",AD20="婚",AD20="公",AD20="病",AD20="事",AD20="x榮18-22"  ),OR(AE20=""), $AP20 =""  ),"18收",  IF(  AND(  OR(  AD20 ="榮14-18",AD20 ="榮10-18",AD20 ="榮06-18",AD20 ="病14-18"  ),OR(  AE20 ="x",AE20="補",AE20="婚",AE20="公",AE20="病",AE20="事",AE20="x"  ), $AP20 =""),"18放早走",  IF(  AND(  OR(  AD20 =""),OR(  AE20 ="x",AE20="補",AE20="婚",AE20="公",AE20="病",AE20="事",AE20="x榮*",AE20="榮",AE20="榮-22"  ), $AP20 =""),"18放",  IF(  AND(  OR(  AD20="當日退伍"  ),OR(  AE20="退伍",AE20="退", AE20=""  ), $AP20 =""),"當日退伍",  IF(AND(  OR(AD20="退",AD20="退伍" ), OR(AE20="退",AE20="退伍" ), $AP20 =""),"退伍","全日勤"  )  )  )  )  )  )  )  )  )  )  ),"")</f>
        <v>全日勤</v>
      </c>
      <c r="AE61" s="66" t="str">
        <f>IF(   (ROW(BQ20)-1)&lt;=暫1!$B$2,           IF(  AND(  OR(  AE20="x",AE20="補"  ), OR(  AF20 ="x",AF20="補",AF20="x榮18-22",AF20="x公18-22",AF20="x榮22-08"  ), $AP20 =""),"全日休",  IF(  AND(  OR(  AE20="x",AE20="病"  ), OR(  AF20 ="病"  ), $AP20 =""),"病(事)假",  IF(  AND(  OR(  AE20="x",AE20="補"  ), OR(  AF20 ="補"  ), $AP20 =""),"補休",  IF(  AND(  OR(  AE20="x",AE20="喪"  ), OR(  AF20 ="喪"  ), $AP20 =""),"喪假",  IF(  AND(  OR(  AE20="x",AE20="婚",AE20="產"  ), OR(  AF20 ="婚",AF20="產"  ), $AP20 =""),"婚(產)假",  IF(  AND(  OR(  AE20="x",AE20="公"  ), OR(  AF20 ="公"  ), $AP20 =""),"公假",  IF(  AND(  OR(  AE20="x",AE20="補",AE20="婚",AE20="公",AE20="病",AE20="事",AE20="x榮18-22"  ),OR(AF20=""), $AP20 =""  ),"18收",  IF(  AND(  OR(  AE20 ="榮14-18",AE20 ="榮10-18",AE20 ="榮06-18",AE20 ="病14-18"  ),OR(  AF20 ="x",AF20="補",AF20="婚",AF20="公",AF20="病",AF20="事",AF20="x"  ), $AP20 =""),"18放早走",  IF(  AND(  OR(  AE20 =""),OR(  AF20 ="x",AF20="補",AF20="婚",AF20="公",AF20="病",AF20="事",AF20="x榮*",AF20="榮",AF20="榮-22"  ), $AP20 =""),"18放",  IF(  AND(  OR(  AE20="當日退伍"  ),OR(  AF20="退伍",AF20="退", AF20=""  ), $AP20 =""),"當日退伍",  IF(AND(  OR(AE20="退",AE20="退伍" ), OR(AF20="退",AF20="退伍" ), $AP20 =""),"退伍","全日勤"  )  )  )  )  )  )  )  )  )  )  ),"")</f>
        <v>全日勤</v>
      </c>
      <c r="AF61" s="66" t="str">
        <f>IF(   (ROW(BR20)-1)&lt;=暫1!$B$2,           IF(  AND(  OR(  AF20="x",AF20="補"  ), OR(  AG20 ="x",AG20="補",AG20="x榮18-22",AG20="x公18-22",AG20="x榮22-08"  ), $AP20 =""),"全日休",  IF(  AND(  OR(  AF20="x",AF20="病"  ), OR(  AG20 ="病"  ), $AP20 =""),"病(事)假",  IF(  AND(  OR(  AF20="x",AF20="補"  ), OR(  AG20 ="補"  ), $AP20 =""),"補休",  IF(  AND(  OR(  AF20="x",AF20="喪"  ), OR(  AG20 ="喪"  ), $AP20 =""),"喪假",  IF(  AND(  OR(  AF20="x",AF20="婚",AF20="產"  ), OR(  AG20 ="婚",AG20="產"  ), $AP20 =""),"婚(產)假",  IF(  AND(  OR(  AF20="x",AF20="公"  ), OR(  AG20 ="公"  ), $AP20 =""),"公假",  IF(  AND(  OR(  AF20="x",AF20="補",AF20="婚",AF20="公",AF20="病",AF20="事",AF20="x榮18-22"  ),OR(AG20=""), $AP20 =""  ),"18收",  IF(  AND(  OR(  AF20 ="榮14-18",AF20 ="榮10-18",AF20 ="榮06-18",AF20 ="病14-18"  ),OR(  AG20 ="x",AG20="補",AG20="婚",AG20="公",AG20="病",AG20="事",AG20="x"  ), $AP20 =""),"18放早走",  IF(  AND(  OR(  AF20 =""),OR(  AG20 ="x",AG20="補",AG20="婚",AG20="公",AG20="病",AG20="事",AG20="x榮*",AG20="榮",AG20="榮-22"  ), $AP20 =""),"18放",  IF(  AND(  OR(  AF20="當日退伍"  ),OR(  AG20="退伍",AG20="退", AG20=""  ), $AP20 =""),"當日退伍",  IF(AND(  OR(AF20="退",AF20="退伍" ), OR(AG20="退",AG20="退伍" ), $AP20 =""),"退伍","全日勤"  )  )  )  )  )  )  )  )  )  )  ),"")</f>
        <v>全日勤</v>
      </c>
      <c r="AG61" s="66" t="str">
        <f>IF(   (ROW(BS20)-1)&lt;=暫1!$B$2,           IF(  AND(  OR(  AG20="x",AG20="補"  ), OR(  AH20 ="x",AH20="補",AH20="x榮18-22",AH20="x公18-22",AH20="x榮22-08"  ), $AP20 =""),"全日休",  IF(  AND(  OR(  AG20="x",AG20="病"  ), OR(  AH20 ="病"  ), $AP20 =""),"病(事)假",  IF(  AND(  OR(  AG20="x",AG20="補"  ), OR(  AH20 ="補"  ), $AP20 =""),"補休",  IF(  AND(  OR(  AG20="x",AG20="喪"  ), OR(  AH20 ="喪"  ), $AP20 =""),"喪假",  IF(  AND(  OR(  AG20="x",AG20="婚",AG20="產"  ), OR(  AH20 ="婚",AH20="產"  ), $AP20 =""),"婚(產)假",  IF(  AND(  OR(  AG20="x",AG20="公"  ), OR(  AH20 ="公"  ), $AP20 =""),"公假",  IF(  AND(  OR(  AG20="x",AG20="補",AG20="婚",AG20="公",AG20="病",AG20="事",AG20="x榮18-22"  ),OR(AH20=""), $AP20 =""  ),"18收",  IF(  AND(  OR(  AG20 ="榮14-18",AG20 ="榮10-18",AG20 ="榮06-18",AG20 ="病14-18"  ),OR(  AH20 ="x",AH20="補",AH20="婚",AH20="公",AH20="病",AH20="事",AH20="x"  ), $AP20 =""),"18放早走",  IF(  AND(  OR(  AG20 =""),OR(  AH20 ="x",AH20="補",AH20="婚",AH20="公",AH20="病",AH20="事",AH20="x榮*",AH20="榮",AH20="榮-22"  ), $AP20 =""),"18放",  IF(  AND(  OR(  AG20="當日退伍"  ),OR(  AH20="退伍",AH20="退", AH20=""  ), $AP20 =""),"當日退伍",  IF(AND(  OR(AG20="退",AG20="退伍" ), OR(AH20="退",AH20="退伍" ), $AP20 =""),"退伍","全日勤"  )  )  )  )  )  )  )  )  )  )  ),"")</f>
        <v>全日勤</v>
      </c>
      <c r="AH61" s="66" t="str">
        <f>IF(   (ROW(BT20)-1)&lt;=暫1!$B$2,           IF(  AND(  OR(  AH20="x",AH20="補"  ), OR(  AI20 ="x",AI20="補",AI20="x榮18-22",AI20="x公18-22",AI20="x榮22-08"  ), $AP20 =""),"全日休",  IF(  AND(  OR(  AH20="x",AH20="病"  ), OR(  AI20 ="病"  ), $AP20 =""),"病(事)假",  IF(  AND(  OR(  AH20="x",AH20="補"  ), OR(  AI20 ="補"  ), $AP20 =""),"補休",  IF(  AND(  OR(  AH20="x",AH20="喪"  ), OR(  AI20 ="喪"  ), $AP20 =""),"喪假",  IF(  AND(  OR(  AH20="x",AH20="婚",AH20="產"  ), OR(  AI20 ="婚",AI20="產"  ), $AP20 =""),"婚(產)假",  IF(  AND(  OR(  AH20="x",AH20="公"  ), OR(  AI20 ="公"  ), $AP20 =""),"公假",  IF(  AND(  OR(  AH20="x",AH20="補",AH20="婚",AH20="公",AH20="病",AH20="事",AH20="x榮18-22"  ),OR(AI20=""), $AP20 =""  ),"18收",  IF(  AND(  OR(  AH20 ="榮14-18",AH20 ="榮10-18",AH20 ="榮06-18",AH20 ="病14-18"  ),OR(  AI20 ="x",AI20="補",AI20="婚",AI20="公",AI20="病",AI20="事",AI20="x"  ), $AP20 =""),"18放早走",  IF(  AND(  OR(  AH20 =""),OR(  AI20 ="x",AI20="補",AI20="婚",AI20="公",AI20="病",AI20="事",AI20="x榮*",AI20="榮",AI20="榮-22"  ), $AP20 =""),"18放",  IF(  AND(  OR(  AH20="當日退伍"  ),OR(  AI20="退伍",AI20="退", AI20=""  ), $AP20 =""),"當日退伍",  IF(AND(  OR(AH20="退",AH20="退伍" ), OR(AI20="退",AI20="退伍" ), $AP20 =""),"退伍","全日勤"  )  )  )  )  )  )  )  )  )  )  ),"")</f>
        <v>全日勤</v>
      </c>
      <c r="AI61" s="66" t="str">
        <f>IF(   (ROW(BU20)-1)&lt;=暫1!$B$2,           IF(  AND(  OR(  AI20="x",AI20="補"  ), OR(  AJ20 ="x",AJ20="補",AJ20="x榮18-22",AJ20="x公18-22",AJ20="x榮22-08"  ), $AP20 =""),"全日休",  IF(  AND(  OR(  AI20="x",AI20="病"  ), OR(  AJ20 ="病"  ), $AP20 =""),"病(事)假",  IF(  AND(  OR(  AI20="x",AI20="補"  ), OR(  AJ20 ="補"  ), $AP20 =""),"補休",  IF(  AND(  OR(  AI20="x",AI20="喪"  ), OR(  AJ20 ="喪"  ), $AP20 =""),"喪假",  IF(  AND(  OR(  AI20="x",AI20="婚",AI20="產"  ), OR(  AJ20 ="婚",AJ20="產"  ), $AP20 =""),"婚(產)假",  IF(  AND(  OR(  AI20="x",AI20="公"  ), OR(  AJ20 ="公"  ), $AP20 =""),"公假",  IF(  AND(  OR(  AI20="x",AI20="補",AI20="婚",AI20="公",AI20="病",AI20="事",AI20="x榮18-22"  ),OR(AJ20=""), $AP20 =""  ),"18收",  IF(  AND(  OR(  AI20 ="榮14-18",AI20 ="榮10-18",AI20 ="榮06-18",AI20 ="病14-18"  ),OR(  AJ20 ="x",AJ20="補",AJ20="婚",AJ20="公",AJ20="病",AJ20="事",AJ20="x"  ), $AP20 =""),"18放早走",  IF(  AND(  OR(  AI20 =""),OR(  AJ20 ="x",AJ20="補",AJ20="婚",AJ20="公",AJ20="病",AJ20="事",AJ20="x榮*",AJ20="榮",AJ20="榮-22"  ), $AP20 =""),"18放",  IF(  AND(  OR(  AI20="當日退伍"  ),OR(  AJ20="退伍",AJ20="退", AJ20=""  ), $AP20 =""),"當日退伍",  IF(AND(  OR(AI20="退",AI20="退伍" ), OR(AJ20="退",AJ20="退伍" ), $AP20 =""),"退伍","全日勤"  )  )  )  )  )  )  )  )  )  )  ),"")</f>
        <v>全日勤</v>
      </c>
      <c r="AJ61" s="66" t="str">
        <f>IF(   (ROW(BV20)-1)&lt;=暫1!$B$2,           IF(  AND(  OR(  AJ20="x",AJ20="補"  ), OR(  AK20 ="x",AK20="補",AK20="x榮18-22",AK20="x公18-22",AK20="x榮22-08"  ), $AP20 =""),"全日休",  IF(  AND(  OR(  AJ20="x",AJ20="病"  ), OR(  AK20 ="病"  ), $AP20 =""),"病(事)假",  IF(  AND(  OR(  AJ20="x",AJ20="補"  ), OR(  AK20 ="補"  ), $AP20 =""),"補休",  IF(  AND(  OR(  AJ20="x",AJ20="喪"  ), OR(  AK20 ="喪"  ), $AP20 =""),"喪假",  IF(  AND(  OR(  AJ20="x",AJ20="婚",AJ20="產"  ), OR(  AK20 ="婚",AK20="產"  ), $AP20 =""),"婚(產)假",  IF(  AND(  OR(  AJ20="x",AJ20="公"  ), OR(  AK20 ="公"  ), $AP20 =""),"公假",  IF(  AND(  OR(  AJ20="x",AJ20="補",AJ20="婚",AJ20="公",AJ20="病",AJ20="事",AJ20="x榮18-22"  ),OR(AK20=""), $AP20 =""  ),"18收",  IF(  AND(  OR(  AJ20 ="榮14-18",AJ20 ="榮10-18",AJ20 ="榮06-18",AJ20 ="病14-18"  ),OR(  AK20 ="x",AK20="補",AK20="婚",AK20="公",AK20="病",AK20="事",AK20="x"  ), $AP20 =""),"18放早走",  IF(  AND(  OR(  AJ20 =""),OR(  AK20 ="x",AK20="補",AK20="婚",AK20="公",AK20="病",AK20="事",AK20="x榮*",AK20="榮",AK20="榮-22"  ), $AP20 =""),"18放",  IF(  AND(  OR(  AJ20="當日退伍"  ),OR(  AK20="退伍",AK20="退", AK20=""  ), $AP20 =""),"當日退伍",  IF(AND(  OR(AJ20="退",AJ20="退伍" ), OR(AK20="退",AK20="退伍" ), $AP20 =""),"退伍","全日勤"  )  )  )  )  )  )  )  )  )  )  ),"")</f>
        <v>全日勤</v>
      </c>
      <c r="AO61" s="76"/>
      <c r="AP61" s="63"/>
      <c r="AU61" s="63"/>
      <c r="AY61" s="63"/>
      <c r="AZ61" s="63"/>
      <c r="BA61" s="63"/>
    </row>
    <row r="62" spans="1:55" ht="25.5" customHeight="1">
      <c r="A62" s="66">
        <f t="shared" si="4"/>
        <v>20</v>
      </c>
      <c r="B62" s="66" t="str">
        <f t="shared" si="6"/>
        <v>楊鈞翔</v>
      </c>
      <c r="C62" s="66" t="str">
        <f>IF(   (ROW(AO21)-1)&lt;=暫1!$B$2,           IF(  AND(  OR(  C21="x",C21="補"  ), OR(  D21 ="x",D21="補",D21="x榮18-22",D21="x公18-22",D21="x榮22-08"  ), $AP21 =""),"全日休",  IF(  AND(  OR(  C21="x",C21="病"  ), OR(  D21 ="病"  ), $AP21 =""),"病(事)假",  IF(  AND(  OR(  C21="x",C21="補"  ), OR(  D21 ="補"  ), $AP21 =""),"補休",  IF(  AND(  OR(  C21="x",C21="喪"  ), OR(  D21 ="喪"  ), $AP21 =""),"喪假",  IF(  AND(  OR(  C21="x",C21="婚",C21="產"  ), OR(  D21 ="婚",D21="產"  ), $AP21 =""),"婚(產)假",  IF(  AND(  OR(  C21="x",C21="公"  ), OR(  D21 ="公"  ), $AP21 =""),"公假",  IF(  AND(  OR(  C21="x",C21="補",C21="婚",C21="公",C21="病",C21="事",C21="x榮18-22"  ),OR(D21=""), $AP21 =""  ),"18收",  IF(  AND(  OR(  C21 ="榮14-18",C21 ="榮10-18",C21 ="榮06-18",C21 ="病14-18"  ),OR(  D21 ="x",D21="補",D21="婚",D21="公",D21="病",D21="事",D21="x"  ), $AP21 =""),"18放早走",  IF(  AND(  OR(  C21 =""),OR(  D21 ="x",D21="補",D21="婚",D21="公",D21="病",D21="事",D21="x榮*",D21="榮",D21="榮-22"  ), $AP21 =""),"18放",  IF(  AND(  OR(  C21="當日退伍"  ),OR(  D21="退伍",D21="退", D21=""  ), $AP21 =""),"當日退伍",  IF(AND(  OR(C21="退",C21="退伍" ), OR(D21="退",D21="退伍" ), $AP21 =""),"退伍","全日勤"  )  )  )  )  )  )  )  )  )  )  ),"")</f>
        <v>18放</v>
      </c>
      <c r="D62" s="66" t="str">
        <f>IF(   (ROW(AP21)-1)&lt;=暫1!$B$2,           IF(  AND(  OR(  D21="x",D21="補"  ), OR(  E21 ="x",E21="補",E21="x榮18-22",E21="x公18-22",E21="x榮22-08"  ), $AP21 =""),"全日休",  IF(  AND(  OR(  D21="x",D21="病"  ), OR(  E21 ="病"  ), $AP21 =""),"病(事)假",  IF(  AND(  OR(  D21="x",D21="補"  ), OR(  E21 ="補"  ), $AP21 =""),"補休",  IF(  AND(  OR(  D21="x",D21="喪"  ), OR(  E21 ="喪"  ), $AP21 =""),"喪假",  IF(  AND(  OR(  D21="x",D21="婚",D21="產"  ), OR(  E21 ="婚",E21="產"  ), $AP21 =""),"婚(產)假",  IF(  AND(  OR(  D21="x",D21="公"  ), OR(  E21 ="公"  ), $AP21 =""),"公假",  IF(  AND(  OR(  D21="x",D21="補",D21="婚",D21="公",D21="病",D21="事",D21="x榮18-22"  ),OR(E21=""), $AP21 =""  ),"18收",  IF(  AND(  OR(  D21 ="榮14-18",D21 ="榮10-18",D21 ="榮06-18",D21 ="病14-18"  ),OR(  E21 ="x",E21="補",E21="婚",E21="公",E21="病",E21="事",E21="x"  ), $AP21 =""),"18放早走",  IF(  AND(  OR(  D21 =""),OR(  E21 ="x",E21="補",E21="婚",E21="公",E21="病",E21="事",E21="x榮*",E21="榮",E21="榮-22"  ), $AP21 =""),"18放",  IF(  AND(  OR(  D21="當日退伍"  ),OR(  E21="退伍",E21="退", E21=""  ), $AP21 =""),"當日退伍",  IF(AND(  OR(D21="退",D21="退伍" ), OR(E21="退",E21="退伍" ), $AP21 =""),"退伍","全日勤"  )  )  )  )  )  )  )  )  )  )  ),"")</f>
        <v>全日休</v>
      </c>
      <c r="E62" s="66" t="str">
        <f>IF(   (ROW(AQ21)-1)&lt;=暫1!$B$2,           IF(  AND(  OR(  E21="x",E21="補"  ), OR(  F21 ="x",F21="補",F21="x榮18-22",F21="x公18-22",F21="x榮22-08"  ), $AP21 =""),"全日休",  IF(  AND(  OR(  E21="x",E21="病"  ), OR(  F21 ="病"  ), $AP21 =""),"病(事)假",  IF(  AND(  OR(  E21="x",E21="補"  ), OR(  F21 ="補"  ), $AP21 =""),"補休",  IF(  AND(  OR(  E21="x",E21="喪"  ), OR(  F21 ="喪"  ), $AP21 =""),"喪假",  IF(  AND(  OR(  E21="x",E21="婚",E21="產"  ), OR(  F21 ="婚",F21="產"  ), $AP21 =""),"婚(產)假",  IF(  AND(  OR(  E21="x",E21="公"  ), OR(  F21 ="公"  ), $AP21 =""),"公假",  IF(  AND(  OR(  E21="x",E21="補",E21="婚",E21="公",E21="病",E21="事",E21="x榮18-22"  ),OR(F21=""), $AP21 =""  ),"18收",  IF(  AND(  OR(  E21 ="榮14-18",E21 ="榮10-18",E21 ="榮06-18",E21 ="病14-18"  ),OR(  F21 ="x",F21="補",F21="婚",F21="公",F21="病",F21="事",F21="x"  ), $AP21 =""),"18放早走",  IF(  AND(  OR(  E21 =""),OR(  F21 ="x",F21="補",F21="婚",F21="公",F21="病",F21="事",F21="x榮*",F21="榮",F21="榮-22"  ), $AP21 =""),"18放",  IF(  AND(  OR(  E21="當日退伍"  ),OR(  F21="退伍",F21="退", F21=""  ), $AP21 =""),"當日退伍",  IF(AND(  OR(E21="退",E21="退伍" ), OR(F21="退",F21="退伍" ), $AP21 =""),"退伍","全日勤"  )  )  )  )  )  )  )  )  )  )  ),"")</f>
        <v>18收</v>
      </c>
      <c r="F62" s="66" t="str">
        <f>IF(   (ROW(AR21)-1)&lt;=暫1!$B$2,           IF(  AND(  OR(  F21="x",F21="補"  ), OR(  G21 ="x",G21="補",G21="x榮18-22",G21="x公18-22",G21="x榮22-08"  ), $AP21 =""),"全日休",  IF(  AND(  OR(  F21="x",F21="病"  ), OR(  G21 ="病"  ), $AP21 =""),"病(事)假",  IF(  AND(  OR(  F21="x",F21="補"  ), OR(  G21 ="補"  ), $AP21 =""),"補休",  IF(  AND(  OR(  F21="x",F21="喪"  ), OR(  G21 ="喪"  ), $AP21 =""),"喪假",  IF(  AND(  OR(  F21="x",F21="婚",F21="產"  ), OR(  G21 ="婚",G21="產"  ), $AP21 =""),"婚(產)假",  IF(  AND(  OR(  F21="x",F21="公"  ), OR(  G21 ="公"  ), $AP21 =""),"公假",  IF(  AND(  OR(  F21="x",F21="補",F21="婚",F21="公",F21="病",F21="事",F21="x榮18-22"  ),OR(G21=""), $AP21 =""  ),"18收",  IF(  AND(  OR(  F21 ="榮14-18",F21 ="榮10-18",F21 ="榮06-18",F21 ="病14-18"  ),OR(  G21 ="x",G21="補",G21="婚",G21="公",G21="病",G21="事",G21="x"  ), $AP21 =""),"18放早走",  IF(  AND(  OR(  F21 =""),OR(  G21 ="x",G21="補",G21="婚",G21="公",G21="病",G21="事",G21="x榮*",G21="榮",G21="榮-22"  ), $AP21 =""),"18放",  IF(  AND(  OR(  F21="當日退伍"  ),OR(  G21="退伍",G21="退", G21=""  ), $AP21 =""),"當日退伍",  IF(AND(  OR(F21="退",F21="退伍" ), OR(G21="退",G21="退伍" ), $AP21 =""),"退伍","全日勤"  )  )  )  )  )  )  )  )  )  )  ),"")</f>
        <v>全日勤</v>
      </c>
      <c r="G62" s="66" t="str">
        <f>IF(   (ROW(AS21)-1)&lt;=暫1!$B$2,           IF(  AND(  OR(  G21="x",G21="補"  ), OR(  H21 ="x",H21="補",H21="x榮18-22",H21="x公18-22",H21="x榮22-08"  ), $AP21 =""),"全日休",  IF(  AND(  OR(  G21="x",G21="病"  ), OR(  H21 ="病"  ), $AP21 =""),"病(事)假",  IF(  AND(  OR(  G21="x",G21="補"  ), OR(  H21 ="補"  ), $AP21 =""),"補休",  IF(  AND(  OR(  G21="x",G21="喪"  ), OR(  H21 ="喪"  ), $AP21 =""),"喪假",  IF(  AND(  OR(  G21="x",G21="婚",G21="產"  ), OR(  H21 ="婚",H21="產"  ), $AP21 =""),"婚(產)假",  IF(  AND(  OR(  G21="x",G21="公"  ), OR(  H21 ="公"  ), $AP21 =""),"公假",  IF(  AND(  OR(  G21="x",G21="補",G21="婚",G21="公",G21="病",G21="事",G21="x榮18-22"  ),OR(H21=""), $AP21 =""  ),"18收",  IF(  AND(  OR(  G21 ="榮14-18",G21 ="榮10-18",G21 ="榮06-18",G21 ="病14-18"  ),OR(  H21 ="x",H21="補",H21="婚",H21="公",H21="病",H21="事",H21="x"  ), $AP21 =""),"18放早走",  IF(  AND(  OR(  G21 =""),OR(  H21 ="x",H21="補",H21="婚",H21="公",H21="病",H21="事",H21="x榮*",H21="榮",H21="榮-22"  ), $AP21 =""),"18放",  IF(  AND(  OR(  G21="當日退伍"  ),OR(  H21="退伍",H21="退", H21=""  ), $AP21 =""),"當日退伍",  IF(AND(  OR(G21="退",G21="退伍" ), OR(H21="退",H21="退伍" ), $AP21 =""),"退伍","全日勤"  )  )  )  )  )  )  )  )  )  )  ),"")</f>
        <v>全日勤</v>
      </c>
      <c r="H62" s="66" t="str">
        <f>IF(   (ROW(AT21)-1)&lt;=暫1!$B$2,           IF(  AND(  OR(  H21="x",H21="補"  ), OR(  I21 ="x",I21="補",I21="x榮18-22",I21="x公18-22",I21="x榮22-08"  ), $AP21 =""),"全日休",  IF(  AND(  OR(  H21="x",H21="病"  ), OR(  I21 ="病"  ), $AP21 =""),"病(事)假",  IF(  AND(  OR(  H21="x",H21="補"  ), OR(  I21 ="補"  ), $AP21 =""),"補休",  IF(  AND(  OR(  H21="x",H21="喪"  ), OR(  I21 ="喪"  ), $AP21 =""),"喪假",  IF(  AND(  OR(  H21="x",H21="婚",H21="產"  ), OR(  I21 ="婚",I21="產"  ), $AP21 =""),"婚(產)假",  IF(  AND(  OR(  H21="x",H21="公"  ), OR(  I21 ="公"  ), $AP21 =""),"公假",  IF(  AND(  OR(  H21="x",H21="補",H21="婚",H21="公",H21="病",H21="事",H21="x榮18-22"  ),OR(I21=""), $AP21 =""  ),"18收",  IF(  AND(  OR(  H21 ="榮14-18",H21 ="榮10-18",H21 ="榮06-18",H21 ="病14-18"  ),OR(  I21 ="x",I21="補",I21="婚",I21="公",I21="病",I21="事",I21="x"  ), $AP21 =""),"18放早走",  IF(  AND(  OR(  H21 =""),OR(  I21 ="x",I21="補",I21="婚",I21="公",I21="病",I21="事",I21="x榮*",I21="榮",I21="榮-22"  ), $AP21 =""),"18放",  IF(  AND(  OR(  H21="當日退伍"  ),OR(  I21="退伍",I21="退", I21=""  ), $AP21 =""),"當日退伍",  IF(AND(  OR(H21="退",H21="退伍" ), OR(I21="退",I21="退伍" ), $AP21 =""),"退伍","全日勤"  )  )  )  )  )  )  )  )  )  )  ),"")</f>
        <v>全日勤</v>
      </c>
      <c r="I62" s="66" t="str">
        <f>IF(   (ROW(AU21)-1)&lt;=暫1!$B$2,           IF(  AND(  OR(  I21="x",I21="補"  ), OR(  J21 ="x",J21="補",J21="x榮18-22",J21="x公18-22",J21="x榮22-08"  ), $AP21 =""),"全日休",  IF(  AND(  OR(  I21="x",I21="病"  ), OR(  J21 ="病"  ), $AP21 =""),"病(事)假",  IF(  AND(  OR(  I21="x",I21="補"  ), OR(  J21 ="補"  ), $AP21 =""),"補休",  IF(  AND(  OR(  I21="x",I21="喪"  ), OR(  J21 ="喪"  ), $AP21 =""),"喪假",  IF(  AND(  OR(  I21="x",I21="婚",I21="產"  ), OR(  J21 ="婚",J21="產"  ), $AP21 =""),"婚(產)假",  IF(  AND(  OR(  I21="x",I21="公"  ), OR(  J21 ="公"  ), $AP21 =""),"公假",  IF(  AND(  OR(  I21="x",I21="補",I21="婚",I21="公",I21="病",I21="事",I21="x榮18-22"  ),OR(J21=""), $AP21 =""  ),"18收",  IF(  AND(  OR(  I21 ="榮14-18",I21 ="榮10-18",I21 ="榮06-18",I21 ="病14-18"  ),OR(  J21 ="x",J21="補",J21="婚",J21="公",J21="病",J21="事",J21="x"  ), $AP21 =""),"18放早走",  IF(  AND(  OR(  I21 =""),OR(  J21 ="x",J21="補",J21="婚",J21="公",J21="病",J21="事",J21="x榮*",J21="榮",J21="榮-22"  ), $AP21 =""),"18放",  IF(  AND(  OR(  I21="當日退伍"  ),OR(  J21="退伍",J21="退", J21=""  ), $AP21 =""),"當日退伍",  IF(AND(  OR(I21="退",I21="退伍" ), OR(J21="退",J21="退伍" ), $AP21 =""),"退伍","全日勤"  )  )  )  )  )  )  )  )  )  )  ),"")</f>
        <v>全日勤</v>
      </c>
      <c r="J62" s="66" t="str">
        <f>IF(   (ROW(AV21)-1)&lt;=暫1!$B$2,           IF(  AND(  OR(  J21="x",J21="補"  ), OR(  K21 ="x",K21="補",K21="x榮18-22",K21="x公18-22",K21="x榮22-08"  ), $AP21 =""),"全日休",  IF(  AND(  OR(  J21="x",J21="病"  ), OR(  K21 ="病"  ), $AP21 =""),"病(事)假",  IF(  AND(  OR(  J21="x",J21="補"  ), OR(  K21 ="補"  ), $AP21 =""),"補休",  IF(  AND(  OR(  J21="x",J21="喪"  ), OR(  K21 ="喪"  ), $AP21 =""),"喪假",  IF(  AND(  OR(  J21="x",J21="婚",J21="產"  ), OR(  K21 ="婚",K21="產"  ), $AP21 =""),"婚(產)假",  IF(  AND(  OR(  J21="x",J21="公"  ), OR(  K21 ="公"  ), $AP21 =""),"公假",  IF(  AND(  OR(  J21="x",J21="補",J21="婚",J21="公",J21="病",J21="事",J21="x榮18-22"  ),OR(K21=""), $AP21 =""  ),"18收",  IF(  AND(  OR(  J21 ="榮14-18",J21 ="榮10-18",J21 ="榮06-18",J21 ="病14-18"  ),OR(  K21 ="x",K21="補",K21="婚",K21="公",K21="病",K21="事",K21="x"  ), $AP21 =""),"18放早走",  IF(  AND(  OR(  J21 =""),OR(  K21 ="x",K21="補",K21="婚",K21="公",K21="病",K21="事",K21="x榮*",K21="榮",K21="榮-22"  ), $AP21 =""),"18放",  IF(  AND(  OR(  J21="當日退伍"  ),OR(  K21="退伍",K21="退", K21=""  ), $AP21 =""),"當日退伍",  IF(AND(  OR(J21="退",J21="退伍" ), OR(K21="退",K21="退伍" ), $AP21 =""),"退伍","全日勤"  )  )  )  )  )  )  )  )  )  )  ),"")</f>
        <v>18放</v>
      </c>
      <c r="K62" s="66" t="str">
        <f>IF(   (ROW(AW21)-1)&lt;=暫1!$B$2,           IF(  AND(  OR(  K21="x",K21="補"  ), OR(  L21 ="x",L21="補",L21="x榮18-22",L21="x公18-22",L21="x榮22-08"  ), $AP21 =""),"全日休",  IF(  AND(  OR(  K21="x",K21="病"  ), OR(  L21 ="病"  ), $AP21 =""),"病(事)假",  IF(  AND(  OR(  K21="x",K21="補"  ), OR(  L21 ="補"  ), $AP21 =""),"補休",  IF(  AND(  OR(  K21="x",K21="喪"  ), OR(  L21 ="喪"  ), $AP21 =""),"喪假",  IF(  AND(  OR(  K21="x",K21="婚",K21="產"  ), OR(  L21 ="婚",L21="產"  ), $AP21 =""),"婚(產)假",  IF(  AND(  OR(  K21="x",K21="公"  ), OR(  L21 ="公"  ), $AP21 =""),"公假",  IF(  AND(  OR(  K21="x",K21="補",K21="婚",K21="公",K21="病",K21="事",K21="x榮18-22"  ),OR(L21=""), $AP21 =""  ),"18收",  IF(  AND(  OR(  K21 ="榮14-18",K21 ="榮10-18",K21 ="榮06-18",K21 ="病14-18"  ),OR(  L21 ="x",L21="補",L21="婚",L21="公",L21="病",L21="事",L21="x"  ), $AP21 =""),"18放早走",  IF(  AND(  OR(  K21 =""),OR(  L21 ="x",L21="補",L21="婚",L21="公",L21="病",L21="事",L21="x榮*",L21="榮",L21="榮-22"  ), $AP21 =""),"18放",  IF(  AND(  OR(  K21="當日退伍"  ),OR(  L21="退伍",L21="退", L21=""  ), $AP21 =""),"當日退伍",  IF(AND(  OR(K21="退",K21="退伍" ), OR(L21="退",L21="退伍" ), $AP21 =""),"退伍","全日勤"  )  )  )  )  )  )  )  )  )  )  ),"")</f>
        <v>全日休</v>
      </c>
      <c r="L62" s="66" t="str">
        <f>IF(   (ROW(AX21)-1)&lt;=暫1!$B$2,           IF(  AND(  OR(  L21="x",L21="補"  ), OR(  M21 ="x",M21="補",M21="x榮18-22",M21="x公18-22",M21="x榮22-08"  ), $AP21 =""),"全日休",  IF(  AND(  OR(  L21="x",L21="病"  ), OR(  M21 ="病"  ), $AP21 =""),"病(事)假",  IF(  AND(  OR(  L21="x",L21="補"  ), OR(  M21 ="補"  ), $AP21 =""),"補休",  IF(  AND(  OR(  L21="x",L21="喪"  ), OR(  M21 ="喪"  ), $AP21 =""),"喪假",  IF(  AND(  OR(  L21="x",L21="婚",L21="產"  ), OR(  M21 ="婚",M21="產"  ), $AP21 =""),"婚(產)假",  IF(  AND(  OR(  L21="x",L21="公"  ), OR(  M21 ="公"  ), $AP21 =""),"公假",  IF(  AND(  OR(  L21="x",L21="補",L21="婚",L21="公",L21="病",L21="事",L21="x榮18-22"  ),OR(M21=""), $AP21 =""  ),"18收",  IF(  AND(  OR(  L21 ="榮14-18",L21 ="榮10-18",L21 ="榮06-18",L21 ="病14-18"  ),OR(  M21 ="x",M21="補",M21="婚",M21="公",M21="病",M21="事",M21="x"  ), $AP21 =""),"18放早走",  IF(  AND(  OR(  L21 =""),OR(  M21 ="x",M21="補",M21="婚",M21="公",M21="病",M21="事",M21="x榮*",M21="榮",M21="榮-22"  ), $AP21 =""),"18放",  IF(  AND(  OR(  L21="當日退伍"  ),OR(  M21="退伍",M21="退", M21=""  ), $AP21 =""),"當日退伍",  IF(AND(  OR(L21="退",L21="退伍" ), OR(M21="退",M21="退伍" ), $AP21 =""),"退伍","全日勤"  )  )  )  )  )  )  )  )  )  )  ),"")</f>
        <v>全日休</v>
      </c>
      <c r="M62" s="66" t="str">
        <f>IF(   (ROW(AY21)-1)&lt;=暫1!$B$2,           IF(  AND(  OR(  M21="x",M21="補"  ), OR(  N21 ="x",N21="補",N21="x榮18-22",N21="x公18-22",N21="x榮22-08"  ), $AP21 =""),"全日休",  IF(  AND(  OR(  M21="x",M21="病"  ), OR(  N21 ="病"  ), $AP21 =""),"病(事)假",  IF(  AND(  OR(  M21="x",M21="補"  ), OR(  N21 ="補"  ), $AP21 =""),"補休",  IF(  AND(  OR(  M21="x",M21="喪"  ), OR(  N21 ="喪"  ), $AP21 =""),"喪假",  IF(  AND(  OR(  M21="x",M21="婚",M21="產"  ), OR(  N21 ="婚",N21="產"  ), $AP21 =""),"婚(產)假",  IF(  AND(  OR(  M21="x",M21="公"  ), OR(  N21 ="公"  ), $AP21 =""),"公假",  IF(  AND(  OR(  M21="x",M21="補",M21="婚",M21="公",M21="病",M21="事",M21="x榮18-22"  ),OR(N21=""), $AP21 =""  ),"18收",  IF(  AND(  OR(  M21 ="榮14-18",M21 ="榮10-18",M21 ="榮06-18",M21 ="病14-18"  ),OR(  N21 ="x",N21="補",N21="婚",N21="公",N21="病",N21="事",N21="x"  ), $AP21 =""),"18放早走",  IF(  AND(  OR(  M21 =""),OR(  N21 ="x",N21="補",N21="婚",N21="公",N21="病",N21="事",N21="x榮*",N21="榮",N21="榮-22"  ), $AP21 =""),"18放",  IF(  AND(  OR(  M21="當日退伍"  ),OR(  N21="退伍",N21="退", N21=""  ), $AP21 =""),"當日退伍",  IF(AND(  OR(M21="退",M21="退伍" ), OR(N21="退",N21="退伍" ), $AP21 =""),"退伍","全日勤"  )  )  )  )  )  )  )  )  )  )  ),"")</f>
        <v>18收</v>
      </c>
      <c r="N62" s="66" t="str">
        <f>IF(   (ROW(AZ21)-1)&lt;=暫1!$B$2,           IF(  AND(  OR(  N21="x",N21="補"  ), OR(  O21 ="x",O21="補",O21="x榮18-22",O21="x公18-22",O21="x榮22-08"  ), $AP21 =""),"全日休",  IF(  AND(  OR(  N21="x",N21="病"  ), OR(  O21 ="病"  ), $AP21 =""),"病(事)假",  IF(  AND(  OR(  N21="x",N21="補"  ), OR(  O21 ="補"  ), $AP21 =""),"補休",  IF(  AND(  OR(  N21="x",N21="喪"  ), OR(  O21 ="喪"  ), $AP21 =""),"喪假",  IF(  AND(  OR(  N21="x",N21="婚",N21="產"  ), OR(  O21 ="婚",O21="產"  ), $AP21 =""),"婚(產)假",  IF(  AND(  OR(  N21="x",N21="公"  ), OR(  O21 ="公"  ), $AP21 =""),"公假",  IF(  AND(  OR(  N21="x",N21="補",N21="婚",N21="公",N21="病",N21="事",N21="x榮18-22"  ),OR(O21=""), $AP21 =""  ),"18收",  IF(  AND(  OR(  N21 ="榮14-18",N21 ="榮10-18",N21 ="榮06-18",N21 ="病14-18"  ),OR(  O21 ="x",O21="補",O21="婚",O21="公",O21="病",O21="事",O21="x"  ), $AP21 =""),"18放早走",  IF(  AND(  OR(  N21 =""),OR(  O21 ="x",O21="補",O21="婚",O21="公",O21="病",O21="事",O21="x榮*",O21="榮",O21="榮-22"  ), $AP21 =""),"18放",  IF(  AND(  OR(  N21="當日退伍"  ),OR(  O21="退伍",O21="退", O21=""  ), $AP21 =""),"當日退伍",  IF(AND(  OR(N21="退",N21="退伍" ), OR(O21="退",O21="退伍" ), $AP21 =""),"退伍","全日勤"  )  )  )  )  )  )  )  )  )  )  ),"")</f>
        <v>全日勤</v>
      </c>
      <c r="O62" s="66" t="str">
        <f>IF(   (ROW(BA21)-1)&lt;=暫1!$B$2,           IF(  AND(  OR(  O21="x",O21="補"  ), OR(  P21 ="x",P21="補",P21="x榮18-22",P21="x公18-22",P21="x榮22-08"  ), $AP21 =""),"全日休",  IF(  AND(  OR(  O21="x",O21="病"  ), OR(  P21 ="病"  ), $AP21 =""),"病(事)假",  IF(  AND(  OR(  O21="x",O21="補"  ), OR(  P21 ="補"  ), $AP21 =""),"補休",  IF(  AND(  OR(  O21="x",O21="喪"  ), OR(  P21 ="喪"  ), $AP21 =""),"喪假",  IF(  AND(  OR(  O21="x",O21="婚",O21="產"  ), OR(  P21 ="婚",P21="產"  ), $AP21 =""),"婚(產)假",  IF(  AND(  OR(  O21="x",O21="公"  ), OR(  P21 ="公"  ), $AP21 =""),"公假",  IF(  AND(  OR(  O21="x",O21="補",O21="婚",O21="公",O21="病",O21="事",O21="x榮18-22"  ),OR(P21=""), $AP21 =""  ),"18收",  IF(  AND(  OR(  O21 ="榮14-18",O21 ="榮10-18",O21 ="榮06-18",O21 ="病14-18"  ),OR(  P21 ="x",P21="補",P21="婚",P21="公",P21="病",P21="事",P21="x"  ), $AP21 =""),"18放早走",  IF(  AND(  OR(  O21 =""),OR(  P21 ="x",P21="補",P21="婚",P21="公",P21="病",P21="事",P21="x榮*",P21="榮",P21="榮-22"  ), $AP21 =""),"18放",  IF(  AND(  OR(  O21="當日退伍"  ),OR(  P21="退伍",P21="退", P21=""  ), $AP21 =""),"當日退伍",  IF(AND(  OR(O21="退",O21="退伍" ), OR(P21="退",P21="退伍" ), $AP21 =""),"退伍","全日勤"  )  )  )  )  )  )  )  )  )  )  ),"")</f>
        <v>全日勤</v>
      </c>
      <c r="P62" s="66" t="str">
        <f>IF(   (ROW(BB21)-1)&lt;=暫1!$B$2,           IF(  AND(  OR(  P21="x",P21="補"  ), OR(  Q21 ="x",Q21="補",Q21="x榮18-22",Q21="x公18-22",Q21="x榮22-08"  ), $AP21 =""),"全日休",  IF(  AND(  OR(  P21="x",P21="病"  ), OR(  Q21 ="病"  ), $AP21 =""),"病(事)假",  IF(  AND(  OR(  P21="x",P21="補"  ), OR(  Q21 ="補"  ), $AP21 =""),"補休",  IF(  AND(  OR(  P21="x",P21="喪"  ), OR(  Q21 ="喪"  ), $AP21 =""),"喪假",  IF(  AND(  OR(  P21="x",P21="婚",P21="產"  ), OR(  Q21 ="婚",Q21="產"  ), $AP21 =""),"婚(產)假",  IF(  AND(  OR(  P21="x",P21="公"  ), OR(  Q21 ="公"  ), $AP21 =""),"公假",  IF(  AND(  OR(  P21="x",P21="補",P21="婚",P21="公",P21="病",P21="事",P21="x榮18-22"  ),OR(Q21=""), $AP21 =""  ),"18收",  IF(  AND(  OR(  P21 ="榮14-18",P21 ="榮10-18",P21 ="榮06-18",P21 ="病14-18"  ),OR(  Q21 ="x",Q21="補",Q21="婚",Q21="公",Q21="病",Q21="事",Q21="x"  ), $AP21 =""),"18放早走",  IF(  AND(  OR(  P21 =""),OR(  Q21 ="x",Q21="補",Q21="婚",Q21="公",Q21="病",Q21="事",Q21="x榮*",Q21="榮",Q21="榮-22"  ), $AP21 =""),"18放",  IF(  AND(  OR(  P21="當日退伍"  ),OR(  Q21="退伍",Q21="退", Q21=""  ), $AP21 =""),"當日退伍",  IF(AND(  OR(P21="退",P21="退伍" ), OR(Q21="退",Q21="退伍" ), $AP21 =""),"退伍","全日勤"  )  )  )  )  )  )  )  )  )  )  ),"")</f>
        <v>全日勤</v>
      </c>
      <c r="Q62" s="66" t="str">
        <f>IF(   (ROW(BC21)-1)&lt;=暫1!$B$2,           IF(  AND(  OR(  Q21="x",Q21="補"  ), OR(  R21 ="x",R21="補",R21="x榮18-22",R21="x公18-22",R21="x榮22-08"  ), $AP21 =""),"全日休",  IF(  AND(  OR(  Q21="x",Q21="病"  ), OR(  R21 ="病"  ), $AP21 =""),"病(事)假",  IF(  AND(  OR(  Q21="x",Q21="補"  ), OR(  R21 ="補"  ), $AP21 =""),"補休",  IF(  AND(  OR(  Q21="x",Q21="喪"  ), OR(  R21 ="喪"  ), $AP21 =""),"喪假",  IF(  AND(  OR(  Q21="x",Q21="婚",Q21="產"  ), OR(  R21 ="婚",R21="產"  ), $AP21 =""),"婚(產)假",  IF(  AND(  OR(  Q21="x",Q21="公"  ), OR(  R21 ="公"  ), $AP21 =""),"公假",  IF(  AND(  OR(  Q21="x",Q21="補",Q21="婚",Q21="公",Q21="病",Q21="事",Q21="x榮18-22"  ),OR(R21=""), $AP21 =""  ),"18收",  IF(  AND(  OR(  Q21 ="榮14-18",Q21 ="榮10-18",Q21 ="榮06-18",Q21 ="病14-18"  ),OR(  R21 ="x",R21="補",R21="婚",R21="公",R21="病",R21="事",R21="x"  ), $AP21 =""),"18放早走",  IF(  AND(  OR(  Q21 =""),OR(  R21 ="x",R21="補",R21="婚",R21="公",R21="病",R21="事",R21="x榮*",R21="榮",R21="榮-22"  ), $AP21 =""),"18放",  IF(  AND(  OR(  Q21="當日退伍"  ),OR(  R21="退伍",R21="退", R21=""  ), $AP21 =""),"當日退伍",  IF(AND(  OR(Q21="退",Q21="退伍" ), OR(R21="退",R21="退伍" ), $AP21 =""),"退伍","全日勤"  )  )  )  )  )  )  )  )  )  )  ),"")</f>
        <v>18放</v>
      </c>
      <c r="R62" s="66" t="str">
        <f>IF(   (ROW(BD21)-1)&lt;=暫1!$B$2,           IF(  AND(  OR(  R21="x",R21="補"  ), OR(  S21 ="x",S21="補",S21="x榮18-22",S21="x公18-22",S21="x榮22-08"  ), $AP21 =""),"全日休",  IF(  AND(  OR(  R21="x",R21="病"  ), OR(  S21 ="病"  ), $AP21 =""),"病(事)假",  IF(  AND(  OR(  R21="x",R21="補"  ), OR(  S21 ="補"  ), $AP21 =""),"補休",  IF(  AND(  OR(  R21="x",R21="喪"  ), OR(  S21 ="喪"  ), $AP21 =""),"喪假",  IF(  AND(  OR(  R21="x",R21="婚",R21="產"  ), OR(  S21 ="婚",S21="產"  ), $AP21 =""),"婚(產)假",  IF(  AND(  OR(  R21="x",R21="公"  ), OR(  S21 ="公"  ), $AP21 =""),"公假",  IF(  AND(  OR(  R21="x",R21="補",R21="婚",R21="公",R21="病",R21="事",R21="x榮18-22"  ),OR(S21=""), $AP21 =""  ),"18收",  IF(  AND(  OR(  R21 ="榮14-18",R21 ="榮10-18",R21 ="榮06-18",R21 ="病14-18"  ),OR(  S21 ="x",S21="補",S21="婚",S21="公",S21="病",S21="事",S21="x"  ), $AP21 =""),"18放早走",  IF(  AND(  OR(  R21 =""),OR(  S21 ="x",S21="補",S21="婚",S21="公",S21="病",S21="事",S21="x榮*",S21="榮",S21="榮-22"  ), $AP21 =""),"18放",  IF(  AND(  OR(  R21="當日退伍"  ),OR(  S21="退伍",S21="退", S21=""  ), $AP21 =""),"當日退伍",  IF(AND(  OR(R21="退",R21="退伍" ), OR(S21="退",S21="退伍" ), $AP21 =""),"退伍","全日勤"  )  )  )  )  )  )  )  )  )  )  ),"")</f>
        <v>全日休</v>
      </c>
      <c r="S62" s="66" t="str">
        <f>IF(   (ROW(BE21)-1)&lt;=暫1!$B$2,           IF(  AND(  OR(  S21="x",S21="補"  ), OR(  T21 ="x",T21="補",T21="x榮18-22",T21="x公18-22",T21="x榮22-08"  ), $AP21 =""),"全日休",  IF(  AND(  OR(  S21="x",S21="病"  ), OR(  T21 ="病"  ), $AP21 =""),"病(事)假",  IF(  AND(  OR(  S21="x",S21="補"  ), OR(  T21 ="補"  ), $AP21 =""),"補休",  IF(  AND(  OR(  S21="x",S21="喪"  ), OR(  T21 ="喪"  ), $AP21 =""),"喪假",  IF(  AND(  OR(  S21="x",S21="婚",S21="產"  ), OR(  T21 ="婚",T21="產"  ), $AP21 =""),"婚(產)假",  IF(  AND(  OR(  S21="x",S21="公"  ), OR(  T21 ="公"  ), $AP21 =""),"公假",  IF(  AND(  OR(  S21="x",S21="補",S21="婚",S21="公",S21="病",S21="事",S21="x榮18-22"  ),OR(T21=""), $AP21 =""  ),"18收",  IF(  AND(  OR(  S21 ="榮14-18",S21 ="榮10-18",S21 ="榮06-18",S21 ="病14-18"  ),OR(  T21 ="x",T21="補",T21="婚",T21="公",T21="病",T21="事",T21="x"  ), $AP21 =""),"18放早走",  IF(  AND(  OR(  S21 =""),OR(  T21 ="x",T21="補",T21="婚",T21="公",T21="病",T21="事",T21="x榮*",T21="榮",T21="榮-22"  ), $AP21 =""),"18放",  IF(  AND(  OR(  S21="當日退伍"  ),OR(  T21="退伍",T21="退", T21=""  ), $AP21 =""),"當日退伍",  IF(AND(  OR(S21="退",S21="退伍" ), OR(T21="退",T21="退伍" ), $AP21 =""),"退伍","全日勤"  )  )  )  )  )  )  )  )  )  )  ),"")</f>
        <v>18收</v>
      </c>
      <c r="T62" s="66" t="str">
        <f>IF(   (ROW(BF21)-1)&lt;=暫1!$B$2,           IF(  AND(  OR(  T21="x",T21="補"  ), OR(  U21 ="x",U21="補",U21="x榮18-22",U21="x公18-22",U21="x榮22-08"  ), $AP21 =""),"全日休",  IF(  AND(  OR(  T21="x",T21="病"  ), OR(  U21 ="病"  ), $AP21 =""),"病(事)假",  IF(  AND(  OR(  T21="x",T21="補"  ), OR(  U21 ="補"  ), $AP21 =""),"補休",  IF(  AND(  OR(  T21="x",T21="喪"  ), OR(  U21 ="喪"  ), $AP21 =""),"喪假",  IF(  AND(  OR(  T21="x",T21="婚",T21="產"  ), OR(  U21 ="婚",U21="產"  ), $AP21 =""),"婚(產)假",  IF(  AND(  OR(  T21="x",T21="公"  ), OR(  U21 ="公"  ), $AP21 =""),"公假",  IF(  AND(  OR(  T21="x",T21="補",T21="婚",T21="公",T21="病",T21="事",T21="x榮18-22"  ),OR(U21=""), $AP21 =""  ),"18收",  IF(  AND(  OR(  T21 ="榮14-18",T21 ="榮10-18",T21 ="榮06-18",T21 ="病14-18"  ),OR(  U21 ="x",U21="補",U21="婚",U21="公",U21="病",U21="事",U21="x"  ), $AP21 =""),"18放早走",  IF(  AND(  OR(  T21 =""),OR(  U21 ="x",U21="補",U21="婚",U21="公",U21="病",U21="事",U21="x榮*",U21="榮",U21="榮-22"  ), $AP21 =""),"18放",  IF(  AND(  OR(  T21="當日退伍"  ),OR(  U21="退伍",U21="退", U21=""  ), $AP21 =""),"當日退伍",  IF(AND(  OR(T21="退",T21="退伍" ), OR(U21="退",U21="退伍" ), $AP21 =""),"退伍","全日勤"  )  )  )  )  )  )  )  )  )  )  ),"")</f>
        <v>全日勤</v>
      </c>
      <c r="U62" s="66" t="str">
        <f>IF(   (ROW(BG21)-1)&lt;=暫1!$B$2,           IF(  AND(  OR(  U21="x",U21="補"  ), OR(  V21 ="x",V21="補",V21="x榮18-22",V21="x公18-22",V21="x榮22-08"  ), $AP21 =""),"全日休",  IF(  AND(  OR(  U21="x",U21="病"  ), OR(  V21 ="病"  ), $AP21 =""),"病(事)假",  IF(  AND(  OR(  U21="x",U21="補"  ), OR(  V21 ="補"  ), $AP21 =""),"補休",  IF(  AND(  OR(  U21="x",U21="喪"  ), OR(  V21 ="喪"  ), $AP21 =""),"喪假",  IF(  AND(  OR(  U21="x",U21="婚",U21="產"  ), OR(  V21 ="婚",V21="產"  ), $AP21 =""),"婚(產)假",  IF(  AND(  OR(  U21="x",U21="公"  ), OR(  V21 ="公"  ), $AP21 =""),"公假",  IF(  AND(  OR(  U21="x",U21="補",U21="婚",U21="公",U21="病",U21="事",U21="x榮18-22"  ),OR(V21=""), $AP21 =""  ),"18收",  IF(  AND(  OR(  U21 ="榮14-18",U21 ="榮10-18",U21 ="榮06-18",U21 ="病14-18"  ),OR(  V21 ="x",V21="補",V21="婚",V21="公",V21="病",V21="事",V21="x"  ), $AP21 =""),"18放早走",  IF(  AND(  OR(  U21 =""),OR(  V21 ="x",V21="補",V21="婚",V21="公",V21="病",V21="事",V21="x榮*",V21="榮",V21="榮-22"  ), $AP21 =""),"18放",  IF(  AND(  OR(  U21="當日退伍"  ),OR(  V21="退伍",V21="退", V21=""  ), $AP21 =""),"當日退伍",  IF(AND(  OR(U21="退",U21="退伍" ), OR(V21="退",V21="退伍" ), $AP21 =""),"退伍","全日勤"  )  )  )  )  )  )  )  )  )  )  ),"")</f>
        <v>全日勤</v>
      </c>
      <c r="V62" s="66" t="str">
        <f>IF(   (ROW(BH21)-1)&lt;=暫1!$B$2,           IF(  AND(  OR(  V21="x",V21="補"  ), OR(  W21 ="x",W21="補",W21="x榮18-22",W21="x公18-22",W21="x榮22-08"  ), $AP21 =""),"全日休",  IF(  AND(  OR(  V21="x",V21="病"  ), OR(  W21 ="病"  ), $AP21 =""),"病(事)假",  IF(  AND(  OR(  V21="x",V21="補"  ), OR(  W21 ="補"  ), $AP21 =""),"補休",  IF(  AND(  OR(  V21="x",V21="喪"  ), OR(  W21 ="喪"  ), $AP21 =""),"喪假",  IF(  AND(  OR(  V21="x",V21="婚",V21="產"  ), OR(  W21 ="婚",W21="產"  ), $AP21 =""),"婚(產)假",  IF(  AND(  OR(  V21="x",V21="公"  ), OR(  W21 ="公"  ), $AP21 =""),"公假",  IF(  AND(  OR(  V21="x",V21="補",V21="婚",V21="公",V21="病",V21="事",V21="x榮18-22"  ),OR(W21=""), $AP21 =""  ),"18收",  IF(  AND(  OR(  V21 ="榮14-18",V21 ="榮10-18",V21 ="榮06-18",V21 ="病14-18"  ),OR(  W21 ="x",W21="補",W21="婚",W21="公",W21="病",W21="事",W21="x"  ), $AP21 =""),"18放早走",  IF(  AND(  OR(  V21 =""),OR(  W21 ="x",W21="補",W21="婚",W21="公",W21="病",W21="事",W21="x榮*",W21="榮",W21="榮-22"  ), $AP21 =""),"18放",  IF(  AND(  OR(  V21="當日退伍"  ),OR(  W21="退伍",W21="退", W21=""  ), $AP21 =""),"當日退伍",  IF(AND(  OR(V21="退",V21="退伍" ), OR(W21="退",W21="退伍" ), $AP21 =""),"退伍","全日勤"  )  )  )  )  )  )  )  )  )  )  ),"")</f>
        <v>全日勤</v>
      </c>
      <c r="W62" s="66" t="str">
        <f>IF(   (ROW(BI21)-1)&lt;=暫1!$B$2,           IF(  AND(  OR(  W21="x",W21="補"  ), OR(  X21 ="x",X21="補",X21="x榮18-22",X21="x公18-22",X21="x榮22-08"  ), $AP21 =""),"全日休",  IF(  AND(  OR(  W21="x",W21="病"  ), OR(  X21 ="病"  ), $AP21 =""),"病(事)假",  IF(  AND(  OR(  W21="x",W21="補"  ), OR(  X21 ="補"  ), $AP21 =""),"補休",  IF(  AND(  OR(  W21="x",W21="喪"  ), OR(  X21 ="喪"  ), $AP21 =""),"喪假",  IF(  AND(  OR(  W21="x",W21="婚",W21="產"  ), OR(  X21 ="婚",X21="產"  ), $AP21 =""),"婚(產)假",  IF(  AND(  OR(  W21="x",W21="公"  ), OR(  X21 ="公"  ), $AP21 =""),"公假",  IF(  AND(  OR(  W21="x",W21="補",W21="婚",W21="公",W21="病",W21="事",W21="x榮18-22"  ),OR(X21=""), $AP21 =""  ),"18收",  IF(  AND(  OR(  W21 ="榮14-18",W21 ="榮10-18",W21 ="榮06-18",W21 ="病14-18"  ),OR(  X21 ="x",X21="補",X21="婚",X21="公",X21="病",X21="事",X21="x"  ), $AP21 =""),"18放早走",  IF(  AND(  OR(  W21 =""),OR(  X21 ="x",X21="補",X21="婚",X21="公",X21="病",X21="事",X21="x榮*",X21="榮",X21="榮-22"  ), $AP21 =""),"18放",  IF(  AND(  OR(  W21="當日退伍"  ),OR(  X21="退伍",X21="退", X21=""  ), $AP21 =""),"當日退伍",  IF(AND(  OR(W21="退",W21="退伍" ), OR(X21="退",X21="退伍" ), $AP21 =""),"退伍","全日勤"  )  )  )  )  )  )  )  )  )  )  ),"")</f>
        <v>全日勤</v>
      </c>
      <c r="X62" s="66" t="str">
        <f>IF(   (ROW(BJ21)-1)&lt;=暫1!$B$2,           IF(  AND(  OR(  X21="x",X21="補"  ), OR(  Y21 ="x",Y21="補",Y21="x榮18-22",Y21="x公18-22",Y21="x榮22-08"  ), $AP21 =""),"全日休",  IF(  AND(  OR(  X21="x",X21="病"  ), OR(  Y21 ="病"  ), $AP21 =""),"病(事)假",  IF(  AND(  OR(  X21="x",X21="補"  ), OR(  Y21 ="補"  ), $AP21 =""),"補休",  IF(  AND(  OR(  X21="x",X21="喪"  ), OR(  Y21 ="喪"  ), $AP21 =""),"喪假",  IF(  AND(  OR(  X21="x",X21="婚",X21="產"  ), OR(  Y21 ="婚",Y21="產"  ), $AP21 =""),"婚(產)假",  IF(  AND(  OR(  X21="x",X21="公"  ), OR(  Y21 ="公"  ), $AP21 =""),"公假",  IF(  AND(  OR(  X21="x",X21="補",X21="婚",X21="公",X21="病",X21="事",X21="x榮18-22"  ),OR(Y21=""), $AP21 =""  ),"18收",  IF(  AND(  OR(  X21 ="榮14-18",X21 ="榮10-18",X21 ="榮06-18",X21 ="病14-18"  ),OR(  Y21 ="x",Y21="補",Y21="婚",Y21="公",Y21="病",Y21="事",Y21="x"  ), $AP21 =""),"18放早走",  IF(  AND(  OR(  X21 =""),OR(  Y21 ="x",Y21="補",Y21="婚",Y21="公",Y21="病",Y21="事",Y21="x榮*",Y21="榮",Y21="榮-22"  ), $AP21 =""),"18放",  IF(  AND(  OR(  X21="當日退伍"  ),OR(  Y21="退伍",Y21="退", Y21=""  ), $AP21 =""),"當日退伍",  IF(AND(  OR(X21="退",X21="退伍" ), OR(Y21="退",Y21="退伍" ), $AP21 =""),"退伍","全日勤"  )  )  )  )  )  )  )  )  )  )  ),"")</f>
        <v>18放</v>
      </c>
      <c r="Y62" s="66" t="str">
        <f>IF(   (ROW(BK21)-1)&lt;=暫1!$B$2,           IF(  AND(  OR(  Y21="x",Y21="補"  ), OR(  Z21 ="x",Z21="補",Z21="x榮18-22",Z21="x公18-22",Z21="x榮22-08"  ), $AP21 =""),"全日休",  IF(  AND(  OR(  Y21="x",Y21="病"  ), OR(  Z21 ="病"  ), $AP21 =""),"病(事)假",  IF(  AND(  OR(  Y21="x",Y21="補"  ), OR(  Z21 ="補"  ), $AP21 =""),"補休",  IF(  AND(  OR(  Y21="x",Y21="喪"  ), OR(  Z21 ="喪"  ), $AP21 =""),"喪假",  IF(  AND(  OR(  Y21="x",Y21="婚",Y21="產"  ), OR(  Z21 ="婚",Z21="產"  ), $AP21 =""),"婚(產)假",  IF(  AND(  OR(  Y21="x",Y21="公"  ), OR(  Z21 ="公"  ), $AP21 =""),"公假",  IF(  AND(  OR(  Y21="x",Y21="補",Y21="婚",Y21="公",Y21="病",Y21="事",Y21="x榮18-22"  ),OR(Z21=""), $AP21 =""  ),"18收",  IF(  AND(  OR(  Y21 ="榮14-18",Y21 ="榮10-18",Y21 ="榮06-18",Y21 ="病14-18"  ),OR(  Z21 ="x",Z21="補",Z21="婚",Z21="公",Z21="病",Z21="事",Z21="x"  ), $AP21 =""),"18放早走",  IF(  AND(  OR(  Y21 =""),OR(  Z21 ="x",Z21="補",Z21="婚",Z21="公",Z21="病",Z21="事",Z21="x榮*",Z21="榮",Z21="榮-22"  ), $AP21 =""),"18放",  IF(  AND(  OR(  Y21="當日退伍"  ),OR(  Z21="退伍",Z21="退", Z21=""  ), $AP21 =""),"當日退伍",  IF(AND(  OR(Y21="退",Y21="退伍" ), OR(Z21="退",Z21="退伍" ), $AP21 =""),"退伍","全日勤"  )  )  )  )  )  )  )  )  )  )  ),"")</f>
        <v>全日勤</v>
      </c>
      <c r="Z62" s="66" t="str">
        <f>IF(   (ROW(BL21)-1)&lt;=暫1!$B$2,           IF(  AND(  OR(  Z21="x",Z21="補"  ), OR(  AA21 ="x",AA21="補",AA21="x榮18-22",AA21="x公18-22",AA21="x榮22-08"  ), $AP21 =""),"全日休",  IF(  AND(  OR(  Z21="x",Z21="病"  ), OR(  AA21 ="病"  ), $AP21 =""),"病(事)假",  IF(  AND(  OR(  Z21="x",Z21="補"  ), OR(  AA21 ="補"  ), $AP21 =""),"補休",  IF(  AND(  OR(  Z21="x",Z21="喪"  ), OR(  AA21 ="喪"  ), $AP21 =""),"喪假",  IF(  AND(  OR(  Z21="x",Z21="婚",Z21="產"  ), OR(  AA21 ="婚",AA21="產"  ), $AP21 =""),"婚(產)假",  IF(  AND(  OR(  Z21="x",Z21="公"  ), OR(  AA21 ="公"  ), $AP21 =""),"公假",  IF(  AND(  OR(  Z21="x",Z21="補",Z21="婚",Z21="公",Z21="病",Z21="事",Z21="x榮18-22"  ),OR(AA21=""), $AP21 =""  ),"18收",  IF(  AND(  OR(  Z21 ="榮14-18",Z21 ="榮10-18",Z21 ="榮06-18",Z21 ="病14-18"  ),OR(  AA21 ="x",AA21="補",AA21="婚",AA21="公",AA21="病",AA21="事",AA21="x"  ), $AP21 =""),"18放早走",  IF(  AND(  OR(  Z21 =""),OR(  AA21 ="x",AA21="補",AA21="婚",AA21="公",AA21="病",AA21="事",AA21="x榮*",AA21="榮",AA21="榮-22"  ), $AP21 =""),"18放",  IF(  AND(  OR(  Z21="當日退伍"  ),OR(  AA21="退伍",AA21="退", AA21=""  ), $AP21 =""),"當日退伍",  IF(AND(  OR(Z21="退",Z21="退伍" ), OR(AA21="退",AA21="退伍" ), $AP21 =""),"退伍","全日勤"  )  )  )  )  )  )  )  )  )  )  ),"")</f>
        <v>全日勤</v>
      </c>
      <c r="AA62" s="66" t="str">
        <f>IF(   (ROW(BM21)-1)&lt;=暫1!$B$2,           IF(  AND(  OR(  AA21="x",AA21="補"  ), OR(  AB21 ="x",AB21="補",AB21="x榮18-22",AB21="x公18-22",AB21="x榮22-08"  ), $AP21 =""),"全日休",  IF(  AND(  OR(  AA21="x",AA21="病"  ), OR(  AB21 ="病"  ), $AP21 =""),"病(事)假",  IF(  AND(  OR(  AA21="x",AA21="補"  ), OR(  AB21 ="補"  ), $AP21 =""),"補休",  IF(  AND(  OR(  AA21="x",AA21="喪"  ), OR(  AB21 ="喪"  ), $AP21 =""),"喪假",  IF(  AND(  OR(  AA21="x",AA21="婚",AA21="產"  ), OR(  AB21 ="婚",AB21="產"  ), $AP21 =""),"婚(產)假",  IF(  AND(  OR(  AA21="x",AA21="公"  ), OR(  AB21 ="公"  ), $AP21 =""),"公假",  IF(  AND(  OR(  AA21="x",AA21="補",AA21="婚",AA21="公",AA21="病",AA21="事",AA21="x榮18-22"  ),OR(AB21=""), $AP21 =""  ),"18收",  IF(  AND(  OR(  AA21 ="榮14-18",AA21 ="榮10-18",AA21 ="榮06-18",AA21 ="病14-18"  ),OR(  AB21 ="x",AB21="補",AB21="婚",AB21="公",AB21="病",AB21="事",AB21="x"  ), $AP21 =""),"18放早走",  IF(  AND(  OR(  AA21 =""),OR(  AB21 ="x",AB21="補",AB21="婚",AB21="公",AB21="病",AB21="事",AB21="x榮*",AB21="榮",AB21="榮-22"  ), $AP21 =""),"18放",  IF(  AND(  OR(  AA21="當日退伍"  ),OR(  AB21="退伍",AB21="退", AB21=""  ), $AP21 =""),"當日退伍",  IF(AND(  OR(AA21="退",AA21="退伍" ), OR(AB21="退",AB21="退伍" ), $AP21 =""),"退伍","全日勤"  )  )  )  )  )  )  )  )  )  )  ),"")</f>
        <v>全日勤</v>
      </c>
      <c r="AB62" s="66" t="str">
        <f>IF(   (ROW(BN21)-1)&lt;=暫1!$B$2,           IF(  AND(  OR(  AB21="x",AB21="補"  ), OR(  AC21 ="x",AC21="補",AC21="x榮18-22",AC21="x公18-22",AC21="x榮22-08"  ), $AP21 =""),"全日休",  IF(  AND(  OR(  AB21="x",AB21="病"  ), OR(  AC21 ="病"  ), $AP21 =""),"病(事)假",  IF(  AND(  OR(  AB21="x",AB21="補"  ), OR(  AC21 ="補"  ), $AP21 =""),"補休",  IF(  AND(  OR(  AB21="x",AB21="喪"  ), OR(  AC21 ="喪"  ), $AP21 =""),"喪假",  IF(  AND(  OR(  AB21="x",AB21="婚",AB21="產"  ), OR(  AC21 ="婚",AC21="產"  ), $AP21 =""),"婚(產)假",  IF(  AND(  OR(  AB21="x",AB21="公"  ), OR(  AC21 ="公"  ), $AP21 =""),"公假",  IF(  AND(  OR(  AB21="x",AB21="補",AB21="婚",AB21="公",AB21="病",AB21="事",AB21="x榮18-22"  ),OR(AC21=""), $AP21 =""  ),"18收",  IF(  AND(  OR(  AB21 ="榮14-18",AB21 ="榮10-18",AB21 ="榮06-18",AB21 ="病14-18"  ),OR(  AC21 ="x",AC21="補",AC21="婚",AC21="公",AC21="病",AC21="事",AC21="x"  ), $AP21 =""),"18放早走",  IF(  AND(  OR(  AB21 =""),OR(  AC21 ="x",AC21="補",AC21="婚",AC21="公",AC21="病",AC21="事",AC21="x榮*",AC21="榮",AC21="榮-22"  ), $AP21 =""),"18放",  IF(  AND(  OR(  AB21="當日退伍"  ),OR(  AC21="退伍",AC21="退", AC21=""  ), $AP21 =""),"當日退伍",  IF(AND(  OR(AB21="退",AB21="退伍" ), OR(AC21="退",AC21="退伍" ), $AP21 =""),"退伍","全日勤"  )  )  )  )  )  )  )  )  )  )  ),"")</f>
        <v>全日勤</v>
      </c>
      <c r="AC62" s="66" t="str">
        <f>IF(   (ROW(BO21)-1)&lt;=暫1!$B$2,           IF(  AND(  OR(  AC21="x",AC21="補"  ), OR(  AD21 ="x",AD21="補",AD21="x榮18-22",AD21="x公18-22",AD21="x榮22-08"  ), $AP21 =""),"全日休",  IF(  AND(  OR(  AC21="x",AC21="病"  ), OR(  AD21 ="病"  ), $AP21 =""),"病(事)假",  IF(  AND(  OR(  AC21="x",AC21="補"  ), OR(  AD21 ="補"  ), $AP21 =""),"補休",  IF(  AND(  OR(  AC21="x",AC21="喪"  ), OR(  AD21 ="喪"  ), $AP21 =""),"喪假",  IF(  AND(  OR(  AC21="x",AC21="婚",AC21="產"  ), OR(  AD21 ="婚",AD21="產"  ), $AP21 =""),"婚(產)假",  IF(  AND(  OR(  AC21="x",AC21="公"  ), OR(  AD21 ="公"  ), $AP21 =""),"公假",  IF(  AND(  OR(  AC21="x",AC21="補",AC21="婚",AC21="公",AC21="病",AC21="事",AC21="x榮18-22"  ),OR(AD21=""), $AP21 =""  ),"18收",  IF(  AND(  OR(  AC21 ="榮14-18",AC21 ="榮10-18",AC21 ="榮06-18",AC21 ="病14-18"  ),OR(  AD21 ="x",AD21="補",AD21="婚",AD21="公",AD21="病",AD21="事",AD21="x"  ), $AP21 =""),"18放早走",  IF(  AND(  OR(  AC21 =""),OR(  AD21 ="x",AD21="補",AD21="婚",AD21="公",AD21="病",AD21="事",AD21="x榮*",AD21="榮",AD21="榮-22"  ), $AP21 =""),"18放",  IF(  AND(  OR(  AC21="當日退伍"  ),OR(  AD21="退伍",AD21="退", AD21=""  ), $AP21 =""),"當日退伍",  IF(AND(  OR(AC21="退",AC21="退伍" ), OR(AD21="退",AD21="退伍" ), $AP21 =""),"退伍","全日勤"  )  )  )  )  )  )  )  )  )  )  ),"")</f>
        <v>全日勤</v>
      </c>
      <c r="AD62" s="66" t="str">
        <f>IF(   (ROW(BP21)-1)&lt;=暫1!$B$2,           IF(  AND(  OR(  AD21="x",AD21="補"  ), OR(  AE21 ="x",AE21="補",AE21="x榮18-22",AE21="x公18-22",AE21="x榮22-08"  ), $AP21 =""),"全日休",  IF(  AND(  OR(  AD21="x",AD21="病"  ), OR(  AE21 ="病"  ), $AP21 =""),"病(事)假",  IF(  AND(  OR(  AD21="x",AD21="補"  ), OR(  AE21 ="補"  ), $AP21 =""),"補休",  IF(  AND(  OR(  AD21="x",AD21="喪"  ), OR(  AE21 ="喪"  ), $AP21 =""),"喪假",  IF(  AND(  OR(  AD21="x",AD21="婚",AD21="產"  ), OR(  AE21 ="婚",AE21="產"  ), $AP21 =""),"婚(產)假",  IF(  AND(  OR(  AD21="x",AD21="公"  ), OR(  AE21 ="公"  ), $AP21 =""),"公假",  IF(  AND(  OR(  AD21="x",AD21="補",AD21="婚",AD21="公",AD21="病",AD21="事",AD21="x榮18-22"  ),OR(AE21=""), $AP21 =""  ),"18收",  IF(  AND(  OR(  AD21 ="榮14-18",AD21 ="榮10-18",AD21 ="榮06-18",AD21 ="病14-18"  ),OR(  AE21 ="x",AE21="補",AE21="婚",AE21="公",AE21="病",AE21="事",AE21="x"  ), $AP21 =""),"18放早走",  IF(  AND(  OR(  AD21 =""),OR(  AE21 ="x",AE21="補",AE21="婚",AE21="公",AE21="病",AE21="事",AE21="x榮*",AE21="榮",AE21="榮-22"  ), $AP21 =""),"18放",  IF(  AND(  OR(  AD21="當日退伍"  ),OR(  AE21="退伍",AE21="退", AE21=""  ), $AP21 =""),"當日退伍",  IF(AND(  OR(AD21="退",AD21="退伍" ), OR(AE21="退",AE21="退伍" ), $AP21 =""),"退伍","全日勤"  )  )  )  )  )  )  )  )  )  )  ),"")</f>
        <v>全日勤</v>
      </c>
      <c r="AE62" s="66" t="str">
        <f>IF(   (ROW(BQ21)-1)&lt;=暫1!$B$2,           IF(  AND(  OR(  AE21="x",AE21="補"  ), OR(  AF21 ="x",AF21="補",AF21="x榮18-22",AF21="x公18-22",AF21="x榮22-08"  ), $AP21 =""),"全日休",  IF(  AND(  OR(  AE21="x",AE21="病"  ), OR(  AF21 ="病"  ), $AP21 =""),"病(事)假",  IF(  AND(  OR(  AE21="x",AE21="補"  ), OR(  AF21 ="補"  ), $AP21 =""),"補休",  IF(  AND(  OR(  AE21="x",AE21="喪"  ), OR(  AF21 ="喪"  ), $AP21 =""),"喪假",  IF(  AND(  OR(  AE21="x",AE21="婚",AE21="產"  ), OR(  AF21 ="婚",AF21="產"  ), $AP21 =""),"婚(產)假",  IF(  AND(  OR(  AE21="x",AE21="公"  ), OR(  AF21 ="公"  ), $AP21 =""),"公假",  IF(  AND(  OR(  AE21="x",AE21="補",AE21="婚",AE21="公",AE21="病",AE21="事",AE21="x榮18-22"  ),OR(AF21=""), $AP21 =""  ),"18收",  IF(  AND(  OR(  AE21 ="榮14-18",AE21 ="榮10-18",AE21 ="榮06-18",AE21 ="病14-18"  ),OR(  AF21 ="x",AF21="補",AF21="婚",AF21="公",AF21="病",AF21="事",AF21="x"  ), $AP21 =""),"18放早走",  IF(  AND(  OR(  AE21 =""),OR(  AF21 ="x",AF21="補",AF21="婚",AF21="公",AF21="病",AF21="事",AF21="x榮*",AF21="榮",AF21="榮-22"  ), $AP21 =""),"18放",  IF(  AND(  OR(  AE21="當日退伍"  ),OR(  AF21="退伍",AF21="退", AF21=""  ), $AP21 =""),"當日退伍",  IF(AND(  OR(AE21="退",AE21="退伍" ), OR(AF21="退",AF21="退伍" ), $AP21 =""),"退伍","全日勤"  )  )  )  )  )  )  )  )  )  )  ),"")</f>
        <v>18放</v>
      </c>
      <c r="AF62" s="66" t="str">
        <f>IF(   (ROW(BR21)-1)&lt;=暫1!$B$2,           IF(  AND(  OR(  AF21="x",AF21="補"  ), OR(  AG21 ="x",AG21="補",AG21="x榮18-22",AG21="x公18-22",AG21="x榮22-08"  ), $AP21 =""),"全日休",  IF(  AND(  OR(  AF21="x",AF21="病"  ), OR(  AG21 ="病"  ), $AP21 =""),"病(事)假",  IF(  AND(  OR(  AF21="x",AF21="補"  ), OR(  AG21 ="補"  ), $AP21 =""),"補休",  IF(  AND(  OR(  AF21="x",AF21="喪"  ), OR(  AG21 ="喪"  ), $AP21 =""),"喪假",  IF(  AND(  OR(  AF21="x",AF21="婚",AF21="產"  ), OR(  AG21 ="婚",AG21="產"  ), $AP21 =""),"婚(產)假",  IF(  AND(  OR(  AF21="x",AF21="公"  ), OR(  AG21 ="公"  ), $AP21 =""),"公假",  IF(  AND(  OR(  AF21="x",AF21="補",AF21="婚",AF21="公",AF21="病",AF21="事",AF21="x榮18-22"  ),OR(AG21=""), $AP21 =""  ),"18收",  IF(  AND(  OR(  AF21 ="榮14-18",AF21 ="榮10-18",AF21 ="榮06-18",AF21 ="病14-18"  ),OR(  AG21 ="x",AG21="補",AG21="婚",AG21="公",AG21="病",AG21="事",AG21="x"  ), $AP21 =""),"18放早走",  IF(  AND(  OR(  AF21 =""),OR(  AG21 ="x",AG21="補",AG21="婚",AG21="公",AG21="病",AG21="事",AG21="x榮*",AG21="榮",AG21="榮-22"  ), $AP21 =""),"18放",  IF(  AND(  OR(  AF21="當日退伍"  ),OR(  AG21="退伍",AG21="退", AG21=""  ), $AP21 =""),"當日退伍",  IF(AND(  OR(AF21="退",AF21="退伍" ), OR(AG21="退",AG21="退伍" ), $AP21 =""),"退伍","全日勤"  )  )  )  )  )  )  )  )  )  )  ),"")</f>
        <v>全日休</v>
      </c>
      <c r="AG62" s="66" t="str">
        <f>IF(   (ROW(BS21)-1)&lt;=暫1!$B$2,           IF(  AND(  OR(  AG21="x",AG21="補"  ), OR(  AH21 ="x",AH21="補",AH21="x榮18-22",AH21="x公18-22",AH21="x榮22-08"  ), $AP21 =""),"全日休",  IF(  AND(  OR(  AG21="x",AG21="病"  ), OR(  AH21 ="病"  ), $AP21 =""),"病(事)假",  IF(  AND(  OR(  AG21="x",AG21="補"  ), OR(  AH21 ="補"  ), $AP21 =""),"補休",  IF(  AND(  OR(  AG21="x",AG21="喪"  ), OR(  AH21 ="喪"  ), $AP21 =""),"喪假",  IF(  AND(  OR(  AG21="x",AG21="婚",AG21="產"  ), OR(  AH21 ="婚",AH21="產"  ), $AP21 =""),"婚(產)假",  IF(  AND(  OR(  AG21="x",AG21="公"  ), OR(  AH21 ="公"  ), $AP21 =""),"公假",  IF(  AND(  OR(  AG21="x",AG21="補",AG21="婚",AG21="公",AG21="病",AG21="事",AG21="x榮18-22"  ),OR(AH21=""), $AP21 =""  ),"18收",  IF(  AND(  OR(  AG21 ="榮14-18",AG21 ="榮10-18",AG21 ="榮06-18",AG21 ="病14-18"  ),OR(  AH21 ="x",AH21="補",AH21="婚",AH21="公",AH21="病",AH21="事",AH21="x"  ), $AP21 =""),"18放早走",  IF(  AND(  OR(  AG21 =""),OR(  AH21 ="x",AH21="補",AH21="婚",AH21="公",AH21="病",AH21="事",AH21="x榮*",AH21="榮",AH21="榮-22"  ), $AP21 =""),"18放",  IF(  AND(  OR(  AG21="當日退伍"  ),OR(  AH21="退伍",AH21="退", AH21=""  ), $AP21 =""),"當日退伍",  IF(AND(  OR(AG21="退",AG21="退伍" ), OR(AH21="退",AH21="退伍" ), $AP21 =""),"退伍","全日勤"  )  )  )  )  )  )  )  )  )  )  ),"")</f>
        <v>18收</v>
      </c>
      <c r="AH62" s="66" t="str">
        <f>IF(   (ROW(BT21)-1)&lt;=暫1!$B$2,           IF(  AND(  OR(  AH21="x",AH21="補"  ), OR(  AI21 ="x",AI21="補",AI21="x榮18-22",AI21="x公18-22",AI21="x榮22-08"  ), $AP21 =""),"全日休",  IF(  AND(  OR(  AH21="x",AH21="病"  ), OR(  AI21 ="病"  ), $AP21 =""),"病(事)假",  IF(  AND(  OR(  AH21="x",AH21="補"  ), OR(  AI21 ="補"  ), $AP21 =""),"補休",  IF(  AND(  OR(  AH21="x",AH21="喪"  ), OR(  AI21 ="喪"  ), $AP21 =""),"喪假",  IF(  AND(  OR(  AH21="x",AH21="婚",AH21="產"  ), OR(  AI21 ="婚",AI21="產"  ), $AP21 =""),"婚(產)假",  IF(  AND(  OR(  AH21="x",AH21="公"  ), OR(  AI21 ="公"  ), $AP21 =""),"公假",  IF(  AND(  OR(  AH21="x",AH21="補",AH21="婚",AH21="公",AH21="病",AH21="事",AH21="x榮18-22"  ),OR(AI21=""), $AP21 =""  ),"18收",  IF(  AND(  OR(  AH21 ="榮14-18",AH21 ="榮10-18",AH21 ="榮06-18",AH21 ="病14-18"  ),OR(  AI21 ="x",AI21="補",AI21="婚",AI21="公",AI21="病",AI21="事",AI21="x"  ), $AP21 =""),"18放早走",  IF(  AND(  OR(  AH21 =""),OR(  AI21 ="x",AI21="補",AI21="婚",AI21="公",AI21="病",AI21="事",AI21="x榮*",AI21="榮",AI21="榮-22"  ), $AP21 =""),"18放",  IF(  AND(  OR(  AH21="當日退伍"  ),OR(  AI21="退伍",AI21="退", AI21=""  ), $AP21 =""),"當日退伍",  IF(AND(  OR(AH21="退",AH21="退伍" ), OR(AI21="退",AI21="退伍" ), $AP21 =""),"退伍","全日勤"  )  )  )  )  )  )  )  )  )  )  ),"")</f>
        <v>全日勤</v>
      </c>
      <c r="AI62" s="66" t="str">
        <f>IF(   (ROW(BU21)-1)&lt;=暫1!$B$2,           IF(  AND(  OR(  AI21="x",AI21="補"  ), OR(  AJ21 ="x",AJ21="補",AJ21="x榮18-22",AJ21="x公18-22",AJ21="x榮22-08"  ), $AP21 =""),"全日休",  IF(  AND(  OR(  AI21="x",AI21="病"  ), OR(  AJ21 ="病"  ), $AP21 =""),"病(事)假",  IF(  AND(  OR(  AI21="x",AI21="補"  ), OR(  AJ21 ="補"  ), $AP21 =""),"補休",  IF(  AND(  OR(  AI21="x",AI21="喪"  ), OR(  AJ21 ="喪"  ), $AP21 =""),"喪假",  IF(  AND(  OR(  AI21="x",AI21="婚",AI21="產"  ), OR(  AJ21 ="婚",AJ21="產"  ), $AP21 =""),"婚(產)假",  IF(  AND(  OR(  AI21="x",AI21="公"  ), OR(  AJ21 ="公"  ), $AP21 =""),"公假",  IF(  AND(  OR(  AI21="x",AI21="補",AI21="婚",AI21="公",AI21="病",AI21="事",AI21="x榮18-22"  ),OR(AJ21=""), $AP21 =""  ),"18收",  IF(  AND(  OR(  AI21 ="榮14-18",AI21 ="榮10-18",AI21 ="榮06-18",AI21 ="病14-18"  ),OR(  AJ21 ="x",AJ21="補",AJ21="婚",AJ21="公",AJ21="病",AJ21="事",AJ21="x"  ), $AP21 =""),"18放早走",  IF(  AND(  OR(  AI21 =""),OR(  AJ21 ="x",AJ21="補",AJ21="婚",AJ21="公",AJ21="病",AJ21="事",AJ21="x榮*",AJ21="榮",AJ21="榮-22"  ), $AP21 =""),"18放",  IF(  AND(  OR(  AI21="當日退伍"  ),OR(  AJ21="退伍",AJ21="退", AJ21=""  ), $AP21 =""),"當日退伍",  IF(AND(  OR(AI21="退",AI21="退伍" ), OR(AJ21="退",AJ21="退伍" ), $AP21 =""),"退伍","全日勤"  )  )  )  )  )  )  )  )  )  )  ),"")</f>
        <v>全日勤</v>
      </c>
      <c r="AJ62" s="66" t="str">
        <f>IF(   (ROW(BV21)-1)&lt;=暫1!$B$2,           IF(  AND(  OR(  AJ21="x",AJ21="補"  ), OR(  AK21 ="x",AK21="補",AK21="x榮18-22",AK21="x公18-22",AK21="x榮22-08"  ), $AP21 =""),"全日休",  IF(  AND(  OR(  AJ21="x",AJ21="病"  ), OR(  AK21 ="病"  ), $AP21 =""),"病(事)假",  IF(  AND(  OR(  AJ21="x",AJ21="補"  ), OR(  AK21 ="補"  ), $AP21 =""),"補休",  IF(  AND(  OR(  AJ21="x",AJ21="喪"  ), OR(  AK21 ="喪"  ), $AP21 =""),"喪假",  IF(  AND(  OR(  AJ21="x",AJ21="婚",AJ21="產"  ), OR(  AK21 ="婚",AK21="產"  ), $AP21 =""),"婚(產)假",  IF(  AND(  OR(  AJ21="x",AJ21="公"  ), OR(  AK21 ="公"  ), $AP21 =""),"公假",  IF(  AND(  OR(  AJ21="x",AJ21="補",AJ21="婚",AJ21="公",AJ21="病",AJ21="事",AJ21="x榮18-22"  ),OR(AK21=""), $AP21 =""  ),"18收",  IF(  AND(  OR(  AJ21 ="榮14-18",AJ21 ="榮10-18",AJ21 ="榮06-18",AJ21 ="病14-18"  ),OR(  AK21 ="x",AK21="補",AK21="婚",AK21="公",AK21="病",AK21="事",AK21="x"  ), $AP21 =""),"18放早走",  IF(  AND(  OR(  AJ21 =""),OR(  AK21 ="x",AK21="補",AK21="婚",AK21="公",AK21="病",AK21="事",AK21="x榮*",AK21="榮",AK21="榮-22"  ), $AP21 =""),"18放",  IF(  AND(  OR(  AJ21="當日退伍"  ),OR(  AK21="退伍",AK21="退", AK21=""  ), $AP21 =""),"當日退伍",  IF(AND(  OR(AJ21="退",AJ21="退伍" ), OR(AK21="退",AK21="退伍" ), $AP21 =""),"退伍","全日勤"  )  )  )  )  )  )  )  )  )  )  ),"")</f>
        <v>全日勤</v>
      </c>
      <c r="AO62" s="76"/>
      <c r="AP62" s="63"/>
      <c r="AU62" s="63"/>
      <c r="AY62" s="63"/>
      <c r="AZ62" s="63"/>
      <c r="BA62" s="63"/>
    </row>
    <row r="63" spans="1:55" ht="25.5" customHeight="1">
      <c r="A63" s="66">
        <f t="shared" si="4"/>
        <v>21</v>
      </c>
      <c r="B63" s="66" t="str">
        <f t="shared" si="6"/>
        <v>邱俊閎</v>
      </c>
      <c r="C63" s="66" t="str">
        <f>IF(   (ROW(AO22)-1)&lt;=暫1!$B$2,           IF(  AND(  OR(  C22="x",C22="補"  ), OR(  D22 ="x",D22="補",D22="x榮18-22",D22="x公18-22",D22="x榮22-08"  ), $AP22 =""),"全日休",  IF(  AND(  OR(  C22="x",C22="病"  ), OR(  D22 ="病"  ), $AP22 =""),"病(事)假",  IF(  AND(  OR(  C22="x",C22="補"  ), OR(  D22 ="補"  ), $AP22 =""),"補休",  IF(  AND(  OR(  C22="x",C22="喪"  ), OR(  D22 ="喪"  ), $AP22 =""),"喪假",  IF(  AND(  OR(  C22="x",C22="婚",C22="產"  ), OR(  D22 ="婚",D22="產"  ), $AP22 =""),"婚(產)假",  IF(  AND(  OR(  C22="x",C22="公"  ), OR(  D22 ="公"  ), $AP22 =""),"公假",  IF(  AND(  OR(  C22="x",C22="補",C22="婚",C22="公",C22="病",C22="事",C22="x榮18-22"  ),OR(D22=""), $AP22 =""  ),"18收",  IF(  AND(  OR(  C22 ="榮14-18",C22 ="榮10-18",C22 ="榮06-18",C22 ="病14-18"  ),OR(  D22 ="x",D22="補",D22="婚",D22="公",D22="病",D22="事",D22="x"  ), $AP22 =""),"18放早走",  IF(  AND(  OR(  C22 =""),OR(  D22 ="x",D22="補",D22="婚",D22="公",D22="病",D22="事",D22="x榮*",D22="榮",D22="榮-22"  ), $AP22 =""),"18放",  IF(  AND(  OR(  C22="當日退伍"  ),OR(  D22="退伍",D22="退", D22=""  ), $AP22 =""),"當日退伍",  IF(AND(  OR(C22="退",C22="退伍" ), OR(D22="退",D22="退伍" ), $AP22 =""),"退伍","全日勤"  )  )  )  )  )  )  )  )  )  )  ),"")</f>
        <v>18放</v>
      </c>
      <c r="D63" s="66" t="str">
        <f>IF(   (ROW(AP22)-1)&lt;=暫1!$B$2,           IF(  AND(  OR(  D22="x",D22="補"  ), OR(  E22 ="x",E22="補",E22="x榮18-22",E22="x公18-22",E22="x榮22-08"  ), $AP22 =""),"全日休",  IF(  AND(  OR(  D22="x",D22="病"  ), OR(  E22 ="病"  ), $AP22 =""),"病(事)假",  IF(  AND(  OR(  D22="x",D22="補"  ), OR(  E22 ="補"  ), $AP22 =""),"補休",  IF(  AND(  OR(  D22="x",D22="喪"  ), OR(  E22 ="喪"  ), $AP22 =""),"喪假",  IF(  AND(  OR(  D22="x",D22="婚",D22="產"  ), OR(  E22 ="婚",E22="產"  ), $AP22 =""),"婚(產)假",  IF(  AND(  OR(  D22="x",D22="公"  ), OR(  E22 ="公"  ), $AP22 =""),"公假",  IF(  AND(  OR(  D22="x",D22="補",D22="婚",D22="公",D22="病",D22="事",D22="x榮18-22"  ),OR(E22=""), $AP22 =""  ),"18收",  IF(  AND(  OR(  D22 ="榮14-18",D22 ="榮10-18",D22 ="榮06-18",D22 ="病14-18"  ),OR(  E22 ="x",E22="補",E22="婚",E22="公",E22="病",E22="事",E22="x"  ), $AP22 =""),"18放早走",  IF(  AND(  OR(  D22 =""),OR(  E22 ="x",E22="補",E22="婚",E22="公",E22="病",E22="事",E22="x榮*",E22="榮",E22="榮-22"  ), $AP22 =""),"18放",  IF(  AND(  OR(  D22="當日退伍"  ),OR(  E22="退伍",E22="退", E22=""  ), $AP22 =""),"當日退伍",  IF(AND(  OR(D22="退",D22="退伍" ), OR(E22="退",E22="退伍" ), $AP22 =""),"退伍","全日勤"  )  )  )  )  )  )  )  )  )  )  ),"")</f>
        <v>全日休</v>
      </c>
      <c r="E63" s="66" t="str">
        <f>IF(   (ROW(AQ22)-1)&lt;=暫1!$B$2,           IF(  AND(  OR(  E22="x",E22="補"  ), OR(  F22 ="x",F22="補",F22="x榮18-22",F22="x公18-22",F22="x榮22-08"  ), $AP22 =""),"全日休",  IF(  AND(  OR(  E22="x",E22="病"  ), OR(  F22 ="病"  ), $AP22 =""),"病(事)假",  IF(  AND(  OR(  E22="x",E22="補"  ), OR(  F22 ="補"  ), $AP22 =""),"補休",  IF(  AND(  OR(  E22="x",E22="喪"  ), OR(  F22 ="喪"  ), $AP22 =""),"喪假",  IF(  AND(  OR(  E22="x",E22="婚",E22="產"  ), OR(  F22 ="婚",F22="產"  ), $AP22 =""),"婚(產)假",  IF(  AND(  OR(  E22="x",E22="公"  ), OR(  F22 ="公"  ), $AP22 =""),"公假",  IF(  AND(  OR(  E22="x",E22="補",E22="婚",E22="公",E22="病",E22="事",E22="x榮18-22"  ),OR(F22=""), $AP22 =""  ),"18收",  IF(  AND(  OR(  E22 ="榮14-18",E22 ="榮10-18",E22 ="榮06-18",E22 ="病14-18"  ),OR(  F22 ="x",F22="補",F22="婚",F22="公",F22="病",F22="事",F22="x"  ), $AP22 =""),"18放早走",  IF(  AND(  OR(  E22 =""),OR(  F22 ="x",F22="補",F22="婚",F22="公",F22="病",F22="事",F22="x榮*",F22="榮",F22="榮-22"  ), $AP22 =""),"18放",  IF(  AND(  OR(  E22="當日退伍"  ),OR(  F22="退伍",F22="退", F22=""  ), $AP22 =""),"當日退伍",  IF(AND(  OR(E22="退",E22="退伍" ), OR(F22="退",F22="退伍" ), $AP22 =""),"退伍","全日勤"  )  )  )  )  )  )  )  )  )  )  ),"")</f>
        <v>全日休</v>
      </c>
      <c r="F63" s="66" t="str">
        <f>IF(   (ROW(AR22)-1)&lt;=暫1!$B$2,           IF(  AND(  OR(  F22="x",F22="補"  ), OR(  G22 ="x",G22="補",G22="x榮18-22",G22="x公18-22",G22="x榮22-08"  ), $AP22 =""),"全日休",  IF(  AND(  OR(  F22="x",F22="病"  ), OR(  G22 ="病"  ), $AP22 =""),"病(事)假",  IF(  AND(  OR(  F22="x",F22="補"  ), OR(  G22 ="補"  ), $AP22 =""),"補休",  IF(  AND(  OR(  F22="x",F22="喪"  ), OR(  G22 ="喪"  ), $AP22 =""),"喪假",  IF(  AND(  OR(  F22="x",F22="婚",F22="產"  ), OR(  G22 ="婚",G22="產"  ), $AP22 =""),"婚(產)假",  IF(  AND(  OR(  F22="x",F22="公"  ), OR(  G22 ="公"  ), $AP22 =""),"公假",  IF(  AND(  OR(  F22="x",F22="補",F22="婚",F22="公",F22="病",F22="事",F22="x榮18-22"  ),OR(G22=""), $AP22 =""  ),"18收",  IF(  AND(  OR(  F22 ="榮14-18",F22 ="榮10-18",F22 ="榮06-18",F22 ="病14-18"  ),OR(  G22 ="x",G22="補",G22="婚",G22="公",G22="病",G22="事",G22="x"  ), $AP22 =""),"18放早走",  IF(  AND(  OR(  F22 =""),OR(  G22 ="x",G22="補",G22="婚",G22="公",G22="病",G22="事",G22="x榮*",G22="榮",G22="榮-22"  ), $AP22 =""),"18放",  IF(  AND(  OR(  F22="當日退伍"  ),OR(  G22="退伍",G22="退", G22=""  ), $AP22 =""),"當日退伍",  IF(AND(  OR(F22="退",F22="退伍" ), OR(G22="退",G22="退伍" ), $AP22 =""),"退伍","全日勤"  )  )  )  )  )  )  )  )  )  )  ),"")</f>
        <v>18收</v>
      </c>
      <c r="G63" s="66" t="str">
        <f>IF(   (ROW(AS22)-1)&lt;=暫1!$B$2,           IF(  AND(  OR(  G22="x",G22="補"  ), OR(  H22 ="x",H22="補",H22="x榮18-22",H22="x公18-22",H22="x榮22-08"  ), $AP22 =""),"全日休",  IF(  AND(  OR(  G22="x",G22="病"  ), OR(  H22 ="病"  ), $AP22 =""),"病(事)假",  IF(  AND(  OR(  G22="x",G22="補"  ), OR(  H22 ="補"  ), $AP22 =""),"補休",  IF(  AND(  OR(  G22="x",G22="喪"  ), OR(  H22 ="喪"  ), $AP22 =""),"喪假",  IF(  AND(  OR(  G22="x",G22="婚",G22="產"  ), OR(  H22 ="婚",H22="產"  ), $AP22 =""),"婚(產)假",  IF(  AND(  OR(  G22="x",G22="公"  ), OR(  H22 ="公"  ), $AP22 =""),"公假",  IF(  AND(  OR(  G22="x",G22="補",G22="婚",G22="公",G22="病",G22="事",G22="x榮18-22"  ),OR(H22=""), $AP22 =""  ),"18收",  IF(  AND(  OR(  G22 ="榮14-18",G22 ="榮10-18",G22 ="榮06-18",G22 ="病14-18"  ),OR(  H22 ="x",H22="補",H22="婚",H22="公",H22="病",H22="事",H22="x"  ), $AP22 =""),"18放早走",  IF(  AND(  OR(  G22 =""),OR(  H22 ="x",H22="補",H22="婚",H22="公",H22="病",H22="事",H22="x榮*",H22="榮",H22="榮-22"  ), $AP22 =""),"18放",  IF(  AND(  OR(  G22="當日退伍"  ),OR(  H22="退伍",H22="退", H22=""  ), $AP22 =""),"當日退伍",  IF(AND(  OR(G22="退",G22="退伍" ), OR(H22="退",H22="退伍" ), $AP22 =""),"退伍","全日勤"  )  )  )  )  )  )  )  )  )  )  ),"")</f>
        <v>全日勤</v>
      </c>
      <c r="H63" s="66" t="str">
        <f>IF(   (ROW(AT22)-1)&lt;=暫1!$B$2,           IF(  AND(  OR(  H22="x",H22="補"  ), OR(  I22 ="x",I22="補",I22="x榮18-22",I22="x公18-22",I22="x榮22-08"  ), $AP22 =""),"全日休",  IF(  AND(  OR(  H22="x",H22="病"  ), OR(  I22 ="病"  ), $AP22 =""),"病(事)假",  IF(  AND(  OR(  H22="x",H22="補"  ), OR(  I22 ="補"  ), $AP22 =""),"補休",  IF(  AND(  OR(  H22="x",H22="喪"  ), OR(  I22 ="喪"  ), $AP22 =""),"喪假",  IF(  AND(  OR(  H22="x",H22="婚",H22="產"  ), OR(  I22 ="婚",I22="產"  ), $AP22 =""),"婚(產)假",  IF(  AND(  OR(  H22="x",H22="公"  ), OR(  I22 ="公"  ), $AP22 =""),"公假",  IF(  AND(  OR(  H22="x",H22="補",H22="婚",H22="公",H22="病",H22="事",H22="x榮18-22"  ),OR(I22=""), $AP22 =""  ),"18收",  IF(  AND(  OR(  H22 ="榮14-18",H22 ="榮10-18",H22 ="榮06-18",H22 ="病14-18"  ),OR(  I22 ="x",I22="補",I22="婚",I22="公",I22="病",I22="事",I22="x"  ), $AP22 =""),"18放早走",  IF(  AND(  OR(  H22 =""),OR(  I22 ="x",I22="補",I22="婚",I22="公",I22="病",I22="事",I22="x榮*",I22="榮",I22="榮-22"  ), $AP22 =""),"18放",  IF(  AND(  OR(  H22="當日退伍"  ),OR(  I22="退伍",I22="退", I22=""  ), $AP22 =""),"當日退伍",  IF(AND(  OR(H22="退",H22="退伍" ), OR(I22="退",I22="退伍" ), $AP22 =""),"退伍","全日勤"  )  )  )  )  )  )  )  )  )  )  ),"")</f>
        <v>全日勤</v>
      </c>
      <c r="I63" s="66" t="str">
        <f>IF(   (ROW(AU22)-1)&lt;=暫1!$B$2,           IF(  AND(  OR(  I22="x",I22="補"  ), OR(  J22 ="x",J22="補",J22="x榮18-22",J22="x公18-22",J22="x榮22-08"  ), $AP22 =""),"全日休",  IF(  AND(  OR(  I22="x",I22="病"  ), OR(  J22 ="病"  ), $AP22 =""),"病(事)假",  IF(  AND(  OR(  I22="x",I22="補"  ), OR(  J22 ="補"  ), $AP22 =""),"補休",  IF(  AND(  OR(  I22="x",I22="喪"  ), OR(  J22 ="喪"  ), $AP22 =""),"喪假",  IF(  AND(  OR(  I22="x",I22="婚",I22="產"  ), OR(  J22 ="婚",J22="產"  ), $AP22 =""),"婚(產)假",  IF(  AND(  OR(  I22="x",I22="公"  ), OR(  J22 ="公"  ), $AP22 =""),"公假",  IF(  AND(  OR(  I22="x",I22="補",I22="婚",I22="公",I22="病",I22="事",I22="x榮18-22"  ),OR(J22=""), $AP22 =""  ),"18收",  IF(  AND(  OR(  I22 ="榮14-18",I22 ="榮10-18",I22 ="榮06-18",I22 ="病14-18"  ),OR(  J22 ="x",J22="補",J22="婚",J22="公",J22="病",J22="事",J22="x"  ), $AP22 =""),"18放早走",  IF(  AND(  OR(  I22 =""),OR(  J22 ="x",J22="補",J22="婚",J22="公",J22="病",J22="事",J22="x榮*",J22="榮",J22="榮-22"  ), $AP22 =""),"18放",  IF(  AND(  OR(  I22="當日退伍"  ),OR(  J22="退伍",J22="退", J22=""  ), $AP22 =""),"當日退伍",  IF(AND(  OR(I22="退",I22="退伍" ), OR(J22="退",J22="退伍" ), $AP22 =""),"退伍","全日勤"  )  )  )  )  )  )  )  )  )  )  ),"")</f>
        <v>全日勤</v>
      </c>
      <c r="J63" s="66" t="str">
        <f>IF(   (ROW(AV22)-1)&lt;=暫1!$B$2,           IF(  AND(  OR(  J22="x",J22="補"  ), OR(  K22 ="x",K22="補",K22="x榮18-22",K22="x公18-22",K22="x榮22-08"  ), $AP22 =""),"全日休",  IF(  AND(  OR(  J22="x",J22="病"  ), OR(  K22 ="病"  ), $AP22 =""),"病(事)假",  IF(  AND(  OR(  J22="x",J22="補"  ), OR(  K22 ="補"  ), $AP22 =""),"補休",  IF(  AND(  OR(  J22="x",J22="喪"  ), OR(  K22 ="喪"  ), $AP22 =""),"喪假",  IF(  AND(  OR(  J22="x",J22="婚",J22="產"  ), OR(  K22 ="婚",K22="產"  ), $AP22 =""),"婚(產)假",  IF(  AND(  OR(  J22="x",J22="公"  ), OR(  K22 ="公"  ), $AP22 =""),"公假",  IF(  AND(  OR(  J22="x",J22="補",J22="婚",J22="公",J22="病",J22="事",J22="x榮18-22"  ),OR(K22=""), $AP22 =""  ),"18收",  IF(  AND(  OR(  J22 ="榮14-18",J22 ="榮10-18",J22 ="榮06-18",J22 ="病14-18"  ),OR(  K22 ="x",K22="補",K22="婚",K22="公",K22="病",K22="事",K22="x"  ), $AP22 =""),"18放早走",  IF(  AND(  OR(  J22 =""),OR(  K22 ="x",K22="補",K22="婚",K22="公",K22="病",K22="事",K22="x榮*",K22="榮",K22="榮-22"  ), $AP22 =""),"18放",  IF(  AND(  OR(  J22="當日退伍"  ),OR(  K22="退伍",K22="退", K22=""  ), $AP22 =""),"當日退伍",  IF(AND(  OR(J22="退",J22="退伍" ), OR(K22="退",K22="退伍" ), $AP22 =""),"退伍","全日勤"  )  )  )  )  )  )  )  )  )  )  ),"")</f>
        <v>18放</v>
      </c>
      <c r="K63" s="66" t="str">
        <f>IF(   (ROW(AW22)-1)&lt;=暫1!$B$2,           IF(  AND(  OR(  K22="x",K22="補"  ), OR(  L22 ="x",L22="補",L22="x榮18-22",L22="x公18-22",L22="x榮22-08"  ), $AP22 =""),"全日休",  IF(  AND(  OR(  K22="x",K22="病"  ), OR(  L22 ="病"  ), $AP22 =""),"病(事)假",  IF(  AND(  OR(  K22="x",K22="補"  ), OR(  L22 ="補"  ), $AP22 =""),"補休",  IF(  AND(  OR(  K22="x",K22="喪"  ), OR(  L22 ="喪"  ), $AP22 =""),"喪假",  IF(  AND(  OR(  K22="x",K22="婚",K22="產"  ), OR(  L22 ="婚",L22="產"  ), $AP22 =""),"婚(產)假",  IF(  AND(  OR(  K22="x",K22="公"  ), OR(  L22 ="公"  ), $AP22 =""),"公假",  IF(  AND(  OR(  K22="x",K22="補",K22="婚",K22="公",K22="病",K22="事",K22="x榮18-22"  ),OR(L22=""), $AP22 =""  ),"18收",  IF(  AND(  OR(  K22 ="榮14-18",K22 ="榮10-18",K22 ="榮06-18",K22 ="病14-18"  ),OR(  L22 ="x",L22="補",L22="婚",L22="公",L22="病",L22="事",L22="x"  ), $AP22 =""),"18放早走",  IF(  AND(  OR(  K22 =""),OR(  L22 ="x",L22="補",L22="婚",L22="公",L22="病",L22="事",L22="x榮*",L22="榮",L22="榮-22"  ), $AP22 =""),"18放",  IF(  AND(  OR(  K22="當日退伍"  ),OR(  L22="退伍",L22="退", L22=""  ), $AP22 =""),"當日退伍",  IF(AND(  OR(K22="退",K22="退伍" ), OR(L22="退",L22="退伍" ), $AP22 =""),"退伍","全日勤"  )  )  )  )  )  )  )  )  )  )  ),"")</f>
        <v>全日休</v>
      </c>
      <c r="L63" s="66" t="str">
        <f>IF(   (ROW(AX22)-1)&lt;=暫1!$B$2,           IF(  AND(  OR(  L22="x",L22="補"  ), OR(  M22 ="x",M22="補",M22="x榮18-22",M22="x公18-22",M22="x榮22-08"  ), $AP22 =""),"全日休",  IF(  AND(  OR(  L22="x",L22="病"  ), OR(  M22 ="病"  ), $AP22 =""),"病(事)假",  IF(  AND(  OR(  L22="x",L22="補"  ), OR(  M22 ="補"  ), $AP22 =""),"補休",  IF(  AND(  OR(  L22="x",L22="喪"  ), OR(  M22 ="喪"  ), $AP22 =""),"喪假",  IF(  AND(  OR(  L22="x",L22="婚",L22="產"  ), OR(  M22 ="婚",M22="產"  ), $AP22 =""),"婚(產)假",  IF(  AND(  OR(  L22="x",L22="公"  ), OR(  M22 ="公"  ), $AP22 =""),"公假",  IF(  AND(  OR(  L22="x",L22="補",L22="婚",L22="公",L22="病",L22="事",L22="x榮18-22"  ),OR(M22=""), $AP22 =""  ),"18收",  IF(  AND(  OR(  L22 ="榮14-18",L22 ="榮10-18",L22 ="榮06-18",L22 ="病14-18"  ),OR(  M22 ="x",M22="補",M22="婚",M22="公",M22="病",M22="事",M22="x"  ), $AP22 =""),"18放早走",  IF(  AND(  OR(  L22 =""),OR(  M22 ="x",M22="補",M22="婚",M22="公",M22="病",M22="事",M22="x榮*",M22="榮",M22="榮-22"  ), $AP22 =""),"18放",  IF(  AND(  OR(  L22="當日退伍"  ),OR(  M22="退伍",M22="退", M22=""  ), $AP22 =""),"當日退伍",  IF(AND(  OR(L22="退",L22="退伍" ), OR(M22="退",M22="退伍" ), $AP22 =""),"退伍","全日勤"  )  )  )  )  )  )  )  )  )  )  ),"")</f>
        <v>全日休</v>
      </c>
      <c r="M63" s="66" t="str">
        <f>IF(   (ROW(AY22)-1)&lt;=暫1!$B$2,           IF(  AND(  OR(  M22="x",M22="補"  ), OR(  N22 ="x",N22="補",N22="x榮18-22",N22="x公18-22",N22="x榮22-08"  ), $AP22 =""),"全日休",  IF(  AND(  OR(  M22="x",M22="病"  ), OR(  N22 ="病"  ), $AP22 =""),"病(事)假",  IF(  AND(  OR(  M22="x",M22="補"  ), OR(  N22 ="補"  ), $AP22 =""),"補休",  IF(  AND(  OR(  M22="x",M22="喪"  ), OR(  N22 ="喪"  ), $AP22 =""),"喪假",  IF(  AND(  OR(  M22="x",M22="婚",M22="產"  ), OR(  N22 ="婚",N22="產"  ), $AP22 =""),"婚(產)假",  IF(  AND(  OR(  M22="x",M22="公"  ), OR(  N22 ="公"  ), $AP22 =""),"公假",  IF(  AND(  OR(  M22="x",M22="補",M22="婚",M22="公",M22="病",M22="事",M22="x榮18-22"  ),OR(N22=""), $AP22 =""  ),"18收",  IF(  AND(  OR(  M22 ="榮14-18",M22 ="榮10-18",M22 ="榮06-18",M22 ="病14-18"  ),OR(  N22 ="x",N22="補",N22="婚",N22="公",N22="病",N22="事",N22="x"  ), $AP22 =""),"18放早走",  IF(  AND(  OR(  M22 =""),OR(  N22 ="x",N22="補",N22="婚",N22="公",N22="病",N22="事",N22="x榮*",N22="榮",N22="榮-22"  ), $AP22 =""),"18放",  IF(  AND(  OR(  M22="當日退伍"  ),OR(  N22="退伍",N22="退", N22=""  ), $AP22 =""),"當日退伍",  IF(AND(  OR(M22="退",M22="退伍" ), OR(N22="退",N22="退伍" ), $AP22 =""),"退伍","全日勤"  )  )  )  )  )  )  )  )  )  )  ),"")</f>
        <v>18收</v>
      </c>
      <c r="N63" s="66" t="str">
        <f>IF(   (ROW(AZ22)-1)&lt;=暫1!$B$2,           IF(  AND(  OR(  N22="x",N22="補"  ), OR(  O22 ="x",O22="補",O22="x榮18-22",O22="x公18-22",O22="x榮22-08"  ), $AP22 =""),"全日休",  IF(  AND(  OR(  N22="x",N22="病"  ), OR(  O22 ="病"  ), $AP22 =""),"病(事)假",  IF(  AND(  OR(  N22="x",N22="補"  ), OR(  O22 ="補"  ), $AP22 =""),"補休",  IF(  AND(  OR(  N22="x",N22="喪"  ), OR(  O22 ="喪"  ), $AP22 =""),"喪假",  IF(  AND(  OR(  N22="x",N22="婚",N22="產"  ), OR(  O22 ="婚",O22="產"  ), $AP22 =""),"婚(產)假",  IF(  AND(  OR(  N22="x",N22="公"  ), OR(  O22 ="公"  ), $AP22 =""),"公假",  IF(  AND(  OR(  N22="x",N22="補",N22="婚",N22="公",N22="病",N22="事",N22="x榮18-22"  ),OR(O22=""), $AP22 =""  ),"18收",  IF(  AND(  OR(  N22 ="榮14-18",N22 ="榮10-18",N22 ="榮06-18",N22 ="病14-18"  ),OR(  O22 ="x",O22="補",O22="婚",O22="公",O22="病",O22="事",O22="x"  ), $AP22 =""),"18放早走",  IF(  AND(  OR(  N22 =""),OR(  O22 ="x",O22="補",O22="婚",O22="公",O22="病",O22="事",O22="x榮*",O22="榮",O22="榮-22"  ), $AP22 =""),"18放",  IF(  AND(  OR(  N22="當日退伍"  ),OR(  O22="退伍",O22="退", O22=""  ), $AP22 =""),"當日退伍",  IF(AND(  OR(N22="退",N22="退伍" ), OR(O22="退",O22="退伍" ), $AP22 =""),"退伍","全日勤"  )  )  )  )  )  )  )  )  )  )  ),"")</f>
        <v>全日勤</v>
      </c>
      <c r="O63" s="66" t="str">
        <f>IF(   (ROW(BA22)-1)&lt;=暫1!$B$2,           IF(  AND(  OR(  O22="x",O22="補"  ), OR(  P22 ="x",P22="補",P22="x榮18-22",P22="x公18-22",P22="x榮22-08"  ), $AP22 =""),"全日休",  IF(  AND(  OR(  O22="x",O22="病"  ), OR(  P22 ="病"  ), $AP22 =""),"病(事)假",  IF(  AND(  OR(  O22="x",O22="補"  ), OR(  P22 ="補"  ), $AP22 =""),"補休",  IF(  AND(  OR(  O22="x",O22="喪"  ), OR(  P22 ="喪"  ), $AP22 =""),"喪假",  IF(  AND(  OR(  O22="x",O22="婚",O22="產"  ), OR(  P22 ="婚",P22="產"  ), $AP22 =""),"婚(產)假",  IF(  AND(  OR(  O22="x",O22="公"  ), OR(  P22 ="公"  ), $AP22 =""),"公假",  IF(  AND(  OR(  O22="x",O22="補",O22="婚",O22="公",O22="病",O22="事",O22="x榮18-22"  ),OR(P22=""), $AP22 =""  ),"18收",  IF(  AND(  OR(  O22 ="榮14-18",O22 ="榮10-18",O22 ="榮06-18",O22 ="病14-18"  ),OR(  P22 ="x",P22="補",P22="婚",P22="公",P22="病",P22="事",P22="x"  ), $AP22 =""),"18放早走",  IF(  AND(  OR(  O22 =""),OR(  P22 ="x",P22="補",P22="婚",P22="公",P22="病",P22="事",P22="x榮*",P22="榮",P22="榮-22"  ), $AP22 =""),"18放",  IF(  AND(  OR(  O22="當日退伍"  ),OR(  P22="退伍",P22="退", P22=""  ), $AP22 =""),"當日退伍",  IF(AND(  OR(O22="退",O22="退伍" ), OR(P22="退",P22="退伍" ), $AP22 =""),"退伍","全日勤"  )  )  )  )  )  )  )  )  )  )  ),"")</f>
        <v>全日勤</v>
      </c>
      <c r="P63" s="66" t="str">
        <f>IF(   (ROW(BB22)-1)&lt;=暫1!$B$2,           IF(  AND(  OR(  P22="x",P22="補"  ), OR(  Q22 ="x",Q22="補",Q22="x榮18-22",Q22="x公18-22",Q22="x榮22-08"  ), $AP22 =""),"全日休",  IF(  AND(  OR(  P22="x",P22="病"  ), OR(  Q22 ="病"  ), $AP22 =""),"病(事)假",  IF(  AND(  OR(  P22="x",P22="補"  ), OR(  Q22 ="補"  ), $AP22 =""),"補休",  IF(  AND(  OR(  P22="x",P22="喪"  ), OR(  Q22 ="喪"  ), $AP22 =""),"喪假",  IF(  AND(  OR(  P22="x",P22="婚",P22="產"  ), OR(  Q22 ="婚",Q22="產"  ), $AP22 =""),"婚(產)假",  IF(  AND(  OR(  P22="x",P22="公"  ), OR(  Q22 ="公"  ), $AP22 =""),"公假",  IF(  AND(  OR(  P22="x",P22="補",P22="婚",P22="公",P22="病",P22="事",P22="x榮18-22"  ),OR(Q22=""), $AP22 =""  ),"18收",  IF(  AND(  OR(  P22 ="榮14-18",P22 ="榮10-18",P22 ="榮06-18",P22 ="病14-18"  ),OR(  Q22 ="x",Q22="補",Q22="婚",Q22="公",Q22="病",Q22="事",Q22="x"  ), $AP22 =""),"18放早走",  IF(  AND(  OR(  P22 =""),OR(  Q22 ="x",Q22="補",Q22="婚",Q22="公",Q22="病",Q22="事",Q22="x榮*",Q22="榮",Q22="榮-22"  ), $AP22 =""),"18放",  IF(  AND(  OR(  P22="當日退伍"  ),OR(  Q22="退伍",Q22="退", Q22=""  ), $AP22 =""),"當日退伍",  IF(AND(  OR(P22="退",P22="退伍" ), OR(Q22="退",Q22="退伍" ), $AP22 =""),"退伍","全日勤"  )  )  )  )  )  )  )  )  )  )  ),"")</f>
        <v>全日勤</v>
      </c>
      <c r="Q63" s="66" t="str">
        <f>IF(   (ROW(BC22)-1)&lt;=暫1!$B$2,           IF(  AND(  OR(  Q22="x",Q22="補"  ), OR(  R22 ="x",R22="補",R22="x榮18-22",R22="x公18-22",R22="x榮22-08"  ), $AP22 =""),"全日休",  IF(  AND(  OR(  Q22="x",Q22="病"  ), OR(  R22 ="病"  ), $AP22 =""),"病(事)假",  IF(  AND(  OR(  Q22="x",Q22="補"  ), OR(  R22 ="補"  ), $AP22 =""),"補休",  IF(  AND(  OR(  Q22="x",Q22="喪"  ), OR(  R22 ="喪"  ), $AP22 =""),"喪假",  IF(  AND(  OR(  Q22="x",Q22="婚",Q22="產"  ), OR(  R22 ="婚",R22="產"  ), $AP22 =""),"婚(產)假",  IF(  AND(  OR(  Q22="x",Q22="公"  ), OR(  R22 ="公"  ), $AP22 =""),"公假",  IF(  AND(  OR(  Q22="x",Q22="補",Q22="婚",Q22="公",Q22="病",Q22="事",Q22="x榮18-22"  ),OR(R22=""), $AP22 =""  ),"18收",  IF(  AND(  OR(  Q22 ="榮14-18",Q22 ="榮10-18",Q22 ="榮06-18",Q22 ="病14-18"  ),OR(  R22 ="x",R22="補",R22="婚",R22="公",R22="病",R22="事",R22="x"  ), $AP22 =""),"18放早走",  IF(  AND(  OR(  Q22 =""),OR(  R22 ="x",R22="補",R22="婚",R22="公",R22="病",R22="事",R22="x榮*",R22="榮",R22="榮-22"  ), $AP22 =""),"18放",  IF(  AND(  OR(  Q22="當日退伍"  ),OR(  R22="退伍",R22="退", R22=""  ), $AP22 =""),"當日退伍",  IF(AND(  OR(Q22="退",Q22="退伍" ), OR(R22="退",R22="退伍" ), $AP22 =""),"退伍","全日勤"  )  )  )  )  )  )  )  )  )  )  ),"")</f>
        <v>18放</v>
      </c>
      <c r="R63" s="66" t="str">
        <f>IF(   (ROW(BD22)-1)&lt;=暫1!$B$2,           IF(  AND(  OR(  R22="x",R22="補"  ), OR(  S22 ="x",S22="補",S22="x榮18-22",S22="x公18-22",S22="x榮22-08"  ), $AP22 =""),"全日休",  IF(  AND(  OR(  R22="x",R22="病"  ), OR(  S22 ="病"  ), $AP22 =""),"病(事)假",  IF(  AND(  OR(  R22="x",R22="補"  ), OR(  S22 ="補"  ), $AP22 =""),"補休",  IF(  AND(  OR(  R22="x",R22="喪"  ), OR(  S22 ="喪"  ), $AP22 =""),"喪假",  IF(  AND(  OR(  R22="x",R22="婚",R22="產"  ), OR(  S22 ="婚",S22="產"  ), $AP22 =""),"婚(產)假",  IF(  AND(  OR(  R22="x",R22="公"  ), OR(  S22 ="公"  ), $AP22 =""),"公假",  IF(  AND(  OR(  R22="x",R22="補",R22="婚",R22="公",R22="病",R22="事",R22="x榮18-22"  ),OR(S22=""), $AP22 =""  ),"18收",  IF(  AND(  OR(  R22 ="榮14-18",R22 ="榮10-18",R22 ="榮06-18",R22 ="病14-18"  ),OR(  S22 ="x",S22="補",S22="婚",S22="公",S22="病",S22="事",S22="x"  ), $AP22 =""),"18放早走",  IF(  AND(  OR(  R22 =""),OR(  S22 ="x",S22="補",S22="婚",S22="公",S22="病",S22="事",S22="x榮*",S22="榮",S22="榮-22"  ), $AP22 =""),"18放",  IF(  AND(  OR(  R22="當日退伍"  ),OR(  S22="退伍",S22="退", S22=""  ), $AP22 =""),"當日退伍",  IF(AND(  OR(R22="退",R22="退伍" ), OR(S22="退",S22="退伍" ), $AP22 =""),"退伍","全日勤"  )  )  )  )  )  )  )  )  )  )  ),"")</f>
        <v>全日休</v>
      </c>
      <c r="S63" s="66" t="str">
        <f>IF(   (ROW(BE22)-1)&lt;=暫1!$B$2,           IF(  AND(  OR(  S22="x",S22="補"  ), OR(  T22 ="x",T22="補",T22="x榮18-22",T22="x公18-22",T22="x榮22-08"  ), $AP22 =""),"全日休",  IF(  AND(  OR(  S22="x",S22="病"  ), OR(  T22 ="病"  ), $AP22 =""),"病(事)假",  IF(  AND(  OR(  S22="x",S22="補"  ), OR(  T22 ="補"  ), $AP22 =""),"補休",  IF(  AND(  OR(  S22="x",S22="喪"  ), OR(  T22 ="喪"  ), $AP22 =""),"喪假",  IF(  AND(  OR(  S22="x",S22="婚",S22="產"  ), OR(  T22 ="婚",T22="產"  ), $AP22 =""),"婚(產)假",  IF(  AND(  OR(  S22="x",S22="公"  ), OR(  T22 ="公"  ), $AP22 =""),"公假",  IF(  AND(  OR(  S22="x",S22="補",S22="婚",S22="公",S22="病",S22="事",S22="x榮18-22"  ),OR(T22=""), $AP22 =""  ),"18收",  IF(  AND(  OR(  S22 ="榮14-18",S22 ="榮10-18",S22 ="榮06-18",S22 ="病14-18"  ),OR(  T22 ="x",T22="補",T22="婚",T22="公",T22="病",T22="事",T22="x"  ), $AP22 =""),"18放早走",  IF(  AND(  OR(  S22 =""),OR(  T22 ="x",T22="補",T22="婚",T22="公",T22="病",T22="事",T22="x榮*",T22="榮",T22="榮-22"  ), $AP22 =""),"18放",  IF(  AND(  OR(  S22="當日退伍"  ),OR(  T22="退伍",T22="退", T22=""  ), $AP22 =""),"當日退伍",  IF(AND(  OR(S22="退",S22="退伍" ), OR(T22="退",T22="退伍" ), $AP22 =""),"退伍","全日勤"  )  )  )  )  )  )  )  )  )  )  ),"")</f>
        <v>18收</v>
      </c>
      <c r="T63" s="66" t="str">
        <f>IF(   (ROW(BF22)-1)&lt;=暫1!$B$2,           IF(  AND(  OR(  T22="x",T22="補"  ), OR(  U22 ="x",U22="補",U22="x榮18-22",U22="x公18-22",U22="x榮22-08"  ), $AP22 =""),"全日休",  IF(  AND(  OR(  T22="x",T22="病"  ), OR(  U22 ="病"  ), $AP22 =""),"病(事)假",  IF(  AND(  OR(  T22="x",T22="補"  ), OR(  U22 ="補"  ), $AP22 =""),"補休",  IF(  AND(  OR(  T22="x",T22="喪"  ), OR(  U22 ="喪"  ), $AP22 =""),"喪假",  IF(  AND(  OR(  T22="x",T22="婚",T22="產"  ), OR(  U22 ="婚",U22="產"  ), $AP22 =""),"婚(產)假",  IF(  AND(  OR(  T22="x",T22="公"  ), OR(  U22 ="公"  ), $AP22 =""),"公假",  IF(  AND(  OR(  T22="x",T22="補",T22="婚",T22="公",T22="病",T22="事",T22="x榮18-22"  ),OR(U22=""), $AP22 =""  ),"18收",  IF(  AND(  OR(  T22 ="榮14-18",T22 ="榮10-18",T22 ="榮06-18",T22 ="病14-18"  ),OR(  U22 ="x",U22="補",U22="婚",U22="公",U22="病",U22="事",U22="x"  ), $AP22 =""),"18放早走",  IF(  AND(  OR(  T22 =""),OR(  U22 ="x",U22="補",U22="婚",U22="公",U22="病",U22="事",U22="x榮*",U22="榮",U22="榮-22"  ), $AP22 =""),"18放",  IF(  AND(  OR(  T22="當日退伍"  ),OR(  U22="退伍",U22="退", U22=""  ), $AP22 =""),"當日退伍",  IF(AND(  OR(T22="退",T22="退伍" ), OR(U22="退",U22="退伍" ), $AP22 =""),"退伍","全日勤"  )  )  )  )  )  )  )  )  )  )  ),"")</f>
        <v>全日勤</v>
      </c>
      <c r="U63" s="66" t="str">
        <f>IF(   (ROW(BG22)-1)&lt;=暫1!$B$2,           IF(  AND(  OR(  U22="x",U22="補"  ), OR(  V22 ="x",V22="補",V22="x榮18-22",V22="x公18-22",V22="x榮22-08"  ), $AP22 =""),"全日休",  IF(  AND(  OR(  U22="x",U22="病"  ), OR(  V22 ="病"  ), $AP22 =""),"病(事)假",  IF(  AND(  OR(  U22="x",U22="補"  ), OR(  V22 ="補"  ), $AP22 =""),"補休",  IF(  AND(  OR(  U22="x",U22="喪"  ), OR(  V22 ="喪"  ), $AP22 =""),"喪假",  IF(  AND(  OR(  U22="x",U22="婚",U22="產"  ), OR(  V22 ="婚",V22="產"  ), $AP22 =""),"婚(產)假",  IF(  AND(  OR(  U22="x",U22="公"  ), OR(  V22 ="公"  ), $AP22 =""),"公假",  IF(  AND(  OR(  U22="x",U22="補",U22="婚",U22="公",U22="病",U22="事",U22="x榮18-22"  ),OR(V22=""), $AP22 =""  ),"18收",  IF(  AND(  OR(  U22 ="榮14-18",U22 ="榮10-18",U22 ="榮06-18",U22 ="病14-18"  ),OR(  V22 ="x",V22="補",V22="婚",V22="公",V22="病",V22="事",V22="x"  ), $AP22 =""),"18放早走",  IF(  AND(  OR(  U22 =""),OR(  V22 ="x",V22="補",V22="婚",V22="公",V22="病",V22="事",V22="x榮*",V22="榮",V22="榮-22"  ), $AP22 =""),"18放",  IF(  AND(  OR(  U22="當日退伍"  ),OR(  V22="退伍",V22="退", V22=""  ), $AP22 =""),"當日退伍",  IF(AND(  OR(U22="退",U22="退伍" ), OR(V22="退",V22="退伍" ), $AP22 =""),"退伍","全日勤"  )  )  )  )  )  )  )  )  )  )  ),"")</f>
        <v>全日勤</v>
      </c>
      <c r="V63" s="66" t="str">
        <f>IF(   (ROW(BH22)-1)&lt;=暫1!$B$2,           IF(  AND(  OR(  V22="x",V22="補"  ), OR(  W22 ="x",W22="補",W22="x榮18-22",W22="x公18-22",W22="x榮22-08"  ), $AP22 =""),"全日休",  IF(  AND(  OR(  V22="x",V22="病"  ), OR(  W22 ="病"  ), $AP22 =""),"病(事)假",  IF(  AND(  OR(  V22="x",V22="補"  ), OR(  W22 ="補"  ), $AP22 =""),"補休",  IF(  AND(  OR(  V22="x",V22="喪"  ), OR(  W22 ="喪"  ), $AP22 =""),"喪假",  IF(  AND(  OR(  V22="x",V22="婚",V22="產"  ), OR(  W22 ="婚",W22="產"  ), $AP22 =""),"婚(產)假",  IF(  AND(  OR(  V22="x",V22="公"  ), OR(  W22 ="公"  ), $AP22 =""),"公假",  IF(  AND(  OR(  V22="x",V22="補",V22="婚",V22="公",V22="病",V22="事",V22="x榮18-22"  ),OR(W22=""), $AP22 =""  ),"18收",  IF(  AND(  OR(  V22 ="榮14-18",V22 ="榮10-18",V22 ="榮06-18",V22 ="病14-18"  ),OR(  W22 ="x",W22="補",W22="婚",W22="公",W22="病",W22="事",W22="x"  ), $AP22 =""),"18放早走",  IF(  AND(  OR(  V22 =""),OR(  W22 ="x",W22="補",W22="婚",W22="公",W22="病",W22="事",W22="x榮*",W22="榮",W22="榮-22"  ), $AP22 =""),"18放",  IF(  AND(  OR(  V22="當日退伍"  ),OR(  W22="退伍",W22="退", W22=""  ), $AP22 =""),"當日退伍",  IF(AND(  OR(V22="退",V22="退伍" ), OR(W22="退",W22="退伍" ), $AP22 =""),"退伍","全日勤"  )  )  )  )  )  )  )  )  )  )  ),"")</f>
        <v>全日勤</v>
      </c>
      <c r="W63" s="66" t="str">
        <f>IF(   (ROW(BI22)-1)&lt;=暫1!$B$2,           IF(  AND(  OR(  W22="x",W22="補"  ), OR(  X22 ="x",X22="補",X22="x榮18-22",X22="x公18-22",X22="x榮22-08"  ), $AP22 =""),"全日休",  IF(  AND(  OR(  W22="x",W22="病"  ), OR(  X22 ="病"  ), $AP22 =""),"病(事)假",  IF(  AND(  OR(  W22="x",W22="補"  ), OR(  X22 ="補"  ), $AP22 =""),"補休",  IF(  AND(  OR(  W22="x",W22="喪"  ), OR(  X22 ="喪"  ), $AP22 =""),"喪假",  IF(  AND(  OR(  W22="x",W22="婚",W22="產"  ), OR(  X22 ="婚",X22="產"  ), $AP22 =""),"婚(產)假",  IF(  AND(  OR(  W22="x",W22="公"  ), OR(  X22 ="公"  ), $AP22 =""),"公假",  IF(  AND(  OR(  W22="x",W22="補",W22="婚",W22="公",W22="病",W22="事",W22="x榮18-22"  ),OR(X22=""), $AP22 =""  ),"18收",  IF(  AND(  OR(  W22 ="榮14-18",W22 ="榮10-18",W22 ="榮06-18",W22 ="病14-18"  ),OR(  X22 ="x",X22="補",X22="婚",X22="公",X22="病",X22="事",X22="x"  ), $AP22 =""),"18放早走",  IF(  AND(  OR(  W22 =""),OR(  X22 ="x",X22="補",X22="婚",X22="公",X22="病",X22="事",X22="x榮*",X22="榮",X22="榮-22"  ), $AP22 =""),"18放",  IF(  AND(  OR(  W22="當日退伍"  ),OR(  X22="退伍",X22="退", X22=""  ), $AP22 =""),"當日退伍",  IF(AND(  OR(W22="退",W22="退伍" ), OR(X22="退",X22="退伍" ), $AP22 =""),"退伍","全日勤"  )  )  )  )  )  )  )  )  )  )  ),"")</f>
        <v>全日勤</v>
      </c>
      <c r="X63" s="66" t="str">
        <f>IF(   (ROW(BJ22)-1)&lt;=暫1!$B$2,           IF(  AND(  OR(  X22="x",X22="補"  ), OR(  Y22 ="x",Y22="補",Y22="x榮18-22",Y22="x公18-22",Y22="x榮22-08"  ), $AP22 =""),"全日休",  IF(  AND(  OR(  X22="x",X22="病"  ), OR(  Y22 ="病"  ), $AP22 =""),"病(事)假",  IF(  AND(  OR(  X22="x",X22="補"  ), OR(  Y22 ="補"  ), $AP22 =""),"補休",  IF(  AND(  OR(  X22="x",X22="喪"  ), OR(  Y22 ="喪"  ), $AP22 =""),"喪假",  IF(  AND(  OR(  X22="x",X22="婚",X22="產"  ), OR(  Y22 ="婚",Y22="產"  ), $AP22 =""),"婚(產)假",  IF(  AND(  OR(  X22="x",X22="公"  ), OR(  Y22 ="公"  ), $AP22 =""),"公假",  IF(  AND(  OR(  X22="x",X22="補",X22="婚",X22="公",X22="病",X22="事",X22="x榮18-22"  ),OR(Y22=""), $AP22 =""  ),"18收",  IF(  AND(  OR(  X22 ="榮14-18",X22 ="榮10-18",X22 ="榮06-18",X22 ="病14-18"  ),OR(  Y22 ="x",Y22="補",Y22="婚",Y22="公",Y22="病",Y22="事",Y22="x"  ), $AP22 =""),"18放早走",  IF(  AND(  OR(  X22 =""),OR(  Y22 ="x",Y22="補",Y22="婚",Y22="公",Y22="病",Y22="事",Y22="x榮*",Y22="榮",Y22="榮-22"  ), $AP22 =""),"18放",  IF(  AND(  OR(  X22="當日退伍"  ),OR(  Y22="退伍",Y22="退", Y22=""  ), $AP22 =""),"當日退伍",  IF(AND(  OR(X22="退",X22="退伍" ), OR(Y22="退",Y22="退伍" ), $AP22 =""),"退伍","全日勤"  )  )  )  )  )  )  )  )  )  )  ),"")</f>
        <v>18放</v>
      </c>
      <c r="Y63" s="66" t="str">
        <f>IF(   (ROW(BK22)-1)&lt;=暫1!$B$2,           IF(  AND(  OR(  Y22="x",Y22="補"  ), OR(  Z22 ="x",Z22="補",Z22="x榮18-22",Z22="x公18-22",Z22="x榮22-08"  ), $AP22 =""),"全日休",  IF(  AND(  OR(  Y22="x",Y22="病"  ), OR(  Z22 ="病"  ), $AP22 =""),"病(事)假",  IF(  AND(  OR(  Y22="x",Y22="補"  ), OR(  Z22 ="補"  ), $AP22 =""),"補休",  IF(  AND(  OR(  Y22="x",Y22="喪"  ), OR(  Z22 ="喪"  ), $AP22 =""),"喪假",  IF(  AND(  OR(  Y22="x",Y22="婚",Y22="產"  ), OR(  Z22 ="婚",Z22="產"  ), $AP22 =""),"婚(產)假",  IF(  AND(  OR(  Y22="x",Y22="公"  ), OR(  Z22 ="公"  ), $AP22 =""),"公假",  IF(  AND(  OR(  Y22="x",Y22="補",Y22="婚",Y22="公",Y22="病",Y22="事",Y22="x榮18-22"  ),OR(Z22=""), $AP22 =""  ),"18收",  IF(  AND(  OR(  Y22 ="榮14-18",Y22 ="榮10-18",Y22 ="榮06-18",Y22 ="病14-18"  ),OR(  Z22 ="x",Z22="補",Z22="婚",Z22="公",Z22="病",Z22="事",Z22="x"  ), $AP22 =""),"18放早走",  IF(  AND(  OR(  Y22 =""),OR(  Z22 ="x",Z22="補",Z22="婚",Z22="公",Z22="病",Z22="事",Z22="x榮*",Z22="榮",Z22="榮-22"  ), $AP22 =""),"18放",  IF(  AND(  OR(  Y22="當日退伍"  ),OR(  Z22="退伍",Z22="退", Z22=""  ), $AP22 =""),"當日退伍",  IF(AND(  OR(Y22="退",Y22="退伍" ), OR(Z22="退",Z22="退伍" ), $AP22 =""),"退伍","全日勤"  )  )  )  )  )  )  )  )  )  )  ),"")</f>
        <v>全日休</v>
      </c>
      <c r="Z63" s="66" t="str">
        <f>IF(   (ROW(BL22)-1)&lt;=暫1!$B$2,           IF(  AND(  OR(  Z22="x",Z22="補"  ), OR(  AA22 ="x",AA22="補",AA22="x榮18-22",AA22="x公18-22",AA22="x榮22-08"  ), $AP22 =""),"全日休",  IF(  AND(  OR(  Z22="x",Z22="病"  ), OR(  AA22 ="病"  ), $AP22 =""),"病(事)假",  IF(  AND(  OR(  Z22="x",Z22="補"  ), OR(  AA22 ="補"  ), $AP22 =""),"補休",  IF(  AND(  OR(  Z22="x",Z22="喪"  ), OR(  AA22 ="喪"  ), $AP22 =""),"喪假",  IF(  AND(  OR(  Z22="x",Z22="婚",Z22="產"  ), OR(  AA22 ="婚",AA22="產"  ), $AP22 =""),"婚(產)假",  IF(  AND(  OR(  Z22="x",Z22="公"  ), OR(  AA22 ="公"  ), $AP22 =""),"公假",  IF(  AND(  OR(  Z22="x",Z22="補",Z22="婚",Z22="公",Z22="病",Z22="事",Z22="x榮18-22"  ),OR(AA22=""), $AP22 =""  ),"18收",  IF(  AND(  OR(  Z22 ="榮14-18",Z22 ="榮10-18",Z22 ="榮06-18",Z22 ="病14-18"  ),OR(  AA22 ="x",AA22="補",AA22="婚",AA22="公",AA22="病",AA22="事",AA22="x"  ), $AP22 =""),"18放早走",  IF(  AND(  OR(  Z22 =""),OR(  AA22 ="x",AA22="補",AA22="婚",AA22="公",AA22="病",AA22="事",AA22="x榮*",AA22="榮",AA22="榮-22"  ), $AP22 =""),"18放",  IF(  AND(  OR(  Z22="當日退伍"  ),OR(  AA22="退伍",AA22="退", AA22=""  ), $AP22 =""),"當日退伍",  IF(AND(  OR(Z22="退",Z22="退伍" ), OR(AA22="退",AA22="退伍" ), $AP22 =""),"退伍","全日勤"  )  )  )  )  )  )  )  )  )  )  ),"")</f>
        <v>18收</v>
      </c>
      <c r="AA63" s="66" t="str">
        <f>IF(   (ROW(BM22)-1)&lt;=暫1!$B$2,           IF(  AND(  OR(  AA22="x",AA22="補"  ), OR(  AB22 ="x",AB22="補",AB22="x榮18-22",AB22="x公18-22",AB22="x榮22-08"  ), $AP22 =""),"全日休",  IF(  AND(  OR(  AA22="x",AA22="病"  ), OR(  AB22 ="病"  ), $AP22 =""),"病(事)假",  IF(  AND(  OR(  AA22="x",AA22="補"  ), OR(  AB22 ="補"  ), $AP22 =""),"補休",  IF(  AND(  OR(  AA22="x",AA22="喪"  ), OR(  AB22 ="喪"  ), $AP22 =""),"喪假",  IF(  AND(  OR(  AA22="x",AA22="婚",AA22="產"  ), OR(  AB22 ="婚",AB22="產"  ), $AP22 =""),"婚(產)假",  IF(  AND(  OR(  AA22="x",AA22="公"  ), OR(  AB22 ="公"  ), $AP22 =""),"公假",  IF(  AND(  OR(  AA22="x",AA22="補",AA22="婚",AA22="公",AA22="病",AA22="事",AA22="x榮18-22"  ),OR(AB22=""), $AP22 =""  ),"18收",  IF(  AND(  OR(  AA22 ="榮14-18",AA22 ="榮10-18",AA22 ="榮06-18",AA22 ="病14-18"  ),OR(  AB22 ="x",AB22="補",AB22="婚",AB22="公",AB22="病",AB22="事",AB22="x"  ), $AP22 =""),"18放早走",  IF(  AND(  OR(  AA22 =""),OR(  AB22 ="x",AB22="補",AB22="婚",AB22="公",AB22="病",AB22="事",AB22="x榮*",AB22="榮",AB22="榮-22"  ), $AP22 =""),"18放",  IF(  AND(  OR(  AA22="當日退伍"  ),OR(  AB22="退伍",AB22="退", AB22=""  ), $AP22 =""),"當日退伍",  IF(AND(  OR(AA22="退",AA22="退伍" ), OR(AB22="退",AB22="退伍" ), $AP22 =""),"退伍","全日勤"  )  )  )  )  )  )  )  )  )  )  ),"")</f>
        <v>全日勤</v>
      </c>
      <c r="AB63" s="66" t="str">
        <f>IF(   (ROW(BN22)-1)&lt;=暫1!$B$2,           IF(  AND(  OR(  AB22="x",AB22="補"  ), OR(  AC22 ="x",AC22="補",AC22="x榮18-22",AC22="x公18-22",AC22="x榮22-08"  ), $AP22 =""),"全日休",  IF(  AND(  OR(  AB22="x",AB22="病"  ), OR(  AC22 ="病"  ), $AP22 =""),"病(事)假",  IF(  AND(  OR(  AB22="x",AB22="補"  ), OR(  AC22 ="補"  ), $AP22 =""),"補休",  IF(  AND(  OR(  AB22="x",AB22="喪"  ), OR(  AC22 ="喪"  ), $AP22 =""),"喪假",  IF(  AND(  OR(  AB22="x",AB22="婚",AB22="產"  ), OR(  AC22 ="婚",AC22="產"  ), $AP22 =""),"婚(產)假",  IF(  AND(  OR(  AB22="x",AB22="公"  ), OR(  AC22 ="公"  ), $AP22 =""),"公假",  IF(  AND(  OR(  AB22="x",AB22="補",AB22="婚",AB22="公",AB22="病",AB22="事",AB22="x榮18-22"  ),OR(AC22=""), $AP22 =""  ),"18收",  IF(  AND(  OR(  AB22 ="榮14-18",AB22 ="榮10-18",AB22 ="榮06-18",AB22 ="病14-18"  ),OR(  AC22 ="x",AC22="補",AC22="婚",AC22="公",AC22="病",AC22="事",AC22="x"  ), $AP22 =""),"18放早走",  IF(  AND(  OR(  AB22 =""),OR(  AC22 ="x",AC22="補",AC22="婚",AC22="公",AC22="病",AC22="事",AC22="x榮*",AC22="榮",AC22="榮-22"  ), $AP22 =""),"18放",  IF(  AND(  OR(  AB22="當日退伍"  ),OR(  AC22="退伍",AC22="退", AC22=""  ), $AP22 =""),"當日退伍",  IF(AND(  OR(AB22="退",AB22="退伍" ), OR(AC22="退",AC22="退伍" ), $AP22 =""),"退伍","全日勤"  )  )  )  )  )  )  )  )  )  )  ),"")</f>
        <v>全日勤</v>
      </c>
      <c r="AC63" s="66" t="str">
        <f>IF(   (ROW(BO22)-1)&lt;=暫1!$B$2,           IF(  AND(  OR(  AC22="x",AC22="補"  ), OR(  AD22 ="x",AD22="補",AD22="x榮18-22",AD22="x公18-22",AD22="x榮22-08"  ), $AP22 =""),"全日休",  IF(  AND(  OR(  AC22="x",AC22="病"  ), OR(  AD22 ="病"  ), $AP22 =""),"病(事)假",  IF(  AND(  OR(  AC22="x",AC22="補"  ), OR(  AD22 ="補"  ), $AP22 =""),"補休",  IF(  AND(  OR(  AC22="x",AC22="喪"  ), OR(  AD22 ="喪"  ), $AP22 =""),"喪假",  IF(  AND(  OR(  AC22="x",AC22="婚",AC22="產"  ), OR(  AD22 ="婚",AD22="產"  ), $AP22 =""),"婚(產)假",  IF(  AND(  OR(  AC22="x",AC22="公"  ), OR(  AD22 ="公"  ), $AP22 =""),"公假",  IF(  AND(  OR(  AC22="x",AC22="補",AC22="婚",AC22="公",AC22="病",AC22="事",AC22="x榮18-22"  ),OR(AD22=""), $AP22 =""  ),"18收",  IF(  AND(  OR(  AC22 ="榮14-18",AC22 ="榮10-18",AC22 ="榮06-18",AC22 ="病14-18"  ),OR(  AD22 ="x",AD22="補",AD22="婚",AD22="公",AD22="病",AD22="事",AD22="x"  ), $AP22 =""),"18放早走",  IF(  AND(  OR(  AC22 =""),OR(  AD22 ="x",AD22="補",AD22="婚",AD22="公",AD22="病",AD22="事",AD22="x榮*",AD22="榮",AD22="榮-22"  ), $AP22 =""),"18放",  IF(  AND(  OR(  AC22="當日退伍"  ),OR(  AD22="退伍",AD22="退", AD22=""  ), $AP22 =""),"當日退伍",  IF(AND(  OR(AC22="退",AC22="退伍" ), OR(AD22="退",AD22="退伍" ), $AP22 =""),"退伍","全日勤"  )  )  )  )  )  )  )  )  )  )  ),"")</f>
        <v>全日勤</v>
      </c>
      <c r="AD63" s="66" t="str">
        <f>IF(   (ROW(BP22)-1)&lt;=暫1!$B$2,           IF(  AND(  OR(  AD22="x",AD22="補"  ), OR(  AE22 ="x",AE22="補",AE22="x榮18-22",AE22="x公18-22",AE22="x榮22-08"  ), $AP22 =""),"全日休",  IF(  AND(  OR(  AD22="x",AD22="病"  ), OR(  AE22 ="病"  ), $AP22 =""),"病(事)假",  IF(  AND(  OR(  AD22="x",AD22="補"  ), OR(  AE22 ="補"  ), $AP22 =""),"補休",  IF(  AND(  OR(  AD22="x",AD22="喪"  ), OR(  AE22 ="喪"  ), $AP22 =""),"喪假",  IF(  AND(  OR(  AD22="x",AD22="婚",AD22="產"  ), OR(  AE22 ="婚",AE22="產"  ), $AP22 =""),"婚(產)假",  IF(  AND(  OR(  AD22="x",AD22="公"  ), OR(  AE22 ="公"  ), $AP22 =""),"公假",  IF(  AND(  OR(  AD22="x",AD22="補",AD22="婚",AD22="公",AD22="病",AD22="事",AD22="x榮18-22"  ),OR(AE22=""), $AP22 =""  ),"18收",  IF(  AND(  OR(  AD22 ="榮14-18",AD22 ="榮10-18",AD22 ="榮06-18",AD22 ="病14-18"  ),OR(  AE22 ="x",AE22="補",AE22="婚",AE22="公",AE22="病",AE22="事",AE22="x"  ), $AP22 =""),"18放早走",  IF(  AND(  OR(  AD22 =""),OR(  AE22 ="x",AE22="補",AE22="婚",AE22="公",AE22="病",AE22="事",AE22="x榮*",AE22="榮",AE22="榮-22"  ), $AP22 =""),"18放",  IF(  AND(  OR(  AD22="當日退伍"  ),OR(  AE22="退伍",AE22="退", AE22=""  ), $AP22 =""),"當日退伍",  IF(AND(  OR(AD22="退",AD22="退伍" ), OR(AE22="退",AE22="退伍" ), $AP22 =""),"退伍","全日勤"  )  )  )  )  )  )  )  )  )  )  ),"")</f>
        <v>全日勤</v>
      </c>
      <c r="AE63" s="66" t="str">
        <f>IF(   (ROW(BQ22)-1)&lt;=暫1!$B$2,           IF(  AND(  OR(  AE22="x",AE22="補"  ), OR(  AF22 ="x",AF22="補",AF22="x榮18-22",AF22="x公18-22",AF22="x榮22-08"  ), $AP22 =""),"全日休",  IF(  AND(  OR(  AE22="x",AE22="病"  ), OR(  AF22 ="病"  ), $AP22 =""),"病(事)假",  IF(  AND(  OR(  AE22="x",AE22="補"  ), OR(  AF22 ="補"  ), $AP22 =""),"補休",  IF(  AND(  OR(  AE22="x",AE22="喪"  ), OR(  AF22 ="喪"  ), $AP22 =""),"喪假",  IF(  AND(  OR(  AE22="x",AE22="婚",AE22="產"  ), OR(  AF22 ="婚",AF22="產"  ), $AP22 =""),"婚(產)假",  IF(  AND(  OR(  AE22="x",AE22="公"  ), OR(  AF22 ="公"  ), $AP22 =""),"公假",  IF(  AND(  OR(  AE22="x",AE22="補",AE22="婚",AE22="公",AE22="病",AE22="事",AE22="x榮18-22"  ),OR(AF22=""), $AP22 =""  ),"18收",  IF(  AND(  OR(  AE22 ="榮14-18",AE22 ="榮10-18",AE22 ="榮06-18",AE22 ="病14-18"  ),OR(  AF22 ="x",AF22="補",AF22="婚",AF22="公",AF22="病",AF22="事",AF22="x"  ), $AP22 =""),"18放早走",  IF(  AND(  OR(  AE22 =""),OR(  AF22 ="x",AF22="補",AF22="婚",AF22="公",AF22="病",AF22="事",AF22="x榮*",AF22="榮",AF22="榮-22"  ), $AP22 =""),"18放",  IF(  AND(  OR(  AE22="當日退伍"  ),OR(  AF22="退伍",AF22="退", AF22=""  ), $AP22 =""),"當日退伍",  IF(AND(  OR(AE22="退",AE22="退伍" ), OR(AF22="退",AF22="退伍" ), $AP22 =""),"退伍","全日勤"  )  )  )  )  )  )  )  )  )  )  ),"")</f>
        <v>18放</v>
      </c>
      <c r="AF63" s="66" t="str">
        <f>IF(   (ROW(BR22)-1)&lt;=暫1!$B$2,           IF(  AND(  OR(  AF22="x",AF22="補"  ), OR(  AG22 ="x",AG22="補",AG22="x榮18-22",AG22="x公18-22",AG22="x榮22-08"  ), $AP22 =""),"全日休",  IF(  AND(  OR(  AF22="x",AF22="病"  ), OR(  AG22 ="病"  ), $AP22 =""),"病(事)假",  IF(  AND(  OR(  AF22="x",AF22="補"  ), OR(  AG22 ="補"  ), $AP22 =""),"補休",  IF(  AND(  OR(  AF22="x",AF22="喪"  ), OR(  AG22 ="喪"  ), $AP22 =""),"喪假",  IF(  AND(  OR(  AF22="x",AF22="婚",AF22="產"  ), OR(  AG22 ="婚",AG22="產"  ), $AP22 =""),"婚(產)假",  IF(  AND(  OR(  AF22="x",AF22="公"  ), OR(  AG22 ="公"  ), $AP22 =""),"公假",  IF(  AND(  OR(  AF22="x",AF22="補",AF22="婚",AF22="公",AF22="病",AF22="事",AF22="x榮18-22"  ),OR(AG22=""), $AP22 =""  ),"18收",  IF(  AND(  OR(  AF22 ="榮14-18",AF22 ="榮10-18",AF22 ="榮06-18",AF22 ="病14-18"  ),OR(  AG22 ="x",AG22="補",AG22="婚",AG22="公",AG22="病",AG22="事",AG22="x"  ), $AP22 =""),"18放早走",  IF(  AND(  OR(  AF22 =""),OR(  AG22 ="x",AG22="補",AG22="婚",AG22="公",AG22="病",AG22="事",AG22="x榮*",AG22="榮",AG22="榮-22"  ), $AP22 =""),"18放",  IF(  AND(  OR(  AF22="當日退伍"  ),OR(  AG22="退伍",AG22="退", AG22=""  ), $AP22 =""),"當日退伍",  IF(AND(  OR(AF22="退",AF22="退伍" ), OR(AG22="退",AG22="退伍" ), $AP22 =""),"退伍","全日勤"  )  )  )  )  )  )  )  )  )  )  ),"")</f>
        <v>全日休</v>
      </c>
      <c r="AG63" s="66" t="str">
        <f>IF(   (ROW(BS22)-1)&lt;=暫1!$B$2,           IF(  AND(  OR(  AG22="x",AG22="補"  ), OR(  AH22 ="x",AH22="補",AH22="x榮18-22",AH22="x公18-22",AH22="x榮22-08"  ), $AP22 =""),"全日休",  IF(  AND(  OR(  AG22="x",AG22="病"  ), OR(  AH22 ="病"  ), $AP22 =""),"病(事)假",  IF(  AND(  OR(  AG22="x",AG22="補"  ), OR(  AH22 ="補"  ), $AP22 =""),"補休",  IF(  AND(  OR(  AG22="x",AG22="喪"  ), OR(  AH22 ="喪"  ), $AP22 =""),"喪假",  IF(  AND(  OR(  AG22="x",AG22="婚",AG22="產"  ), OR(  AH22 ="婚",AH22="產"  ), $AP22 =""),"婚(產)假",  IF(  AND(  OR(  AG22="x",AG22="公"  ), OR(  AH22 ="公"  ), $AP22 =""),"公假",  IF(  AND(  OR(  AG22="x",AG22="補",AG22="婚",AG22="公",AG22="病",AG22="事",AG22="x榮18-22"  ),OR(AH22=""), $AP22 =""  ),"18收",  IF(  AND(  OR(  AG22 ="榮14-18",AG22 ="榮10-18",AG22 ="榮06-18",AG22 ="病14-18"  ),OR(  AH22 ="x",AH22="補",AH22="婚",AH22="公",AH22="病",AH22="事",AH22="x"  ), $AP22 =""),"18放早走",  IF(  AND(  OR(  AG22 =""),OR(  AH22 ="x",AH22="補",AH22="婚",AH22="公",AH22="病",AH22="事",AH22="x榮*",AH22="榮",AH22="榮-22"  ), $AP22 =""),"18放",  IF(  AND(  OR(  AG22="當日退伍"  ),OR(  AH22="退伍",AH22="退", AH22=""  ), $AP22 =""),"當日退伍",  IF(AND(  OR(AG22="退",AG22="退伍" ), OR(AH22="退",AH22="退伍" ), $AP22 =""),"退伍","全日勤"  )  )  )  )  )  )  )  )  )  )  ),"")</f>
        <v>18收</v>
      </c>
      <c r="AH63" s="66" t="str">
        <f>IF(   (ROW(BT22)-1)&lt;=暫1!$B$2,           IF(  AND(  OR(  AH22="x",AH22="補"  ), OR(  AI22 ="x",AI22="補",AI22="x榮18-22",AI22="x公18-22",AI22="x榮22-08"  ), $AP22 =""),"全日休",  IF(  AND(  OR(  AH22="x",AH22="病"  ), OR(  AI22 ="病"  ), $AP22 =""),"病(事)假",  IF(  AND(  OR(  AH22="x",AH22="補"  ), OR(  AI22 ="補"  ), $AP22 =""),"補休",  IF(  AND(  OR(  AH22="x",AH22="喪"  ), OR(  AI22 ="喪"  ), $AP22 =""),"喪假",  IF(  AND(  OR(  AH22="x",AH22="婚",AH22="產"  ), OR(  AI22 ="婚",AI22="產"  ), $AP22 =""),"婚(產)假",  IF(  AND(  OR(  AH22="x",AH22="公"  ), OR(  AI22 ="公"  ), $AP22 =""),"公假",  IF(  AND(  OR(  AH22="x",AH22="補",AH22="婚",AH22="公",AH22="病",AH22="事",AH22="x榮18-22"  ),OR(AI22=""), $AP22 =""  ),"18收",  IF(  AND(  OR(  AH22 ="榮14-18",AH22 ="榮10-18",AH22 ="榮06-18",AH22 ="病14-18"  ),OR(  AI22 ="x",AI22="補",AI22="婚",AI22="公",AI22="病",AI22="事",AI22="x"  ), $AP22 =""),"18放早走",  IF(  AND(  OR(  AH22 =""),OR(  AI22 ="x",AI22="補",AI22="婚",AI22="公",AI22="病",AI22="事",AI22="x榮*",AI22="榮",AI22="榮-22"  ), $AP22 =""),"18放",  IF(  AND(  OR(  AH22="當日退伍"  ),OR(  AI22="退伍",AI22="退", AI22=""  ), $AP22 =""),"當日退伍",  IF(AND(  OR(AH22="退",AH22="退伍" ), OR(AI22="退",AI22="退伍" ), $AP22 =""),"退伍","全日勤"  )  )  )  )  )  )  )  )  )  )  ),"")</f>
        <v>全日勤</v>
      </c>
      <c r="AI63" s="66" t="str">
        <f>IF(   (ROW(BU22)-1)&lt;=暫1!$B$2,           IF(  AND(  OR(  AI22="x",AI22="補"  ), OR(  AJ22 ="x",AJ22="補",AJ22="x榮18-22",AJ22="x公18-22",AJ22="x榮22-08"  ), $AP22 =""),"全日休",  IF(  AND(  OR(  AI22="x",AI22="病"  ), OR(  AJ22 ="病"  ), $AP22 =""),"病(事)假",  IF(  AND(  OR(  AI22="x",AI22="補"  ), OR(  AJ22 ="補"  ), $AP22 =""),"補休",  IF(  AND(  OR(  AI22="x",AI22="喪"  ), OR(  AJ22 ="喪"  ), $AP22 =""),"喪假",  IF(  AND(  OR(  AI22="x",AI22="婚",AI22="產"  ), OR(  AJ22 ="婚",AJ22="產"  ), $AP22 =""),"婚(產)假",  IF(  AND(  OR(  AI22="x",AI22="公"  ), OR(  AJ22 ="公"  ), $AP22 =""),"公假",  IF(  AND(  OR(  AI22="x",AI22="補",AI22="婚",AI22="公",AI22="病",AI22="事",AI22="x榮18-22"  ),OR(AJ22=""), $AP22 =""  ),"18收",  IF(  AND(  OR(  AI22 ="榮14-18",AI22 ="榮10-18",AI22 ="榮06-18",AI22 ="病14-18"  ),OR(  AJ22 ="x",AJ22="補",AJ22="婚",AJ22="公",AJ22="病",AJ22="事",AJ22="x"  ), $AP22 =""),"18放早走",  IF(  AND(  OR(  AI22 =""),OR(  AJ22 ="x",AJ22="補",AJ22="婚",AJ22="公",AJ22="病",AJ22="事",AJ22="x榮*",AJ22="榮",AJ22="榮-22"  ), $AP22 =""),"18放",  IF(  AND(  OR(  AI22="當日退伍"  ),OR(  AJ22="退伍",AJ22="退", AJ22=""  ), $AP22 =""),"當日退伍",  IF(AND(  OR(AI22="退",AI22="退伍" ), OR(AJ22="退",AJ22="退伍" ), $AP22 =""),"退伍","全日勤"  )  )  )  )  )  )  )  )  )  )  ),"")</f>
        <v>全日勤</v>
      </c>
      <c r="AJ63" s="66" t="str">
        <f>IF(   (ROW(BV22)-1)&lt;=暫1!$B$2,           IF(  AND(  OR(  AJ22="x",AJ22="補"  ), OR(  AK22 ="x",AK22="補",AK22="x榮18-22",AK22="x公18-22",AK22="x榮22-08"  ), $AP22 =""),"全日休",  IF(  AND(  OR(  AJ22="x",AJ22="病"  ), OR(  AK22 ="病"  ), $AP22 =""),"病(事)假",  IF(  AND(  OR(  AJ22="x",AJ22="補"  ), OR(  AK22 ="補"  ), $AP22 =""),"補休",  IF(  AND(  OR(  AJ22="x",AJ22="喪"  ), OR(  AK22 ="喪"  ), $AP22 =""),"喪假",  IF(  AND(  OR(  AJ22="x",AJ22="婚",AJ22="產"  ), OR(  AK22 ="婚",AK22="產"  ), $AP22 =""),"婚(產)假",  IF(  AND(  OR(  AJ22="x",AJ22="公"  ), OR(  AK22 ="公"  ), $AP22 =""),"公假",  IF(  AND(  OR(  AJ22="x",AJ22="補",AJ22="婚",AJ22="公",AJ22="病",AJ22="事",AJ22="x榮18-22"  ),OR(AK22=""), $AP22 =""  ),"18收",  IF(  AND(  OR(  AJ22 ="榮14-18",AJ22 ="榮10-18",AJ22 ="榮06-18",AJ22 ="病14-18"  ),OR(  AK22 ="x",AK22="補",AK22="婚",AK22="公",AK22="病",AK22="事",AK22="x"  ), $AP22 =""),"18放早走",  IF(  AND(  OR(  AJ22 =""),OR(  AK22 ="x",AK22="補",AK22="婚",AK22="公",AK22="病",AK22="事",AK22="x榮*",AK22="榮",AK22="榮-22"  ), $AP22 =""),"18放",  IF(  AND(  OR(  AJ22="當日退伍"  ),OR(  AK22="退伍",AK22="退", AK22=""  ), $AP22 =""),"當日退伍",  IF(AND(  OR(AJ22="退",AJ22="退伍" ), OR(AK22="退",AK22="退伍" ), $AP22 =""),"退伍","全日勤"  )  )  )  )  )  )  )  )  )  )  ),"")</f>
        <v>全日勤</v>
      </c>
      <c r="AO63" s="76"/>
      <c r="AP63" s="63"/>
      <c r="AU63" s="63"/>
      <c r="AY63" s="63"/>
      <c r="AZ63" s="63"/>
      <c r="BA63" s="63"/>
    </row>
    <row r="64" spans="1:55" ht="25.5" customHeight="1">
      <c r="A64" s="66">
        <f t="shared" si="4"/>
        <v>22</v>
      </c>
      <c r="B64" s="66" t="str">
        <f t="shared" si="6"/>
        <v>陳奕欣</v>
      </c>
      <c r="C64" s="66" t="str">
        <f>IF(   (ROW(AO23)-1)&lt;=暫1!$B$2,           IF(  AND(  OR(  C23="x",C23="補"  ), OR(  D23 ="x",D23="補",D23="x榮18-22",D23="x公18-22",D23="x榮22-08"  ), $AP23 =""),"全日休",  IF(  AND(  OR(  C23="x",C23="病"  ), OR(  D23 ="病"  ), $AP23 =""),"病(事)假",  IF(  AND(  OR(  C23="x",C23="補"  ), OR(  D23 ="補"  ), $AP23 =""),"補休",  IF(  AND(  OR(  C23="x",C23="喪"  ), OR(  D23 ="喪"  ), $AP23 =""),"喪假",  IF(  AND(  OR(  C23="x",C23="婚",C23="產"  ), OR(  D23 ="婚",D23="產"  ), $AP23 =""),"婚(產)假",  IF(  AND(  OR(  C23="x",C23="公"  ), OR(  D23 ="公"  ), $AP23 =""),"公假",  IF(  AND(  OR(  C23="x",C23="補",C23="婚",C23="公",C23="病",C23="事",C23="x榮18-22"  ),OR(D23=""), $AP23 =""  ),"18收",  IF(  AND(  OR(  C23 ="榮14-18",C23 ="榮10-18",C23 ="榮06-18",C23 ="病14-18"  ),OR(  D23 ="x",D23="補",D23="婚",D23="公",D23="病",D23="事",D23="x"  ), $AP23 =""),"18放早走",  IF(  AND(  OR(  C23 =""),OR(  D23 ="x",D23="補",D23="婚",D23="公",D23="病",D23="事",D23="x榮*",D23="榮",D23="榮-22"  ), $AP23 =""),"18放",  IF(  AND(  OR(  C23="當日退伍"  ),OR(  D23="退伍",D23="退", D23=""  ), $AP23 =""),"當日退伍",  IF(AND(  OR(C23="退",C23="退伍" ), OR(D23="退",D23="退伍" ), $AP23 =""),"退伍","全日勤"  )  )  )  )  )  )  )  )  )  )  ),"")</f>
        <v>全日勤</v>
      </c>
      <c r="D64" s="66" t="str">
        <f>IF(   (ROW(AP23)-1)&lt;=暫1!$B$2,           IF(  AND(  OR(  D23="x",D23="補"  ), OR(  E23 ="x",E23="補",E23="x榮18-22",E23="x公18-22",E23="x榮22-08"  ), $AP23 =""),"全日休",  IF(  AND(  OR(  D23="x",D23="病"  ), OR(  E23 ="病"  ), $AP23 =""),"病(事)假",  IF(  AND(  OR(  D23="x",D23="補"  ), OR(  E23 ="補"  ), $AP23 =""),"補休",  IF(  AND(  OR(  D23="x",D23="喪"  ), OR(  E23 ="喪"  ), $AP23 =""),"喪假",  IF(  AND(  OR(  D23="x",D23="婚",D23="產"  ), OR(  E23 ="婚",E23="產"  ), $AP23 =""),"婚(產)假",  IF(  AND(  OR(  D23="x",D23="公"  ), OR(  E23 ="公"  ), $AP23 =""),"公假",  IF(  AND(  OR(  D23="x",D23="補",D23="婚",D23="公",D23="病",D23="事",D23="x榮18-22"  ),OR(E23=""), $AP23 =""  ),"18收",  IF(  AND(  OR(  D23 ="榮14-18",D23 ="榮10-18",D23 ="榮06-18",D23 ="病14-18"  ),OR(  E23 ="x",E23="補",E23="婚",E23="公",E23="病",E23="事",E23="x"  ), $AP23 =""),"18放早走",  IF(  AND(  OR(  D23 =""),OR(  E23 ="x",E23="補",E23="婚",E23="公",E23="病",E23="事",E23="x榮*",E23="榮",E23="榮-22"  ), $AP23 =""),"18放",  IF(  AND(  OR(  D23="當日退伍"  ),OR(  E23="退伍",E23="退", E23=""  ), $AP23 =""),"當日退伍",  IF(AND(  OR(D23="退",D23="退伍" ), OR(E23="退",E23="退伍" ), $AP23 =""),"退伍","全日勤"  )  )  )  )  )  )  )  )  )  )  ),"")</f>
        <v>18放</v>
      </c>
      <c r="E64" s="66" t="str">
        <f>IF(   (ROW(AQ23)-1)&lt;=暫1!$B$2,           IF(  AND(  OR(  E23="x",E23="補"  ), OR(  F23 ="x",F23="補",F23="x榮18-22",F23="x公18-22",F23="x榮22-08"  ), $AP23 =""),"全日休",  IF(  AND(  OR(  E23="x",E23="病"  ), OR(  F23 ="病"  ), $AP23 =""),"病(事)假",  IF(  AND(  OR(  E23="x",E23="補"  ), OR(  F23 ="補"  ), $AP23 =""),"補休",  IF(  AND(  OR(  E23="x",E23="喪"  ), OR(  F23 ="喪"  ), $AP23 =""),"喪假",  IF(  AND(  OR(  E23="x",E23="婚",E23="產"  ), OR(  F23 ="婚",F23="產"  ), $AP23 =""),"婚(產)假",  IF(  AND(  OR(  E23="x",E23="公"  ), OR(  F23 ="公"  ), $AP23 =""),"公假",  IF(  AND(  OR(  E23="x",E23="補",E23="婚",E23="公",E23="病",E23="事",E23="x榮18-22"  ),OR(F23=""), $AP23 =""  ),"18收",  IF(  AND(  OR(  E23 ="榮14-18",E23 ="榮10-18",E23 ="榮06-18",E23 ="病14-18"  ),OR(  F23 ="x",F23="補",F23="婚",F23="公",F23="病",F23="事",F23="x"  ), $AP23 =""),"18放早走",  IF(  AND(  OR(  E23 =""),OR(  F23 ="x",F23="補",F23="婚",F23="公",F23="病",F23="事",F23="x榮*",F23="榮",F23="榮-22"  ), $AP23 =""),"18放",  IF(  AND(  OR(  E23="當日退伍"  ),OR(  F23="退伍",F23="退", F23=""  ), $AP23 =""),"當日退伍",  IF(AND(  OR(E23="退",E23="退伍" ), OR(F23="退",F23="退伍" ), $AP23 =""),"退伍","全日勤"  )  )  )  )  )  )  )  )  )  )  ),"")</f>
        <v>全日休</v>
      </c>
      <c r="F64" s="66" t="str">
        <f>IF(   (ROW(AR23)-1)&lt;=暫1!$B$2,           IF(  AND(  OR(  F23="x",F23="補"  ), OR(  G23 ="x",G23="補",G23="x榮18-22",G23="x公18-22",G23="x榮22-08"  ), $AP23 =""),"全日休",  IF(  AND(  OR(  F23="x",F23="病"  ), OR(  G23 ="病"  ), $AP23 =""),"病(事)假",  IF(  AND(  OR(  F23="x",F23="補"  ), OR(  G23 ="補"  ), $AP23 =""),"補休",  IF(  AND(  OR(  F23="x",F23="喪"  ), OR(  G23 ="喪"  ), $AP23 =""),"喪假",  IF(  AND(  OR(  F23="x",F23="婚",F23="產"  ), OR(  G23 ="婚",G23="產"  ), $AP23 =""),"婚(產)假",  IF(  AND(  OR(  F23="x",F23="公"  ), OR(  G23 ="公"  ), $AP23 =""),"公假",  IF(  AND(  OR(  F23="x",F23="補",F23="婚",F23="公",F23="病",F23="事",F23="x榮18-22"  ),OR(G23=""), $AP23 =""  ),"18收",  IF(  AND(  OR(  F23 ="榮14-18",F23 ="榮10-18",F23 ="榮06-18",F23 ="病14-18"  ),OR(  G23 ="x",G23="補",G23="婚",G23="公",G23="病",G23="事",G23="x"  ), $AP23 =""),"18放早走",  IF(  AND(  OR(  F23 =""),OR(  G23 ="x",G23="補",G23="婚",G23="公",G23="病",G23="事",G23="x榮*",G23="榮",G23="榮-22"  ), $AP23 =""),"18放",  IF(  AND(  OR(  F23="當日退伍"  ),OR(  G23="退伍",G23="退", G23=""  ), $AP23 =""),"當日退伍",  IF(AND(  OR(F23="退",F23="退伍" ), OR(G23="退",G23="退伍" ), $AP23 =""),"退伍","全日勤"  )  )  )  )  )  )  )  )  )  )  ),"")</f>
        <v>18收</v>
      </c>
      <c r="G64" s="66" t="str">
        <f>IF(   (ROW(AS23)-1)&lt;=暫1!$B$2,           IF(  AND(  OR(  G23="x",G23="補"  ), OR(  H23 ="x",H23="補",H23="x榮18-22",H23="x公18-22",H23="x榮22-08"  ), $AP23 =""),"全日休",  IF(  AND(  OR(  G23="x",G23="病"  ), OR(  H23 ="病"  ), $AP23 =""),"病(事)假",  IF(  AND(  OR(  G23="x",G23="補"  ), OR(  H23 ="補"  ), $AP23 =""),"補休",  IF(  AND(  OR(  G23="x",G23="喪"  ), OR(  H23 ="喪"  ), $AP23 =""),"喪假",  IF(  AND(  OR(  G23="x",G23="婚",G23="產"  ), OR(  H23 ="婚",H23="產"  ), $AP23 =""),"婚(產)假",  IF(  AND(  OR(  G23="x",G23="公"  ), OR(  H23 ="公"  ), $AP23 =""),"公假",  IF(  AND(  OR(  G23="x",G23="補",G23="婚",G23="公",G23="病",G23="事",G23="x榮18-22"  ),OR(H23=""), $AP23 =""  ),"18收",  IF(  AND(  OR(  G23 ="榮14-18",G23 ="榮10-18",G23 ="榮06-18",G23 ="病14-18"  ),OR(  H23 ="x",H23="補",H23="婚",H23="公",H23="病",H23="事",H23="x"  ), $AP23 =""),"18放早走",  IF(  AND(  OR(  G23 =""),OR(  H23 ="x",H23="補",H23="婚",H23="公",H23="病",H23="事",H23="x榮*",H23="榮",H23="榮-22"  ), $AP23 =""),"18放",  IF(  AND(  OR(  G23="當日退伍"  ),OR(  H23="退伍",H23="退", H23=""  ), $AP23 =""),"當日退伍",  IF(AND(  OR(G23="退",G23="退伍" ), OR(H23="退",H23="退伍" ), $AP23 =""),"退伍","全日勤"  )  )  )  )  )  )  )  )  )  )  ),"")</f>
        <v>全日勤</v>
      </c>
      <c r="H64" s="66" t="str">
        <f>IF(   (ROW(AT23)-1)&lt;=暫1!$B$2,           IF(  AND(  OR(  H23="x",H23="補"  ), OR(  I23 ="x",I23="補",I23="x榮18-22",I23="x公18-22",I23="x榮22-08"  ), $AP23 =""),"全日休",  IF(  AND(  OR(  H23="x",H23="病"  ), OR(  I23 ="病"  ), $AP23 =""),"病(事)假",  IF(  AND(  OR(  H23="x",H23="補"  ), OR(  I23 ="補"  ), $AP23 =""),"補休",  IF(  AND(  OR(  H23="x",H23="喪"  ), OR(  I23 ="喪"  ), $AP23 =""),"喪假",  IF(  AND(  OR(  H23="x",H23="婚",H23="產"  ), OR(  I23 ="婚",I23="產"  ), $AP23 =""),"婚(產)假",  IF(  AND(  OR(  H23="x",H23="公"  ), OR(  I23 ="公"  ), $AP23 =""),"公假",  IF(  AND(  OR(  H23="x",H23="補",H23="婚",H23="公",H23="病",H23="事",H23="x榮18-22"  ),OR(I23=""), $AP23 =""  ),"18收",  IF(  AND(  OR(  H23 ="榮14-18",H23 ="榮10-18",H23 ="榮06-18",H23 ="病14-18"  ),OR(  I23 ="x",I23="補",I23="婚",I23="公",I23="病",I23="事",I23="x"  ), $AP23 =""),"18放早走",  IF(  AND(  OR(  H23 =""),OR(  I23 ="x",I23="補",I23="婚",I23="公",I23="病",I23="事",I23="x榮*",I23="榮",I23="榮-22"  ), $AP23 =""),"18放",  IF(  AND(  OR(  H23="當日退伍"  ),OR(  I23="退伍",I23="退", I23=""  ), $AP23 =""),"當日退伍",  IF(AND(  OR(H23="退",H23="退伍" ), OR(I23="退",I23="退伍" ), $AP23 =""),"退伍","全日勤"  )  )  )  )  )  )  )  )  )  )  ),"")</f>
        <v>全日勤</v>
      </c>
      <c r="I64" s="66" t="str">
        <f>IF(   (ROW(AU23)-1)&lt;=暫1!$B$2,           IF(  AND(  OR(  I23="x",I23="補"  ), OR(  J23 ="x",J23="補",J23="x榮18-22",J23="x公18-22",J23="x榮22-08"  ), $AP23 =""),"全日休",  IF(  AND(  OR(  I23="x",I23="病"  ), OR(  J23 ="病"  ), $AP23 =""),"病(事)假",  IF(  AND(  OR(  I23="x",I23="補"  ), OR(  J23 ="補"  ), $AP23 =""),"補休",  IF(  AND(  OR(  I23="x",I23="喪"  ), OR(  J23 ="喪"  ), $AP23 =""),"喪假",  IF(  AND(  OR(  I23="x",I23="婚",I23="產"  ), OR(  J23 ="婚",J23="產"  ), $AP23 =""),"婚(產)假",  IF(  AND(  OR(  I23="x",I23="公"  ), OR(  J23 ="公"  ), $AP23 =""),"公假",  IF(  AND(  OR(  I23="x",I23="補",I23="婚",I23="公",I23="病",I23="事",I23="x榮18-22"  ),OR(J23=""), $AP23 =""  ),"18收",  IF(  AND(  OR(  I23 ="榮14-18",I23 ="榮10-18",I23 ="榮06-18",I23 ="病14-18"  ),OR(  J23 ="x",J23="補",J23="婚",J23="公",J23="病",J23="事",J23="x"  ), $AP23 =""),"18放早走",  IF(  AND(  OR(  I23 =""),OR(  J23 ="x",J23="補",J23="婚",J23="公",J23="病",J23="事",J23="x榮*",J23="榮",J23="榮-22"  ), $AP23 =""),"18放",  IF(  AND(  OR(  I23="當日退伍"  ),OR(  J23="退伍",J23="退", J23=""  ), $AP23 =""),"當日退伍",  IF(AND(  OR(I23="退",I23="退伍" ), OR(J23="退",J23="退伍" ), $AP23 =""),"退伍","全日勤"  )  )  )  )  )  )  )  )  )  )  ),"")</f>
        <v>18放</v>
      </c>
      <c r="J64" s="66" t="str">
        <f>IF(   (ROW(AV23)-1)&lt;=暫1!$B$2,           IF(  AND(  OR(  J23="x",J23="補"  ), OR(  K23 ="x",K23="補",K23="x榮18-22",K23="x公18-22",K23="x榮22-08"  ), $AP23 =""),"全日休",  IF(  AND(  OR(  J23="x",J23="病"  ), OR(  K23 ="病"  ), $AP23 =""),"病(事)假",  IF(  AND(  OR(  J23="x",J23="補"  ), OR(  K23 ="補"  ), $AP23 =""),"補休",  IF(  AND(  OR(  J23="x",J23="喪"  ), OR(  K23 ="喪"  ), $AP23 =""),"喪假",  IF(  AND(  OR(  J23="x",J23="婚",J23="產"  ), OR(  K23 ="婚",K23="產"  ), $AP23 =""),"婚(產)假",  IF(  AND(  OR(  J23="x",J23="公"  ), OR(  K23 ="公"  ), $AP23 =""),"公假",  IF(  AND(  OR(  J23="x",J23="補",J23="婚",J23="公",J23="病",J23="事",J23="x榮18-22"  ),OR(K23=""), $AP23 =""  ),"18收",  IF(  AND(  OR(  J23 ="榮14-18",J23 ="榮10-18",J23 ="榮06-18",J23 ="病14-18"  ),OR(  K23 ="x",K23="補",K23="婚",K23="公",K23="病",K23="事",K23="x"  ), $AP23 =""),"18放早走",  IF(  AND(  OR(  J23 =""),OR(  K23 ="x",K23="補",K23="婚",K23="公",K23="病",K23="事",K23="x榮*",K23="榮",K23="榮-22"  ), $AP23 =""),"18放",  IF(  AND(  OR(  J23="當日退伍"  ),OR(  K23="退伍",K23="退", K23=""  ), $AP23 =""),"當日退伍",  IF(AND(  OR(J23="退",J23="退伍" ), OR(K23="退",K23="退伍" ), $AP23 =""),"退伍","全日勤"  )  )  )  )  )  )  )  )  )  )  ),"")</f>
        <v>18收</v>
      </c>
      <c r="K64" s="66" t="str">
        <f>IF(   (ROW(AW23)-1)&lt;=暫1!$B$2,           IF(  AND(  OR(  K23="x",K23="補"  ), OR(  L23 ="x",L23="補",L23="x榮18-22",L23="x公18-22",L23="x榮22-08"  ), $AP23 =""),"全日休",  IF(  AND(  OR(  K23="x",K23="病"  ), OR(  L23 ="病"  ), $AP23 =""),"病(事)假",  IF(  AND(  OR(  K23="x",K23="補"  ), OR(  L23 ="補"  ), $AP23 =""),"補休",  IF(  AND(  OR(  K23="x",K23="喪"  ), OR(  L23 ="喪"  ), $AP23 =""),"喪假",  IF(  AND(  OR(  K23="x",K23="婚",K23="產"  ), OR(  L23 ="婚",L23="產"  ), $AP23 =""),"婚(產)假",  IF(  AND(  OR(  K23="x",K23="公"  ), OR(  L23 ="公"  ), $AP23 =""),"公假",  IF(  AND(  OR(  K23="x",K23="補",K23="婚",K23="公",K23="病",K23="事",K23="x榮18-22"  ),OR(L23=""), $AP23 =""  ),"18收",  IF(  AND(  OR(  K23 ="榮14-18",K23 ="榮10-18",K23 ="榮06-18",K23 ="病14-18"  ),OR(  L23 ="x",L23="補",L23="婚",L23="公",L23="病",L23="事",L23="x"  ), $AP23 =""),"18放早走",  IF(  AND(  OR(  K23 =""),OR(  L23 ="x",L23="補",L23="婚",L23="公",L23="病",L23="事",L23="x榮*",L23="榮",L23="榮-22"  ), $AP23 =""),"18放",  IF(  AND(  OR(  K23="當日退伍"  ),OR(  L23="退伍",L23="退", L23=""  ), $AP23 =""),"當日退伍",  IF(AND(  OR(K23="退",K23="退伍" ), OR(L23="退",L23="退伍" ), $AP23 =""),"退伍","全日勤"  )  )  )  )  )  )  )  )  )  )  ),"")</f>
        <v>全日勤</v>
      </c>
      <c r="L64" s="66" t="str">
        <f>IF(   (ROW(AX23)-1)&lt;=暫1!$B$2,           IF(  AND(  OR(  L23="x",L23="補"  ), OR(  M23 ="x",M23="補",M23="x榮18-22",M23="x公18-22",M23="x榮22-08"  ), $AP23 =""),"全日休",  IF(  AND(  OR(  L23="x",L23="病"  ), OR(  M23 ="病"  ), $AP23 =""),"病(事)假",  IF(  AND(  OR(  L23="x",L23="補"  ), OR(  M23 ="補"  ), $AP23 =""),"補休",  IF(  AND(  OR(  L23="x",L23="喪"  ), OR(  M23 ="喪"  ), $AP23 =""),"喪假",  IF(  AND(  OR(  L23="x",L23="婚",L23="產"  ), OR(  M23 ="婚",M23="產"  ), $AP23 =""),"婚(產)假",  IF(  AND(  OR(  L23="x",L23="公"  ), OR(  M23 ="公"  ), $AP23 =""),"公假",  IF(  AND(  OR(  L23="x",L23="補",L23="婚",L23="公",L23="病",L23="事",L23="x榮18-22"  ),OR(M23=""), $AP23 =""  ),"18收",  IF(  AND(  OR(  L23 ="榮14-18",L23 ="榮10-18",L23 ="榮06-18",L23 ="病14-18"  ),OR(  M23 ="x",M23="補",M23="婚",M23="公",M23="病",M23="事",M23="x"  ), $AP23 =""),"18放早走",  IF(  AND(  OR(  L23 =""),OR(  M23 ="x",M23="補",M23="婚",M23="公",M23="病",M23="事",M23="x榮*",M23="榮",M23="榮-22"  ), $AP23 =""),"18放",  IF(  AND(  OR(  L23="當日退伍"  ),OR(  M23="退伍",M23="退", M23=""  ), $AP23 =""),"當日退伍",  IF(AND(  OR(L23="退",L23="退伍" ), OR(M23="退",M23="退伍" ), $AP23 =""),"退伍","全日勤"  )  )  )  )  )  )  )  )  )  )  ),"")</f>
        <v>全日勤</v>
      </c>
      <c r="M64" s="66" t="str">
        <f>IF(   (ROW(AY23)-1)&lt;=暫1!$B$2,           IF(  AND(  OR(  M23="x",M23="補"  ), OR(  N23 ="x",N23="補",N23="x榮18-22",N23="x公18-22",N23="x榮22-08"  ), $AP23 =""),"全日休",  IF(  AND(  OR(  M23="x",M23="病"  ), OR(  N23 ="病"  ), $AP23 =""),"病(事)假",  IF(  AND(  OR(  M23="x",M23="補"  ), OR(  N23 ="補"  ), $AP23 =""),"補休",  IF(  AND(  OR(  M23="x",M23="喪"  ), OR(  N23 ="喪"  ), $AP23 =""),"喪假",  IF(  AND(  OR(  M23="x",M23="婚",M23="產"  ), OR(  N23 ="婚",N23="產"  ), $AP23 =""),"婚(產)假",  IF(  AND(  OR(  M23="x",M23="公"  ), OR(  N23 ="公"  ), $AP23 =""),"公假",  IF(  AND(  OR(  M23="x",M23="補",M23="婚",M23="公",M23="病",M23="事",M23="x榮18-22"  ),OR(N23=""), $AP23 =""  ),"18收",  IF(  AND(  OR(  M23 ="榮14-18",M23 ="榮10-18",M23 ="榮06-18",M23 ="病14-18"  ),OR(  N23 ="x",N23="補",N23="婚",N23="公",N23="病",N23="事",N23="x"  ), $AP23 =""),"18放早走",  IF(  AND(  OR(  M23 =""),OR(  N23 ="x",N23="補",N23="婚",N23="公",N23="病",N23="事",N23="x榮*",N23="榮",N23="榮-22"  ), $AP23 =""),"18放",  IF(  AND(  OR(  M23="當日退伍"  ),OR(  N23="退伍",N23="退", N23=""  ), $AP23 =""),"當日退伍",  IF(AND(  OR(M23="退",M23="退伍" ), OR(N23="退",N23="退伍" ), $AP23 =""),"退伍","全日勤"  )  )  )  )  )  )  )  )  )  )  ),"")</f>
        <v>全日勤</v>
      </c>
      <c r="N64" s="66" t="str">
        <f>IF(   (ROW(AZ23)-1)&lt;=暫1!$B$2,           IF(  AND(  OR(  N23="x",N23="補"  ), OR(  O23 ="x",O23="補",O23="x榮18-22",O23="x公18-22",O23="x榮22-08"  ), $AP23 =""),"全日休",  IF(  AND(  OR(  N23="x",N23="病"  ), OR(  O23 ="病"  ), $AP23 =""),"病(事)假",  IF(  AND(  OR(  N23="x",N23="補"  ), OR(  O23 ="補"  ), $AP23 =""),"補休",  IF(  AND(  OR(  N23="x",N23="喪"  ), OR(  O23 ="喪"  ), $AP23 =""),"喪假",  IF(  AND(  OR(  N23="x",N23="婚",N23="產"  ), OR(  O23 ="婚",O23="產"  ), $AP23 =""),"婚(產)假",  IF(  AND(  OR(  N23="x",N23="公"  ), OR(  O23 ="公"  ), $AP23 =""),"公假",  IF(  AND(  OR(  N23="x",N23="補",N23="婚",N23="公",N23="病",N23="事",N23="x榮18-22"  ),OR(O23=""), $AP23 =""  ),"18收",  IF(  AND(  OR(  N23 ="榮14-18",N23 ="榮10-18",N23 ="榮06-18",N23 ="病14-18"  ),OR(  O23 ="x",O23="補",O23="婚",O23="公",O23="病",O23="事",O23="x"  ), $AP23 =""),"18放早走",  IF(  AND(  OR(  N23 =""),OR(  O23 ="x",O23="補",O23="婚",O23="公",O23="病",O23="事",O23="x榮*",O23="榮",O23="榮-22"  ), $AP23 =""),"18放",  IF(  AND(  OR(  N23="當日退伍"  ),OR(  O23="退伍",O23="退", O23=""  ), $AP23 =""),"當日退伍",  IF(AND(  OR(N23="退",N23="退伍" ), OR(O23="退",O23="退伍" ), $AP23 =""),"退伍","全日勤"  )  )  )  )  )  )  )  )  )  )  ),"")</f>
        <v>全日勤</v>
      </c>
      <c r="O64" s="66" t="str">
        <f>IF(   (ROW(BA23)-1)&lt;=暫1!$B$2,           IF(  AND(  OR(  O23="x",O23="補"  ), OR(  P23 ="x",P23="補",P23="x榮18-22",P23="x公18-22",P23="x榮22-08"  ), $AP23 =""),"全日休",  IF(  AND(  OR(  O23="x",O23="病"  ), OR(  P23 ="病"  ), $AP23 =""),"病(事)假",  IF(  AND(  OR(  O23="x",O23="補"  ), OR(  P23 ="補"  ), $AP23 =""),"補休",  IF(  AND(  OR(  O23="x",O23="喪"  ), OR(  P23 ="喪"  ), $AP23 =""),"喪假",  IF(  AND(  OR(  O23="x",O23="婚",O23="產"  ), OR(  P23 ="婚",P23="產"  ), $AP23 =""),"婚(產)假",  IF(  AND(  OR(  O23="x",O23="公"  ), OR(  P23 ="公"  ), $AP23 =""),"公假",  IF(  AND(  OR(  O23="x",O23="補",O23="婚",O23="公",O23="病",O23="事",O23="x榮18-22"  ),OR(P23=""), $AP23 =""  ),"18收",  IF(  AND(  OR(  O23 ="榮14-18",O23 ="榮10-18",O23 ="榮06-18",O23 ="病14-18"  ),OR(  P23 ="x",P23="補",P23="婚",P23="公",P23="病",P23="事",P23="x"  ), $AP23 =""),"18放早走",  IF(  AND(  OR(  O23 =""),OR(  P23 ="x",P23="補",P23="婚",P23="公",P23="病",P23="事",P23="x榮*",P23="榮",P23="榮-22"  ), $AP23 =""),"18放",  IF(  AND(  OR(  O23="當日退伍"  ),OR(  P23="退伍",P23="退", P23=""  ), $AP23 =""),"當日退伍",  IF(AND(  OR(O23="退",O23="退伍" ), OR(P23="退",P23="退伍" ), $AP23 =""),"退伍","全日勤"  )  )  )  )  )  )  )  )  )  )  ),"")</f>
        <v>全日勤</v>
      </c>
      <c r="P64" s="66" t="str">
        <f>IF(   (ROW(BB23)-1)&lt;=暫1!$B$2,           IF(  AND(  OR(  P23="x",P23="補"  ), OR(  Q23 ="x",Q23="補",Q23="x榮18-22",Q23="x公18-22",Q23="x榮22-08"  ), $AP23 =""),"全日休",  IF(  AND(  OR(  P23="x",P23="病"  ), OR(  Q23 ="病"  ), $AP23 =""),"病(事)假",  IF(  AND(  OR(  P23="x",P23="補"  ), OR(  Q23 ="補"  ), $AP23 =""),"補休",  IF(  AND(  OR(  P23="x",P23="喪"  ), OR(  Q23 ="喪"  ), $AP23 =""),"喪假",  IF(  AND(  OR(  P23="x",P23="婚",P23="產"  ), OR(  Q23 ="婚",Q23="產"  ), $AP23 =""),"婚(產)假",  IF(  AND(  OR(  P23="x",P23="公"  ), OR(  Q23 ="公"  ), $AP23 =""),"公假",  IF(  AND(  OR(  P23="x",P23="補",P23="婚",P23="公",P23="病",P23="事",P23="x榮18-22"  ),OR(Q23=""), $AP23 =""  ),"18收",  IF(  AND(  OR(  P23 ="榮14-18",P23 ="榮10-18",P23 ="榮06-18",P23 ="病14-18"  ),OR(  Q23 ="x",Q23="補",Q23="婚",Q23="公",Q23="病",Q23="事",Q23="x"  ), $AP23 =""),"18放早走",  IF(  AND(  OR(  P23 =""),OR(  Q23 ="x",Q23="補",Q23="婚",Q23="公",Q23="病",Q23="事",Q23="x榮*",Q23="榮",Q23="榮-22"  ), $AP23 =""),"18放",  IF(  AND(  OR(  P23="當日退伍"  ),OR(  Q23="退伍",Q23="退", Q23=""  ), $AP23 =""),"當日退伍",  IF(AND(  OR(P23="退",P23="退伍" ), OR(Q23="退",Q23="退伍" ), $AP23 =""),"退伍","全日勤"  )  )  )  )  )  )  )  )  )  )  ),"")</f>
        <v>全日勤</v>
      </c>
      <c r="Q64" s="66" t="str">
        <f>IF(   (ROW(BC23)-1)&lt;=暫1!$B$2,           IF(  AND(  OR(  Q23="x",Q23="補"  ), OR(  R23 ="x",R23="補",R23="x榮18-22",R23="x公18-22",R23="x榮22-08"  ), $AP23 =""),"全日休",  IF(  AND(  OR(  Q23="x",Q23="病"  ), OR(  R23 ="病"  ), $AP23 =""),"病(事)假",  IF(  AND(  OR(  Q23="x",Q23="補"  ), OR(  R23 ="補"  ), $AP23 =""),"補休",  IF(  AND(  OR(  Q23="x",Q23="喪"  ), OR(  R23 ="喪"  ), $AP23 =""),"喪假",  IF(  AND(  OR(  Q23="x",Q23="婚",Q23="產"  ), OR(  R23 ="婚",R23="產"  ), $AP23 =""),"婚(產)假",  IF(  AND(  OR(  Q23="x",Q23="公"  ), OR(  R23 ="公"  ), $AP23 =""),"公假",  IF(  AND(  OR(  Q23="x",Q23="補",Q23="婚",Q23="公",Q23="病",Q23="事",Q23="x榮18-22"  ),OR(R23=""), $AP23 =""  ),"18收",  IF(  AND(  OR(  Q23 ="榮14-18",Q23 ="榮10-18",Q23 ="榮06-18",Q23 ="病14-18"  ),OR(  R23 ="x",R23="補",R23="婚",R23="公",R23="病",R23="事",R23="x"  ), $AP23 =""),"18放早走",  IF(  AND(  OR(  Q23 =""),OR(  R23 ="x",R23="補",R23="婚",R23="公",R23="病",R23="事",R23="x榮*",R23="榮",R23="榮-22"  ), $AP23 =""),"18放",  IF(  AND(  OR(  Q23="當日退伍"  ),OR(  R23="退伍",R23="退", R23=""  ), $AP23 =""),"當日退伍",  IF(AND(  OR(Q23="退",Q23="退伍" ), OR(R23="退",R23="退伍" ), $AP23 =""),"退伍","全日勤"  )  )  )  )  )  )  )  )  )  )  ),"")</f>
        <v>全日勤</v>
      </c>
      <c r="R64" s="66" t="str">
        <f>IF(   (ROW(BD23)-1)&lt;=暫1!$B$2,           IF(  AND(  OR(  R23="x",R23="補"  ), OR(  S23 ="x",S23="補",S23="x榮18-22",S23="x公18-22",S23="x榮22-08"  ), $AP23 =""),"全日休",  IF(  AND(  OR(  R23="x",R23="病"  ), OR(  S23 ="病"  ), $AP23 =""),"病(事)假",  IF(  AND(  OR(  R23="x",R23="補"  ), OR(  S23 ="補"  ), $AP23 =""),"補休",  IF(  AND(  OR(  R23="x",R23="喪"  ), OR(  S23 ="喪"  ), $AP23 =""),"喪假",  IF(  AND(  OR(  R23="x",R23="婚",R23="產"  ), OR(  S23 ="婚",S23="產"  ), $AP23 =""),"婚(產)假",  IF(  AND(  OR(  R23="x",R23="公"  ), OR(  S23 ="公"  ), $AP23 =""),"公假",  IF(  AND(  OR(  R23="x",R23="補",R23="婚",R23="公",R23="病",R23="事",R23="x榮18-22"  ),OR(S23=""), $AP23 =""  ),"18收",  IF(  AND(  OR(  R23 ="榮14-18",R23 ="榮10-18",R23 ="榮06-18",R23 ="病14-18"  ),OR(  S23 ="x",S23="補",S23="婚",S23="公",S23="病",S23="事",S23="x"  ), $AP23 =""),"18放早走",  IF(  AND(  OR(  R23 =""),OR(  S23 ="x",S23="補",S23="婚",S23="公",S23="病",S23="事",S23="x榮*",S23="榮",S23="榮-22"  ), $AP23 =""),"18放",  IF(  AND(  OR(  R23="當日退伍"  ),OR(  S23="退伍",S23="退", S23=""  ), $AP23 =""),"當日退伍",  IF(AND(  OR(R23="退",R23="退伍" ), OR(S23="退",S23="退伍" ), $AP23 =""),"退伍","全日勤"  )  )  )  )  )  )  )  )  )  )  ),"")</f>
        <v>18放早走</v>
      </c>
      <c r="S64" s="66" t="str">
        <f>IF(   (ROW(BE23)-1)&lt;=暫1!$B$2,           IF(  AND(  OR(  S23="x",S23="補"  ), OR(  T23 ="x",T23="補",T23="x榮18-22",T23="x公18-22",T23="x榮22-08"  ), $AP23 =""),"全日休",  IF(  AND(  OR(  S23="x",S23="病"  ), OR(  T23 ="病"  ), $AP23 =""),"病(事)假",  IF(  AND(  OR(  S23="x",S23="補"  ), OR(  T23 ="補"  ), $AP23 =""),"補休",  IF(  AND(  OR(  S23="x",S23="喪"  ), OR(  T23 ="喪"  ), $AP23 =""),"喪假",  IF(  AND(  OR(  S23="x",S23="婚",S23="產"  ), OR(  T23 ="婚",T23="產"  ), $AP23 =""),"婚(產)假",  IF(  AND(  OR(  S23="x",S23="公"  ), OR(  T23 ="公"  ), $AP23 =""),"公假",  IF(  AND(  OR(  S23="x",S23="補",S23="婚",S23="公",S23="病",S23="事",S23="x榮18-22"  ),OR(T23=""), $AP23 =""  ),"18收",  IF(  AND(  OR(  S23 ="榮14-18",S23 ="榮10-18",S23 ="榮06-18",S23 ="病14-18"  ),OR(  T23 ="x",T23="補",T23="婚",T23="公",T23="病",T23="事",T23="x"  ), $AP23 =""),"18放早走",  IF(  AND(  OR(  S23 =""),OR(  T23 ="x",T23="補",T23="婚",T23="公",T23="病",T23="事",T23="x榮*",T23="榮",T23="榮-22"  ), $AP23 =""),"18放",  IF(  AND(  OR(  S23="當日退伍"  ),OR(  T23="退伍",T23="退", T23=""  ), $AP23 =""),"當日退伍",  IF(AND(  OR(S23="退",S23="退伍" ), OR(T23="退",T23="退伍" ), $AP23 =""),"退伍","全日勤"  )  )  )  )  )  )  )  )  )  )  ),"")</f>
        <v>全日休</v>
      </c>
      <c r="T64" s="66" t="str">
        <f>IF(   (ROW(BF23)-1)&lt;=暫1!$B$2,           IF(  AND(  OR(  T23="x",T23="補"  ), OR(  U23 ="x",U23="補",U23="x榮18-22",U23="x公18-22",U23="x榮22-08"  ), $AP23 =""),"全日休",  IF(  AND(  OR(  T23="x",T23="病"  ), OR(  U23 ="病"  ), $AP23 =""),"病(事)假",  IF(  AND(  OR(  T23="x",T23="補"  ), OR(  U23 ="補"  ), $AP23 =""),"補休",  IF(  AND(  OR(  T23="x",T23="喪"  ), OR(  U23 ="喪"  ), $AP23 =""),"喪假",  IF(  AND(  OR(  T23="x",T23="婚",T23="產"  ), OR(  U23 ="婚",U23="產"  ), $AP23 =""),"婚(產)假",  IF(  AND(  OR(  T23="x",T23="公"  ), OR(  U23 ="公"  ), $AP23 =""),"公假",  IF(  AND(  OR(  T23="x",T23="補",T23="婚",T23="公",T23="病",T23="事",T23="x榮18-22"  ),OR(U23=""), $AP23 =""  ),"18收",  IF(  AND(  OR(  T23 ="榮14-18",T23 ="榮10-18",T23 ="榮06-18",T23 ="病14-18"  ),OR(  U23 ="x",U23="補",U23="婚",U23="公",U23="病",U23="事",U23="x"  ), $AP23 =""),"18放早走",  IF(  AND(  OR(  T23 =""),OR(  U23 ="x",U23="補",U23="婚",U23="公",U23="病",U23="事",U23="x榮*",U23="榮",U23="榮-22"  ), $AP23 =""),"18放",  IF(  AND(  OR(  T23="當日退伍"  ),OR(  U23="退伍",U23="退", U23=""  ), $AP23 =""),"當日退伍",  IF(AND(  OR(T23="退",T23="退伍" ), OR(U23="退",U23="退伍" ), $AP23 =""),"退伍","全日勤"  )  )  )  )  )  )  )  )  )  )  ),"")</f>
        <v>18收</v>
      </c>
      <c r="U64" s="66" t="str">
        <f>IF(   (ROW(BG23)-1)&lt;=暫1!$B$2,           IF(  AND(  OR(  U23="x",U23="補"  ), OR(  V23 ="x",V23="補",V23="x榮18-22",V23="x公18-22",V23="x榮22-08"  ), $AP23 =""),"全日休",  IF(  AND(  OR(  U23="x",U23="病"  ), OR(  V23 ="病"  ), $AP23 =""),"病(事)假",  IF(  AND(  OR(  U23="x",U23="補"  ), OR(  V23 ="補"  ), $AP23 =""),"補休",  IF(  AND(  OR(  U23="x",U23="喪"  ), OR(  V23 ="喪"  ), $AP23 =""),"喪假",  IF(  AND(  OR(  U23="x",U23="婚",U23="產"  ), OR(  V23 ="婚",V23="產"  ), $AP23 =""),"婚(產)假",  IF(  AND(  OR(  U23="x",U23="公"  ), OR(  V23 ="公"  ), $AP23 =""),"公假",  IF(  AND(  OR(  U23="x",U23="補",U23="婚",U23="公",U23="病",U23="事",U23="x榮18-22"  ),OR(V23=""), $AP23 =""  ),"18收",  IF(  AND(  OR(  U23 ="榮14-18",U23 ="榮10-18",U23 ="榮06-18",U23 ="病14-18"  ),OR(  V23 ="x",V23="補",V23="婚",V23="公",V23="病",V23="事",V23="x"  ), $AP23 =""),"18放早走",  IF(  AND(  OR(  U23 =""),OR(  V23 ="x",V23="補",V23="婚",V23="公",V23="病",V23="事",V23="x榮*",V23="榮",V23="榮-22"  ), $AP23 =""),"18放",  IF(  AND(  OR(  U23="當日退伍"  ),OR(  V23="退伍",V23="退", V23=""  ), $AP23 =""),"當日退伍",  IF(AND(  OR(U23="退",U23="退伍" ), OR(V23="退",V23="退伍" ), $AP23 =""),"退伍","全日勤"  )  )  )  )  )  )  )  )  )  )  ),"")</f>
        <v>全日勤</v>
      </c>
      <c r="V64" s="66" t="str">
        <f>IF(   (ROW(BH23)-1)&lt;=暫1!$B$2,           IF(  AND(  OR(  V23="x",V23="補"  ), OR(  W23 ="x",W23="補",W23="x榮18-22",W23="x公18-22",W23="x榮22-08"  ), $AP23 =""),"全日休",  IF(  AND(  OR(  V23="x",V23="病"  ), OR(  W23 ="病"  ), $AP23 =""),"病(事)假",  IF(  AND(  OR(  V23="x",V23="補"  ), OR(  W23 ="補"  ), $AP23 =""),"補休",  IF(  AND(  OR(  V23="x",V23="喪"  ), OR(  W23 ="喪"  ), $AP23 =""),"喪假",  IF(  AND(  OR(  V23="x",V23="婚",V23="產"  ), OR(  W23 ="婚",W23="產"  ), $AP23 =""),"婚(產)假",  IF(  AND(  OR(  V23="x",V23="公"  ), OR(  W23 ="公"  ), $AP23 =""),"公假",  IF(  AND(  OR(  V23="x",V23="補",V23="婚",V23="公",V23="病",V23="事",V23="x榮18-22"  ),OR(W23=""), $AP23 =""  ),"18收",  IF(  AND(  OR(  V23 ="榮14-18",V23 ="榮10-18",V23 ="榮06-18",V23 ="病14-18"  ),OR(  W23 ="x",W23="補",W23="婚",W23="公",W23="病",W23="事",W23="x"  ), $AP23 =""),"18放早走",  IF(  AND(  OR(  V23 =""),OR(  W23 ="x",W23="補",W23="婚",W23="公",W23="病",W23="事",W23="x榮*",W23="榮",W23="榮-22"  ), $AP23 =""),"18放",  IF(  AND(  OR(  V23="當日退伍"  ),OR(  W23="退伍",W23="退", W23=""  ), $AP23 =""),"當日退伍",  IF(AND(  OR(V23="退",V23="退伍" ), OR(W23="退",W23="退伍" ), $AP23 =""),"退伍","全日勤"  )  )  )  )  )  )  )  )  )  )  ),"")</f>
        <v>全日勤</v>
      </c>
      <c r="W64" s="66" t="str">
        <f>IF(   (ROW(BI23)-1)&lt;=暫1!$B$2,           IF(  AND(  OR(  W23="x",W23="補"  ), OR(  X23 ="x",X23="補",X23="x榮18-22",X23="x公18-22",X23="x榮22-08"  ), $AP23 =""),"全日休",  IF(  AND(  OR(  W23="x",W23="病"  ), OR(  X23 ="病"  ), $AP23 =""),"病(事)假",  IF(  AND(  OR(  W23="x",W23="補"  ), OR(  X23 ="補"  ), $AP23 =""),"補休",  IF(  AND(  OR(  W23="x",W23="喪"  ), OR(  X23 ="喪"  ), $AP23 =""),"喪假",  IF(  AND(  OR(  W23="x",W23="婚",W23="產"  ), OR(  X23 ="婚",X23="產"  ), $AP23 =""),"婚(產)假",  IF(  AND(  OR(  W23="x",W23="公"  ), OR(  X23 ="公"  ), $AP23 =""),"公假",  IF(  AND(  OR(  W23="x",W23="補",W23="婚",W23="公",W23="病",W23="事",W23="x榮18-22"  ),OR(X23=""), $AP23 =""  ),"18收",  IF(  AND(  OR(  W23 ="榮14-18",W23 ="榮10-18",W23 ="榮06-18",W23 ="病14-18"  ),OR(  X23 ="x",X23="補",X23="婚",X23="公",X23="病",X23="事",X23="x"  ), $AP23 =""),"18放早走",  IF(  AND(  OR(  W23 =""),OR(  X23 ="x",X23="補",X23="婚",X23="公",X23="病",X23="事",X23="x榮*",X23="榮",X23="榮-22"  ), $AP23 =""),"18放",  IF(  AND(  OR(  W23="當日退伍"  ),OR(  X23="退伍",X23="退", X23=""  ), $AP23 =""),"當日退伍",  IF(AND(  OR(W23="退",W23="退伍" ), OR(X23="退",X23="退伍" ), $AP23 =""),"退伍","全日勤"  )  )  )  )  )  )  )  )  )  )  ),"")</f>
        <v>全日勤</v>
      </c>
      <c r="X64" s="66" t="str">
        <f>IF(   (ROW(BJ23)-1)&lt;=暫1!$B$2,           IF(  AND(  OR(  X23="x",X23="補"  ), OR(  Y23 ="x",Y23="補",Y23="x榮18-22",Y23="x公18-22",Y23="x榮22-08"  ), $AP23 =""),"全日休",  IF(  AND(  OR(  X23="x",X23="病"  ), OR(  Y23 ="病"  ), $AP23 =""),"病(事)假",  IF(  AND(  OR(  X23="x",X23="補"  ), OR(  Y23 ="補"  ), $AP23 =""),"補休",  IF(  AND(  OR(  X23="x",X23="喪"  ), OR(  Y23 ="喪"  ), $AP23 =""),"喪假",  IF(  AND(  OR(  X23="x",X23="婚",X23="產"  ), OR(  Y23 ="婚",Y23="產"  ), $AP23 =""),"婚(產)假",  IF(  AND(  OR(  X23="x",X23="公"  ), OR(  Y23 ="公"  ), $AP23 =""),"公假",  IF(  AND(  OR(  X23="x",X23="補",X23="婚",X23="公",X23="病",X23="事",X23="x榮18-22"  ),OR(Y23=""), $AP23 =""  ),"18收",  IF(  AND(  OR(  X23 ="榮14-18",X23 ="榮10-18",X23 ="榮06-18",X23 ="病14-18"  ),OR(  Y23 ="x",Y23="補",Y23="婚",Y23="公",Y23="病",Y23="事",Y23="x"  ), $AP23 =""),"18放早走",  IF(  AND(  OR(  X23 =""),OR(  Y23 ="x",Y23="補",Y23="婚",Y23="公",Y23="病",Y23="事",Y23="x榮*",Y23="榮",Y23="榮-22"  ), $AP23 =""),"18放",  IF(  AND(  OR(  X23="當日退伍"  ),OR(  Y23="退伍",Y23="退", Y23=""  ), $AP23 =""),"當日退伍",  IF(AND(  OR(X23="退",X23="退伍" ), OR(Y23="退",Y23="退伍" ), $AP23 =""),"退伍","全日勤"  )  )  )  )  )  )  )  )  )  )  ),"")</f>
        <v>18放</v>
      </c>
      <c r="Y64" s="66" t="str">
        <f>IF(   (ROW(BK23)-1)&lt;=暫1!$B$2,           IF(  AND(  OR(  Y23="x",Y23="補"  ), OR(  Z23 ="x",Z23="補",Z23="x榮18-22",Z23="x公18-22",Z23="x榮22-08"  ), $AP23 =""),"全日休",  IF(  AND(  OR(  Y23="x",Y23="病"  ), OR(  Z23 ="病"  ), $AP23 =""),"病(事)假",  IF(  AND(  OR(  Y23="x",Y23="補"  ), OR(  Z23 ="補"  ), $AP23 =""),"補休",  IF(  AND(  OR(  Y23="x",Y23="喪"  ), OR(  Z23 ="喪"  ), $AP23 =""),"喪假",  IF(  AND(  OR(  Y23="x",Y23="婚",Y23="產"  ), OR(  Z23 ="婚",Z23="產"  ), $AP23 =""),"婚(產)假",  IF(  AND(  OR(  Y23="x",Y23="公"  ), OR(  Z23 ="公"  ), $AP23 =""),"公假",  IF(  AND(  OR(  Y23="x",Y23="補",Y23="婚",Y23="公",Y23="病",Y23="事",Y23="x榮18-22"  ),OR(Z23=""), $AP23 =""  ),"18收",  IF(  AND(  OR(  Y23 ="榮14-18",Y23 ="榮10-18",Y23 ="榮06-18",Y23 ="病14-18"  ),OR(  Z23 ="x",Z23="補",Z23="婚",Z23="公",Z23="病",Z23="事",Z23="x"  ), $AP23 =""),"18放早走",  IF(  AND(  OR(  Y23 =""),OR(  Z23 ="x",Z23="補",Z23="婚",Z23="公",Z23="病",Z23="事",Z23="x榮*",Z23="榮",Z23="榮-22"  ), $AP23 =""),"18放",  IF(  AND(  OR(  Y23="當日退伍"  ),OR(  Z23="退伍",Z23="退", Z23=""  ), $AP23 =""),"當日退伍",  IF(AND(  OR(Y23="退",Y23="退伍" ), OR(Z23="退",Z23="退伍" ), $AP23 =""),"退伍","全日勤"  )  )  )  )  )  )  )  )  )  )  ),"")</f>
        <v>全日休</v>
      </c>
      <c r="Z64" s="66" t="str">
        <f>IF(   (ROW(BL23)-1)&lt;=暫1!$B$2,           IF(  AND(  OR(  Z23="x",Z23="補"  ), OR(  AA23 ="x",AA23="補",AA23="x榮18-22",AA23="x公18-22",AA23="x榮22-08"  ), $AP23 =""),"全日休",  IF(  AND(  OR(  Z23="x",Z23="病"  ), OR(  AA23 ="病"  ), $AP23 =""),"病(事)假",  IF(  AND(  OR(  Z23="x",Z23="補"  ), OR(  AA23 ="補"  ), $AP23 =""),"補休",  IF(  AND(  OR(  Z23="x",Z23="喪"  ), OR(  AA23 ="喪"  ), $AP23 =""),"喪假",  IF(  AND(  OR(  Z23="x",Z23="婚",Z23="產"  ), OR(  AA23 ="婚",AA23="產"  ), $AP23 =""),"婚(產)假",  IF(  AND(  OR(  Z23="x",Z23="公"  ), OR(  AA23 ="公"  ), $AP23 =""),"公假",  IF(  AND(  OR(  Z23="x",Z23="補",Z23="婚",Z23="公",Z23="病",Z23="事",Z23="x榮18-22"  ),OR(AA23=""), $AP23 =""  ),"18收",  IF(  AND(  OR(  Z23 ="榮14-18",Z23 ="榮10-18",Z23 ="榮06-18",Z23 ="病14-18"  ),OR(  AA23 ="x",AA23="補",AA23="婚",AA23="公",AA23="病",AA23="事",AA23="x"  ), $AP23 =""),"18放早走",  IF(  AND(  OR(  Z23 =""),OR(  AA23 ="x",AA23="補",AA23="婚",AA23="公",AA23="病",AA23="事",AA23="x榮*",AA23="榮",AA23="榮-22"  ), $AP23 =""),"18放",  IF(  AND(  OR(  Z23="當日退伍"  ),OR(  AA23="退伍",AA23="退", AA23=""  ), $AP23 =""),"當日退伍",  IF(AND(  OR(Z23="退",Z23="退伍" ), OR(AA23="退",AA23="退伍" ), $AP23 =""),"退伍","全日勤"  )  )  )  )  )  )  )  )  )  )  ),"")</f>
        <v>全日休</v>
      </c>
      <c r="AA64" s="66" t="str">
        <f>IF(   (ROW(BM23)-1)&lt;=暫1!$B$2,           IF(  AND(  OR(  AA23="x",AA23="補"  ), OR(  AB23 ="x",AB23="補",AB23="x榮18-22",AB23="x公18-22",AB23="x榮22-08"  ), $AP23 =""),"全日休",  IF(  AND(  OR(  AA23="x",AA23="病"  ), OR(  AB23 ="病"  ), $AP23 =""),"病(事)假",  IF(  AND(  OR(  AA23="x",AA23="補"  ), OR(  AB23 ="補"  ), $AP23 =""),"補休",  IF(  AND(  OR(  AA23="x",AA23="喪"  ), OR(  AB23 ="喪"  ), $AP23 =""),"喪假",  IF(  AND(  OR(  AA23="x",AA23="婚",AA23="產"  ), OR(  AB23 ="婚",AB23="產"  ), $AP23 =""),"婚(產)假",  IF(  AND(  OR(  AA23="x",AA23="公"  ), OR(  AB23 ="公"  ), $AP23 =""),"公假",  IF(  AND(  OR(  AA23="x",AA23="補",AA23="婚",AA23="公",AA23="病",AA23="事",AA23="x榮18-22"  ),OR(AB23=""), $AP23 =""  ),"18收",  IF(  AND(  OR(  AA23 ="榮14-18",AA23 ="榮10-18",AA23 ="榮06-18",AA23 ="病14-18"  ),OR(  AB23 ="x",AB23="補",AB23="婚",AB23="公",AB23="病",AB23="事",AB23="x"  ), $AP23 =""),"18放早走",  IF(  AND(  OR(  AA23 =""),OR(  AB23 ="x",AB23="補",AB23="婚",AB23="公",AB23="病",AB23="事",AB23="x榮*",AB23="榮",AB23="榮-22"  ), $AP23 =""),"18放",  IF(  AND(  OR(  AA23="當日退伍"  ),OR(  AB23="退伍",AB23="退", AB23=""  ), $AP23 =""),"當日退伍",  IF(AND(  OR(AA23="退",AA23="退伍" ), OR(AB23="退",AB23="退伍" ), $AP23 =""),"退伍","全日勤"  )  )  )  )  )  )  )  )  )  )  ),"")</f>
        <v>18收</v>
      </c>
      <c r="AB64" s="66" t="str">
        <f>IF(   (ROW(BN23)-1)&lt;=暫1!$B$2,           IF(  AND(  OR(  AB23="x",AB23="補"  ), OR(  AC23 ="x",AC23="補",AC23="x榮18-22",AC23="x公18-22",AC23="x榮22-08"  ), $AP23 =""),"全日休",  IF(  AND(  OR(  AB23="x",AB23="病"  ), OR(  AC23 ="病"  ), $AP23 =""),"病(事)假",  IF(  AND(  OR(  AB23="x",AB23="補"  ), OR(  AC23 ="補"  ), $AP23 =""),"補休",  IF(  AND(  OR(  AB23="x",AB23="喪"  ), OR(  AC23 ="喪"  ), $AP23 =""),"喪假",  IF(  AND(  OR(  AB23="x",AB23="婚",AB23="產"  ), OR(  AC23 ="婚",AC23="產"  ), $AP23 =""),"婚(產)假",  IF(  AND(  OR(  AB23="x",AB23="公"  ), OR(  AC23 ="公"  ), $AP23 =""),"公假",  IF(  AND(  OR(  AB23="x",AB23="補",AB23="婚",AB23="公",AB23="病",AB23="事",AB23="x榮18-22"  ),OR(AC23=""), $AP23 =""  ),"18收",  IF(  AND(  OR(  AB23 ="榮14-18",AB23 ="榮10-18",AB23 ="榮06-18",AB23 ="病14-18"  ),OR(  AC23 ="x",AC23="補",AC23="婚",AC23="公",AC23="病",AC23="事",AC23="x"  ), $AP23 =""),"18放早走",  IF(  AND(  OR(  AB23 =""),OR(  AC23 ="x",AC23="補",AC23="婚",AC23="公",AC23="病",AC23="事",AC23="x榮*",AC23="榮",AC23="榮-22"  ), $AP23 =""),"18放",  IF(  AND(  OR(  AB23="當日退伍"  ),OR(  AC23="退伍",AC23="退", AC23=""  ), $AP23 =""),"當日退伍",  IF(AND(  OR(AB23="退",AB23="退伍" ), OR(AC23="退",AC23="退伍" ), $AP23 =""),"退伍","全日勤"  )  )  )  )  )  )  )  )  )  )  ),"")</f>
        <v>全日勤</v>
      </c>
      <c r="AC64" s="66" t="str">
        <f>IF(   (ROW(BO23)-1)&lt;=暫1!$B$2,           IF(  AND(  OR(  AC23="x",AC23="補"  ), OR(  AD23 ="x",AD23="補",AD23="x榮18-22",AD23="x公18-22",AD23="x榮22-08"  ), $AP23 =""),"全日休",  IF(  AND(  OR(  AC23="x",AC23="病"  ), OR(  AD23 ="病"  ), $AP23 =""),"病(事)假",  IF(  AND(  OR(  AC23="x",AC23="補"  ), OR(  AD23 ="補"  ), $AP23 =""),"補休",  IF(  AND(  OR(  AC23="x",AC23="喪"  ), OR(  AD23 ="喪"  ), $AP23 =""),"喪假",  IF(  AND(  OR(  AC23="x",AC23="婚",AC23="產"  ), OR(  AD23 ="婚",AD23="產"  ), $AP23 =""),"婚(產)假",  IF(  AND(  OR(  AC23="x",AC23="公"  ), OR(  AD23 ="公"  ), $AP23 =""),"公假",  IF(  AND(  OR(  AC23="x",AC23="補",AC23="婚",AC23="公",AC23="病",AC23="事",AC23="x榮18-22"  ),OR(AD23=""), $AP23 =""  ),"18收",  IF(  AND(  OR(  AC23 ="榮14-18",AC23 ="榮10-18",AC23 ="榮06-18",AC23 ="病14-18"  ),OR(  AD23 ="x",AD23="補",AD23="婚",AD23="公",AD23="病",AD23="事",AD23="x"  ), $AP23 =""),"18放早走",  IF(  AND(  OR(  AC23 =""),OR(  AD23 ="x",AD23="補",AD23="婚",AD23="公",AD23="病",AD23="事",AD23="x榮*",AD23="榮",AD23="榮-22"  ), $AP23 =""),"18放",  IF(  AND(  OR(  AC23="當日退伍"  ),OR(  AD23="退伍",AD23="退", AD23=""  ), $AP23 =""),"當日退伍",  IF(AND(  OR(AC23="退",AC23="退伍" ), OR(AD23="退",AD23="退伍" ), $AP23 =""),"退伍","全日勤"  )  )  )  )  )  )  )  )  )  )  ),"")</f>
        <v>全日勤</v>
      </c>
      <c r="AD64" s="66" t="str">
        <f>IF(   (ROW(BP23)-1)&lt;=暫1!$B$2,           IF(  AND(  OR(  AD23="x",AD23="補"  ), OR(  AE23 ="x",AE23="補",AE23="x榮18-22",AE23="x公18-22",AE23="x榮22-08"  ), $AP23 =""),"全日休",  IF(  AND(  OR(  AD23="x",AD23="病"  ), OR(  AE23 ="病"  ), $AP23 =""),"病(事)假",  IF(  AND(  OR(  AD23="x",AD23="補"  ), OR(  AE23 ="補"  ), $AP23 =""),"補休",  IF(  AND(  OR(  AD23="x",AD23="喪"  ), OR(  AE23 ="喪"  ), $AP23 =""),"喪假",  IF(  AND(  OR(  AD23="x",AD23="婚",AD23="產"  ), OR(  AE23 ="婚",AE23="產"  ), $AP23 =""),"婚(產)假",  IF(  AND(  OR(  AD23="x",AD23="公"  ), OR(  AE23 ="公"  ), $AP23 =""),"公假",  IF(  AND(  OR(  AD23="x",AD23="補",AD23="婚",AD23="公",AD23="病",AD23="事",AD23="x榮18-22"  ),OR(AE23=""), $AP23 =""  ),"18收",  IF(  AND(  OR(  AD23 ="榮14-18",AD23 ="榮10-18",AD23 ="榮06-18",AD23 ="病14-18"  ),OR(  AE23 ="x",AE23="補",AE23="婚",AE23="公",AE23="病",AE23="事",AE23="x"  ), $AP23 =""),"18放早走",  IF(  AND(  OR(  AD23 =""),OR(  AE23 ="x",AE23="補",AE23="婚",AE23="公",AE23="病",AE23="事",AE23="x榮*",AE23="榮",AE23="榮-22"  ), $AP23 =""),"18放",  IF(  AND(  OR(  AD23="當日退伍"  ),OR(  AE23="退伍",AE23="退", AE23=""  ), $AP23 =""),"當日退伍",  IF(AND(  OR(AD23="退",AD23="退伍" ), OR(AE23="退",AE23="退伍" ), $AP23 =""),"退伍","全日勤"  )  )  )  )  )  )  )  )  )  )  ),"")</f>
        <v>18放</v>
      </c>
      <c r="AE64" s="66" t="str">
        <f>IF(   (ROW(BQ23)-1)&lt;=暫1!$B$2,           IF(  AND(  OR(  AE23="x",AE23="補"  ), OR(  AF23 ="x",AF23="補",AF23="x榮18-22",AF23="x公18-22",AF23="x榮22-08"  ), $AP23 =""),"全日休",  IF(  AND(  OR(  AE23="x",AE23="病"  ), OR(  AF23 ="病"  ), $AP23 =""),"病(事)假",  IF(  AND(  OR(  AE23="x",AE23="補"  ), OR(  AF23 ="補"  ), $AP23 =""),"補休",  IF(  AND(  OR(  AE23="x",AE23="喪"  ), OR(  AF23 ="喪"  ), $AP23 =""),"喪假",  IF(  AND(  OR(  AE23="x",AE23="婚",AE23="產"  ), OR(  AF23 ="婚",AF23="產"  ), $AP23 =""),"婚(產)假",  IF(  AND(  OR(  AE23="x",AE23="公"  ), OR(  AF23 ="公"  ), $AP23 =""),"公假",  IF(  AND(  OR(  AE23="x",AE23="補",AE23="婚",AE23="公",AE23="病",AE23="事",AE23="x榮18-22"  ),OR(AF23=""), $AP23 =""  ),"18收",  IF(  AND(  OR(  AE23 ="榮14-18",AE23 ="榮10-18",AE23 ="榮06-18",AE23 ="病14-18"  ),OR(  AF23 ="x",AF23="補",AF23="婚",AF23="公",AF23="病",AF23="事",AF23="x"  ), $AP23 =""),"18放早走",  IF(  AND(  OR(  AE23 =""),OR(  AF23 ="x",AF23="補",AF23="婚",AF23="公",AF23="病",AF23="事",AF23="x榮*",AF23="榮",AF23="榮-22"  ), $AP23 =""),"18放",  IF(  AND(  OR(  AE23="當日退伍"  ),OR(  AF23="退伍",AF23="退", AF23=""  ), $AP23 =""),"當日退伍",  IF(AND(  OR(AE23="退",AE23="退伍" ), OR(AF23="退",AF23="退伍" ), $AP23 =""),"退伍","全日勤"  )  )  )  )  )  )  )  )  )  )  ),"")</f>
        <v>全日休</v>
      </c>
      <c r="AF64" s="66" t="str">
        <f>IF(   (ROW(BR23)-1)&lt;=暫1!$B$2,           IF(  AND(  OR(  AF23="x",AF23="補"  ), OR(  AG23 ="x",AG23="補",AG23="x榮18-22",AG23="x公18-22",AG23="x榮22-08"  ), $AP23 =""),"全日休",  IF(  AND(  OR(  AF23="x",AF23="病"  ), OR(  AG23 ="病"  ), $AP23 =""),"病(事)假",  IF(  AND(  OR(  AF23="x",AF23="補"  ), OR(  AG23 ="補"  ), $AP23 =""),"補休",  IF(  AND(  OR(  AF23="x",AF23="喪"  ), OR(  AG23 ="喪"  ), $AP23 =""),"喪假",  IF(  AND(  OR(  AF23="x",AF23="婚",AF23="產"  ), OR(  AG23 ="婚",AG23="產"  ), $AP23 =""),"婚(產)假",  IF(  AND(  OR(  AF23="x",AF23="公"  ), OR(  AG23 ="公"  ), $AP23 =""),"公假",  IF(  AND(  OR(  AF23="x",AF23="補",AF23="婚",AF23="公",AF23="病",AF23="事",AF23="x榮18-22"  ),OR(AG23=""), $AP23 =""  ),"18收",  IF(  AND(  OR(  AF23 ="榮14-18",AF23 ="榮10-18",AF23 ="榮06-18",AF23 ="病14-18"  ),OR(  AG23 ="x",AG23="補",AG23="婚",AG23="公",AG23="病",AG23="事",AG23="x"  ), $AP23 =""),"18放早走",  IF(  AND(  OR(  AF23 =""),OR(  AG23 ="x",AG23="補",AG23="婚",AG23="公",AG23="病",AG23="事",AG23="x榮*",AG23="榮",AG23="榮-22"  ), $AP23 =""),"18放",  IF(  AND(  OR(  AF23="當日退伍"  ),OR(  AG23="退伍",AG23="退", AG23=""  ), $AP23 =""),"當日退伍",  IF(AND(  OR(AF23="退",AF23="退伍" ), OR(AG23="退",AG23="退伍" ), $AP23 =""),"退伍","全日勤"  )  )  )  )  )  )  )  )  )  )  ),"")</f>
        <v>18收</v>
      </c>
      <c r="AG64" s="66" t="str">
        <f>IF(   (ROW(BS23)-1)&lt;=暫1!$B$2,           IF(  AND(  OR(  AG23="x",AG23="補"  ), OR(  AH23 ="x",AH23="補",AH23="x榮18-22",AH23="x公18-22",AH23="x榮22-08"  ), $AP23 =""),"全日休",  IF(  AND(  OR(  AG23="x",AG23="病"  ), OR(  AH23 ="病"  ), $AP23 =""),"病(事)假",  IF(  AND(  OR(  AG23="x",AG23="補"  ), OR(  AH23 ="補"  ), $AP23 =""),"補休",  IF(  AND(  OR(  AG23="x",AG23="喪"  ), OR(  AH23 ="喪"  ), $AP23 =""),"喪假",  IF(  AND(  OR(  AG23="x",AG23="婚",AG23="產"  ), OR(  AH23 ="婚",AH23="產"  ), $AP23 =""),"婚(產)假",  IF(  AND(  OR(  AG23="x",AG23="公"  ), OR(  AH23 ="公"  ), $AP23 =""),"公假",  IF(  AND(  OR(  AG23="x",AG23="補",AG23="婚",AG23="公",AG23="病",AG23="事",AG23="x榮18-22"  ),OR(AH23=""), $AP23 =""  ),"18收",  IF(  AND(  OR(  AG23 ="榮14-18",AG23 ="榮10-18",AG23 ="榮06-18",AG23 ="病14-18"  ),OR(  AH23 ="x",AH23="補",AH23="婚",AH23="公",AH23="病",AH23="事",AH23="x"  ), $AP23 =""),"18放早走",  IF(  AND(  OR(  AG23 =""),OR(  AH23 ="x",AH23="補",AH23="婚",AH23="公",AH23="病",AH23="事",AH23="x榮*",AH23="榮",AH23="榮-22"  ), $AP23 =""),"18放",  IF(  AND(  OR(  AG23="當日退伍"  ),OR(  AH23="退伍",AH23="退", AH23=""  ), $AP23 =""),"當日退伍",  IF(AND(  OR(AG23="退",AG23="退伍" ), OR(AH23="退",AH23="退伍" ), $AP23 =""),"退伍","全日勤"  )  )  )  )  )  )  )  )  )  )  ),"")</f>
        <v>全日勤</v>
      </c>
      <c r="AH64" s="66" t="str">
        <f>IF(   (ROW(BT23)-1)&lt;=暫1!$B$2,           IF(  AND(  OR(  AH23="x",AH23="補"  ), OR(  AI23 ="x",AI23="補",AI23="x榮18-22",AI23="x公18-22",AI23="x榮22-08"  ), $AP23 =""),"全日休",  IF(  AND(  OR(  AH23="x",AH23="病"  ), OR(  AI23 ="病"  ), $AP23 =""),"病(事)假",  IF(  AND(  OR(  AH23="x",AH23="補"  ), OR(  AI23 ="補"  ), $AP23 =""),"補休",  IF(  AND(  OR(  AH23="x",AH23="喪"  ), OR(  AI23 ="喪"  ), $AP23 =""),"喪假",  IF(  AND(  OR(  AH23="x",AH23="婚",AH23="產"  ), OR(  AI23 ="婚",AI23="產"  ), $AP23 =""),"婚(產)假",  IF(  AND(  OR(  AH23="x",AH23="公"  ), OR(  AI23 ="公"  ), $AP23 =""),"公假",  IF(  AND(  OR(  AH23="x",AH23="補",AH23="婚",AH23="公",AH23="病",AH23="事",AH23="x榮18-22"  ),OR(AI23=""), $AP23 =""  ),"18收",  IF(  AND(  OR(  AH23 ="榮14-18",AH23 ="榮10-18",AH23 ="榮06-18",AH23 ="病14-18"  ),OR(  AI23 ="x",AI23="補",AI23="婚",AI23="公",AI23="病",AI23="事",AI23="x"  ), $AP23 =""),"18放早走",  IF(  AND(  OR(  AH23 =""),OR(  AI23 ="x",AI23="補",AI23="婚",AI23="公",AI23="病",AI23="事",AI23="x榮*",AI23="榮",AI23="榮-22"  ), $AP23 =""),"18放",  IF(  AND(  OR(  AH23="當日退伍"  ),OR(  AI23="退伍",AI23="退", AI23=""  ), $AP23 =""),"當日退伍",  IF(AND(  OR(AH23="退",AH23="退伍" ), OR(AI23="退",AI23="退伍" ), $AP23 =""),"退伍","全日勤"  )  )  )  )  )  )  )  )  )  )  ),"")</f>
        <v>全日勤</v>
      </c>
      <c r="AI64" s="66" t="str">
        <f>IF(   (ROW(BU23)-1)&lt;=暫1!$B$2,           IF(  AND(  OR(  AI23="x",AI23="補"  ), OR(  AJ23 ="x",AJ23="補",AJ23="x榮18-22",AJ23="x公18-22",AJ23="x榮22-08"  ), $AP23 =""),"全日休",  IF(  AND(  OR(  AI23="x",AI23="病"  ), OR(  AJ23 ="病"  ), $AP23 =""),"病(事)假",  IF(  AND(  OR(  AI23="x",AI23="補"  ), OR(  AJ23 ="補"  ), $AP23 =""),"補休",  IF(  AND(  OR(  AI23="x",AI23="喪"  ), OR(  AJ23 ="喪"  ), $AP23 =""),"喪假",  IF(  AND(  OR(  AI23="x",AI23="婚",AI23="產"  ), OR(  AJ23 ="婚",AJ23="產"  ), $AP23 =""),"婚(產)假",  IF(  AND(  OR(  AI23="x",AI23="公"  ), OR(  AJ23 ="公"  ), $AP23 =""),"公假",  IF(  AND(  OR(  AI23="x",AI23="補",AI23="婚",AI23="公",AI23="病",AI23="事",AI23="x榮18-22"  ),OR(AJ23=""), $AP23 =""  ),"18收",  IF(  AND(  OR(  AI23 ="榮14-18",AI23 ="榮10-18",AI23 ="榮06-18",AI23 ="病14-18"  ),OR(  AJ23 ="x",AJ23="補",AJ23="婚",AJ23="公",AJ23="病",AJ23="事",AJ23="x"  ), $AP23 =""),"18放早走",  IF(  AND(  OR(  AI23 =""),OR(  AJ23 ="x",AJ23="補",AJ23="婚",AJ23="公",AJ23="病",AJ23="事",AJ23="x榮*",AJ23="榮",AJ23="榮-22"  ), $AP23 =""),"18放",  IF(  AND(  OR(  AI23="當日退伍"  ),OR(  AJ23="退伍",AJ23="退", AJ23=""  ), $AP23 =""),"當日退伍",  IF(AND(  OR(AI23="退",AI23="退伍" ), OR(AJ23="退",AJ23="退伍" ), $AP23 =""),"退伍","全日勤"  )  )  )  )  )  )  )  )  )  )  ),"")</f>
        <v>全日勤</v>
      </c>
      <c r="AJ64" s="66" t="str">
        <f>IF(   (ROW(BV23)-1)&lt;=暫1!$B$2,           IF(  AND(  OR(  AJ23="x",AJ23="補"  ), OR(  AK23 ="x",AK23="補",AK23="x榮18-22",AK23="x公18-22",AK23="x榮22-08"  ), $AP23 =""),"全日休",  IF(  AND(  OR(  AJ23="x",AJ23="病"  ), OR(  AK23 ="病"  ), $AP23 =""),"病(事)假",  IF(  AND(  OR(  AJ23="x",AJ23="補"  ), OR(  AK23 ="補"  ), $AP23 =""),"補休",  IF(  AND(  OR(  AJ23="x",AJ23="喪"  ), OR(  AK23 ="喪"  ), $AP23 =""),"喪假",  IF(  AND(  OR(  AJ23="x",AJ23="婚",AJ23="產"  ), OR(  AK23 ="婚",AK23="產"  ), $AP23 =""),"婚(產)假",  IF(  AND(  OR(  AJ23="x",AJ23="公"  ), OR(  AK23 ="公"  ), $AP23 =""),"公假",  IF(  AND(  OR(  AJ23="x",AJ23="補",AJ23="婚",AJ23="公",AJ23="病",AJ23="事",AJ23="x榮18-22"  ),OR(AK23=""), $AP23 =""  ),"18收",  IF(  AND(  OR(  AJ23 ="榮14-18",AJ23 ="榮10-18",AJ23 ="榮06-18",AJ23 ="病14-18"  ),OR(  AK23 ="x",AK23="補",AK23="婚",AK23="公",AK23="病",AK23="事",AK23="x"  ), $AP23 =""),"18放早走",  IF(  AND(  OR(  AJ23 =""),OR(  AK23 ="x",AK23="補",AK23="婚",AK23="公",AK23="病",AK23="事",AK23="x榮*",AK23="榮",AK23="榮-22"  ), $AP23 =""),"18放",  IF(  AND(  OR(  AJ23="當日退伍"  ),OR(  AK23="退伍",AK23="退", AK23=""  ), $AP23 =""),"當日退伍",  IF(AND(  OR(AJ23="退",AJ23="退伍" ), OR(AK23="退",AK23="退伍" ), $AP23 =""),"退伍","全日勤"  )  )  )  )  )  )  )  )  )  )  ),"")</f>
        <v>全日勤</v>
      </c>
      <c r="AO64" s="76"/>
      <c r="AP64" s="63"/>
      <c r="AU64" s="63"/>
      <c r="AY64" s="63"/>
      <c r="AZ64" s="63"/>
      <c r="BA64" s="63"/>
    </row>
    <row r="65" spans="1:55" ht="25.5" customHeight="1">
      <c r="A65" s="66">
        <f t="shared" si="4"/>
        <v>23</v>
      </c>
      <c r="B65" s="66" t="str">
        <f t="shared" si="6"/>
        <v>阮成山</v>
      </c>
      <c r="C65" s="66" t="str">
        <f>IF(   (ROW(AO24)-1)&lt;=暫1!$B$2,           IF(  AND(  OR(  C24="x",C24="補"  ), OR(  D24 ="x",D24="補",D24="x榮18-22",D24="x公18-22",D24="x榮22-08"  ), $AP24 =""),"全日休",  IF(  AND(  OR(  C24="x",C24="病"  ), OR(  D24 ="病"  ), $AP24 =""),"病(事)假",  IF(  AND(  OR(  C24="x",C24="補"  ), OR(  D24 ="補"  ), $AP24 =""),"補休",  IF(  AND(  OR(  C24="x",C24="喪"  ), OR(  D24 ="喪"  ), $AP24 =""),"喪假",  IF(  AND(  OR(  C24="x",C24="婚",C24="產"  ), OR(  D24 ="婚",D24="產"  ), $AP24 =""),"婚(產)假",  IF(  AND(  OR(  C24="x",C24="公"  ), OR(  D24 ="公"  ), $AP24 =""),"公假",  IF(  AND(  OR(  C24="x",C24="補",C24="婚",C24="公",C24="病",C24="事",C24="x榮18-22"  ),OR(D24=""), $AP24 =""  ),"18收",  IF(  AND(  OR(  C24 ="榮14-18",C24 ="榮10-18",C24 ="榮06-18",C24 ="病14-18"  ),OR(  D24 ="x",D24="補",D24="婚",D24="公",D24="病",D24="事",D24="x"  ), $AP24 =""),"18放早走",  IF(  AND(  OR(  C24 =""),OR(  D24 ="x",D24="補",D24="婚",D24="公",D24="病",D24="事",D24="x榮*",D24="榮",D24="榮-22"  ), $AP24 =""),"18放",  IF(  AND(  OR(  C24="當日退伍"  ),OR(  D24="退伍",D24="退", D24=""  ), $AP24 =""),"當日退伍",  IF(AND(  OR(C24="退",C24="退伍" ), OR(D24="退",D24="退伍" ), $AP24 =""),"退伍","全日勤"  )  )  )  )  )  )  )  )  )  )  ),"")</f>
        <v>全日休</v>
      </c>
      <c r="D65" s="66" t="str">
        <f>IF(   (ROW(AP24)-1)&lt;=暫1!$B$2,           IF(  AND(  OR(  D24="x",D24="補"  ), OR(  E24 ="x",E24="補",E24="x榮18-22",E24="x公18-22",E24="x榮22-08"  ), $AP24 =""),"全日休",  IF(  AND(  OR(  D24="x",D24="病"  ), OR(  E24 ="病"  ), $AP24 =""),"病(事)假",  IF(  AND(  OR(  D24="x",D24="補"  ), OR(  E24 ="補"  ), $AP24 =""),"補休",  IF(  AND(  OR(  D24="x",D24="喪"  ), OR(  E24 ="喪"  ), $AP24 =""),"喪假",  IF(  AND(  OR(  D24="x",D24="婚",D24="產"  ), OR(  E24 ="婚",E24="產"  ), $AP24 =""),"婚(產)假",  IF(  AND(  OR(  D24="x",D24="公"  ), OR(  E24 ="公"  ), $AP24 =""),"公假",  IF(  AND(  OR(  D24="x",D24="補",D24="婚",D24="公",D24="病",D24="事",D24="x榮18-22"  ),OR(E24=""), $AP24 =""  ),"18收",  IF(  AND(  OR(  D24 ="榮14-18",D24 ="榮10-18",D24 ="榮06-18",D24 ="病14-18"  ),OR(  E24 ="x",E24="補",E24="婚",E24="公",E24="病",E24="事",E24="x"  ), $AP24 =""),"18放早走",  IF(  AND(  OR(  D24 =""),OR(  E24 ="x",E24="補",E24="婚",E24="公",E24="病",E24="事",E24="x榮*",E24="榮",E24="榮-22"  ), $AP24 =""),"18放",  IF(  AND(  OR(  D24="當日退伍"  ),OR(  E24="退伍",E24="退", E24=""  ), $AP24 =""),"當日退伍",  IF(AND(  OR(D24="退",D24="退伍" ), OR(E24="退",E24="退伍" ), $AP24 =""),"退伍","全日勤"  )  )  )  )  )  )  )  )  )  )  ),"")</f>
        <v>全日休</v>
      </c>
      <c r="E65" s="66" t="str">
        <f>IF(   (ROW(AQ24)-1)&lt;=暫1!$B$2,           IF(  AND(  OR(  E24="x",E24="補"  ), OR(  F24 ="x",F24="補",F24="x榮18-22",F24="x公18-22",F24="x榮22-08"  ), $AP24 =""),"全日休",  IF(  AND(  OR(  E24="x",E24="病"  ), OR(  F24 ="病"  ), $AP24 =""),"病(事)假",  IF(  AND(  OR(  E24="x",E24="補"  ), OR(  F24 ="補"  ), $AP24 =""),"補休",  IF(  AND(  OR(  E24="x",E24="喪"  ), OR(  F24 ="喪"  ), $AP24 =""),"喪假",  IF(  AND(  OR(  E24="x",E24="婚",E24="產"  ), OR(  F24 ="婚",F24="產"  ), $AP24 =""),"婚(產)假",  IF(  AND(  OR(  E24="x",E24="公"  ), OR(  F24 ="公"  ), $AP24 =""),"公假",  IF(  AND(  OR(  E24="x",E24="補",E24="婚",E24="公",E24="病",E24="事",E24="x榮18-22"  ),OR(F24=""), $AP24 =""  ),"18收",  IF(  AND(  OR(  E24 ="榮14-18",E24 ="榮10-18",E24 ="榮06-18",E24 ="病14-18"  ),OR(  F24 ="x",F24="補",F24="婚",F24="公",F24="病",F24="事",F24="x"  ), $AP24 =""),"18放早走",  IF(  AND(  OR(  E24 =""),OR(  F24 ="x",F24="補",F24="婚",F24="公",F24="病",F24="事",F24="x榮*",F24="榮",F24="榮-22"  ), $AP24 =""),"18放",  IF(  AND(  OR(  E24="當日退伍"  ),OR(  F24="退伍",F24="退", F24=""  ), $AP24 =""),"當日退伍",  IF(AND(  OR(E24="退",E24="退伍" ), OR(F24="退",F24="退伍" ), $AP24 =""),"退伍","全日勤"  )  )  )  )  )  )  )  )  )  )  ),"")</f>
        <v>全日休</v>
      </c>
      <c r="F65" s="66" t="str">
        <f>IF(   (ROW(AR24)-1)&lt;=暫1!$B$2,           IF(  AND(  OR(  F24="x",F24="補"  ), OR(  G24 ="x",G24="補",G24="x榮18-22",G24="x公18-22",G24="x榮22-08"  ), $AP24 =""),"全日休",  IF(  AND(  OR(  F24="x",F24="病"  ), OR(  G24 ="病"  ), $AP24 =""),"病(事)假",  IF(  AND(  OR(  F24="x",F24="補"  ), OR(  G24 ="補"  ), $AP24 =""),"補休",  IF(  AND(  OR(  F24="x",F24="喪"  ), OR(  G24 ="喪"  ), $AP24 =""),"喪假",  IF(  AND(  OR(  F24="x",F24="婚",F24="產"  ), OR(  G24 ="婚",G24="產"  ), $AP24 =""),"婚(產)假",  IF(  AND(  OR(  F24="x",F24="公"  ), OR(  G24 ="公"  ), $AP24 =""),"公假",  IF(  AND(  OR(  F24="x",F24="補",F24="婚",F24="公",F24="病",F24="事",F24="x榮18-22"  ),OR(G24=""), $AP24 =""  ),"18收",  IF(  AND(  OR(  F24 ="榮14-18",F24 ="榮10-18",F24 ="榮06-18",F24 ="病14-18"  ),OR(  G24 ="x",G24="補",G24="婚",G24="公",G24="病",G24="事",G24="x"  ), $AP24 =""),"18放早走",  IF(  AND(  OR(  F24 =""),OR(  G24 ="x",G24="補",G24="婚",G24="公",G24="病",G24="事",G24="x榮*",G24="榮",G24="榮-22"  ), $AP24 =""),"18放",  IF(  AND(  OR(  F24="當日退伍"  ),OR(  G24="退伍",G24="退", G24=""  ), $AP24 =""),"當日退伍",  IF(AND(  OR(F24="退",F24="退伍" ), OR(G24="退",G24="退伍" ), $AP24 =""),"退伍","全日勤"  )  )  )  )  )  )  )  )  )  )  ),"")</f>
        <v>18收</v>
      </c>
      <c r="G65" s="66" t="str">
        <f>IF(   (ROW(AS24)-1)&lt;=暫1!$B$2,           IF(  AND(  OR(  G24="x",G24="補"  ), OR(  H24 ="x",H24="補",H24="x榮18-22",H24="x公18-22",H24="x榮22-08"  ), $AP24 =""),"全日休",  IF(  AND(  OR(  G24="x",G24="病"  ), OR(  H24 ="病"  ), $AP24 =""),"病(事)假",  IF(  AND(  OR(  G24="x",G24="補"  ), OR(  H24 ="補"  ), $AP24 =""),"補休",  IF(  AND(  OR(  G24="x",G24="喪"  ), OR(  H24 ="喪"  ), $AP24 =""),"喪假",  IF(  AND(  OR(  G24="x",G24="婚",G24="產"  ), OR(  H24 ="婚",H24="產"  ), $AP24 =""),"婚(產)假",  IF(  AND(  OR(  G24="x",G24="公"  ), OR(  H24 ="公"  ), $AP24 =""),"公假",  IF(  AND(  OR(  G24="x",G24="補",G24="婚",G24="公",G24="病",G24="事",G24="x榮18-22"  ),OR(H24=""), $AP24 =""  ),"18收",  IF(  AND(  OR(  G24 ="榮14-18",G24 ="榮10-18",G24 ="榮06-18",G24 ="病14-18"  ),OR(  H24 ="x",H24="補",H24="婚",H24="公",H24="病",H24="事",H24="x"  ), $AP24 =""),"18放早走",  IF(  AND(  OR(  G24 =""),OR(  H24 ="x",H24="補",H24="婚",H24="公",H24="病",H24="事",H24="x榮*",H24="榮",H24="榮-22"  ), $AP24 =""),"18放",  IF(  AND(  OR(  G24="當日退伍"  ),OR(  H24="退伍",H24="退", H24=""  ), $AP24 =""),"當日退伍",  IF(AND(  OR(G24="退",G24="退伍" ), OR(H24="退",H24="退伍" ), $AP24 =""),"退伍","全日勤"  )  )  )  )  )  )  )  )  )  )  ),"")</f>
        <v>全日勤</v>
      </c>
      <c r="H65" s="66" t="str">
        <f>IF(   (ROW(AT24)-1)&lt;=暫1!$B$2,           IF(  AND(  OR(  H24="x",H24="補"  ), OR(  I24 ="x",I24="補",I24="x榮18-22",I24="x公18-22",I24="x榮22-08"  ), $AP24 =""),"全日休",  IF(  AND(  OR(  H24="x",H24="病"  ), OR(  I24 ="病"  ), $AP24 =""),"病(事)假",  IF(  AND(  OR(  H24="x",H24="補"  ), OR(  I24 ="補"  ), $AP24 =""),"補休",  IF(  AND(  OR(  H24="x",H24="喪"  ), OR(  I24 ="喪"  ), $AP24 =""),"喪假",  IF(  AND(  OR(  H24="x",H24="婚",H24="產"  ), OR(  I24 ="婚",I24="產"  ), $AP24 =""),"婚(產)假",  IF(  AND(  OR(  H24="x",H24="公"  ), OR(  I24 ="公"  ), $AP24 =""),"公假",  IF(  AND(  OR(  H24="x",H24="補",H24="婚",H24="公",H24="病",H24="事",H24="x榮18-22"  ),OR(I24=""), $AP24 =""  ),"18收",  IF(  AND(  OR(  H24 ="榮14-18",H24 ="榮10-18",H24 ="榮06-18",H24 ="病14-18"  ),OR(  I24 ="x",I24="補",I24="婚",I24="公",I24="病",I24="事",I24="x"  ), $AP24 =""),"18放早走",  IF(  AND(  OR(  H24 =""),OR(  I24 ="x",I24="補",I24="婚",I24="公",I24="病",I24="事",I24="x榮*",I24="榮",I24="榮-22"  ), $AP24 =""),"18放",  IF(  AND(  OR(  H24="當日退伍"  ),OR(  I24="退伍",I24="退", I24=""  ), $AP24 =""),"當日退伍",  IF(AND(  OR(H24="退",H24="退伍" ), OR(I24="退",I24="退伍" ), $AP24 =""),"退伍","全日勤"  )  )  )  )  )  )  )  )  )  )  ),"")</f>
        <v>全日勤</v>
      </c>
      <c r="I65" s="66" t="str">
        <f>IF(   (ROW(AU24)-1)&lt;=暫1!$B$2,           IF(  AND(  OR(  I24="x",I24="補"  ), OR(  J24 ="x",J24="補",J24="x榮18-22",J24="x公18-22",J24="x榮22-08"  ), $AP24 =""),"全日休",  IF(  AND(  OR(  I24="x",I24="病"  ), OR(  J24 ="病"  ), $AP24 =""),"病(事)假",  IF(  AND(  OR(  I24="x",I24="補"  ), OR(  J24 ="補"  ), $AP24 =""),"補休",  IF(  AND(  OR(  I24="x",I24="喪"  ), OR(  J24 ="喪"  ), $AP24 =""),"喪假",  IF(  AND(  OR(  I24="x",I24="婚",I24="產"  ), OR(  J24 ="婚",J24="產"  ), $AP24 =""),"婚(產)假",  IF(  AND(  OR(  I24="x",I24="公"  ), OR(  J24 ="公"  ), $AP24 =""),"公假",  IF(  AND(  OR(  I24="x",I24="補",I24="婚",I24="公",I24="病",I24="事",I24="x榮18-22"  ),OR(J24=""), $AP24 =""  ),"18收",  IF(  AND(  OR(  I24 ="榮14-18",I24 ="榮10-18",I24 ="榮06-18",I24 ="病14-18"  ),OR(  J24 ="x",J24="補",J24="婚",J24="公",J24="病",J24="事",J24="x"  ), $AP24 =""),"18放早走",  IF(  AND(  OR(  I24 =""),OR(  J24 ="x",J24="補",J24="婚",J24="公",J24="病",J24="事",J24="x榮*",J24="榮",J24="榮-22"  ), $AP24 =""),"18放",  IF(  AND(  OR(  I24="當日退伍"  ),OR(  J24="退伍",J24="退", J24=""  ), $AP24 =""),"當日退伍",  IF(AND(  OR(I24="退",I24="退伍" ), OR(J24="退",J24="退伍" ), $AP24 =""),"退伍","全日勤"  )  )  )  )  )  )  )  )  )  )  ),"")</f>
        <v>18放</v>
      </c>
      <c r="J65" s="66" t="str">
        <f>IF(   (ROW(AV24)-1)&lt;=暫1!$B$2,           IF(  AND(  OR(  J24="x",J24="補"  ), OR(  K24 ="x",K24="補",K24="x榮18-22",K24="x公18-22",K24="x榮22-08"  ), $AP24 =""),"全日休",  IF(  AND(  OR(  J24="x",J24="病"  ), OR(  K24 ="病"  ), $AP24 =""),"病(事)假",  IF(  AND(  OR(  J24="x",J24="補"  ), OR(  K24 ="補"  ), $AP24 =""),"補休",  IF(  AND(  OR(  J24="x",J24="喪"  ), OR(  K24 ="喪"  ), $AP24 =""),"喪假",  IF(  AND(  OR(  J24="x",J24="婚",J24="產"  ), OR(  K24 ="婚",K24="產"  ), $AP24 =""),"婚(產)假",  IF(  AND(  OR(  J24="x",J24="公"  ), OR(  K24 ="公"  ), $AP24 =""),"公假",  IF(  AND(  OR(  J24="x",J24="補",J24="婚",J24="公",J24="病",J24="事",J24="x榮18-22"  ),OR(K24=""), $AP24 =""  ),"18收",  IF(  AND(  OR(  J24 ="榮14-18",J24 ="榮10-18",J24 ="榮06-18",J24 ="病14-18"  ),OR(  K24 ="x",K24="補",K24="婚",K24="公",K24="病",K24="事",K24="x"  ), $AP24 =""),"18放早走",  IF(  AND(  OR(  J24 =""),OR(  K24 ="x",K24="補",K24="婚",K24="公",K24="病",K24="事",K24="x榮*",K24="榮",K24="榮-22"  ), $AP24 =""),"18放",  IF(  AND(  OR(  J24="當日退伍"  ),OR(  K24="退伍",K24="退", K24=""  ), $AP24 =""),"當日退伍",  IF(AND(  OR(J24="退",J24="退伍" ), OR(K24="退",K24="退伍" ), $AP24 =""),"退伍","全日勤"  )  )  )  )  )  )  )  )  )  )  ),"")</f>
        <v>全日休</v>
      </c>
      <c r="K65" s="66" t="str">
        <f>IF(   (ROW(AW24)-1)&lt;=暫1!$B$2,           IF(  AND(  OR(  K24="x",K24="補"  ), OR(  L24 ="x",L24="補",L24="x榮18-22",L24="x公18-22",L24="x榮22-08"  ), $AP24 =""),"全日休",  IF(  AND(  OR(  K24="x",K24="病"  ), OR(  L24 ="病"  ), $AP24 =""),"病(事)假",  IF(  AND(  OR(  K24="x",K24="補"  ), OR(  L24 ="補"  ), $AP24 =""),"補休",  IF(  AND(  OR(  K24="x",K24="喪"  ), OR(  L24 ="喪"  ), $AP24 =""),"喪假",  IF(  AND(  OR(  K24="x",K24="婚",K24="產"  ), OR(  L24 ="婚",L24="產"  ), $AP24 =""),"婚(產)假",  IF(  AND(  OR(  K24="x",K24="公"  ), OR(  L24 ="公"  ), $AP24 =""),"公假",  IF(  AND(  OR(  K24="x",K24="補",K24="婚",K24="公",K24="病",K24="事",K24="x榮18-22"  ),OR(L24=""), $AP24 =""  ),"18收",  IF(  AND(  OR(  K24 ="榮14-18",K24 ="榮10-18",K24 ="榮06-18",K24 ="病14-18"  ),OR(  L24 ="x",L24="補",L24="婚",L24="公",L24="病",L24="事",L24="x"  ), $AP24 =""),"18放早走",  IF(  AND(  OR(  K24 =""),OR(  L24 ="x",L24="補",L24="婚",L24="公",L24="病",L24="事",L24="x榮*",L24="榮",L24="榮-22"  ), $AP24 =""),"18放",  IF(  AND(  OR(  K24="當日退伍"  ),OR(  L24="退伍",L24="退", L24=""  ), $AP24 =""),"當日退伍",  IF(AND(  OR(K24="退",K24="退伍" ), OR(L24="退",L24="退伍" ), $AP24 =""),"退伍","全日勤"  )  )  )  )  )  )  )  )  )  )  ),"")</f>
        <v>全日休</v>
      </c>
      <c r="L65" s="66" t="str">
        <f>IF(   (ROW(AX24)-1)&lt;=暫1!$B$2,           IF(  AND(  OR(  L24="x",L24="補"  ), OR(  M24 ="x",M24="補",M24="x榮18-22",M24="x公18-22",M24="x榮22-08"  ), $AP24 =""),"全日休",  IF(  AND(  OR(  L24="x",L24="病"  ), OR(  M24 ="病"  ), $AP24 =""),"病(事)假",  IF(  AND(  OR(  L24="x",L24="補"  ), OR(  M24 ="補"  ), $AP24 =""),"補休",  IF(  AND(  OR(  L24="x",L24="喪"  ), OR(  M24 ="喪"  ), $AP24 =""),"喪假",  IF(  AND(  OR(  L24="x",L24="婚",L24="產"  ), OR(  M24 ="婚",M24="產"  ), $AP24 =""),"婚(產)假",  IF(  AND(  OR(  L24="x",L24="公"  ), OR(  M24 ="公"  ), $AP24 =""),"公假",  IF(  AND(  OR(  L24="x",L24="補",L24="婚",L24="公",L24="病",L24="事",L24="x榮18-22"  ),OR(M24=""), $AP24 =""  ),"18收",  IF(  AND(  OR(  L24 ="榮14-18",L24 ="榮10-18",L24 ="榮06-18",L24 ="病14-18"  ),OR(  M24 ="x",M24="補",M24="婚",M24="公",M24="病",M24="事",M24="x"  ), $AP24 =""),"18放早走",  IF(  AND(  OR(  L24 =""),OR(  M24 ="x",M24="補",M24="婚",M24="公",M24="病",M24="事",M24="x榮*",M24="榮",M24="榮-22"  ), $AP24 =""),"18放",  IF(  AND(  OR(  L24="當日退伍"  ),OR(  M24="退伍",M24="退", M24=""  ), $AP24 =""),"當日退伍",  IF(AND(  OR(L24="退",L24="退伍" ), OR(M24="退",M24="退伍" ), $AP24 =""),"退伍","全日勤"  )  )  )  )  )  )  )  )  )  )  ),"")</f>
        <v>18收</v>
      </c>
      <c r="M65" s="66" t="str">
        <f>IF(   (ROW(AY24)-1)&lt;=暫1!$B$2,           IF(  AND(  OR(  M24="x",M24="補"  ), OR(  N24 ="x",N24="補",N24="x榮18-22",N24="x公18-22",N24="x榮22-08"  ), $AP24 =""),"全日休",  IF(  AND(  OR(  M24="x",M24="病"  ), OR(  N24 ="病"  ), $AP24 =""),"病(事)假",  IF(  AND(  OR(  M24="x",M24="補"  ), OR(  N24 ="補"  ), $AP24 =""),"補休",  IF(  AND(  OR(  M24="x",M24="喪"  ), OR(  N24 ="喪"  ), $AP24 =""),"喪假",  IF(  AND(  OR(  M24="x",M24="婚",M24="產"  ), OR(  N24 ="婚",N24="產"  ), $AP24 =""),"婚(產)假",  IF(  AND(  OR(  M24="x",M24="公"  ), OR(  N24 ="公"  ), $AP24 =""),"公假",  IF(  AND(  OR(  M24="x",M24="補",M24="婚",M24="公",M24="病",M24="事",M24="x榮18-22"  ),OR(N24=""), $AP24 =""  ),"18收",  IF(  AND(  OR(  M24 ="榮14-18",M24 ="榮10-18",M24 ="榮06-18",M24 ="病14-18"  ),OR(  N24 ="x",N24="補",N24="婚",N24="公",N24="病",N24="事",N24="x"  ), $AP24 =""),"18放早走",  IF(  AND(  OR(  M24 =""),OR(  N24 ="x",N24="補",N24="婚",N24="公",N24="病",N24="事",N24="x榮*",N24="榮",N24="榮-22"  ), $AP24 =""),"18放",  IF(  AND(  OR(  M24="當日退伍"  ),OR(  N24="退伍",N24="退", N24=""  ), $AP24 =""),"當日退伍",  IF(AND(  OR(M24="退",M24="退伍" ), OR(N24="退",N24="退伍" ), $AP24 =""),"退伍","全日勤"  )  )  )  )  )  )  )  )  )  )  ),"")</f>
        <v>全日勤</v>
      </c>
      <c r="N65" s="66" t="str">
        <f>IF(   (ROW(AZ24)-1)&lt;=暫1!$B$2,           IF(  AND(  OR(  N24="x",N24="補"  ), OR(  O24 ="x",O24="補",O24="x榮18-22",O24="x公18-22",O24="x榮22-08"  ), $AP24 =""),"全日休",  IF(  AND(  OR(  N24="x",N24="病"  ), OR(  O24 ="病"  ), $AP24 =""),"病(事)假",  IF(  AND(  OR(  N24="x",N24="補"  ), OR(  O24 ="補"  ), $AP24 =""),"補休",  IF(  AND(  OR(  N24="x",N24="喪"  ), OR(  O24 ="喪"  ), $AP24 =""),"喪假",  IF(  AND(  OR(  N24="x",N24="婚",N24="產"  ), OR(  O24 ="婚",O24="產"  ), $AP24 =""),"婚(產)假",  IF(  AND(  OR(  N24="x",N24="公"  ), OR(  O24 ="公"  ), $AP24 =""),"公假",  IF(  AND(  OR(  N24="x",N24="補",N24="婚",N24="公",N24="病",N24="事",N24="x榮18-22"  ),OR(O24=""), $AP24 =""  ),"18收",  IF(  AND(  OR(  N24 ="榮14-18",N24 ="榮10-18",N24 ="榮06-18",N24 ="病14-18"  ),OR(  O24 ="x",O24="補",O24="婚",O24="公",O24="病",O24="事",O24="x"  ), $AP24 =""),"18放早走",  IF(  AND(  OR(  N24 =""),OR(  O24 ="x",O24="補",O24="婚",O24="公",O24="病",O24="事",O24="x榮*",O24="榮",O24="榮-22"  ), $AP24 =""),"18放",  IF(  AND(  OR(  N24="當日退伍"  ),OR(  O24="退伍",O24="退", O24=""  ), $AP24 =""),"當日退伍",  IF(AND(  OR(N24="退",N24="退伍" ), OR(O24="退",O24="退伍" ), $AP24 =""),"退伍","全日勤"  )  )  )  )  )  )  )  )  )  )  ),"")</f>
        <v>全日勤</v>
      </c>
      <c r="O65" s="66" t="str">
        <f>IF(   (ROW(BA24)-1)&lt;=暫1!$B$2,           IF(  AND(  OR(  O24="x",O24="補"  ), OR(  P24 ="x",P24="補",P24="x榮18-22",P24="x公18-22",P24="x榮22-08"  ), $AP24 =""),"全日休",  IF(  AND(  OR(  O24="x",O24="病"  ), OR(  P24 ="病"  ), $AP24 =""),"病(事)假",  IF(  AND(  OR(  O24="x",O24="補"  ), OR(  P24 ="補"  ), $AP24 =""),"補休",  IF(  AND(  OR(  O24="x",O24="喪"  ), OR(  P24 ="喪"  ), $AP24 =""),"喪假",  IF(  AND(  OR(  O24="x",O24="婚",O24="產"  ), OR(  P24 ="婚",P24="產"  ), $AP24 =""),"婚(產)假",  IF(  AND(  OR(  O24="x",O24="公"  ), OR(  P24 ="公"  ), $AP24 =""),"公假",  IF(  AND(  OR(  O24="x",O24="補",O24="婚",O24="公",O24="病",O24="事",O24="x榮18-22"  ),OR(P24=""), $AP24 =""  ),"18收",  IF(  AND(  OR(  O24 ="榮14-18",O24 ="榮10-18",O24 ="榮06-18",O24 ="病14-18"  ),OR(  P24 ="x",P24="補",P24="婚",P24="公",P24="病",P24="事",P24="x"  ), $AP24 =""),"18放早走",  IF(  AND(  OR(  O24 =""),OR(  P24 ="x",P24="補",P24="婚",P24="公",P24="病",P24="事",P24="x榮*",P24="榮",P24="榮-22"  ), $AP24 =""),"18放",  IF(  AND(  OR(  O24="當日退伍"  ),OR(  P24="退伍",P24="退", P24=""  ), $AP24 =""),"當日退伍",  IF(AND(  OR(O24="退",O24="退伍" ), OR(P24="退",P24="退伍" ), $AP24 =""),"退伍","全日勤"  )  )  )  )  )  )  )  )  )  )  ),"")</f>
        <v>全日勤</v>
      </c>
      <c r="P65" s="66" t="str">
        <f>IF(   (ROW(BB24)-1)&lt;=暫1!$B$2,           IF(  AND(  OR(  P24="x",P24="補"  ), OR(  Q24 ="x",Q24="補",Q24="x榮18-22",Q24="x公18-22",Q24="x榮22-08"  ), $AP24 =""),"全日休",  IF(  AND(  OR(  P24="x",P24="病"  ), OR(  Q24 ="病"  ), $AP24 =""),"病(事)假",  IF(  AND(  OR(  P24="x",P24="補"  ), OR(  Q24 ="補"  ), $AP24 =""),"補休",  IF(  AND(  OR(  P24="x",P24="喪"  ), OR(  Q24 ="喪"  ), $AP24 =""),"喪假",  IF(  AND(  OR(  P24="x",P24="婚",P24="產"  ), OR(  Q24 ="婚",Q24="產"  ), $AP24 =""),"婚(產)假",  IF(  AND(  OR(  P24="x",P24="公"  ), OR(  Q24 ="公"  ), $AP24 =""),"公假",  IF(  AND(  OR(  P24="x",P24="補",P24="婚",P24="公",P24="病",P24="事",P24="x榮18-22"  ),OR(Q24=""), $AP24 =""  ),"18收",  IF(  AND(  OR(  P24 ="榮14-18",P24 ="榮10-18",P24 ="榮06-18",P24 ="病14-18"  ),OR(  Q24 ="x",Q24="補",Q24="婚",Q24="公",Q24="病",Q24="事",Q24="x"  ), $AP24 =""),"18放早走",  IF(  AND(  OR(  P24 =""),OR(  Q24 ="x",Q24="補",Q24="婚",Q24="公",Q24="病",Q24="事",Q24="x榮*",Q24="榮",Q24="榮-22"  ), $AP24 =""),"18放",  IF(  AND(  OR(  P24="當日退伍"  ),OR(  Q24="退伍",Q24="退", Q24=""  ), $AP24 =""),"當日退伍",  IF(AND(  OR(P24="退",P24="退伍" ), OR(Q24="退",Q24="退伍" ), $AP24 =""),"退伍","全日勤"  )  )  )  )  )  )  )  )  )  )  ),"")</f>
        <v>全日勤</v>
      </c>
      <c r="Q65" s="66" t="str">
        <f>IF(   (ROW(BC24)-1)&lt;=暫1!$B$2,           IF(  AND(  OR(  Q24="x",Q24="補"  ), OR(  R24 ="x",R24="補",R24="x榮18-22",R24="x公18-22",R24="x榮22-08"  ), $AP24 =""),"全日休",  IF(  AND(  OR(  Q24="x",Q24="病"  ), OR(  R24 ="病"  ), $AP24 =""),"病(事)假",  IF(  AND(  OR(  Q24="x",Q24="補"  ), OR(  R24 ="補"  ), $AP24 =""),"補休",  IF(  AND(  OR(  Q24="x",Q24="喪"  ), OR(  R24 ="喪"  ), $AP24 =""),"喪假",  IF(  AND(  OR(  Q24="x",Q24="婚",Q24="產"  ), OR(  R24 ="婚",R24="產"  ), $AP24 =""),"婚(產)假",  IF(  AND(  OR(  Q24="x",Q24="公"  ), OR(  R24 ="公"  ), $AP24 =""),"公假",  IF(  AND(  OR(  Q24="x",Q24="補",Q24="婚",Q24="公",Q24="病",Q24="事",Q24="x榮18-22"  ),OR(R24=""), $AP24 =""  ),"18收",  IF(  AND(  OR(  Q24 ="榮14-18",Q24 ="榮10-18",Q24 ="榮06-18",Q24 ="病14-18"  ),OR(  R24 ="x",R24="補",R24="婚",R24="公",R24="病",R24="事",R24="x"  ), $AP24 =""),"18放早走",  IF(  AND(  OR(  Q24 =""),OR(  R24 ="x",R24="補",R24="婚",R24="公",R24="病",R24="事",R24="x榮*",R24="榮",R24="榮-22"  ), $AP24 =""),"18放",  IF(  AND(  OR(  Q24="當日退伍"  ),OR(  R24="退伍",R24="退", R24=""  ), $AP24 =""),"當日退伍",  IF(AND(  OR(Q24="退",Q24="退伍" ), OR(R24="退",R24="退伍" ), $AP24 =""),"退伍","全日勤"  )  )  )  )  )  )  )  )  )  )  ),"")</f>
        <v>18放</v>
      </c>
      <c r="R65" s="66" t="str">
        <f>IF(   (ROW(BD24)-1)&lt;=暫1!$B$2,           IF(  AND(  OR(  R24="x",R24="補"  ), OR(  S24 ="x",S24="補",S24="x榮18-22",S24="x公18-22",S24="x榮22-08"  ), $AP24 =""),"全日休",  IF(  AND(  OR(  R24="x",R24="病"  ), OR(  S24 ="病"  ), $AP24 =""),"病(事)假",  IF(  AND(  OR(  R24="x",R24="補"  ), OR(  S24 ="補"  ), $AP24 =""),"補休",  IF(  AND(  OR(  R24="x",R24="喪"  ), OR(  S24 ="喪"  ), $AP24 =""),"喪假",  IF(  AND(  OR(  R24="x",R24="婚",R24="產"  ), OR(  S24 ="婚",S24="產"  ), $AP24 =""),"婚(產)假",  IF(  AND(  OR(  R24="x",R24="公"  ), OR(  S24 ="公"  ), $AP24 =""),"公假",  IF(  AND(  OR(  R24="x",R24="補",R24="婚",R24="公",R24="病",R24="事",R24="x榮18-22"  ),OR(S24=""), $AP24 =""  ),"18收",  IF(  AND(  OR(  R24 ="榮14-18",R24 ="榮10-18",R24 ="榮06-18",R24 ="病14-18"  ),OR(  S24 ="x",S24="補",S24="婚",S24="公",S24="病",S24="事",S24="x"  ), $AP24 =""),"18放早走",  IF(  AND(  OR(  R24 =""),OR(  S24 ="x",S24="補",S24="婚",S24="公",S24="病",S24="事",S24="x榮*",S24="榮",S24="榮-22"  ), $AP24 =""),"18放",  IF(  AND(  OR(  R24="當日退伍"  ),OR(  S24="退伍",S24="退", S24=""  ), $AP24 =""),"當日退伍",  IF(AND(  OR(R24="退",R24="退伍" ), OR(S24="退",S24="退伍" ), $AP24 =""),"退伍","全日勤"  )  )  )  )  )  )  )  )  )  )  ),"")</f>
        <v>全日休</v>
      </c>
      <c r="S65" s="66" t="str">
        <f>IF(   (ROW(BE24)-1)&lt;=暫1!$B$2,           IF(  AND(  OR(  S24="x",S24="補"  ), OR(  T24 ="x",T24="補",T24="x榮18-22",T24="x公18-22",T24="x榮22-08"  ), $AP24 =""),"全日休",  IF(  AND(  OR(  S24="x",S24="病"  ), OR(  T24 ="病"  ), $AP24 =""),"病(事)假",  IF(  AND(  OR(  S24="x",S24="補"  ), OR(  T24 ="補"  ), $AP24 =""),"補休",  IF(  AND(  OR(  S24="x",S24="喪"  ), OR(  T24 ="喪"  ), $AP24 =""),"喪假",  IF(  AND(  OR(  S24="x",S24="婚",S24="產"  ), OR(  T24 ="婚",T24="產"  ), $AP24 =""),"婚(產)假",  IF(  AND(  OR(  S24="x",S24="公"  ), OR(  T24 ="公"  ), $AP24 =""),"公假",  IF(  AND(  OR(  S24="x",S24="補",S24="婚",S24="公",S24="病",S24="事",S24="x榮18-22"  ),OR(T24=""), $AP24 =""  ),"18收",  IF(  AND(  OR(  S24 ="榮14-18",S24 ="榮10-18",S24 ="榮06-18",S24 ="病14-18"  ),OR(  T24 ="x",T24="補",T24="婚",T24="公",T24="病",T24="事",T24="x"  ), $AP24 =""),"18放早走",  IF(  AND(  OR(  S24 =""),OR(  T24 ="x",T24="補",T24="婚",T24="公",T24="病",T24="事",T24="x榮*",T24="榮",T24="榮-22"  ), $AP24 =""),"18放",  IF(  AND(  OR(  S24="當日退伍"  ),OR(  T24="退伍",T24="退", T24=""  ), $AP24 =""),"當日退伍",  IF(AND(  OR(S24="退",S24="退伍" ), OR(T24="退",T24="退伍" ), $AP24 =""),"退伍","全日勤"  )  )  )  )  )  )  )  )  )  )  ),"")</f>
        <v>18收</v>
      </c>
      <c r="T65" s="66" t="str">
        <f>IF(   (ROW(BF24)-1)&lt;=暫1!$B$2,           IF(  AND(  OR(  T24="x",T24="補"  ), OR(  U24 ="x",U24="補",U24="x榮18-22",U24="x公18-22",U24="x榮22-08"  ), $AP24 =""),"全日休",  IF(  AND(  OR(  T24="x",T24="病"  ), OR(  U24 ="病"  ), $AP24 =""),"病(事)假",  IF(  AND(  OR(  T24="x",T24="補"  ), OR(  U24 ="補"  ), $AP24 =""),"補休",  IF(  AND(  OR(  T24="x",T24="喪"  ), OR(  U24 ="喪"  ), $AP24 =""),"喪假",  IF(  AND(  OR(  T24="x",T24="婚",T24="產"  ), OR(  U24 ="婚",U24="產"  ), $AP24 =""),"婚(產)假",  IF(  AND(  OR(  T24="x",T24="公"  ), OR(  U24 ="公"  ), $AP24 =""),"公假",  IF(  AND(  OR(  T24="x",T24="補",T24="婚",T24="公",T24="病",T24="事",T24="x榮18-22"  ),OR(U24=""), $AP24 =""  ),"18收",  IF(  AND(  OR(  T24 ="榮14-18",T24 ="榮10-18",T24 ="榮06-18",T24 ="病14-18"  ),OR(  U24 ="x",U24="補",U24="婚",U24="公",U24="病",U24="事",U24="x"  ), $AP24 =""),"18放早走",  IF(  AND(  OR(  T24 =""),OR(  U24 ="x",U24="補",U24="婚",U24="公",U24="病",U24="事",U24="x榮*",U24="榮",U24="榮-22"  ), $AP24 =""),"18放",  IF(  AND(  OR(  T24="當日退伍"  ),OR(  U24="退伍",U24="退", U24=""  ), $AP24 =""),"當日退伍",  IF(AND(  OR(T24="退",T24="退伍" ), OR(U24="退",U24="退伍" ), $AP24 =""),"退伍","全日勤"  )  )  )  )  )  )  )  )  )  )  ),"")</f>
        <v>全日勤</v>
      </c>
      <c r="U65" s="66" t="str">
        <f>IF(   (ROW(BG24)-1)&lt;=暫1!$B$2,           IF(  AND(  OR(  U24="x",U24="補"  ), OR(  V24 ="x",V24="補",V24="x榮18-22",V24="x公18-22",V24="x榮22-08"  ), $AP24 =""),"全日休",  IF(  AND(  OR(  U24="x",U24="病"  ), OR(  V24 ="病"  ), $AP24 =""),"病(事)假",  IF(  AND(  OR(  U24="x",U24="補"  ), OR(  V24 ="補"  ), $AP24 =""),"補休",  IF(  AND(  OR(  U24="x",U24="喪"  ), OR(  V24 ="喪"  ), $AP24 =""),"喪假",  IF(  AND(  OR(  U24="x",U24="婚",U24="產"  ), OR(  V24 ="婚",V24="產"  ), $AP24 =""),"婚(產)假",  IF(  AND(  OR(  U24="x",U24="公"  ), OR(  V24 ="公"  ), $AP24 =""),"公假",  IF(  AND(  OR(  U24="x",U24="補",U24="婚",U24="公",U24="病",U24="事",U24="x榮18-22"  ),OR(V24=""), $AP24 =""  ),"18收",  IF(  AND(  OR(  U24 ="榮14-18",U24 ="榮10-18",U24 ="榮06-18",U24 ="病14-18"  ),OR(  V24 ="x",V24="補",V24="婚",V24="公",V24="病",V24="事",V24="x"  ), $AP24 =""),"18放早走",  IF(  AND(  OR(  U24 =""),OR(  V24 ="x",V24="補",V24="婚",V24="公",V24="病",V24="事",V24="x榮*",V24="榮",V24="榮-22"  ), $AP24 =""),"18放",  IF(  AND(  OR(  U24="當日退伍"  ),OR(  V24="退伍",V24="退", V24=""  ), $AP24 =""),"當日退伍",  IF(AND(  OR(U24="退",U24="退伍" ), OR(V24="退",V24="退伍" ), $AP24 =""),"退伍","全日勤"  )  )  )  )  )  )  )  )  )  )  ),"")</f>
        <v>全日勤</v>
      </c>
      <c r="V65" s="66" t="str">
        <f>IF(   (ROW(BH24)-1)&lt;=暫1!$B$2,           IF(  AND(  OR(  V24="x",V24="補"  ), OR(  W24 ="x",W24="補",W24="x榮18-22",W24="x公18-22",W24="x榮22-08"  ), $AP24 =""),"全日休",  IF(  AND(  OR(  V24="x",V24="病"  ), OR(  W24 ="病"  ), $AP24 =""),"病(事)假",  IF(  AND(  OR(  V24="x",V24="補"  ), OR(  W24 ="補"  ), $AP24 =""),"補休",  IF(  AND(  OR(  V24="x",V24="喪"  ), OR(  W24 ="喪"  ), $AP24 =""),"喪假",  IF(  AND(  OR(  V24="x",V24="婚",V24="產"  ), OR(  W24 ="婚",W24="產"  ), $AP24 =""),"婚(產)假",  IF(  AND(  OR(  V24="x",V24="公"  ), OR(  W24 ="公"  ), $AP24 =""),"公假",  IF(  AND(  OR(  V24="x",V24="補",V24="婚",V24="公",V24="病",V24="事",V24="x榮18-22"  ),OR(W24=""), $AP24 =""  ),"18收",  IF(  AND(  OR(  V24 ="榮14-18",V24 ="榮10-18",V24 ="榮06-18",V24 ="病14-18"  ),OR(  W24 ="x",W24="補",W24="婚",W24="公",W24="病",W24="事",W24="x"  ), $AP24 =""),"18放早走",  IF(  AND(  OR(  V24 =""),OR(  W24 ="x",W24="補",W24="婚",W24="公",W24="病",W24="事",W24="x榮*",W24="榮",W24="榮-22"  ), $AP24 =""),"18放",  IF(  AND(  OR(  V24="當日退伍"  ),OR(  W24="退伍",W24="退", W24=""  ), $AP24 =""),"當日退伍",  IF(AND(  OR(V24="退",V24="退伍" ), OR(W24="退",W24="退伍" ), $AP24 =""),"退伍","全日勤"  )  )  )  )  )  )  )  )  )  )  ),"")</f>
        <v>全日勤</v>
      </c>
      <c r="W65" s="66" t="str">
        <f>IF(   (ROW(BI24)-1)&lt;=暫1!$B$2,           IF(  AND(  OR(  W24="x",W24="補"  ), OR(  X24 ="x",X24="補",X24="x榮18-22",X24="x公18-22",X24="x榮22-08"  ), $AP24 =""),"全日休",  IF(  AND(  OR(  W24="x",W24="病"  ), OR(  X24 ="病"  ), $AP24 =""),"病(事)假",  IF(  AND(  OR(  W24="x",W24="補"  ), OR(  X24 ="補"  ), $AP24 =""),"補休",  IF(  AND(  OR(  W24="x",W24="喪"  ), OR(  X24 ="喪"  ), $AP24 =""),"喪假",  IF(  AND(  OR(  W24="x",W24="婚",W24="產"  ), OR(  X24 ="婚",X24="產"  ), $AP24 =""),"婚(產)假",  IF(  AND(  OR(  W24="x",W24="公"  ), OR(  X24 ="公"  ), $AP24 =""),"公假",  IF(  AND(  OR(  W24="x",W24="補",W24="婚",W24="公",W24="病",W24="事",W24="x榮18-22"  ),OR(X24=""), $AP24 =""  ),"18收",  IF(  AND(  OR(  W24 ="榮14-18",W24 ="榮10-18",W24 ="榮06-18",W24 ="病14-18"  ),OR(  X24 ="x",X24="補",X24="婚",X24="公",X24="病",X24="事",X24="x"  ), $AP24 =""),"18放早走",  IF(  AND(  OR(  W24 =""),OR(  X24 ="x",X24="補",X24="婚",X24="公",X24="病",X24="事",X24="x榮*",X24="榮",X24="榮-22"  ), $AP24 =""),"18放",  IF(  AND(  OR(  W24="當日退伍"  ),OR(  X24="退伍",X24="退", X24=""  ), $AP24 =""),"當日退伍",  IF(AND(  OR(W24="退",W24="退伍" ), OR(X24="退",X24="退伍" ), $AP24 =""),"退伍","全日勤"  )  )  )  )  )  )  )  )  )  )  ),"")</f>
        <v>全日勤</v>
      </c>
      <c r="X65" s="66" t="str">
        <f>IF(   (ROW(BJ24)-1)&lt;=暫1!$B$2,           IF(  AND(  OR(  X24="x",X24="補"  ), OR(  Y24 ="x",Y24="補",Y24="x榮18-22",Y24="x公18-22",Y24="x榮22-08"  ), $AP24 =""),"全日休",  IF(  AND(  OR(  X24="x",X24="病"  ), OR(  Y24 ="病"  ), $AP24 =""),"病(事)假",  IF(  AND(  OR(  X24="x",X24="補"  ), OR(  Y24 ="補"  ), $AP24 =""),"補休",  IF(  AND(  OR(  X24="x",X24="喪"  ), OR(  Y24 ="喪"  ), $AP24 =""),"喪假",  IF(  AND(  OR(  X24="x",X24="婚",X24="產"  ), OR(  Y24 ="婚",Y24="產"  ), $AP24 =""),"婚(產)假",  IF(  AND(  OR(  X24="x",X24="公"  ), OR(  Y24 ="公"  ), $AP24 =""),"公假",  IF(  AND(  OR(  X24="x",X24="補",X24="婚",X24="公",X24="病",X24="事",X24="x榮18-22"  ),OR(Y24=""), $AP24 =""  ),"18收",  IF(  AND(  OR(  X24 ="榮14-18",X24 ="榮10-18",X24 ="榮06-18",X24 ="病14-18"  ),OR(  Y24 ="x",Y24="補",Y24="婚",Y24="公",Y24="病",Y24="事",Y24="x"  ), $AP24 =""),"18放早走",  IF(  AND(  OR(  X24 =""),OR(  Y24 ="x",Y24="補",Y24="婚",Y24="公",Y24="病",Y24="事",Y24="x榮*",Y24="榮",Y24="榮-22"  ), $AP24 =""),"18放",  IF(  AND(  OR(  X24="當日退伍"  ),OR(  Y24="退伍",Y24="退", Y24=""  ), $AP24 =""),"當日退伍",  IF(AND(  OR(X24="退",X24="退伍" ), OR(Y24="退",Y24="退伍" ), $AP24 =""),"退伍","全日勤"  )  )  )  )  )  )  )  )  )  )  ),"")</f>
        <v>全日勤</v>
      </c>
      <c r="Y65" s="66" t="str">
        <f>IF(   (ROW(BK24)-1)&lt;=暫1!$B$2,           IF(  AND(  OR(  Y24="x",Y24="補"  ), OR(  Z24 ="x",Z24="補",Z24="x榮18-22",Z24="x公18-22",Z24="x榮22-08"  ), $AP24 =""),"全日休",  IF(  AND(  OR(  Y24="x",Y24="病"  ), OR(  Z24 ="病"  ), $AP24 =""),"病(事)假",  IF(  AND(  OR(  Y24="x",Y24="補"  ), OR(  Z24 ="補"  ), $AP24 =""),"補休",  IF(  AND(  OR(  Y24="x",Y24="喪"  ), OR(  Z24 ="喪"  ), $AP24 =""),"喪假",  IF(  AND(  OR(  Y24="x",Y24="婚",Y24="產"  ), OR(  Z24 ="婚",Z24="產"  ), $AP24 =""),"婚(產)假",  IF(  AND(  OR(  Y24="x",Y24="公"  ), OR(  Z24 ="公"  ), $AP24 =""),"公假",  IF(  AND(  OR(  Y24="x",Y24="補",Y24="婚",Y24="公",Y24="病",Y24="事",Y24="x榮18-22"  ),OR(Z24=""), $AP24 =""  ),"18收",  IF(  AND(  OR(  Y24 ="榮14-18",Y24 ="榮10-18",Y24 ="榮06-18",Y24 ="病14-18"  ),OR(  Z24 ="x",Z24="補",Z24="婚",Z24="公",Z24="病",Z24="事",Z24="x"  ), $AP24 =""),"18放早走",  IF(  AND(  OR(  Y24 =""),OR(  Z24 ="x",Z24="補",Z24="婚",Z24="公",Z24="病",Z24="事",Z24="x榮*",Z24="榮",Z24="榮-22"  ), $AP24 =""),"18放",  IF(  AND(  OR(  Y24="當日退伍"  ),OR(  Z24="退伍",Z24="退", Z24=""  ), $AP24 =""),"當日退伍",  IF(AND(  OR(Y24="退",Y24="退伍" ), OR(Z24="退",Z24="退伍" ), $AP24 =""),"退伍","全日勤"  )  )  )  )  )  )  )  )  )  )  ),"")</f>
        <v>全日勤</v>
      </c>
      <c r="Z65" s="66" t="str">
        <f>IF(   (ROW(BL24)-1)&lt;=暫1!$B$2,           IF(  AND(  OR(  Z24="x",Z24="補"  ), OR(  AA24 ="x",AA24="補",AA24="x榮18-22",AA24="x公18-22",AA24="x榮22-08"  ), $AP24 =""),"全日休",  IF(  AND(  OR(  Z24="x",Z24="病"  ), OR(  AA24 ="病"  ), $AP24 =""),"病(事)假",  IF(  AND(  OR(  Z24="x",Z24="補"  ), OR(  AA24 ="補"  ), $AP24 =""),"補休",  IF(  AND(  OR(  Z24="x",Z24="喪"  ), OR(  AA24 ="喪"  ), $AP24 =""),"喪假",  IF(  AND(  OR(  Z24="x",Z24="婚",Z24="產"  ), OR(  AA24 ="婚",AA24="產"  ), $AP24 =""),"婚(產)假",  IF(  AND(  OR(  Z24="x",Z24="公"  ), OR(  AA24 ="公"  ), $AP24 =""),"公假",  IF(  AND(  OR(  Z24="x",Z24="補",Z24="婚",Z24="公",Z24="病",Z24="事",Z24="x榮18-22"  ),OR(AA24=""), $AP24 =""  ),"18收",  IF(  AND(  OR(  Z24 ="榮14-18",Z24 ="榮10-18",Z24 ="榮06-18",Z24 ="病14-18"  ),OR(  AA24 ="x",AA24="補",AA24="婚",AA24="公",AA24="病",AA24="事",AA24="x"  ), $AP24 =""),"18放早走",  IF(  AND(  OR(  Z24 =""),OR(  AA24 ="x",AA24="補",AA24="婚",AA24="公",AA24="病",AA24="事",AA24="x榮*",AA24="榮",AA24="榮-22"  ), $AP24 =""),"18放",  IF(  AND(  OR(  Z24="當日退伍"  ),OR(  AA24="退伍",AA24="退", AA24=""  ), $AP24 =""),"當日退伍",  IF(AND(  OR(Z24="退",Z24="退伍" ), OR(AA24="退",AA24="退伍" ), $AP24 =""),"退伍","全日勤"  )  )  )  )  )  )  )  )  )  )  ),"")</f>
        <v>全日勤</v>
      </c>
      <c r="AA65" s="66" t="str">
        <f>IF(   (ROW(BM24)-1)&lt;=暫1!$B$2,           IF(  AND(  OR(  AA24="x",AA24="補"  ), OR(  AB24 ="x",AB24="補",AB24="x榮18-22",AB24="x公18-22",AB24="x榮22-08"  ), $AP24 =""),"全日休",  IF(  AND(  OR(  AA24="x",AA24="病"  ), OR(  AB24 ="病"  ), $AP24 =""),"病(事)假",  IF(  AND(  OR(  AA24="x",AA24="補"  ), OR(  AB24 ="補"  ), $AP24 =""),"補休",  IF(  AND(  OR(  AA24="x",AA24="喪"  ), OR(  AB24 ="喪"  ), $AP24 =""),"喪假",  IF(  AND(  OR(  AA24="x",AA24="婚",AA24="產"  ), OR(  AB24 ="婚",AB24="產"  ), $AP24 =""),"婚(產)假",  IF(  AND(  OR(  AA24="x",AA24="公"  ), OR(  AB24 ="公"  ), $AP24 =""),"公假",  IF(  AND(  OR(  AA24="x",AA24="補",AA24="婚",AA24="公",AA24="病",AA24="事",AA24="x榮18-22"  ),OR(AB24=""), $AP24 =""  ),"18收",  IF(  AND(  OR(  AA24 ="榮14-18",AA24 ="榮10-18",AA24 ="榮06-18",AA24 ="病14-18"  ),OR(  AB24 ="x",AB24="補",AB24="婚",AB24="公",AB24="病",AB24="事",AB24="x"  ), $AP24 =""),"18放早走",  IF(  AND(  OR(  AA24 =""),OR(  AB24 ="x",AB24="補",AB24="婚",AB24="公",AB24="病",AB24="事",AB24="x榮*",AB24="榮",AB24="榮-22"  ), $AP24 =""),"18放",  IF(  AND(  OR(  AA24="當日退伍"  ),OR(  AB24="退伍",AB24="退", AB24=""  ), $AP24 =""),"當日退伍",  IF(AND(  OR(AA24="退",AA24="退伍" ), OR(AB24="退",AB24="退伍" ), $AP24 =""),"退伍","全日勤"  )  )  )  )  )  )  )  )  )  )  ),"")</f>
        <v>全日勤</v>
      </c>
      <c r="AB65" s="66" t="str">
        <f>IF(   (ROW(BN24)-1)&lt;=暫1!$B$2,           IF(  AND(  OR(  AB24="x",AB24="補"  ), OR(  AC24 ="x",AC24="補",AC24="x榮18-22",AC24="x公18-22",AC24="x榮22-08"  ), $AP24 =""),"全日休",  IF(  AND(  OR(  AB24="x",AB24="病"  ), OR(  AC24 ="病"  ), $AP24 =""),"病(事)假",  IF(  AND(  OR(  AB24="x",AB24="補"  ), OR(  AC24 ="補"  ), $AP24 =""),"補休",  IF(  AND(  OR(  AB24="x",AB24="喪"  ), OR(  AC24 ="喪"  ), $AP24 =""),"喪假",  IF(  AND(  OR(  AB24="x",AB24="婚",AB24="產"  ), OR(  AC24 ="婚",AC24="產"  ), $AP24 =""),"婚(產)假",  IF(  AND(  OR(  AB24="x",AB24="公"  ), OR(  AC24 ="公"  ), $AP24 =""),"公假",  IF(  AND(  OR(  AB24="x",AB24="補",AB24="婚",AB24="公",AB24="病",AB24="事",AB24="x榮18-22"  ),OR(AC24=""), $AP24 =""  ),"18收",  IF(  AND(  OR(  AB24 ="榮14-18",AB24 ="榮10-18",AB24 ="榮06-18",AB24 ="病14-18"  ),OR(  AC24 ="x",AC24="補",AC24="婚",AC24="公",AC24="病",AC24="事",AC24="x"  ), $AP24 =""),"18放早走",  IF(  AND(  OR(  AB24 =""),OR(  AC24 ="x",AC24="補",AC24="婚",AC24="公",AC24="病",AC24="事",AC24="x榮*",AC24="榮",AC24="榮-22"  ), $AP24 =""),"18放",  IF(  AND(  OR(  AB24="當日退伍"  ),OR(  AC24="退伍",AC24="退", AC24=""  ), $AP24 =""),"當日退伍",  IF(AND(  OR(AB24="退",AB24="退伍" ), OR(AC24="退",AC24="退伍" ), $AP24 =""),"退伍","全日勤"  )  )  )  )  )  )  )  )  )  )  ),"")</f>
        <v>全日勤</v>
      </c>
      <c r="AC65" s="66" t="str">
        <f>IF(   (ROW(BO24)-1)&lt;=暫1!$B$2,           IF(  AND(  OR(  AC24="x",AC24="補"  ), OR(  AD24 ="x",AD24="補",AD24="x榮18-22",AD24="x公18-22",AD24="x榮22-08"  ), $AP24 =""),"全日休",  IF(  AND(  OR(  AC24="x",AC24="病"  ), OR(  AD24 ="病"  ), $AP24 =""),"病(事)假",  IF(  AND(  OR(  AC24="x",AC24="補"  ), OR(  AD24 ="補"  ), $AP24 =""),"補休",  IF(  AND(  OR(  AC24="x",AC24="喪"  ), OR(  AD24 ="喪"  ), $AP24 =""),"喪假",  IF(  AND(  OR(  AC24="x",AC24="婚",AC24="產"  ), OR(  AD24 ="婚",AD24="產"  ), $AP24 =""),"婚(產)假",  IF(  AND(  OR(  AC24="x",AC24="公"  ), OR(  AD24 ="公"  ), $AP24 =""),"公假",  IF(  AND(  OR(  AC24="x",AC24="補",AC24="婚",AC24="公",AC24="病",AC24="事",AC24="x榮18-22"  ),OR(AD24=""), $AP24 =""  ),"18收",  IF(  AND(  OR(  AC24 ="榮14-18",AC24 ="榮10-18",AC24 ="榮06-18",AC24 ="病14-18"  ),OR(  AD24 ="x",AD24="補",AD24="婚",AD24="公",AD24="病",AD24="事",AD24="x"  ), $AP24 =""),"18放早走",  IF(  AND(  OR(  AC24 =""),OR(  AD24 ="x",AD24="補",AD24="婚",AD24="公",AD24="病",AD24="事",AD24="x榮*",AD24="榮",AD24="榮-22"  ), $AP24 =""),"18放",  IF(  AND(  OR(  AC24="當日退伍"  ),OR(  AD24="退伍",AD24="退", AD24=""  ), $AP24 =""),"當日退伍",  IF(AND(  OR(AC24="退",AC24="退伍" ), OR(AD24="退",AD24="退伍" ), $AP24 =""),"退伍","全日勤"  )  )  )  )  )  )  )  )  )  )  ),"")</f>
        <v>全日勤</v>
      </c>
      <c r="AD65" s="66" t="str">
        <f>IF(   (ROW(BP24)-1)&lt;=暫1!$B$2,           IF(  AND(  OR(  AD24="x",AD24="補"  ), OR(  AE24 ="x",AE24="補",AE24="x榮18-22",AE24="x公18-22",AE24="x榮22-08"  ), $AP24 =""),"全日休",  IF(  AND(  OR(  AD24="x",AD24="病"  ), OR(  AE24 ="病"  ), $AP24 =""),"病(事)假",  IF(  AND(  OR(  AD24="x",AD24="補"  ), OR(  AE24 ="補"  ), $AP24 =""),"補休",  IF(  AND(  OR(  AD24="x",AD24="喪"  ), OR(  AE24 ="喪"  ), $AP24 =""),"喪假",  IF(  AND(  OR(  AD24="x",AD24="婚",AD24="產"  ), OR(  AE24 ="婚",AE24="產"  ), $AP24 =""),"婚(產)假",  IF(  AND(  OR(  AD24="x",AD24="公"  ), OR(  AE24 ="公"  ), $AP24 =""),"公假",  IF(  AND(  OR(  AD24="x",AD24="補",AD24="婚",AD24="公",AD24="病",AD24="事",AD24="x榮18-22"  ),OR(AE24=""), $AP24 =""  ),"18收",  IF(  AND(  OR(  AD24 ="榮14-18",AD24 ="榮10-18",AD24 ="榮06-18",AD24 ="病14-18"  ),OR(  AE24 ="x",AE24="補",AE24="婚",AE24="公",AE24="病",AE24="事",AE24="x"  ), $AP24 =""),"18放早走",  IF(  AND(  OR(  AD24 =""),OR(  AE24 ="x",AE24="補",AE24="婚",AE24="公",AE24="病",AE24="事",AE24="x榮*",AE24="榮",AE24="榮-22"  ), $AP24 =""),"18放",  IF(  AND(  OR(  AD24="當日退伍"  ),OR(  AE24="退伍",AE24="退", AE24=""  ), $AP24 =""),"當日退伍",  IF(AND(  OR(AD24="退",AD24="退伍" ), OR(AE24="退",AE24="退伍" ), $AP24 =""),"退伍","全日勤"  )  )  )  )  )  )  )  )  )  )  ),"")</f>
        <v>全日勤</v>
      </c>
      <c r="AE65" s="66" t="str">
        <f>IF(   (ROW(BQ24)-1)&lt;=暫1!$B$2,           IF(  AND(  OR(  AE24="x",AE24="補"  ), OR(  AF24 ="x",AF24="補",AF24="x榮18-22",AF24="x公18-22",AF24="x榮22-08"  ), $AP24 =""),"全日休",  IF(  AND(  OR(  AE24="x",AE24="病"  ), OR(  AF24 ="病"  ), $AP24 =""),"病(事)假",  IF(  AND(  OR(  AE24="x",AE24="補"  ), OR(  AF24 ="補"  ), $AP24 =""),"補休",  IF(  AND(  OR(  AE24="x",AE24="喪"  ), OR(  AF24 ="喪"  ), $AP24 =""),"喪假",  IF(  AND(  OR(  AE24="x",AE24="婚",AE24="產"  ), OR(  AF24 ="婚",AF24="產"  ), $AP24 =""),"婚(產)假",  IF(  AND(  OR(  AE24="x",AE24="公"  ), OR(  AF24 ="公"  ), $AP24 =""),"公假",  IF(  AND(  OR(  AE24="x",AE24="補",AE24="婚",AE24="公",AE24="病",AE24="事",AE24="x榮18-22"  ),OR(AF24=""), $AP24 =""  ),"18收",  IF(  AND(  OR(  AE24 ="榮14-18",AE24 ="榮10-18",AE24 ="榮06-18",AE24 ="病14-18"  ),OR(  AF24 ="x",AF24="補",AF24="婚",AF24="公",AF24="病",AF24="事",AF24="x"  ), $AP24 =""),"18放早走",  IF(  AND(  OR(  AE24 =""),OR(  AF24 ="x",AF24="補",AF24="婚",AF24="公",AF24="病",AF24="事",AF24="x榮*",AF24="榮",AF24="榮-22"  ), $AP24 =""),"18放",  IF(  AND(  OR(  AE24="當日退伍"  ),OR(  AF24="退伍",AF24="退", AF24=""  ), $AP24 =""),"當日退伍",  IF(AND(  OR(AE24="退",AE24="退伍" ), OR(AF24="退",AF24="退伍" ), $AP24 =""),"退伍","全日勤"  )  )  )  )  )  )  )  )  )  )  ),"")</f>
        <v>全日勤</v>
      </c>
      <c r="AF65" s="66" t="str">
        <f>IF(   (ROW(BR24)-1)&lt;=暫1!$B$2,           IF(  AND(  OR(  AF24="x",AF24="補"  ), OR(  AG24 ="x",AG24="補",AG24="x榮18-22",AG24="x公18-22",AG24="x榮22-08"  ), $AP24 =""),"全日休",  IF(  AND(  OR(  AF24="x",AF24="病"  ), OR(  AG24 ="病"  ), $AP24 =""),"病(事)假",  IF(  AND(  OR(  AF24="x",AF24="補"  ), OR(  AG24 ="補"  ), $AP24 =""),"補休",  IF(  AND(  OR(  AF24="x",AF24="喪"  ), OR(  AG24 ="喪"  ), $AP24 =""),"喪假",  IF(  AND(  OR(  AF24="x",AF24="婚",AF24="產"  ), OR(  AG24 ="婚",AG24="產"  ), $AP24 =""),"婚(產)假",  IF(  AND(  OR(  AF24="x",AF24="公"  ), OR(  AG24 ="公"  ), $AP24 =""),"公假",  IF(  AND(  OR(  AF24="x",AF24="補",AF24="婚",AF24="公",AF24="病",AF24="事",AF24="x榮18-22"  ),OR(AG24=""), $AP24 =""  ),"18收",  IF(  AND(  OR(  AF24 ="榮14-18",AF24 ="榮10-18",AF24 ="榮06-18",AF24 ="病14-18"  ),OR(  AG24 ="x",AG24="補",AG24="婚",AG24="公",AG24="病",AG24="事",AG24="x"  ), $AP24 =""),"18放早走",  IF(  AND(  OR(  AF24 =""),OR(  AG24 ="x",AG24="補",AG24="婚",AG24="公",AG24="病",AG24="事",AG24="x榮*",AG24="榮",AG24="榮-22"  ), $AP24 =""),"18放",  IF(  AND(  OR(  AF24="當日退伍"  ),OR(  AG24="退伍",AG24="退", AG24=""  ), $AP24 =""),"當日退伍",  IF(AND(  OR(AF24="退",AF24="退伍" ), OR(AG24="退",AG24="退伍" ), $AP24 =""),"退伍","全日勤"  )  )  )  )  )  )  )  )  )  )  ),"")</f>
        <v>全日勤</v>
      </c>
      <c r="AG65" s="66" t="str">
        <f>IF(   (ROW(BS24)-1)&lt;=暫1!$B$2,           IF(  AND(  OR(  AG24="x",AG24="補"  ), OR(  AH24 ="x",AH24="補",AH24="x榮18-22",AH24="x公18-22",AH24="x榮22-08"  ), $AP24 =""),"全日休",  IF(  AND(  OR(  AG24="x",AG24="病"  ), OR(  AH24 ="病"  ), $AP24 =""),"病(事)假",  IF(  AND(  OR(  AG24="x",AG24="補"  ), OR(  AH24 ="補"  ), $AP24 =""),"補休",  IF(  AND(  OR(  AG24="x",AG24="喪"  ), OR(  AH24 ="喪"  ), $AP24 =""),"喪假",  IF(  AND(  OR(  AG24="x",AG24="婚",AG24="產"  ), OR(  AH24 ="婚",AH24="產"  ), $AP24 =""),"婚(產)假",  IF(  AND(  OR(  AG24="x",AG24="公"  ), OR(  AH24 ="公"  ), $AP24 =""),"公假",  IF(  AND(  OR(  AG24="x",AG24="補",AG24="婚",AG24="公",AG24="病",AG24="事",AG24="x榮18-22"  ),OR(AH24=""), $AP24 =""  ),"18收",  IF(  AND(  OR(  AG24 ="榮14-18",AG24 ="榮10-18",AG24 ="榮06-18",AG24 ="病14-18"  ),OR(  AH24 ="x",AH24="補",AH24="婚",AH24="公",AH24="病",AH24="事",AH24="x"  ), $AP24 =""),"18放早走",  IF(  AND(  OR(  AG24 =""),OR(  AH24 ="x",AH24="補",AH24="婚",AH24="公",AH24="病",AH24="事",AH24="x榮*",AH24="榮",AH24="榮-22"  ), $AP24 =""),"18放",  IF(  AND(  OR(  AG24="當日退伍"  ),OR(  AH24="退伍",AH24="退", AH24=""  ), $AP24 =""),"當日退伍",  IF(AND(  OR(AG24="退",AG24="退伍" ), OR(AH24="退",AH24="退伍" ), $AP24 =""),"退伍","全日勤"  )  )  )  )  )  )  )  )  )  )  ),"")</f>
        <v>18收</v>
      </c>
      <c r="AH65" s="66" t="str">
        <f>IF(   (ROW(BT24)-1)&lt;=暫1!$B$2,           IF(  AND(  OR(  AH24="x",AH24="補"  ), OR(  AI24 ="x",AI24="補",AI24="x榮18-22",AI24="x公18-22",AI24="x榮22-08"  ), $AP24 =""),"全日休",  IF(  AND(  OR(  AH24="x",AH24="病"  ), OR(  AI24 ="病"  ), $AP24 =""),"病(事)假",  IF(  AND(  OR(  AH24="x",AH24="補"  ), OR(  AI24 ="補"  ), $AP24 =""),"補休",  IF(  AND(  OR(  AH24="x",AH24="喪"  ), OR(  AI24 ="喪"  ), $AP24 =""),"喪假",  IF(  AND(  OR(  AH24="x",AH24="婚",AH24="產"  ), OR(  AI24 ="婚",AI24="產"  ), $AP24 =""),"婚(產)假",  IF(  AND(  OR(  AH24="x",AH24="公"  ), OR(  AI24 ="公"  ), $AP24 =""),"公假",  IF(  AND(  OR(  AH24="x",AH24="補",AH24="婚",AH24="公",AH24="病",AH24="事",AH24="x榮18-22"  ),OR(AI24=""), $AP24 =""  ),"18收",  IF(  AND(  OR(  AH24 ="榮14-18",AH24 ="榮10-18",AH24 ="榮06-18",AH24 ="病14-18"  ),OR(  AI24 ="x",AI24="補",AI24="婚",AI24="公",AI24="病",AI24="事",AI24="x"  ), $AP24 =""),"18放早走",  IF(  AND(  OR(  AH24 =""),OR(  AI24 ="x",AI24="補",AI24="婚",AI24="公",AI24="病",AI24="事",AI24="x榮*",AI24="榮",AI24="榮-22"  ), $AP24 =""),"18放",  IF(  AND(  OR(  AH24="當日退伍"  ),OR(  AI24="退伍",AI24="退", AI24=""  ), $AP24 =""),"當日退伍",  IF(AND(  OR(AH24="退",AH24="退伍" ), OR(AI24="退",AI24="退伍" ), $AP24 =""),"退伍","全日勤"  )  )  )  )  )  )  )  )  )  )  ),"")</f>
        <v>全日勤</v>
      </c>
      <c r="AI65" s="66" t="str">
        <f>IF(   (ROW(BU24)-1)&lt;=暫1!$B$2,           IF(  AND(  OR(  AI24="x",AI24="補"  ), OR(  AJ24 ="x",AJ24="補",AJ24="x榮18-22",AJ24="x公18-22",AJ24="x榮22-08"  ), $AP24 =""),"全日休",  IF(  AND(  OR(  AI24="x",AI24="病"  ), OR(  AJ24 ="病"  ), $AP24 =""),"病(事)假",  IF(  AND(  OR(  AI24="x",AI24="補"  ), OR(  AJ24 ="補"  ), $AP24 =""),"補休",  IF(  AND(  OR(  AI24="x",AI24="喪"  ), OR(  AJ24 ="喪"  ), $AP24 =""),"喪假",  IF(  AND(  OR(  AI24="x",AI24="婚",AI24="產"  ), OR(  AJ24 ="婚",AJ24="產"  ), $AP24 =""),"婚(產)假",  IF(  AND(  OR(  AI24="x",AI24="公"  ), OR(  AJ24 ="公"  ), $AP24 =""),"公假",  IF(  AND(  OR(  AI24="x",AI24="補",AI24="婚",AI24="公",AI24="病",AI24="事",AI24="x榮18-22"  ),OR(AJ24=""), $AP24 =""  ),"18收",  IF(  AND(  OR(  AI24 ="榮14-18",AI24 ="榮10-18",AI24 ="榮06-18",AI24 ="病14-18"  ),OR(  AJ24 ="x",AJ24="補",AJ24="婚",AJ24="公",AJ24="病",AJ24="事",AJ24="x"  ), $AP24 =""),"18放早走",  IF(  AND(  OR(  AI24 =""),OR(  AJ24 ="x",AJ24="補",AJ24="婚",AJ24="公",AJ24="病",AJ24="事",AJ24="x榮*",AJ24="榮",AJ24="榮-22"  ), $AP24 =""),"18放",  IF(  AND(  OR(  AI24="當日退伍"  ),OR(  AJ24="退伍",AJ24="退", AJ24=""  ), $AP24 =""),"當日退伍",  IF(AND(  OR(AI24="退",AI24="退伍" ), OR(AJ24="退",AJ24="退伍" ), $AP24 =""),"退伍","全日勤"  )  )  )  )  )  )  )  )  )  )  ),"")</f>
        <v>全日勤</v>
      </c>
      <c r="AJ65" s="66" t="str">
        <f>IF(   (ROW(BV24)-1)&lt;=暫1!$B$2,           IF(  AND(  OR(  AJ24="x",AJ24="補"  ), OR(  AK24 ="x",AK24="補",AK24="x榮18-22",AK24="x公18-22",AK24="x榮22-08"  ), $AP24 =""),"全日休",  IF(  AND(  OR(  AJ24="x",AJ24="病"  ), OR(  AK24 ="病"  ), $AP24 =""),"病(事)假",  IF(  AND(  OR(  AJ24="x",AJ24="補"  ), OR(  AK24 ="補"  ), $AP24 =""),"補休",  IF(  AND(  OR(  AJ24="x",AJ24="喪"  ), OR(  AK24 ="喪"  ), $AP24 =""),"喪假",  IF(  AND(  OR(  AJ24="x",AJ24="婚",AJ24="產"  ), OR(  AK24 ="婚",AK24="產"  ), $AP24 =""),"婚(產)假",  IF(  AND(  OR(  AJ24="x",AJ24="公"  ), OR(  AK24 ="公"  ), $AP24 =""),"公假",  IF(  AND(  OR(  AJ24="x",AJ24="補",AJ24="婚",AJ24="公",AJ24="病",AJ24="事",AJ24="x榮18-22"  ),OR(AK24=""), $AP24 =""  ),"18收",  IF(  AND(  OR(  AJ24 ="榮14-18",AJ24 ="榮10-18",AJ24 ="榮06-18",AJ24 ="病14-18"  ),OR(  AK24 ="x",AK24="補",AK24="婚",AK24="公",AK24="病",AK24="事",AK24="x"  ), $AP24 =""),"18放早走",  IF(  AND(  OR(  AJ24 =""),OR(  AK24 ="x",AK24="補",AK24="婚",AK24="公",AK24="病",AK24="事",AK24="x榮*",AK24="榮",AK24="榮-22"  ), $AP24 =""),"18放",  IF(  AND(  OR(  AJ24="當日退伍"  ),OR(  AK24="退伍",AK24="退", AK24=""  ), $AP24 =""),"當日退伍",  IF(AND(  OR(AJ24="退",AJ24="退伍" ), OR(AK24="退",AK24="退伍" ), $AP24 =""),"退伍","全日勤"  )  )  )  )  )  )  )  )  )  )  ),"")</f>
        <v>全日勤</v>
      </c>
      <c r="AO65" s="76"/>
      <c r="AP65" s="63"/>
      <c r="AU65" s="63"/>
      <c r="AY65" s="63"/>
      <c r="AZ65" s="63"/>
      <c r="BA65" s="63"/>
    </row>
    <row r="66" spans="1:55" ht="25.5" customHeight="1">
      <c r="A66" s="66">
        <f t="shared" si="4"/>
        <v>24</v>
      </c>
      <c r="B66" s="66" t="str">
        <f t="shared" si="6"/>
        <v>黃品傑</v>
      </c>
      <c r="C66" s="66" t="str">
        <f>IF(   (ROW(AO25)-1)&lt;=暫1!$B$2,           IF(  AND(  OR(  C25="x",C25="補"  ), OR(  D25 ="x",D25="補",D25="x榮18-22",D25="x公18-22",D25="x榮22-08"  ), $AP25 =""),"全日休",  IF(  AND(  OR(  C25="x",C25="病"  ), OR(  D25 ="病"  ), $AP25 =""),"病(事)假",  IF(  AND(  OR(  C25="x",C25="補"  ), OR(  D25 ="補"  ), $AP25 =""),"補休",  IF(  AND(  OR(  C25="x",C25="喪"  ), OR(  D25 ="喪"  ), $AP25 =""),"喪假",  IF(  AND(  OR(  C25="x",C25="婚",C25="產"  ), OR(  D25 ="婚",D25="產"  ), $AP25 =""),"婚(產)假",  IF(  AND(  OR(  C25="x",C25="公"  ), OR(  D25 ="公"  ), $AP25 =""),"公假",  IF(  AND(  OR(  C25="x",C25="補",C25="婚",C25="公",C25="病",C25="事",C25="x榮18-22"  ),OR(D25=""), $AP25 =""  ),"18收",  IF(  AND(  OR(  C25 ="榮14-18",C25 ="榮10-18",C25 ="榮06-18",C25 ="病14-18"  ),OR(  D25 ="x",D25="補",D25="婚",D25="公",D25="病",D25="事",D25="x"  ), $AP25 =""),"18放早走",  IF(  AND(  OR(  C25 =""),OR(  D25 ="x",D25="補",D25="婚",D25="公",D25="病",D25="事",D25="x榮*",D25="榮",D25="榮-22"  ), $AP25 =""),"18放",  IF(  AND(  OR(  C25="當日退伍"  ),OR(  D25="退伍",D25="退", D25=""  ), $AP25 =""),"當日退伍",  IF(AND(  OR(C25="退",C25="退伍" ), OR(D25="退",D25="退伍" ), $AP25 =""),"退伍","全日勤"  )  )  )  )  )  )  )  )  )  )  ),"")</f>
        <v>全日休</v>
      </c>
      <c r="D66" s="66" t="str">
        <f>IF(   (ROW(AP25)-1)&lt;=暫1!$B$2,           IF(  AND(  OR(  D25="x",D25="補"  ), OR(  E25 ="x",E25="補",E25="x榮18-22",E25="x公18-22",E25="x榮22-08"  ), $AP25 =""),"全日休",  IF(  AND(  OR(  D25="x",D25="病"  ), OR(  E25 ="病"  ), $AP25 =""),"病(事)假",  IF(  AND(  OR(  D25="x",D25="補"  ), OR(  E25 ="補"  ), $AP25 =""),"補休",  IF(  AND(  OR(  D25="x",D25="喪"  ), OR(  E25 ="喪"  ), $AP25 =""),"喪假",  IF(  AND(  OR(  D25="x",D25="婚",D25="產"  ), OR(  E25 ="婚",E25="產"  ), $AP25 =""),"婚(產)假",  IF(  AND(  OR(  D25="x",D25="公"  ), OR(  E25 ="公"  ), $AP25 =""),"公假",  IF(  AND(  OR(  D25="x",D25="補",D25="婚",D25="公",D25="病",D25="事",D25="x榮18-22"  ),OR(E25=""), $AP25 =""  ),"18收",  IF(  AND(  OR(  D25 ="榮14-18",D25 ="榮10-18",D25 ="榮06-18",D25 ="病14-18"  ),OR(  E25 ="x",E25="補",E25="婚",E25="公",E25="病",E25="事",E25="x"  ), $AP25 =""),"18放早走",  IF(  AND(  OR(  D25 =""),OR(  E25 ="x",E25="補",E25="婚",E25="公",E25="病",E25="事",E25="x榮*",E25="榮",E25="榮-22"  ), $AP25 =""),"18放",  IF(  AND(  OR(  D25="當日退伍"  ),OR(  E25="退伍",E25="退", E25=""  ), $AP25 =""),"當日退伍",  IF(AND(  OR(D25="退",D25="退伍" ), OR(E25="退",E25="退伍" ), $AP25 =""),"退伍","全日勤"  )  )  )  )  )  )  )  )  )  )  ),"")</f>
        <v>全日休</v>
      </c>
      <c r="E66" s="66" t="str">
        <f>IF(   (ROW(AQ25)-1)&lt;=暫1!$B$2,           IF(  AND(  OR(  E25="x",E25="補"  ), OR(  F25 ="x",F25="補",F25="x榮18-22",F25="x公18-22",F25="x榮22-08"  ), $AP25 =""),"全日休",  IF(  AND(  OR(  E25="x",E25="病"  ), OR(  F25 ="病"  ), $AP25 =""),"病(事)假",  IF(  AND(  OR(  E25="x",E25="補"  ), OR(  F25 ="補"  ), $AP25 =""),"補休",  IF(  AND(  OR(  E25="x",E25="喪"  ), OR(  F25 ="喪"  ), $AP25 =""),"喪假",  IF(  AND(  OR(  E25="x",E25="婚",E25="產"  ), OR(  F25 ="婚",F25="產"  ), $AP25 =""),"婚(產)假",  IF(  AND(  OR(  E25="x",E25="公"  ), OR(  F25 ="公"  ), $AP25 =""),"公假",  IF(  AND(  OR(  E25="x",E25="補",E25="婚",E25="公",E25="病",E25="事",E25="x榮18-22"  ),OR(F25=""), $AP25 =""  ),"18收",  IF(  AND(  OR(  E25 ="榮14-18",E25 ="榮10-18",E25 ="榮06-18",E25 ="病14-18"  ),OR(  F25 ="x",F25="補",F25="婚",F25="公",F25="病",F25="事",F25="x"  ), $AP25 =""),"18放早走",  IF(  AND(  OR(  E25 =""),OR(  F25 ="x",F25="補",F25="婚",F25="公",F25="病",F25="事",F25="x榮*",F25="榮",F25="榮-22"  ), $AP25 =""),"18放",  IF(  AND(  OR(  E25="當日退伍"  ),OR(  F25="退伍",F25="退", F25=""  ), $AP25 =""),"當日退伍",  IF(AND(  OR(E25="退",E25="退伍" ), OR(F25="退",F25="退伍" ), $AP25 =""),"退伍","全日勤"  )  )  )  )  )  )  )  )  )  )  ),"")</f>
        <v>18收</v>
      </c>
      <c r="F66" s="66" t="str">
        <f>IF(   (ROW(AR25)-1)&lt;=暫1!$B$2,           IF(  AND(  OR(  F25="x",F25="補"  ), OR(  G25 ="x",G25="補",G25="x榮18-22",G25="x公18-22",G25="x榮22-08"  ), $AP25 =""),"全日休",  IF(  AND(  OR(  F25="x",F25="病"  ), OR(  G25 ="病"  ), $AP25 =""),"病(事)假",  IF(  AND(  OR(  F25="x",F25="補"  ), OR(  G25 ="補"  ), $AP25 =""),"補休",  IF(  AND(  OR(  F25="x",F25="喪"  ), OR(  G25 ="喪"  ), $AP25 =""),"喪假",  IF(  AND(  OR(  F25="x",F25="婚",F25="產"  ), OR(  G25 ="婚",G25="產"  ), $AP25 =""),"婚(產)假",  IF(  AND(  OR(  F25="x",F25="公"  ), OR(  G25 ="公"  ), $AP25 =""),"公假",  IF(  AND(  OR(  F25="x",F25="補",F25="婚",F25="公",F25="病",F25="事",F25="x榮18-22"  ),OR(G25=""), $AP25 =""  ),"18收",  IF(  AND(  OR(  F25 ="榮14-18",F25 ="榮10-18",F25 ="榮06-18",F25 ="病14-18"  ),OR(  G25 ="x",G25="補",G25="婚",G25="公",G25="病",G25="事",G25="x"  ), $AP25 =""),"18放早走",  IF(  AND(  OR(  F25 =""),OR(  G25 ="x",G25="補",G25="婚",G25="公",G25="病",G25="事",G25="x榮*",G25="榮",G25="榮-22"  ), $AP25 =""),"18放",  IF(  AND(  OR(  F25="當日退伍"  ),OR(  G25="退伍",G25="退", G25=""  ), $AP25 =""),"當日退伍",  IF(AND(  OR(F25="退",F25="退伍" ), OR(G25="退",G25="退伍" ), $AP25 =""),"退伍","全日勤"  )  )  )  )  )  )  )  )  )  )  ),"")</f>
        <v>全日勤</v>
      </c>
      <c r="G66" s="66" t="str">
        <f>IF(   (ROW(AS25)-1)&lt;=暫1!$B$2,           IF(  AND(  OR(  G25="x",G25="補"  ), OR(  H25 ="x",H25="補",H25="x榮18-22",H25="x公18-22",H25="x榮22-08"  ), $AP25 =""),"全日休",  IF(  AND(  OR(  G25="x",G25="病"  ), OR(  H25 ="病"  ), $AP25 =""),"病(事)假",  IF(  AND(  OR(  G25="x",G25="補"  ), OR(  H25 ="補"  ), $AP25 =""),"補休",  IF(  AND(  OR(  G25="x",G25="喪"  ), OR(  H25 ="喪"  ), $AP25 =""),"喪假",  IF(  AND(  OR(  G25="x",G25="婚",G25="產"  ), OR(  H25 ="婚",H25="產"  ), $AP25 =""),"婚(產)假",  IF(  AND(  OR(  G25="x",G25="公"  ), OR(  H25 ="公"  ), $AP25 =""),"公假",  IF(  AND(  OR(  G25="x",G25="補",G25="婚",G25="公",G25="病",G25="事",G25="x榮18-22"  ),OR(H25=""), $AP25 =""  ),"18收",  IF(  AND(  OR(  G25 ="榮14-18",G25 ="榮10-18",G25 ="榮06-18",G25 ="病14-18"  ),OR(  H25 ="x",H25="補",H25="婚",H25="公",H25="病",H25="事",H25="x"  ), $AP25 =""),"18放早走",  IF(  AND(  OR(  G25 =""),OR(  H25 ="x",H25="補",H25="婚",H25="公",H25="病",H25="事",H25="x榮*",H25="榮",H25="榮-22"  ), $AP25 =""),"18放",  IF(  AND(  OR(  G25="當日退伍"  ),OR(  H25="退伍",H25="退", H25=""  ), $AP25 =""),"當日退伍",  IF(AND(  OR(G25="退",G25="退伍" ), OR(H25="退",H25="退伍" ), $AP25 =""),"退伍","全日勤"  )  )  )  )  )  )  )  )  )  )  ),"")</f>
        <v>全日勤</v>
      </c>
      <c r="H66" s="66" t="str">
        <f>IF(   (ROW(AT25)-1)&lt;=暫1!$B$2,           IF(  AND(  OR(  H25="x",H25="補"  ), OR(  I25 ="x",I25="補",I25="x榮18-22",I25="x公18-22",I25="x榮22-08"  ), $AP25 =""),"全日休",  IF(  AND(  OR(  H25="x",H25="病"  ), OR(  I25 ="病"  ), $AP25 =""),"病(事)假",  IF(  AND(  OR(  H25="x",H25="補"  ), OR(  I25 ="補"  ), $AP25 =""),"補休",  IF(  AND(  OR(  H25="x",H25="喪"  ), OR(  I25 ="喪"  ), $AP25 =""),"喪假",  IF(  AND(  OR(  H25="x",H25="婚",H25="產"  ), OR(  I25 ="婚",I25="產"  ), $AP25 =""),"婚(產)假",  IF(  AND(  OR(  H25="x",H25="公"  ), OR(  I25 ="公"  ), $AP25 =""),"公假",  IF(  AND(  OR(  H25="x",H25="補",H25="婚",H25="公",H25="病",H25="事",H25="x榮18-22"  ),OR(I25=""), $AP25 =""  ),"18收",  IF(  AND(  OR(  H25 ="榮14-18",H25 ="榮10-18",H25 ="榮06-18",H25 ="病14-18"  ),OR(  I25 ="x",I25="補",I25="婚",I25="公",I25="病",I25="事",I25="x"  ), $AP25 =""),"18放早走",  IF(  AND(  OR(  H25 =""),OR(  I25 ="x",I25="補",I25="婚",I25="公",I25="病",I25="事",I25="x榮*",I25="榮",I25="榮-22"  ), $AP25 =""),"18放",  IF(  AND(  OR(  H25="當日退伍"  ),OR(  I25="退伍",I25="退", I25=""  ), $AP25 =""),"當日退伍",  IF(AND(  OR(H25="退",H25="退伍" ), OR(I25="退",I25="退伍" ), $AP25 =""),"退伍","全日勤"  )  )  )  )  )  )  )  )  )  )  ),"")</f>
        <v>全日勤</v>
      </c>
      <c r="I66" s="66" t="str">
        <f>IF(   (ROW(AU25)-1)&lt;=暫1!$B$2,           IF(  AND(  OR(  I25="x",I25="補"  ), OR(  J25 ="x",J25="補",J25="x榮18-22",J25="x公18-22",J25="x榮22-08"  ), $AP25 =""),"全日休",  IF(  AND(  OR(  I25="x",I25="病"  ), OR(  J25 ="病"  ), $AP25 =""),"病(事)假",  IF(  AND(  OR(  I25="x",I25="補"  ), OR(  J25 ="補"  ), $AP25 =""),"補休",  IF(  AND(  OR(  I25="x",I25="喪"  ), OR(  J25 ="喪"  ), $AP25 =""),"喪假",  IF(  AND(  OR(  I25="x",I25="婚",I25="產"  ), OR(  J25 ="婚",J25="產"  ), $AP25 =""),"婚(產)假",  IF(  AND(  OR(  I25="x",I25="公"  ), OR(  J25 ="公"  ), $AP25 =""),"公假",  IF(  AND(  OR(  I25="x",I25="補",I25="婚",I25="公",I25="病",I25="事",I25="x榮18-22"  ),OR(J25=""), $AP25 =""  ),"18收",  IF(  AND(  OR(  I25 ="榮14-18",I25 ="榮10-18",I25 ="榮06-18",I25 ="病14-18"  ),OR(  J25 ="x",J25="補",J25="婚",J25="公",J25="病",J25="事",J25="x"  ), $AP25 =""),"18放早走",  IF(  AND(  OR(  I25 =""),OR(  J25 ="x",J25="補",J25="婚",J25="公",J25="病",J25="事",J25="x榮*",J25="榮",J25="榮-22"  ), $AP25 =""),"18放",  IF(  AND(  OR(  I25="當日退伍"  ),OR(  J25="退伍",J25="退", J25=""  ), $AP25 =""),"當日退伍",  IF(AND(  OR(I25="退",I25="退伍" ), OR(J25="退",J25="退伍" ), $AP25 =""),"退伍","全日勤"  )  )  )  )  )  )  )  )  )  )  ),"")</f>
        <v>全日勤</v>
      </c>
      <c r="J66" s="66" t="str">
        <f>IF(   (ROW(AV25)-1)&lt;=暫1!$B$2,           IF(  AND(  OR(  J25="x",J25="補"  ), OR(  K25 ="x",K25="補",K25="x榮18-22",K25="x公18-22",K25="x榮22-08"  ), $AP25 =""),"全日休",  IF(  AND(  OR(  J25="x",J25="病"  ), OR(  K25 ="病"  ), $AP25 =""),"病(事)假",  IF(  AND(  OR(  J25="x",J25="補"  ), OR(  K25 ="補"  ), $AP25 =""),"補休",  IF(  AND(  OR(  J25="x",J25="喪"  ), OR(  K25 ="喪"  ), $AP25 =""),"喪假",  IF(  AND(  OR(  J25="x",J25="婚",J25="產"  ), OR(  K25 ="婚",K25="產"  ), $AP25 =""),"婚(產)假",  IF(  AND(  OR(  J25="x",J25="公"  ), OR(  K25 ="公"  ), $AP25 =""),"公假",  IF(  AND(  OR(  J25="x",J25="補",J25="婚",J25="公",J25="病",J25="事",J25="x榮18-22"  ),OR(K25=""), $AP25 =""  ),"18收",  IF(  AND(  OR(  J25 ="榮14-18",J25 ="榮10-18",J25 ="榮06-18",J25 ="病14-18"  ),OR(  K25 ="x",K25="補",K25="婚",K25="公",K25="病",K25="事",K25="x"  ), $AP25 =""),"18放早走",  IF(  AND(  OR(  J25 =""),OR(  K25 ="x",K25="補",K25="婚",K25="公",K25="病",K25="事",K25="x榮*",K25="榮",K25="榮-22"  ), $AP25 =""),"18放",  IF(  AND(  OR(  J25="當日退伍"  ),OR(  K25="退伍",K25="退", K25=""  ), $AP25 =""),"當日退伍",  IF(AND(  OR(J25="退",J25="退伍" ), OR(K25="退",K25="退伍" ), $AP25 =""),"退伍","全日勤"  )  )  )  )  )  )  )  )  )  )  ),"")</f>
        <v>全日勤</v>
      </c>
      <c r="K66" s="66" t="str">
        <f>IF(   (ROW(AW25)-1)&lt;=暫1!$B$2,           IF(  AND(  OR(  K25="x",K25="補"  ), OR(  L25 ="x",L25="補",L25="x榮18-22",L25="x公18-22",L25="x榮22-08"  ), $AP25 =""),"全日休",  IF(  AND(  OR(  K25="x",K25="病"  ), OR(  L25 ="病"  ), $AP25 =""),"病(事)假",  IF(  AND(  OR(  K25="x",K25="補"  ), OR(  L25 ="補"  ), $AP25 =""),"補休",  IF(  AND(  OR(  K25="x",K25="喪"  ), OR(  L25 ="喪"  ), $AP25 =""),"喪假",  IF(  AND(  OR(  K25="x",K25="婚",K25="產"  ), OR(  L25 ="婚",L25="產"  ), $AP25 =""),"婚(產)假",  IF(  AND(  OR(  K25="x",K25="公"  ), OR(  L25 ="公"  ), $AP25 =""),"公假",  IF(  AND(  OR(  K25="x",K25="補",K25="婚",K25="公",K25="病",K25="事",K25="x榮18-22"  ),OR(L25=""), $AP25 =""  ),"18收",  IF(  AND(  OR(  K25 ="榮14-18",K25 ="榮10-18",K25 ="榮06-18",K25 ="病14-18"  ),OR(  L25 ="x",L25="補",L25="婚",L25="公",L25="病",L25="事",L25="x"  ), $AP25 =""),"18放早走",  IF(  AND(  OR(  K25 =""),OR(  L25 ="x",L25="補",L25="婚",L25="公",L25="病",L25="事",L25="x榮*",L25="榮",L25="榮-22"  ), $AP25 =""),"18放",  IF(  AND(  OR(  K25="當日退伍"  ),OR(  L25="退伍",L25="退", L25=""  ), $AP25 =""),"當日退伍",  IF(AND(  OR(K25="退",K25="退伍" ), OR(L25="退",L25="退伍" ), $AP25 =""),"退伍","全日勤"  )  )  )  )  )  )  )  )  )  )  ),"")</f>
        <v>全日勤</v>
      </c>
      <c r="L66" s="66" t="str">
        <f>IF(   (ROW(AX25)-1)&lt;=暫1!$B$2,           IF(  AND(  OR(  L25="x",L25="補"  ), OR(  M25 ="x",M25="補",M25="x榮18-22",M25="x公18-22",M25="x榮22-08"  ), $AP25 =""),"全日休",  IF(  AND(  OR(  L25="x",L25="病"  ), OR(  M25 ="病"  ), $AP25 =""),"病(事)假",  IF(  AND(  OR(  L25="x",L25="補"  ), OR(  M25 ="補"  ), $AP25 =""),"補休",  IF(  AND(  OR(  L25="x",L25="喪"  ), OR(  M25 ="喪"  ), $AP25 =""),"喪假",  IF(  AND(  OR(  L25="x",L25="婚",L25="產"  ), OR(  M25 ="婚",M25="產"  ), $AP25 =""),"婚(產)假",  IF(  AND(  OR(  L25="x",L25="公"  ), OR(  M25 ="公"  ), $AP25 =""),"公假",  IF(  AND(  OR(  L25="x",L25="補",L25="婚",L25="公",L25="病",L25="事",L25="x榮18-22"  ),OR(M25=""), $AP25 =""  ),"18收",  IF(  AND(  OR(  L25 ="榮14-18",L25 ="榮10-18",L25 ="榮06-18",L25 ="病14-18"  ),OR(  M25 ="x",M25="補",M25="婚",M25="公",M25="病",M25="事",M25="x"  ), $AP25 =""),"18放早走",  IF(  AND(  OR(  L25 =""),OR(  M25 ="x",M25="補",M25="婚",M25="公",M25="病",M25="事",M25="x榮*",M25="榮",M25="榮-22"  ), $AP25 =""),"18放",  IF(  AND(  OR(  L25="當日退伍"  ),OR(  M25="退伍",M25="退", M25=""  ), $AP25 =""),"當日退伍",  IF(AND(  OR(L25="退",L25="退伍" ), OR(M25="退",M25="退伍" ), $AP25 =""),"退伍","全日勤"  )  )  )  )  )  )  )  )  )  )  ),"")</f>
        <v>全日勤</v>
      </c>
      <c r="M66" s="66" t="str">
        <f>IF(   (ROW(AY25)-1)&lt;=暫1!$B$2,           IF(  AND(  OR(  M25="x",M25="補"  ), OR(  N25 ="x",N25="補",N25="x榮18-22",N25="x公18-22",N25="x榮22-08"  ), $AP25 =""),"全日休",  IF(  AND(  OR(  M25="x",M25="病"  ), OR(  N25 ="病"  ), $AP25 =""),"病(事)假",  IF(  AND(  OR(  M25="x",M25="補"  ), OR(  N25 ="補"  ), $AP25 =""),"補休",  IF(  AND(  OR(  M25="x",M25="喪"  ), OR(  N25 ="喪"  ), $AP25 =""),"喪假",  IF(  AND(  OR(  M25="x",M25="婚",M25="產"  ), OR(  N25 ="婚",N25="產"  ), $AP25 =""),"婚(產)假",  IF(  AND(  OR(  M25="x",M25="公"  ), OR(  N25 ="公"  ), $AP25 =""),"公假",  IF(  AND(  OR(  M25="x",M25="補",M25="婚",M25="公",M25="病",M25="事",M25="x榮18-22"  ),OR(N25=""), $AP25 =""  ),"18收",  IF(  AND(  OR(  M25 ="榮14-18",M25 ="榮10-18",M25 ="榮06-18",M25 ="病14-18"  ),OR(  N25 ="x",N25="補",N25="婚",N25="公",N25="病",N25="事",N25="x"  ), $AP25 =""),"18放早走",  IF(  AND(  OR(  M25 =""),OR(  N25 ="x",N25="補",N25="婚",N25="公",N25="病",N25="事",N25="x榮*",N25="榮",N25="榮-22"  ), $AP25 =""),"18放",  IF(  AND(  OR(  M25="當日退伍"  ),OR(  N25="退伍",N25="退", N25=""  ), $AP25 =""),"當日退伍",  IF(AND(  OR(M25="退",M25="退伍" ), OR(N25="退",N25="退伍" ), $AP25 =""),"退伍","全日勤"  )  )  )  )  )  )  )  )  )  )  ),"")</f>
        <v>全日勤</v>
      </c>
      <c r="N66" s="66" t="str">
        <f>IF(   (ROW(AZ25)-1)&lt;=暫1!$B$2,           IF(  AND(  OR(  N25="x",N25="補"  ), OR(  O25 ="x",O25="補",O25="x榮18-22",O25="x公18-22",O25="x榮22-08"  ), $AP25 =""),"全日休",  IF(  AND(  OR(  N25="x",N25="病"  ), OR(  O25 ="病"  ), $AP25 =""),"病(事)假",  IF(  AND(  OR(  N25="x",N25="補"  ), OR(  O25 ="補"  ), $AP25 =""),"補休",  IF(  AND(  OR(  N25="x",N25="喪"  ), OR(  O25 ="喪"  ), $AP25 =""),"喪假",  IF(  AND(  OR(  N25="x",N25="婚",N25="產"  ), OR(  O25 ="婚",O25="產"  ), $AP25 =""),"婚(產)假",  IF(  AND(  OR(  N25="x",N25="公"  ), OR(  O25 ="公"  ), $AP25 =""),"公假",  IF(  AND(  OR(  N25="x",N25="補",N25="婚",N25="公",N25="病",N25="事",N25="x榮18-22"  ),OR(O25=""), $AP25 =""  ),"18收",  IF(  AND(  OR(  N25 ="榮14-18",N25 ="榮10-18",N25 ="榮06-18",N25 ="病14-18"  ),OR(  O25 ="x",O25="補",O25="婚",O25="公",O25="病",O25="事",O25="x"  ), $AP25 =""),"18放早走",  IF(  AND(  OR(  N25 =""),OR(  O25 ="x",O25="補",O25="婚",O25="公",O25="病",O25="事",O25="x榮*",O25="榮",O25="榮-22"  ), $AP25 =""),"18放",  IF(  AND(  OR(  N25="當日退伍"  ),OR(  O25="退伍",O25="退", O25=""  ), $AP25 =""),"當日退伍",  IF(AND(  OR(N25="退",N25="退伍" ), OR(O25="退",O25="退伍" ), $AP25 =""),"退伍","全日勤"  )  )  )  )  )  )  )  )  )  )  ),"")</f>
        <v>18放</v>
      </c>
      <c r="O66" s="66" t="str">
        <f>IF(   (ROW(BA25)-1)&lt;=暫1!$B$2,           IF(  AND(  OR(  O25="x",O25="補"  ), OR(  P25 ="x",P25="補",P25="x榮18-22",P25="x公18-22",P25="x榮22-08"  ), $AP25 =""),"全日休",  IF(  AND(  OR(  O25="x",O25="病"  ), OR(  P25 ="病"  ), $AP25 =""),"病(事)假",  IF(  AND(  OR(  O25="x",O25="補"  ), OR(  P25 ="補"  ), $AP25 =""),"補休",  IF(  AND(  OR(  O25="x",O25="喪"  ), OR(  P25 ="喪"  ), $AP25 =""),"喪假",  IF(  AND(  OR(  O25="x",O25="婚",O25="產"  ), OR(  P25 ="婚",P25="產"  ), $AP25 =""),"婚(產)假",  IF(  AND(  OR(  O25="x",O25="公"  ), OR(  P25 ="公"  ), $AP25 =""),"公假",  IF(  AND(  OR(  O25="x",O25="補",O25="婚",O25="公",O25="病",O25="事",O25="x榮18-22"  ),OR(P25=""), $AP25 =""  ),"18收",  IF(  AND(  OR(  O25 ="榮14-18",O25 ="榮10-18",O25 ="榮06-18",O25 ="病14-18"  ),OR(  P25 ="x",P25="補",P25="婚",P25="公",P25="病",P25="事",P25="x"  ), $AP25 =""),"18放早走",  IF(  AND(  OR(  O25 =""),OR(  P25 ="x",P25="補",P25="婚",P25="公",P25="病",P25="事",P25="x榮*",P25="榮",P25="榮-22"  ), $AP25 =""),"18放",  IF(  AND(  OR(  O25="當日退伍"  ),OR(  P25="退伍",P25="退", P25=""  ), $AP25 =""),"當日退伍",  IF(AND(  OR(O25="退",O25="退伍" ), OR(P25="退",P25="退伍" ), $AP25 =""),"退伍","全日勤"  )  )  )  )  )  )  )  )  )  )  ),"")</f>
        <v>全日休</v>
      </c>
      <c r="P66" s="66" t="str">
        <f>IF(   (ROW(BB25)-1)&lt;=暫1!$B$2,           IF(  AND(  OR(  P25="x",P25="補"  ), OR(  Q25 ="x",Q25="補",Q25="x榮18-22",Q25="x公18-22",Q25="x榮22-08"  ), $AP25 =""),"全日休",  IF(  AND(  OR(  P25="x",P25="病"  ), OR(  Q25 ="病"  ), $AP25 =""),"病(事)假",  IF(  AND(  OR(  P25="x",P25="補"  ), OR(  Q25 ="補"  ), $AP25 =""),"補休",  IF(  AND(  OR(  P25="x",P25="喪"  ), OR(  Q25 ="喪"  ), $AP25 =""),"喪假",  IF(  AND(  OR(  P25="x",P25="婚",P25="產"  ), OR(  Q25 ="婚",Q25="產"  ), $AP25 =""),"婚(產)假",  IF(  AND(  OR(  P25="x",P25="公"  ), OR(  Q25 ="公"  ), $AP25 =""),"公假",  IF(  AND(  OR(  P25="x",P25="補",P25="婚",P25="公",P25="病",P25="事",P25="x榮18-22"  ),OR(Q25=""), $AP25 =""  ),"18收",  IF(  AND(  OR(  P25 ="榮14-18",P25 ="榮10-18",P25 ="榮06-18",P25 ="病14-18"  ),OR(  Q25 ="x",Q25="補",Q25="婚",Q25="公",Q25="病",Q25="事",Q25="x"  ), $AP25 =""),"18放早走",  IF(  AND(  OR(  P25 =""),OR(  Q25 ="x",Q25="補",Q25="婚",Q25="公",Q25="病",Q25="事",Q25="x榮*",Q25="榮",Q25="榮-22"  ), $AP25 =""),"18放",  IF(  AND(  OR(  P25="當日退伍"  ),OR(  Q25="退伍",Q25="退", Q25=""  ), $AP25 =""),"當日退伍",  IF(AND(  OR(P25="退",P25="退伍" ), OR(Q25="退",Q25="退伍" ), $AP25 =""),"退伍","全日勤"  )  )  )  )  )  )  )  )  )  )  ),"")</f>
        <v>全日休</v>
      </c>
      <c r="Q66" s="66" t="str">
        <f>IF(   (ROW(BC25)-1)&lt;=暫1!$B$2,           IF(  AND(  OR(  Q25="x",Q25="補"  ), OR(  R25 ="x",R25="補",R25="x榮18-22",R25="x公18-22",R25="x榮22-08"  ), $AP25 =""),"全日休",  IF(  AND(  OR(  Q25="x",Q25="病"  ), OR(  R25 ="病"  ), $AP25 =""),"病(事)假",  IF(  AND(  OR(  Q25="x",Q25="補"  ), OR(  R25 ="補"  ), $AP25 =""),"補休",  IF(  AND(  OR(  Q25="x",Q25="喪"  ), OR(  R25 ="喪"  ), $AP25 =""),"喪假",  IF(  AND(  OR(  Q25="x",Q25="婚",Q25="產"  ), OR(  R25 ="婚",R25="產"  ), $AP25 =""),"婚(產)假",  IF(  AND(  OR(  Q25="x",Q25="公"  ), OR(  R25 ="公"  ), $AP25 =""),"公假",  IF(  AND(  OR(  Q25="x",Q25="補",Q25="婚",Q25="公",Q25="病",Q25="事",Q25="x榮18-22"  ),OR(R25=""), $AP25 =""  ),"18收",  IF(  AND(  OR(  Q25 ="榮14-18",Q25 ="榮10-18",Q25 ="榮06-18",Q25 ="病14-18"  ),OR(  R25 ="x",R25="補",R25="婚",R25="公",R25="病",R25="事",R25="x"  ), $AP25 =""),"18放早走",  IF(  AND(  OR(  Q25 =""),OR(  R25 ="x",R25="補",R25="婚",R25="公",R25="病",R25="事",R25="x榮*",R25="榮",R25="榮-22"  ), $AP25 =""),"18放",  IF(  AND(  OR(  Q25="當日退伍"  ),OR(  R25="退伍",R25="退", R25=""  ), $AP25 =""),"當日退伍",  IF(AND(  OR(Q25="退",Q25="退伍" ), OR(R25="退",R25="退伍" ), $AP25 =""),"退伍","全日勤"  )  )  )  )  )  )  )  )  )  )  ),"")</f>
        <v>18收</v>
      </c>
      <c r="R66" s="66" t="str">
        <f>IF(   (ROW(BD25)-1)&lt;=暫1!$B$2,           IF(  AND(  OR(  R25="x",R25="補"  ), OR(  S25 ="x",S25="補",S25="x榮18-22",S25="x公18-22",S25="x榮22-08"  ), $AP25 =""),"全日休",  IF(  AND(  OR(  R25="x",R25="病"  ), OR(  S25 ="病"  ), $AP25 =""),"病(事)假",  IF(  AND(  OR(  R25="x",R25="補"  ), OR(  S25 ="補"  ), $AP25 =""),"補休",  IF(  AND(  OR(  R25="x",R25="喪"  ), OR(  S25 ="喪"  ), $AP25 =""),"喪假",  IF(  AND(  OR(  R25="x",R25="婚",R25="產"  ), OR(  S25 ="婚",S25="產"  ), $AP25 =""),"婚(產)假",  IF(  AND(  OR(  R25="x",R25="公"  ), OR(  S25 ="公"  ), $AP25 =""),"公假",  IF(  AND(  OR(  R25="x",R25="補",R25="婚",R25="公",R25="病",R25="事",R25="x榮18-22"  ),OR(S25=""), $AP25 =""  ),"18收",  IF(  AND(  OR(  R25 ="榮14-18",R25 ="榮10-18",R25 ="榮06-18",R25 ="病14-18"  ),OR(  S25 ="x",S25="補",S25="婚",S25="公",S25="病",S25="事",S25="x"  ), $AP25 =""),"18放早走",  IF(  AND(  OR(  R25 =""),OR(  S25 ="x",S25="補",S25="婚",S25="公",S25="病",S25="事",S25="x榮*",S25="榮",S25="榮-22"  ), $AP25 =""),"18放",  IF(  AND(  OR(  R25="當日退伍"  ),OR(  S25="退伍",S25="退", S25=""  ), $AP25 =""),"當日退伍",  IF(AND(  OR(R25="退",R25="退伍" ), OR(S25="退",S25="退伍" ), $AP25 =""),"退伍","全日勤"  )  )  )  )  )  )  )  )  )  )  ),"")</f>
        <v>全日勤</v>
      </c>
      <c r="S66" s="66" t="str">
        <f>IF(   (ROW(BE25)-1)&lt;=暫1!$B$2,           IF(  AND(  OR(  S25="x",S25="補"  ), OR(  T25 ="x",T25="補",T25="x榮18-22",T25="x公18-22",T25="x榮22-08"  ), $AP25 =""),"全日休",  IF(  AND(  OR(  S25="x",S25="病"  ), OR(  T25 ="病"  ), $AP25 =""),"病(事)假",  IF(  AND(  OR(  S25="x",S25="補"  ), OR(  T25 ="補"  ), $AP25 =""),"補休",  IF(  AND(  OR(  S25="x",S25="喪"  ), OR(  T25 ="喪"  ), $AP25 =""),"喪假",  IF(  AND(  OR(  S25="x",S25="婚",S25="產"  ), OR(  T25 ="婚",T25="產"  ), $AP25 =""),"婚(產)假",  IF(  AND(  OR(  S25="x",S25="公"  ), OR(  T25 ="公"  ), $AP25 =""),"公假",  IF(  AND(  OR(  S25="x",S25="補",S25="婚",S25="公",S25="病",S25="事",S25="x榮18-22"  ),OR(T25=""), $AP25 =""  ),"18收",  IF(  AND(  OR(  S25 ="榮14-18",S25 ="榮10-18",S25 ="榮06-18",S25 ="病14-18"  ),OR(  T25 ="x",T25="補",T25="婚",T25="公",T25="病",T25="事",T25="x"  ), $AP25 =""),"18放早走",  IF(  AND(  OR(  S25 =""),OR(  T25 ="x",T25="補",T25="婚",T25="公",T25="病",T25="事",T25="x榮*",T25="榮",T25="榮-22"  ), $AP25 =""),"18放",  IF(  AND(  OR(  S25="當日退伍"  ),OR(  T25="退伍",T25="退", T25=""  ), $AP25 =""),"當日退伍",  IF(AND(  OR(S25="退",S25="退伍" ), OR(T25="退",T25="退伍" ), $AP25 =""),"退伍","全日勤"  )  )  )  )  )  )  )  )  )  )  ),"")</f>
        <v>全日勤</v>
      </c>
      <c r="T66" s="66" t="str">
        <f>IF(   (ROW(BF25)-1)&lt;=暫1!$B$2,           IF(  AND(  OR(  T25="x",T25="補"  ), OR(  U25 ="x",U25="補",U25="x榮18-22",U25="x公18-22",U25="x榮22-08"  ), $AP25 =""),"全日休",  IF(  AND(  OR(  T25="x",T25="病"  ), OR(  U25 ="病"  ), $AP25 =""),"病(事)假",  IF(  AND(  OR(  T25="x",T25="補"  ), OR(  U25 ="補"  ), $AP25 =""),"補休",  IF(  AND(  OR(  T25="x",T25="喪"  ), OR(  U25 ="喪"  ), $AP25 =""),"喪假",  IF(  AND(  OR(  T25="x",T25="婚",T25="產"  ), OR(  U25 ="婚",U25="產"  ), $AP25 =""),"婚(產)假",  IF(  AND(  OR(  T25="x",T25="公"  ), OR(  U25 ="公"  ), $AP25 =""),"公假",  IF(  AND(  OR(  T25="x",T25="補",T25="婚",T25="公",T25="病",T25="事",T25="x榮18-22"  ),OR(U25=""), $AP25 =""  ),"18收",  IF(  AND(  OR(  T25 ="榮14-18",T25 ="榮10-18",T25 ="榮06-18",T25 ="病14-18"  ),OR(  U25 ="x",U25="補",U25="婚",U25="公",U25="病",U25="事",U25="x"  ), $AP25 =""),"18放早走",  IF(  AND(  OR(  T25 =""),OR(  U25 ="x",U25="補",U25="婚",U25="公",U25="病",U25="事",U25="x榮*",U25="榮",U25="榮-22"  ), $AP25 =""),"18放",  IF(  AND(  OR(  T25="當日退伍"  ),OR(  U25="退伍",U25="退", U25=""  ), $AP25 =""),"當日退伍",  IF(AND(  OR(T25="退",T25="退伍" ), OR(U25="退",U25="退伍" ), $AP25 =""),"退伍","全日勤"  )  )  )  )  )  )  )  )  )  )  ),"")</f>
        <v>全日勤</v>
      </c>
      <c r="U66" s="66" t="str">
        <f>IF(   (ROW(BG25)-1)&lt;=暫1!$B$2,           IF(  AND(  OR(  U25="x",U25="補"  ), OR(  V25 ="x",V25="補",V25="x榮18-22",V25="x公18-22",V25="x榮22-08"  ), $AP25 =""),"全日休",  IF(  AND(  OR(  U25="x",U25="病"  ), OR(  V25 ="病"  ), $AP25 =""),"病(事)假",  IF(  AND(  OR(  U25="x",U25="補"  ), OR(  V25 ="補"  ), $AP25 =""),"補休",  IF(  AND(  OR(  U25="x",U25="喪"  ), OR(  V25 ="喪"  ), $AP25 =""),"喪假",  IF(  AND(  OR(  U25="x",U25="婚",U25="產"  ), OR(  V25 ="婚",V25="產"  ), $AP25 =""),"婚(產)假",  IF(  AND(  OR(  U25="x",U25="公"  ), OR(  V25 ="公"  ), $AP25 =""),"公假",  IF(  AND(  OR(  U25="x",U25="補",U25="婚",U25="公",U25="病",U25="事",U25="x榮18-22"  ),OR(V25=""), $AP25 =""  ),"18收",  IF(  AND(  OR(  U25 ="榮14-18",U25 ="榮10-18",U25 ="榮06-18",U25 ="病14-18"  ),OR(  V25 ="x",V25="補",V25="婚",V25="公",V25="病",V25="事",V25="x"  ), $AP25 =""),"18放早走",  IF(  AND(  OR(  U25 =""),OR(  V25 ="x",V25="補",V25="婚",V25="公",V25="病",V25="事",V25="x榮*",V25="榮",V25="榮-22"  ), $AP25 =""),"18放",  IF(  AND(  OR(  U25="當日退伍"  ),OR(  V25="退伍",V25="退", V25=""  ), $AP25 =""),"當日退伍",  IF(AND(  OR(U25="退",U25="退伍" ), OR(V25="退",V25="退伍" ), $AP25 =""),"退伍","全日勤"  )  )  )  )  )  )  )  )  )  )  ),"")</f>
        <v>全日勤</v>
      </c>
      <c r="V66" s="66" t="str">
        <f>IF(   (ROW(BH25)-1)&lt;=暫1!$B$2,           IF(  AND(  OR(  V25="x",V25="補"  ), OR(  W25 ="x",W25="補",W25="x榮18-22",W25="x公18-22",W25="x榮22-08"  ), $AP25 =""),"全日休",  IF(  AND(  OR(  V25="x",V25="病"  ), OR(  W25 ="病"  ), $AP25 =""),"病(事)假",  IF(  AND(  OR(  V25="x",V25="補"  ), OR(  W25 ="補"  ), $AP25 =""),"補休",  IF(  AND(  OR(  V25="x",V25="喪"  ), OR(  W25 ="喪"  ), $AP25 =""),"喪假",  IF(  AND(  OR(  V25="x",V25="婚",V25="產"  ), OR(  W25 ="婚",W25="產"  ), $AP25 =""),"婚(產)假",  IF(  AND(  OR(  V25="x",V25="公"  ), OR(  W25 ="公"  ), $AP25 =""),"公假",  IF(  AND(  OR(  V25="x",V25="補",V25="婚",V25="公",V25="病",V25="事",V25="x榮18-22"  ),OR(W25=""), $AP25 =""  ),"18收",  IF(  AND(  OR(  V25 ="榮14-18",V25 ="榮10-18",V25 ="榮06-18",V25 ="病14-18"  ),OR(  W25 ="x",W25="補",W25="婚",W25="公",W25="病",W25="事",W25="x"  ), $AP25 =""),"18放早走",  IF(  AND(  OR(  V25 =""),OR(  W25 ="x",W25="補",W25="婚",W25="公",W25="病",W25="事",W25="x榮*",W25="榮",W25="榮-22"  ), $AP25 =""),"18放",  IF(  AND(  OR(  V25="當日退伍"  ),OR(  W25="退伍",W25="退", W25=""  ), $AP25 =""),"當日退伍",  IF(AND(  OR(V25="退",V25="退伍" ), OR(W25="退",W25="退伍" ), $AP25 =""),"退伍","全日勤"  )  )  )  )  )  )  )  )  )  )  ),"")</f>
        <v>全日勤</v>
      </c>
      <c r="W66" s="66" t="str">
        <f>IF(   (ROW(BI25)-1)&lt;=暫1!$B$2,           IF(  AND(  OR(  W25="x",W25="補"  ), OR(  X25 ="x",X25="補",X25="x榮18-22",X25="x公18-22",X25="x榮22-08"  ), $AP25 =""),"全日休",  IF(  AND(  OR(  W25="x",W25="病"  ), OR(  X25 ="病"  ), $AP25 =""),"病(事)假",  IF(  AND(  OR(  W25="x",W25="補"  ), OR(  X25 ="補"  ), $AP25 =""),"補休",  IF(  AND(  OR(  W25="x",W25="喪"  ), OR(  X25 ="喪"  ), $AP25 =""),"喪假",  IF(  AND(  OR(  W25="x",W25="婚",W25="產"  ), OR(  X25 ="婚",X25="產"  ), $AP25 =""),"婚(產)假",  IF(  AND(  OR(  W25="x",W25="公"  ), OR(  X25 ="公"  ), $AP25 =""),"公假",  IF(  AND(  OR(  W25="x",W25="補",W25="婚",W25="公",W25="病",W25="事",W25="x榮18-22"  ),OR(X25=""), $AP25 =""  ),"18收",  IF(  AND(  OR(  W25 ="榮14-18",W25 ="榮10-18",W25 ="榮06-18",W25 ="病14-18"  ),OR(  X25 ="x",X25="補",X25="婚",X25="公",X25="病",X25="事",X25="x"  ), $AP25 =""),"18放早走",  IF(  AND(  OR(  W25 =""),OR(  X25 ="x",X25="補",X25="婚",X25="公",X25="病",X25="事",X25="x榮*",X25="榮",X25="榮-22"  ), $AP25 =""),"18放",  IF(  AND(  OR(  W25="當日退伍"  ),OR(  X25="退伍",X25="退", X25=""  ), $AP25 =""),"當日退伍",  IF(AND(  OR(W25="退",W25="退伍" ), OR(X25="退",X25="退伍" ), $AP25 =""),"退伍","全日勤"  )  )  )  )  )  )  )  )  )  )  ),"")</f>
        <v>18放</v>
      </c>
      <c r="X66" s="66" t="str">
        <f>IF(   (ROW(BJ25)-1)&lt;=暫1!$B$2,           IF(  AND(  OR(  X25="x",X25="補"  ), OR(  Y25 ="x",Y25="補",Y25="x榮18-22",Y25="x公18-22",Y25="x榮22-08"  ), $AP25 =""),"全日休",  IF(  AND(  OR(  X25="x",X25="病"  ), OR(  Y25 ="病"  ), $AP25 =""),"病(事)假",  IF(  AND(  OR(  X25="x",X25="補"  ), OR(  Y25 ="補"  ), $AP25 =""),"補休",  IF(  AND(  OR(  X25="x",X25="喪"  ), OR(  Y25 ="喪"  ), $AP25 =""),"喪假",  IF(  AND(  OR(  X25="x",X25="婚",X25="產"  ), OR(  Y25 ="婚",Y25="產"  ), $AP25 =""),"婚(產)假",  IF(  AND(  OR(  X25="x",X25="公"  ), OR(  Y25 ="公"  ), $AP25 =""),"公假",  IF(  AND(  OR(  X25="x",X25="補",X25="婚",X25="公",X25="病",X25="事",X25="x榮18-22"  ),OR(Y25=""), $AP25 =""  ),"18收",  IF(  AND(  OR(  X25 ="榮14-18",X25 ="榮10-18",X25 ="榮06-18",X25 ="病14-18"  ),OR(  Y25 ="x",Y25="補",Y25="婚",Y25="公",Y25="病",Y25="事",Y25="x"  ), $AP25 =""),"18放早走",  IF(  AND(  OR(  X25 =""),OR(  Y25 ="x",Y25="補",Y25="婚",Y25="公",Y25="病",Y25="事",Y25="x榮*",Y25="榮",Y25="榮-22"  ), $AP25 =""),"18放",  IF(  AND(  OR(  X25="當日退伍"  ),OR(  Y25="退伍",Y25="退", Y25=""  ), $AP25 =""),"當日退伍",  IF(AND(  OR(X25="退",X25="退伍" ), OR(Y25="退",Y25="退伍" ), $AP25 =""),"退伍","全日勤"  )  )  )  )  )  )  )  )  )  )  ),"")</f>
        <v>全日休</v>
      </c>
      <c r="Y66" s="66" t="str">
        <f>IF(   (ROW(BK25)-1)&lt;=暫1!$B$2,           IF(  AND(  OR(  Y25="x",Y25="補"  ), OR(  Z25 ="x",Z25="補",Z25="x榮18-22",Z25="x公18-22",Z25="x榮22-08"  ), $AP25 =""),"全日休",  IF(  AND(  OR(  Y25="x",Y25="病"  ), OR(  Z25 ="病"  ), $AP25 =""),"病(事)假",  IF(  AND(  OR(  Y25="x",Y25="補"  ), OR(  Z25 ="補"  ), $AP25 =""),"補休",  IF(  AND(  OR(  Y25="x",Y25="喪"  ), OR(  Z25 ="喪"  ), $AP25 =""),"喪假",  IF(  AND(  OR(  Y25="x",Y25="婚",Y25="產"  ), OR(  Z25 ="婚",Z25="產"  ), $AP25 =""),"婚(產)假",  IF(  AND(  OR(  Y25="x",Y25="公"  ), OR(  Z25 ="公"  ), $AP25 =""),"公假",  IF(  AND(  OR(  Y25="x",Y25="補",Y25="婚",Y25="公",Y25="病",Y25="事",Y25="x榮18-22"  ),OR(Z25=""), $AP25 =""  ),"18收",  IF(  AND(  OR(  Y25 ="榮14-18",Y25 ="榮10-18",Y25 ="榮06-18",Y25 ="病14-18"  ),OR(  Z25 ="x",Z25="補",Z25="婚",Z25="公",Z25="病",Z25="事",Z25="x"  ), $AP25 =""),"18放早走",  IF(  AND(  OR(  Y25 =""),OR(  Z25 ="x",Z25="補",Z25="婚",Z25="公",Z25="病",Z25="事",Z25="x榮*",Z25="榮",Z25="榮-22"  ), $AP25 =""),"18放",  IF(  AND(  OR(  Y25="當日退伍"  ),OR(  Z25="退伍",Z25="退", Z25=""  ), $AP25 =""),"當日退伍",  IF(AND(  OR(Y25="退",Y25="退伍" ), OR(Z25="退",Z25="退伍" ), $AP25 =""),"退伍","全日勤"  )  )  )  )  )  )  )  )  )  )  ),"")</f>
        <v>18收</v>
      </c>
      <c r="Z66" s="66" t="str">
        <f>IF(   (ROW(BL25)-1)&lt;=暫1!$B$2,           IF(  AND(  OR(  Z25="x",Z25="補"  ), OR(  AA25 ="x",AA25="補",AA25="x榮18-22",AA25="x公18-22",AA25="x榮22-08"  ), $AP25 =""),"全日休",  IF(  AND(  OR(  Z25="x",Z25="病"  ), OR(  AA25 ="病"  ), $AP25 =""),"病(事)假",  IF(  AND(  OR(  Z25="x",Z25="補"  ), OR(  AA25 ="補"  ), $AP25 =""),"補休",  IF(  AND(  OR(  Z25="x",Z25="喪"  ), OR(  AA25 ="喪"  ), $AP25 =""),"喪假",  IF(  AND(  OR(  Z25="x",Z25="婚",Z25="產"  ), OR(  AA25 ="婚",AA25="產"  ), $AP25 =""),"婚(產)假",  IF(  AND(  OR(  Z25="x",Z25="公"  ), OR(  AA25 ="公"  ), $AP25 =""),"公假",  IF(  AND(  OR(  Z25="x",Z25="補",Z25="婚",Z25="公",Z25="病",Z25="事",Z25="x榮18-22"  ),OR(AA25=""), $AP25 =""  ),"18收",  IF(  AND(  OR(  Z25 ="榮14-18",Z25 ="榮10-18",Z25 ="榮06-18",Z25 ="病14-18"  ),OR(  AA25 ="x",AA25="補",AA25="婚",AA25="公",AA25="病",AA25="事",AA25="x"  ), $AP25 =""),"18放早走",  IF(  AND(  OR(  Z25 =""),OR(  AA25 ="x",AA25="補",AA25="婚",AA25="公",AA25="病",AA25="事",AA25="x榮*",AA25="榮",AA25="榮-22"  ), $AP25 =""),"18放",  IF(  AND(  OR(  Z25="當日退伍"  ),OR(  AA25="退伍",AA25="退", AA25=""  ), $AP25 =""),"當日退伍",  IF(AND(  OR(Z25="退",Z25="退伍" ), OR(AA25="退",AA25="退伍" ), $AP25 =""),"退伍","全日勤"  )  )  )  )  )  )  )  )  )  )  ),"")</f>
        <v>全日勤</v>
      </c>
      <c r="AA66" s="66" t="str">
        <f>IF(   (ROW(BM25)-1)&lt;=暫1!$B$2,           IF(  AND(  OR(  AA25="x",AA25="補"  ), OR(  AB25 ="x",AB25="補",AB25="x榮18-22",AB25="x公18-22",AB25="x榮22-08"  ), $AP25 =""),"全日休",  IF(  AND(  OR(  AA25="x",AA25="病"  ), OR(  AB25 ="病"  ), $AP25 =""),"病(事)假",  IF(  AND(  OR(  AA25="x",AA25="補"  ), OR(  AB25 ="補"  ), $AP25 =""),"補休",  IF(  AND(  OR(  AA25="x",AA25="喪"  ), OR(  AB25 ="喪"  ), $AP25 =""),"喪假",  IF(  AND(  OR(  AA25="x",AA25="婚",AA25="產"  ), OR(  AB25 ="婚",AB25="產"  ), $AP25 =""),"婚(產)假",  IF(  AND(  OR(  AA25="x",AA25="公"  ), OR(  AB25 ="公"  ), $AP25 =""),"公假",  IF(  AND(  OR(  AA25="x",AA25="補",AA25="婚",AA25="公",AA25="病",AA25="事",AA25="x榮18-22"  ),OR(AB25=""), $AP25 =""  ),"18收",  IF(  AND(  OR(  AA25 ="榮14-18",AA25 ="榮10-18",AA25 ="榮06-18",AA25 ="病14-18"  ),OR(  AB25 ="x",AB25="補",AB25="婚",AB25="公",AB25="病",AB25="事",AB25="x"  ), $AP25 =""),"18放早走",  IF(  AND(  OR(  AA25 =""),OR(  AB25 ="x",AB25="補",AB25="婚",AB25="公",AB25="病",AB25="事",AB25="x榮*",AB25="榮",AB25="榮-22"  ), $AP25 =""),"18放",  IF(  AND(  OR(  AA25="當日退伍"  ),OR(  AB25="退伍",AB25="退", AB25=""  ), $AP25 =""),"當日退伍",  IF(AND(  OR(AA25="退",AA25="退伍" ), OR(AB25="退",AB25="退伍" ), $AP25 =""),"退伍","全日勤"  )  )  )  )  )  )  )  )  )  )  ),"")</f>
        <v>全日勤</v>
      </c>
      <c r="AB66" s="66" t="str">
        <f>IF(   (ROW(BN25)-1)&lt;=暫1!$B$2,           IF(  AND(  OR(  AB25="x",AB25="補"  ), OR(  AC25 ="x",AC25="補",AC25="x榮18-22",AC25="x公18-22",AC25="x榮22-08"  ), $AP25 =""),"全日休",  IF(  AND(  OR(  AB25="x",AB25="病"  ), OR(  AC25 ="病"  ), $AP25 =""),"病(事)假",  IF(  AND(  OR(  AB25="x",AB25="補"  ), OR(  AC25 ="補"  ), $AP25 =""),"補休",  IF(  AND(  OR(  AB25="x",AB25="喪"  ), OR(  AC25 ="喪"  ), $AP25 =""),"喪假",  IF(  AND(  OR(  AB25="x",AB25="婚",AB25="產"  ), OR(  AC25 ="婚",AC25="產"  ), $AP25 =""),"婚(產)假",  IF(  AND(  OR(  AB25="x",AB25="公"  ), OR(  AC25 ="公"  ), $AP25 =""),"公假",  IF(  AND(  OR(  AB25="x",AB25="補",AB25="婚",AB25="公",AB25="病",AB25="事",AB25="x榮18-22"  ),OR(AC25=""), $AP25 =""  ),"18收",  IF(  AND(  OR(  AB25 ="榮14-18",AB25 ="榮10-18",AB25 ="榮06-18",AB25 ="病14-18"  ),OR(  AC25 ="x",AC25="補",AC25="婚",AC25="公",AC25="病",AC25="事",AC25="x"  ), $AP25 =""),"18放早走",  IF(  AND(  OR(  AB25 =""),OR(  AC25 ="x",AC25="補",AC25="婚",AC25="公",AC25="病",AC25="事",AC25="x榮*",AC25="榮",AC25="榮-22"  ), $AP25 =""),"18放",  IF(  AND(  OR(  AB25="當日退伍"  ),OR(  AC25="退伍",AC25="退", AC25=""  ), $AP25 =""),"當日退伍",  IF(AND(  OR(AB25="退",AB25="退伍" ), OR(AC25="退",AC25="退伍" ), $AP25 =""),"退伍","全日勤"  )  )  )  )  )  )  )  )  )  )  ),"")</f>
        <v>全日勤</v>
      </c>
      <c r="AC66" s="66" t="str">
        <f>IF(   (ROW(BO25)-1)&lt;=暫1!$B$2,           IF(  AND(  OR(  AC25="x",AC25="補"  ), OR(  AD25 ="x",AD25="補",AD25="x榮18-22",AD25="x公18-22",AD25="x榮22-08"  ), $AP25 =""),"全日休",  IF(  AND(  OR(  AC25="x",AC25="病"  ), OR(  AD25 ="病"  ), $AP25 =""),"病(事)假",  IF(  AND(  OR(  AC25="x",AC25="補"  ), OR(  AD25 ="補"  ), $AP25 =""),"補休",  IF(  AND(  OR(  AC25="x",AC25="喪"  ), OR(  AD25 ="喪"  ), $AP25 =""),"喪假",  IF(  AND(  OR(  AC25="x",AC25="婚",AC25="產"  ), OR(  AD25 ="婚",AD25="產"  ), $AP25 =""),"婚(產)假",  IF(  AND(  OR(  AC25="x",AC25="公"  ), OR(  AD25 ="公"  ), $AP25 =""),"公假",  IF(  AND(  OR(  AC25="x",AC25="補",AC25="婚",AC25="公",AC25="病",AC25="事",AC25="x榮18-22"  ),OR(AD25=""), $AP25 =""  ),"18收",  IF(  AND(  OR(  AC25 ="榮14-18",AC25 ="榮10-18",AC25 ="榮06-18",AC25 ="病14-18"  ),OR(  AD25 ="x",AD25="補",AD25="婚",AD25="公",AD25="病",AD25="事",AD25="x"  ), $AP25 =""),"18放早走",  IF(  AND(  OR(  AC25 =""),OR(  AD25 ="x",AD25="補",AD25="婚",AD25="公",AD25="病",AD25="事",AD25="x榮*",AD25="榮",AD25="榮-22"  ), $AP25 =""),"18放",  IF(  AND(  OR(  AC25="當日退伍"  ),OR(  AD25="退伍",AD25="退", AD25=""  ), $AP25 =""),"當日退伍",  IF(AND(  OR(AC25="退",AC25="退伍" ), OR(AD25="退",AD25="退伍" ), $AP25 =""),"退伍","全日勤"  )  )  )  )  )  )  )  )  )  )  ),"")</f>
        <v>全日勤</v>
      </c>
      <c r="AD66" s="66" t="str">
        <f>IF(   (ROW(BP25)-1)&lt;=暫1!$B$2,           IF(  AND(  OR(  AD25="x",AD25="補"  ), OR(  AE25 ="x",AE25="補",AE25="x榮18-22",AE25="x公18-22",AE25="x榮22-08"  ), $AP25 =""),"全日休",  IF(  AND(  OR(  AD25="x",AD25="病"  ), OR(  AE25 ="病"  ), $AP25 =""),"病(事)假",  IF(  AND(  OR(  AD25="x",AD25="補"  ), OR(  AE25 ="補"  ), $AP25 =""),"補休",  IF(  AND(  OR(  AD25="x",AD25="喪"  ), OR(  AE25 ="喪"  ), $AP25 =""),"喪假",  IF(  AND(  OR(  AD25="x",AD25="婚",AD25="產"  ), OR(  AE25 ="婚",AE25="產"  ), $AP25 =""),"婚(產)假",  IF(  AND(  OR(  AD25="x",AD25="公"  ), OR(  AE25 ="公"  ), $AP25 =""),"公假",  IF(  AND(  OR(  AD25="x",AD25="補",AD25="婚",AD25="公",AD25="病",AD25="事",AD25="x榮18-22"  ),OR(AE25=""), $AP25 =""  ),"18收",  IF(  AND(  OR(  AD25 ="榮14-18",AD25 ="榮10-18",AD25 ="榮06-18",AD25 ="病14-18"  ),OR(  AE25 ="x",AE25="補",AE25="婚",AE25="公",AE25="病",AE25="事",AE25="x"  ), $AP25 =""),"18放早走",  IF(  AND(  OR(  AD25 =""),OR(  AE25 ="x",AE25="補",AE25="婚",AE25="公",AE25="病",AE25="事",AE25="x榮*",AE25="榮",AE25="榮-22"  ), $AP25 =""),"18放",  IF(  AND(  OR(  AD25="當日退伍"  ),OR(  AE25="退伍",AE25="退", AE25=""  ), $AP25 =""),"當日退伍",  IF(AND(  OR(AD25="退",AD25="退伍" ), OR(AE25="退",AE25="退伍" ), $AP25 =""),"退伍","全日勤"  )  )  )  )  )  )  )  )  )  )  ),"")</f>
        <v>全日勤</v>
      </c>
      <c r="AE66" s="66" t="str">
        <f>IF(   (ROW(BQ25)-1)&lt;=暫1!$B$2,           IF(  AND(  OR(  AE25="x",AE25="補"  ), OR(  AF25 ="x",AF25="補",AF25="x榮18-22",AF25="x公18-22",AF25="x榮22-08"  ), $AP25 =""),"全日休",  IF(  AND(  OR(  AE25="x",AE25="病"  ), OR(  AF25 ="病"  ), $AP25 =""),"病(事)假",  IF(  AND(  OR(  AE25="x",AE25="補"  ), OR(  AF25 ="補"  ), $AP25 =""),"補休",  IF(  AND(  OR(  AE25="x",AE25="喪"  ), OR(  AF25 ="喪"  ), $AP25 =""),"喪假",  IF(  AND(  OR(  AE25="x",AE25="婚",AE25="產"  ), OR(  AF25 ="婚",AF25="產"  ), $AP25 =""),"婚(產)假",  IF(  AND(  OR(  AE25="x",AE25="公"  ), OR(  AF25 ="公"  ), $AP25 =""),"公假",  IF(  AND(  OR(  AE25="x",AE25="補",AE25="婚",AE25="公",AE25="病",AE25="事",AE25="x榮18-22"  ),OR(AF25=""), $AP25 =""  ),"18收",  IF(  AND(  OR(  AE25 ="榮14-18",AE25 ="榮10-18",AE25 ="榮06-18",AE25 ="病14-18"  ),OR(  AF25 ="x",AF25="補",AF25="婚",AF25="公",AF25="病",AF25="事",AF25="x"  ), $AP25 =""),"18放早走",  IF(  AND(  OR(  AE25 =""),OR(  AF25 ="x",AF25="補",AF25="婚",AF25="公",AF25="病",AF25="事",AF25="x榮*",AF25="榮",AF25="榮-22"  ), $AP25 =""),"18放",  IF(  AND(  OR(  AE25="當日退伍"  ),OR(  AF25="退伍",AF25="退", AF25=""  ), $AP25 =""),"當日退伍",  IF(AND(  OR(AE25="退",AE25="退伍" ), OR(AF25="退",AF25="退伍" ), $AP25 =""),"退伍","全日勤"  )  )  )  )  )  )  )  )  )  )  ),"")</f>
        <v>18放</v>
      </c>
      <c r="AF66" s="66" t="str">
        <f>IF(   (ROW(BR25)-1)&lt;=暫1!$B$2,           IF(  AND(  OR(  AF25="x",AF25="補"  ), OR(  AG25 ="x",AG25="補",AG25="x榮18-22",AG25="x公18-22",AG25="x榮22-08"  ), $AP25 =""),"全日休",  IF(  AND(  OR(  AF25="x",AF25="病"  ), OR(  AG25 ="病"  ), $AP25 =""),"病(事)假",  IF(  AND(  OR(  AF25="x",AF25="補"  ), OR(  AG25 ="補"  ), $AP25 =""),"補休",  IF(  AND(  OR(  AF25="x",AF25="喪"  ), OR(  AG25 ="喪"  ), $AP25 =""),"喪假",  IF(  AND(  OR(  AF25="x",AF25="婚",AF25="產"  ), OR(  AG25 ="婚",AG25="產"  ), $AP25 =""),"婚(產)假",  IF(  AND(  OR(  AF25="x",AF25="公"  ), OR(  AG25 ="公"  ), $AP25 =""),"公假",  IF(  AND(  OR(  AF25="x",AF25="補",AF25="婚",AF25="公",AF25="病",AF25="事",AF25="x榮18-22"  ),OR(AG25=""), $AP25 =""  ),"18收",  IF(  AND(  OR(  AF25 ="榮14-18",AF25 ="榮10-18",AF25 ="榮06-18",AF25 ="病14-18"  ),OR(  AG25 ="x",AG25="補",AG25="婚",AG25="公",AG25="病",AG25="事",AG25="x"  ), $AP25 =""),"18放早走",  IF(  AND(  OR(  AF25 =""),OR(  AG25 ="x",AG25="補",AG25="婚",AG25="公",AG25="病",AG25="事",AG25="x榮*",AG25="榮",AG25="榮-22"  ), $AP25 =""),"18放",  IF(  AND(  OR(  AF25="當日退伍"  ),OR(  AG25="退伍",AG25="退", AG25=""  ), $AP25 =""),"當日退伍",  IF(AND(  OR(AF25="退",AF25="退伍" ), OR(AG25="退",AG25="退伍" ), $AP25 =""),"退伍","全日勤"  )  )  )  )  )  )  )  )  )  )  ),"")</f>
        <v>全日休</v>
      </c>
      <c r="AG66" s="66" t="str">
        <f>IF(   (ROW(BS25)-1)&lt;=暫1!$B$2,           IF(  AND(  OR(  AG25="x",AG25="補"  ), OR(  AH25 ="x",AH25="補",AH25="x榮18-22",AH25="x公18-22",AH25="x榮22-08"  ), $AP25 =""),"全日休",  IF(  AND(  OR(  AG25="x",AG25="病"  ), OR(  AH25 ="病"  ), $AP25 =""),"病(事)假",  IF(  AND(  OR(  AG25="x",AG25="補"  ), OR(  AH25 ="補"  ), $AP25 =""),"補休",  IF(  AND(  OR(  AG25="x",AG25="喪"  ), OR(  AH25 ="喪"  ), $AP25 =""),"喪假",  IF(  AND(  OR(  AG25="x",AG25="婚",AG25="產"  ), OR(  AH25 ="婚",AH25="產"  ), $AP25 =""),"婚(產)假",  IF(  AND(  OR(  AG25="x",AG25="公"  ), OR(  AH25 ="公"  ), $AP25 =""),"公假",  IF(  AND(  OR(  AG25="x",AG25="補",AG25="婚",AG25="公",AG25="病",AG25="事",AG25="x榮18-22"  ),OR(AH25=""), $AP25 =""  ),"18收",  IF(  AND(  OR(  AG25 ="榮14-18",AG25 ="榮10-18",AG25 ="榮06-18",AG25 ="病14-18"  ),OR(  AH25 ="x",AH25="補",AH25="婚",AH25="公",AH25="病",AH25="事",AH25="x"  ), $AP25 =""),"18放早走",  IF(  AND(  OR(  AG25 =""),OR(  AH25 ="x",AH25="補",AH25="婚",AH25="公",AH25="病",AH25="事",AH25="x榮*",AH25="榮",AH25="榮-22"  ), $AP25 =""),"18放",  IF(  AND(  OR(  AG25="當日退伍"  ),OR(  AH25="退伍",AH25="退", AH25=""  ), $AP25 =""),"當日退伍",  IF(AND(  OR(AG25="退",AG25="退伍" ), OR(AH25="退",AH25="退伍" ), $AP25 =""),"退伍","全日勤"  )  )  )  )  )  )  )  )  )  )  ),"")</f>
        <v>18收</v>
      </c>
      <c r="AH66" s="66" t="str">
        <f>IF(   (ROW(BT25)-1)&lt;=暫1!$B$2,           IF(  AND(  OR(  AH25="x",AH25="補"  ), OR(  AI25 ="x",AI25="補",AI25="x榮18-22",AI25="x公18-22",AI25="x榮22-08"  ), $AP25 =""),"全日休",  IF(  AND(  OR(  AH25="x",AH25="病"  ), OR(  AI25 ="病"  ), $AP25 =""),"病(事)假",  IF(  AND(  OR(  AH25="x",AH25="補"  ), OR(  AI25 ="補"  ), $AP25 =""),"補休",  IF(  AND(  OR(  AH25="x",AH25="喪"  ), OR(  AI25 ="喪"  ), $AP25 =""),"喪假",  IF(  AND(  OR(  AH25="x",AH25="婚",AH25="產"  ), OR(  AI25 ="婚",AI25="產"  ), $AP25 =""),"婚(產)假",  IF(  AND(  OR(  AH25="x",AH25="公"  ), OR(  AI25 ="公"  ), $AP25 =""),"公假",  IF(  AND(  OR(  AH25="x",AH25="補",AH25="婚",AH25="公",AH25="病",AH25="事",AH25="x榮18-22"  ),OR(AI25=""), $AP25 =""  ),"18收",  IF(  AND(  OR(  AH25 ="榮14-18",AH25 ="榮10-18",AH25 ="榮06-18",AH25 ="病14-18"  ),OR(  AI25 ="x",AI25="補",AI25="婚",AI25="公",AI25="病",AI25="事",AI25="x"  ), $AP25 =""),"18放早走",  IF(  AND(  OR(  AH25 =""),OR(  AI25 ="x",AI25="補",AI25="婚",AI25="公",AI25="病",AI25="事",AI25="x榮*",AI25="榮",AI25="榮-22"  ), $AP25 =""),"18放",  IF(  AND(  OR(  AH25="當日退伍"  ),OR(  AI25="退伍",AI25="退", AI25=""  ), $AP25 =""),"當日退伍",  IF(AND(  OR(AH25="退",AH25="退伍" ), OR(AI25="退",AI25="退伍" ), $AP25 =""),"退伍","全日勤"  )  )  )  )  )  )  )  )  )  )  ),"")</f>
        <v>全日勤</v>
      </c>
      <c r="AI66" s="66" t="str">
        <f>IF(   (ROW(BU25)-1)&lt;=暫1!$B$2,           IF(  AND(  OR(  AI25="x",AI25="補"  ), OR(  AJ25 ="x",AJ25="補",AJ25="x榮18-22",AJ25="x公18-22",AJ25="x榮22-08"  ), $AP25 =""),"全日休",  IF(  AND(  OR(  AI25="x",AI25="病"  ), OR(  AJ25 ="病"  ), $AP25 =""),"病(事)假",  IF(  AND(  OR(  AI25="x",AI25="補"  ), OR(  AJ25 ="補"  ), $AP25 =""),"補休",  IF(  AND(  OR(  AI25="x",AI25="喪"  ), OR(  AJ25 ="喪"  ), $AP25 =""),"喪假",  IF(  AND(  OR(  AI25="x",AI25="婚",AI25="產"  ), OR(  AJ25 ="婚",AJ25="產"  ), $AP25 =""),"婚(產)假",  IF(  AND(  OR(  AI25="x",AI25="公"  ), OR(  AJ25 ="公"  ), $AP25 =""),"公假",  IF(  AND(  OR(  AI25="x",AI25="補",AI25="婚",AI25="公",AI25="病",AI25="事",AI25="x榮18-22"  ),OR(AJ25=""), $AP25 =""  ),"18收",  IF(  AND(  OR(  AI25 ="榮14-18",AI25 ="榮10-18",AI25 ="榮06-18",AI25 ="病14-18"  ),OR(  AJ25 ="x",AJ25="補",AJ25="婚",AJ25="公",AJ25="病",AJ25="事",AJ25="x"  ), $AP25 =""),"18放早走",  IF(  AND(  OR(  AI25 =""),OR(  AJ25 ="x",AJ25="補",AJ25="婚",AJ25="公",AJ25="病",AJ25="事",AJ25="x榮*",AJ25="榮",AJ25="榮-22"  ), $AP25 =""),"18放",  IF(  AND(  OR(  AI25="當日退伍"  ),OR(  AJ25="退伍",AJ25="退", AJ25=""  ), $AP25 =""),"當日退伍",  IF(AND(  OR(AI25="退",AI25="退伍" ), OR(AJ25="退",AJ25="退伍" ), $AP25 =""),"退伍","全日勤"  )  )  )  )  )  )  )  )  )  )  ),"")</f>
        <v>全日勤</v>
      </c>
      <c r="AJ66" s="66" t="str">
        <f>IF(   (ROW(BV25)-1)&lt;=暫1!$B$2,           IF(  AND(  OR(  AJ25="x",AJ25="補"  ), OR(  AK25 ="x",AK25="補",AK25="x榮18-22",AK25="x公18-22",AK25="x榮22-08"  ), $AP25 =""),"全日休",  IF(  AND(  OR(  AJ25="x",AJ25="病"  ), OR(  AK25 ="病"  ), $AP25 =""),"病(事)假",  IF(  AND(  OR(  AJ25="x",AJ25="補"  ), OR(  AK25 ="補"  ), $AP25 =""),"補休",  IF(  AND(  OR(  AJ25="x",AJ25="喪"  ), OR(  AK25 ="喪"  ), $AP25 =""),"喪假",  IF(  AND(  OR(  AJ25="x",AJ25="婚",AJ25="產"  ), OR(  AK25 ="婚",AK25="產"  ), $AP25 =""),"婚(產)假",  IF(  AND(  OR(  AJ25="x",AJ25="公"  ), OR(  AK25 ="公"  ), $AP25 =""),"公假",  IF(  AND(  OR(  AJ25="x",AJ25="補",AJ25="婚",AJ25="公",AJ25="病",AJ25="事",AJ25="x榮18-22"  ),OR(AK25=""), $AP25 =""  ),"18收",  IF(  AND(  OR(  AJ25 ="榮14-18",AJ25 ="榮10-18",AJ25 ="榮06-18",AJ25 ="病14-18"  ),OR(  AK25 ="x",AK25="補",AK25="婚",AK25="公",AK25="病",AK25="事",AK25="x"  ), $AP25 =""),"18放早走",  IF(  AND(  OR(  AJ25 =""),OR(  AK25 ="x",AK25="補",AK25="婚",AK25="公",AK25="病",AK25="事",AK25="x榮*",AK25="榮",AK25="榮-22"  ), $AP25 =""),"18放",  IF(  AND(  OR(  AJ25="當日退伍"  ),OR(  AK25="退伍",AK25="退", AK25=""  ), $AP25 =""),"當日退伍",  IF(AND(  OR(AJ25="退",AJ25="退伍" ), OR(AK25="退",AK25="退伍" ), $AP25 =""),"退伍","全日勤"  )  )  )  )  )  )  )  )  )  )  ),"")</f>
        <v>全日勤</v>
      </c>
      <c r="AO66" s="76"/>
      <c r="AP66" s="63"/>
      <c r="AU66" s="63"/>
      <c r="AY66" s="63"/>
      <c r="AZ66" s="63"/>
      <c r="BA66" s="63"/>
    </row>
    <row r="67" spans="1:55" ht="25.5" customHeight="1">
      <c r="A67" s="66">
        <f t="shared" si="4"/>
        <v>25</v>
      </c>
      <c r="B67" s="66" t="str">
        <f t="shared" si="6"/>
        <v>唐正瑋</v>
      </c>
      <c r="C67" s="66" t="str">
        <f>IF(   (ROW(AO26)-1)&lt;=暫1!$B$2,           IF(  AND(  OR(  C26="x",C26="補"  ), OR(  D26 ="x",D26="補",D26="x榮18-22",D26="x公18-22",D26="x榮22-08"  ), $AP26 =""),"全日休",  IF(  AND(  OR(  C26="x",C26="病"  ), OR(  D26 ="病"  ), $AP26 =""),"病(事)假",  IF(  AND(  OR(  C26="x",C26="補"  ), OR(  D26 ="補"  ), $AP26 =""),"補休",  IF(  AND(  OR(  C26="x",C26="喪"  ), OR(  D26 ="喪"  ), $AP26 =""),"喪假",  IF(  AND(  OR(  C26="x",C26="婚",C26="產"  ), OR(  D26 ="婚",D26="產"  ), $AP26 =""),"婚(產)假",  IF(  AND(  OR(  C26="x",C26="公"  ), OR(  D26 ="公"  ), $AP26 =""),"公假",  IF(  AND(  OR(  C26="x",C26="補",C26="婚",C26="公",C26="病",C26="事",C26="x榮18-22"  ),OR(D26=""), $AP26 =""  ),"18收",  IF(  AND(  OR(  C26 ="榮14-18",C26 ="榮10-18",C26 ="榮06-18",C26 ="病14-18"  ),OR(  D26 ="x",D26="補",D26="婚",D26="公",D26="病",D26="事",D26="x"  ), $AP26 =""),"18放早走",  IF(  AND(  OR(  C26 =""),OR(  D26 ="x",D26="補",D26="婚",D26="公",D26="病",D26="事",D26="x榮*",D26="榮",D26="榮-22"  ), $AP26 =""),"18放",  IF(  AND(  OR(  C26="當日退伍"  ),OR(  D26="退伍",D26="退", D26=""  ), $AP26 =""),"當日退伍",  IF(AND(  OR(C26="退",C26="退伍" ), OR(D26="退",D26="退伍" ), $AP26 =""),"退伍","全日勤"  )  )  )  )  )  )  )  )  )  )  ),"")</f>
        <v>18放</v>
      </c>
      <c r="D67" s="66" t="str">
        <f>IF(   (ROW(AP26)-1)&lt;=暫1!$B$2,           IF(  AND(  OR(  D26="x",D26="補"  ), OR(  E26 ="x",E26="補",E26="x榮18-22",E26="x公18-22",E26="x榮22-08"  ), $AP26 =""),"全日休",  IF(  AND(  OR(  D26="x",D26="病"  ), OR(  E26 ="病"  ), $AP26 =""),"病(事)假",  IF(  AND(  OR(  D26="x",D26="補"  ), OR(  E26 ="補"  ), $AP26 =""),"補休",  IF(  AND(  OR(  D26="x",D26="喪"  ), OR(  E26 ="喪"  ), $AP26 =""),"喪假",  IF(  AND(  OR(  D26="x",D26="婚",D26="產"  ), OR(  E26 ="婚",E26="產"  ), $AP26 =""),"婚(產)假",  IF(  AND(  OR(  D26="x",D26="公"  ), OR(  E26 ="公"  ), $AP26 =""),"公假",  IF(  AND(  OR(  D26="x",D26="補",D26="婚",D26="公",D26="病",D26="事",D26="x榮18-22"  ),OR(E26=""), $AP26 =""  ),"18收",  IF(  AND(  OR(  D26 ="榮14-18",D26 ="榮10-18",D26 ="榮06-18",D26 ="病14-18"  ),OR(  E26 ="x",E26="補",E26="婚",E26="公",E26="病",E26="事",E26="x"  ), $AP26 =""),"18放早走",  IF(  AND(  OR(  D26 =""),OR(  E26 ="x",E26="補",E26="婚",E26="公",E26="病",E26="事",E26="x榮*",E26="榮",E26="榮-22"  ), $AP26 =""),"18放",  IF(  AND(  OR(  D26="當日退伍"  ),OR(  E26="退伍",E26="退", E26=""  ), $AP26 =""),"當日退伍",  IF(AND(  OR(D26="退",D26="退伍" ), OR(E26="退",E26="退伍" ), $AP26 =""),"退伍","全日勤"  )  )  )  )  )  )  )  )  )  )  ),"")</f>
        <v>全日休</v>
      </c>
      <c r="E67" s="66" t="str">
        <f>IF(   (ROW(AQ26)-1)&lt;=暫1!$B$2,           IF(  AND(  OR(  E26="x",E26="補"  ), OR(  F26 ="x",F26="補",F26="x榮18-22",F26="x公18-22",F26="x榮22-08"  ), $AP26 =""),"全日休",  IF(  AND(  OR(  E26="x",E26="病"  ), OR(  F26 ="病"  ), $AP26 =""),"病(事)假",  IF(  AND(  OR(  E26="x",E26="補"  ), OR(  F26 ="補"  ), $AP26 =""),"補休",  IF(  AND(  OR(  E26="x",E26="喪"  ), OR(  F26 ="喪"  ), $AP26 =""),"喪假",  IF(  AND(  OR(  E26="x",E26="婚",E26="產"  ), OR(  F26 ="婚",F26="產"  ), $AP26 =""),"婚(產)假",  IF(  AND(  OR(  E26="x",E26="公"  ), OR(  F26 ="公"  ), $AP26 =""),"公假",  IF(  AND(  OR(  E26="x",E26="補",E26="婚",E26="公",E26="病",E26="事",E26="x榮18-22"  ),OR(F26=""), $AP26 =""  ),"18收",  IF(  AND(  OR(  E26 ="榮14-18",E26 ="榮10-18",E26 ="榮06-18",E26 ="病14-18"  ),OR(  F26 ="x",F26="補",F26="婚",F26="公",F26="病",F26="事",F26="x"  ), $AP26 =""),"18放早走",  IF(  AND(  OR(  E26 =""),OR(  F26 ="x",F26="補",F26="婚",F26="公",F26="病",F26="事",F26="x榮*",F26="榮",F26="榮-22"  ), $AP26 =""),"18放",  IF(  AND(  OR(  E26="當日退伍"  ),OR(  F26="退伍",F26="退", F26=""  ), $AP26 =""),"當日退伍",  IF(AND(  OR(E26="退",E26="退伍" ), OR(F26="退",F26="退伍" ), $AP26 =""),"退伍","全日勤"  )  )  )  )  )  )  )  )  )  )  ),"")</f>
        <v>全日休</v>
      </c>
      <c r="F67" s="66" t="str">
        <f>IF(   (ROW(AR26)-1)&lt;=暫1!$B$2,           IF(  AND(  OR(  F26="x",F26="補"  ), OR(  G26 ="x",G26="補",G26="x榮18-22",G26="x公18-22",G26="x榮22-08"  ), $AP26 =""),"全日休",  IF(  AND(  OR(  F26="x",F26="病"  ), OR(  G26 ="病"  ), $AP26 =""),"病(事)假",  IF(  AND(  OR(  F26="x",F26="補"  ), OR(  G26 ="補"  ), $AP26 =""),"補休",  IF(  AND(  OR(  F26="x",F26="喪"  ), OR(  G26 ="喪"  ), $AP26 =""),"喪假",  IF(  AND(  OR(  F26="x",F26="婚",F26="產"  ), OR(  G26 ="婚",G26="產"  ), $AP26 =""),"婚(產)假",  IF(  AND(  OR(  F26="x",F26="公"  ), OR(  G26 ="公"  ), $AP26 =""),"公假",  IF(  AND(  OR(  F26="x",F26="補",F26="婚",F26="公",F26="病",F26="事",F26="x榮18-22"  ),OR(G26=""), $AP26 =""  ),"18收",  IF(  AND(  OR(  F26 ="榮14-18",F26 ="榮10-18",F26 ="榮06-18",F26 ="病14-18"  ),OR(  G26 ="x",G26="補",G26="婚",G26="公",G26="病",G26="事",G26="x"  ), $AP26 =""),"18放早走",  IF(  AND(  OR(  F26 =""),OR(  G26 ="x",G26="補",G26="婚",G26="公",G26="病",G26="事",G26="x榮*",G26="榮",G26="榮-22"  ), $AP26 =""),"18放",  IF(  AND(  OR(  F26="當日退伍"  ),OR(  G26="退伍",G26="退", G26=""  ), $AP26 =""),"當日退伍",  IF(AND(  OR(F26="退",F26="退伍" ), OR(G26="退",G26="退伍" ), $AP26 =""),"退伍","全日勤"  )  )  )  )  )  )  )  )  )  )  ),"")</f>
        <v>18收</v>
      </c>
      <c r="G67" s="66" t="str">
        <f>IF(   (ROW(AS26)-1)&lt;=暫1!$B$2,           IF(  AND(  OR(  G26="x",G26="補"  ), OR(  H26 ="x",H26="補",H26="x榮18-22",H26="x公18-22",H26="x榮22-08"  ), $AP26 =""),"全日休",  IF(  AND(  OR(  G26="x",G26="病"  ), OR(  H26 ="病"  ), $AP26 =""),"病(事)假",  IF(  AND(  OR(  G26="x",G26="補"  ), OR(  H26 ="補"  ), $AP26 =""),"補休",  IF(  AND(  OR(  G26="x",G26="喪"  ), OR(  H26 ="喪"  ), $AP26 =""),"喪假",  IF(  AND(  OR(  G26="x",G26="婚",G26="產"  ), OR(  H26 ="婚",H26="產"  ), $AP26 =""),"婚(產)假",  IF(  AND(  OR(  G26="x",G26="公"  ), OR(  H26 ="公"  ), $AP26 =""),"公假",  IF(  AND(  OR(  G26="x",G26="補",G26="婚",G26="公",G26="病",G26="事",G26="x榮18-22"  ),OR(H26=""), $AP26 =""  ),"18收",  IF(  AND(  OR(  G26 ="榮14-18",G26 ="榮10-18",G26 ="榮06-18",G26 ="病14-18"  ),OR(  H26 ="x",H26="補",H26="婚",H26="公",H26="病",H26="事",H26="x"  ), $AP26 =""),"18放早走",  IF(  AND(  OR(  G26 =""),OR(  H26 ="x",H26="補",H26="婚",H26="公",H26="病",H26="事",H26="x榮*",H26="榮",H26="榮-22"  ), $AP26 =""),"18放",  IF(  AND(  OR(  G26="當日退伍"  ),OR(  H26="退伍",H26="退", H26=""  ), $AP26 =""),"當日退伍",  IF(AND(  OR(G26="退",G26="退伍" ), OR(H26="退",H26="退伍" ), $AP26 =""),"退伍","全日勤"  )  )  )  )  )  )  )  )  )  )  ),"")</f>
        <v>全日勤</v>
      </c>
      <c r="H67" s="66" t="str">
        <f>IF(   (ROW(AT26)-1)&lt;=暫1!$B$2,           IF(  AND(  OR(  H26="x",H26="補"  ), OR(  I26 ="x",I26="補",I26="x榮18-22",I26="x公18-22",I26="x榮22-08"  ), $AP26 =""),"全日休",  IF(  AND(  OR(  H26="x",H26="病"  ), OR(  I26 ="病"  ), $AP26 =""),"病(事)假",  IF(  AND(  OR(  H26="x",H26="補"  ), OR(  I26 ="補"  ), $AP26 =""),"補休",  IF(  AND(  OR(  H26="x",H26="喪"  ), OR(  I26 ="喪"  ), $AP26 =""),"喪假",  IF(  AND(  OR(  H26="x",H26="婚",H26="產"  ), OR(  I26 ="婚",I26="產"  ), $AP26 =""),"婚(產)假",  IF(  AND(  OR(  H26="x",H26="公"  ), OR(  I26 ="公"  ), $AP26 =""),"公假",  IF(  AND(  OR(  H26="x",H26="補",H26="婚",H26="公",H26="病",H26="事",H26="x榮18-22"  ),OR(I26=""), $AP26 =""  ),"18收",  IF(  AND(  OR(  H26 ="榮14-18",H26 ="榮10-18",H26 ="榮06-18",H26 ="病14-18"  ),OR(  I26 ="x",I26="補",I26="婚",I26="公",I26="病",I26="事",I26="x"  ), $AP26 =""),"18放早走",  IF(  AND(  OR(  H26 =""),OR(  I26 ="x",I26="補",I26="婚",I26="公",I26="病",I26="事",I26="x榮*",I26="榮",I26="榮-22"  ), $AP26 =""),"18放",  IF(  AND(  OR(  H26="當日退伍"  ),OR(  I26="退伍",I26="退", I26=""  ), $AP26 =""),"當日退伍",  IF(AND(  OR(H26="退",H26="退伍" ), OR(I26="退",I26="退伍" ), $AP26 =""),"退伍","全日勤"  )  )  )  )  )  )  )  )  )  )  ),"")</f>
        <v>全日勤</v>
      </c>
      <c r="I67" s="66" t="str">
        <f>IF(   (ROW(AU26)-1)&lt;=暫1!$B$2,           IF(  AND(  OR(  I26="x",I26="補"  ), OR(  J26 ="x",J26="補",J26="x榮18-22",J26="x公18-22",J26="x榮22-08"  ), $AP26 =""),"全日休",  IF(  AND(  OR(  I26="x",I26="病"  ), OR(  J26 ="病"  ), $AP26 =""),"病(事)假",  IF(  AND(  OR(  I26="x",I26="補"  ), OR(  J26 ="補"  ), $AP26 =""),"補休",  IF(  AND(  OR(  I26="x",I26="喪"  ), OR(  J26 ="喪"  ), $AP26 =""),"喪假",  IF(  AND(  OR(  I26="x",I26="婚",I26="產"  ), OR(  J26 ="婚",J26="產"  ), $AP26 =""),"婚(產)假",  IF(  AND(  OR(  I26="x",I26="公"  ), OR(  J26 ="公"  ), $AP26 =""),"公假",  IF(  AND(  OR(  I26="x",I26="補",I26="婚",I26="公",I26="病",I26="事",I26="x榮18-22"  ),OR(J26=""), $AP26 =""  ),"18收",  IF(  AND(  OR(  I26 ="榮14-18",I26 ="榮10-18",I26 ="榮06-18",I26 ="病14-18"  ),OR(  J26 ="x",J26="補",J26="婚",J26="公",J26="病",J26="事",J26="x"  ), $AP26 =""),"18放早走",  IF(  AND(  OR(  I26 =""),OR(  J26 ="x",J26="補",J26="婚",J26="公",J26="病",J26="事",J26="x榮*",J26="榮",J26="榮-22"  ), $AP26 =""),"18放",  IF(  AND(  OR(  I26="當日退伍"  ),OR(  J26="退伍",J26="退", J26=""  ), $AP26 =""),"當日退伍",  IF(AND(  OR(I26="退",I26="退伍" ), OR(J26="退",J26="退伍" ), $AP26 =""),"退伍","全日勤"  )  )  )  )  )  )  )  )  )  )  ),"")</f>
        <v>全日勤</v>
      </c>
      <c r="J67" s="66" t="str">
        <f>IF(   (ROW(AV26)-1)&lt;=暫1!$B$2,           IF(  AND(  OR(  J26="x",J26="補"  ), OR(  K26 ="x",K26="補",K26="x榮18-22",K26="x公18-22",K26="x榮22-08"  ), $AP26 =""),"全日休",  IF(  AND(  OR(  J26="x",J26="病"  ), OR(  K26 ="病"  ), $AP26 =""),"病(事)假",  IF(  AND(  OR(  J26="x",J26="補"  ), OR(  K26 ="補"  ), $AP26 =""),"補休",  IF(  AND(  OR(  J26="x",J26="喪"  ), OR(  K26 ="喪"  ), $AP26 =""),"喪假",  IF(  AND(  OR(  J26="x",J26="婚",J26="產"  ), OR(  K26 ="婚",K26="產"  ), $AP26 =""),"婚(產)假",  IF(  AND(  OR(  J26="x",J26="公"  ), OR(  K26 ="公"  ), $AP26 =""),"公假",  IF(  AND(  OR(  J26="x",J26="補",J26="婚",J26="公",J26="病",J26="事",J26="x榮18-22"  ),OR(K26=""), $AP26 =""  ),"18收",  IF(  AND(  OR(  J26 ="榮14-18",J26 ="榮10-18",J26 ="榮06-18",J26 ="病14-18"  ),OR(  K26 ="x",K26="補",K26="婚",K26="公",K26="病",K26="事",K26="x"  ), $AP26 =""),"18放早走",  IF(  AND(  OR(  J26 =""),OR(  K26 ="x",K26="補",K26="婚",K26="公",K26="病",K26="事",K26="x榮*",K26="榮",K26="榮-22"  ), $AP26 =""),"18放",  IF(  AND(  OR(  J26="當日退伍"  ),OR(  K26="退伍",K26="退", K26=""  ), $AP26 =""),"當日退伍",  IF(AND(  OR(J26="退",J26="退伍" ), OR(K26="退",K26="退伍" ), $AP26 =""),"退伍","全日勤"  )  )  )  )  )  )  )  )  )  )  ),"")</f>
        <v>18放</v>
      </c>
      <c r="K67" s="66" t="str">
        <f>IF(   (ROW(AW26)-1)&lt;=暫1!$B$2,           IF(  AND(  OR(  K26="x",K26="補"  ), OR(  L26 ="x",L26="補",L26="x榮18-22",L26="x公18-22",L26="x榮22-08"  ), $AP26 =""),"全日休",  IF(  AND(  OR(  K26="x",K26="病"  ), OR(  L26 ="病"  ), $AP26 =""),"病(事)假",  IF(  AND(  OR(  K26="x",K26="補"  ), OR(  L26 ="補"  ), $AP26 =""),"補休",  IF(  AND(  OR(  K26="x",K26="喪"  ), OR(  L26 ="喪"  ), $AP26 =""),"喪假",  IF(  AND(  OR(  K26="x",K26="婚",K26="產"  ), OR(  L26 ="婚",L26="產"  ), $AP26 =""),"婚(產)假",  IF(  AND(  OR(  K26="x",K26="公"  ), OR(  L26 ="公"  ), $AP26 =""),"公假",  IF(  AND(  OR(  K26="x",K26="補",K26="婚",K26="公",K26="病",K26="事",K26="x榮18-22"  ),OR(L26=""), $AP26 =""  ),"18收",  IF(  AND(  OR(  K26 ="榮14-18",K26 ="榮10-18",K26 ="榮06-18",K26 ="病14-18"  ),OR(  L26 ="x",L26="補",L26="婚",L26="公",L26="病",L26="事",L26="x"  ), $AP26 =""),"18放早走",  IF(  AND(  OR(  K26 =""),OR(  L26 ="x",L26="補",L26="婚",L26="公",L26="病",L26="事",L26="x榮*",L26="榮",L26="榮-22"  ), $AP26 =""),"18放",  IF(  AND(  OR(  K26="當日退伍"  ),OR(  L26="退伍",L26="退", L26=""  ), $AP26 =""),"當日退伍",  IF(AND(  OR(K26="退",K26="退伍" ), OR(L26="退",L26="退伍" ), $AP26 =""),"退伍","全日勤"  )  )  )  )  )  )  )  )  )  )  ),"")</f>
        <v>全日休</v>
      </c>
      <c r="L67" s="66" t="str">
        <f>IF(   (ROW(AX26)-1)&lt;=暫1!$B$2,           IF(  AND(  OR(  L26="x",L26="補"  ), OR(  M26 ="x",M26="補",M26="x榮18-22",M26="x公18-22",M26="x榮22-08"  ), $AP26 =""),"全日休",  IF(  AND(  OR(  L26="x",L26="病"  ), OR(  M26 ="病"  ), $AP26 =""),"病(事)假",  IF(  AND(  OR(  L26="x",L26="補"  ), OR(  M26 ="補"  ), $AP26 =""),"補休",  IF(  AND(  OR(  L26="x",L26="喪"  ), OR(  M26 ="喪"  ), $AP26 =""),"喪假",  IF(  AND(  OR(  L26="x",L26="婚",L26="產"  ), OR(  M26 ="婚",M26="產"  ), $AP26 =""),"婚(產)假",  IF(  AND(  OR(  L26="x",L26="公"  ), OR(  M26 ="公"  ), $AP26 =""),"公假",  IF(  AND(  OR(  L26="x",L26="補",L26="婚",L26="公",L26="病",L26="事",L26="x榮18-22"  ),OR(M26=""), $AP26 =""  ),"18收",  IF(  AND(  OR(  L26 ="榮14-18",L26 ="榮10-18",L26 ="榮06-18",L26 ="病14-18"  ),OR(  M26 ="x",M26="補",M26="婚",M26="公",M26="病",M26="事",M26="x"  ), $AP26 =""),"18放早走",  IF(  AND(  OR(  L26 =""),OR(  M26 ="x",M26="補",M26="婚",M26="公",M26="病",M26="事",M26="x榮*",M26="榮",M26="榮-22"  ), $AP26 =""),"18放",  IF(  AND(  OR(  L26="當日退伍"  ),OR(  M26="退伍",M26="退", M26=""  ), $AP26 =""),"當日退伍",  IF(AND(  OR(L26="退",L26="退伍" ), OR(M26="退",M26="退伍" ), $AP26 =""),"退伍","全日勤"  )  )  )  )  )  )  )  )  )  )  ),"")</f>
        <v>全日休</v>
      </c>
      <c r="M67" s="66" t="str">
        <f>IF(   (ROW(AY26)-1)&lt;=暫1!$B$2,           IF(  AND(  OR(  M26="x",M26="補"  ), OR(  N26 ="x",N26="補",N26="x榮18-22",N26="x公18-22",N26="x榮22-08"  ), $AP26 =""),"全日休",  IF(  AND(  OR(  M26="x",M26="病"  ), OR(  N26 ="病"  ), $AP26 =""),"病(事)假",  IF(  AND(  OR(  M26="x",M26="補"  ), OR(  N26 ="補"  ), $AP26 =""),"補休",  IF(  AND(  OR(  M26="x",M26="喪"  ), OR(  N26 ="喪"  ), $AP26 =""),"喪假",  IF(  AND(  OR(  M26="x",M26="婚",M26="產"  ), OR(  N26 ="婚",N26="產"  ), $AP26 =""),"婚(產)假",  IF(  AND(  OR(  M26="x",M26="公"  ), OR(  N26 ="公"  ), $AP26 =""),"公假",  IF(  AND(  OR(  M26="x",M26="補",M26="婚",M26="公",M26="病",M26="事",M26="x榮18-22"  ),OR(N26=""), $AP26 =""  ),"18收",  IF(  AND(  OR(  M26 ="榮14-18",M26 ="榮10-18",M26 ="榮06-18",M26 ="病14-18"  ),OR(  N26 ="x",N26="補",N26="婚",N26="公",N26="病",N26="事",N26="x"  ), $AP26 =""),"18放早走",  IF(  AND(  OR(  M26 =""),OR(  N26 ="x",N26="補",N26="婚",N26="公",N26="病",N26="事",N26="x榮*",N26="榮",N26="榮-22"  ), $AP26 =""),"18放",  IF(  AND(  OR(  M26="當日退伍"  ),OR(  N26="退伍",N26="退", N26=""  ), $AP26 =""),"當日退伍",  IF(AND(  OR(M26="退",M26="退伍" ), OR(N26="退",N26="退伍" ), $AP26 =""),"退伍","全日勤"  )  )  )  )  )  )  )  )  )  )  ),"")</f>
        <v>18收</v>
      </c>
      <c r="N67" s="66" t="str">
        <f>IF(   (ROW(AZ26)-1)&lt;=暫1!$B$2,           IF(  AND(  OR(  N26="x",N26="補"  ), OR(  O26 ="x",O26="補",O26="x榮18-22",O26="x公18-22",O26="x榮22-08"  ), $AP26 =""),"全日休",  IF(  AND(  OR(  N26="x",N26="病"  ), OR(  O26 ="病"  ), $AP26 =""),"病(事)假",  IF(  AND(  OR(  N26="x",N26="補"  ), OR(  O26 ="補"  ), $AP26 =""),"補休",  IF(  AND(  OR(  N26="x",N26="喪"  ), OR(  O26 ="喪"  ), $AP26 =""),"喪假",  IF(  AND(  OR(  N26="x",N26="婚",N26="產"  ), OR(  O26 ="婚",O26="產"  ), $AP26 =""),"婚(產)假",  IF(  AND(  OR(  N26="x",N26="公"  ), OR(  O26 ="公"  ), $AP26 =""),"公假",  IF(  AND(  OR(  N26="x",N26="補",N26="婚",N26="公",N26="病",N26="事",N26="x榮18-22"  ),OR(O26=""), $AP26 =""  ),"18收",  IF(  AND(  OR(  N26 ="榮14-18",N26 ="榮10-18",N26 ="榮06-18",N26 ="病14-18"  ),OR(  O26 ="x",O26="補",O26="婚",O26="公",O26="病",O26="事",O26="x"  ), $AP26 =""),"18放早走",  IF(  AND(  OR(  N26 =""),OR(  O26 ="x",O26="補",O26="婚",O26="公",O26="病",O26="事",O26="x榮*",O26="榮",O26="榮-22"  ), $AP26 =""),"18放",  IF(  AND(  OR(  N26="當日退伍"  ),OR(  O26="退伍",O26="退", O26=""  ), $AP26 =""),"當日退伍",  IF(AND(  OR(N26="退",N26="退伍" ), OR(O26="退",O26="退伍" ), $AP26 =""),"退伍","全日勤"  )  )  )  )  )  )  )  )  )  )  ),"")</f>
        <v>全日勤</v>
      </c>
      <c r="O67" s="66" t="str">
        <f>IF(   (ROW(BA26)-1)&lt;=暫1!$B$2,           IF(  AND(  OR(  O26="x",O26="補"  ), OR(  P26 ="x",P26="補",P26="x榮18-22",P26="x公18-22",P26="x榮22-08"  ), $AP26 =""),"全日休",  IF(  AND(  OR(  O26="x",O26="病"  ), OR(  P26 ="病"  ), $AP26 =""),"病(事)假",  IF(  AND(  OR(  O26="x",O26="補"  ), OR(  P26 ="補"  ), $AP26 =""),"補休",  IF(  AND(  OR(  O26="x",O26="喪"  ), OR(  P26 ="喪"  ), $AP26 =""),"喪假",  IF(  AND(  OR(  O26="x",O26="婚",O26="產"  ), OR(  P26 ="婚",P26="產"  ), $AP26 =""),"婚(產)假",  IF(  AND(  OR(  O26="x",O26="公"  ), OR(  P26 ="公"  ), $AP26 =""),"公假",  IF(  AND(  OR(  O26="x",O26="補",O26="婚",O26="公",O26="病",O26="事",O26="x榮18-22"  ),OR(P26=""), $AP26 =""  ),"18收",  IF(  AND(  OR(  O26 ="榮14-18",O26 ="榮10-18",O26 ="榮06-18",O26 ="病14-18"  ),OR(  P26 ="x",P26="補",P26="婚",P26="公",P26="病",P26="事",P26="x"  ), $AP26 =""),"18放早走",  IF(  AND(  OR(  O26 =""),OR(  P26 ="x",P26="補",P26="婚",P26="公",P26="病",P26="事",P26="x榮*",P26="榮",P26="榮-22"  ), $AP26 =""),"18放",  IF(  AND(  OR(  O26="當日退伍"  ),OR(  P26="退伍",P26="退", P26=""  ), $AP26 =""),"當日退伍",  IF(AND(  OR(O26="退",O26="退伍" ), OR(P26="退",P26="退伍" ), $AP26 =""),"退伍","全日勤"  )  )  )  )  )  )  )  )  )  )  ),"")</f>
        <v>全日勤</v>
      </c>
      <c r="P67" s="66" t="str">
        <f>IF(   (ROW(BB26)-1)&lt;=暫1!$B$2,           IF(  AND(  OR(  P26="x",P26="補"  ), OR(  Q26 ="x",Q26="補",Q26="x榮18-22",Q26="x公18-22",Q26="x榮22-08"  ), $AP26 =""),"全日休",  IF(  AND(  OR(  P26="x",P26="病"  ), OR(  Q26 ="病"  ), $AP26 =""),"病(事)假",  IF(  AND(  OR(  P26="x",P26="補"  ), OR(  Q26 ="補"  ), $AP26 =""),"補休",  IF(  AND(  OR(  P26="x",P26="喪"  ), OR(  Q26 ="喪"  ), $AP26 =""),"喪假",  IF(  AND(  OR(  P26="x",P26="婚",P26="產"  ), OR(  Q26 ="婚",Q26="產"  ), $AP26 =""),"婚(產)假",  IF(  AND(  OR(  P26="x",P26="公"  ), OR(  Q26 ="公"  ), $AP26 =""),"公假",  IF(  AND(  OR(  P26="x",P26="補",P26="婚",P26="公",P26="病",P26="事",P26="x榮18-22"  ),OR(Q26=""), $AP26 =""  ),"18收",  IF(  AND(  OR(  P26 ="榮14-18",P26 ="榮10-18",P26 ="榮06-18",P26 ="病14-18"  ),OR(  Q26 ="x",Q26="補",Q26="婚",Q26="公",Q26="病",Q26="事",Q26="x"  ), $AP26 =""),"18放早走",  IF(  AND(  OR(  P26 =""),OR(  Q26 ="x",Q26="補",Q26="婚",Q26="公",Q26="病",Q26="事",Q26="x榮*",Q26="榮",Q26="榮-22"  ), $AP26 =""),"18放",  IF(  AND(  OR(  P26="當日退伍"  ),OR(  Q26="退伍",Q26="退", Q26=""  ), $AP26 =""),"當日退伍",  IF(AND(  OR(P26="退",P26="退伍" ), OR(Q26="退",Q26="退伍" ), $AP26 =""),"退伍","全日勤"  )  )  )  )  )  )  )  )  )  )  ),"")</f>
        <v>全日勤</v>
      </c>
      <c r="Q67" s="66" t="str">
        <f>IF(   (ROW(BC26)-1)&lt;=暫1!$B$2,           IF(  AND(  OR(  Q26="x",Q26="補"  ), OR(  R26 ="x",R26="補",R26="x榮18-22",R26="x公18-22",R26="x榮22-08"  ), $AP26 =""),"全日休",  IF(  AND(  OR(  Q26="x",Q26="病"  ), OR(  R26 ="病"  ), $AP26 =""),"病(事)假",  IF(  AND(  OR(  Q26="x",Q26="補"  ), OR(  R26 ="補"  ), $AP26 =""),"補休",  IF(  AND(  OR(  Q26="x",Q26="喪"  ), OR(  R26 ="喪"  ), $AP26 =""),"喪假",  IF(  AND(  OR(  Q26="x",Q26="婚",Q26="產"  ), OR(  R26 ="婚",R26="產"  ), $AP26 =""),"婚(產)假",  IF(  AND(  OR(  Q26="x",Q26="公"  ), OR(  R26 ="公"  ), $AP26 =""),"公假",  IF(  AND(  OR(  Q26="x",Q26="補",Q26="婚",Q26="公",Q26="病",Q26="事",Q26="x榮18-22"  ),OR(R26=""), $AP26 =""  ),"18收",  IF(  AND(  OR(  Q26 ="榮14-18",Q26 ="榮10-18",Q26 ="榮06-18",Q26 ="病14-18"  ),OR(  R26 ="x",R26="補",R26="婚",R26="公",R26="病",R26="事",R26="x"  ), $AP26 =""),"18放早走",  IF(  AND(  OR(  Q26 =""),OR(  R26 ="x",R26="補",R26="婚",R26="公",R26="病",R26="事",R26="x榮*",R26="榮",R26="榮-22"  ), $AP26 =""),"18放",  IF(  AND(  OR(  Q26="當日退伍"  ),OR(  R26="退伍",R26="退", R26=""  ), $AP26 =""),"當日退伍",  IF(AND(  OR(Q26="退",Q26="退伍" ), OR(R26="退",R26="退伍" ), $AP26 =""),"退伍","全日勤"  )  )  )  )  )  )  )  )  )  )  ),"")</f>
        <v>全日勤</v>
      </c>
      <c r="R67" s="66" t="str">
        <f>IF(   (ROW(BD26)-1)&lt;=暫1!$B$2,           IF(  AND(  OR(  R26="x",R26="補"  ), OR(  S26 ="x",S26="補",S26="x榮18-22",S26="x公18-22",S26="x榮22-08"  ), $AP26 =""),"全日休",  IF(  AND(  OR(  R26="x",R26="病"  ), OR(  S26 ="病"  ), $AP26 =""),"病(事)假",  IF(  AND(  OR(  R26="x",R26="補"  ), OR(  S26 ="補"  ), $AP26 =""),"補休",  IF(  AND(  OR(  R26="x",R26="喪"  ), OR(  S26 ="喪"  ), $AP26 =""),"喪假",  IF(  AND(  OR(  R26="x",R26="婚",R26="產"  ), OR(  S26 ="婚",S26="產"  ), $AP26 =""),"婚(產)假",  IF(  AND(  OR(  R26="x",R26="公"  ), OR(  S26 ="公"  ), $AP26 =""),"公假",  IF(  AND(  OR(  R26="x",R26="補",R26="婚",R26="公",R26="病",R26="事",R26="x榮18-22"  ),OR(S26=""), $AP26 =""  ),"18收",  IF(  AND(  OR(  R26 ="榮14-18",R26 ="榮10-18",R26 ="榮06-18",R26 ="病14-18"  ),OR(  S26 ="x",S26="補",S26="婚",S26="公",S26="病",S26="事",S26="x"  ), $AP26 =""),"18放早走",  IF(  AND(  OR(  R26 =""),OR(  S26 ="x",S26="補",S26="婚",S26="公",S26="病",S26="事",S26="x榮*",S26="榮",S26="榮-22"  ), $AP26 =""),"18放",  IF(  AND(  OR(  R26="當日退伍"  ),OR(  S26="退伍",S26="退", S26=""  ), $AP26 =""),"當日退伍",  IF(AND(  OR(R26="退",R26="退伍" ), OR(S26="退",S26="退伍" ), $AP26 =""),"退伍","全日勤"  )  )  )  )  )  )  )  )  )  )  ),"")</f>
        <v>全日勤</v>
      </c>
      <c r="S67" s="66" t="str">
        <f>IF(   (ROW(BE26)-1)&lt;=暫1!$B$2,           IF(  AND(  OR(  S26="x",S26="補"  ), OR(  T26 ="x",T26="補",T26="x榮18-22",T26="x公18-22",T26="x榮22-08"  ), $AP26 =""),"全日休",  IF(  AND(  OR(  S26="x",S26="病"  ), OR(  T26 ="病"  ), $AP26 =""),"病(事)假",  IF(  AND(  OR(  S26="x",S26="補"  ), OR(  T26 ="補"  ), $AP26 =""),"補休",  IF(  AND(  OR(  S26="x",S26="喪"  ), OR(  T26 ="喪"  ), $AP26 =""),"喪假",  IF(  AND(  OR(  S26="x",S26="婚",S26="產"  ), OR(  T26 ="婚",T26="產"  ), $AP26 =""),"婚(產)假",  IF(  AND(  OR(  S26="x",S26="公"  ), OR(  T26 ="公"  ), $AP26 =""),"公假",  IF(  AND(  OR(  S26="x",S26="補",S26="婚",S26="公",S26="病",S26="事",S26="x榮18-22"  ),OR(T26=""), $AP26 =""  ),"18收",  IF(  AND(  OR(  S26 ="榮14-18",S26 ="榮10-18",S26 ="榮06-18",S26 ="病14-18"  ),OR(  T26 ="x",T26="補",T26="婚",T26="公",T26="病",T26="事",T26="x"  ), $AP26 =""),"18放早走",  IF(  AND(  OR(  S26 =""),OR(  T26 ="x",T26="補",T26="婚",T26="公",T26="病",T26="事",T26="x榮*",T26="榮",T26="榮-22"  ), $AP26 =""),"18放",  IF(  AND(  OR(  S26="當日退伍"  ),OR(  T26="退伍",T26="退", T26=""  ), $AP26 =""),"當日退伍",  IF(AND(  OR(S26="退",S26="退伍" ), OR(T26="退",T26="退伍" ), $AP26 =""),"退伍","全日勤"  )  )  )  )  )  )  )  )  )  )  ),"")</f>
        <v>全日勤</v>
      </c>
      <c r="T67" s="66" t="str">
        <f>IF(   (ROW(BF26)-1)&lt;=暫1!$B$2,           IF(  AND(  OR(  T26="x",T26="補"  ), OR(  U26 ="x",U26="補",U26="x榮18-22",U26="x公18-22",U26="x榮22-08"  ), $AP26 =""),"全日休",  IF(  AND(  OR(  T26="x",T26="病"  ), OR(  U26 ="病"  ), $AP26 =""),"病(事)假",  IF(  AND(  OR(  T26="x",T26="補"  ), OR(  U26 ="補"  ), $AP26 =""),"補休",  IF(  AND(  OR(  T26="x",T26="喪"  ), OR(  U26 ="喪"  ), $AP26 =""),"喪假",  IF(  AND(  OR(  T26="x",T26="婚",T26="產"  ), OR(  U26 ="婚",U26="產"  ), $AP26 =""),"婚(產)假",  IF(  AND(  OR(  T26="x",T26="公"  ), OR(  U26 ="公"  ), $AP26 =""),"公假",  IF(  AND(  OR(  T26="x",T26="補",T26="婚",T26="公",T26="病",T26="事",T26="x榮18-22"  ),OR(U26=""), $AP26 =""  ),"18收",  IF(  AND(  OR(  T26 ="榮14-18",T26 ="榮10-18",T26 ="榮06-18",T26 ="病14-18"  ),OR(  U26 ="x",U26="補",U26="婚",U26="公",U26="病",U26="事",U26="x"  ), $AP26 =""),"18放早走",  IF(  AND(  OR(  T26 =""),OR(  U26 ="x",U26="補",U26="婚",U26="公",U26="病",U26="事",U26="x榮*",U26="榮",U26="榮-22"  ), $AP26 =""),"18放",  IF(  AND(  OR(  T26="當日退伍"  ),OR(  U26="退伍",U26="退", U26=""  ), $AP26 =""),"當日退伍",  IF(AND(  OR(T26="退",T26="退伍" ), OR(U26="退",U26="退伍" ), $AP26 =""),"退伍","全日勤"  )  )  )  )  )  )  )  )  )  )  ),"")</f>
        <v>全日勤</v>
      </c>
      <c r="U67" s="66" t="str">
        <f>IF(   (ROW(BG26)-1)&lt;=暫1!$B$2,           IF(  AND(  OR(  U26="x",U26="補"  ), OR(  V26 ="x",V26="補",V26="x榮18-22",V26="x公18-22",V26="x榮22-08"  ), $AP26 =""),"全日休",  IF(  AND(  OR(  U26="x",U26="病"  ), OR(  V26 ="病"  ), $AP26 =""),"病(事)假",  IF(  AND(  OR(  U26="x",U26="補"  ), OR(  V26 ="補"  ), $AP26 =""),"補休",  IF(  AND(  OR(  U26="x",U26="喪"  ), OR(  V26 ="喪"  ), $AP26 =""),"喪假",  IF(  AND(  OR(  U26="x",U26="婚",U26="產"  ), OR(  V26 ="婚",V26="產"  ), $AP26 =""),"婚(產)假",  IF(  AND(  OR(  U26="x",U26="公"  ), OR(  V26 ="公"  ), $AP26 =""),"公假",  IF(  AND(  OR(  U26="x",U26="補",U26="婚",U26="公",U26="病",U26="事",U26="x榮18-22"  ),OR(V26=""), $AP26 =""  ),"18收",  IF(  AND(  OR(  U26 ="榮14-18",U26 ="榮10-18",U26 ="榮06-18",U26 ="病14-18"  ),OR(  V26 ="x",V26="補",V26="婚",V26="公",V26="病",V26="事",V26="x"  ), $AP26 =""),"18放早走",  IF(  AND(  OR(  U26 =""),OR(  V26 ="x",V26="補",V26="婚",V26="公",V26="病",V26="事",V26="x榮*",V26="榮",V26="榮-22"  ), $AP26 =""),"18放",  IF(  AND(  OR(  U26="當日退伍"  ),OR(  V26="退伍",V26="退", V26=""  ), $AP26 =""),"當日退伍",  IF(AND(  OR(U26="退",U26="退伍" ), OR(V26="退",V26="退伍" ), $AP26 =""),"退伍","全日勤"  )  )  )  )  )  )  )  )  )  )  ),"")</f>
        <v>全日勤</v>
      </c>
      <c r="V67" s="66" t="str">
        <f>IF(   (ROW(BH26)-1)&lt;=暫1!$B$2,           IF(  AND(  OR(  V26="x",V26="補"  ), OR(  W26 ="x",W26="補",W26="x榮18-22",W26="x公18-22",W26="x榮22-08"  ), $AP26 =""),"全日休",  IF(  AND(  OR(  V26="x",V26="病"  ), OR(  W26 ="病"  ), $AP26 =""),"病(事)假",  IF(  AND(  OR(  V26="x",V26="補"  ), OR(  W26 ="補"  ), $AP26 =""),"補休",  IF(  AND(  OR(  V26="x",V26="喪"  ), OR(  W26 ="喪"  ), $AP26 =""),"喪假",  IF(  AND(  OR(  V26="x",V26="婚",V26="產"  ), OR(  W26 ="婚",W26="產"  ), $AP26 =""),"婚(產)假",  IF(  AND(  OR(  V26="x",V26="公"  ), OR(  W26 ="公"  ), $AP26 =""),"公假",  IF(  AND(  OR(  V26="x",V26="補",V26="婚",V26="公",V26="病",V26="事",V26="x榮18-22"  ),OR(W26=""), $AP26 =""  ),"18收",  IF(  AND(  OR(  V26 ="榮14-18",V26 ="榮10-18",V26 ="榮06-18",V26 ="病14-18"  ),OR(  W26 ="x",W26="補",W26="婚",W26="公",W26="病",W26="事",W26="x"  ), $AP26 =""),"18放早走",  IF(  AND(  OR(  V26 =""),OR(  W26 ="x",W26="補",W26="婚",W26="公",W26="病",W26="事",W26="x榮*",W26="榮",W26="榮-22"  ), $AP26 =""),"18放",  IF(  AND(  OR(  V26="當日退伍"  ),OR(  W26="退伍",W26="退", W26=""  ), $AP26 =""),"當日退伍",  IF(AND(  OR(V26="退",V26="退伍" ), OR(W26="退",W26="退伍" ), $AP26 =""),"退伍","全日勤"  )  )  )  )  )  )  )  )  )  )  ),"")</f>
        <v>全日勤</v>
      </c>
      <c r="W67" s="66" t="str">
        <f>IF(   (ROW(BI26)-1)&lt;=暫1!$B$2,           IF(  AND(  OR(  W26="x",W26="補"  ), OR(  X26 ="x",X26="補",X26="x榮18-22",X26="x公18-22",X26="x榮22-08"  ), $AP26 =""),"全日休",  IF(  AND(  OR(  W26="x",W26="病"  ), OR(  X26 ="病"  ), $AP26 =""),"病(事)假",  IF(  AND(  OR(  W26="x",W26="補"  ), OR(  X26 ="補"  ), $AP26 =""),"補休",  IF(  AND(  OR(  W26="x",W26="喪"  ), OR(  X26 ="喪"  ), $AP26 =""),"喪假",  IF(  AND(  OR(  W26="x",W26="婚",W26="產"  ), OR(  X26 ="婚",X26="產"  ), $AP26 =""),"婚(產)假",  IF(  AND(  OR(  W26="x",W26="公"  ), OR(  X26 ="公"  ), $AP26 =""),"公假",  IF(  AND(  OR(  W26="x",W26="補",W26="婚",W26="公",W26="病",W26="事",W26="x榮18-22"  ),OR(X26=""), $AP26 =""  ),"18收",  IF(  AND(  OR(  W26 ="榮14-18",W26 ="榮10-18",W26 ="榮06-18",W26 ="病14-18"  ),OR(  X26 ="x",X26="補",X26="婚",X26="公",X26="病",X26="事",X26="x"  ), $AP26 =""),"18放早走",  IF(  AND(  OR(  W26 =""),OR(  X26 ="x",X26="補",X26="婚",X26="公",X26="病",X26="事",X26="x榮*",X26="榮",X26="榮-22"  ), $AP26 =""),"18放",  IF(  AND(  OR(  W26="當日退伍"  ),OR(  X26="退伍",X26="退", X26=""  ), $AP26 =""),"當日退伍",  IF(AND(  OR(W26="退",W26="退伍" ), OR(X26="退",X26="退伍" ), $AP26 =""),"退伍","全日勤"  )  )  )  )  )  )  )  )  )  )  ),"")</f>
        <v>全日勤</v>
      </c>
      <c r="X67" s="66" t="str">
        <f>IF(   (ROW(BJ26)-1)&lt;=暫1!$B$2,           IF(  AND(  OR(  X26="x",X26="補"  ), OR(  Y26 ="x",Y26="補",Y26="x榮18-22",Y26="x公18-22",Y26="x榮22-08"  ), $AP26 =""),"全日休",  IF(  AND(  OR(  X26="x",X26="病"  ), OR(  Y26 ="病"  ), $AP26 =""),"病(事)假",  IF(  AND(  OR(  X26="x",X26="補"  ), OR(  Y26 ="補"  ), $AP26 =""),"補休",  IF(  AND(  OR(  X26="x",X26="喪"  ), OR(  Y26 ="喪"  ), $AP26 =""),"喪假",  IF(  AND(  OR(  X26="x",X26="婚",X26="產"  ), OR(  Y26 ="婚",Y26="產"  ), $AP26 =""),"婚(產)假",  IF(  AND(  OR(  X26="x",X26="公"  ), OR(  Y26 ="公"  ), $AP26 =""),"公假",  IF(  AND(  OR(  X26="x",X26="補",X26="婚",X26="公",X26="病",X26="事",X26="x榮18-22"  ),OR(Y26=""), $AP26 =""  ),"18收",  IF(  AND(  OR(  X26 ="榮14-18",X26 ="榮10-18",X26 ="榮06-18",X26 ="病14-18"  ),OR(  Y26 ="x",Y26="補",Y26="婚",Y26="公",Y26="病",Y26="事",Y26="x"  ), $AP26 =""),"18放早走",  IF(  AND(  OR(  X26 =""),OR(  Y26 ="x",Y26="補",Y26="婚",Y26="公",Y26="病",Y26="事",Y26="x榮*",Y26="榮",Y26="榮-22"  ), $AP26 =""),"18放",  IF(  AND(  OR(  X26="當日退伍"  ),OR(  Y26="退伍",Y26="退", Y26=""  ), $AP26 =""),"當日退伍",  IF(AND(  OR(X26="退",X26="退伍" ), OR(Y26="退",Y26="退伍" ), $AP26 =""),"退伍","全日勤"  )  )  )  )  )  )  )  )  )  )  ),"")</f>
        <v>18放</v>
      </c>
      <c r="Y67" s="66" t="str">
        <f>IF(   (ROW(BK26)-1)&lt;=暫1!$B$2,           IF(  AND(  OR(  Y26="x",Y26="補"  ), OR(  Z26 ="x",Z26="補",Z26="x榮18-22",Z26="x公18-22",Z26="x榮22-08"  ), $AP26 =""),"全日休",  IF(  AND(  OR(  Y26="x",Y26="病"  ), OR(  Z26 ="病"  ), $AP26 =""),"病(事)假",  IF(  AND(  OR(  Y26="x",Y26="補"  ), OR(  Z26 ="補"  ), $AP26 =""),"補休",  IF(  AND(  OR(  Y26="x",Y26="喪"  ), OR(  Z26 ="喪"  ), $AP26 =""),"喪假",  IF(  AND(  OR(  Y26="x",Y26="婚",Y26="產"  ), OR(  Z26 ="婚",Z26="產"  ), $AP26 =""),"婚(產)假",  IF(  AND(  OR(  Y26="x",Y26="公"  ), OR(  Z26 ="公"  ), $AP26 =""),"公假",  IF(  AND(  OR(  Y26="x",Y26="補",Y26="婚",Y26="公",Y26="病",Y26="事",Y26="x榮18-22"  ),OR(Z26=""), $AP26 =""  ),"18收",  IF(  AND(  OR(  Y26 ="榮14-18",Y26 ="榮10-18",Y26 ="榮06-18",Y26 ="病14-18"  ),OR(  Z26 ="x",Z26="補",Z26="婚",Z26="公",Z26="病",Z26="事",Z26="x"  ), $AP26 =""),"18放早走",  IF(  AND(  OR(  Y26 =""),OR(  Z26 ="x",Z26="補",Z26="婚",Z26="公",Z26="病",Z26="事",Z26="x榮*",Z26="榮",Z26="榮-22"  ), $AP26 =""),"18放",  IF(  AND(  OR(  Y26="當日退伍"  ),OR(  Z26="退伍",Z26="退", Z26=""  ), $AP26 =""),"當日退伍",  IF(AND(  OR(Y26="退",Y26="退伍" ), OR(Z26="退",Z26="退伍" ), $AP26 =""),"退伍","全日勤"  )  )  )  )  )  )  )  )  )  )  ),"")</f>
        <v>全日休</v>
      </c>
      <c r="Z67" s="66" t="str">
        <f>IF(   (ROW(BL26)-1)&lt;=暫1!$B$2,           IF(  AND(  OR(  Z26="x",Z26="補"  ), OR(  AA26 ="x",AA26="補",AA26="x榮18-22",AA26="x公18-22",AA26="x榮22-08"  ), $AP26 =""),"全日休",  IF(  AND(  OR(  Z26="x",Z26="病"  ), OR(  AA26 ="病"  ), $AP26 =""),"病(事)假",  IF(  AND(  OR(  Z26="x",Z26="補"  ), OR(  AA26 ="補"  ), $AP26 =""),"補休",  IF(  AND(  OR(  Z26="x",Z26="喪"  ), OR(  AA26 ="喪"  ), $AP26 =""),"喪假",  IF(  AND(  OR(  Z26="x",Z26="婚",Z26="產"  ), OR(  AA26 ="婚",AA26="產"  ), $AP26 =""),"婚(產)假",  IF(  AND(  OR(  Z26="x",Z26="公"  ), OR(  AA26 ="公"  ), $AP26 =""),"公假",  IF(  AND(  OR(  Z26="x",Z26="補",Z26="婚",Z26="公",Z26="病",Z26="事",Z26="x榮18-22"  ),OR(AA26=""), $AP26 =""  ),"18收",  IF(  AND(  OR(  Z26 ="榮14-18",Z26 ="榮10-18",Z26 ="榮06-18",Z26 ="病14-18"  ),OR(  AA26 ="x",AA26="補",AA26="婚",AA26="公",AA26="病",AA26="事",AA26="x"  ), $AP26 =""),"18放早走",  IF(  AND(  OR(  Z26 =""),OR(  AA26 ="x",AA26="補",AA26="婚",AA26="公",AA26="病",AA26="事",AA26="x榮*",AA26="榮",AA26="榮-22"  ), $AP26 =""),"18放",  IF(  AND(  OR(  Z26="當日退伍"  ),OR(  AA26="退伍",AA26="退", AA26=""  ), $AP26 =""),"當日退伍",  IF(AND(  OR(Z26="退",Z26="退伍" ), OR(AA26="退",AA26="退伍" ), $AP26 =""),"退伍","全日勤"  )  )  )  )  )  )  )  )  )  )  ),"")</f>
        <v>全日休</v>
      </c>
      <c r="AA67" s="66" t="str">
        <f>IF(   (ROW(BM26)-1)&lt;=暫1!$B$2,           IF(  AND(  OR(  AA26="x",AA26="補"  ), OR(  AB26 ="x",AB26="補",AB26="x榮18-22",AB26="x公18-22",AB26="x榮22-08"  ), $AP26 =""),"全日休",  IF(  AND(  OR(  AA26="x",AA26="病"  ), OR(  AB26 ="病"  ), $AP26 =""),"病(事)假",  IF(  AND(  OR(  AA26="x",AA26="補"  ), OR(  AB26 ="補"  ), $AP26 =""),"補休",  IF(  AND(  OR(  AA26="x",AA26="喪"  ), OR(  AB26 ="喪"  ), $AP26 =""),"喪假",  IF(  AND(  OR(  AA26="x",AA26="婚",AA26="產"  ), OR(  AB26 ="婚",AB26="產"  ), $AP26 =""),"婚(產)假",  IF(  AND(  OR(  AA26="x",AA26="公"  ), OR(  AB26 ="公"  ), $AP26 =""),"公假",  IF(  AND(  OR(  AA26="x",AA26="補",AA26="婚",AA26="公",AA26="病",AA26="事",AA26="x榮18-22"  ),OR(AB26=""), $AP26 =""  ),"18收",  IF(  AND(  OR(  AA26 ="榮14-18",AA26 ="榮10-18",AA26 ="榮06-18",AA26 ="病14-18"  ),OR(  AB26 ="x",AB26="補",AB26="婚",AB26="公",AB26="病",AB26="事",AB26="x"  ), $AP26 =""),"18放早走",  IF(  AND(  OR(  AA26 =""),OR(  AB26 ="x",AB26="補",AB26="婚",AB26="公",AB26="病",AB26="事",AB26="x榮*",AB26="榮",AB26="榮-22"  ), $AP26 =""),"18放",  IF(  AND(  OR(  AA26="當日退伍"  ),OR(  AB26="退伍",AB26="退", AB26=""  ), $AP26 =""),"當日退伍",  IF(AND(  OR(AA26="退",AA26="退伍" ), OR(AB26="退",AB26="退伍" ), $AP26 =""),"退伍","全日勤"  )  )  )  )  )  )  )  )  )  )  ),"")</f>
        <v>18收</v>
      </c>
      <c r="AB67" s="66" t="str">
        <f>IF(   (ROW(BN26)-1)&lt;=暫1!$B$2,           IF(  AND(  OR(  AB26="x",AB26="補"  ), OR(  AC26 ="x",AC26="補",AC26="x榮18-22",AC26="x公18-22",AC26="x榮22-08"  ), $AP26 =""),"全日休",  IF(  AND(  OR(  AB26="x",AB26="病"  ), OR(  AC26 ="病"  ), $AP26 =""),"病(事)假",  IF(  AND(  OR(  AB26="x",AB26="補"  ), OR(  AC26 ="補"  ), $AP26 =""),"補休",  IF(  AND(  OR(  AB26="x",AB26="喪"  ), OR(  AC26 ="喪"  ), $AP26 =""),"喪假",  IF(  AND(  OR(  AB26="x",AB26="婚",AB26="產"  ), OR(  AC26 ="婚",AC26="產"  ), $AP26 =""),"婚(產)假",  IF(  AND(  OR(  AB26="x",AB26="公"  ), OR(  AC26 ="公"  ), $AP26 =""),"公假",  IF(  AND(  OR(  AB26="x",AB26="補",AB26="婚",AB26="公",AB26="病",AB26="事",AB26="x榮18-22"  ),OR(AC26=""), $AP26 =""  ),"18收",  IF(  AND(  OR(  AB26 ="榮14-18",AB26 ="榮10-18",AB26 ="榮06-18",AB26 ="病14-18"  ),OR(  AC26 ="x",AC26="補",AC26="婚",AC26="公",AC26="病",AC26="事",AC26="x"  ), $AP26 =""),"18放早走",  IF(  AND(  OR(  AB26 =""),OR(  AC26 ="x",AC26="補",AC26="婚",AC26="公",AC26="病",AC26="事",AC26="x榮*",AC26="榮",AC26="榮-22"  ), $AP26 =""),"18放",  IF(  AND(  OR(  AB26="當日退伍"  ),OR(  AC26="退伍",AC26="退", AC26=""  ), $AP26 =""),"當日退伍",  IF(AND(  OR(AB26="退",AB26="退伍" ), OR(AC26="退",AC26="退伍" ), $AP26 =""),"退伍","全日勤"  )  )  )  )  )  )  )  )  )  )  ),"")</f>
        <v>全日勤</v>
      </c>
      <c r="AC67" s="66" t="str">
        <f>IF(   (ROW(BO26)-1)&lt;=暫1!$B$2,           IF(  AND(  OR(  AC26="x",AC26="補"  ), OR(  AD26 ="x",AD26="補",AD26="x榮18-22",AD26="x公18-22",AD26="x榮22-08"  ), $AP26 =""),"全日休",  IF(  AND(  OR(  AC26="x",AC26="病"  ), OR(  AD26 ="病"  ), $AP26 =""),"病(事)假",  IF(  AND(  OR(  AC26="x",AC26="補"  ), OR(  AD26 ="補"  ), $AP26 =""),"補休",  IF(  AND(  OR(  AC26="x",AC26="喪"  ), OR(  AD26 ="喪"  ), $AP26 =""),"喪假",  IF(  AND(  OR(  AC26="x",AC26="婚",AC26="產"  ), OR(  AD26 ="婚",AD26="產"  ), $AP26 =""),"婚(產)假",  IF(  AND(  OR(  AC26="x",AC26="公"  ), OR(  AD26 ="公"  ), $AP26 =""),"公假",  IF(  AND(  OR(  AC26="x",AC26="補",AC26="婚",AC26="公",AC26="病",AC26="事",AC26="x榮18-22"  ),OR(AD26=""), $AP26 =""  ),"18收",  IF(  AND(  OR(  AC26 ="榮14-18",AC26 ="榮10-18",AC26 ="榮06-18",AC26 ="病14-18"  ),OR(  AD26 ="x",AD26="補",AD26="婚",AD26="公",AD26="病",AD26="事",AD26="x"  ), $AP26 =""),"18放早走",  IF(  AND(  OR(  AC26 =""),OR(  AD26 ="x",AD26="補",AD26="婚",AD26="公",AD26="病",AD26="事",AD26="x榮*",AD26="榮",AD26="榮-22"  ), $AP26 =""),"18放",  IF(  AND(  OR(  AC26="當日退伍"  ),OR(  AD26="退伍",AD26="退", AD26=""  ), $AP26 =""),"當日退伍",  IF(AND(  OR(AC26="退",AC26="退伍" ), OR(AD26="退",AD26="退伍" ), $AP26 =""),"退伍","全日勤"  )  )  )  )  )  )  )  )  )  )  ),"")</f>
        <v>全日勤</v>
      </c>
      <c r="AD67" s="66" t="str">
        <f>IF(   (ROW(BP26)-1)&lt;=暫1!$B$2,           IF(  AND(  OR(  AD26="x",AD26="補"  ), OR(  AE26 ="x",AE26="補",AE26="x榮18-22",AE26="x公18-22",AE26="x榮22-08"  ), $AP26 =""),"全日休",  IF(  AND(  OR(  AD26="x",AD26="病"  ), OR(  AE26 ="病"  ), $AP26 =""),"病(事)假",  IF(  AND(  OR(  AD26="x",AD26="補"  ), OR(  AE26 ="補"  ), $AP26 =""),"補休",  IF(  AND(  OR(  AD26="x",AD26="喪"  ), OR(  AE26 ="喪"  ), $AP26 =""),"喪假",  IF(  AND(  OR(  AD26="x",AD26="婚",AD26="產"  ), OR(  AE26 ="婚",AE26="產"  ), $AP26 =""),"婚(產)假",  IF(  AND(  OR(  AD26="x",AD26="公"  ), OR(  AE26 ="公"  ), $AP26 =""),"公假",  IF(  AND(  OR(  AD26="x",AD26="補",AD26="婚",AD26="公",AD26="病",AD26="事",AD26="x榮18-22"  ),OR(AE26=""), $AP26 =""  ),"18收",  IF(  AND(  OR(  AD26 ="榮14-18",AD26 ="榮10-18",AD26 ="榮06-18",AD26 ="病14-18"  ),OR(  AE26 ="x",AE26="補",AE26="婚",AE26="公",AE26="病",AE26="事",AE26="x"  ), $AP26 =""),"18放早走",  IF(  AND(  OR(  AD26 =""),OR(  AE26 ="x",AE26="補",AE26="婚",AE26="公",AE26="病",AE26="事",AE26="x榮*",AE26="榮",AE26="榮-22"  ), $AP26 =""),"18放",  IF(  AND(  OR(  AD26="當日退伍"  ),OR(  AE26="退伍",AE26="退", AE26=""  ), $AP26 =""),"當日退伍",  IF(AND(  OR(AD26="退",AD26="退伍" ), OR(AE26="退",AE26="退伍" ), $AP26 =""),"退伍","全日勤"  )  )  )  )  )  )  )  )  )  )  ),"")</f>
        <v>全日勤</v>
      </c>
      <c r="AE67" s="66" t="str">
        <f>IF(   (ROW(BQ26)-1)&lt;=暫1!$B$2,           IF(  AND(  OR(  AE26="x",AE26="補"  ), OR(  AF26 ="x",AF26="補",AF26="x榮18-22",AF26="x公18-22",AF26="x榮22-08"  ), $AP26 =""),"全日休",  IF(  AND(  OR(  AE26="x",AE26="病"  ), OR(  AF26 ="病"  ), $AP26 =""),"病(事)假",  IF(  AND(  OR(  AE26="x",AE26="補"  ), OR(  AF26 ="補"  ), $AP26 =""),"補休",  IF(  AND(  OR(  AE26="x",AE26="喪"  ), OR(  AF26 ="喪"  ), $AP26 =""),"喪假",  IF(  AND(  OR(  AE26="x",AE26="婚",AE26="產"  ), OR(  AF26 ="婚",AF26="產"  ), $AP26 =""),"婚(產)假",  IF(  AND(  OR(  AE26="x",AE26="公"  ), OR(  AF26 ="公"  ), $AP26 =""),"公假",  IF(  AND(  OR(  AE26="x",AE26="補",AE26="婚",AE26="公",AE26="病",AE26="事",AE26="x榮18-22"  ),OR(AF26=""), $AP26 =""  ),"18收",  IF(  AND(  OR(  AE26 ="榮14-18",AE26 ="榮10-18",AE26 ="榮06-18",AE26 ="病14-18"  ),OR(  AF26 ="x",AF26="補",AF26="婚",AF26="公",AF26="病",AF26="事",AF26="x"  ), $AP26 =""),"18放早走",  IF(  AND(  OR(  AE26 =""),OR(  AF26 ="x",AF26="補",AF26="婚",AF26="公",AF26="病",AF26="事",AF26="x榮*",AF26="榮",AF26="榮-22"  ), $AP26 =""),"18放",  IF(  AND(  OR(  AE26="當日退伍"  ),OR(  AF26="退伍",AF26="退", AF26=""  ), $AP26 =""),"當日退伍",  IF(AND(  OR(AE26="退",AE26="退伍" ), OR(AF26="退",AF26="退伍" ), $AP26 =""),"退伍","全日勤"  )  )  )  )  )  )  )  )  )  )  ),"")</f>
        <v>18放</v>
      </c>
      <c r="AF67" s="66" t="str">
        <f>IF(   (ROW(BR26)-1)&lt;=暫1!$B$2,           IF(  AND(  OR(  AF26="x",AF26="補"  ), OR(  AG26 ="x",AG26="補",AG26="x榮18-22",AG26="x公18-22",AG26="x榮22-08"  ), $AP26 =""),"全日休",  IF(  AND(  OR(  AF26="x",AF26="病"  ), OR(  AG26 ="病"  ), $AP26 =""),"病(事)假",  IF(  AND(  OR(  AF26="x",AF26="補"  ), OR(  AG26 ="補"  ), $AP26 =""),"補休",  IF(  AND(  OR(  AF26="x",AF26="喪"  ), OR(  AG26 ="喪"  ), $AP26 =""),"喪假",  IF(  AND(  OR(  AF26="x",AF26="婚",AF26="產"  ), OR(  AG26 ="婚",AG26="產"  ), $AP26 =""),"婚(產)假",  IF(  AND(  OR(  AF26="x",AF26="公"  ), OR(  AG26 ="公"  ), $AP26 =""),"公假",  IF(  AND(  OR(  AF26="x",AF26="補",AF26="婚",AF26="公",AF26="病",AF26="事",AF26="x榮18-22"  ),OR(AG26=""), $AP26 =""  ),"18收",  IF(  AND(  OR(  AF26 ="榮14-18",AF26 ="榮10-18",AF26 ="榮06-18",AF26 ="病14-18"  ),OR(  AG26 ="x",AG26="補",AG26="婚",AG26="公",AG26="病",AG26="事",AG26="x"  ), $AP26 =""),"18放早走",  IF(  AND(  OR(  AF26 =""),OR(  AG26 ="x",AG26="補",AG26="婚",AG26="公",AG26="病",AG26="事",AG26="x榮*",AG26="榮",AG26="榮-22"  ), $AP26 =""),"18放",  IF(  AND(  OR(  AF26="當日退伍"  ),OR(  AG26="退伍",AG26="退", AG26=""  ), $AP26 =""),"當日退伍",  IF(AND(  OR(AF26="退",AF26="退伍" ), OR(AG26="退",AG26="退伍" ), $AP26 =""),"退伍","全日勤"  )  )  )  )  )  )  )  )  )  )  ),"")</f>
        <v>全日休</v>
      </c>
      <c r="AG67" s="66" t="str">
        <f>IF(   (ROW(BS26)-1)&lt;=暫1!$B$2,           IF(  AND(  OR(  AG26="x",AG26="補"  ), OR(  AH26 ="x",AH26="補",AH26="x榮18-22",AH26="x公18-22",AH26="x榮22-08"  ), $AP26 =""),"全日休",  IF(  AND(  OR(  AG26="x",AG26="病"  ), OR(  AH26 ="病"  ), $AP26 =""),"病(事)假",  IF(  AND(  OR(  AG26="x",AG26="補"  ), OR(  AH26 ="補"  ), $AP26 =""),"補休",  IF(  AND(  OR(  AG26="x",AG26="喪"  ), OR(  AH26 ="喪"  ), $AP26 =""),"喪假",  IF(  AND(  OR(  AG26="x",AG26="婚",AG26="產"  ), OR(  AH26 ="婚",AH26="產"  ), $AP26 =""),"婚(產)假",  IF(  AND(  OR(  AG26="x",AG26="公"  ), OR(  AH26 ="公"  ), $AP26 =""),"公假",  IF(  AND(  OR(  AG26="x",AG26="補",AG26="婚",AG26="公",AG26="病",AG26="事",AG26="x榮18-22"  ),OR(AH26=""), $AP26 =""  ),"18收",  IF(  AND(  OR(  AG26 ="榮14-18",AG26 ="榮10-18",AG26 ="榮06-18",AG26 ="病14-18"  ),OR(  AH26 ="x",AH26="補",AH26="婚",AH26="公",AH26="病",AH26="事",AH26="x"  ), $AP26 =""),"18放早走",  IF(  AND(  OR(  AG26 =""),OR(  AH26 ="x",AH26="補",AH26="婚",AH26="公",AH26="病",AH26="事",AH26="x榮*",AH26="榮",AH26="榮-22"  ), $AP26 =""),"18放",  IF(  AND(  OR(  AG26="當日退伍"  ),OR(  AH26="退伍",AH26="退", AH26=""  ), $AP26 =""),"當日退伍",  IF(AND(  OR(AG26="退",AG26="退伍" ), OR(AH26="退",AH26="退伍" ), $AP26 =""),"退伍","全日勤"  )  )  )  )  )  )  )  )  )  )  ),"")</f>
        <v>18收</v>
      </c>
      <c r="AH67" s="66" t="str">
        <f>IF(   (ROW(BT26)-1)&lt;=暫1!$B$2,           IF(  AND(  OR(  AH26="x",AH26="補"  ), OR(  AI26 ="x",AI26="補",AI26="x榮18-22",AI26="x公18-22",AI26="x榮22-08"  ), $AP26 =""),"全日休",  IF(  AND(  OR(  AH26="x",AH26="病"  ), OR(  AI26 ="病"  ), $AP26 =""),"病(事)假",  IF(  AND(  OR(  AH26="x",AH26="補"  ), OR(  AI26 ="補"  ), $AP26 =""),"補休",  IF(  AND(  OR(  AH26="x",AH26="喪"  ), OR(  AI26 ="喪"  ), $AP26 =""),"喪假",  IF(  AND(  OR(  AH26="x",AH26="婚",AH26="產"  ), OR(  AI26 ="婚",AI26="產"  ), $AP26 =""),"婚(產)假",  IF(  AND(  OR(  AH26="x",AH26="公"  ), OR(  AI26 ="公"  ), $AP26 =""),"公假",  IF(  AND(  OR(  AH26="x",AH26="補",AH26="婚",AH26="公",AH26="病",AH26="事",AH26="x榮18-22"  ),OR(AI26=""), $AP26 =""  ),"18收",  IF(  AND(  OR(  AH26 ="榮14-18",AH26 ="榮10-18",AH26 ="榮06-18",AH26 ="病14-18"  ),OR(  AI26 ="x",AI26="補",AI26="婚",AI26="公",AI26="病",AI26="事",AI26="x"  ), $AP26 =""),"18放早走",  IF(  AND(  OR(  AH26 =""),OR(  AI26 ="x",AI26="補",AI26="婚",AI26="公",AI26="病",AI26="事",AI26="x榮*",AI26="榮",AI26="榮-22"  ), $AP26 =""),"18放",  IF(  AND(  OR(  AH26="當日退伍"  ),OR(  AI26="退伍",AI26="退", AI26=""  ), $AP26 =""),"當日退伍",  IF(AND(  OR(AH26="退",AH26="退伍" ), OR(AI26="退",AI26="退伍" ), $AP26 =""),"退伍","全日勤"  )  )  )  )  )  )  )  )  )  )  ),"")</f>
        <v>全日勤</v>
      </c>
      <c r="AI67" s="66" t="str">
        <f>IF(   (ROW(BU26)-1)&lt;=暫1!$B$2,           IF(  AND(  OR(  AI26="x",AI26="補"  ), OR(  AJ26 ="x",AJ26="補",AJ26="x榮18-22",AJ26="x公18-22",AJ26="x榮22-08"  ), $AP26 =""),"全日休",  IF(  AND(  OR(  AI26="x",AI26="病"  ), OR(  AJ26 ="病"  ), $AP26 =""),"病(事)假",  IF(  AND(  OR(  AI26="x",AI26="補"  ), OR(  AJ26 ="補"  ), $AP26 =""),"補休",  IF(  AND(  OR(  AI26="x",AI26="喪"  ), OR(  AJ26 ="喪"  ), $AP26 =""),"喪假",  IF(  AND(  OR(  AI26="x",AI26="婚",AI26="產"  ), OR(  AJ26 ="婚",AJ26="產"  ), $AP26 =""),"婚(產)假",  IF(  AND(  OR(  AI26="x",AI26="公"  ), OR(  AJ26 ="公"  ), $AP26 =""),"公假",  IF(  AND(  OR(  AI26="x",AI26="補",AI26="婚",AI26="公",AI26="病",AI26="事",AI26="x榮18-22"  ),OR(AJ26=""), $AP26 =""  ),"18收",  IF(  AND(  OR(  AI26 ="榮14-18",AI26 ="榮10-18",AI26 ="榮06-18",AI26 ="病14-18"  ),OR(  AJ26 ="x",AJ26="補",AJ26="婚",AJ26="公",AJ26="病",AJ26="事",AJ26="x"  ), $AP26 =""),"18放早走",  IF(  AND(  OR(  AI26 =""),OR(  AJ26 ="x",AJ26="補",AJ26="婚",AJ26="公",AJ26="病",AJ26="事",AJ26="x榮*",AJ26="榮",AJ26="榮-22"  ), $AP26 =""),"18放",  IF(  AND(  OR(  AI26="當日退伍"  ),OR(  AJ26="退伍",AJ26="退", AJ26=""  ), $AP26 =""),"當日退伍",  IF(AND(  OR(AI26="退",AI26="退伍" ), OR(AJ26="退",AJ26="退伍" ), $AP26 =""),"退伍","全日勤"  )  )  )  )  )  )  )  )  )  )  ),"")</f>
        <v>全日勤</v>
      </c>
      <c r="AJ67" s="66" t="str">
        <f>IF(   (ROW(BV26)-1)&lt;=暫1!$B$2,           IF(  AND(  OR(  AJ26="x",AJ26="補"  ), OR(  AK26 ="x",AK26="補",AK26="x榮18-22",AK26="x公18-22",AK26="x榮22-08"  ), $AP26 =""),"全日休",  IF(  AND(  OR(  AJ26="x",AJ26="病"  ), OR(  AK26 ="病"  ), $AP26 =""),"病(事)假",  IF(  AND(  OR(  AJ26="x",AJ26="補"  ), OR(  AK26 ="補"  ), $AP26 =""),"補休",  IF(  AND(  OR(  AJ26="x",AJ26="喪"  ), OR(  AK26 ="喪"  ), $AP26 =""),"喪假",  IF(  AND(  OR(  AJ26="x",AJ26="婚",AJ26="產"  ), OR(  AK26 ="婚",AK26="產"  ), $AP26 =""),"婚(產)假",  IF(  AND(  OR(  AJ26="x",AJ26="公"  ), OR(  AK26 ="公"  ), $AP26 =""),"公假",  IF(  AND(  OR(  AJ26="x",AJ26="補",AJ26="婚",AJ26="公",AJ26="病",AJ26="事",AJ26="x榮18-22"  ),OR(AK26=""), $AP26 =""  ),"18收",  IF(  AND(  OR(  AJ26 ="榮14-18",AJ26 ="榮10-18",AJ26 ="榮06-18",AJ26 ="病14-18"  ),OR(  AK26 ="x",AK26="補",AK26="婚",AK26="公",AK26="病",AK26="事",AK26="x"  ), $AP26 =""),"18放早走",  IF(  AND(  OR(  AJ26 =""),OR(  AK26 ="x",AK26="補",AK26="婚",AK26="公",AK26="病",AK26="事",AK26="x榮*",AK26="榮",AK26="榮-22"  ), $AP26 =""),"18放",  IF(  AND(  OR(  AJ26="當日退伍"  ),OR(  AK26="退伍",AK26="退", AK26=""  ), $AP26 =""),"當日退伍",  IF(AND(  OR(AJ26="退",AJ26="退伍" ), OR(AK26="退",AK26="退伍" ), $AP26 =""),"退伍","全日勤"  )  )  )  )  )  )  )  )  )  )  ),"")</f>
        <v>全日勤</v>
      </c>
      <c r="AO67" s="76"/>
      <c r="AP67" s="63"/>
      <c r="AU67" s="63"/>
      <c r="AY67" s="63"/>
      <c r="AZ67" s="63"/>
      <c r="BA67" s="63"/>
    </row>
    <row r="68" spans="1:55" ht="25.5" customHeight="1">
      <c r="A68" s="66">
        <f t="shared" si="4"/>
        <v>26</v>
      </c>
      <c r="B68" s="66" t="str">
        <f t="shared" si="6"/>
        <v>曾慶鈞</v>
      </c>
      <c r="C68" s="66" t="str">
        <f>IF(   (ROW(AO27)-1)&lt;=暫1!$B$2,           IF(  AND(  OR(  C27="x",C27="補"  ), OR(  D27 ="x",D27="補",D27="x榮18-22",D27="x公18-22",D27="x榮22-08"  ), $AP27 =""),"全日休",  IF(  AND(  OR(  C27="x",C27="病"  ), OR(  D27 ="病"  ), $AP27 =""),"病(事)假",  IF(  AND(  OR(  C27="x",C27="補"  ), OR(  D27 ="補"  ), $AP27 =""),"補休",  IF(  AND(  OR(  C27="x",C27="喪"  ), OR(  D27 ="喪"  ), $AP27 =""),"喪假",  IF(  AND(  OR(  C27="x",C27="婚",C27="產"  ), OR(  D27 ="婚",D27="產"  ), $AP27 =""),"婚(產)假",  IF(  AND(  OR(  C27="x",C27="公"  ), OR(  D27 ="公"  ), $AP27 =""),"公假",  IF(  AND(  OR(  C27="x",C27="補",C27="婚",C27="公",C27="病",C27="事",C27="x榮18-22"  ),OR(D27=""), $AP27 =""  ),"18收",  IF(  AND(  OR(  C27 ="榮14-18",C27 ="榮10-18",C27 ="榮06-18",C27 ="病14-18"  ),OR(  D27 ="x",D27="補",D27="婚",D27="公",D27="病",D27="事",D27="x"  ), $AP27 =""),"18放早走",  IF(  AND(  OR(  C27 =""),OR(  D27 ="x",D27="補",D27="婚",D27="公",D27="病",D27="事",D27="x榮*",D27="榮",D27="榮-22"  ), $AP27 =""),"18放",  IF(  AND(  OR(  C27="當日退伍"  ),OR(  D27="退伍",D27="退", D27=""  ), $AP27 =""),"當日退伍",  IF(AND(  OR(C27="退",C27="退伍" ), OR(D27="退",D27="退伍" ), $AP27 =""),"退伍","全日勤"  )  )  )  )  )  )  )  )  )  )  ),"")</f>
        <v>全日勤</v>
      </c>
      <c r="D68" s="66" t="str">
        <f>IF(   (ROW(AP27)-1)&lt;=暫1!$B$2,           IF(  AND(  OR(  D27="x",D27="補"  ), OR(  E27 ="x",E27="補",E27="x榮18-22",E27="x公18-22",E27="x榮22-08"  ), $AP27 =""),"全日休",  IF(  AND(  OR(  D27="x",D27="病"  ), OR(  E27 ="病"  ), $AP27 =""),"病(事)假",  IF(  AND(  OR(  D27="x",D27="補"  ), OR(  E27 ="補"  ), $AP27 =""),"補休",  IF(  AND(  OR(  D27="x",D27="喪"  ), OR(  E27 ="喪"  ), $AP27 =""),"喪假",  IF(  AND(  OR(  D27="x",D27="婚",D27="產"  ), OR(  E27 ="婚",E27="產"  ), $AP27 =""),"婚(產)假",  IF(  AND(  OR(  D27="x",D27="公"  ), OR(  E27 ="公"  ), $AP27 =""),"公假",  IF(  AND(  OR(  D27="x",D27="補",D27="婚",D27="公",D27="病",D27="事",D27="x榮18-22"  ),OR(E27=""), $AP27 =""  ),"18收",  IF(  AND(  OR(  D27 ="榮14-18",D27 ="榮10-18",D27 ="榮06-18",D27 ="病14-18"  ),OR(  E27 ="x",E27="補",E27="婚",E27="公",E27="病",E27="事",E27="x"  ), $AP27 =""),"18放早走",  IF(  AND(  OR(  D27 =""),OR(  E27 ="x",E27="補",E27="婚",E27="公",E27="病",E27="事",E27="x榮*",E27="榮",E27="榮-22"  ), $AP27 =""),"18放",  IF(  AND(  OR(  D27="當日退伍"  ),OR(  E27="退伍",E27="退", E27=""  ), $AP27 =""),"當日退伍",  IF(AND(  OR(D27="退",D27="退伍" ), OR(E27="退",E27="退伍" ), $AP27 =""),"退伍","全日勤"  )  )  )  )  )  )  )  )  )  )  ),"")</f>
        <v>全日勤</v>
      </c>
      <c r="E68" s="66" t="str">
        <f>IF(   (ROW(AQ27)-1)&lt;=暫1!$B$2,           IF(  AND(  OR(  E27="x",E27="補"  ), OR(  F27 ="x",F27="補",F27="x榮18-22",F27="x公18-22",F27="x榮22-08"  ), $AP27 =""),"全日休",  IF(  AND(  OR(  E27="x",E27="病"  ), OR(  F27 ="病"  ), $AP27 =""),"病(事)假",  IF(  AND(  OR(  E27="x",E27="補"  ), OR(  F27 ="補"  ), $AP27 =""),"補休",  IF(  AND(  OR(  E27="x",E27="喪"  ), OR(  F27 ="喪"  ), $AP27 =""),"喪假",  IF(  AND(  OR(  E27="x",E27="婚",E27="產"  ), OR(  F27 ="婚",F27="產"  ), $AP27 =""),"婚(產)假",  IF(  AND(  OR(  E27="x",E27="公"  ), OR(  F27 ="公"  ), $AP27 =""),"公假",  IF(  AND(  OR(  E27="x",E27="補",E27="婚",E27="公",E27="病",E27="事",E27="x榮18-22"  ),OR(F27=""), $AP27 =""  ),"18收",  IF(  AND(  OR(  E27 ="榮14-18",E27 ="榮10-18",E27 ="榮06-18",E27 ="病14-18"  ),OR(  F27 ="x",F27="補",F27="婚",F27="公",F27="病",F27="事",F27="x"  ), $AP27 =""),"18放早走",  IF(  AND(  OR(  E27 =""),OR(  F27 ="x",F27="補",F27="婚",F27="公",F27="病",F27="事",F27="x榮*",F27="榮",F27="榮-22"  ), $AP27 =""),"18放",  IF(  AND(  OR(  E27="當日退伍"  ),OR(  F27="退伍",F27="退", F27=""  ), $AP27 =""),"當日退伍",  IF(AND(  OR(E27="退",E27="退伍" ), OR(F27="退",F27="退伍" ), $AP27 =""),"退伍","全日勤"  )  )  )  )  )  )  )  )  )  )  ),"")</f>
        <v>全日勤</v>
      </c>
      <c r="F68" s="66" t="str">
        <f>IF(   (ROW(AR27)-1)&lt;=暫1!$B$2,           IF(  AND(  OR(  F27="x",F27="補"  ), OR(  G27 ="x",G27="補",G27="x榮18-22",G27="x公18-22",G27="x榮22-08"  ), $AP27 =""),"全日休",  IF(  AND(  OR(  F27="x",F27="病"  ), OR(  G27 ="病"  ), $AP27 =""),"病(事)假",  IF(  AND(  OR(  F27="x",F27="補"  ), OR(  G27 ="補"  ), $AP27 =""),"補休",  IF(  AND(  OR(  F27="x",F27="喪"  ), OR(  G27 ="喪"  ), $AP27 =""),"喪假",  IF(  AND(  OR(  F27="x",F27="婚",F27="產"  ), OR(  G27 ="婚",G27="產"  ), $AP27 =""),"婚(產)假",  IF(  AND(  OR(  F27="x",F27="公"  ), OR(  G27 ="公"  ), $AP27 =""),"公假",  IF(  AND(  OR(  F27="x",F27="補",F27="婚",F27="公",F27="病",F27="事",F27="x榮18-22"  ),OR(G27=""), $AP27 =""  ),"18收",  IF(  AND(  OR(  F27 ="榮14-18",F27 ="榮10-18",F27 ="榮06-18",F27 ="病14-18"  ),OR(  G27 ="x",G27="補",G27="婚",G27="公",G27="病",G27="事",G27="x"  ), $AP27 =""),"18放早走",  IF(  AND(  OR(  F27 =""),OR(  G27 ="x",G27="補",G27="婚",G27="公",G27="病",G27="事",G27="x榮*",G27="榮",G27="榮-22"  ), $AP27 =""),"18放",  IF(  AND(  OR(  F27="當日退伍"  ),OR(  G27="退伍",G27="退", G27=""  ), $AP27 =""),"當日退伍",  IF(AND(  OR(F27="退",F27="退伍" ), OR(G27="退",G27="退伍" ), $AP27 =""),"退伍","全日勤"  )  )  )  )  )  )  )  )  )  )  ),"")</f>
        <v>全日勤</v>
      </c>
      <c r="G68" s="66" t="str">
        <f>IF(   (ROW(AS27)-1)&lt;=暫1!$B$2,           IF(  AND(  OR(  G27="x",G27="補"  ), OR(  H27 ="x",H27="補",H27="x榮18-22",H27="x公18-22",H27="x榮22-08"  ), $AP27 =""),"全日休",  IF(  AND(  OR(  G27="x",G27="病"  ), OR(  H27 ="病"  ), $AP27 =""),"病(事)假",  IF(  AND(  OR(  G27="x",G27="補"  ), OR(  H27 ="補"  ), $AP27 =""),"補休",  IF(  AND(  OR(  G27="x",G27="喪"  ), OR(  H27 ="喪"  ), $AP27 =""),"喪假",  IF(  AND(  OR(  G27="x",G27="婚",G27="產"  ), OR(  H27 ="婚",H27="產"  ), $AP27 =""),"婚(產)假",  IF(  AND(  OR(  G27="x",G27="公"  ), OR(  H27 ="公"  ), $AP27 =""),"公假",  IF(  AND(  OR(  G27="x",G27="補",G27="婚",G27="公",G27="病",G27="事",G27="x榮18-22"  ),OR(H27=""), $AP27 =""  ),"18收",  IF(  AND(  OR(  G27 ="榮14-18",G27 ="榮10-18",G27 ="榮06-18",G27 ="病14-18"  ),OR(  H27 ="x",H27="補",H27="婚",H27="公",H27="病",H27="事",H27="x"  ), $AP27 =""),"18放早走",  IF(  AND(  OR(  G27 =""),OR(  H27 ="x",H27="補",H27="婚",H27="公",H27="病",H27="事",H27="x榮*",H27="榮",H27="榮-22"  ), $AP27 =""),"18放",  IF(  AND(  OR(  G27="當日退伍"  ),OR(  H27="退伍",H27="退", H27=""  ), $AP27 =""),"當日退伍",  IF(AND(  OR(G27="退",G27="退伍" ), OR(H27="退",H27="退伍" ), $AP27 =""),"退伍","全日勤"  )  )  )  )  )  )  )  )  )  )  ),"")</f>
        <v>全日勤</v>
      </c>
      <c r="H68" s="66" t="str">
        <f>IF(   (ROW(AT27)-1)&lt;=暫1!$B$2,           IF(  AND(  OR(  H27="x",H27="補"  ), OR(  I27 ="x",I27="補",I27="x榮18-22",I27="x公18-22",I27="x榮22-08"  ), $AP27 =""),"全日休",  IF(  AND(  OR(  H27="x",H27="病"  ), OR(  I27 ="病"  ), $AP27 =""),"病(事)假",  IF(  AND(  OR(  H27="x",H27="補"  ), OR(  I27 ="補"  ), $AP27 =""),"補休",  IF(  AND(  OR(  H27="x",H27="喪"  ), OR(  I27 ="喪"  ), $AP27 =""),"喪假",  IF(  AND(  OR(  H27="x",H27="婚",H27="產"  ), OR(  I27 ="婚",I27="產"  ), $AP27 =""),"婚(產)假",  IF(  AND(  OR(  H27="x",H27="公"  ), OR(  I27 ="公"  ), $AP27 =""),"公假",  IF(  AND(  OR(  H27="x",H27="補",H27="婚",H27="公",H27="病",H27="事",H27="x榮18-22"  ),OR(I27=""), $AP27 =""  ),"18收",  IF(  AND(  OR(  H27 ="榮14-18",H27 ="榮10-18",H27 ="榮06-18",H27 ="病14-18"  ),OR(  I27 ="x",I27="補",I27="婚",I27="公",I27="病",I27="事",I27="x"  ), $AP27 =""),"18放早走",  IF(  AND(  OR(  H27 =""),OR(  I27 ="x",I27="補",I27="婚",I27="公",I27="病",I27="事",I27="x榮*",I27="榮",I27="榮-22"  ), $AP27 =""),"18放",  IF(  AND(  OR(  H27="當日退伍"  ),OR(  I27="退伍",I27="退", I27=""  ), $AP27 =""),"當日退伍",  IF(AND(  OR(H27="退",H27="退伍" ), OR(I27="退",I27="退伍" ), $AP27 =""),"退伍","全日勤"  )  )  )  )  )  )  )  )  )  )  ),"")</f>
        <v>全日勤</v>
      </c>
      <c r="I68" s="66" t="str">
        <f>IF(   (ROW(AU27)-1)&lt;=暫1!$B$2,           IF(  AND(  OR(  I27="x",I27="補"  ), OR(  J27 ="x",J27="補",J27="x榮18-22",J27="x公18-22",J27="x榮22-08"  ), $AP27 =""),"全日休",  IF(  AND(  OR(  I27="x",I27="病"  ), OR(  J27 ="病"  ), $AP27 =""),"病(事)假",  IF(  AND(  OR(  I27="x",I27="補"  ), OR(  J27 ="補"  ), $AP27 =""),"補休",  IF(  AND(  OR(  I27="x",I27="喪"  ), OR(  J27 ="喪"  ), $AP27 =""),"喪假",  IF(  AND(  OR(  I27="x",I27="婚",I27="產"  ), OR(  J27 ="婚",J27="產"  ), $AP27 =""),"婚(產)假",  IF(  AND(  OR(  I27="x",I27="公"  ), OR(  J27 ="公"  ), $AP27 =""),"公假",  IF(  AND(  OR(  I27="x",I27="補",I27="婚",I27="公",I27="病",I27="事",I27="x榮18-22"  ),OR(J27=""), $AP27 =""  ),"18收",  IF(  AND(  OR(  I27 ="榮14-18",I27 ="榮10-18",I27 ="榮06-18",I27 ="病14-18"  ),OR(  J27 ="x",J27="補",J27="婚",J27="公",J27="病",J27="事",J27="x"  ), $AP27 =""),"18放早走",  IF(  AND(  OR(  I27 =""),OR(  J27 ="x",J27="補",J27="婚",J27="公",J27="病",J27="事",J27="x榮*",J27="榮",J27="榮-22"  ), $AP27 =""),"18放",  IF(  AND(  OR(  I27="當日退伍"  ),OR(  J27="退伍",J27="退", J27=""  ), $AP27 =""),"當日退伍",  IF(AND(  OR(I27="退",I27="退伍" ), OR(J27="退",J27="退伍" ), $AP27 =""),"退伍","全日勤"  )  )  )  )  )  )  )  )  )  )  ),"")</f>
        <v>全日勤</v>
      </c>
      <c r="J68" s="66" t="str">
        <f>IF(   (ROW(AV27)-1)&lt;=暫1!$B$2,           IF(  AND(  OR(  J27="x",J27="補"  ), OR(  K27 ="x",K27="補",K27="x榮18-22",K27="x公18-22",K27="x榮22-08"  ), $AP27 =""),"全日休",  IF(  AND(  OR(  J27="x",J27="病"  ), OR(  K27 ="病"  ), $AP27 =""),"病(事)假",  IF(  AND(  OR(  J27="x",J27="補"  ), OR(  K27 ="補"  ), $AP27 =""),"補休",  IF(  AND(  OR(  J27="x",J27="喪"  ), OR(  K27 ="喪"  ), $AP27 =""),"喪假",  IF(  AND(  OR(  J27="x",J27="婚",J27="產"  ), OR(  K27 ="婚",K27="產"  ), $AP27 =""),"婚(產)假",  IF(  AND(  OR(  J27="x",J27="公"  ), OR(  K27 ="公"  ), $AP27 =""),"公假",  IF(  AND(  OR(  J27="x",J27="補",J27="婚",J27="公",J27="病",J27="事",J27="x榮18-22"  ),OR(K27=""), $AP27 =""  ),"18收",  IF(  AND(  OR(  J27 ="榮14-18",J27 ="榮10-18",J27 ="榮06-18",J27 ="病14-18"  ),OR(  K27 ="x",K27="補",K27="婚",K27="公",K27="病",K27="事",K27="x"  ), $AP27 =""),"18放早走",  IF(  AND(  OR(  J27 =""),OR(  K27 ="x",K27="補",K27="婚",K27="公",K27="病",K27="事",K27="x榮*",K27="榮",K27="榮-22"  ), $AP27 =""),"18放",  IF(  AND(  OR(  J27="當日退伍"  ),OR(  K27="退伍",K27="退", K27=""  ), $AP27 =""),"當日退伍",  IF(AND(  OR(J27="退",J27="退伍" ), OR(K27="退",K27="退伍" ), $AP27 =""),"退伍","全日勤"  )  )  )  )  )  )  )  )  )  )  ),"")</f>
        <v>全日勤</v>
      </c>
      <c r="K68" s="66" t="str">
        <f>IF(   (ROW(AW27)-1)&lt;=暫1!$B$2,           IF(  AND(  OR(  K27="x",K27="補"  ), OR(  L27 ="x",L27="補",L27="x榮18-22",L27="x公18-22",L27="x榮22-08"  ), $AP27 =""),"全日休",  IF(  AND(  OR(  K27="x",K27="病"  ), OR(  L27 ="病"  ), $AP27 =""),"病(事)假",  IF(  AND(  OR(  K27="x",K27="補"  ), OR(  L27 ="補"  ), $AP27 =""),"補休",  IF(  AND(  OR(  K27="x",K27="喪"  ), OR(  L27 ="喪"  ), $AP27 =""),"喪假",  IF(  AND(  OR(  K27="x",K27="婚",K27="產"  ), OR(  L27 ="婚",L27="產"  ), $AP27 =""),"婚(產)假",  IF(  AND(  OR(  K27="x",K27="公"  ), OR(  L27 ="公"  ), $AP27 =""),"公假",  IF(  AND(  OR(  K27="x",K27="補",K27="婚",K27="公",K27="病",K27="事",K27="x榮18-22"  ),OR(L27=""), $AP27 =""  ),"18收",  IF(  AND(  OR(  K27 ="榮14-18",K27 ="榮10-18",K27 ="榮06-18",K27 ="病14-18"  ),OR(  L27 ="x",L27="補",L27="婚",L27="公",L27="病",L27="事",L27="x"  ), $AP27 =""),"18放早走",  IF(  AND(  OR(  K27 =""),OR(  L27 ="x",L27="補",L27="婚",L27="公",L27="病",L27="事",L27="x榮*",L27="榮",L27="榮-22"  ), $AP27 =""),"18放",  IF(  AND(  OR(  K27="當日退伍"  ),OR(  L27="退伍",L27="退", L27=""  ), $AP27 =""),"當日退伍",  IF(AND(  OR(K27="退",K27="退伍" ), OR(L27="退",L27="退伍" ), $AP27 =""),"退伍","全日勤"  )  )  )  )  )  )  )  )  )  )  ),"")</f>
        <v>全日勤</v>
      </c>
      <c r="L68" s="66" t="str">
        <f>IF(   (ROW(AX27)-1)&lt;=暫1!$B$2,           IF(  AND(  OR(  L27="x",L27="補"  ), OR(  M27 ="x",M27="補",M27="x榮18-22",M27="x公18-22",M27="x榮22-08"  ), $AP27 =""),"全日休",  IF(  AND(  OR(  L27="x",L27="病"  ), OR(  M27 ="病"  ), $AP27 =""),"病(事)假",  IF(  AND(  OR(  L27="x",L27="補"  ), OR(  M27 ="補"  ), $AP27 =""),"補休",  IF(  AND(  OR(  L27="x",L27="喪"  ), OR(  M27 ="喪"  ), $AP27 =""),"喪假",  IF(  AND(  OR(  L27="x",L27="婚",L27="產"  ), OR(  M27 ="婚",M27="產"  ), $AP27 =""),"婚(產)假",  IF(  AND(  OR(  L27="x",L27="公"  ), OR(  M27 ="公"  ), $AP27 =""),"公假",  IF(  AND(  OR(  L27="x",L27="補",L27="婚",L27="公",L27="病",L27="事",L27="x榮18-22"  ),OR(M27=""), $AP27 =""  ),"18收",  IF(  AND(  OR(  L27 ="榮14-18",L27 ="榮10-18",L27 ="榮06-18",L27 ="病14-18"  ),OR(  M27 ="x",M27="補",M27="婚",M27="公",M27="病",M27="事",M27="x"  ), $AP27 =""),"18放早走",  IF(  AND(  OR(  L27 =""),OR(  M27 ="x",M27="補",M27="婚",M27="公",M27="病",M27="事",M27="x榮*",M27="榮",M27="榮-22"  ), $AP27 =""),"18放",  IF(  AND(  OR(  L27="當日退伍"  ),OR(  M27="退伍",M27="退", M27=""  ), $AP27 =""),"當日退伍",  IF(AND(  OR(L27="退",L27="退伍" ), OR(M27="退",M27="退伍" ), $AP27 =""),"退伍","全日勤"  )  )  )  )  )  )  )  )  )  )  ),"")</f>
        <v>18放</v>
      </c>
      <c r="M68" s="66" t="str">
        <f>IF(   (ROW(AY27)-1)&lt;=暫1!$B$2,           IF(  AND(  OR(  M27="x",M27="補"  ), OR(  N27 ="x",N27="補",N27="x榮18-22",N27="x公18-22",N27="x榮22-08"  ), $AP27 =""),"全日休",  IF(  AND(  OR(  M27="x",M27="病"  ), OR(  N27 ="病"  ), $AP27 =""),"病(事)假",  IF(  AND(  OR(  M27="x",M27="補"  ), OR(  N27 ="補"  ), $AP27 =""),"補休",  IF(  AND(  OR(  M27="x",M27="喪"  ), OR(  N27 ="喪"  ), $AP27 =""),"喪假",  IF(  AND(  OR(  M27="x",M27="婚",M27="產"  ), OR(  N27 ="婚",N27="產"  ), $AP27 =""),"婚(產)假",  IF(  AND(  OR(  M27="x",M27="公"  ), OR(  N27 ="公"  ), $AP27 =""),"公假",  IF(  AND(  OR(  M27="x",M27="補",M27="婚",M27="公",M27="病",M27="事",M27="x榮18-22"  ),OR(N27=""), $AP27 =""  ),"18收",  IF(  AND(  OR(  M27 ="榮14-18",M27 ="榮10-18",M27 ="榮06-18",M27 ="病14-18"  ),OR(  N27 ="x",N27="補",N27="婚",N27="公",N27="病",N27="事",N27="x"  ), $AP27 =""),"18放早走",  IF(  AND(  OR(  M27 =""),OR(  N27 ="x",N27="補",N27="婚",N27="公",N27="病",N27="事",N27="x榮*",N27="榮",N27="榮-22"  ), $AP27 =""),"18放",  IF(  AND(  OR(  M27="當日退伍"  ),OR(  N27="退伍",N27="退", N27=""  ), $AP27 =""),"當日退伍",  IF(AND(  OR(M27="退",M27="退伍" ), OR(N27="退",N27="退伍" ), $AP27 =""),"退伍","全日勤"  )  )  )  )  )  )  )  )  )  )  ),"")</f>
        <v>全日休</v>
      </c>
      <c r="N68" s="66" t="str">
        <f>IF(   (ROW(AZ27)-1)&lt;=暫1!$B$2,           IF(  AND(  OR(  N27="x",N27="補"  ), OR(  O27 ="x",O27="補",O27="x榮18-22",O27="x公18-22",O27="x榮22-08"  ), $AP27 =""),"全日休",  IF(  AND(  OR(  N27="x",N27="病"  ), OR(  O27 ="病"  ), $AP27 =""),"病(事)假",  IF(  AND(  OR(  N27="x",N27="補"  ), OR(  O27 ="補"  ), $AP27 =""),"補休",  IF(  AND(  OR(  N27="x",N27="喪"  ), OR(  O27 ="喪"  ), $AP27 =""),"喪假",  IF(  AND(  OR(  N27="x",N27="婚",N27="產"  ), OR(  O27 ="婚",O27="產"  ), $AP27 =""),"婚(產)假",  IF(  AND(  OR(  N27="x",N27="公"  ), OR(  O27 ="公"  ), $AP27 =""),"公假",  IF(  AND(  OR(  N27="x",N27="補",N27="婚",N27="公",N27="病",N27="事",N27="x榮18-22"  ),OR(O27=""), $AP27 =""  ),"18收",  IF(  AND(  OR(  N27 ="榮14-18",N27 ="榮10-18",N27 ="榮06-18",N27 ="病14-18"  ),OR(  O27 ="x",O27="補",O27="婚",O27="公",O27="病",O27="事",O27="x"  ), $AP27 =""),"18放早走",  IF(  AND(  OR(  N27 =""),OR(  O27 ="x",O27="補",O27="婚",O27="公",O27="病",O27="事",O27="x榮*",O27="榮",O27="榮-22"  ), $AP27 =""),"18放",  IF(  AND(  OR(  N27="當日退伍"  ),OR(  O27="退伍",O27="退", O27=""  ), $AP27 =""),"當日退伍",  IF(AND(  OR(N27="退",N27="退伍" ), OR(O27="退",O27="退伍" ), $AP27 =""),"退伍","全日勤"  )  )  )  )  )  )  )  )  )  )  ),"")</f>
        <v>全日休</v>
      </c>
      <c r="O68" s="66" t="str">
        <f>IF(   (ROW(BA27)-1)&lt;=暫1!$B$2,           IF(  AND(  OR(  O27="x",O27="補"  ), OR(  P27 ="x",P27="補",P27="x榮18-22",P27="x公18-22",P27="x榮22-08"  ), $AP27 =""),"全日休",  IF(  AND(  OR(  O27="x",O27="病"  ), OR(  P27 ="病"  ), $AP27 =""),"病(事)假",  IF(  AND(  OR(  O27="x",O27="補"  ), OR(  P27 ="補"  ), $AP27 =""),"補休",  IF(  AND(  OR(  O27="x",O27="喪"  ), OR(  P27 ="喪"  ), $AP27 =""),"喪假",  IF(  AND(  OR(  O27="x",O27="婚",O27="產"  ), OR(  P27 ="婚",P27="產"  ), $AP27 =""),"婚(產)假",  IF(  AND(  OR(  O27="x",O27="公"  ), OR(  P27 ="公"  ), $AP27 =""),"公假",  IF(  AND(  OR(  O27="x",O27="補",O27="婚",O27="公",O27="病",O27="事",O27="x榮18-22"  ),OR(P27=""), $AP27 =""  ),"18收",  IF(  AND(  OR(  O27 ="榮14-18",O27 ="榮10-18",O27 ="榮06-18",O27 ="病14-18"  ),OR(  P27 ="x",P27="補",P27="婚",P27="公",P27="病",P27="事",P27="x"  ), $AP27 =""),"18放早走",  IF(  AND(  OR(  O27 =""),OR(  P27 ="x",P27="補",P27="婚",P27="公",P27="病",P27="事",P27="x榮*",P27="榮",P27="榮-22"  ), $AP27 =""),"18放",  IF(  AND(  OR(  O27="當日退伍"  ),OR(  P27="退伍",P27="退", P27=""  ), $AP27 =""),"當日退伍",  IF(AND(  OR(O27="退",O27="退伍" ), OR(P27="退",P27="退伍" ), $AP27 =""),"退伍","全日勤"  )  )  )  )  )  )  )  )  )  )  ),"")</f>
        <v>18收</v>
      </c>
      <c r="P68" s="66" t="str">
        <f>IF(   (ROW(BB27)-1)&lt;=暫1!$B$2,           IF(  AND(  OR(  P27="x",P27="補"  ), OR(  Q27 ="x",Q27="補",Q27="x榮18-22",Q27="x公18-22",Q27="x榮22-08"  ), $AP27 =""),"全日休",  IF(  AND(  OR(  P27="x",P27="病"  ), OR(  Q27 ="病"  ), $AP27 =""),"病(事)假",  IF(  AND(  OR(  P27="x",P27="補"  ), OR(  Q27 ="補"  ), $AP27 =""),"補休",  IF(  AND(  OR(  P27="x",P27="喪"  ), OR(  Q27 ="喪"  ), $AP27 =""),"喪假",  IF(  AND(  OR(  P27="x",P27="婚",P27="產"  ), OR(  Q27 ="婚",Q27="產"  ), $AP27 =""),"婚(產)假",  IF(  AND(  OR(  P27="x",P27="公"  ), OR(  Q27 ="公"  ), $AP27 =""),"公假",  IF(  AND(  OR(  P27="x",P27="補",P27="婚",P27="公",P27="病",P27="事",P27="x榮18-22"  ),OR(Q27=""), $AP27 =""  ),"18收",  IF(  AND(  OR(  P27 ="榮14-18",P27 ="榮10-18",P27 ="榮06-18",P27 ="病14-18"  ),OR(  Q27 ="x",Q27="補",Q27="婚",Q27="公",Q27="病",Q27="事",Q27="x"  ), $AP27 =""),"18放早走",  IF(  AND(  OR(  P27 =""),OR(  Q27 ="x",Q27="補",Q27="婚",Q27="公",Q27="病",Q27="事",Q27="x榮*",Q27="榮",Q27="榮-22"  ), $AP27 =""),"18放",  IF(  AND(  OR(  P27="當日退伍"  ),OR(  Q27="退伍",Q27="退", Q27=""  ), $AP27 =""),"當日退伍",  IF(AND(  OR(P27="退",P27="退伍" ), OR(Q27="退",Q27="退伍" ), $AP27 =""),"退伍","全日勤"  )  )  )  )  )  )  )  )  )  )  ),"")</f>
        <v>全日勤</v>
      </c>
      <c r="Q68" s="66" t="str">
        <f>IF(   (ROW(BC27)-1)&lt;=暫1!$B$2,           IF(  AND(  OR(  Q27="x",Q27="補"  ), OR(  R27 ="x",R27="補",R27="x榮18-22",R27="x公18-22",R27="x榮22-08"  ), $AP27 =""),"全日休",  IF(  AND(  OR(  Q27="x",Q27="病"  ), OR(  R27 ="病"  ), $AP27 =""),"病(事)假",  IF(  AND(  OR(  Q27="x",Q27="補"  ), OR(  R27 ="補"  ), $AP27 =""),"補休",  IF(  AND(  OR(  Q27="x",Q27="喪"  ), OR(  R27 ="喪"  ), $AP27 =""),"喪假",  IF(  AND(  OR(  Q27="x",Q27="婚",Q27="產"  ), OR(  R27 ="婚",R27="產"  ), $AP27 =""),"婚(產)假",  IF(  AND(  OR(  Q27="x",Q27="公"  ), OR(  R27 ="公"  ), $AP27 =""),"公假",  IF(  AND(  OR(  Q27="x",Q27="補",Q27="婚",Q27="公",Q27="病",Q27="事",Q27="x榮18-22"  ),OR(R27=""), $AP27 =""  ),"18收",  IF(  AND(  OR(  Q27 ="榮14-18",Q27 ="榮10-18",Q27 ="榮06-18",Q27 ="病14-18"  ),OR(  R27 ="x",R27="補",R27="婚",R27="公",R27="病",R27="事",R27="x"  ), $AP27 =""),"18放早走",  IF(  AND(  OR(  Q27 =""),OR(  R27 ="x",R27="補",R27="婚",R27="公",R27="病",R27="事",R27="x榮*",R27="榮",R27="榮-22"  ), $AP27 =""),"18放",  IF(  AND(  OR(  Q27="當日退伍"  ),OR(  R27="退伍",R27="退", R27=""  ), $AP27 =""),"當日退伍",  IF(AND(  OR(Q27="退",Q27="退伍" ), OR(R27="退",R27="退伍" ), $AP27 =""),"退伍","全日勤"  )  )  )  )  )  )  )  )  )  )  ),"")</f>
        <v>全日勤</v>
      </c>
      <c r="R68" s="66" t="str">
        <f>IF(   (ROW(BD27)-1)&lt;=暫1!$B$2,           IF(  AND(  OR(  R27="x",R27="補"  ), OR(  S27 ="x",S27="補",S27="x榮18-22",S27="x公18-22",S27="x榮22-08"  ), $AP27 =""),"全日休",  IF(  AND(  OR(  R27="x",R27="病"  ), OR(  S27 ="病"  ), $AP27 =""),"病(事)假",  IF(  AND(  OR(  R27="x",R27="補"  ), OR(  S27 ="補"  ), $AP27 =""),"補休",  IF(  AND(  OR(  R27="x",R27="喪"  ), OR(  S27 ="喪"  ), $AP27 =""),"喪假",  IF(  AND(  OR(  R27="x",R27="婚",R27="產"  ), OR(  S27 ="婚",S27="產"  ), $AP27 =""),"婚(產)假",  IF(  AND(  OR(  R27="x",R27="公"  ), OR(  S27 ="公"  ), $AP27 =""),"公假",  IF(  AND(  OR(  R27="x",R27="補",R27="婚",R27="公",R27="病",R27="事",R27="x榮18-22"  ),OR(S27=""), $AP27 =""  ),"18收",  IF(  AND(  OR(  R27 ="榮14-18",R27 ="榮10-18",R27 ="榮06-18",R27 ="病14-18"  ),OR(  S27 ="x",S27="補",S27="婚",S27="公",S27="病",S27="事",S27="x"  ), $AP27 =""),"18放早走",  IF(  AND(  OR(  R27 =""),OR(  S27 ="x",S27="補",S27="婚",S27="公",S27="病",S27="事",S27="x榮*",S27="榮",S27="榮-22"  ), $AP27 =""),"18放",  IF(  AND(  OR(  R27="當日退伍"  ),OR(  S27="退伍",S27="退", S27=""  ), $AP27 =""),"當日退伍",  IF(AND(  OR(R27="退",R27="退伍" ), OR(S27="退",S27="退伍" ), $AP27 =""),"退伍","全日勤"  )  )  )  )  )  )  )  )  )  )  ),"")</f>
        <v>18放</v>
      </c>
      <c r="S68" s="66" t="str">
        <f>IF(   (ROW(BE27)-1)&lt;=暫1!$B$2,           IF(  AND(  OR(  S27="x",S27="補"  ), OR(  T27 ="x",T27="補",T27="x榮18-22",T27="x公18-22",T27="x榮22-08"  ), $AP27 =""),"全日休",  IF(  AND(  OR(  S27="x",S27="病"  ), OR(  T27 ="病"  ), $AP27 =""),"病(事)假",  IF(  AND(  OR(  S27="x",S27="補"  ), OR(  T27 ="補"  ), $AP27 =""),"補休",  IF(  AND(  OR(  S27="x",S27="喪"  ), OR(  T27 ="喪"  ), $AP27 =""),"喪假",  IF(  AND(  OR(  S27="x",S27="婚",S27="產"  ), OR(  T27 ="婚",T27="產"  ), $AP27 =""),"婚(產)假",  IF(  AND(  OR(  S27="x",S27="公"  ), OR(  T27 ="公"  ), $AP27 =""),"公假",  IF(  AND(  OR(  S27="x",S27="補",S27="婚",S27="公",S27="病",S27="事",S27="x榮18-22"  ),OR(T27=""), $AP27 =""  ),"18收",  IF(  AND(  OR(  S27 ="榮14-18",S27 ="榮10-18",S27 ="榮06-18",S27 ="病14-18"  ),OR(  T27 ="x",T27="補",T27="婚",T27="公",T27="病",T27="事",T27="x"  ), $AP27 =""),"18放早走",  IF(  AND(  OR(  S27 =""),OR(  T27 ="x",T27="補",T27="婚",T27="公",T27="病",T27="事",T27="x榮*",T27="榮",T27="榮-22"  ), $AP27 =""),"18放",  IF(  AND(  OR(  S27="當日退伍"  ),OR(  T27="退伍",T27="退", T27=""  ), $AP27 =""),"當日退伍",  IF(AND(  OR(S27="退",S27="退伍" ), OR(T27="退",T27="退伍" ), $AP27 =""),"退伍","全日勤"  )  )  )  )  )  )  )  )  )  )  ),"")</f>
        <v>全日休</v>
      </c>
      <c r="T68" s="66" t="str">
        <f>IF(   (ROW(BF27)-1)&lt;=暫1!$B$2,           IF(  AND(  OR(  T27="x",T27="補"  ), OR(  U27 ="x",U27="補",U27="x榮18-22",U27="x公18-22",U27="x榮22-08"  ), $AP27 =""),"全日休",  IF(  AND(  OR(  T27="x",T27="病"  ), OR(  U27 ="病"  ), $AP27 =""),"病(事)假",  IF(  AND(  OR(  T27="x",T27="補"  ), OR(  U27 ="補"  ), $AP27 =""),"補休",  IF(  AND(  OR(  T27="x",T27="喪"  ), OR(  U27 ="喪"  ), $AP27 =""),"喪假",  IF(  AND(  OR(  T27="x",T27="婚",T27="產"  ), OR(  U27 ="婚",U27="產"  ), $AP27 =""),"婚(產)假",  IF(  AND(  OR(  T27="x",T27="公"  ), OR(  U27 ="公"  ), $AP27 =""),"公假",  IF(  AND(  OR(  T27="x",T27="補",T27="婚",T27="公",T27="病",T27="事",T27="x榮18-22"  ),OR(U27=""), $AP27 =""  ),"18收",  IF(  AND(  OR(  T27 ="榮14-18",T27 ="榮10-18",T27 ="榮06-18",T27 ="病14-18"  ),OR(  U27 ="x",U27="補",U27="婚",U27="公",U27="病",U27="事",U27="x"  ), $AP27 =""),"18放早走",  IF(  AND(  OR(  T27 =""),OR(  U27 ="x",U27="補",U27="婚",U27="公",U27="病",U27="事",U27="x榮*",U27="榮",U27="榮-22"  ), $AP27 =""),"18放",  IF(  AND(  OR(  T27="當日退伍"  ),OR(  U27="退伍",U27="退", U27=""  ), $AP27 =""),"當日退伍",  IF(AND(  OR(T27="退",T27="退伍" ), OR(U27="退",U27="退伍" ), $AP27 =""),"退伍","全日勤"  )  )  )  )  )  )  )  )  )  )  ),"")</f>
        <v>全日休</v>
      </c>
      <c r="U68" s="66" t="str">
        <f>IF(   (ROW(BG27)-1)&lt;=暫1!$B$2,           IF(  AND(  OR(  U27="x",U27="補"  ), OR(  V27 ="x",V27="補",V27="x榮18-22",V27="x公18-22",V27="x榮22-08"  ), $AP27 =""),"全日休",  IF(  AND(  OR(  U27="x",U27="病"  ), OR(  V27 ="病"  ), $AP27 =""),"病(事)假",  IF(  AND(  OR(  U27="x",U27="補"  ), OR(  V27 ="補"  ), $AP27 =""),"補休",  IF(  AND(  OR(  U27="x",U27="喪"  ), OR(  V27 ="喪"  ), $AP27 =""),"喪假",  IF(  AND(  OR(  U27="x",U27="婚",U27="產"  ), OR(  V27 ="婚",V27="產"  ), $AP27 =""),"婚(產)假",  IF(  AND(  OR(  U27="x",U27="公"  ), OR(  V27 ="公"  ), $AP27 =""),"公假",  IF(  AND(  OR(  U27="x",U27="補",U27="婚",U27="公",U27="病",U27="事",U27="x榮18-22"  ),OR(V27=""), $AP27 =""  ),"18收",  IF(  AND(  OR(  U27 ="榮14-18",U27 ="榮10-18",U27 ="榮06-18",U27 ="病14-18"  ),OR(  V27 ="x",V27="補",V27="婚",V27="公",V27="病",V27="事",V27="x"  ), $AP27 =""),"18放早走",  IF(  AND(  OR(  U27 =""),OR(  V27 ="x",V27="補",V27="婚",V27="公",V27="病",V27="事",V27="x榮*",V27="榮",V27="榮-22"  ), $AP27 =""),"18放",  IF(  AND(  OR(  U27="當日退伍"  ),OR(  V27="退伍",V27="退", V27=""  ), $AP27 =""),"當日退伍",  IF(AND(  OR(U27="退",U27="退伍" ), OR(V27="退",V27="退伍" ), $AP27 =""),"退伍","全日勤"  )  )  )  )  )  )  )  )  )  )  ),"")</f>
        <v>全日休</v>
      </c>
      <c r="V68" s="66" t="str">
        <f>IF(   (ROW(BH27)-1)&lt;=暫1!$B$2,           IF(  AND(  OR(  V27="x",V27="補"  ), OR(  W27 ="x",W27="補",W27="x榮18-22",W27="x公18-22",W27="x榮22-08"  ), $AP27 =""),"全日休",  IF(  AND(  OR(  V27="x",V27="病"  ), OR(  W27 ="病"  ), $AP27 =""),"病(事)假",  IF(  AND(  OR(  V27="x",V27="補"  ), OR(  W27 ="補"  ), $AP27 =""),"補休",  IF(  AND(  OR(  V27="x",V27="喪"  ), OR(  W27 ="喪"  ), $AP27 =""),"喪假",  IF(  AND(  OR(  V27="x",V27="婚",V27="產"  ), OR(  W27 ="婚",W27="產"  ), $AP27 =""),"婚(產)假",  IF(  AND(  OR(  V27="x",V27="公"  ), OR(  W27 ="公"  ), $AP27 =""),"公假",  IF(  AND(  OR(  V27="x",V27="補",V27="婚",V27="公",V27="病",V27="事",V27="x榮18-22"  ),OR(W27=""), $AP27 =""  ),"18收",  IF(  AND(  OR(  V27 ="榮14-18",V27 ="榮10-18",V27 ="榮06-18",V27 ="病14-18"  ),OR(  W27 ="x",W27="補",W27="婚",W27="公",W27="病",W27="事",W27="x"  ), $AP27 =""),"18放早走",  IF(  AND(  OR(  V27 =""),OR(  W27 ="x",W27="補",W27="婚",W27="公",W27="病",W27="事",W27="x榮*",W27="榮",W27="榮-22"  ), $AP27 =""),"18放",  IF(  AND(  OR(  V27="當日退伍"  ),OR(  W27="退伍",W27="退", W27=""  ), $AP27 =""),"當日退伍",  IF(AND(  OR(V27="退",V27="退伍" ), OR(W27="退",W27="退伍" ), $AP27 =""),"退伍","全日勤"  )  )  )  )  )  )  )  )  )  )  ),"")</f>
        <v>18收</v>
      </c>
      <c r="W68" s="66" t="str">
        <f>IF(   (ROW(BI27)-1)&lt;=暫1!$B$2,           IF(  AND(  OR(  W27="x",W27="補"  ), OR(  X27 ="x",X27="補",X27="x榮18-22",X27="x公18-22",X27="x榮22-08"  ), $AP27 =""),"全日休",  IF(  AND(  OR(  W27="x",W27="病"  ), OR(  X27 ="病"  ), $AP27 =""),"病(事)假",  IF(  AND(  OR(  W27="x",W27="補"  ), OR(  X27 ="補"  ), $AP27 =""),"補休",  IF(  AND(  OR(  W27="x",W27="喪"  ), OR(  X27 ="喪"  ), $AP27 =""),"喪假",  IF(  AND(  OR(  W27="x",W27="婚",W27="產"  ), OR(  X27 ="婚",X27="產"  ), $AP27 =""),"婚(產)假",  IF(  AND(  OR(  W27="x",W27="公"  ), OR(  X27 ="公"  ), $AP27 =""),"公假",  IF(  AND(  OR(  W27="x",W27="補",W27="婚",W27="公",W27="病",W27="事",W27="x榮18-22"  ),OR(X27=""), $AP27 =""  ),"18收",  IF(  AND(  OR(  W27 ="榮14-18",W27 ="榮10-18",W27 ="榮06-18",W27 ="病14-18"  ),OR(  X27 ="x",X27="補",X27="婚",X27="公",X27="病",X27="事",X27="x"  ), $AP27 =""),"18放早走",  IF(  AND(  OR(  W27 =""),OR(  X27 ="x",X27="補",X27="婚",X27="公",X27="病",X27="事",X27="x榮*",X27="榮",X27="榮-22"  ), $AP27 =""),"18放",  IF(  AND(  OR(  W27="當日退伍"  ),OR(  X27="退伍",X27="退", X27=""  ), $AP27 =""),"當日退伍",  IF(AND(  OR(W27="退",W27="退伍" ), OR(X27="退",X27="退伍" ), $AP27 =""),"退伍","全日勤"  )  )  )  )  )  )  )  )  )  )  ),"")</f>
        <v>全日勤</v>
      </c>
      <c r="X68" s="66" t="str">
        <f>IF(   (ROW(BJ27)-1)&lt;=暫1!$B$2,           IF(  AND(  OR(  X27="x",X27="補"  ), OR(  Y27 ="x",Y27="補",Y27="x榮18-22",Y27="x公18-22",Y27="x榮22-08"  ), $AP27 =""),"全日休",  IF(  AND(  OR(  X27="x",X27="病"  ), OR(  Y27 ="病"  ), $AP27 =""),"病(事)假",  IF(  AND(  OR(  X27="x",X27="補"  ), OR(  Y27 ="補"  ), $AP27 =""),"補休",  IF(  AND(  OR(  X27="x",X27="喪"  ), OR(  Y27 ="喪"  ), $AP27 =""),"喪假",  IF(  AND(  OR(  X27="x",X27="婚",X27="產"  ), OR(  Y27 ="婚",Y27="產"  ), $AP27 =""),"婚(產)假",  IF(  AND(  OR(  X27="x",X27="公"  ), OR(  Y27 ="公"  ), $AP27 =""),"公假",  IF(  AND(  OR(  X27="x",X27="補",X27="婚",X27="公",X27="病",X27="事",X27="x榮18-22"  ),OR(Y27=""), $AP27 =""  ),"18收",  IF(  AND(  OR(  X27 ="榮14-18",X27 ="榮10-18",X27 ="榮06-18",X27 ="病14-18"  ),OR(  Y27 ="x",Y27="補",Y27="婚",Y27="公",Y27="病",Y27="事",Y27="x"  ), $AP27 =""),"18放早走",  IF(  AND(  OR(  X27 =""),OR(  Y27 ="x",Y27="補",Y27="婚",Y27="公",Y27="病",Y27="事",Y27="x榮*",Y27="榮",Y27="榮-22"  ), $AP27 =""),"18放",  IF(  AND(  OR(  X27="當日退伍"  ),OR(  Y27="退伍",Y27="退", Y27=""  ), $AP27 =""),"當日退伍",  IF(AND(  OR(X27="退",X27="退伍" ), OR(Y27="退",Y27="退伍" ), $AP27 =""),"退伍","全日勤"  )  )  )  )  )  )  )  )  )  )  ),"")</f>
        <v>全日勤</v>
      </c>
      <c r="Y68" s="66" t="str">
        <f>IF(   (ROW(BK27)-1)&lt;=暫1!$B$2,           IF(  AND(  OR(  Y27="x",Y27="補"  ), OR(  Z27 ="x",Z27="補",Z27="x榮18-22",Z27="x公18-22",Z27="x榮22-08"  ), $AP27 =""),"全日休",  IF(  AND(  OR(  Y27="x",Y27="病"  ), OR(  Z27 ="病"  ), $AP27 =""),"病(事)假",  IF(  AND(  OR(  Y27="x",Y27="補"  ), OR(  Z27 ="補"  ), $AP27 =""),"補休",  IF(  AND(  OR(  Y27="x",Y27="喪"  ), OR(  Z27 ="喪"  ), $AP27 =""),"喪假",  IF(  AND(  OR(  Y27="x",Y27="婚",Y27="產"  ), OR(  Z27 ="婚",Z27="產"  ), $AP27 =""),"婚(產)假",  IF(  AND(  OR(  Y27="x",Y27="公"  ), OR(  Z27 ="公"  ), $AP27 =""),"公假",  IF(  AND(  OR(  Y27="x",Y27="補",Y27="婚",Y27="公",Y27="病",Y27="事",Y27="x榮18-22"  ),OR(Z27=""), $AP27 =""  ),"18收",  IF(  AND(  OR(  Y27 ="榮14-18",Y27 ="榮10-18",Y27 ="榮06-18",Y27 ="病14-18"  ),OR(  Z27 ="x",Z27="補",Z27="婚",Z27="公",Z27="病",Z27="事",Z27="x"  ), $AP27 =""),"18放早走",  IF(  AND(  OR(  Y27 =""),OR(  Z27 ="x",Z27="補",Z27="婚",Z27="公",Z27="病",Z27="事",Z27="x榮*",Z27="榮",Z27="榮-22"  ), $AP27 =""),"18放",  IF(  AND(  OR(  Y27="當日退伍"  ),OR(  Z27="退伍",Z27="退", Z27=""  ), $AP27 =""),"當日退伍",  IF(AND(  OR(Y27="退",Y27="退伍" ), OR(Z27="退",Z27="退伍" ), $AP27 =""),"退伍","全日勤"  )  )  )  )  )  )  )  )  )  )  ),"")</f>
        <v>全日勤</v>
      </c>
      <c r="Z68" s="66" t="str">
        <f>IF(   (ROW(BL27)-1)&lt;=暫1!$B$2,           IF(  AND(  OR(  Z27="x",Z27="補"  ), OR(  AA27 ="x",AA27="補",AA27="x榮18-22",AA27="x公18-22",AA27="x榮22-08"  ), $AP27 =""),"全日休",  IF(  AND(  OR(  Z27="x",Z27="病"  ), OR(  AA27 ="病"  ), $AP27 =""),"病(事)假",  IF(  AND(  OR(  Z27="x",Z27="補"  ), OR(  AA27 ="補"  ), $AP27 =""),"補休",  IF(  AND(  OR(  Z27="x",Z27="喪"  ), OR(  AA27 ="喪"  ), $AP27 =""),"喪假",  IF(  AND(  OR(  Z27="x",Z27="婚",Z27="產"  ), OR(  AA27 ="婚",AA27="產"  ), $AP27 =""),"婚(產)假",  IF(  AND(  OR(  Z27="x",Z27="公"  ), OR(  AA27 ="公"  ), $AP27 =""),"公假",  IF(  AND(  OR(  Z27="x",Z27="補",Z27="婚",Z27="公",Z27="病",Z27="事",Z27="x榮18-22"  ),OR(AA27=""), $AP27 =""  ),"18收",  IF(  AND(  OR(  Z27 ="榮14-18",Z27 ="榮10-18",Z27 ="榮06-18",Z27 ="病14-18"  ),OR(  AA27 ="x",AA27="補",AA27="婚",AA27="公",AA27="病",AA27="事",AA27="x"  ), $AP27 =""),"18放早走",  IF(  AND(  OR(  Z27 =""),OR(  AA27 ="x",AA27="補",AA27="婚",AA27="公",AA27="病",AA27="事",AA27="x榮*",AA27="榮",AA27="榮-22"  ), $AP27 =""),"18放",  IF(  AND(  OR(  Z27="當日退伍"  ),OR(  AA27="退伍",AA27="退", AA27=""  ), $AP27 =""),"當日退伍",  IF(AND(  OR(Z27="退",Z27="退伍" ), OR(AA27="退",AA27="退伍" ), $AP27 =""),"退伍","全日勤"  )  )  )  )  )  )  )  )  )  )  ),"")</f>
        <v>全日勤</v>
      </c>
      <c r="AA68" s="66" t="str">
        <f>IF(   (ROW(BM27)-1)&lt;=暫1!$B$2,           IF(  AND(  OR(  AA27="x",AA27="補"  ), OR(  AB27 ="x",AB27="補",AB27="x榮18-22",AB27="x公18-22",AB27="x榮22-08"  ), $AP27 =""),"全日休",  IF(  AND(  OR(  AA27="x",AA27="病"  ), OR(  AB27 ="病"  ), $AP27 =""),"病(事)假",  IF(  AND(  OR(  AA27="x",AA27="補"  ), OR(  AB27 ="補"  ), $AP27 =""),"補休",  IF(  AND(  OR(  AA27="x",AA27="喪"  ), OR(  AB27 ="喪"  ), $AP27 =""),"喪假",  IF(  AND(  OR(  AA27="x",AA27="婚",AA27="產"  ), OR(  AB27 ="婚",AB27="產"  ), $AP27 =""),"婚(產)假",  IF(  AND(  OR(  AA27="x",AA27="公"  ), OR(  AB27 ="公"  ), $AP27 =""),"公假",  IF(  AND(  OR(  AA27="x",AA27="補",AA27="婚",AA27="公",AA27="病",AA27="事",AA27="x榮18-22"  ),OR(AB27=""), $AP27 =""  ),"18收",  IF(  AND(  OR(  AA27 ="榮14-18",AA27 ="榮10-18",AA27 ="榮06-18",AA27 ="病14-18"  ),OR(  AB27 ="x",AB27="補",AB27="婚",AB27="公",AB27="病",AB27="事",AB27="x"  ), $AP27 =""),"18放早走",  IF(  AND(  OR(  AA27 =""),OR(  AB27 ="x",AB27="補",AB27="婚",AB27="公",AB27="病",AB27="事",AB27="x榮*",AB27="榮",AB27="榮-22"  ), $AP27 =""),"18放",  IF(  AND(  OR(  AA27="當日退伍"  ),OR(  AB27="退伍",AB27="退", AB27=""  ), $AP27 =""),"當日退伍",  IF(AND(  OR(AA27="退",AA27="退伍" ), OR(AB27="退",AB27="退伍" ), $AP27 =""),"退伍","全日勤"  )  )  )  )  )  )  )  )  )  )  ),"")</f>
        <v>18放</v>
      </c>
      <c r="AB68" s="66" t="str">
        <f>IF(   (ROW(BN27)-1)&lt;=暫1!$B$2,           IF(  AND(  OR(  AB27="x",AB27="補"  ), OR(  AC27 ="x",AC27="補",AC27="x榮18-22",AC27="x公18-22",AC27="x榮22-08"  ), $AP27 =""),"全日休",  IF(  AND(  OR(  AB27="x",AB27="病"  ), OR(  AC27 ="病"  ), $AP27 =""),"病(事)假",  IF(  AND(  OR(  AB27="x",AB27="補"  ), OR(  AC27 ="補"  ), $AP27 =""),"補休",  IF(  AND(  OR(  AB27="x",AB27="喪"  ), OR(  AC27 ="喪"  ), $AP27 =""),"喪假",  IF(  AND(  OR(  AB27="x",AB27="婚",AB27="產"  ), OR(  AC27 ="婚",AC27="產"  ), $AP27 =""),"婚(產)假",  IF(  AND(  OR(  AB27="x",AB27="公"  ), OR(  AC27 ="公"  ), $AP27 =""),"公假",  IF(  AND(  OR(  AB27="x",AB27="補",AB27="婚",AB27="公",AB27="病",AB27="事",AB27="x榮18-22"  ),OR(AC27=""), $AP27 =""  ),"18收",  IF(  AND(  OR(  AB27 ="榮14-18",AB27 ="榮10-18",AB27 ="榮06-18",AB27 ="病14-18"  ),OR(  AC27 ="x",AC27="補",AC27="婚",AC27="公",AC27="病",AC27="事",AC27="x"  ), $AP27 =""),"18放早走",  IF(  AND(  OR(  AB27 =""),OR(  AC27 ="x",AC27="補",AC27="婚",AC27="公",AC27="病",AC27="事",AC27="x榮*",AC27="榮",AC27="榮-22"  ), $AP27 =""),"18放",  IF(  AND(  OR(  AB27="當日退伍"  ),OR(  AC27="退伍",AC27="退", AC27=""  ), $AP27 =""),"當日退伍",  IF(AND(  OR(AB27="退",AB27="退伍" ), OR(AC27="退",AC27="退伍" ), $AP27 =""),"退伍","全日勤"  )  )  )  )  )  )  )  )  )  )  ),"")</f>
        <v>全日休</v>
      </c>
      <c r="AC68" s="66" t="str">
        <f>IF(   (ROW(BO27)-1)&lt;=暫1!$B$2,           IF(  AND(  OR(  AC27="x",AC27="補"  ), OR(  AD27 ="x",AD27="補",AD27="x榮18-22",AD27="x公18-22",AD27="x榮22-08"  ), $AP27 =""),"全日休",  IF(  AND(  OR(  AC27="x",AC27="病"  ), OR(  AD27 ="病"  ), $AP27 =""),"病(事)假",  IF(  AND(  OR(  AC27="x",AC27="補"  ), OR(  AD27 ="補"  ), $AP27 =""),"補休",  IF(  AND(  OR(  AC27="x",AC27="喪"  ), OR(  AD27 ="喪"  ), $AP27 =""),"喪假",  IF(  AND(  OR(  AC27="x",AC27="婚",AC27="產"  ), OR(  AD27 ="婚",AD27="產"  ), $AP27 =""),"婚(產)假",  IF(  AND(  OR(  AC27="x",AC27="公"  ), OR(  AD27 ="公"  ), $AP27 =""),"公假",  IF(  AND(  OR(  AC27="x",AC27="補",AC27="婚",AC27="公",AC27="病",AC27="事",AC27="x榮18-22"  ),OR(AD27=""), $AP27 =""  ),"18收",  IF(  AND(  OR(  AC27 ="榮14-18",AC27 ="榮10-18",AC27 ="榮06-18",AC27 ="病14-18"  ),OR(  AD27 ="x",AD27="補",AD27="婚",AD27="公",AD27="病",AD27="事",AD27="x"  ), $AP27 =""),"18放早走",  IF(  AND(  OR(  AC27 =""),OR(  AD27 ="x",AD27="補",AD27="婚",AD27="公",AD27="病",AD27="事",AD27="x榮*",AD27="榮",AD27="榮-22"  ), $AP27 =""),"18放",  IF(  AND(  OR(  AC27="當日退伍"  ),OR(  AD27="退伍",AD27="退", AD27=""  ), $AP27 =""),"當日退伍",  IF(AND(  OR(AC27="退",AC27="退伍" ), OR(AD27="退",AD27="退伍" ), $AP27 =""),"退伍","全日勤"  )  )  )  )  )  )  )  )  )  )  ),"")</f>
        <v>全日休</v>
      </c>
      <c r="AD68" s="66" t="str">
        <f>IF(   (ROW(BP27)-1)&lt;=暫1!$B$2,           IF(  AND(  OR(  AD27="x",AD27="補"  ), OR(  AE27 ="x",AE27="補",AE27="x榮18-22",AE27="x公18-22",AE27="x榮22-08"  ), $AP27 =""),"全日休",  IF(  AND(  OR(  AD27="x",AD27="病"  ), OR(  AE27 ="病"  ), $AP27 =""),"病(事)假",  IF(  AND(  OR(  AD27="x",AD27="補"  ), OR(  AE27 ="補"  ), $AP27 =""),"補休",  IF(  AND(  OR(  AD27="x",AD27="喪"  ), OR(  AE27 ="喪"  ), $AP27 =""),"喪假",  IF(  AND(  OR(  AD27="x",AD27="婚",AD27="產"  ), OR(  AE27 ="婚",AE27="產"  ), $AP27 =""),"婚(產)假",  IF(  AND(  OR(  AD27="x",AD27="公"  ), OR(  AE27 ="公"  ), $AP27 =""),"公假",  IF(  AND(  OR(  AD27="x",AD27="補",AD27="婚",AD27="公",AD27="病",AD27="事",AD27="x榮18-22"  ),OR(AE27=""), $AP27 =""  ),"18收",  IF(  AND(  OR(  AD27 ="榮14-18",AD27 ="榮10-18",AD27 ="榮06-18",AD27 ="病14-18"  ),OR(  AE27 ="x",AE27="補",AE27="婚",AE27="公",AE27="病",AE27="事",AE27="x"  ), $AP27 =""),"18放早走",  IF(  AND(  OR(  AD27 =""),OR(  AE27 ="x",AE27="補",AE27="婚",AE27="公",AE27="病",AE27="事",AE27="x榮*",AE27="榮",AE27="榮-22"  ), $AP27 =""),"18放",  IF(  AND(  OR(  AD27="當日退伍"  ),OR(  AE27="退伍",AE27="退", AE27=""  ), $AP27 =""),"當日退伍",  IF(AND(  OR(AD27="退",AD27="退伍" ), OR(AE27="退",AE27="退伍" ), $AP27 =""),"退伍","全日勤"  )  )  )  )  )  )  )  )  )  )  ),"")</f>
        <v>全日休</v>
      </c>
      <c r="AE68" s="66" t="str">
        <f>IF(   (ROW(BQ27)-1)&lt;=暫1!$B$2,           IF(  AND(  OR(  AE27="x",AE27="補"  ), OR(  AF27 ="x",AF27="補",AF27="x榮18-22",AF27="x公18-22",AF27="x榮22-08"  ), $AP27 =""),"全日休",  IF(  AND(  OR(  AE27="x",AE27="病"  ), OR(  AF27 ="病"  ), $AP27 =""),"病(事)假",  IF(  AND(  OR(  AE27="x",AE27="補"  ), OR(  AF27 ="補"  ), $AP27 =""),"補休",  IF(  AND(  OR(  AE27="x",AE27="喪"  ), OR(  AF27 ="喪"  ), $AP27 =""),"喪假",  IF(  AND(  OR(  AE27="x",AE27="婚",AE27="產"  ), OR(  AF27 ="婚",AF27="產"  ), $AP27 =""),"婚(產)假",  IF(  AND(  OR(  AE27="x",AE27="公"  ), OR(  AF27 ="公"  ), $AP27 =""),"公假",  IF(  AND(  OR(  AE27="x",AE27="補",AE27="婚",AE27="公",AE27="病",AE27="事",AE27="x榮18-22"  ),OR(AF27=""), $AP27 =""  ),"18收",  IF(  AND(  OR(  AE27 ="榮14-18",AE27 ="榮10-18",AE27 ="榮06-18",AE27 ="病14-18"  ),OR(  AF27 ="x",AF27="補",AF27="婚",AF27="公",AF27="病",AF27="事",AF27="x"  ), $AP27 =""),"18放早走",  IF(  AND(  OR(  AE27 =""),OR(  AF27 ="x",AF27="補",AF27="婚",AF27="公",AF27="病",AF27="事",AF27="x榮*",AF27="榮",AF27="榮-22"  ), $AP27 =""),"18放",  IF(  AND(  OR(  AE27="當日退伍"  ),OR(  AF27="退伍",AF27="退", AF27=""  ), $AP27 =""),"當日退伍",  IF(AND(  OR(AE27="退",AE27="退伍" ), OR(AF27="退",AF27="退伍" ), $AP27 =""),"退伍","全日勤"  )  )  )  )  )  )  )  )  )  )  ),"")</f>
        <v>18收</v>
      </c>
      <c r="AF68" s="66" t="str">
        <f>IF(   (ROW(BR27)-1)&lt;=暫1!$B$2,           IF(  AND(  OR(  AF27="x",AF27="補"  ), OR(  AG27 ="x",AG27="補",AG27="x榮18-22",AG27="x公18-22",AG27="x榮22-08"  ), $AP27 =""),"全日休",  IF(  AND(  OR(  AF27="x",AF27="病"  ), OR(  AG27 ="病"  ), $AP27 =""),"病(事)假",  IF(  AND(  OR(  AF27="x",AF27="補"  ), OR(  AG27 ="補"  ), $AP27 =""),"補休",  IF(  AND(  OR(  AF27="x",AF27="喪"  ), OR(  AG27 ="喪"  ), $AP27 =""),"喪假",  IF(  AND(  OR(  AF27="x",AF27="婚",AF27="產"  ), OR(  AG27 ="婚",AG27="產"  ), $AP27 =""),"婚(產)假",  IF(  AND(  OR(  AF27="x",AF27="公"  ), OR(  AG27 ="公"  ), $AP27 =""),"公假",  IF(  AND(  OR(  AF27="x",AF27="補",AF27="婚",AF27="公",AF27="病",AF27="事",AF27="x榮18-22"  ),OR(AG27=""), $AP27 =""  ),"18收",  IF(  AND(  OR(  AF27 ="榮14-18",AF27 ="榮10-18",AF27 ="榮06-18",AF27 ="病14-18"  ),OR(  AG27 ="x",AG27="補",AG27="婚",AG27="公",AG27="病",AG27="事",AG27="x"  ), $AP27 =""),"18放早走",  IF(  AND(  OR(  AF27 =""),OR(  AG27 ="x",AG27="補",AG27="婚",AG27="公",AG27="病",AG27="事",AG27="x榮*",AG27="榮",AG27="榮-22"  ), $AP27 =""),"18放",  IF(  AND(  OR(  AF27="當日退伍"  ),OR(  AG27="退伍",AG27="退", AG27=""  ), $AP27 =""),"當日退伍",  IF(AND(  OR(AF27="退",AF27="退伍" ), OR(AG27="退",AG27="退伍" ), $AP27 =""),"退伍","全日勤"  )  )  )  )  )  )  )  )  )  )  ),"")</f>
        <v>全日勤</v>
      </c>
      <c r="AG68" s="66" t="str">
        <f>IF(   (ROW(BS27)-1)&lt;=暫1!$B$2,           IF(  AND(  OR(  AG27="x",AG27="補"  ), OR(  AH27 ="x",AH27="補",AH27="x榮18-22",AH27="x公18-22",AH27="x榮22-08"  ), $AP27 =""),"全日休",  IF(  AND(  OR(  AG27="x",AG27="病"  ), OR(  AH27 ="病"  ), $AP27 =""),"病(事)假",  IF(  AND(  OR(  AG27="x",AG27="補"  ), OR(  AH27 ="補"  ), $AP27 =""),"補休",  IF(  AND(  OR(  AG27="x",AG27="喪"  ), OR(  AH27 ="喪"  ), $AP27 =""),"喪假",  IF(  AND(  OR(  AG27="x",AG27="婚",AG27="產"  ), OR(  AH27 ="婚",AH27="產"  ), $AP27 =""),"婚(產)假",  IF(  AND(  OR(  AG27="x",AG27="公"  ), OR(  AH27 ="公"  ), $AP27 =""),"公假",  IF(  AND(  OR(  AG27="x",AG27="補",AG27="婚",AG27="公",AG27="病",AG27="事",AG27="x榮18-22"  ),OR(AH27=""), $AP27 =""  ),"18收",  IF(  AND(  OR(  AG27 ="榮14-18",AG27 ="榮10-18",AG27 ="榮06-18",AG27 ="病14-18"  ),OR(  AH27 ="x",AH27="補",AH27="婚",AH27="公",AH27="病",AH27="事",AH27="x"  ), $AP27 =""),"18放早走",  IF(  AND(  OR(  AG27 =""),OR(  AH27 ="x",AH27="補",AH27="婚",AH27="公",AH27="病",AH27="事",AH27="x榮*",AH27="榮",AH27="榮-22"  ), $AP27 =""),"18放",  IF(  AND(  OR(  AG27="當日退伍"  ),OR(  AH27="退伍",AH27="退", AH27=""  ), $AP27 =""),"當日退伍",  IF(AND(  OR(AG27="退",AG27="退伍" ), OR(AH27="退",AH27="退伍" ), $AP27 =""),"退伍","全日勤"  )  )  )  )  )  )  )  )  )  )  ),"")</f>
        <v>全日勤</v>
      </c>
      <c r="AH68" s="66" t="str">
        <f>IF(   (ROW(BT27)-1)&lt;=暫1!$B$2,           IF(  AND(  OR(  AH27="x",AH27="補"  ), OR(  AI27 ="x",AI27="補",AI27="x榮18-22",AI27="x公18-22",AI27="x榮22-08"  ), $AP27 =""),"全日休",  IF(  AND(  OR(  AH27="x",AH27="病"  ), OR(  AI27 ="病"  ), $AP27 =""),"病(事)假",  IF(  AND(  OR(  AH27="x",AH27="補"  ), OR(  AI27 ="補"  ), $AP27 =""),"補休",  IF(  AND(  OR(  AH27="x",AH27="喪"  ), OR(  AI27 ="喪"  ), $AP27 =""),"喪假",  IF(  AND(  OR(  AH27="x",AH27="婚",AH27="產"  ), OR(  AI27 ="婚",AI27="產"  ), $AP27 =""),"婚(產)假",  IF(  AND(  OR(  AH27="x",AH27="公"  ), OR(  AI27 ="公"  ), $AP27 =""),"公假",  IF(  AND(  OR(  AH27="x",AH27="補",AH27="婚",AH27="公",AH27="病",AH27="事",AH27="x榮18-22"  ),OR(AI27=""), $AP27 =""  ),"18收",  IF(  AND(  OR(  AH27 ="榮14-18",AH27 ="榮10-18",AH27 ="榮06-18",AH27 ="病14-18"  ),OR(  AI27 ="x",AI27="補",AI27="婚",AI27="公",AI27="病",AI27="事",AI27="x"  ), $AP27 =""),"18放早走",  IF(  AND(  OR(  AH27 =""),OR(  AI27 ="x",AI27="補",AI27="婚",AI27="公",AI27="病",AI27="事",AI27="x榮*",AI27="榮",AI27="榮-22"  ), $AP27 =""),"18放",  IF(  AND(  OR(  AH27="當日退伍"  ),OR(  AI27="退伍",AI27="退", AI27=""  ), $AP27 =""),"當日退伍",  IF(AND(  OR(AH27="退",AH27="退伍" ), OR(AI27="退",AI27="退伍" ), $AP27 =""),"退伍","全日勤"  )  )  )  )  )  )  )  )  )  )  ),"")</f>
        <v>全日勤</v>
      </c>
      <c r="AI68" s="66" t="str">
        <f>IF(   (ROW(BU27)-1)&lt;=暫1!$B$2,           IF(  AND(  OR(  AI27="x",AI27="補"  ), OR(  AJ27 ="x",AJ27="補",AJ27="x榮18-22",AJ27="x公18-22",AJ27="x榮22-08"  ), $AP27 =""),"全日休",  IF(  AND(  OR(  AI27="x",AI27="病"  ), OR(  AJ27 ="病"  ), $AP27 =""),"病(事)假",  IF(  AND(  OR(  AI27="x",AI27="補"  ), OR(  AJ27 ="補"  ), $AP27 =""),"補休",  IF(  AND(  OR(  AI27="x",AI27="喪"  ), OR(  AJ27 ="喪"  ), $AP27 =""),"喪假",  IF(  AND(  OR(  AI27="x",AI27="婚",AI27="產"  ), OR(  AJ27 ="婚",AJ27="產"  ), $AP27 =""),"婚(產)假",  IF(  AND(  OR(  AI27="x",AI27="公"  ), OR(  AJ27 ="公"  ), $AP27 =""),"公假",  IF(  AND(  OR(  AI27="x",AI27="補",AI27="婚",AI27="公",AI27="病",AI27="事",AI27="x榮18-22"  ),OR(AJ27=""), $AP27 =""  ),"18收",  IF(  AND(  OR(  AI27 ="榮14-18",AI27 ="榮10-18",AI27 ="榮06-18",AI27 ="病14-18"  ),OR(  AJ27 ="x",AJ27="補",AJ27="婚",AJ27="公",AJ27="病",AJ27="事",AJ27="x"  ), $AP27 =""),"18放早走",  IF(  AND(  OR(  AI27 =""),OR(  AJ27 ="x",AJ27="補",AJ27="婚",AJ27="公",AJ27="病",AJ27="事",AJ27="x榮*",AJ27="榮",AJ27="榮-22"  ), $AP27 =""),"18放",  IF(  AND(  OR(  AI27="當日退伍"  ),OR(  AJ27="退伍",AJ27="退", AJ27=""  ), $AP27 =""),"當日退伍",  IF(AND(  OR(AI27="退",AI27="退伍" ), OR(AJ27="退",AJ27="退伍" ), $AP27 =""),"退伍","全日勤"  )  )  )  )  )  )  )  )  )  )  ),"")</f>
        <v>全日勤</v>
      </c>
      <c r="AJ68" s="66" t="str">
        <f>IF(   (ROW(BV27)-1)&lt;=暫1!$B$2,           IF(  AND(  OR(  AJ27="x",AJ27="補"  ), OR(  AK27 ="x",AK27="補",AK27="x榮18-22",AK27="x公18-22",AK27="x榮22-08"  ), $AP27 =""),"全日休",  IF(  AND(  OR(  AJ27="x",AJ27="病"  ), OR(  AK27 ="病"  ), $AP27 =""),"病(事)假",  IF(  AND(  OR(  AJ27="x",AJ27="補"  ), OR(  AK27 ="補"  ), $AP27 =""),"補休",  IF(  AND(  OR(  AJ27="x",AJ27="喪"  ), OR(  AK27 ="喪"  ), $AP27 =""),"喪假",  IF(  AND(  OR(  AJ27="x",AJ27="婚",AJ27="產"  ), OR(  AK27 ="婚",AK27="產"  ), $AP27 =""),"婚(產)假",  IF(  AND(  OR(  AJ27="x",AJ27="公"  ), OR(  AK27 ="公"  ), $AP27 =""),"公假",  IF(  AND(  OR(  AJ27="x",AJ27="補",AJ27="婚",AJ27="公",AJ27="病",AJ27="事",AJ27="x榮18-22"  ),OR(AK27=""), $AP27 =""  ),"18收",  IF(  AND(  OR(  AJ27 ="榮14-18",AJ27 ="榮10-18",AJ27 ="榮06-18",AJ27 ="病14-18"  ),OR(  AK27 ="x",AK27="補",AK27="婚",AK27="公",AK27="病",AK27="事",AK27="x"  ), $AP27 =""),"18放早走",  IF(  AND(  OR(  AJ27 =""),OR(  AK27 ="x",AK27="補",AK27="婚",AK27="公",AK27="病",AK27="事",AK27="x榮*",AK27="榮",AK27="榮-22"  ), $AP27 =""),"18放",  IF(  AND(  OR(  AJ27="當日退伍"  ),OR(  AK27="退伍",AK27="退", AK27=""  ), $AP27 =""),"當日退伍",  IF(AND(  OR(AJ27="退",AJ27="退伍" ), OR(AK27="退",AK27="退伍" ), $AP27 =""),"退伍","全日勤"  )  )  )  )  )  )  )  )  )  )  ),"")</f>
        <v>全日勤</v>
      </c>
      <c r="AO68" s="76"/>
      <c r="AP68" s="63"/>
      <c r="AU68" s="63"/>
      <c r="AY68" s="63"/>
      <c r="AZ68" s="63"/>
      <c r="BA68" s="63"/>
    </row>
    <row r="69" spans="1:55" ht="25.5" customHeight="1">
      <c r="A69" s="66">
        <f t="shared" si="4"/>
        <v>27</v>
      </c>
      <c r="B69" s="66" t="str">
        <f t="shared" si="6"/>
        <v>游瀚翔</v>
      </c>
      <c r="C69" s="66" t="str">
        <f>IF(   (ROW(AO28)-1)&lt;=暫1!$B$2,           IF(  AND(  OR(  C28="x",C28="補"  ), OR(  D28 ="x",D28="補",D28="x榮18-22",D28="x公18-22",D28="x榮22-08"  ), $AP28 =""),"全日休",  IF(  AND(  OR(  C28="x",C28="病"  ), OR(  D28 ="病"  ), $AP28 =""),"病(事)假",  IF(  AND(  OR(  C28="x",C28="補"  ), OR(  D28 ="補"  ), $AP28 =""),"補休",  IF(  AND(  OR(  C28="x",C28="喪"  ), OR(  D28 ="喪"  ), $AP28 =""),"喪假",  IF(  AND(  OR(  C28="x",C28="婚",C28="產"  ), OR(  D28 ="婚",D28="產"  ), $AP28 =""),"婚(產)假",  IF(  AND(  OR(  C28="x",C28="公"  ), OR(  D28 ="公"  ), $AP28 =""),"公假",  IF(  AND(  OR(  C28="x",C28="補",C28="婚",C28="公",C28="病",C28="事",C28="x榮18-22"  ),OR(D28=""), $AP28 =""  ),"18收",  IF(  AND(  OR(  C28 ="榮14-18",C28 ="榮10-18",C28 ="榮06-18",C28 ="病14-18"  ),OR(  D28 ="x",D28="補",D28="婚",D28="公",D28="病",D28="事",D28="x"  ), $AP28 =""),"18放早走",  IF(  AND(  OR(  C28 =""),OR(  D28 ="x",D28="補",D28="婚",D28="公",D28="病",D28="事",D28="x榮*",D28="榮",D28="榮-22"  ), $AP28 =""),"18放",  IF(  AND(  OR(  C28="當日退伍"  ),OR(  D28="退伍",D28="退", D28=""  ), $AP28 =""),"當日退伍",  IF(AND(  OR(C28="退",C28="退伍" ), OR(D28="退",D28="退伍" ), $AP28 =""),"退伍","全日勤"  )  )  )  )  )  )  )  )  )  )  ),"")</f>
        <v>18放</v>
      </c>
      <c r="D69" s="66" t="str">
        <f>IF(   (ROW(AP28)-1)&lt;=暫1!$B$2,           IF(  AND(  OR(  D28="x",D28="補"  ), OR(  E28 ="x",E28="補",E28="x榮18-22",E28="x公18-22",E28="x榮22-08"  ), $AP28 =""),"全日休",  IF(  AND(  OR(  D28="x",D28="病"  ), OR(  E28 ="病"  ), $AP28 =""),"病(事)假",  IF(  AND(  OR(  D28="x",D28="補"  ), OR(  E28 ="補"  ), $AP28 =""),"補休",  IF(  AND(  OR(  D28="x",D28="喪"  ), OR(  E28 ="喪"  ), $AP28 =""),"喪假",  IF(  AND(  OR(  D28="x",D28="婚",D28="產"  ), OR(  E28 ="婚",E28="產"  ), $AP28 =""),"婚(產)假",  IF(  AND(  OR(  D28="x",D28="公"  ), OR(  E28 ="公"  ), $AP28 =""),"公假",  IF(  AND(  OR(  D28="x",D28="補",D28="婚",D28="公",D28="病",D28="事",D28="x榮18-22"  ),OR(E28=""), $AP28 =""  ),"18收",  IF(  AND(  OR(  D28 ="榮14-18",D28 ="榮10-18",D28 ="榮06-18",D28 ="病14-18"  ),OR(  E28 ="x",E28="補",E28="婚",E28="公",E28="病",E28="事",E28="x"  ), $AP28 =""),"18放早走",  IF(  AND(  OR(  D28 =""),OR(  E28 ="x",E28="補",E28="婚",E28="公",E28="病",E28="事",E28="x榮*",E28="榮",E28="榮-22"  ), $AP28 =""),"18放",  IF(  AND(  OR(  D28="當日退伍"  ),OR(  E28="退伍",E28="退", E28=""  ), $AP28 =""),"當日退伍",  IF(AND(  OR(D28="退",D28="退伍" ), OR(E28="退",E28="退伍" ), $AP28 =""),"退伍","全日勤"  )  )  )  )  )  )  )  )  )  )  ),"")</f>
        <v>全日勤</v>
      </c>
      <c r="E69" s="66" t="str">
        <f>IF(   (ROW(AQ28)-1)&lt;=暫1!$B$2,           IF(  AND(  OR(  E28="x",E28="補"  ), OR(  F28 ="x",F28="補",F28="x榮18-22",F28="x公18-22",F28="x榮22-08"  ), $AP28 =""),"全日休",  IF(  AND(  OR(  E28="x",E28="病"  ), OR(  F28 ="病"  ), $AP28 =""),"病(事)假",  IF(  AND(  OR(  E28="x",E28="補"  ), OR(  F28 ="補"  ), $AP28 =""),"補休",  IF(  AND(  OR(  E28="x",E28="喪"  ), OR(  F28 ="喪"  ), $AP28 =""),"喪假",  IF(  AND(  OR(  E28="x",E28="婚",E28="產"  ), OR(  F28 ="婚",F28="產"  ), $AP28 =""),"婚(產)假",  IF(  AND(  OR(  E28="x",E28="公"  ), OR(  F28 ="公"  ), $AP28 =""),"公假",  IF(  AND(  OR(  E28="x",E28="補",E28="婚",E28="公",E28="病",E28="事",E28="x榮18-22"  ),OR(F28=""), $AP28 =""  ),"18收",  IF(  AND(  OR(  E28 ="榮14-18",E28 ="榮10-18",E28 ="榮06-18",E28 ="病14-18"  ),OR(  F28 ="x",F28="補",F28="婚",F28="公",F28="病",F28="事",F28="x"  ), $AP28 =""),"18放早走",  IF(  AND(  OR(  E28 =""),OR(  F28 ="x",F28="補",F28="婚",F28="公",F28="病",F28="事",F28="x榮*",F28="榮",F28="榮-22"  ), $AP28 =""),"18放",  IF(  AND(  OR(  E28="當日退伍"  ),OR(  F28="退伍",F28="退", F28=""  ), $AP28 =""),"當日退伍",  IF(AND(  OR(E28="退",E28="退伍" ), OR(F28="退",F28="退伍" ), $AP28 =""),"退伍","全日勤"  )  )  )  )  )  )  )  )  )  )  ),"")</f>
        <v>全日勤</v>
      </c>
      <c r="F69" s="66" t="str">
        <f>IF(   (ROW(AR28)-1)&lt;=暫1!$B$2,           IF(  AND(  OR(  F28="x",F28="補"  ), OR(  G28 ="x",G28="補",G28="x榮18-22",G28="x公18-22",G28="x榮22-08"  ), $AP28 =""),"全日休",  IF(  AND(  OR(  F28="x",F28="病"  ), OR(  G28 ="病"  ), $AP28 =""),"病(事)假",  IF(  AND(  OR(  F28="x",F28="補"  ), OR(  G28 ="補"  ), $AP28 =""),"補休",  IF(  AND(  OR(  F28="x",F28="喪"  ), OR(  G28 ="喪"  ), $AP28 =""),"喪假",  IF(  AND(  OR(  F28="x",F28="婚",F28="產"  ), OR(  G28 ="婚",G28="產"  ), $AP28 =""),"婚(產)假",  IF(  AND(  OR(  F28="x",F28="公"  ), OR(  G28 ="公"  ), $AP28 =""),"公假",  IF(  AND(  OR(  F28="x",F28="補",F28="婚",F28="公",F28="病",F28="事",F28="x榮18-22"  ),OR(G28=""), $AP28 =""  ),"18收",  IF(  AND(  OR(  F28 ="榮14-18",F28 ="榮10-18",F28 ="榮06-18",F28 ="病14-18"  ),OR(  G28 ="x",G28="補",G28="婚",G28="公",G28="病",G28="事",G28="x"  ), $AP28 =""),"18放早走",  IF(  AND(  OR(  F28 =""),OR(  G28 ="x",G28="補",G28="婚",G28="公",G28="病",G28="事",G28="x榮*",G28="榮",G28="榮-22"  ), $AP28 =""),"18放",  IF(  AND(  OR(  F28="當日退伍"  ),OR(  G28="退伍",G28="退", G28=""  ), $AP28 =""),"當日退伍",  IF(AND(  OR(F28="退",F28="退伍" ), OR(G28="退",G28="退伍" ), $AP28 =""),"退伍","全日勤"  )  )  )  )  )  )  )  )  )  )  ),"")</f>
        <v>全日勤</v>
      </c>
      <c r="G69" s="66" t="str">
        <f>IF(   (ROW(AS28)-1)&lt;=暫1!$B$2,           IF(  AND(  OR(  G28="x",G28="補"  ), OR(  H28 ="x",H28="補",H28="x榮18-22",H28="x公18-22",H28="x榮22-08"  ), $AP28 =""),"全日休",  IF(  AND(  OR(  G28="x",G28="病"  ), OR(  H28 ="病"  ), $AP28 =""),"病(事)假",  IF(  AND(  OR(  G28="x",G28="補"  ), OR(  H28 ="補"  ), $AP28 =""),"補休",  IF(  AND(  OR(  G28="x",G28="喪"  ), OR(  H28 ="喪"  ), $AP28 =""),"喪假",  IF(  AND(  OR(  G28="x",G28="婚",G28="產"  ), OR(  H28 ="婚",H28="產"  ), $AP28 =""),"婚(產)假",  IF(  AND(  OR(  G28="x",G28="公"  ), OR(  H28 ="公"  ), $AP28 =""),"公假",  IF(  AND(  OR(  G28="x",G28="補",G28="婚",G28="公",G28="病",G28="事",G28="x榮18-22"  ),OR(H28=""), $AP28 =""  ),"18收",  IF(  AND(  OR(  G28 ="榮14-18",G28 ="榮10-18",G28 ="榮06-18",G28 ="病14-18"  ),OR(  H28 ="x",H28="補",H28="婚",H28="公",H28="病",H28="事",H28="x"  ), $AP28 =""),"18放早走",  IF(  AND(  OR(  G28 =""),OR(  H28 ="x",H28="補",H28="婚",H28="公",H28="病",H28="事",H28="x榮*",H28="榮",H28="榮-22"  ), $AP28 =""),"18放",  IF(  AND(  OR(  G28="當日退伍"  ),OR(  H28="退伍",H28="退", H28=""  ), $AP28 =""),"當日退伍",  IF(AND(  OR(G28="退",G28="退伍" ), OR(H28="退",H28="退伍" ), $AP28 =""),"退伍","全日勤"  )  )  )  )  )  )  )  )  )  )  ),"")</f>
        <v>全日勤</v>
      </c>
      <c r="H69" s="66" t="str">
        <f>IF(   (ROW(AT28)-1)&lt;=暫1!$B$2,           IF(  AND(  OR(  H28="x",H28="補"  ), OR(  I28 ="x",I28="補",I28="x榮18-22",I28="x公18-22",I28="x榮22-08"  ), $AP28 =""),"全日休",  IF(  AND(  OR(  H28="x",H28="病"  ), OR(  I28 ="病"  ), $AP28 =""),"病(事)假",  IF(  AND(  OR(  H28="x",H28="補"  ), OR(  I28 ="補"  ), $AP28 =""),"補休",  IF(  AND(  OR(  H28="x",H28="喪"  ), OR(  I28 ="喪"  ), $AP28 =""),"喪假",  IF(  AND(  OR(  H28="x",H28="婚",H28="產"  ), OR(  I28 ="婚",I28="產"  ), $AP28 =""),"婚(產)假",  IF(  AND(  OR(  H28="x",H28="公"  ), OR(  I28 ="公"  ), $AP28 =""),"公假",  IF(  AND(  OR(  H28="x",H28="補",H28="婚",H28="公",H28="病",H28="事",H28="x榮18-22"  ),OR(I28=""), $AP28 =""  ),"18收",  IF(  AND(  OR(  H28 ="榮14-18",H28 ="榮10-18",H28 ="榮06-18",H28 ="病14-18"  ),OR(  I28 ="x",I28="補",I28="婚",I28="公",I28="病",I28="事",I28="x"  ), $AP28 =""),"18放早走",  IF(  AND(  OR(  H28 =""),OR(  I28 ="x",I28="補",I28="婚",I28="公",I28="病",I28="事",I28="x榮*",I28="榮",I28="榮-22"  ), $AP28 =""),"18放",  IF(  AND(  OR(  H28="當日退伍"  ),OR(  I28="退伍",I28="退", I28=""  ), $AP28 =""),"當日退伍",  IF(AND(  OR(H28="退",H28="退伍" ), OR(I28="退",I28="退伍" ), $AP28 =""),"退伍","全日勤"  )  )  )  )  )  )  )  )  )  )  ),"")</f>
        <v>全日勤</v>
      </c>
      <c r="I69" s="66" t="str">
        <f>IF(   (ROW(AU28)-1)&lt;=暫1!$B$2,           IF(  AND(  OR(  I28="x",I28="補"  ), OR(  J28 ="x",J28="補",J28="x榮18-22",J28="x公18-22",J28="x榮22-08"  ), $AP28 =""),"全日休",  IF(  AND(  OR(  I28="x",I28="病"  ), OR(  J28 ="病"  ), $AP28 =""),"病(事)假",  IF(  AND(  OR(  I28="x",I28="補"  ), OR(  J28 ="補"  ), $AP28 =""),"補休",  IF(  AND(  OR(  I28="x",I28="喪"  ), OR(  J28 ="喪"  ), $AP28 =""),"喪假",  IF(  AND(  OR(  I28="x",I28="婚",I28="產"  ), OR(  J28 ="婚",J28="產"  ), $AP28 =""),"婚(產)假",  IF(  AND(  OR(  I28="x",I28="公"  ), OR(  J28 ="公"  ), $AP28 =""),"公假",  IF(  AND(  OR(  I28="x",I28="補",I28="婚",I28="公",I28="病",I28="事",I28="x榮18-22"  ),OR(J28=""), $AP28 =""  ),"18收",  IF(  AND(  OR(  I28 ="榮14-18",I28 ="榮10-18",I28 ="榮06-18",I28 ="病14-18"  ),OR(  J28 ="x",J28="補",J28="婚",J28="公",J28="病",J28="事",J28="x"  ), $AP28 =""),"18放早走",  IF(  AND(  OR(  I28 =""),OR(  J28 ="x",J28="補",J28="婚",J28="公",J28="病",J28="事",J28="x榮*",J28="榮",J28="榮-22"  ), $AP28 =""),"18放",  IF(  AND(  OR(  I28="當日退伍"  ),OR(  J28="退伍",J28="退", J28=""  ), $AP28 =""),"當日退伍",  IF(AND(  OR(I28="退",I28="退伍" ), OR(J28="退",J28="退伍" ), $AP28 =""),"退伍","全日勤"  )  )  )  )  )  )  )  )  )  )  ),"")</f>
        <v>18放</v>
      </c>
      <c r="J69" s="66" t="str">
        <f>IF(   (ROW(AV28)-1)&lt;=暫1!$B$2,           IF(  AND(  OR(  J28="x",J28="補"  ), OR(  K28 ="x",K28="補",K28="x榮18-22",K28="x公18-22",K28="x榮22-08"  ), $AP28 =""),"全日休",  IF(  AND(  OR(  J28="x",J28="病"  ), OR(  K28 ="病"  ), $AP28 =""),"病(事)假",  IF(  AND(  OR(  J28="x",J28="補"  ), OR(  K28 ="補"  ), $AP28 =""),"補休",  IF(  AND(  OR(  J28="x",J28="喪"  ), OR(  K28 ="喪"  ), $AP28 =""),"喪假",  IF(  AND(  OR(  J28="x",J28="婚",J28="產"  ), OR(  K28 ="婚",K28="產"  ), $AP28 =""),"婚(產)假",  IF(  AND(  OR(  J28="x",J28="公"  ), OR(  K28 ="公"  ), $AP28 =""),"公假",  IF(  AND(  OR(  J28="x",J28="補",J28="婚",J28="公",J28="病",J28="事",J28="x榮18-22"  ),OR(K28=""), $AP28 =""  ),"18收",  IF(  AND(  OR(  J28 ="榮14-18",J28 ="榮10-18",J28 ="榮06-18",J28 ="病14-18"  ),OR(  K28 ="x",K28="補",K28="婚",K28="公",K28="病",K28="事",K28="x"  ), $AP28 =""),"18放早走",  IF(  AND(  OR(  J28 =""),OR(  K28 ="x",K28="補",K28="婚",K28="公",K28="病",K28="事",K28="x榮*",K28="榮",K28="榮-22"  ), $AP28 =""),"18放",  IF(  AND(  OR(  J28="當日退伍"  ),OR(  K28="退伍",K28="退", K28=""  ), $AP28 =""),"當日退伍",  IF(AND(  OR(J28="退",J28="退伍" ), OR(K28="退",K28="退伍" ), $AP28 =""),"退伍","全日勤"  )  )  )  )  )  )  )  )  )  )  ),"")</f>
        <v>全日休</v>
      </c>
      <c r="K69" s="66" t="str">
        <f>IF(   (ROW(AW28)-1)&lt;=暫1!$B$2,           IF(  AND(  OR(  K28="x",K28="補"  ), OR(  L28 ="x",L28="補",L28="x榮18-22",L28="x公18-22",L28="x榮22-08"  ), $AP28 =""),"全日休",  IF(  AND(  OR(  K28="x",K28="病"  ), OR(  L28 ="病"  ), $AP28 =""),"病(事)假",  IF(  AND(  OR(  K28="x",K28="補"  ), OR(  L28 ="補"  ), $AP28 =""),"補休",  IF(  AND(  OR(  K28="x",K28="喪"  ), OR(  L28 ="喪"  ), $AP28 =""),"喪假",  IF(  AND(  OR(  K28="x",K28="婚",K28="產"  ), OR(  L28 ="婚",L28="產"  ), $AP28 =""),"婚(產)假",  IF(  AND(  OR(  K28="x",K28="公"  ), OR(  L28 ="公"  ), $AP28 =""),"公假",  IF(  AND(  OR(  K28="x",K28="補",K28="婚",K28="公",K28="病",K28="事",K28="x榮18-22"  ),OR(L28=""), $AP28 =""  ),"18收",  IF(  AND(  OR(  K28 ="榮14-18",K28 ="榮10-18",K28 ="榮06-18",K28 ="病14-18"  ),OR(  L28 ="x",L28="補",L28="婚",L28="公",L28="病",L28="事",L28="x"  ), $AP28 =""),"18放早走",  IF(  AND(  OR(  K28 =""),OR(  L28 ="x",L28="補",L28="婚",L28="公",L28="病",L28="事",L28="x榮*",L28="榮",L28="榮-22"  ), $AP28 =""),"18放",  IF(  AND(  OR(  K28="當日退伍"  ),OR(  L28="退伍",L28="退", L28=""  ), $AP28 =""),"當日退伍",  IF(AND(  OR(K28="退",K28="退伍" ), OR(L28="退",L28="退伍" ), $AP28 =""),"退伍","全日勤"  )  )  )  )  )  )  )  )  )  )  ),"")</f>
        <v>全日休</v>
      </c>
      <c r="L69" s="66" t="str">
        <f>IF(   (ROW(AX28)-1)&lt;=暫1!$B$2,           IF(  AND(  OR(  L28="x",L28="補"  ), OR(  M28 ="x",M28="補",M28="x榮18-22",M28="x公18-22",M28="x榮22-08"  ), $AP28 =""),"全日休",  IF(  AND(  OR(  L28="x",L28="病"  ), OR(  M28 ="病"  ), $AP28 =""),"病(事)假",  IF(  AND(  OR(  L28="x",L28="補"  ), OR(  M28 ="補"  ), $AP28 =""),"補休",  IF(  AND(  OR(  L28="x",L28="喪"  ), OR(  M28 ="喪"  ), $AP28 =""),"喪假",  IF(  AND(  OR(  L28="x",L28="婚",L28="產"  ), OR(  M28 ="婚",M28="產"  ), $AP28 =""),"婚(產)假",  IF(  AND(  OR(  L28="x",L28="公"  ), OR(  M28 ="公"  ), $AP28 =""),"公假",  IF(  AND(  OR(  L28="x",L28="補",L28="婚",L28="公",L28="病",L28="事",L28="x榮18-22"  ),OR(M28=""), $AP28 =""  ),"18收",  IF(  AND(  OR(  L28 ="榮14-18",L28 ="榮10-18",L28 ="榮06-18",L28 ="病14-18"  ),OR(  M28 ="x",M28="補",M28="婚",M28="公",M28="病",M28="事",M28="x"  ), $AP28 =""),"18放早走",  IF(  AND(  OR(  L28 =""),OR(  M28 ="x",M28="補",M28="婚",M28="公",M28="病",M28="事",M28="x榮*",M28="榮",M28="榮-22"  ), $AP28 =""),"18放",  IF(  AND(  OR(  L28="當日退伍"  ),OR(  M28="退伍",M28="退", M28=""  ), $AP28 =""),"當日退伍",  IF(AND(  OR(L28="退",L28="退伍" ), OR(M28="退",M28="退伍" ), $AP28 =""),"退伍","全日勤"  )  )  )  )  )  )  )  )  )  )  ),"")</f>
        <v>全日勤</v>
      </c>
      <c r="M69" s="66" t="str">
        <f>IF(   (ROW(AY28)-1)&lt;=暫1!$B$2,           IF(  AND(  OR(  M28="x",M28="補"  ), OR(  N28 ="x",N28="補",N28="x榮18-22",N28="x公18-22",N28="x榮22-08"  ), $AP28 =""),"全日休",  IF(  AND(  OR(  M28="x",M28="病"  ), OR(  N28 ="病"  ), $AP28 =""),"病(事)假",  IF(  AND(  OR(  M28="x",M28="補"  ), OR(  N28 ="補"  ), $AP28 =""),"補休",  IF(  AND(  OR(  M28="x",M28="喪"  ), OR(  N28 ="喪"  ), $AP28 =""),"喪假",  IF(  AND(  OR(  M28="x",M28="婚",M28="產"  ), OR(  N28 ="婚",N28="產"  ), $AP28 =""),"婚(產)假",  IF(  AND(  OR(  M28="x",M28="公"  ), OR(  N28 ="公"  ), $AP28 =""),"公假",  IF(  AND(  OR(  M28="x",M28="補",M28="婚",M28="公",M28="病",M28="事",M28="x榮18-22"  ),OR(N28=""), $AP28 =""  ),"18收",  IF(  AND(  OR(  M28 ="榮14-18",M28 ="榮10-18",M28 ="榮06-18",M28 ="病14-18"  ),OR(  N28 ="x",N28="補",N28="婚",N28="公",N28="病",N28="事",N28="x"  ), $AP28 =""),"18放早走",  IF(  AND(  OR(  M28 =""),OR(  N28 ="x",N28="補",N28="婚",N28="公",N28="病",N28="事",N28="x榮*",N28="榮",N28="榮-22"  ), $AP28 =""),"18放",  IF(  AND(  OR(  M28="當日退伍"  ),OR(  N28="退伍",N28="退", N28=""  ), $AP28 =""),"當日退伍",  IF(AND(  OR(M28="退",M28="退伍" ), OR(N28="退",N28="退伍" ), $AP28 =""),"退伍","全日勤"  )  )  )  )  )  )  )  )  )  )  ),"")</f>
        <v>全日勤</v>
      </c>
      <c r="N69" s="66" t="str">
        <f>IF(   (ROW(AZ28)-1)&lt;=暫1!$B$2,           IF(  AND(  OR(  N28="x",N28="補"  ), OR(  O28 ="x",O28="補",O28="x榮18-22",O28="x公18-22",O28="x榮22-08"  ), $AP28 =""),"全日休",  IF(  AND(  OR(  N28="x",N28="病"  ), OR(  O28 ="病"  ), $AP28 =""),"病(事)假",  IF(  AND(  OR(  N28="x",N28="補"  ), OR(  O28 ="補"  ), $AP28 =""),"補休",  IF(  AND(  OR(  N28="x",N28="喪"  ), OR(  O28 ="喪"  ), $AP28 =""),"喪假",  IF(  AND(  OR(  N28="x",N28="婚",N28="產"  ), OR(  O28 ="婚",O28="產"  ), $AP28 =""),"婚(產)假",  IF(  AND(  OR(  N28="x",N28="公"  ), OR(  O28 ="公"  ), $AP28 =""),"公假",  IF(  AND(  OR(  N28="x",N28="補",N28="婚",N28="公",N28="病",N28="事",N28="x榮18-22"  ),OR(O28=""), $AP28 =""  ),"18收",  IF(  AND(  OR(  N28 ="榮14-18",N28 ="榮10-18",N28 ="榮06-18",N28 ="病14-18"  ),OR(  O28 ="x",O28="補",O28="婚",O28="公",O28="病",O28="事",O28="x"  ), $AP28 =""),"18放早走",  IF(  AND(  OR(  N28 =""),OR(  O28 ="x",O28="補",O28="婚",O28="公",O28="病",O28="事",O28="x榮*",O28="榮",O28="榮-22"  ), $AP28 =""),"18放",  IF(  AND(  OR(  N28="當日退伍"  ),OR(  O28="退伍",O28="退", O28=""  ), $AP28 =""),"當日退伍",  IF(AND(  OR(N28="退",N28="退伍" ), OR(O28="退",O28="退伍" ), $AP28 =""),"退伍","全日勤"  )  )  )  )  )  )  )  )  )  )  ),"")</f>
        <v>全日勤</v>
      </c>
      <c r="O69" s="66" t="str">
        <f>IF(   (ROW(BA28)-1)&lt;=暫1!$B$2,           IF(  AND(  OR(  O28="x",O28="補"  ), OR(  P28 ="x",P28="補",P28="x榮18-22",P28="x公18-22",P28="x榮22-08"  ), $AP28 =""),"全日休",  IF(  AND(  OR(  O28="x",O28="病"  ), OR(  P28 ="病"  ), $AP28 =""),"病(事)假",  IF(  AND(  OR(  O28="x",O28="補"  ), OR(  P28 ="補"  ), $AP28 =""),"補休",  IF(  AND(  OR(  O28="x",O28="喪"  ), OR(  P28 ="喪"  ), $AP28 =""),"喪假",  IF(  AND(  OR(  O28="x",O28="婚",O28="產"  ), OR(  P28 ="婚",P28="產"  ), $AP28 =""),"婚(產)假",  IF(  AND(  OR(  O28="x",O28="公"  ), OR(  P28 ="公"  ), $AP28 =""),"公假",  IF(  AND(  OR(  O28="x",O28="補",O28="婚",O28="公",O28="病",O28="事",O28="x榮18-22"  ),OR(P28=""), $AP28 =""  ),"18收",  IF(  AND(  OR(  O28 ="榮14-18",O28 ="榮10-18",O28 ="榮06-18",O28 ="病14-18"  ),OR(  P28 ="x",P28="補",P28="婚",P28="公",P28="病",P28="事",P28="x"  ), $AP28 =""),"18放早走",  IF(  AND(  OR(  O28 =""),OR(  P28 ="x",P28="補",P28="婚",P28="公",P28="病",P28="事",P28="x榮*",P28="榮",P28="榮-22"  ), $AP28 =""),"18放",  IF(  AND(  OR(  O28="當日退伍"  ),OR(  P28="退伍",P28="退", P28=""  ), $AP28 =""),"當日退伍",  IF(AND(  OR(O28="退",O28="退伍" ), OR(P28="退",P28="退伍" ), $AP28 =""),"退伍","全日勤"  )  )  )  )  )  )  )  )  )  )  ),"")</f>
        <v>全日勤</v>
      </c>
      <c r="P69" s="66" t="str">
        <f>IF(   (ROW(BB28)-1)&lt;=暫1!$B$2,           IF(  AND(  OR(  P28="x",P28="補"  ), OR(  Q28 ="x",Q28="補",Q28="x榮18-22",Q28="x公18-22",Q28="x榮22-08"  ), $AP28 =""),"全日休",  IF(  AND(  OR(  P28="x",P28="病"  ), OR(  Q28 ="病"  ), $AP28 =""),"病(事)假",  IF(  AND(  OR(  P28="x",P28="補"  ), OR(  Q28 ="補"  ), $AP28 =""),"補休",  IF(  AND(  OR(  P28="x",P28="喪"  ), OR(  Q28 ="喪"  ), $AP28 =""),"喪假",  IF(  AND(  OR(  P28="x",P28="婚",P28="產"  ), OR(  Q28 ="婚",Q28="產"  ), $AP28 =""),"婚(產)假",  IF(  AND(  OR(  P28="x",P28="公"  ), OR(  Q28 ="公"  ), $AP28 =""),"公假",  IF(  AND(  OR(  P28="x",P28="補",P28="婚",P28="公",P28="病",P28="事",P28="x榮18-22"  ),OR(Q28=""), $AP28 =""  ),"18收",  IF(  AND(  OR(  P28 ="榮14-18",P28 ="榮10-18",P28 ="榮06-18",P28 ="病14-18"  ),OR(  Q28 ="x",Q28="補",Q28="婚",Q28="公",Q28="病",Q28="事",Q28="x"  ), $AP28 =""),"18放早走",  IF(  AND(  OR(  P28 =""),OR(  Q28 ="x",Q28="補",Q28="婚",Q28="公",Q28="病",Q28="事",Q28="x榮*",Q28="榮",Q28="榮-22"  ), $AP28 =""),"18放",  IF(  AND(  OR(  P28="當日退伍"  ),OR(  Q28="退伍",Q28="退", Q28=""  ), $AP28 =""),"當日退伍",  IF(AND(  OR(P28="退",P28="退伍" ), OR(Q28="退",Q28="退伍" ), $AP28 =""),"退伍","全日勤"  )  )  )  )  )  )  )  )  )  )  ),"")</f>
        <v>全日勤</v>
      </c>
      <c r="Q69" s="66" t="str">
        <f>IF(   (ROW(BC28)-1)&lt;=暫1!$B$2,           IF(  AND(  OR(  Q28="x",Q28="補"  ), OR(  R28 ="x",R28="補",R28="x榮18-22",R28="x公18-22",R28="x榮22-08"  ), $AP28 =""),"全日休",  IF(  AND(  OR(  Q28="x",Q28="病"  ), OR(  R28 ="病"  ), $AP28 =""),"病(事)假",  IF(  AND(  OR(  Q28="x",Q28="補"  ), OR(  R28 ="補"  ), $AP28 =""),"補休",  IF(  AND(  OR(  Q28="x",Q28="喪"  ), OR(  R28 ="喪"  ), $AP28 =""),"喪假",  IF(  AND(  OR(  Q28="x",Q28="婚",Q28="產"  ), OR(  R28 ="婚",R28="產"  ), $AP28 =""),"婚(產)假",  IF(  AND(  OR(  Q28="x",Q28="公"  ), OR(  R28 ="公"  ), $AP28 =""),"公假",  IF(  AND(  OR(  Q28="x",Q28="補",Q28="婚",Q28="公",Q28="病",Q28="事",Q28="x榮18-22"  ),OR(R28=""), $AP28 =""  ),"18收",  IF(  AND(  OR(  Q28 ="榮14-18",Q28 ="榮10-18",Q28 ="榮06-18",Q28 ="病14-18"  ),OR(  R28 ="x",R28="補",R28="婚",R28="公",R28="病",R28="事",R28="x"  ), $AP28 =""),"18放早走",  IF(  AND(  OR(  Q28 =""),OR(  R28 ="x",R28="補",R28="婚",R28="公",R28="病",R28="事",R28="x榮*",R28="榮",R28="榮-22"  ), $AP28 =""),"18放",  IF(  AND(  OR(  Q28="當日退伍"  ),OR(  R28="退伍",R28="退", R28=""  ), $AP28 =""),"當日退伍",  IF(AND(  OR(Q28="退",Q28="退伍" ), OR(R28="退",R28="退伍" ), $AP28 =""),"退伍","全日勤"  )  )  )  )  )  )  )  )  )  )  ),"")</f>
        <v>18放</v>
      </c>
      <c r="R69" s="66" t="str">
        <f>IF(   (ROW(BD28)-1)&lt;=暫1!$B$2,           IF(  AND(  OR(  R28="x",R28="補"  ), OR(  S28 ="x",S28="補",S28="x榮18-22",S28="x公18-22",S28="x榮22-08"  ), $AP28 =""),"全日休",  IF(  AND(  OR(  R28="x",R28="病"  ), OR(  S28 ="病"  ), $AP28 =""),"病(事)假",  IF(  AND(  OR(  R28="x",R28="補"  ), OR(  S28 ="補"  ), $AP28 =""),"補休",  IF(  AND(  OR(  R28="x",R28="喪"  ), OR(  S28 ="喪"  ), $AP28 =""),"喪假",  IF(  AND(  OR(  R28="x",R28="婚",R28="產"  ), OR(  S28 ="婚",S28="產"  ), $AP28 =""),"婚(產)假",  IF(  AND(  OR(  R28="x",R28="公"  ), OR(  S28 ="公"  ), $AP28 =""),"公假",  IF(  AND(  OR(  R28="x",R28="補",R28="婚",R28="公",R28="病",R28="事",R28="x榮18-22"  ),OR(S28=""), $AP28 =""  ),"18收",  IF(  AND(  OR(  R28 ="榮14-18",R28 ="榮10-18",R28 ="榮06-18",R28 ="病14-18"  ),OR(  S28 ="x",S28="補",S28="婚",S28="公",S28="病",S28="事",S28="x"  ), $AP28 =""),"18放早走",  IF(  AND(  OR(  R28 =""),OR(  S28 ="x",S28="補",S28="婚",S28="公",S28="病",S28="事",S28="x榮*",S28="榮",S28="榮-22"  ), $AP28 =""),"18放",  IF(  AND(  OR(  R28="當日退伍"  ),OR(  S28="退伍",S28="退", S28=""  ), $AP28 =""),"當日退伍",  IF(AND(  OR(R28="退",R28="退伍" ), OR(S28="退",S28="退伍" ), $AP28 =""),"退伍","全日勤"  )  )  )  )  )  )  )  )  )  )  ),"")</f>
        <v>全日休</v>
      </c>
      <c r="S69" s="66" t="str">
        <f>IF(   (ROW(BE28)-1)&lt;=暫1!$B$2,           IF(  AND(  OR(  S28="x",S28="補"  ), OR(  T28 ="x",T28="補",T28="x榮18-22",T28="x公18-22",T28="x榮22-08"  ), $AP28 =""),"全日休",  IF(  AND(  OR(  S28="x",S28="病"  ), OR(  T28 ="病"  ), $AP28 =""),"病(事)假",  IF(  AND(  OR(  S28="x",S28="補"  ), OR(  T28 ="補"  ), $AP28 =""),"補休",  IF(  AND(  OR(  S28="x",S28="喪"  ), OR(  T28 ="喪"  ), $AP28 =""),"喪假",  IF(  AND(  OR(  S28="x",S28="婚",S28="產"  ), OR(  T28 ="婚",T28="產"  ), $AP28 =""),"婚(產)假",  IF(  AND(  OR(  S28="x",S28="公"  ), OR(  T28 ="公"  ), $AP28 =""),"公假",  IF(  AND(  OR(  S28="x",S28="補",S28="婚",S28="公",S28="病",S28="事",S28="x榮18-22"  ),OR(T28=""), $AP28 =""  ),"18收",  IF(  AND(  OR(  S28 ="榮14-18",S28 ="榮10-18",S28 ="榮06-18",S28 ="病14-18"  ),OR(  T28 ="x",T28="補",T28="婚",T28="公",T28="病",T28="事",T28="x"  ), $AP28 =""),"18放早走",  IF(  AND(  OR(  S28 =""),OR(  T28 ="x",T28="補",T28="婚",T28="公",T28="病",T28="事",T28="x榮*",T28="榮",T28="榮-22"  ), $AP28 =""),"18放",  IF(  AND(  OR(  S28="當日退伍"  ),OR(  T28="退伍",T28="退", T28=""  ), $AP28 =""),"當日退伍",  IF(AND(  OR(S28="退",S28="退伍" ), OR(T28="退",T28="退伍" ), $AP28 =""),"退伍","全日勤"  )  )  )  )  )  )  )  )  )  )  ),"")</f>
        <v>全日勤</v>
      </c>
      <c r="T69" s="66" t="str">
        <f>IF(   (ROW(BF28)-1)&lt;=暫1!$B$2,           IF(  AND(  OR(  T28="x",T28="補"  ), OR(  U28 ="x",U28="補",U28="x榮18-22",U28="x公18-22",U28="x榮22-08"  ), $AP28 =""),"全日休",  IF(  AND(  OR(  T28="x",T28="病"  ), OR(  U28 ="病"  ), $AP28 =""),"病(事)假",  IF(  AND(  OR(  T28="x",T28="補"  ), OR(  U28 ="補"  ), $AP28 =""),"補休",  IF(  AND(  OR(  T28="x",T28="喪"  ), OR(  U28 ="喪"  ), $AP28 =""),"喪假",  IF(  AND(  OR(  T28="x",T28="婚",T28="產"  ), OR(  U28 ="婚",U28="產"  ), $AP28 =""),"婚(產)假",  IF(  AND(  OR(  T28="x",T28="公"  ), OR(  U28 ="公"  ), $AP28 =""),"公假",  IF(  AND(  OR(  T28="x",T28="補",T28="婚",T28="公",T28="病",T28="事",T28="x榮18-22"  ),OR(U28=""), $AP28 =""  ),"18收",  IF(  AND(  OR(  T28 ="榮14-18",T28 ="榮10-18",T28 ="榮06-18",T28 ="病14-18"  ),OR(  U28 ="x",U28="補",U28="婚",U28="公",U28="病",U28="事",U28="x"  ), $AP28 =""),"18放早走",  IF(  AND(  OR(  T28 =""),OR(  U28 ="x",U28="補",U28="婚",U28="公",U28="病",U28="事",U28="x榮*",U28="榮",U28="榮-22"  ), $AP28 =""),"18放",  IF(  AND(  OR(  T28="當日退伍"  ),OR(  U28="退伍",U28="退", U28=""  ), $AP28 =""),"當日退伍",  IF(AND(  OR(T28="退",T28="退伍" ), OR(U28="退",U28="退伍" ), $AP28 =""),"退伍","全日勤"  )  )  )  )  )  )  )  )  )  )  ),"")</f>
        <v>全日勤</v>
      </c>
      <c r="U69" s="66" t="str">
        <f>IF(   (ROW(BG28)-1)&lt;=暫1!$B$2,           IF(  AND(  OR(  U28="x",U28="補"  ), OR(  V28 ="x",V28="補",V28="x榮18-22",V28="x公18-22",V28="x榮22-08"  ), $AP28 =""),"全日休",  IF(  AND(  OR(  U28="x",U28="病"  ), OR(  V28 ="病"  ), $AP28 =""),"病(事)假",  IF(  AND(  OR(  U28="x",U28="補"  ), OR(  V28 ="補"  ), $AP28 =""),"補休",  IF(  AND(  OR(  U28="x",U28="喪"  ), OR(  V28 ="喪"  ), $AP28 =""),"喪假",  IF(  AND(  OR(  U28="x",U28="婚",U28="產"  ), OR(  V28 ="婚",V28="產"  ), $AP28 =""),"婚(產)假",  IF(  AND(  OR(  U28="x",U28="公"  ), OR(  V28 ="公"  ), $AP28 =""),"公假",  IF(  AND(  OR(  U28="x",U28="補",U28="婚",U28="公",U28="病",U28="事",U28="x榮18-22"  ),OR(V28=""), $AP28 =""  ),"18收",  IF(  AND(  OR(  U28 ="榮14-18",U28 ="榮10-18",U28 ="榮06-18",U28 ="病14-18"  ),OR(  V28 ="x",V28="補",V28="婚",V28="公",V28="病",V28="事",V28="x"  ), $AP28 =""),"18放早走",  IF(  AND(  OR(  U28 =""),OR(  V28 ="x",V28="補",V28="婚",V28="公",V28="病",V28="事",V28="x榮*",V28="榮",V28="榮-22"  ), $AP28 =""),"18放",  IF(  AND(  OR(  U28="當日退伍"  ),OR(  V28="退伍",V28="退", V28=""  ), $AP28 =""),"當日退伍",  IF(AND(  OR(U28="退",U28="退伍" ), OR(V28="退",V28="退伍" ), $AP28 =""),"退伍","全日勤"  )  )  )  )  )  )  )  )  )  )  ),"")</f>
        <v>全日勤</v>
      </c>
      <c r="V69" s="66" t="str">
        <f>IF(   (ROW(BH28)-1)&lt;=暫1!$B$2,           IF(  AND(  OR(  V28="x",V28="補"  ), OR(  W28 ="x",W28="補",W28="x榮18-22",W28="x公18-22",W28="x榮22-08"  ), $AP28 =""),"全日休",  IF(  AND(  OR(  V28="x",V28="病"  ), OR(  W28 ="病"  ), $AP28 =""),"病(事)假",  IF(  AND(  OR(  V28="x",V28="補"  ), OR(  W28 ="補"  ), $AP28 =""),"補休",  IF(  AND(  OR(  V28="x",V28="喪"  ), OR(  W28 ="喪"  ), $AP28 =""),"喪假",  IF(  AND(  OR(  V28="x",V28="婚",V28="產"  ), OR(  W28 ="婚",W28="產"  ), $AP28 =""),"婚(產)假",  IF(  AND(  OR(  V28="x",V28="公"  ), OR(  W28 ="公"  ), $AP28 =""),"公假",  IF(  AND(  OR(  V28="x",V28="補",V28="婚",V28="公",V28="病",V28="事",V28="x榮18-22"  ),OR(W28=""), $AP28 =""  ),"18收",  IF(  AND(  OR(  V28 ="榮14-18",V28 ="榮10-18",V28 ="榮06-18",V28 ="病14-18"  ),OR(  W28 ="x",W28="補",W28="婚",W28="公",W28="病",W28="事",W28="x"  ), $AP28 =""),"18放早走",  IF(  AND(  OR(  V28 =""),OR(  W28 ="x",W28="補",W28="婚",W28="公",W28="病",W28="事",W28="x榮*",W28="榮",W28="榮-22"  ), $AP28 =""),"18放",  IF(  AND(  OR(  V28="當日退伍"  ),OR(  W28="退伍",W28="退", W28=""  ), $AP28 =""),"當日退伍",  IF(AND(  OR(V28="退",V28="退伍" ), OR(W28="退",W28="退伍" ), $AP28 =""),"退伍","全日勤"  )  )  )  )  )  )  )  )  )  )  ),"")</f>
        <v>全日勤</v>
      </c>
      <c r="W69" s="66" t="str">
        <f>IF(   (ROW(BI28)-1)&lt;=暫1!$B$2,           IF(  AND(  OR(  W28="x",W28="補"  ), OR(  X28 ="x",X28="補",X28="x榮18-22",X28="x公18-22",X28="x榮22-08"  ), $AP28 =""),"全日休",  IF(  AND(  OR(  W28="x",W28="病"  ), OR(  X28 ="病"  ), $AP28 =""),"病(事)假",  IF(  AND(  OR(  W28="x",W28="補"  ), OR(  X28 ="補"  ), $AP28 =""),"補休",  IF(  AND(  OR(  W28="x",W28="喪"  ), OR(  X28 ="喪"  ), $AP28 =""),"喪假",  IF(  AND(  OR(  W28="x",W28="婚",W28="產"  ), OR(  X28 ="婚",X28="產"  ), $AP28 =""),"婚(產)假",  IF(  AND(  OR(  W28="x",W28="公"  ), OR(  X28 ="公"  ), $AP28 =""),"公假",  IF(  AND(  OR(  W28="x",W28="補",W28="婚",W28="公",W28="病",W28="事",W28="x榮18-22"  ),OR(X28=""), $AP28 =""  ),"18收",  IF(  AND(  OR(  W28 ="榮14-18",W28 ="榮10-18",W28 ="榮06-18",W28 ="病14-18"  ),OR(  X28 ="x",X28="補",X28="婚",X28="公",X28="病",X28="事",X28="x"  ), $AP28 =""),"18放早走",  IF(  AND(  OR(  W28 =""),OR(  X28 ="x",X28="補",X28="婚",X28="公",X28="病",X28="事",X28="x榮*",X28="榮",X28="榮-22"  ), $AP28 =""),"18放",  IF(  AND(  OR(  W28="當日退伍"  ),OR(  X28="退伍",X28="退", X28=""  ), $AP28 =""),"當日退伍",  IF(AND(  OR(W28="退",W28="退伍" ), OR(X28="退",X28="退伍" ), $AP28 =""),"退伍","全日勤"  )  )  )  )  )  )  )  )  )  )  ),"")</f>
        <v>全日勤</v>
      </c>
      <c r="X69" s="66" t="str">
        <f>IF(   (ROW(BJ28)-1)&lt;=暫1!$B$2,           IF(  AND(  OR(  X28="x",X28="補"  ), OR(  Y28 ="x",Y28="補",Y28="x榮18-22",Y28="x公18-22",Y28="x榮22-08"  ), $AP28 =""),"全日休",  IF(  AND(  OR(  X28="x",X28="病"  ), OR(  Y28 ="病"  ), $AP28 =""),"病(事)假",  IF(  AND(  OR(  X28="x",X28="補"  ), OR(  Y28 ="補"  ), $AP28 =""),"補休",  IF(  AND(  OR(  X28="x",X28="喪"  ), OR(  Y28 ="喪"  ), $AP28 =""),"喪假",  IF(  AND(  OR(  X28="x",X28="婚",X28="產"  ), OR(  Y28 ="婚",Y28="產"  ), $AP28 =""),"婚(產)假",  IF(  AND(  OR(  X28="x",X28="公"  ), OR(  Y28 ="公"  ), $AP28 =""),"公假",  IF(  AND(  OR(  X28="x",X28="補",X28="婚",X28="公",X28="病",X28="事",X28="x榮18-22"  ),OR(Y28=""), $AP28 =""  ),"18收",  IF(  AND(  OR(  X28 ="榮14-18",X28 ="榮10-18",X28 ="榮06-18",X28 ="病14-18"  ),OR(  Y28 ="x",Y28="補",Y28="婚",Y28="公",Y28="病",Y28="事",Y28="x"  ), $AP28 =""),"18放早走",  IF(  AND(  OR(  X28 =""),OR(  Y28 ="x",Y28="補",Y28="婚",Y28="公",Y28="病",Y28="事",Y28="x榮*",Y28="榮",Y28="榮-22"  ), $AP28 =""),"18放",  IF(  AND(  OR(  X28="當日退伍"  ),OR(  Y28="退伍",Y28="退", Y28=""  ), $AP28 =""),"當日退伍",  IF(AND(  OR(X28="退",X28="退伍" ), OR(Y28="退",Y28="退伍" ), $AP28 =""),"退伍","全日勤"  )  )  )  )  )  )  )  )  )  )  ),"")</f>
        <v>18放</v>
      </c>
      <c r="Y69" s="66" t="str">
        <f>IF(   (ROW(BK28)-1)&lt;=暫1!$B$2,           IF(  AND(  OR(  Y28="x",Y28="補"  ), OR(  Z28 ="x",Z28="補",Z28="x榮18-22",Z28="x公18-22",Z28="x榮22-08"  ), $AP28 =""),"全日休",  IF(  AND(  OR(  Y28="x",Y28="病"  ), OR(  Z28 ="病"  ), $AP28 =""),"病(事)假",  IF(  AND(  OR(  Y28="x",Y28="補"  ), OR(  Z28 ="補"  ), $AP28 =""),"補休",  IF(  AND(  OR(  Y28="x",Y28="喪"  ), OR(  Z28 ="喪"  ), $AP28 =""),"喪假",  IF(  AND(  OR(  Y28="x",Y28="婚",Y28="產"  ), OR(  Z28 ="婚",Z28="產"  ), $AP28 =""),"婚(產)假",  IF(  AND(  OR(  Y28="x",Y28="公"  ), OR(  Z28 ="公"  ), $AP28 =""),"公假",  IF(  AND(  OR(  Y28="x",Y28="補",Y28="婚",Y28="公",Y28="病",Y28="事",Y28="x榮18-22"  ),OR(Z28=""), $AP28 =""  ),"18收",  IF(  AND(  OR(  Y28 ="榮14-18",Y28 ="榮10-18",Y28 ="榮06-18",Y28 ="病14-18"  ),OR(  Z28 ="x",Z28="補",Z28="婚",Z28="公",Z28="病",Z28="事",Z28="x"  ), $AP28 =""),"18放早走",  IF(  AND(  OR(  Y28 =""),OR(  Z28 ="x",Z28="補",Z28="婚",Z28="公",Z28="病",Z28="事",Z28="x榮*",Z28="榮",Z28="榮-22"  ), $AP28 =""),"18放",  IF(  AND(  OR(  Y28="當日退伍"  ),OR(  Z28="退伍",Z28="退", Z28=""  ), $AP28 =""),"當日退伍",  IF(AND(  OR(Y28="退",Y28="退伍" ), OR(Z28="退",Z28="退伍" ), $AP28 =""),"退伍","全日勤"  )  )  )  )  )  )  )  )  )  )  ),"")</f>
        <v>全日休</v>
      </c>
      <c r="Z69" s="66" t="str">
        <f>IF(   (ROW(BL28)-1)&lt;=暫1!$B$2,           IF(  AND(  OR(  Z28="x",Z28="補"  ), OR(  AA28 ="x",AA28="補",AA28="x榮18-22",AA28="x公18-22",AA28="x榮22-08"  ), $AP28 =""),"全日休",  IF(  AND(  OR(  Z28="x",Z28="病"  ), OR(  AA28 ="病"  ), $AP28 =""),"病(事)假",  IF(  AND(  OR(  Z28="x",Z28="補"  ), OR(  AA28 ="補"  ), $AP28 =""),"補休",  IF(  AND(  OR(  Z28="x",Z28="喪"  ), OR(  AA28 ="喪"  ), $AP28 =""),"喪假",  IF(  AND(  OR(  Z28="x",Z28="婚",Z28="產"  ), OR(  AA28 ="婚",AA28="產"  ), $AP28 =""),"婚(產)假",  IF(  AND(  OR(  Z28="x",Z28="公"  ), OR(  AA28 ="公"  ), $AP28 =""),"公假",  IF(  AND(  OR(  Z28="x",Z28="補",Z28="婚",Z28="公",Z28="病",Z28="事",Z28="x榮18-22"  ),OR(AA28=""), $AP28 =""  ),"18收",  IF(  AND(  OR(  Z28 ="榮14-18",Z28 ="榮10-18",Z28 ="榮06-18",Z28 ="病14-18"  ),OR(  AA28 ="x",AA28="補",AA28="婚",AA28="公",AA28="病",AA28="事",AA28="x"  ), $AP28 =""),"18放早走",  IF(  AND(  OR(  Z28 =""),OR(  AA28 ="x",AA28="補",AA28="婚",AA28="公",AA28="病",AA28="事",AA28="x榮*",AA28="榮",AA28="榮-22"  ), $AP28 =""),"18放",  IF(  AND(  OR(  Z28="當日退伍"  ),OR(  AA28="退伍",AA28="退", AA28=""  ), $AP28 =""),"當日退伍",  IF(AND(  OR(Z28="退",Z28="退伍" ), OR(AA28="退",AA28="退伍" ), $AP28 =""),"退伍","全日勤"  )  )  )  )  )  )  )  )  )  )  ),"")</f>
        <v>18收</v>
      </c>
      <c r="AA69" s="66" t="str">
        <f>IF(   (ROW(BM28)-1)&lt;=暫1!$B$2,           IF(  AND(  OR(  AA28="x",AA28="補"  ), OR(  AB28 ="x",AB28="補",AB28="x榮18-22",AB28="x公18-22",AB28="x榮22-08"  ), $AP28 =""),"全日休",  IF(  AND(  OR(  AA28="x",AA28="病"  ), OR(  AB28 ="病"  ), $AP28 =""),"病(事)假",  IF(  AND(  OR(  AA28="x",AA28="補"  ), OR(  AB28 ="補"  ), $AP28 =""),"補休",  IF(  AND(  OR(  AA28="x",AA28="喪"  ), OR(  AB28 ="喪"  ), $AP28 =""),"喪假",  IF(  AND(  OR(  AA28="x",AA28="婚",AA28="產"  ), OR(  AB28 ="婚",AB28="產"  ), $AP28 =""),"婚(產)假",  IF(  AND(  OR(  AA28="x",AA28="公"  ), OR(  AB28 ="公"  ), $AP28 =""),"公假",  IF(  AND(  OR(  AA28="x",AA28="補",AA28="婚",AA28="公",AA28="病",AA28="事",AA28="x榮18-22"  ),OR(AB28=""), $AP28 =""  ),"18收",  IF(  AND(  OR(  AA28 ="榮14-18",AA28 ="榮10-18",AA28 ="榮06-18",AA28 ="病14-18"  ),OR(  AB28 ="x",AB28="補",AB28="婚",AB28="公",AB28="病",AB28="事",AB28="x"  ), $AP28 =""),"18放早走",  IF(  AND(  OR(  AA28 =""),OR(  AB28 ="x",AB28="補",AB28="婚",AB28="公",AB28="病",AB28="事",AB28="x榮*",AB28="榮",AB28="榮-22"  ), $AP28 =""),"18放",  IF(  AND(  OR(  AA28="當日退伍"  ),OR(  AB28="退伍",AB28="退", AB28=""  ), $AP28 =""),"當日退伍",  IF(AND(  OR(AA28="退",AA28="退伍" ), OR(AB28="退",AB28="退伍" ), $AP28 =""),"退伍","全日勤"  )  )  )  )  )  )  )  )  )  )  ),"")</f>
        <v>全日勤</v>
      </c>
      <c r="AB69" s="66" t="str">
        <f>IF(   (ROW(BN28)-1)&lt;=暫1!$B$2,           IF(  AND(  OR(  AB28="x",AB28="補"  ), OR(  AC28 ="x",AC28="補",AC28="x榮18-22",AC28="x公18-22",AC28="x榮22-08"  ), $AP28 =""),"全日休",  IF(  AND(  OR(  AB28="x",AB28="病"  ), OR(  AC28 ="病"  ), $AP28 =""),"病(事)假",  IF(  AND(  OR(  AB28="x",AB28="補"  ), OR(  AC28 ="補"  ), $AP28 =""),"補休",  IF(  AND(  OR(  AB28="x",AB28="喪"  ), OR(  AC28 ="喪"  ), $AP28 =""),"喪假",  IF(  AND(  OR(  AB28="x",AB28="婚",AB28="產"  ), OR(  AC28 ="婚",AC28="產"  ), $AP28 =""),"婚(產)假",  IF(  AND(  OR(  AB28="x",AB28="公"  ), OR(  AC28 ="公"  ), $AP28 =""),"公假",  IF(  AND(  OR(  AB28="x",AB28="補",AB28="婚",AB28="公",AB28="病",AB28="事",AB28="x榮18-22"  ),OR(AC28=""), $AP28 =""  ),"18收",  IF(  AND(  OR(  AB28 ="榮14-18",AB28 ="榮10-18",AB28 ="榮06-18",AB28 ="病14-18"  ),OR(  AC28 ="x",AC28="補",AC28="婚",AC28="公",AC28="病",AC28="事",AC28="x"  ), $AP28 =""),"18放早走",  IF(  AND(  OR(  AB28 =""),OR(  AC28 ="x",AC28="補",AC28="婚",AC28="公",AC28="病",AC28="事",AC28="x榮*",AC28="榮",AC28="榮-22"  ), $AP28 =""),"18放",  IF(  AND(  OR(  AB28="當日退伍"  ),OR(  AC28="退伍",AC28="退", AC28=""  ), $AP28 =""),"當日退伍",  IF(AND(  OR(AB28="退",AB28="退伍" ), OR(AC28="退",AC28="退伍" ), $AP28 =""),"退伍","全日勤"  )  )  )  )  )  )  )  )  )  )  ),"")</f>
        <v>全日勤</v>
      </c>
      <c r="AC69" s="66" t="str">
        <f>IF(   (ROW(BO28)-1)&lt;=暫1!$B$2,           IF(  AND(  OR(  AC28="x",AC28="補"  ), OR(  AD28 ="x",AD28="補",AD28="x榮18-22",AD28="x公18-22",AD28="x榮22-08"  ), $AP28 =""),"全日休",  IF(  AND(  OR(  AC28="x",AC28="病"  ), OR(  AD28 ="病"  ), $AP28 =""),"病(事)假",  IF(  AND(  OR(  AC28="x",AC28="補"  ), OR(  AD28 ="補"  ), $AP28 =""),"補休",  IF(  AND(  OR(  AC28="x",AC28="喪"  ), OR(  AD28 ="喪"  ), $AP28 =""),"喪假",  IF(  AND(  OR(  AC28="x",AC28="婚",AC28="產"  ), OR(  AD28 ="婚",AD28="產"  ), $AP28 =""),"婚(產)假",  IF(  AND(  OR(  AC28="x",AC28="公"  ), OR(  AD28 ="公"  ), $AP28 =""),"公假",  IF(  AND(  OR(  AC28="x",AC28="補",AC28="婚",AC28="公",AC28="病",AC28="事",AC28="x榮18-22"  ),OR(AD28=""), $AP28 =""  ),"18收",  IF(  AND(  OR(  AC28 ="榮14-18",AC28 ="榮10-18",AC28 ="榮06-18",AC28 ="病14-18"  ),OR(  AD28 ="x",AD28="補",AD28="婚",AD28="公",AD28="病",AD28="事",AD28="x"  ), $AP28 =""),"18放早走",  IF(  AND(  OR(  AC28 =""),OR(  AD28 ="x",AD28="補",AD28="婚",AD28="公",AD28="病",AD28="事",AD28="x榮*",AD28="榮",AD28="榮-22"  ), $AP28 =""),"18放",  IF(  AND(  OR(  AC28="當日退伍"  ),OR(  AD28="退伍",AD28="退", AD28=""  ), $AP28 =""),"當日退伍",  IF(AND(  OR(AC28="退",AC28="退伍" ), OR(AD28="退",AD28="退伍" ), $AP28 =""),"退伍","全日勤"  )  )  )  )  )  )  )  )  )  )  ),"")</f>
        <v>全日勤</v>
      </c>
      <c r="AD69" s="66" t="str">
        <f>IF(   (ROW(BP28)-1)&lt;=暫1!$B$2,           IF(  AND(  OR(  AD28="x",AD28="補"  ), OR(  AE28 ="x",AE28="補",AE28="x榮18-22",AE28="x公18-22",AE28="x榮22-08"  ), $AP28 =""),"全日休",  IF(  AND(  OR(  AD28="x",AD28="病"  ), OR(  AE28 ="病"  ), $AP28 =""),"病(事)假",  IF(  AND(  OR(  AD28="x",AD28="補"  ), OR(  AE28 ="補"  ), $AP28 =""),"補休",  IF(  AND(  OR(  AD28="x",AD28="喪"  ), OR(  AE28 ="喪"  ), $AP28 =""),"喪假",  IF(  AND(  OR(  AD28="x",AD28="婚",AD28="產"  ), OR(  AE28 ="婚",AE28="產"  ), $AP28 =""),"婚(產)假",  IF(  AND(  OR(  AD28="x",AD28="公"  ), OR(  AE28 ="公"  ), $AP28 =""),"公假",  IF(  AND(  OR(  AD28="x",AD28="補",AD28="婚",AD28="公",AD28="病",AD28="事",AD28="x榮18-22"  ),OR(AE28=""), $AP28 =""  ),"18收",  IF(  AND(  OR(  AD28 ="榮14-18",AD28 ="榮10-18",AD28 ="榮06-18",AD28 ="病14-18"  ),OR(  AE28 ="x",AE28="補",AE28="婚",AE28="公",AE28="病",AE28="事",AE28="x"  ), $AP28 =""),"18放早走",  IF(  AND(  OR(  AD28 =""),OR(  AE28 ="x",AE28="補",AE28="婚",AE28="公",AE28="病",AE28="事",AE28="x榮*",AE28="榮",AE28="榮-22"  ), $AP28 =""),"18放",  IF(  AND(  OR(  AD28="當日退伍"  ),OR(  AE28="退伍",AE28="退", AE28=""  ), $AP28 =""),"當日退伍",  IF(AND(  OR(AD28="退",AD28="退伍" ), OR(AE28="退",AE28="退伍" ), $AP28 =""),"退伍","全日勤"  )  )  )  )  )  )  )  )  )  )  ),"")</f>
        <v>全日勤</v>
      </c>
      <c r="AE69" s="66" t="str">
        <f>IF(   (ROW(BQ28)-1)&lt;=暫1!$B$2,           IF(  AND(  OR(  AE28="x",AE28="補"  ), OR(  AF28 ="x",AF28="補",AF28="x榮18-22",AF28="x公18-22",AF28="x榮22-08"  ), $AP28 =""),"全日休",  IF(  AND(  OR(  AE28="x",AE28="病"  ), OR(  AF28 ="病"  ), $AP28 =""),"病(事)假",  IF(  AND(  OR(  AE28="x",AE28="補"  ), OR(  AF28 ="補"  ), $AP28 =""),"補休",  IF(  AND(  OR(  AE28="x",AE28="喪"  ), OR(  AF28 ="喪"  ), $AP28 =""),"喪假",  IF(  AND(  OR(  AE28="x",AE28="婚",AE28="產"  ), OR(  AF28 ="婚",AF28="產"  ), $AP28 =""),"婚(產)假",  IF(  AND(  OR(  AE28="x",AE28="公"  ), OR(  AF28 ="公"  ), $AP28 =""),"公假",  IF(  AND(  OR(  AE28="x",AE28="補",AE28="婚",AE28="公",AE28="病",AE28="事",AE28="x榮18-22"  ),OR(AF28=""), $AP28 =""  ),"18收",  IF(  AND(  OR(  AE28 ="榮14-18",AE28 ="榮10-18",AE28 ="榮06-18",AE28 ="病14-18"  ),OR(  AF28 ="x",AF28="補",AF28="婚",AF28="公",AF28="病",AF28="事",AF28="x"  ), $AP28 =""),"18放早走",  IF(  AND(  OR(  AE28 =""),OR(  AF28 ="x",AF28="補",AF28="婚",AF28="公",AF28="病",AF28="事",AF28="x榮*",AF28="榮",AF28="榮-22"  ), $AP28 =""),"18放",  IF(  AND(  OR(  AE28="當日退伍"  ),OR(  AF28="退伍",AF28="退", AF28=""  ), $AP28 =""),"當日退伍",  IF(AND(  OR(AE28="退",AE28="退伍" ), OR(AF28="退",AF28="退伍" ), $AP28 =""),"退伍","全日勤"  )  )  )  )  )  )  )  )  )  )  ),"")</f>
        <v>18放</v>
      </c>
      <c r="AF69" s="66" t="str">
        <f>IF(   (ROW(BR28)-1)&lt;=暫1!$B$2,           IF(  AND(  OR(  AF28="x",AF28="補"  ), OR(  AG28 ="x",AG28="補",AG28="x榮18-22",AG28="x公18-22",AG28="x榮22-08"  ), $AP28 =""),"全日休",  IF(  AND(  OR(  AF28="x",AF28="病"  ), OR(  AG28 ="病"  ), $AP28 =""),"病(事)假",  IF(  AND(  OR(  AF28="x",AF28="補"  ), OR(  AG28 ="補"  ), $AP28 =""),"補休",  IF(  AND(  OR(  AF28="x",AF28="喪"  ), OR(  AG28 ="喪"  ), $AP28 =""),"喪假",  IF(  AND(  OR(  AF28="x",AF28="婚",AF28="產"  ), OR(  AG28 ="婚",AG28="產"  ), $AP28 =""),"婚(產)假",  IF(  AND(  OR(  AF28="x",AF28="公"  ), OR(  AG28 ="公"  ), $AP28 =""),"公假",  IF(  AND(  OR(  AF28="x",AF28="補",AF28="婚",AF28="公",AF28="病",AF28="事",AF28="x榮18-22"  ),OR(AG28=""), $AP28 =""  ),"18收",  IF(  AND(  OR(  AF28 ="榮14-18",AF28 ="榮10-18",AF28 ="榮06-18",AF28 ="病14-18"  ),OR(  AG28 ="x",AG28="補",AG28="婚",AG28="公",AG28="病",AG28="事",AG28="x"  ), $AP28 =""),"18放早走",  IF(  AND(  OR(  AF28 =""),OR(  AG28 ="x",AG28="補",AG28="婚",AG28="公",AG28="病",AG28="事",AG28="x榮*",AG28="榮",AG28="榮-22"  ), $AP28 =""),"18放",  IF(  AND(  OR(  AF28="當日退伍"  ),OR(  AG28="退伍",AG28="退", AG28=""  ), $AP28 =""),"當日退伍",  IF(AND(  OR(AF28="退",AF28="退伍" ), OR(AG28="退",AG28="退伍" ), $AP28 =""),"退伍","全日勤"  )  )  )  )  )  )  )  )  )  )  ),"")</f>
        <v>全日休</v>
      </c>
      <c r="AG69" s="66" t="str">
        <f>IF(   (ROW(BS28)-1)&lt;=暫1!$B$2,           IF(  AND(  OR(  AG28="x",AG28="補"  ), OR(  AH28 ="x",AH28="補",AH28="x榮18-22",AH28="x公18-22",AH28="x榮22-08"  ), $AP28 =""),"全日休",  IF(  AND(  OR(  AG28="x",AG28="病"  ), OR(  AH28 ="病"  ), $AP28 =""),"病(事)假",  IF(  AND(  OR(  AG28="x",AG28="補"  ), OR(  AH28 ="補"  ), $AP28 =""),"補休",  IF(  AND(  OR(  AG28="x",AG28="喪"  ), OR(  AH28 ="喪"  ), $AP28 =""),"喪假",  IF(  AND(  OR(  AG28="x",AG28="婚",AG28="產"  ), OR(  AH28 ="婚",AH28="產"  ), $AP28 =""),"婚(產)假",  IF(  AND(  OR(  AG28="x",AG28="公"  ), OR(  AH28 ="公"  ), $AP28 =""),"公假",  IF(  AND(  OR(  AG28="x",AG28="補",AG28="婚",AG28="公",AG28="病",AG28="事",AG28="x榮18-22"  ),OR(AH28=""), $AP28 =""  ),"18收",  IF(  AND(  OR(  AG28 ="榮14-18",AG28 ="榮10-18",AG28 ="榮06-18",AG28 ="病14-18"  ),OR(  AH28 ="x",AH28="補",AH28="婚",AH28="公",AH28="病",AH28="事",AH28="x"  ), $AP28 =""),"18放早走",  IF(  AND(  OR(  AG28 =""),OR(  AH28 ="x",AH28="補",AH28="婚",AH28="公",AH28="病",AH28="事",AH28="x榮*",AH28="榮",AH28="榮-22"  ), $AP28 =""),"18放",  IF(  AND(  OR(  AG28="當日退伍"  ),OR(  AH28="退伍",AH28="退", AH28=""  ), $AP28 =""),"當日退伍",  IF(AND(  OR(AG28="退",AG28="退伍" ), OR(AH28="退",AH28="退伍" ), $AP28 =""),"退伍","全日勤"  )  )  )  )  )  )  )  )  )  )  ),"")</f>
        <v>18收</v>
      </c>
      <c r="AH69" s="66" t="str">
        <f>IF(   (ROW(BT28)-1)&lt;=暫1!$B$2,           IF(  AND(  OR(  AH28="x",AH28="補"  ), OR(  AI28 ="x",AI28="補",AI28="x榮18-22",AI28="x公18-22",AI28="x榮22-08"  ), $AP28 =""),"全日休",  IF(  AND(  OR(  AH28="x",AH28="病"  ), OR(  AI28 ="病"  ), $AP28 =""),"病(事)假",  IF(  AND(  OR(  AH28="x",AH28="補"  ), OR(  AI28 ="補"  ), $AP28 =""),"補休",  IF(  AND(  OR(  AH28="x",AH28="喪"  ), OR(  AI28 ="喪"  ), $AP28 =""),"喪假",  IF(  AND(  OR(  AH28="x",AH28="婚",AH28="產"  ), OR(  AI28 ="婚",AI28="產"  ), $AP28 =""),"婚(產)假",  IF(  AND(  OR(  AH28="x",AH28="公"  ), OR(  AI28 ="公"  ), $AP28 =""),"公假",  IF(  AND(  OR(  AH28="x",AH28="補",AH28="婚",AH28="公",AH28="病",AH28="事",AH28="x榮18-22"  ),OR(AI28=""), $AP28 =""  ),"18收",  IF(  AND(  OR(  AH28 ="榮14-18",AH28 ="榮10-18",AH28 ="榮06-18",AH28 ="病14-18"  ),OR(  AI28 ="x",AI28="補",AI28="婚",AI28="公",AI28="病",AI28="事",AI28="x"  ), $AP28 =""),"18放早走",  IF(  AND(  OR(  AH28 =""),OR(  AI28 ="x",AI28="補",AI28="婚",AI28="公",AI28="病",AI28="事",AI28="x榮*",AI28="榮",AI28="榮-22"  ), $AP28 =""),"18放",  IF(  AND(  OR(  AH28="當日退伍"  ),OR(  AI28="退伍",AI28="退", AI28=""  ), $AP28 =""),"當日退伍",  IF(AND(  OR(AH28="退",AH28="退伍" ), OR(AI28="退",AI28="退伍" ), $AP28 =""),"退伍","全日勤"  )  )  )  )  )  )  )  )  )  )  ),"")</f>
        <v>全日勤</v>
      </c>
      <c r="AI69" s="66" t="str">
        <f>IF(   (ROW(BU28)-1)&lt;=暫1!$B$2,           IF(  AND(  OR(  AI28="x",AI28="補"  ), OR(  AJ28 ="x",AJ28="補",AJ28="x榮18-22",AJ28="x公18-22",AJ28="x榮22-08"  ), $AP28 =""),"全日休",  IF(  AND(  OR(  AI28="x",AI28="病"  ), OR(  AJ28 ="病"  ), $AP28 =""),"病(事)假",  IF(  AND(  OR(  AI28="x",AI28="補"  ), OR(  AJ28 ="補"  ), $AP28 =""),"補休",  IF(  AND(  OR(  AI28="x",AI28="喪"  ), OR(  AJ28 ="喪"  ), $AP28 =""),"喪假",  IF(  AND(  OR(  AI28="x",AI28="婚",AI28="產"  ), OR(  AJ28 ="婚",AJ28="產"  ), $AP28 =""),"婚(產)假",  IF(  AND(  OR(  AI28="x",AI28="公"  ), OR(  AJ28 ="公"  ), $AP28 =""),"公假",  IF(  AND(  OR(  AI28="x",AI28="補",AI28="婚",AI28="公",AI28="病",AI28="事",AI28="x榮18-22"  ),OR(AJ28=""), $AP28 =""  ),"18收",  IF(  AND(  OR(  AI28 ="榮14-18",AI28 ="榮10-18",AI28 ="榮06-18",AI28 ="病14-18"  ),OR(  AJ28 ="x",AJ28="補",AJ28="婚",AJ28="公",AJ28="病",AJ28="事",AJ28="x"  ), $AP28 =""),"18放早走",  IF(  AND(  OR(  AI28 =""),OR(  AJ28 ="x",AJ28="補",AJ28="婚",AJ28="公",AJ28="病",AJ28="事",AJ28="x榮*",AJ28="榮",AJ28="榮-22"  ), $AP28 =""),"18放",  IF(  AND(  OR(  AI28="當日退伍"  ),OR(  AJ28="退伍",AJ28="退", AJ28=""  ), $AP28 =""),"當日退伍",  IF(AND(  OR(AI28="退",AI28="退伍" ), OR(AJ28="退",AJ28="退伍" ), $AP28 =""),"退伍","全日勤"  )  )  )  )  )  )  )  )  )  )  ),"")</f>
        <v>全日勤</v>
      </c>
      <c r="AJ69" s="66" t="str">
        <f>IF(   (ROW(BV28)-1)&lt;=暫1!$B$2,           IF(  AND(  OR(  AJ28="x",AJ28="補"  ), OR(  AK28 ="x",AK28="補",AK28="x榮18-22",AK28="x公18-22",AK28="x榮22-08"  ), $AP28 =""),"全日休",  IF(  AND(  OR(  AJ28="x",AJ28="病"  ), OR(  AK28 ="病"  ), $AP28 =""),"病(事)假",  IF(  AND(  OR(  AJ28="x",AJ28="補"  ), OR(  AK28 ="補"  ), $AP28 =""),"補休",  IF(  AND(  OR(  AJ28="x",AJ28="喪"  ), OR(  AK28 ="喪"  ), $AP28 =""),"喪假",  IF(  AND(  OR(  AJ28="x",AJ28="婚",AJ28="產"  ), OR(  AK28 ="婚",AK28="產"  ), $AP28 =""),"婚(產)假",  IF(  AND(  OR(  AJ28="x",AJ28="公"  ), OR(  AK28 ="公"  ), $AP28 =""),"公假",  IF(  AND(  OR(  AJ28="x",AJ28="補",AJ28="婚",AJ28="公",AJ28="病",AJ28="事",AJ28="x榮18-22"  ),OR(AK28=""), $AP28 =""  ),"18收",  IF(  AND(  OR(  AJ28 ="榮14-18",AJ28 ="榮10-18",AJ28 ="榮06-18",AJ28 ="病14-18"  ),OR(  AK28 ="x",AK28="補",AK28="婚",AK28="公",AK28="病",AK28="事",AK28="x"  ), $AP28 =""),"18放早走",  IF(  AND(  OR(  AJ28 =""),OR(  AK28 ="x",AK28="補",AK28="婚",AK28="公",AK28="病",AK28="事",AK28="x榮*",AK28="榮",AK28="榮-22"  ), $AP28 =""),"18放",  IF(  AND(  OR(  AJ28="當日退伍"  ),OR(  AK28="退伍",AK28="退", AK28=""  ), $AP28 =""),"當日退伍",  IF(AND(  OR(AJ28="退",AJ28="退伍" ), OR(AK28="退",AK28="退伍" ), $AP28 =""),"退伍","全日勤"  )  )  )  )  )  )  )  )  )  )  ),"")</f>
        <v>全日勤</v>
      </c>
      <c r="AO69" s="76"/>
      <c r="AP69" s="63"/>
      <c r="AU69" s="63"/>
      <c r="AY69" s="63"/>
      <c r="AZ69" s="63"/>
      <c r="BA69" s="63"/>
    </row>
    <row r="70" spans="1:55" ht="25.5" customHeight="1">
      <c r="A70" s="66">
        <f t="shared" si="4"/>
        <v>28</v>
      </c>
      <c r="B70" s="66" t="str">
        <f t="shared" si="6"/>
        <v>高仲廷</v>
      </c>
      <c r="C70" s="66" t="str">
        <f>IF(   (ROW(AO29)-1)&lt;=暫1!$B$2,           IF(  AND(  OR(  C29="x",C29="補"  ), OR(  D29 ="x",D29="補",D29="x榮18-22",D29="x公18-22",D29="x榮22-08"  ), $AP29 =""),"全日休",  IF(  AND(  OR(  C29="x",C29="病"  ), OR(  D29 ="病"  ), $AP29 =""),"病(事)假",  IF(  AND(  OR(  C29="x",C29="補"  ), OR(  D29 ="補"  ), $AP29 =""),"補休",  IF(  AND(  OR(  C29="x",C29="喪"  ), OR(  D29 ="喪"  ), $AP29 =""),"喪假",  IF(  AND(  OR(  C29="x",C29="婚",C29="產"  ), OR(  D29 ="婚",D29="產"  ), $AP29 =""),"婚(產)假",  IF(  AND(  OR(  C29="x",C29="公"  ), OR(  D29 ="公"  ), $AP29 =""),"公假",  IF(  AND(  OR(  C29="x",C29="補",C29="婚",C29="公",C29="病",C29="事",C29="x榮18-22"  ),OR(D29=""), $AP29 =""  ),"18收",  IF(  AND(  OR(  C29 ="榮14-18",C29 ="榮10-18",C29 ="榮06-18",C29 ="病14-18"  ),OR(  D29 ="x",D29="補",D29="婚",D29="公",D29="病",D29="事",D29="x"  ), $AP29 =""),"18放早走",  IF(  AND(  OR(  C29 =""),OR(  D29 ="x",D29="補",D29="婚",D29="公",D29="病",D29="事",D29="x榮*",D29="榮",D29="榮-22"  ), $AP29 =""),"18放",  IF(  AND(  OR(  C29="當日退伍"  ),OR(  D29="退伍",D29="退", D29=""  ), $AP29 =""),"當日退伍",  IF(AND(  OR(C29="退",C29="退伍" ), OR(D29="退",D29="退伍" ), $AP29 =""),"退伍","全日勤"  )  )  )  )  )  )  )  )  )  )  ),"")</f>
        <v>全日勤</v>
      </c>
      <c r="D70" s="66" t="str">
        <f>IF(   (ROW(AP29)-1)&lt;=暫1!$B$2,           IF(  AND(  OR(  D29="x",D29="補"  ), OR(  E29 ="x",E29="補",E29="x榮18-22",E29="x公18-22",E29="x榮22-08"  ), $AP29 =""),"全日休",  IF(  AND(  OR(  D29="x",D29="病"  ), OR(  E29 ="病"  ), $AP29 =""),"病(事)假",  IF(  AND(  OR(  D29="x",D29="補"  ), OR(  E29 ="補"  ), $AP29 =""),"補休",  IF(  AND(  OR(  D29="x",D29="喪"  ), OR(  E29 ="喪"  ), $AP29 =""),"喪假",  IF(  AND(  OR(  D29="x",D29="婚",D29="產"  ), OR(  E29 ="婚",E29="產"  ), $AP29 =""),"婚(產)假",  IF(  AND(  OR(  D29="x",D29="公"  ), OR(  E29 ="公"  ), $AP29 =""),"公假",  IF(  AND(  OR(  D29="x",D29="補",D29="婚",D29="公",D29="病",D29="事",D29="x榮18-22"  ),OR(E29=""), $AP29 =""  ),"18收",  IF(  AND(  OR(  D29 ="榮14-18",D29 ="榮10-18",D29 ="榮06-18",D29 ="病14-18"  ),OR(  E29 ="x",E29="補",E29="婚",E29="公",E29="病",E29="事",E29="x"  ), $AP29 =""),"18放早走",  IF(  AND(  OR(  D29 =""),OR(  E29 ="x",E29="補",E29="婚",E29="公",E29="病",E29="事",E29="x榮*",E29="榮",E29="榮-22"  ), $AP29 =""),"18放",  IF(  AND(  OR(  D29="當日退伍"  ),OR(  E29="退伍",E29="退", E29=""  ), $AP29 =""),"當日退伍",  IF(AND(  OR(D29="退",D29="退伍" ), OR(E29="退",E29="退伍" ), $AP29 =""),"退伍","全日勤"  )  )  )  )  )  )  )  )  )  )  ),"")</f>
        <v>18放</v>
      </c>
      <c r="E70" s="66" t="str">
        <f>IF(   (ROW(AQ29)-1)&lt;=暫1!$B$2,           IF(  AND(  OR(  E29="x",E29="補"  ), OR(  F29 ="x",F29="補",F29="x榮18-22",F29="x公18-22",F29="x榮22-08"  ), $AP29 =""),"全日休",  IF(  AND(  OR(  E29="x",E29="病"  ), OR(  F29 ="病"  ), $AP29 =""),"病(事)假",  IF(  AND(  OR(  E29="x",E29="補"  ), OR(  F29 ="補"  ), $AP29 =""),"補休",  IF(  AND(  OR(  E29="x",E29="喪"  ), OR(  F29 ="喪"  ), $AP29 =""),"喪假",  IF(  AND(  OR(  E29="x",E29="婚",E29="產"  ), OR(  F29 ="婚",F29="產"  ), $AP29 =""),"婚(產)假",  IF(  AND(  OR(  E29="x",E29="公"  ), OR(  F29 ="公"  ), $AP29 =""),"公假",  IF(  AND(  OR(  E29="x",E29="補",E29="婚",E29="公",E29="病",E29="事",E29="x榮18-22"  ),OR(F29=""), $AP29 =""  ),"18收",  IF(  AND(  OR(  E29 ="榮14-18",E29 ="榮10-18",E29 ="榮06-18",E29 ="病14-18"  ),OR(  F29 ="x",F29="補",F29="婚",F29="公",F29="病",F29="事",F29="x"  ), $AP29 =""),"18放早走",  IF(  AND(  OR(  E29 =""),OR(  F29 ="x",F29="補",F29="婚",F29="公",F29="病",F29="事",F29="x榮*",F29="榮",F29="榮-22"  ), $AP29 =""),"18放",  IF(  AND(  OR(  E29="當日退伍"  ),OR(  F29="退伍",F29="退", F29=""  ), $AP29 =""),"當日退伍",  IF(AND(  OR(E29="退",E29="退伍" ), OR(F29="退",F29="退伍" ), $AP29 =""),"退伍","全日勤"  )  )  )  )  )  )  )  )  )  )  ),"")</f>
        <v>全日休</v>
      </c>
      <c r="F70" s="66" t="str">
        <f>IF(   (ROW(AR29)-1)&lt;=暫1!$B$2,           IF(  AND(  OR(  F29="x",F29="補"  ), OR(  G29 ="x",G29="補",G29="x榮18-22",G29="x公18-22",G29="x榮22-08"  ), $AP29 =""),"全日休",  IF(  AND(  OR(  F29="x",F29="病"  ), OR(  G29 ="病"  ), $AP29 =""),"病(事)假",  IF(  AND(  OR(  F29="x",F29="補"  ), OR(  G29 ="補"  ), $AP29 =""),"補休",  IF(  AND(  OR(  F29="x",F29="喪"  ), OR(  G29 ="喪"  ), $AP29 =""),"喪假",  IF(  AND(  OR(  F29="x",F29="婚",F29="產"  ), OR(  G29 ="婚",G29="產"  ), $AP29 =""),"婚(產)假",  IF(  AND(  OR(  F29="x",F29="公"  ), OR(  G29 ="公"  ), $AP29 =""),"公假",  IF(  AND(  OR(  F29="x",F29="補",F29="婚",F29="公",F29="病",F29="事",F29="x榮18-22"  ),OR(G29=""), $AP29 =""  ),"18收",  IF(  AND(  OR(  F29 ="榮14-18",F29 ="榮10-18",F29 ="榮06-18",F29 ="病14-18"  ),OR(  G29 ="x",G29="補",G29="婚",G29="公",G29="病",G29="事",G29="x"  ), $AP29 =""),"18放早走",  IF(  AND(  OR(  F29 =""),OR(  G29 ="x",G29="補",G29="婚",G29="公",G29="病",G29="事",G29="x榮*",G29="榮",G29="榮-22"  ), $AP29 =""),"18放",  IF(  AND(  OR(  F29="當日退伍"  ),OR(  G29="退伍",G29="退", G29=""  ), $AP29 =""),"當日退伍",  IF(AND(  OR(F29="退",F29="退伍" ), OR(G29="退",G29="退伍" ), $AP29 =""),"退伍","全日勤"  )  )  )  )  )  )  )  )  )  )  ),"")</f>
        <v>18收</v>
      </c>
      <c r="G70" s="66" t="str">
        <f>IF(   (ROW(AS29)-1)&lt;=暫1!$B$2,           IF(  AND(  OR(  G29="x",G29="補"  ), OR(  H29 ="x",H29="補",H29="x榮18-22",H29="x公18-22",H29="x榮22-08"  ), $AP29 =""),"全日休",  IF(  AND(  OR(  G29="x",G29="病"  ), OR(  H29 ="病"  ), $AP29 =""),"病(事)假",  IF(  AND(  OR(  G29="x",G29="補"  ), OR(  H29 ="補"  ), $AP29 =""),"補休",  IF(  AND(  OR(  G29="x",G29="喪"  ), OR(  H29 ="喪"  ), $AP29 =""),"喪假",  IF(  AND(  OR(  G29="x",G29="婚",G29="產"  ), OR(  H29 ="婚",H29="產"  ), $AP29 =""),"婚(產)假",  IF(  AND(  OR(  G29="x",G29="公"  ), OR(  H29 ="公"  ), $AP29 =""),"公假",  IF(  AND(  OR(  G29="x",G29="補",G29="婚",G29="公",G29="病",G29="事",G29="x榮18-22"  ),OR(H29=""), $AP29 =""  ),"18收",  IF(  AND(  OR(  G29 ="榮14-18",G29 ="榮10-18",G29 ="榮06-18",G29 ="病14-18"  ),OR(  H29 ="x",H29="補",H29="婚",H29="公",H29="病",H29="事",H29="x"  ), $AP29 =""),"18放早走",  IF(  AND(  OR(  G29 =""),OR(  H29 ="x",H29="補",H29="婚",H29="公",H29="病",H29="事",H29="x榮*",H29="榮",H29="榮-22"  ), $AP29 =""),"18放",  IF(  AND(  OR(  G29="當日退伍"  ),OR(  H29="退伍",H29="退", H29=""  ), $AP29 =""),"當日退伍",  IF(AND(  OR(G29="退",G29="退伍" ), OR(H29="退",H29="退伍" ), $AP29 =""),"退伍","全日勤"  )  )  )  )  )  )  )  )  )  )  ),"")</f>
        <v>全日勤</v>
      </c>
      <c r="H70" s="66" t="str">
        <f>IF(   (ROW(AT29)-1)&lt;=暫1!$B$2,           IF(  AND(  OR(  H29="x",H29="補"  ), OR(  I29 ="x",I29="補",I29="x榮18-22",I29="x公18-22",I29="x榮22-08"  ), $AP29 =""),"全日休",  IF(  AND(  OR(  H29="x",H29="病"  ), OR(  I29 ="病"  ), $AP29 =""),"病(事)假",  IF(  AND(  OR(  H29="x",H29="補"  ), OR(  I29 ="補"  ), $AP29 =""),"補休",  IF(  AND(  OR(  H29="x",H29="喪"  ), OR(  I29 ="喪"  ), $AP29 =""),"喪假",  IF(  AND(  OR(  H29="x",H29="婚",H29="產"  ), OR(  I29 ="婚",I29="產"  ), $AP29 =""),"婚(產)假",  IF(  AND(  OR(  H29="x",H29="公"  ), OR(  I29 ="公"  ), $AP29 =""),"公假",  IF(  AND(  OR(  H29="x",H29="補",H29="婚",H29="公",H29="病",H29="事",H29="x榮18-22"  ),OR(I29=""), $AP29 =""  ),"18收",  IF(  AND(  OR(  H29 ="榮14-18",H29 ="榮10-18",H29 ="榮06-18",H29 ="病14-18"  ),OR(  I29 ="x",I29="補",I29="婚",I29="公",I29="病",I29="事",I29="x"  ), $AP29 =""),"18放早走",  IF(  AND(  OR(  H29 =""),OR(  I29 ="x",I29="補",I29="婚",I29="公",I29="病",I29="事",I29="x榮*",I29="榮",I29="榮-22"  ), $AP29 =""),"18放",  IF(  AND(  OR(  H29="當日退伍"  ),OR(  I29="退伍",I29="退", I29=""  ), $AP29 =""),"當日退伍",  IF(AND(  OR(H29="退",H29="退伍" ), OR(I29="退",I29="退伍" ), $AP29 =""),"退伍","全日勤"  )  )  )  )  )  )  )  )  )  )  ),"")</f>
        <v>全日勤</v>
      </c>
      <c r="I70" s="66" t="str">
        <f>IF(   (ROW(AU29)-1)&lt;=暫1!$B$2,           IF(  AND(  OR(  I29="x",I29="補"  ), OR(  J29 ="x",J29="補",J29="x榮18-22",J29="x公18-22",J29="x榮22-08"  ), $AP29 =""),"全日休",  IF(  AND(  OR(  I29="x",I29="病"  ), OR(  J29 ="病"  ), $AP29 =""),"病(事)假",  IF(  AND(  OR(  I29="x",I29="補"  ), OR(  J29 ="補"  ), $AP29 =""),"補休",  IF(  AND(  OR(  I29="x",I29="喪"  ), OR(  J29 ="喪"  ), $AP29 =""),"喪假",  IF(  AND(  OR(  I29="x",I29="婚",I29="產"  ), OR(  J29 ="婚",J29="產"  ), $AP29 =""),"婚(產)假",  IF(  AND(  OR(  I29="x",I29="公"  ), OR(  J29 ="公"  ), $AP29 =""),"公假",  IF(  AND(  OR(  I29="x",I29="補",I29="婚",I29="公",I29="病",I29="事",I29="x榮18-22"  ),OR(J29=""), $AP29 =""  ),"18收",  IF(  AND(  OR(  I29 ="榮14-18",I29 ="榮10-18",I29 ="榮06-18",I29 ="病14-18"  ),OR(  J29 ="x",J29="補",J29="婚",J29="公",J29="病",J29="事",J29="x"  ), $AP29 =""),"18放早走",  IF(  AND(  OR(  I29 =""),OR(  J29 ="x",J29="補",J29="婚",J29="公",J29="病",J29="事",J29="x榮*",J29="榮",J29="榮-22"  ), $AP29 =""),"18放",  IF(  AND(  OR(  I29="當日退伍"  ),OR(  J29="退伍",J29="退", J29=""  ), $AP29 =""),"當日退伍",  IF(AND(  OR(I29="退",I29="退伍" ), OR(J29="退",J29="退伍" ), $AP29 =""),"退伍","全日勤"  )  )  )  )  )  )  )  )  )  )  ),"")</f>
        <v>全日勤</v>
      </c>
      <c r="J70" s="66" t="str">
        <f>IF(   (ROW(AV29)-1)&lt;=暫1!$B$2,           IF(  AND(  OR(  J29="x",J29="補"  ), OR(  K29 ="x",K29="補",K29="x榮18-22",K29="x公18-22",K29="x榮22-08"  ), $AP29 =""),"全日休",  IF(  AND(  OR(  J29="x",J29="病"  ), OR(  K29 ="病"  ), $AP29 =""),"病(事)假",  IF(  AND(  OR(  J29="x",J29="補"  ), OR(  K29 ="補"  ), $AP29 =""),"補休",  IF(  AND(  OR(  J29="x",J29="喪"  ), OR(  K29 ="喪"  ), $AP29 =""),"喪假",  IF(  AND(  OR(  J29="x",J29="婚",J29="產"  ), OR(  K29 ="婚",K29="產"  ), $AP29 =""),"婚(產)假",  IF(  AND(  OR(  J29="x",J29="公"  ), OR(  K29 ="公"  ), $AP29 =""),"公假",  IF(  AND(  OR(  J29="x",J29="補",J29="婚",J29="公",J29="病",J29="事",J29="x榮18-22"  ),OR(K29=""), $AP29 =""  ),"18收",  IF(  AND(  OR(  J29 ="榮14-18",J29 ="榮10-18",J29 ="榮06-18",J29 ="病14-18"  ),OR(  K29 ="x",K29="補",K29="婚",K29="公",K29="病",K29="事",K29="x"  ), $AP29 =""),"18放早走",  IF(  AND(  OR(  J29 =""),OR(  K29 ="x",K29="補",K29="婚",K29="公",K29="病",K29="事",K29="x榮*",K29="榮",K29="榮-22"  ), $AP29 =""),"18放",  IF(  AND(  OR(  J29="當日退伍"  ),OR(  K29="退伍",K29="退", K29=""  ), $AP29 =""),"當日退伍",  IF(AND(  OR(J29="退",J29="退伍" ), OR(K29="退",K29="退伍" ), $AP29 =""),"退伍","全日勤"  )  )  )  )  )  )  )  )  )  )  ),"")</f>
        <v>全日勤</v>
      </c>
      <c r="K70" s="66" t="str">
        <f>IF(   (ROW(AW29)-1)&lt;=暫1!$B$2,           IF(  AND(  OR(  K29="x",K29="補"  ), OR(  L29 ="x",L29="補",L29="x榮18-22",L29="x公18-22",L29="x榮22-08"  ), $AP29 =""),"全日休",  IF(  AND(  OR(  K29="x",K29="病"  ), OR(  L29 ="病"  ), $AP29 =""),"病(事)假",  IF(  AND(  OR(  K29="x",K29="補"  ), OR(  L29 ="補"  ), $AP29 =""),"補休",  IF(  AND(  OR(  K29="x",K29="喪"  ), OR(  L29 ="喪"  ), $AP29 =""),"喪假",  IF(  AND(  OR(  K29="x",K29="婚",K29="產"  ), OR(  L29 ="婚",L29="產"  ), $AP29 =""),"婚(產)假",  IF(  AND(  OR(  K29="x",K29="公"  ), OR(  L29 ="公"  ), $AP29 =""),"公假",  IF(  AND(  OR(  K29="x",K29="補",K29="婚",K29="公",K29="病",K29="事",K29="x榮18-22"  ),OR(L29=""), $AP29 =""  ),"18收",  IF(  AND(  OR(  K29 ="榮14-18",K29 ="榮10-18",K29 ="榮06-18",K29 ="病14-18"  ),OR(  L29 ="x",L29="補",L29="婚",L29="公",L29="病",L29="事",L29="x"  ), $AP29 =""),"18放早走",  IF(  AND(  OR(  K29 =""),OR(  L29 ="x",L29="補",L29="婚",L29="公",L29="病",L29="事",L29="x榮*",L29="榮",L29="榮-22"  ), $AP29 =""),"18放",  IF(  AND(  OR(  K29="當日退伍"  ),OR(  L29="退伍",L29="退", L29=""  ), $AP29 =""),"當日退伍",  IF(AND(  OR(K29="退",K29="退伍" ), OR(L29="退",L29="退伍" ), $AP29 =""),"退伍","全日勤"  )  )  )  )  )  )  )  )  )  )  ),"")</f>
        <v>18放</v>
      </c>
      <c r="L70" s="66" t="str">
        <f>IF(   (ROW(AX29)-1)&lt;=暫1!$B$2,           IF(  AND(  OR(  L29="x",L29="補"  ), OR(  M29 ="x",M29="補",M29="x榮18-22",M29="x公18-22",M29="x榮22-08"  ), $AP29 =""),"全日休",  IF(  AND(  OR(  L29="x",L29="病"  ), OR(  M29 ="病"  ), $AP29 =""),"病(事)假",  IF(  AND(  OR(  L29="x",L29="補"  ), OR(  M29 ="補"  ), $AP29 =""),"補休",  IF(  AND(  OR(  L29="x",L29="喪"  ), OR(  M29 ="喪"  ), $AP29 =""),"喪假",  IF(  AND(  OR(  L29="x",L29="婚",L29="產"  ), OR(  M29 ="婚",M29="產"  ), $AP29 =""),"婚(產)假",  IF(  AND(  OR(  L29="x",L29="公"  ), OR(  M29 ="公"  ), $AP29 =""),"公假",  IF(  AND(  OR(  L29="x",L29="補",L29="婚",L29="公",L29="病",L29="事",L29="x榮18-22"  ),OR(M29=""), $AP29 =""  ),"18收",  IF(  AND(  OR(  L29 ="榮14-18",L29 ="榮10-18",L29 ="榮06-18",L29 ="病14-18"  ),OR(  M29 ="x",M29="補",M29="婚",M29="公",M29="病",M29="事",M29="x"  ), $AP29 =""),"18放早走",  IF(  AND(  OR(  L29 =""),OR(  M29 ="x",M29="補",M29="婚",M29="公",M29="病",M29="事",M29="x榮*",M29="榮",M29="榮-22"  ), $AP29 =""),"18放",  IF(  AND(  OR(  L29="當日退伍"  ),OR(  M29="退伍",M29="退", M29=""  ), $AP29 =""),"當日退伍",  IF(AND(  OR(L29="退",L29="退伍" ), OR(M29="退",M29="退伍" ), $AP29 =""),"退伍","全日勤"  )  )  )  )  )  )  )  )  )  )  ),"")</f>
        <v>全日休</v>
      </c>
      <c r="M70" s="66" t="str">
        <f>IF(   (ROW(AY29)-1)&lt;=暫1!$B$2,           IF(  AND(  OR(  M29="x",M29="補"  ), OR(  N29 ="x",N29="補",N29="x榮18-22",N29="x公18-22",N29="x榮22-08"  ), $AP29 =""),"全日休",  IF(  AND(  OR(  M29="x",M29="病"  ), OR(  N29 ="病"  ), $AP29 =""),"病(事)假",  IF(  AND(  OR(  M29="x",M29="補"  ), OR(  N29 ="補"  ), $AP29 =""),"補休",  IF(  AND(  OR(  M29="x",M29="喪"  ), OR(  N29 ="喪"  ), $AP29 =""),"喪假",  IF(  AND(  OR(  M29="x",M29="婚",M29="產"  ), OR(  N29 ="婚",N29="產"  ), $AP29 =""),"婚(產)假",  IF(  AND(  OR(  M29="x",M29="公"  ), OR(  N29 ="公"  ), $AP29 =""),"公假",  IF(  AND(  OR(  M29="x",M29="補",M29="婚",M29="公",M29="病",M29="事",M29="x榮18-22"  ),OR(N29=""), $AP29 =""  ),"18收",  IF(  AND(  OR(  M29 ="榮14-18",M29 ="榮10-18",M29 ="榮06-18",M29 ="病14-18"  ),OR(  N29 ="x",N29="補",N29="婚",N29="公",N29="病",N29="事",N29="x"  ), $AP29 =""),"18放早走",  IF(  AND(  OR(  M29 =""),OR(  N29 ="x",N29="補",N29="婚",N29="公",N29="病",N29="事",N29="x榮*",N29="榮",N29="榮-22"  ), $AP29 =""),"18放",  IF(  AND(  OR(  M29="當日退伍"  ),OR(  N29="退伍",N29="退", N29=""  ), $AP29 =""),"當日退伍",  IF(AND(  OR(M29="退",M29="退伍" ), OR(N29="退",N29="退伍" ), $AP29 =""),"退伍","全日勤"  )  )  )  )  )  )  )  )  )  )  ),"")</f>
        <v>全日休</v>
      </c>
      <c r="N70" s="66" t="str">
        <f>IF(   (ROW(AZ29)-1)&lt;=暫1!$B$2,           IF(  AND(  OR(  N29="x",N29="補"  ), OR(  O29 ="x",O29="補",O29="x榮18-22",O29="x公18-22",O29="x榮22-08"  ), $AP29 =""),"全日休",  IF(  AND(  OR(  N29="x",N29="病"  ), OR(  O29 ="病"  ), $AP29 =""),"病(事)假",  IF(  AND(  OR(  N29="x",N29="補"  ), OR(  O29 ="補"  ), $AP29 =""),"補休",  IF(  AND(  OR(  N29="x",N29="喪"  ), OR(  O29 ="喪"  ), $AP29 =""),"喪假",  IF(  AND(  OR(  N29="x",N29="婚",N29="產"  ), OR(  O29 ="婚",O29="產"  ), $AP29 =""),"婚(產)假",  IF(  AND(  OR(  N29="x",N29="公"  ), OR(  O29 ="公"  ), $AP29 =""),"公假",  IF(  AND(  OR(  N29="x",N29="補",N29="婚",N29="公",N29="病",N29="事",N29="x榮18-22"  ),OR(O29=""), $AP29 =""  ),"18收",  IF(  AND(  OR(  N29 ="榮14-18",N29 ="榮10-18",N29 ="榮06-18",N29 ="病14-18"  ),OR(  O29 ="x",O29="補",O29="婚",O29="公",O29="病",O29="事",O29="x"  ), $AP29 =""),"18放早走",  IF(  AND(  OR(  N29 =""),OR(  O29 ="x",O29="補",O29="婚",O29="公",O29="病",O29="事",O29="x榮*",O29="榮",O29="榮-22"  ), $AP29 =""),"18放",  IF(  AND(  OR(  N29="當日退伍"  ),OR(  O29="退伍",O29="退", O29=""  ), $AP29 =""),"當日退伍",  IF(AND(  OR(N29="退",N29="退伍" ), OR(O29="退",O29="退伍" ), $AP29 =""),"退伍","全日勤"  )  )  )  )  )  )  )  )  )  )  ),"")</f>
        <v>18收</v>
      </c>
      <c r="O70" s="66" t="str">
        <f>IF(   (ROW(BA29)-1)&lt;=暫1!$B$2,           IF(  AND(  OR(  O29="x",O29="補"  ), OR(  P29 ="x",P29="補",P29="x榮18-22",P29="x公18-22",P29="x榮22-08"  ), $AP29 =""),"全日休",  IF(  AND(  OR(  O29="x",O29="病"  ), OR(  P29 ="病"  ), $AP29 =""),"病(事)假",  IF(  AND(  OR(  O29="x",O29="補"  ), OR(  P29 ="補"  ), $AP29 =""),"補休",  IF(  AND(  OR(  O29="x",O29="喪"  ), OR(  P29 ="喪"  ), $AP29 =""),"喪假",  IF(  AND(  OR(  O29="x",O29="婚",O29="產"  ), OR(  P29 ="婚",P29="產"  ), $AP29 =""),"婚(產)假",  IF(  AND(  OR(  O29="x",O29="公"  ), OR(  P29 ="公"  ), $AP29 =""),"公假",  IF(  AND(  OR(  O29="x",O29="補",O29="婚",O29="公",O29="病",O29="事",O29="x榮18-22"  ),OR(P29=""), $AP29 =""  ),"18收",  IF(  AND(  OR(  O29 ="榮14-18",O29 ="榮10-18",O29 ="榮06-18",O29 ="病14-18"  ),OR(  P29 ="x",P29="補",P29="婚",P29="公",P29="病",P29="事",P29="x"  ), $AP29 =""),"18放早走",  IF(  AND(  OR(  O29 =""),OR(  P29 ="x",P29="補",P29="婚",P29="公",P29="病",P29="事",P29="x榮*",P29="榮",P29="榮-22"  ), $AP29 =""),"18放",  IF(  AND(  OR(  O29="當日退伍"  ),OR(  P29="退伍",P29="退", P29=""  ), $AP29 =""),"當日退伍",  IF(AND(  OR(O29="退",O29="退伍" ), OR(P29="退",P29="退伍" ), $AP29 =""),"退伍","全日勤"  )  )  )  )  )  )  )  )  )  )  ),"")</f>
        <v>全日勤</v>
      </c>
      <c r="P70" s="66" t="str">
        <f>IF(   (ROW(BB29)-1)&lt;=暫1!$B$2,           IF(  AND(  OR(  P29="x",P29="補"  ), OR(  Q29 ="x",Q29="補",Q29="x榮18-22",Q29="x公18-22",Q29="x榮22-08"  ), $AP29 =""),"全日休",  IF(  AND(  OR(  P29="x",P29="病"  ), OR(  Q29 ="病"  ), $AP29 =""),"病(事)假",  IF(  AND(  OR(  P29="x",P29="補"  ), OR(  Q29 ="補"  ), $AP29 =""),"補休",  IF(  AND(  OR(  P29="x",P29="喪"  ), OR(  Q29 ="喪"  ), $AP29 =""),"喪假",  IF(  AND(  OR(  P29="x",P29="婚",P29="產"  ), OR(  Q29 ="婚",Q29="產"  ), $AP29 =""),"婚(產)假",  IF(  AND(  OR(  P29="x",P29="公"  ), OR(  Q29 ="公"  ), $AP29 =""),"公假",  IF(  AND(  OR(  P29="x",P29="補",P29="婚",P29="公",P29="病",P29="事",P29="x榮18-22"  ),OR(Q29=""), $AP29 =""  ),"18收",  IF(  AND(  OR(  P29 ="榮14-18",P29 ="榮10-18",P29 ="榮06-18",P29 ="病14-18"  ),OR(  Q29 ="x",Q29="補",Q29="婚",Q29="公",Q29="病",Q29="事",Q29="x"  ), $AP29 =""),"18放早走",  IF(  AND(  OR(  P29 =""),OR(  Q29 ="x",Q29="補",Q29="婚",Q29="公",Q29="病",Q29="事",Q29="x榮*",Q29="榮",Q29="榮-22"  ), $AP29 =""),"18放",  IF(  AND(  OR(  P29="當日退伍"  ),OR(  Q29="退伍",Q29="退", Q29=""  ), $AP29 =""),"當日退伍",  IF(AND(  OR(P29="退",P29="退伍" ), OR(Q29="退",Q29="退伍" ), $AP29 =""),"退伍","全日勤"  )  )  )  )  )  )  )  )  )  )  ),"")</f>
        <v>全日勤</v>
      </c>
      <c r="Q70" s="66" t="str">
        <f>IF(   (ROW(BC29)-1)&lt;=暫1!$B$2,           IF(  AND(  OR(  Q29="x",Q29="補"  ), OR(  R29 ="x",R29="補",R29="x榮18-22",R29="x公18-22",R29="x榮22-08"  ), $AP29 =""),"全日休",  IF(  AND(  OR(  Q29="x",Q29="病"  ), OR(  R29 ="病"  ), $AP29 =""),"病(事)假",  IF(  AND(  OR(  Q29="x",Q29="補"  ), OR(  R29 ="補"  ), $AP29 =""),"補休",  IF(  AND(  OR(  Q29="x",Q29="喪"  ), OR(  R29 ="喪"  ), $AP29 =""),"喪假",  IF(  AND(  OR(  Q29="x",Q29="婚",Q29="產"  ), OR(  R29 ="婚",R29="產"  ), $AP29 =""),"婚(產)假",  IF(  AND(  OR(  Q29="x",Q29="公"  ), OR(  R29 ="公"  ), $AP29 =""),"公假",  IF(  AND(  OR(  Q29="x",Q29="補",Q29="婚",Q29="公",Q29="病",Q29="事",Q29="x榮18-22"  ),OR(R29=""), $AP29 =""  ),"18收",  IF(  AND(  OR(  Q29 ="榮14-18",Q29 ="榮10-18",Q29 ="榮06-18",Q29 ="病14-18"  ),OR(  R29 ="x",R29="補",R29="婚",R29="公",R29="病",R29="事",R29="x"  ), $AP29 =""),"18放早走",  IF(  AND(  OR(  Q29 =""),OR(  R29 ="x",R29="補",R29="婚",R29="公",R29="病",R29="事",R29="x榮*",R29="榮",R29="榮-22"  ), $AP29 =""),"18放",  IF(  AND(  OR(  Q29="當日退伍"  ),OR(  R29="退伍",R29="退", R29=""  ), $AP29 =""),"當日退伍",  IF(AND(  OR(Q29="退",Q29="退伍" ), OR(R29="退",R29="退伍" ), $AP29 =""),"退伍","全日勤"  )  )  )  )  )  )  )  )  )  )  ),"")</f>
        <v>全日勤</v>
      </c>
      <c r="R70" s="66" t="str">
        <f>IF(   (ROW(BD29)-1)&lt;=暫1!$B$2,           IF(  AND(  OR(  R29="x",R29="補"  ), OR(  S29 ="x",S29="補",S29="x榮18-22",S29="x公18-22",S29="x榮22-08"  ), $AP29 =""),"全日休",  IF(  AND(  OR(  R29="x",R29="病"  ), OR(  S29 ="病"  ), $AP29 =""),"病(事)假",  IF(  AND(  OR(  R29="x",R29="補"  ), OR(  S29 ="補"  ), $AP29 =""),"補休",  IF(  AND(  OR(  R29="x",R29="喪"  ), OR(  S29 ="喪"  ), $AP29 =""),"喪假",  IF(  AND(  OR(  R29="x",R29="婚",R29="產"  ), OR(  S29 ="婚",S29="產"  ), $AP29 =""),"婚(產)假",  IF(  AND(  OR(  R29="x",R29="公"  ), OR(  S29 ="公"  ), $AP29 =""),"公假",  IF(  AND(  OR(  R29="x",R29="補",R29="婚",R29="公",R29="病",R29="事",R29="x榮18-22"  ),OR(S29=""), $AP29 =""  ),"18收",  IF(  AND(  OR(  R29 ="榮14-18",R29 ="榮10-18",R29 ="榮06-18",R29 ="病14-18"  ),OR(  S29 ="x",S29="補",S29="婚",S29="公",S29="病",S29="事",S29="x"  ), $AP29 =""),"18放早走",  IF(  AND(  OR(  R29 =""),OR(  S29 ="x",S29="補",S29="婚",S29="公",S29="病",S29="事",S29="x榮*",S29="榮",S29="榮-22"  ), $AP29 =""),"18放",  IF(  AND(  OR(  R29="當日退伍"  ),OR(  S29="退伍",S29="退", S29=""  ), $AP29 =""),"當日退伍",  IF(AND(  OR(R29="退",R29="退伍" ), OR(S29="退",S29="退伍" ), $AP29 =""),"退伍","全日勤"  )  )  )  )  )  )  )  )  )  )  ),"")</f>
        <v>全日勤</v>
      </c>
      <c r="S70" s="66" t="str">
        <f>IF(   (ROW(BE29)-1)&lt;=暫1!$B$2,           IF(  AND(  OR(  S29="x",S29="補"  ), OR(  T29 ="x",T29="補",T29="x榮18-22",T29="x公18-22",T29="x榮22-08"  ), $AP29 =""),"全日休",  IF(  AND(  OR(  S29="x",S29="病"  ), OR(  T29 ="病"  ), $AP29 =""),"病(事)假",  IF(  AND(  OR(  S29="x",S29="補"  ), OR(  T29 ="補"  ), $AP29 =""),"補休",  IF(  AND(  OR(  S29="x",S29="喪"  ), OR(  T29 ="喪"  ), $AP29 =""),"喪假",  IF(  AND(  OR(  S29="x",S29="婚",S29="產"  ), OR(  T29 ="婚",T29="產"  ), $AP29 =""),"婚(產)假",  IF(  AND(  OR(  S29="x",S29="公"  ), OR(  T29 ="公"  ), $AP29 =""),"公假",  IF(  AND(  OR(  S29="x",S29="補",S29="婚",S29="公",S29="病",S29="事",S29="x榮18-22"  ),OR(T29=""), $AP29 =""  ),"18收",  IF(  AND(  OR(  S29 ="榮14-18",S29 ="榮10-18",S29 ="榮06-18",S29 ="病14-18"  ),OR(  T29 ="x",T29="補",T29="婚",T29="公",T29="病",T29="事",T29="x"  ), $AP29 =""),"18放早走",  IF(  AND(  OR(  S29 =""),OR(  T29 ="x",T29="補",T29="婚",T29="公",T29="病",T29="事",T29="x榮*",T29="榮",T29="榮-22"  ), $AP29 =""),"18放",  IF(  AND(  OR(  S29="當日退伍"  ),OR(  T29="退伍",T29="退", T29=""  ), $AP29 =""),"當日退伍",  IF(AND(  OR(S29="退",S29="退伍" ), OR(T29="退",T29="退伍" ), $AP29 =""),"退伍","全日勤"  )  )  )  )  )  )  )  )  )  )  ),"")</f>
        <v>18放</v>
      </c>
      <c r="T70" s="66" t="str">
        <f>IF(   (ROW(BF29)-1)&lt;=暫1!$B$2,           IF(  AND(  OR(  T29="x",T29="補"  ), OR(  U29 ="x",U29="補",U29="x榮18-22",U29="x公18-22",U29="x榮22-08"  ), $AP29 =""),"全日休",  IF(  AND(  OR(  T29="x",T29="病"  ), OR(  U29 ="病"  ), $AP29 =""),"病(事)假",  IF(  AND(  OR(  T29="x",T29="補"  ), OR(  U29 ="補"  ), $AP29 =""),"補休",  IF(  AND(  OR(  T29="x",T29="喪"  ), OR(  U29 ="喪"  ), $AP29 =""),"喪假",  IF(  AND(  OR(  T29="x",T29="婚",T29="產"  ), OR(  U29 ="婚",U29="產"  ), $AP29 =""),"婚(產)假",  IF(  AND(  OR(  T29="x",T29="公"  ), OR(  U29 ="公"  ), $AP29 =""),"公假",  IF(  AND(  OR(  T29="x",T29="補",T29="婚",T29="公",T29="病",T29="事",T29="x榮18-22"  ),OR(U29=""), $AP29 =""  ),"18收",  IF(  AND(  OR(  T29 ="榮14-18",T29 ="榮10-18",T29 ="榮06-18",T29 ="病14-18"  ),OR(  U29 ="x",U29="補",U29="婚",U29="公",U29="病",U29="事",U29="x"  ), $AP29 =""),"18放早走",  IF(  AND(  OR(  T29 =""),OR(  U29 ="x",U29="補",U29="婚",U29="公",U29="病",U29="事",U29="x榮*",U29="榮",U29="榮-22"  ), $AP29 =""),"18放",  IF(  AND(  OR(  T29="當日退伍"  ),OR(  U29="退伍",U29="退", U29=""  ), $AP29 =""),"當日退伍",  IF(AND(  OR(T29="退",T29="退伍" ), OR(U29="退",U29="退伍" ), $AP29 =""),"退伍","全日勤"  )  )  )  )  )  )  )  )  )  )  ),"")</f>
        <v>全日休</v>
      </c>
      <c r="U70" s="66" t="str">
        <f>IF(   (ROW(BG29)-1)&lt;=暫1!$B$2,           IF(  AND(  OR(  U29="x",U29="補"  ), OR(  V29 ="x",V29="補",V29="x榮18-22",V29="x公18-22",V29="x榮22-08"  ), $AP29 =""),"全日休",  IF(  AND(  OR(  U29="x",U29="病"  ), OR(  V29 ="病"  ), $AP29 =""),"病(事)假",  IF(  AND(  OR(  U29="x",U29="補"  ), OR(  V29 ="補"  ), $AP29 =""),"補休",  IF(  AND(  OR(  U29="x",U29="喪"  ), OR(  V29 ="喪"  ), $AP29 =""),"喪假",  IF(  AND(  OR(  U29="x",U29="婚",U29="產"  ), OR(  V29 ="婚",V29="產"  ), $AP29 =""),"婚(產)假",  IF(  AND(  OR(  U29="x",U29="公"  ), OR(  V29 ="公"  ), $AP29 =""),"公假",  IF(  AND(  OR(  U29="x",U29="補",U29="婚",U29="公",U29="病",U29="事",U29="x榮18-22"  ),OR(V29=""), $AP29 =""  ),"18收",  IF(  AND(  OR(  U29 ="榮14-18",U29 ="榮10-18",U29 ="榮06-18",U29 ="病14-18"  ),OR(  V29 ="x",V29="補",V29="婚",V29="公",V29="病",V29="事",V29="x"  ), $AP29 =""),"18放早走",  IF(  AND(  OR(  U29 =""),OR(  V29 ="x",V29="補",V29="婚",V29="公",V29="病",V29="事",V29="x榮*",V29="榮",V29="榮-22"  ), $AP29 =""),"18放",  IF(  AND(  OR(  U29="當日退伍"  ),OR(  V29="退伍",V29="退", V29=""  ), $AP29 =""),"當日退伍",  IF(AND(  OR(U29="退",U29="退伍" ), OR(V29="退",V29="退伍" ), $AP29 =""),"退伍","全日勤"  )  )  )  )  )  )  )  )  )  )  ),"")</f>
        <v>18收</v>
      </c>
      <c r="V70" s="66" t="str">
        <f>IF(   (ROW(BH29)-1)&lt;=暫1!$B$2,           IF(  AND(  OR(  V29="x",V29="補"  ), OR(  W29 ="x",W29="補",W29="x榮18-22",W29="x公18-22",W29="x榮22-08"  ), $AP29 =""),"全日休",  IF(  AND(  OR(  V29="x",V29="病"  ), OR(  W29 ="病"  ), $AP29 =""),"病(事)假",  IF(  AND(  OR(  V29="x",V29="補"  ), OR(  W29 ="補"  ), $AP29 =""),"補休",  IF(  AND(  OR(  V29="x",V29="喪"  ), OR(  W29 ="喪"  ), $AP29 =""),"喪假",  IF(  AND(  OR(  V29="x",V29="婚",V29="產"  ), OR(  W29 ="婚",W29="產"  ), $AP29 =""),"婚(產)假",  IF(  AND(  OR(  V29="x",V29="公"  ), OR(  W29 ="公"  ), $AP29 =""),"公假",  IF(  AND(  OR(  V29="x",V29="補",V29="婚",V29="公",V29="病",V29="事",V29="x榮18-22"  ),OR(W29=""), $AP29 =""  ),"18收",  IF(  AND(  OR(  V29 ="榮14-18",V29 ="榮10-18",V29 ="榮06-18",V29 ="病14-18"  ),OR(  W29 ="x",W29="補",W29="婚",W29="公",W29="病",W29="事",W29="x"  ), $AP29 =""),"18放早走",  IF(  AND(  OR(  V29 =""),OR(  W29 ="x",W29="補",W29="婚",W29="公",W29="病",W29="事",W29="x榮*",W29="榮",W29="榮-22"  ), $AP29 =""),"18放",  IF(  AND(  OR(  V29="當日退伍"  ),OR(  W29="退伍",W29="退", W29=""  ), $AP29 =""),"當日退伍",  IF(AND(  OR(V29="退",V29="退伍" ), OR(W29="退",W29="退伍" ), $AP29 =""),"退伍","全日勤"  )  )  )  )  )  )  )  )  )  )  ),"")</f>
        <v>全日勤</v>
      </c>
      <c r="W70" s="66" t="str">
        <f>IF(   (ROW(BI29)-1)&lt;=暫1!$B$2,           IF(  AND(  OR(  W29="x",W29="補"  ), OR(  X29 ="x",X29="補",X29="x榮18-22",X29="x公18-22",X29="x榮22-08"  ), $AP29 =""),"全日休",  IF(  AND(  OR(  W29="x",W29="病"  ), OR(  X29 ="病"  ), $AP29 =""),"病(事)假",  IF(  AND(  OR(  W29="x",W29="補"  ), OR(  X29 ="補"  ), $AP29 =""),"補休",  IF(  AND(  OR(  W29="x",W29="喪"  ), OR(  X29 ="喪"  ), $AP29 =""),"喪假",  IF(  AND(  OR(  W29="x",W29="婚",W29="產"  ), OR(  X29 ="婚",X29="產"  ), $AP29 =""),"婚(產)假",  IF(  AND(  OR(  W29="x",W29="公"  ), OR(  X29 ="公"  ), $AP29 =""),"公假",  IF(  AND(  OR(  W29="x",W29="補",W29="婚",W29="公",W29="病",W29="事",W29="x榮18-22"  ),OR(X29=""), $AP29 =""  ),"18收",  IF(  AND(  OR(  W29 ="榮14-18",W29 ="榮10-18",W29 ="榮06-18",W29 ="病14-18"  ),OR(  X29 ="x",X29="補",X29="婚",X29="公",X29="病",X29="事",X29="x"  ), $AP29 =""),"18放早走",  IF(  AND(  OR(  W29 =""),OR(  X29 ="x",X29="補",X29="婚",X29="公",X29="病",X29="事",X29="x榮*",X29="榮",X29="榮-22"  ), $AP29 =""),"18放",  IF(  AND(  OR(  W29="當日退伍"  ),OR(  X29="退伍",X29="退", X29=""  ), $AP29 =""),"當日退伍",  IF(AND(  OR(W29="退",W29="退伍" ), OR(X29="退",X29="退伍" ), $AP29 =""),"退伍","全日勤"  )  )  )  )  )  )  )  )  )  )  ),"")</f>
        <v>全日勤</v>
      </c>
      <c r="X70" s="66" t="str">
        <f>IF(   (ROW(BJ29)-1)&lt;=暫1!$B$2,           IF(  AND(  OR(  X29="x",X29="補"  ), OR(  Y29 ="x",Y29="補",Y29="x榮18-22",Y29="x公18-22",Y29="x榮22-08"  ), $AP29 =""),"全日休",  IF(  AND(  OR(  X29="x",X29="病"  ), OR(  Y29 ="病"  ), $AP29 =""),"病(事)假",  IF(  AND(  OR(  X29="x",X29="補"  ), OR(  Y29 ="補"  ), $AP29 =""),"補休",  IF(  AND(  OR(  X29="x",X29="喪"  ), OR(  Y29 ="喪"  ), $AP29 =""),"喪假",  IF(  AND(  OR(  X29="x",X29="婚",X29="產"  ), OR(  Y29 ="婚",Y29="產"  ), $AP29 =""),"婚(產)假",  IF(  AND(  OR(  X29="x",X29="公"  ), OR(  Y29 ="公"  ), $AP29 =""),"公假",  IF(  AND(  OR(  X29="x",X29="補",X29="婚",X29="公",X29="病",X29="事",X29="x榮18-22"  ),OR(Y29=""), $AP29 =""  ),"18收",  IF(  AND(  OR(  X29 ="榮14-18",X29 ="榮10-18",X29 ="榮06-18",X29 ="病14-18"  ),OR(  Y29 ="x",Y29="補",Y29="婚",Y29="公",Y29="病",Y29="事",Y29="x"  ), $AP29 =""),"18放早走",  IF(  AND(  OR(  X29 =""),OR(  Y29 ="x",Y29="補",Y29="婚",Y29="公",Y29="病",Y29="事",Y29="x榮*",Y29="榮",Y29="榮-22"  ), $AP29 =""),"18放",  IF(  AND(  OR(  X29="當日退伍"  ),OR(  Y29="退伍",Y29="退", Y29=""  ), $AP29 =""),"當日退伍",  IF(AND(  OR(X29="退",X29="退伍" ), OR(Y29="退",Y29="退伍" ), $AP29 =""),"退伍","全日勤"  )  )  )  )  )  )  )  )  )  )  ),"")</f>
        <v>18放早走</v>
      </c>
      <c r="Y70" s="66" t="str">
        <f>IF(   (ROW(BK29)-1)&lt;=暫1!$B$2,           IF(  AND(  OR(  Y29="x",Y29="補"  ), OR(  Z29 ="x",Z29="補",Z29="x榮18-22",Z29="x公18-22",Z29="x榮22-08"  ), $AP29 =""),"全日休",  IF(  AND(  OR(  Y29="x",Y29="病"  ), OR(  Z29 ="病"  ), $AP29 =""),"病(事)假",  IF(  AND(  OR(  Y29="x",Y29="補"  ), OR(  Z29 ="補"  ), $AP29 =""),"補休",  IF(  AND(  OR(  Y29="x",Y29="喪"  ), OR(  Z29 ="喪"  ), $AP29 =""),"喪假",  IF(  AND(  OR(  Y29="x",Y29="婚",Y29="產"  ), OR(  Z29 ="婚",Z29="產"  ), $AP29 =""),"婚(產)假",  IF(  AND(  OR(  Y29="x",Y29="公"  ), OR(  Z29 ="公"  ), $AP29 =""),"公假",  IF(  AND(  OR(  Y29="x",Y29="補",Y29="婚",Y29="公",Y29="病",Y29="事",Y29="x榮18-22"  ),OR(Z29=""), $AP29 =""  ),"18收",  IF(  AND(  OR(  Y29 ="榮14-18",Y29 ="榮10-18",Y29 ="榮06-18",Y29 ="病14-18"  ),OR(  Z29 ="x",Z29="補",Z29="婚",Z29="公",Z29="病",Z29="事",Z29="x"  ), $AP29 =""),"18放早走",  IF(  AND(  OR(  Y29 =""),OR(  Z29 ="x",Z29="補",Z29="婚",Z29="公",Z29="病",Z29="事",Z29="x榮*",Z29="榮",Z29="榮-22"  ), $AP29 =""),"18放",  IF(  AND(  OR(  Y29="當日退伍"  ),OR(  Z29="退伍",Z29="退", Z29=""  ), $AP29 =""),"當日退伍",  IF(AND(  OR(Y29="退",Y29="退伍" ), OR(Z29="退",Z29="退伍" ), $AP29 =""),"退伍","全日勤"  )  )  )  )  )  )  )  )  )  )  ),"")</f>
        <v>全日休</v>
      </c>
      <c r="Z70" s="66" t="str">
        <f>IF(   (ROW(BL29)-1)&lt;=暫1!$B$2,           IF(  AND(  OR(  Z29="x",Z29="補"  ), OR(  AA29 ="x",AA29="補",AA29="x榮18-22",AA29="x公18-22",AA29="x榮22-08"  ), $AP29 =""),"全日休",  IF(  AND(  OR(  Z29="x",Z29="病"  ), OR(  AA29 ="病"  ), $AP29 =""),"病(事)假",  IF(  AND(  OR(  Z29="x",Z29="補"  ), OR(  AA29 ="補"  ), $AP29 =""),"補休",  IF(  AND(  OR(  Z29="x",Z29="喪"  ), OR(  AA29 ="喪"  ), $AP29 =""),"喪假",  IF(  AND(  OR(  Z29="x",Z29="婚",Z29="產"  ), OR(  AA29 ="婚",AA29="產"  ), $AP29 =""),"婚(產)假",  IF(  AND(  OR(  Z29="x",Z29="公"  ), OR(  AA29 ="公"  ), $AP29 =""),"公假",  IF(  AND(  OR(  Z29="x",Z29="補",Z29="婚",Z29="公",Z29="病",Z29="事",Z29="x榮18-22"  ),OR(AA29=""), $AP29 =""  ),"18收",  IF(  AND(  OR(  Z29 ="榮14-18",Z29 ="榮10-18",Z29 ="榮06-18",Z29 ="病14-18"  ),OR(  AA29 ="x",AA29="補",AA29="婚",AA29="公",AA29="病",AA29="事",AA29="x"  ), $AP29 =""),"18放早走",  IF(  AND(  OR(  Z29 =""),OR(  AA29 ="x",AA29="補",AA29="婚",AA29="公",AA29="病",AA29="事",AA29="x榮*",AA29="榮",AA29="榮-22"  ), $AP29 =""),"18放",  IF(  AND(  OR(  Z29="當日退伍"  ),OR(  AA29="退伍",AA29="退", AA29=""  ), $AP29 =""),"當日退伍",  IF(AND(  OR(Z29="退",Z29="退伍" ), OR(AA29="退",AA29="退伍" ), $AP29 =""),"退伍","全日勤"  )  )  )  )  )  )  )  )  )  )  ),"")</f>
        <v>全日休</v>
      </c>
      <c r="AA70" s="66" t="str">
        <f>IF(   (ROW(BM29)-1)&lt;=暫1!$B$2,           IF(  AND(  OR(  AA29="x",AA29="補"  ), OR(  AB29 ="x",AB29="補",AB29="x榮18-22",AB29="x公18-22",AB29="x榮22-08"  ), $AP29 =""),"全日休",  IF(  AND(  OR(  AA29="x",AA29="病"  ), OR(  AB29 ="病"  ), $AP29 =""),"病(事)假",  IF(  AND(  OR(  AA29="x",AA29="補"  ), OR(  AB29 ="補"  ), $AP29 =""),"補休",  IF(  AND(  OR(  AA29="x",AA29="喪"  ), OR(  AB29 ="喪"  ), $AP29 =""),"喪假",  IF(  AND(  OR(  AA29="x",AA29="婚",AA29="產"  ), OR(  AB29 ="婚",AB29="產"  ), $AP29 =""),"婚(產)假",  IF(  AND(  OR(  AA29="x",AA29="公"  ), OR(  AB29 ="公"  ), $AP29 =""),"公假",  IF(  AND(  OR(  AA29="x",AA29="補",AA29="婚",AA29="公",AA29="病",AA29="事",AA29="x榮18-22"  ),OR(AB29=""), $AP29 =""  ),"18收",  IF(  AND(  OR(  AA29 ="榮14-18",AA29 ="榮10-18",AA29 ="榮06-18",AA29 ="病14-18"  ),OR(  AB29 ="x",AB29="補",AB29="婚",AB29="公",AB29="病",AB29="事",AB29="x"  ), $AP29 =""),"18放早走",  IF(  AND(  OR(  AA29 =""),OR(  AB29 ="x",AB29="補",AB29="婚",AB29="公",AB29="病",AB29="事",AB29="x榮*",AB29="榮",AB29="榮-22"  ), $AP29 =""),"18放",  IF(  AND(  OR(  AA29="當日退伍"  ),OR(  AB29="退伍",AB29="退", AB29=""  ), $AP29 =""),"當日退伍",  IF(AND(  OR(AA29="退",AA29="退伍" ), OR(AB29="退",AB29="退伍" ), $AP29 =""),"退伍","全日勤"  )  )  )  )  )  )  )  )  )  )  ),"")</f>
        <v>18收</v>
      </c>
      <c r="AB70" s="66" t="str">
        <f>IF(   (ROW(BN29)-1)&lt;=暫1!$B$2,           IF(  AND(  OR(  AB29="x",AB29="補"  ), OR(  AC29 ="x",AC29="補",AC29="x榮18-22",AC29="x公18-22",AC29="x榮22-08"  ), $AP29 =""),"全日休",  IF(  AND(  OR(  AB29="x",AB29="病"  ), OR(  AC29 ="病"  ), $AP29 =""),"病(事)假",  IF(  AND(  OR(  AB29="x",AB29="補"  ), OR(  AC29 ="補"  ), $AP29 =""),"補休",  IF(  AND(  OR(  AB29="x",AB29="喪"  ), OR(  AC29 ="喪"  ), $AP29 =""),"喪假",  IF(  AND(  OR(  AB29="x",AB29="婚",AB29="產"  ), OR(  AC29 ="婚",AC29="產"  ), $AP29 =""),"婚(產)假",  IF(  AND(  OR(  AB29="x",AB29="公"  ), OR(  AC29 ="公"  ), $AP29 =""),"公假",  IF(  AND(  OR(  AB29="x",AB29="補",AB29="婚",AB29="公",AB29="病",AB29="事",AB29="x榮18-22"  ),OR(AC29=""), $AP29 =""  ),"18收",  IF(  AND(  OR(  AB29 ="榮14-18",AB29 ="榮10-18",AB29 ="榮06-18",AB29 ="病14-18"  ),OR(  AC29 ="x",AC29="補",AC29="婚",AC29="公",AC29="病",AC29="事",AC29="x"  ), $AP29 =""),"18放早走",  IF(  AND(  OR(  AB29 =""),OR(  AC29 ="x",AC29="補",AC29="婚",AC29="公",AC29="病",AC29="事",AC29="x榮*",AC29="榮",AC29="榮-22"  ), $AP29 =""),"18放",  IF(  AND(  OR(  AB29="當日退伍"  ),OR(  AC29="退伍",AC29="退", AC29=""  ), $AP29 =""),"當日退伍",  IF(AND(  OR(AB29="退",AB29="退伍" ), OR(AC29="退",AC29="退伍" ), $AP29 =""),"退伍","全日勤"  )  )  )  )  )  )  )  )  )  )  ),"")</f>
        <v>全日勤</v>
      </c>
      <c r="AC70" s="66" t="str">
        <f>IF(   (ROW(BO29)-1)&lt;=暫1!$B$2,           IF(  AND(  OR(  AC29="x",AC29="補"  ), OR(  AD29 ="x",AD29="補",AD29="x榮18-22",AD29="x公18-22",AD29="x榮22-08"  ), $AP29 =""),"全日休",  IF(  AND(  OR(  AC29="x",AC29="病"  ), OR(  AD29 ="病"  ), $AP29 =""),"病(事)假",  IF(  AND(  OR(  AC29="x",AC29="補"  ), OR(  AD29 ="補"  ), $AP29 =""),"補休",  IF(  AND(  OR(  AC29="x",AC29="喪"  ), OR(  AD29 ="喪"  ), $AP29 =""),"喪假",  IF(  AND(  OR(  AC29="x",AC29="婚",AC29="產"  ), OR(  AD29 ="婚",AD29="產"  ), $AP29 =""),"婚(產)假",  IF(  AND(  OR(  AC29="x",AC29="公"  ), OR(  AD29 ="公"  ), $AP29 =""),"公假",  IF(  AND(  OR(  AC29="x",AC29="補",AC29="婚",AC29="公",AC29="病",AC29="事",AC29="x榮18-22"  ),OR(AD29=""), $AP29 =""  ),"18收",  IF(  AND(  OR(  AC29 ="榮14-18",AC29 ="榮10-18",AC29 ="榮06-18",AC29 ="病14-18"  ),OR(  AD29 ="x",AD29="補",AD29="婚",AD29="公",AD29="病",AD29="事",AD29="x"  ), $AP29 =""),"18放早走",  IF(  AND(  OR(  AC29 =""),OR(  AD29 ="x",AD29="補",AD29="婚",AD29="公",AD29="病",AD29="事",AD29="x榮*",AD29="榮",AD29="榮-22"  ), $AP29 =""),"18放",  IF(  AND(  OR(  AC29="當日退伍"  ),OR(  AD29="退伍",AD29="退", AD29=""  ), $AP29 =""),"當日退伍",  IF(AND(  OR(AC29="退",AC29="退伍" ), OR(AD29="退",AD29="退伍" ), $AP29 =""),"退伍","全日勤"  )  )  )  )  )  )  )  )  )  )  ),"")</f>
        <v>全日勤</v>
      </c>
      <c r="AD70" s="66" t="str">
        <f>IF(   (ROW(BP29)-1)&lt;=暫1!$B$2,           IF(  AND(  OR(  AD29="x",AD29="補"  ), OR(  AE29 ="x",AE29="補",AE29="x榮18-22",AE29="x公18-22",AE29="x榮22-08"  ), $AP29 =""),"全日休",  IF(  AND(  OR(  AD29="x",AD29="病"  ), OR(  AE29 ="病"  ), $AP29 =""),"病(事)假",  IF(  AND(  OR(  AD29="x",AD29="補"  ), OR(  AE29 ="補"  ), $AP29 =""),"補休",  IF(  AND(  OR(  AD29="x",AD29="喪"  ), OR(  AE29 ="喪"  ), $AP29 =""),"喪假",  IF(  AND(  OR(  AD29="x",AD29="婚",AD29="產"  ), OR(  AE29 ="婚",AE29="產"  ), $AP29 =""),"婚(產)假",  IF(  AND(  OR(  AD29="x",AD29="公"  ), OR(  AE29 ="公"  ), $AP29 =""),"公假",  IF(  AND(  OR(  AD29="x",AD29="補",AD29="婚",AD29="公",AD29="病",AD29="事",AD29="x榮18-22"  ),OR(AE29=""), $AP29 =""  ),"18收",  IF(  AND(  OR(  AD29 ="榮14-18",AD29 ="榮10-18",AD29 ="榮06-18",AD29 ="病14-18"  ),OR(  AE29 ="x",AE29="補",AE29="婚",AE29="公",AE29="病",AE29="事",AE29="x"  ), $AP29 =""),"18放早走",  IF(  AND(  OR(  AD29 =""),OR(  AE29 ="x",AE29="補",AE29="婚",AE29="公",AE29="病",AE29="事",AE29="x榮*",AE29="榮",AE29="榮-22"  ), $AP29 =""),"18放",  IF(  AND(  OR(  AD29="當日退伍"  ),OR(  AE29="退伍",AE29="退", AE29=""  ), $AP29 =""),"當日退伍",  IF(AND(  OR(AD29="退",AD29="退伍" ), OR(AE29="退",AE29="退伍" ), $AP29 =""),"退伍","全日勤"  )  )  )  )  )  )  )  )  )  )  ),"")</f>
        <v>全日勤</v>
      </c>
      <c r="AE70" s="66" t="str">
        <f>IF(   (ROW(BQ29)-1)&lt;=暫1!$B$2,           IF(  AND(  OR(  AE29="x",AE29="補"  ), OR(  AF29 ="x",AF29="補",AF29="x榮18-22",AF29="x公18-22",AF29="x榮22-08"  ), $AP29 =""),"全日休",  IF(  AND(  OR(  AE29="x",AE29="病"  ), OR(  AF29 ="病"  ), $AP29 =""),"病(事)假",  IF(  AND(  OR(  AE29="x",AE29="補"  ), OR(  AF29 ="補"  ), $AP29 =""),"補休",  IF(  AND(  OR(  AE29="x",AE29="喪"  ), OR(  AF29 ="喪"  ), $AP29 =""),"喪假",  IF(  AND(  OR(  AE29="x",AE29="婚",AE29="產"  ), OR(  AF29 ="婚",AF29="產"  ), $AP29 =""),"婚(產)假",  IF(  AND(  OR(  AE29="x",AE29="公"  ), OR(  AF29 ="公"  ), $AP29 =""),"公假",  IF(  AND(  OR(  AE29="x",AE29="補",AE29="婚",AE29="公",AE29="病",AE29="事",AE29="x榮18-22"  ),OR(AF29=""), $AP29 =""  ),"18收",  IF(  AND(  OR(  AE29 ="榮14-18",AE29 ="榮10-18",AE29 ="榮06-18",AE29 ="病14-18"  ),OR(  AF29 ="x",AF29="補",AF29="婚",AF29="公",AF29="病",AF29="事",AF29="x"  ), $AP29 =""),"18放早走",  IF(  AND(  OR(  AE29 =""),OR(  AF29 ="x",AF29="補",AF29="婚",AF29="公",AF29="病",AF29="事",AF29="x榮*",AF29="榮",AF29="榮-22"  ), $AP29 =""),"18放",  IF(  AND(  OR(  AE29="當日退伍"  ),OR(  AF29="退伍",AF29="退", AF29=""  ), $AP29 =""),"當日退伍",  IF(AND(  OR(AE29="退",AE29="退伍" ), OR(AF29="退",AF29="退伍" ), $AP29 =""),"退伍","全日勤"  )  )  )  )  )  )  )  )  )  )  ),"")</f>
        <v>全日勤</v>
      </c>
      <c r="AF70" s="66" t="str">
        <f>IF(   (ROW(BR29)-1)&lt;=暫1!$B$2,           IF(  AND(  OR(  AF29="x",AF29="補"  ), OR(  AG29 ="x",AG29="補",AG29="x榮18-22",AG29="x公18-22",AG29="x榮22-08"  ), $AP29 =""),"全日休",  IF(  AND(  OR(  AF29="x",AF29="病"  ), OR(  AG29 ="病"  ), $AP29 =""),"病(事)假",  IF(  AND(  OR(  AF29="x",AF29="補"  ), OR(  AG29 ="補"  ), $AP29 =""),"補休",  IF(  AND(  OR(  AF29="x",AF29="喪"  ), OR(  AG29 ="喪"  ), $AP29 =""),"喪假",  IF(  AND(  OR(  AF29="x",AF29="婚",AF29="產"  ), OR(  AG29 ="婚",AG29="產"  ), $AP29 =""),"婚(產)假",  IF(  AND(  OR(  AF29="x",AF29="公"  ), OR(  AG29 ="公"  ), $AP29 =""),"公假",  IF(  AND(  OR(  AF29="x",AF29="補",AF29="婚",AF29="公",AF29="病",AF29="事",AF29="x榮18-22"  ),OR(AG29=""), $AP29 =""  ),"18收",  IF(  AND(  OR(  AF29 ="榮14-18",AF29 ="榮10-18",AF29 ="榮06-18",AF29 ="病14-18"  ),OR(  AG29 ="x",AG29="補",AG29="婚",AG29="公",AG29="病",AG29="事",AG29="x"  ), $AP29 =""),"18放早走",  IF(  AND(  OR(  AF29 =""),OR(  AG29 ="x",AG29="補",AG29="婚",AG29="公",AG29="病",AG29="事",AG29="x榮*",AG29="榮",AG29="榮-22"  ), $AP29 =""),"18放",  IF(  AND(  OR(  AF29="當日退伍"  ),OR(  AG29="退伍",AG29="退", AG29=""  ), $AP29 =""),"當日退伍",  IF(AND(  OR(AF29="退",AF29="退伍" ), OR(AG29="退",AG29="退伍" ), $AP29 =""),"退伍","全日勤"  )  )  )  )  )  )  )  )  )  )  ),"")</f>
        <v>18放</v>
      </c>
      <c r="AG70" s="66" t="str">
        <f>IF(   (ROW(BS29)-1)&lt;=暫1!$B$2,           IF(  AND(  OR(  AG29="x",AG29="補"  ), OR(  AH29 ="x",AH29="補",AH29="x榮18-22",AH29="x公18-22",AH29="x榮22-08"  ), $AP29 =""),"全日休",  IF(  AND(  OR(  AG29="x",AG29="病"  ), OR(  AH29 ="病"  ), $AP29 =""),"病(事)假",  IF(  AND(  OR(  AG29="x",AG29="補"  ), OR(  AH29 ="補"  ), $AP29 =""),"補休",  IF(  AND(  OR(  AG29="x",AG29="喪"  ), OR(  AH29 ="喪"  ), $AP29 =""),"喪假",  IF(  AND(  OR(  AG29="x",AG29="婚",AG29="產"  ), OR(  AH29 ="婚",AH29="產"  ), $AP29 =""),"婚(產)假",  IF(  AND(  OR(  AG29="x",AG29="公"  ), OR(  AH29 ="公"  ), $AP29 =""),"公假",  IF(  AND(  OR(  AG29="x",AG29="補",AG29="婚",AG29="公",AG29="病",AG29="事",AG29="x榮18-22"  ),OR(AH29=""), $AP29 =""  ),"18收",  IF(  AND(  OR(  AG29 ="榮14-18",AG29 ="榮10-18",AG29 ="榮06-18",AG29 ="病14-18"  ),OR(  AH29 ="x",AH29="補",AH29="婚",AH29="公",AH29="病",AH29="事",AH29="x"  ), $AP29 =""),"18放早走",  IF(  AND(  OR(  AG29 =""),OR(  AH29 ="x",AH29="補",AH29="婚",AH29="公",AH29="病",AH29="事",AH29="x榮*",AH29="榮",AH29="榮-22"  ), $AP29 =""),"18放",  IF(  AND(  OR(  AG29="當日退伍"  ),OR(  AH29="退伍",AH29="退", AH29=""  ), $AP29 =""),"當日退伍",  IF(AND(  OR(AG29="退",AG29="退伍" ), OR(AH29="退",AH29="退伍" ), $AP29 =""),"退伍","全日勤"  )  )  )  )  )  )  )  )  )  )  ),"")</f>
        <v>18收</v>
      </c>
      <c r="AH70" s="66" t="str">
        <f>IF(   (ROW(BT29)-1)&lt;=暫1!$B$2,           IF(  AND(  OR(  AH29="x",AH29="補"  ), OR(  AI29 ="x",AI29="補",AI29="x榮18-22",AI29="x公18-22",AI29="x榮22-08"  ), $AP29 =""),"全日休",  IF(  AND(  OR(  AH29="x",AH29="病"  ), OR(  AI29 ="病"  ), $AP29 =""),"病(事)假",  IF(  AND(  OR(  AH29="x",AH29="補"  ), OR(  AI29 ="補"  ), $AP29 =""),"補休",  IF(  AND(  OR(  AH29="x",AH29="喪"  ), OR(  AI29 ="喪"  ), $AP29 =""),"喪假",  IF(  AND(  OR(  AH29="x",AH29="婚",AH29="產"  ), OR(  AI29 ="婚",AI29="產"  ), $AP29 =""),"婚(產)假",  IF(  AND(  OR(  AH29="x",AH29="公"  ), OR(  AI29 ="公"  ), $AP29 =""),"公假",  IF(  AND(  OR(  AH29="x",AH29="補",AH29="婚",AH29="公",AH29="病",AH29="事",AH29="x榮18-22"  ),OR(AI29=""), $AP29 =""  ),"18收",  IF(  AND(  OR(  AH29 ="榮14-18",AH29 ="榮10-18",AH29 ="榮06-18",AH29 ="病14-18"  ),OR(  AI29 ="x",AI29="補",AI29="婚",AI29="公",AI29="病",AI29="事",AI29="x"  ), $AP29 =""),"18放早走",  IF(  AND(  OR(  AH29 =""),OR(  AI29 ="x",AI29="補",AI29="婚",AI29="公",AI29="病",AI29="事",AI29="x榮*",AI29="榮",AI29="榮-22"  ), $AP29 =""),"18放",  IF(  AND(  OR(  AH29="當日退伍"  ),OR(  AI29="退伍",AI29="退", AI29=""  ), $AP29 =""),"當日退伍",  IF(AND(  OR(AH29="退",AH29="退伍" ), OR(AI29="退",AI29="退伍" ), $AP29 =""),"退伍","全日勤"  )  )  )  )  )  )  )  )  )  )  ),"")</f>
        <v>全日勤</v>
      </c>
      <c r="AI70" s="66" t="str">
        <f>IF(   (ROW(BU29)-1)&lt;=暫1!$B$2,           IF(  AND(  OR(  AI29="x",AI29="補"  ), OR(  AJ29 ="x",AJ29="補",AJ29="x榮18-22",AJ29="x公18-22",AJ29="x榮22-08"  ), $AP29 =""),"全日休",  IF(  AND(  OR(  AI29="x",AI29="病"  ), OR(  AJ29 ="病"  ), $AP29 =""),"病(事)假",  IF(  AND(  OR(  AI29="x",AI29="補"  ), OR(  AJ29 ="補"  ), $AP29 =""),"補休",  IF(  AND(  OR(  AI29="x",AI29="喪"  ), OR(  AJ29 ="喪"  ), $AP29 =""),"喪假",  IF(  AND(  OR(  AI29="x",AI29="婚",AI29="產"  ), OR(  AJ29 ="婚",AJ29="產"  ), $AP29 =""),"婚(產)假",  IF(  AND(  OR(  AI29="x",AI29="公"  ), OR(  AJ29 ="公"  ), $AP29 =""),"公假",  IF(  AND(  OR(  AI29="x",AI29="補",AI29="婚",AI29="公",AI29="病",AI29="事",AI29="x榮18-22"  ),OR(AJ29=""), $AP29 =""  ),"18收",  IF(  AND(  OR(  AI29 ="榮14-18",AI29 ="榮10-18",AI29 ="榮06-18",AI29 ="病14-18"  ),OR(  AJ29 ="x",AJ29="補",AJ29="婚",AJ29="公",AJ29="病",AJ29="事",AJ29="x"  ), $AP29 =""),"18放早走",  IF(  AND(  OR(  AI29 =""),OR(  AJ29 ="x",AJ29="補",AJ29="婚",AJ29="公",AJ29="病",AJ29="事",AJ29="x榮*",AJ29="榮",AJ29="榮-22"  ), $AP29 =""),"18放",  IF(  AND(  OR(  AI29="當日退伍"  ),OR(  AJ29="退伍",AJ29="退", AJ29=""  ), $AP29 =""),"當日退伍",  IF(AND(  OR(AI29="退",AI29="退伍" ), OR(AJ29="退",AJ29="退伍" ), $AP29 =""),"退伍","全日勤"  )  )  )  )  )  )  )  )  )  )  ),"")</f>
        <v>全日勤</v>
      </c>
      <c r="AJ70" s="66" t="str">
        <f>IF(   (ROW(BV29)-1)&lt;=暫1!$B$2,           IF(  AND(  OR(  AJ29="x",AJ29="補"  ), OR(  AK29 ="x",AK29="補",AK29="x榮18-22",AK29="x公18-22",AK29="x榮22-08"  ), $AP29 =""),"全日休",  IF(  AND(  OR(  AJ29="x",AJ29="病"  ), OR(  AK29 ="病"  ), $AP29 =""),"病(事)假",  IF(  AND(  OR(  AJ29="x",AJ29="補"  ), OR(  AK29 ="補"  ), $AP29 =""),"補休",  IF(  AND(  OR(  AJ29="x",AJ29="喪"  ), OR(  AK29 ="喪"  ), $AP29 =""),"喪假",  IF(  AND(  OR(  AJ29="x",AJ29="婚",AJ29="產"  ), OR(  AK29 ="婚",AK29="產"  ), $AP29 =""),"婚(產)假",  IF(  AND(  OR(  AJ29="x",AJ29="公"  ), OR(  AK29 ="公"  ), $AP29 =""),"公假",  IF(  AND(  OR(  AJ29="x",AJ29="補",AJ29="婚",AJ29="公",AJ29="病",AJ29="事",AJ29="x榮18-22"  ),OR(AK29=""), $AP29 =""  ),"18收",  IF(  AND(  OR(  AJ29 ="榮14-18",AJ29 ="榮10-18",AJ29 ="榮06-18",AJ29 ="病14-18"  ),OR(  AK29 ="x",AK29="補",AK29="婚",AK29="公",AK29="病",AK29="事",AK29="x"  ), $AP29 =""),"18放早走",  IF(  AND(  OR(  AJ29 =""),OR(  AK29 ="x",AK29="補",AK29="婚",AK29="公",AK29="病",AK29="事",AK29="x榮*",AK29="榮",AK29="榮-22"  ), $AP29 =""),"18放",  IF(  AND(  OR(  AJ29="當日退伍"  ),OR(  AK29="退伍",AK29="退", AK29=""  ), $AP29 =""),"當日退伍",  IF(AND(  OR(AJ29="退",AJ29="退伍" ), OR(AK29="退",AK29="退伍" ), $AP29 =""),"退伍","全日勤"  )  )  )  )  )  )  )  )  )  )  ),"")</f>
        <v>全日勤</v>
      </c>
      <c r="AO70" s="76"/>
      <c r="AP70" s="63"/>
      <c r="AU70" s="63"/>
      <c r="AY70" s="63"/>
      <c r="AZ70" s="63"/>
      <c r="BA70" s="63"/>
    </row>
    <row r="71" spans="1:55" ht="25.5" customHeight="1">
      <c r="A71" s="66">
        <f t="shared" si="4"/>
        <v>29</v>
      </c>
      <c r="B71" s="66" t="str">
        <f t="shared" si="6"/>
        <v>陳羲</v>
      </c>
      <c r="C71" s="66" t="str">
        <f>IF(   (ROW(AO30)-1)&lt;=暫1!$B$2,           IF(  AND(  OR(  C30="x",C30="補"  ), OR(  D30 ="x",D30="補",D30="x榮18-22",D30="x公18-22",D30="x榮22-08"  ), $AP30 =""),"全日休",  IF(  AND(  OR(  C30="x",C30="病"  ), OR(  D30 ="病"  ), $AP30 =""),"病(事)假",  IF(  AND(  OR(  C30="x",C30="補"  ), OR(  D30 ="補"  ), $AP30 =""),"補休",  IF(  AND(  OR(  C30="x",C30="喪"  ), OR(  D30 ="喪"  ), $AP30 =""),"喪假",  IF(  AND(  OR(  C30="x",C30="婚",C30="產"  ), OR(  D30 ="婚",D30="產"  ), $AP30 =""),"婚(產)假",  IF(  AND(  OR(  C30="x",C30="公"  ), OR(  D30 ="公"  ), $AP30 =""),"公假",  IF(  AND(  OR(  C30="x",C30="補",C30="婚",C30="公",C30="病",C30="事",C30="x榮18-22"  ),OR(D30=""), $AP30 =""  ),"18收",  IF(  AND(  OR(  C30 ="榮14-18",C30 ="榮10-18",C30 ="榮06-18",C30 ="病14-18"  ),OR(  D30 ="x",D30="補",D30="婚",D30="公",D30="病",D30="事",D30="x"  ), $AP30 =""),"18放早走",  IF(  AND(  OR(  C30 =""),OR(  D30 ="x",D30="補",D30="婚",D30="公",D30="病",D30="事",D30="x榮*",D30="榮",D30="榮-22"  ), $AP30 =""),"18放",  IF(  AND(  OR(  C30="當日退伍"  ),OR(  D30="退伍",D30="退", D30=""  ), $AP30 =""),"當日退伍",  IF(AND(  OR(C30="退",C30="退伍" ), OR(D30="退",D30="退伍" ), $AP30 =""),"退伍","全日勤"  )  )  )  )  )  )  )  )  )  )  ),"")</f>
        <v>全日勤</v>
      </c>
      <c r="D71" s="66" t="str">
        <f>IF(   (ROW(AP30)-1)&lt;=暫1!$B$2,           IF(  AND(  OR(  D30="x",D30="補"  ), OR(  E30 ="x",E30="補",E30="x榮18-22",E30="x公18-22",E30="x榮22-08"  ), $AP30 =""),"全日休",  IF(  AND(  OR(  D30="x",D30="病"  ), OR(  E30 ="病"  ), $AP30 =""),"病(事)假",  IF(  AND(  OR(  D30="x",D30="補"  ), OR(  E30 ="補"  ), $AP30 =""),"補休",  IF(  AND(  OR(  D30="x",D30="喪"  ), OR(  E30 ="喪"  ), $AP30 =""),"喪假",  IF(  AND(  OR(  D30="x",D30="婚",D30="產"  ), OR(  E30 ="婚",E30="產"  ), $AP30 =""),"婚(產)假",  IF(  AND(  OR(  D30="x",D30="公"  ), OR(  E30 ="公"  ), $AP30 =""),"公假",  IF(  AND(  OR(  D30="x",D30="補",D30="婚",D30="公",D30="病",D30="事",D30="x榮18-22"  ),OR(E30=""), $AP30 =""  ),"18收",  IF(  AND(  OR(  D30 ="榮14-18",D30 ="榮10-18",D30 ="榮06-18",D30 ="病14-18"  ),OR(  E30 ="x",E30="補",E30="婚",E30="公",E30="病",E30="事",E30="x"  ), $AP30 =""),"18放早走",  IF(  AND(  OR(  D30 =""),OR(  E30 ="x",E30="補",E30="婚",E30="公",E30="病",E30="事",E30="x榮*",E30="榮",E30="榮-22"  ), $AP30 =""),"18放",  IF(  AND(  OR(  D30="當日退伍"  ),OR(  E30="退伍",E30="退", E30=""  ), $AP30 =""),"當日退伍",  IF(AND(  OR(D30="退",D30="退伍" ), OR(E30="退",E30="退伍" ), $AP30 =""),"退伍","全日勤"  )  )  )  )  )  )  )  )  )  )  ),"")</f>
        <v>全日勤</v>
      </c>
      <c r="E71" s="66" t="str">
        <f>IF(   (ROW(AQ30)-1)&lt;=暫1!$B$2,           IF(  AND(  OR(  E30="x",E30="補"  ), OR(  F30 ="x",F30="補",F30="x榮18-22",F30="x公18-22",F30="x榮22-08"  ), $AP30 =""),"全日休",  IF(  AND(  OR(  E30="x",E30="病"  ), OR(  F30 ="病"  ), $AP30 =""),"病(事)假",  IF(  AND(  OR(  E30="x",E30="補"  ), OR(  F30 ="補"  ), $AP30 =""),"補休",  IF(  AND(  OR(  E30="x",E30="喪"  ), OR(  F30 ="喪"  ), $AP30 =""),"喪假",  IF(  AND(  OR(  E30="x",E30="婚",E30="產"  ), OR(  F30 ="婚",F30="產"  ), $AP30 =""),"婚(產)假",  IF(  AND(  OR(  E30="x",E30="公"  ), OR(  F30 ="公"  ), $AP30 =""),"公假",  IF(  AND(  OR(  E30="x",E30="補",E30="婚",E30="公",E30="病",E30="事",E30="x榮18-22"  ),OR(F30=""), $AP30 =""  ),"18收",  IF(  AND(  OR(  E30 ="榮14-18",E30 ="榮10-18",E30 ="榮06-18",E30 ="病14-18"  ),OR(  F30 ="x",F30="補",F30="婚",F30="公",F30="病",F30="事",F30="x"  ), $AP30 =""),"18放早走",  IF(  AND(  OR(  E30 =""),OR(  F30 ="x",F30="補",F30="婚",F30="公",F30="病",F30="事",F30="x榮*",F30="榮",F30="榮-22"  ), $AP30 =""),"18放",  IF(  AND(  OR(  E30="當日退伍"  ),OR(  F30="退伍",F30="退", F30=""  ), $AP30 =""),"當日退伍",  IF(AND(  OR(E30="退",E30="退伍" ), OR(F30="退",F30="退伍" ), $AP30 =""),"退伍","全日勤"  )  )  )  )  )  )  )  )  )  )  ),"")</f>
        <v>全日勤</v>
      </c>
      <c r="F71" s="66" t="str">
        <f>IF(   (ROW(AR30)-1)&lt;=暫1!$B$2,           IF(  AND(  OR(  F30="x",F30="補"  ), OR(  G30 ="x",G30="補",G30="x榮18-22",G30="x公18-22",G30="x榮22-08"  ), $AP30 =""),"全日休",  IF(  AND(  OR(  F30="x",F30="病"  ), OR(  G30 ="病"  ), $AP30 =""),"病(事)假",  IF(  AND(  OR(  F30="x",F30="補"  ), OR(  G30 ="補"  ), $AP30 =""),"補休",  IF(  AND(  OR(  F30="x",F30="喪"  ), OR(  G30 ="喪"  ), $AP30 =""),"喪假",  IF(  AND(  OR(  F30="x",F30="婚",F30="產"  ), OR(  G30 ="婚",G30="產"  ), $AP30 =""),"婚(產)假",  IF(  AND(  OR(  F30="x",F30="公"  ), OR(  G30 ="公"  ), $AP30 =""),"公假",  IF(  AND(  OR(  F30="x",F30="補",F30="婚",F30="公",F30="病",F30="事",F30="x榮18-22"  ),OR(G30=""), $AP30 =""  ),"18收",  IF(  AND(  OR(  F30 ="榮14-18",F30 ="榮10-18",F30 ="榮06-18",F30 ="病14-18"  ),OR(  G30 ="x",G30="補",G30="婚",G30="公",G30="病",G30="事",G30="x"  ), $AP30 =""),"18放早走",  IF(  AND(  OR(  F30 =""),OR(  G30 ="x",G30="補",G30="婚",G30="公",G30="病",G30="事",G30="x榮*",G30="榮",G30="榮-22"  ), $AP30 =""),"18放",  IF(  AND(  OR(  F30="當日退伍"  ),OR(  G30="退伍",G30="退", G30=""  ), $AP30 =""),"當日退伍",  IF(AND(  OR(F30="退",F30="退伍" ), OR(G30="退",G30="退伍" ), $AP30 =""),"退伍","全日勤"  )  )  )  )  )  )  )  )  )  )  ),"")</f>
        <v>18放</v>
      </c>
      <c r="G71" s="66" t="str">
        <f>IF(   (ROW(AS30)-1)&lt;=暫1!$B$2,           IF(  AND(  OR(  G30="x",G30="補"  ), OR(  H30 ="x",H30="補",H30="x榮18-22",H30="x公18-22",H30="x榮22-08"  ), $AP30 =""),"全日休",  IF(  AND(  OR(  G30="x",G30="病"  ), OR(  H30 ="病"  ), $AP30 =""),"病(事)假",  IF(  AND(  OR(  G30="x",G30="補"  ), OR(  H30 ="補"  ), $AP30 =""),"補休",  IF(  AND(  OR(  G30="x",G30="喪"  ), OR(  H30 ="喪"  ), $AP30 =""),"喪假",  IF(  AND(  OR(  G30="x",G30="婚",G30="產"  ), OR(  H30 ="婚",H30="產"  ), $AP30 =""),"婚(產)假",  IF(  AND(  OR(  G30="x",G30="公"  ), OR(  H30 ="公"  ), $AP30 =""),"公假",  IF(  AND(  OR(  G30="x",G30="補",G30="婚",G30="公",G30="病",G30="事",G30="x榮18-22"  ),OR(H30=""), $AP30 =""  ),"18收",  IF(  AND(  OR(  G30 ="榮14-18",G30 ="榮10-18",G30 ="榮06-18",G30 ="病14-18"  ),OR(  H30 ="x",H30="補",H30="婚",H30="公",H30="病",H30="事",H30="x"  ), $AP30 =""),"18放早走",  IF(  AND(  OR(  G30 =""),OR(  H30 ="x",H30="補",H30="婚",H30="公",H30="病",H30="事",H30="x榮*",H30="榮",H30="榮-22"  ), $AP30 =""),"18放",  IF(  AND(  OR(  G30="當日退伍"  ),OR(  H30="退伍",H30="退", H30=""  ), $AP30 =""),"當日退伍",  IF(AND(  OR(G30="退",G30="退伍" ), OR(H30="退",H30="退伍" ), $AP30 =""),"退伍","全日勤"  )  )  )  )  )  )  )  )  )  )  ),"")</f>
        <v>18收</v>
      </c>
      <c r="H71" s="66" t="str">
        <f>IF(   (ROW(AT30)-1)&lt;=暫1!$B$2,           IF(  AND(  OR(  H30="x",H30="補"  ), OR(  I30 ="x",I30="補",I30="x榮18-22",I30="x公18-22",I30="x榮22-08"  ), $AP30 =""),"全日休",  IF(  AND(  OR(  H30="x",H30="病"  ), OR(  I30 ="病"  ), $AP30 =""),"病(事)假",  IF(  AND(  OR(  H30="x",H30="補"  ), OR(  I30 ="補"  ), $AP30 =""),"補休",  IF(  AND(  OR(  H30="x",H30="喪"  ), OR(  I30 ="喪"  ), $AP30 =""),"喪假",  IF(  AND(  OR(  H30="x",H30="婚",H30="產"  ), OR(  I30 ="婚",I30="產"  ), $AP30 =""),"婚(產)假",  IF(  AND(  OR(  H30="x",H30="公"  ), OR(  I30 ="公"  ), $AP30 =""),"公假",  IF(  AND(  OR(  H30="x",H30="補",H30="婚",H30="公",H30="病",H30="事",H30="x榮18-22"  ),OR(I30=""), $AP30 =""  ),"18收",  IF(  AND(  OR(  H30 ="榮14-18",H30 ="榮10-18",H30 ="榮06-18",H30 ="病14-18"  ),OR(  I30 ="x",I30="補",I30="婚",I30="公",I30="病",I30="事",I30="x"  ), $AP30 =""),"18放早走",  IF(  AND(  OR(  H30 =""),OR(  I30 ="x",I30="補",I30="婚",I30="公",I30="病",I30="事",I30="x榮*",I30="榮",I30="榮-22"  ), $AP30 =""),"18放",  IF(  AND(  OR(  H30="當日退伍"  ),OR(  I30="退伍",I30="退", I30=""  ), $AP30 =""),"當日退伍",  IF(AND(  OR(H30="退",H30="退伍" ), OR(I30="退",I30="退伍" ), $AP30 =""),"退伍","全日勤"  )  )  )  )  )  )  )  )  )  )  ),"")</f>
        <v>全日勤</v>
      </c>
      <c r="I71" s="66" t="str">
        <f>IF(   (ROW(AU30)-1)&lt;=暫1!$B$2,           IF(  AND(  OR(  I30="x",I30="補"  ), OR(  J30 ="x",J30="補",J30="x榮18-22",J30="x公18-22",J30="x榮22-08"  ), $AP30 =""),"全日休",  IF(  AND(  OR(  I30="x",I30="病"  ), OR(  J30 ="病"  ), $AP30 =""),"病(事)假",  IF(  AND(  OR(  I30="x",I30="補"  ), OR(  J30 ="補"  ), $AP30 =""),"補休",  IF(  AND(  OR(  I30="x",I30="喪"  ), OR(  J30 ="喪"  ), $AP30 =""),"喪假",  IF(  AND(  OR(  I30="x",I30="婚",I30="產"  ), OR(  J30 ="婚",J30="產"  ), $AP30 =""),"婚(產)假",  IF(  AND(  OR(  I30="x",I30="公"  ), OR(  J30 ="公"  ), $AP30 =""),"公假",  IF(  AND(  OR(  I30="x",I30="補",I30="婚",I30="公",I30="病",I30="事",I30="x榮18-22"  ),OR(J30=""), $AP30 =""  ),"18收",  IF(  AND(  OR(  I30 ="榮14-18",I30 ="榮10-18",I30 ="榮06-18",I30 ="病14-18"  ),OR(  J30 ="x",J30="補",J30="婚",J30="公",J30="病",J30="事",J30="x"  ), $AP30 =""),"18放早走",  IF(  AND(  OR(  I30 =""),OR(  J30 ="x",J30="補",J30="婚",J30="公",J30="病",J30="事",J30="x榮*",J30="榮",J30="榮-22"  ), $AP30 =""),"18放",  IF(  AND(  OR(  I30="當日退伍"  ),OR(  J30="退伍",J30="退", J30=""  ), $AP30 =""),"當日退伍",  IF(AND(  OR(I30="退",I30="退伍" ), OR(J30="退",J30="退伍" ), $AP30 =""),"退伍","全日勤"  )  )  )  )  )  )  )  )  )  )  ),"")</f>
        <v>18收</v>
      </c>
      <c r="J71" s="66" t="str">
        <f>IF(   (ROW(AV30)-1)&lt;=暫1!$B$2,           IF(  AND(  OR(  J30="x",J30="補"  ), OR(  K30 ="x",K30="補",K30="x榮18-22",K30="x公18-22",K30="x榮22-08"  ), $AP30 =""),"全日休",  IF(  AND(  OR(  J30="x",J30="病"  ), OR(  K30 ="病"  ), $AP30 =""),"病(事)假",  IF(  AND(  OR(  J30="x",J30="補"  ), OR(  K30 ="補"  ), $AP30 =""),"補休",  IF(  AND(  OR(  J30="x",J30="喪"  ), OR(  K30 ="喪"  ), $AP30 =""),"喪假",  IF(  AND(  OR(  J30="x",J30="婚",J30="產"  ), OR(  K30 ="婚",K30="產"  ), $AP30 =""),"婚(產)假",  IF(  AND(  OR(  J30="x",J30="公"  ), OR(  K30 ="公"  ), $AP30 =""),"公假",  IF(  AND(  OR(  J30="x",J30="補",J30="婚",J30="公",J30="病",J30="事",J30="x榮18-22"  ),OR(K30=""), $AP30 =""  ),"18收",  IF(  AND(  OR(  J30 ="榮14-18",J30 ="榮10-18",J30 ="榮06-18",J30 ="病14-18"  ),OR(  K30 ="x",K30="補",K30="婚",K30="公",K30="病",K30="事",K30="x"  ), $AP30 =""),"18放早走",  IF(  AND(  OR(  J30 =""),OR(  K30 ="x",K30="補",K30="婚",K30="公",K30="病",K30="事",K30="x榮*",K30="榮",K30="榮-22"  ), $AP30 =""),"18放",  IF(  AND(  OR(  J30="當日退伍"  ),OR(  K30="退伍",K30="退", K30=""  ), $AP30 =""),"當日退伍",  IF(AND(  OR(J30="退",J30="退伍" ), OR(K30="退",K30="退伍" ), $AP30 =""),"退伍","全日勤"  )  )  )  )  )  )  )  )  )  )  ),"")</f>
        <v>全日勤</v>
      </c>
      <c r="K71" s="66" t="str">
        <f>IF(   (ROW(AW30)-1)&lt;=暫1!$B$2,           IF(  AND(  OR(  K30="x",K30="補"  ), OR(  L30 ="x",L30="補",L30="x榮18-22",L30="x公18-22",L30="x榮22-08"  ), $AP30 =""),"全日休",  IF(  AND(  OR(  K30="x",K30="病"  ), OR(  L30 ="病"  ), $AP30 =""),"病(事)假",  IF(  AND(  OR(  K30="x",K30="補"  ), OR(  L30 ="補"  ), $AP30 =""),"補休",  IF(  AND(  OR(  K30="x",K30="喪"  ), OR(  L30 ="喪"  ), $AP30 =""),"喪假",  IF(  AND(  OR(  K30="x",K30="婚",K30="產"  ), OR(  L30 ="婚",L30="產"  ), $AP30 =""),"婚(產)假",  IF(  AND(  OR(  K30="x",K30="公"  ), OR(  L30 ="公"  ), $AP30 =""),"公假",  IF(  AND(  OR(  K30="x",K30="補",K30="婚",K30="公",K30="病",K30="事",K30="x榮18-22"  ),OR(L30=""), $AP30 =""  ),"18收",  IF(  AND(  OR(  K30 ="榮14-18",K30 ="榮10-18",K30 ="榮06-18",K30 ="病14-18"  ),OR(  L30 ="x",L30="補",L30="婚",L30="公",L30="病",L30="事",L30="x"  ), $AP30 =""),"18放早走",  IF(  AND(  OR(  K30 =""),OR(  L30 ="x",L30="補",L30="婚",L30="公",L30="病",L30="事",L30="x榮*",L30="榮",L30="榮-22"  ), $AP30 =""),"18放",  IF(  AND(  OR(  K30="當日退伍"  ),OR(  L30="退伍",L30="退", L30=""  ), $AP30 =""),"當日退伍",  IF(AND(  OR(K30="退",K30="退伍" ), OR(L30="退",L30="退伍" ), $AP30 =""),"退伍","全日勤"  )  )  )  )  )  )  )  )  )  )  ),"")</f>
        <v>全日勤</v>
      </c>
      <c r="L71" s="66" t="str">
        <f>IF(   (ROW(AX30)-1)&lt;=暫1!$B$2,           IF(  AND(  OR(  L30="x",L30="補"  ), OR(  M30 ="x",M30="補",M30="x榮18-22",M30="x公18-22",M30="x榮22-08"  ), $AP30 =""),"全日休",  IF(  AND(  OR(  L30="x",L30="病"  ), OR(  M30 ="病"  ), $AP30 =""),"病(事)假",  IF(  AND(  OR(  L30="x",L30="補"  ), OR(  M30 ="補"  ), $AP30 =""),"補休",  IF(  AND(  OR(  L30="x",L30="喪"  ), OR(  M30 ="喪"  ), $AP30 =""),"喪假",  IF(  AND(  OR(  L30="x",L30="婚",L30="產"  ), OR(  M30 ="婚",M30="產"  ), $AP30 =""),"婚(產)假",  IF(  AND(  OR(  L30="x",L30="公"  ), OR(  M30 ="公"  ), $AP30 =""),"公假",  IF(  AND(  OR(  L30="x",L30="補",L30="婚",L30="公",L30="病",L30="事",L30="x榮18-22"  ),OR(M30=""), $AP30 =""  ),"18收",  IF(  AND(  OR(  L30 ="榮14-18",L30 ="榮10-18",L30 ="榮06-18",L30 ="病14-18"  ),OR(  M30 ="x",M30="補",M30="婚",M30="公",M30="病",M30="事",M30="x"  ), $AP30 =""),"18放早走",  IF(  AND(  OR(  L30 =""),OR(  M30 ="x",M30="補",M30="婚",M30="公",M30="病",M30="事",M30="x榮*",M30="榮",M30="榮-22"  ), $AP30 =""),"18放",  IF(  AND(  OR(  L30="當日退伍"  ),OR(  M30="退伍",M30="退", M30=""  ), $AP30 =""),"當日退伍",  IF(AND(  OR(L30="退",L30="退伍" ), OR(M30="退",M30="退伍" ), $AP30 =""),"退伍","全日勤"  )  )  )  )  )  )  )  )  )  )  ),"")</f>
        <v>全日勤</v>
      </c>
      <c r="M71" s="66" t="str">
        <f>IF(   (ROW(AY30)-1)&lt;=暫1!$B$2,           IF(  AND(  OR(  M30="x",M30="補"  ), OR(  N30 ="x",N30="補",N30="x榮18-22",N30="x公18-22",N30="x榮22-08"  ), $AP30 =""),"全日休",  IF(  AND(  OR(  M30="x",M30="病"  ), OR(  N30 ="病"  ), $AP30 =""),"病(事)假",  IF(  AND(  OR(  M30="x",M30="補"  ), OR(  N30 ="補"  ), $AP30 =""),"補休",  IF(  AND(  OR(  M30="x",M30="喪"  ), OR(  N30 ="喪"  ), $AP30 =""),"喪假",  IF(  AND(  OR(  M30="x",M30="婚",M30="產"  ), OR(  N30 ="婚",N30="產"  ), $AP30 =""),"婚(產)假",  IF(  AND(  OR(  M30="x",M30="公"  ), OR(  N30 ="公"  ), $AP30 =""),"公假",  IF(  AND(  OR(  M30="x",M30="補",M30="婚",M30="公",M30="病",M30="事",M30="x榮18-22"  ),OR(N30=""), $AP30 =""  ),"18收",  IF(  AND(  OR(  M30 ="榮14-18",M30 ="榮10-18",M30 ="榮06-18",M30 ="病14-18"  ),OR(  N30 ="x",N30="補",N30="婚",N30="公",N30="病",N30="事",N30="x"  ), $AP30 =""),"18放早走",  IF(  AND(  OR(  M30 =""),OR(  N30 ="x",N30="補",N30="婚",N30="公",N30="病",N30="事",N30="x榮*",N30="榮",N30="榮-22"  ), $AP30 =""),"18放",  IF(  AND(  OR(  M30="當日退伍"  ),OR(  N30="退伍",N30="退", N30=""  ), $AP30 =""),"當日退伍",  IF(AND(  OR(M30="退",M30="退伍" ), OR(N30="退",N30="退伍" ), $AP30 =""),"退伍","全日勤"  )  )  )  )  )  )  )  )  )  )  ),"")</f>
        <v>18放</v>
      </c>
      <c r="N71" s="66" t="str">
        <f>IF(   (ROW(AZ30)-1)&lt;=暫1!$B$2,           IF(  AND(  OR(  N30="x",N30="補"  ), OR(  O30 ="x",O30="補",O30="x榮18-22",O30="x公18-22",O30="x榮22-08"  ), $AP30 =""),"全日休",  IF(  AND(  OR(  N30="x",N30="病"  ), OR(  O30 ="病"  ), $AP30 =""),"病(事)假",  IF(  AND(  OR(  N30="x",N30="補"  ), OR(  O30 ="補"  ), $AP30 =""),"補休",  IF(  AND(  OR(  N30="x",N30="喪"  ), OR(  O30 ="喪"  ), $AP30 =""),"喪假",  IF(  AND(  OR(  N30="x",N30="婚",N30="產"  ), OR(  O30 ="婚",O30="產"  ), $AP30 =""),"婚(產)假",  IF(  AND(  OR(  N30="x",N30="公"  ), OR(  O30 ="公"  ), $AP30 =""),"公假",  IF(  AND(  OR(  N30="x",N30="補",N30="婚",N30="公",N30="病",N30="事",N30="x榮18-22"  ),OR(O30=""), $AP30 =""  ),"18收",  IF(  AND(  OR(  N30 ="榮14-18",N30 ="榮10-18",N30 ="榮06-18",N30 ="病14-18"  ),OR(  O30 ="x",O30="補",O30="婚",O30="公",O30="病",O30="事",O30="x"  ), $AP30 =""),"18放早走",  IF(  AND(  OR(  N30 =""),OR(  O30 ="x",O30="補",O30="婚",O30="公",O30="病",O30="事",O30="x榮*",O30="榮",O30="榮-22"  ), $AP30 =""),"18放",  IF(  AND(  OR(  N30="當日退伍"  ),OR(  O30="退伍",O30="退", O30=""  ), $AP30 =""),"當日退伍",  IF(AND(  OR(N30="退",N30="退伍" ), OR(O30="退",O30="退伍" ), $AP30 =""),"退伍","全日勤"  )  )  )  )  )  )  )  )  )  )  ),"")</f>
        <v>全日休</v>
      </c>
      <c r="O71" s="66" t="str">
        <f>IF(   (ROW(BA30)-1)&lt;=暫1!$B$2,           IF(  AND(  OR(  O30="x",O30="補"  ), OR(  P30 ="x",P30="補",P30="x榮18-22",P30="x公18-22",P30="x榮22-08"  ), $AP30 =""),"全日休",  IF(  AND(  OR(  O30="x",O30="病"  ), OR(  P30 ="病"  ), $AP30 =""),"病(事)假",  IF(  AND(  OR(  O30="x",O30="補"  ), OR(  P30 ="補"  ), $AP30 =""),"補休",  IF(  AND(  OR(  O30="x",O30="喪"  ), OR(  P30 ="喪"  ), $AP30 =""),"喪假",  IF(  AND(  OR(  O30="x",O30="婚",O30="產"  ), OR(  P30 ="婚",P30="產"  ), $AP30 =""),"婚(產)假",  IF(  AND(  OR(  O30="x",O30="公"  ), OR(  P30 ="公"  ), $AP30 =""),"公假",  IF(  AND(  OR(  O30="x",O30="補",O30="婚",O30="公",O30="病",O30="事",O30="x榮18-22"  ),OR(P30=""), $AP30 =""  ),"18收",  IF(  AND(  OR(  O30 ="榮14-18",O30 ="榮10-18",O30 ="榮06-18",O30 ="病14-18"  ),OR(  P30 ="x",P30="補",P30="婚",P30="公",P30="病",P30="事",P30="x"  ), $AP30 =""),"18放早走",  IF(  AND(  OR(  O30 =""),OR(  P30 ="x",P30="補",P30="婚",P30="公",P30="病",P30="事",P30="x榮*",P30="榮",P30="榮-22"  ), $AP30 =""),"18放",  IF(  AND(  OR(  O30="當日退伍"  ),OR(  P30="退伍",P30="退", P30=""  ), $AP30 =""),"當日退伍",  IF(AND(  OR(O30="退",O30="退伍" ), OR(P30="退",P30="退伍" ), $AP30 =""),"退伍","全日勤"  )  )  )  )  )  )  )  )  )  )  ),"")</f>
        <v>全日休</v>
      </c>
      <c r="P71" s="66" t="str">
        <f>IF(   (ROW(BB30)-1)&lt;=暫1!$B$2,           IF(  AND(  OR(  P30="x",P30="補"  ), OR(  Q30 ="x",Q30="補",Q30="x榮18-22",Q30="x公18-22",Q30="x榮22-08"  ), $AP30 =""),"全日休",  IF(  AND(  OR(  P30="x",P30="病"  ), OR(  Q30 ="病"  ), $AP30 =""),"病(事)假",  IF(  AND(  OR(  P30="x",P30="補"  ), OR(  Q30 ="補"  ), $AP30 =""),"補休",  IF(  AND(  OR(  P30="x",P30="喪"  ), OR(  Q30 ="喪"  ), $AP30 =""),"喪假",  IF(  AND(  OR(  P30="x",P30="婚",P30="產"  ), OR(  Q30 ="婚",Q30="產"  ), $AP30 =""),"婚(產)假",  IF(  AND(  OR(  P30="x",P30="公"  ), OR(  Q30 ="公"  ), $AP30 =""),"公假",  IF(  AND(  OR(  P30="x",P30="補",P30="婚",P30="公",P30="病",P30="事",P30="x榮18-22"  ),OR(Q30=""), $AP30 =""  ),"18收",  IF(  AND(  OR(  P30 ="榮14-18",P30 ="榮10-18",P30 ="榮06-18",P30 ="病14-18"  ),OR(  Q30 ="x",Q30="補",Q30="婚",Q30="公",Q30="病",Q30="事",Q30="x"  ), $AP30 =""),"18放早走",  IF(  AND(  OR(  P30 =""),OR(  Q30 ="x",Q30="補",Q30="婚",Q30="公",Q30="病",Q30="事",Q30="x榮*",Q30="榮",Q30="榮-22"  ), $AP30 =""),"18放",  IF(  AND(  OR(  P30="當日退伍"  ),OR(  Q30="退伍",Q30="退", Q30=""  ), $AP30 =""),"當日退伍",  IF(AND(  OR(P30="退",P30="退伍" ), OR(Q30="退",Q30="退伍" ), $AP30 =""),"退伍","全日勤"  )  )  )  )  )  )  )  )  )  )  ),"")</f>
        <v>18收</v>
      </c>
      <c r="Q71" s="66" t="str">
        <f>IF(   (ROW(BC30)-1)&lt;=暫1!$B$2,           IF(  AND(  OR(  Q30="x",Q30="補"  ), OR(  R30 ="x",R30="補",R30="x榮18-22",R30="x公18-22",R30="x榮22-08"  ), $AP30 =""),"全日休",  IF(  AND(  OR(  Q30="x",Q30="病"  ), OR(  R30 ="病"  ), $AP30 =""),"病(事)假",  IF(  AND(  OR(  Q30="x",Q30="補"  ), OR(  R30 ="補"  ), $AP30 =""),"補休",  IF(  AND(  OR(  Q30="x",Q30="喪"  ), OR(  R30 ="喪"  ), $AP30 =""),"喪假",  IF(  AND(  OR(  Q30="x",Q30="婚",Q30="產"  ), OR(  R30 ="婚",R30="產"  ), $AP30 =""),"婚(產)假",  IF(  AND(  OR(  Q30="x",Q30="公"  ), OR(  R30 ="公"  ), $AP30 =""),"公假",  IF(  AND(  OR(  Q30="x",Q30="補",Q30="婚",Q30="公",Q30="病",Q30="事",Q30="x榮18-22"  ),OR(R30=""), $AP30 =""  ),"18收",  IF(  AND(  OR(  Q30 ="榮14-18",Q30 ="榮10-18",Q30 ="榮06-18",Q30 ="病14-18"  ),OR(  R30 ="x",R30="補",R30="婚",R30="公",R30="病",R30="事",R30="x"  ), $AP30 =""),"18放早走",  IF(  AND(  OR(  Q30 =""),OR(  R30 ="x",R30="補",R30="婚",R30="公",R30="病",R30="事",R30="x榮*",R30="榮",R30="榮-22"  ), $AP30 =""),"18放",  IF(  AND(  OR(  Q30="當日退伍"  ),OR(  R30="退伍",R30="退", R30=""  ), $AP30 =""),"當日退伍",  IF(AND(  OR(Q30="退",Q30="退伍" ), OR(R30="退",R30="退伍" ), $AP30 =""),"退伍","全日勤"  )  )  )  )  )  )  )  )  )  )  ),"")</f>
        <v>全日勤</v>
      </c>
      <c r="R71" s="66" t="str">
        <f>IF(   (ROW(BD30)-1)&lt;=暫1!$B$2,           IF(  AND(  OR(  R30="x",R30="補"  ), OR(  S30 ="x",S30="補",S30="x榮18-22",S30="x公18-22",S30="x榮22-08"  ), $AP30 =""),"全日休",  IF(  AND(  OR(  R30="x",R30="病"  ), OR(  S30 ="病"  ), $AP30 =""),"病(事)假",  IF(  AND(  OR(  R30="x",R30="補"  ), OR(  S30 ="補"  ), $AP30 =""),"補休",  IF(  AND(  OR(  R30="x",R30="喪"  ), OR(  S30 ="喪"  ), $AP30 =""),"喪假",  IF(  AND(  OR(  R30="x",R30="婚",R30="產"  ), OR(  S30 ="婚",S30="產"  ), $AP30 =""),"婚(產)假",  IF(  AND(  OR(  R30="x",R30="公"  ), OR(  S30 ="公"  ), $AP30 =""),"公假",  IF(  AND(  OR(  R30="x",R30="補",R30="婚",R30="公",R30="病",R30="事",R30="x榮18-22"  ),OR(S30=""), $AP30 =""  ),"18收",  IF(  AND(  OR(  R30 ="榮14-18",R30 ="榮10-18",R30 ="榮06-18",R30 ="病14-18"  ),OR(  S30 ="x",S30="補",S30="婚",S30="公",S30="病",S30="事",S30="x"  ), $AP30 =""),"18放早走",  IF(  AND(  OR(  R30 =""),OR(  S30 ="x",S30="補",S30="婚",S30="公",S30="病",S30="事",S30="x榮*",S30="榮",S30="榮-22"  ), $AP30 =""),"18放",  IF(  AND(  OR(  R30="當日退伍"  ),OR(  S30="退伍",S30="退", S30=""  ), $AP30 =""),"當日退伍",  IF(AND(  OR(R30="退",R30="退伍" ), OR(S30="退",S30="退伍" ), $AP30 =""),"退伍","全日勤"  )  )  )  )  )  )  )  )  )  )  ),"")</f>
        <v>全日勤</v>
      </c>
      <c r="S71" s="66" t="str">
        <f>IF(   (ROW(BE30)-1)&lt;=暫1!$B$2,           IF(  AND(  OR(  S30="x",S30="補"  ), OR(  T30 ="x",T30="補",T30="x榮18-22",T30="x公18-22",T30="x榮22-08"  ), $AP30 =""),"全日休",  IF(  AND(  OR(  S30="x",S30="病"  ), OR(  T30 ="病"  ), $AP30 =""),"病(事)假",  IF(  AND(  OR(  S30="x",S30="補"  ), OR(  T30 ="補"  ), $AP30 =""),"補休",  IF(  AND(  OR(  S30="x",S30="喪"  ), OR(  T30 ="喪"  ), $AP30 =""),"喪假",  IF(  AND(  OR(  S30="x",S30="婚",S30="產"  ), OR(  T30 ="婚",T30="產"  ), $AP30 =""),"婚(產)假",  IF(  AND(  OR(  S30="x",S30="公"  ), OR(  T30 ="公"  ), $AP30 =""),"公假",  IF(  AND(  OR(  S30="x",S30="補",S30="婚",S30="公",S30="病",S30="事",S30="x榮18-22"  ),OR(T30=""), $AP30 =""  ),"18收",  IF(  AND(  OR(  S30 ="榮14-18",S30 ="榮10-18",S30 ="榮06-18",S30 ="病14-18"  ),OR(  T30 ="x",T30="補",T30="婚",T30="公",T30="病",T30="事",T30="x"  ), $AP30 =""),"18放早走",  IF(  AND(  OR(  S30 =""),OR(  T30 ="x",T30="補",T30="婚",T30="公",T30="病",T30="事",T30="x榮*",T30="榮",T30="榮-22"  ), $AP30 =""),"18放",  IF(  AND(  OR(  S30="當日退伍"  ),OR(  T30="退伍",T30="退", T30=""  ), $AP30 =""),"當日退伍",  IF(AND(  OR(S30="退",S30="退伍" ), OR(T30="退",T30="退伍" ), $AP30 =""),"退伍","全日勤"  )  )  )  )  )  )  )  )  )  )  ),"")</f>
        <v>全日勤</v>
      </c>
      <c r="T71" s="66" t="str">
        <f>IF(   (ROW(BF30)-1)&lt;=暫1!$B$2,           IF(  AND(  OR(  T30="x",T30="補"  ), OR(  U30 ="x",U30="補",U30="x榮18-22",U30="x公18-22",U30="x榮22-08"  ), $AP30 =""),"全日休",  IF(  AND(  OR(  T30="x",T30="病"  ), OR(  U30 ="病"  ), $AP30 =""),"病(事)假",  IF(  AND(  OR(  T30="x",T30="補"  ), OR(  U30 ="補"  ), $AP30 =""),"補休",  IF(  AND(  OR(  T30="x",T30="喪"  ), OR(  U30 ="喪"  ), $AP30 =""),"喪假",  IF(  AND(  OR(  T30="x",T30="婚",T30="產"  ), OR(  U30 ="婚",U30="產"  ), $AP30 =""),"婚(產)假",  IF(  AND(  OR(  T30="x",T30="公"  ), OR(  U30 ="公"  ), $AP30 =""),"公假",  IF(  AND(  OR(  T30="x",T30="補",T30="婚",T30="公",T30="病",T30="事",T30="x榮18-22"  ),OR(U30=""), $AP30 =""  ),"18收",  IF(  AND(  OR(  T30 ="榮14-18",T30 ="榮10-18",T30 ="榮06-18",T30 ="病14-18"  ),OR(  U30 ="x",U30="補",U30="婚",U30="公",U30="病",U30="事",U30="x"  ), $AP30 =""),"18放早走",  IF(  AND(  OR(  T30 =""),OR(  U30 ="x",U30="補",U30="婚",U30="公",U30="病",U30="事",U30="x榮*",U30="榮",U30="榮-22"  ), $AP30 =""),"18放",  IF(  AND(  OR(  T30="當日退伍"  ),OR(  U30="退伍",U30="退", U30=""  ), $AP30 =""),"當日退伍",  IF(AND(  OR(T30="退",T30="退伍" ), OR(U30="退",U30="退伍" ), $AP30 =""),"退伍","全日勤"  )  )  )  )  )  )  )  )  )  )  ),"")</f>
        <v>18放</v>
      </c>
      <c r="U71" s="66" t="str">
        <f>IF(   (ROW(BG30)-1)&lt;=暫1!$B$2,           IF(  AND(  OR(  U30="x",U30="補"  ), OR(  V30 ="x",V30="補",V30="x榮18-22",V30="x公18-22",V30="x榮22-08"  ), $AP30 =""),"全日休",  IF(  AND(  OR(  U30="x",U30="病"  ), OR(  V30 ="病"  ), $AP30 =""),"病(事)假",  IF(  AND(  OR(  U30="x",U30="補"  ), OR(  V30 ="補"  ), $AP30 =""),"補休",  IF(  AND(  OR(  U30="x",U30="喪"  ), OR(  V30 ="喪"  ), $AP30 =""),"喪假",  IF(  AND(  OR(  U30="x",U30="婚",U30="產"  ), OR(  V30 ="婚",V30="產"  ), $AP30 =""),"婚(產)假",  IF(  AND(  OR(  U30="x",U30="公"  ), OR(  V30 ="公"  ), $AP30 =""),"公假",  IF(  AND(  OR(  U30="x",U30="補",U30="婚",U30="公",U30="病",U30="事",U30="x榮18-22"  ),OR(V30=""), $AP30 =""  ),"18收",  IF(  AND(  OR(  U30 ="榮14-18",U30 ="榮10-18",U30 ="榮06-18",U30 ="病14-18"  ),OR(  V30 ="x",V30="補",V30="婚",V30="公",V30="病",V30="事",V30="x"  ), $AP30 =""),"18放早走",  IF(  AND(  OR(  U30 =""),OR(  V30 ="x",V30="補",V30="婚",V30="公",V30="病",V30="事",V30="x榮*",V30="榮",V30="榮-22"  ), $AP30 =""),"18放",  IF(  AND(  OR(  U30="當日退伍"  ),OR(  V30="退伍",V30="退", V30=""  ), $AP30 =""),"當日退伍",  IF(AND(  OR(U30="退",U30="退伍" ), OR(V30="退",V30="退伍" ), $AP30 =""),"退伍","全日勤"  )  )  )  )  )  )  )  )  )  )  ),"")</f>
        <v>18收</v>
      </c>
      <c r="V71" s="66" t="str">
        <f>IF(   (ROW(BH30)-1)&lt;=暫1!$B$2,           IF(  AND(  OR(  V30="x",V30="補"  ), OR(  W30 ="x",W30="補",W30="x榮18-22",W30="x公18-22",W30="x榮22-08"  ), $AP30 =""),"全日休",  IF(  AND(  OR(  V30="x",V30="病"  ), OR(  W30 ="病"  ), $AP30 =""),"病(事)假",  IF(  AND(  OR(  V30="x",V30="補"  ), OR(  W30 ="補"  ), $AP30 =""),"補休",  IF(  AND(  OR(  V30="x",V30="喪"  ), OR(  W30 ="喪"  ), $AP30 =""),"喪假",  IF(  AND(  OR(  V30="x",V30="婚",V30="產"  ), OR(  W30 ="婚",W30="產"  ), $AP30 =""),"婚(產)假",  IF(  AND(  OR(  V30="x",V30="公"  ), OR(  W30 ="公"  ), $AP30 =""),"公假",  IF(  AND(  OR(  V30="x",V30="補",V30="婚",V30="公",V30="病",V30="事",V30="x榮18-22"  ),OR(W30=""), $AP30 =""  ),"18收",  IF(  AND(  OR(  V30 ="榮14-18",V30 ="榮10-18",V30 ="榮06-18",V30 ="病14-18"  ),OR(  W30 ="x",W30="補",W30="婚",W30="公",W30="病",W30="事",W30="x"  ), $AP30 =""),"18放早走",  IF(  AND(  OR(  V30 =""),OR(  W30 ="x",W30="補",W30="婚",W30="公",W30="病",W30="事",W30="x榮*",W30="榮",W30="榮-22"  ), $AP30 =""),"18放",  IF(  AND(  OR(  V30="當日退伍"  ),OR(  W30="退伍",W30="退", W30=""  ), $AP30 =""),"當日退伍",  IF(AND(  OR(V30="退",V30="退伍" ), OR(W30="退",W30="退伍" ), $AP30 =""),"退伍","全日勤"  )  )  )  )  )  )  )  )  )  )  ),"")</f>
        <v>全日勤</v>
      </c>
      <c r="W71" s="66" t="str">
        <f>IF(   (ROW(BI30)-1)&lt;=暫1!$B$2,           IF(  AND(  OR(  W30="x",W30="補"  ), OR(  X30 ="x",X30="補",X30="x榮18-22",X30="x公18-22",X30="x榮22-08"  ), $AP30 =""),"全日休",  IF(  AND(  OR(  W30="x",W30="病"  ), OR(  X30 ="病"  ), $AP30 =""),"病(事)假",  IF(  AND(  OR(  W30="x",W30="補"  ), OR(  X30 ="補"  ), $AP30 =""),"補休",  IF(  AND(  OR(  W30="x",W30="喪"  ), OR(  X30 ="喪"  ), $AP30 =""),"喪假",  IF(  AND(  OR(  W30="x",W30="婚",W30="產"  ), OR(  X30 ="婚",X30="產"  ), $AP30 =""),"婚(產)假",  IF(  AND(  OR(  W30="x",W30="公"  ), OR(  X30 ="公"  ), $AP30 =""),"公假",  IF(  AND(  OR(  W30="x",W30="補",W30="婚",W30="公",W30="病",W30="事",W30="x榮18-22"  ),OR(X30=""), $AP30 =""  ),"18收",  IF(  AND(  OR(  W30 ="榮14-18",W30 ="榮10-18",W30 ="榮06-18",W30 ="病14-18"  ),OR(  X30 ="x",X30="補",X30="婚",X30="公",X30="病",X30="事",X30="x"  ), $AP30 =""),"18放早走",  IF(  AND(  OR(  W30 =""),OR(  X30 ="x",X30="補",X30="婚",X30="公",X30="病",X30="事",X30="x榮*",X30="榮",X30="榮-22"  ), $AP30 =""),"18放",  IF(  AND(  OR(  W30="當日退伍"  ),OR(  X30="退伍",X30="退", X30=""  ), $AP30 =""),"當日退伍",  IF(AND(  OR(W30="退",W30="退伍" ), OR(X30="退",X30="退伍" ), $AP30 =""),"退伍","全日勤"  )  )  )  )  )  )  )  )  )  )  ),"")</f>
        <v>18收</v>
      </c>
      <c r="X71" s="66" t="str">
        <f>IF(   (ROW(BJ30)-1)&lt;=暫1!$B$2,           IF(  AND(  OR(  X30="x",X30="補"  ), OR(  Y30 ="x",Y30="補",Y30="x榮18-22",Y30="x公18-22",Y30="x榮22-08"  ), $AP30 =""),"全日休",  IF(  AND(  OR(  X30="x",X30="病"  ), OR(  Y30 ="病"  ), $AP30 =""),"病(事)假",  IF(  AND(  OR(  X30="x",X30="補"  ), OR(  Y30 ="補"  ), $AP30 =""),"補休",  IF(  AND(  OR(  X30="x",X30="喪"  ), OR(  Y30 ="喪"  ), $AP30 =""),"喪假",  IF(  AND(  OR(  X30="x",X30="婚",X30="產"  ), OR(  Y30 ="婚",Y30="產"  ), $AP30 =""),"婚(產)假",  IF(  AND(  OR(  X30="x",X30="公"  ), OR(  Y30 ="公"  ), $AP30 =""),"公假",  IF(  AND(  OR(  X30="x",X30="補",X30="婚",X30="公",X30="病",X30="事",X30="x榮18-22"  ),OR(Y30=""), $AP30 =""  ),"18收",  IF(  AND(  OR(  X30 ="榮14-18",X30 ="榮10-18",X30 ="榮06-18",X30 ="病14-18"  ),OR(  Y30 ="x",Y30="補",Y30="婚",Y30="公",Y30="病",Y30="事",Y30="x"  ), $AP30 =""),"18放早走",  IF(  AND(  OR(  X30 =""),OR(  Y30 ="x",Y30="補",Y30="婚",Y30="公",Y30="病",Y30="事",Y30="x榮*",Y30="榮",Y30="榮-22"  ), $AP30 =""),"18放",  IF(  AND(  OR(  X30="當日退伍"  ),OR(  Y30="退伍",Y30="退", Y30=""  ), $AP30 =""),"當日退伍",  IF(AND(  OR(X30="退",X30="退伍" ), OR(Y30="退",Y30="退伍" ), $AP30 =""),"退伍","全日勤"  )  )  )  )  )  )  )  )  )  )  ),"")</f>
        <v>全日勤</v>
      </c>
      <c r="Y71" s="66" t="str">
        <f>IF(   (ROW(BK30)-1)&lt;=暫1!$B$2,           IF(  AND(  OR(  Y30="x",Y30="補"  ), OR(  Z30 ="x",Z30="補",Z30="x榮18-22",Z30="x公18-22",Z30="x榮22-08"  ), $AP30 =""),"全日休",  IF(  AND(  OR(  Y30="x",Y30="病"  ), OR(  Z30 ="病"  ), $AP30 =""),"病(事)假",  IF(  AND(  OR(  Y30="x",Y30="補"  ), OR(  Z30 ="補"  ), $AP30 =""),"補休",  IF(  AND(  OR(  Y30="x",Y30="喪"  ), OR(  Z30 ="喪"  ), $AP30 =""),"喪假",  IF(  AND(  OR(  Y30="x",Y30="婚",Y30="產"  ), OR(  Z30 ="婚",Z30="產"  ), $AP30 =""),"婚(產)假",  IF(  AND(  OR(  Y30="x",Y30="公"  ), OR(  Z30 ="公"  ), $AP30 =""),"公假",  IF(  AND(  OR(  Y30="x",Y30="補",Y30="婚",Y30="公",Y30="病",Y30="事",Y30="x榮18-22"  ),OR(Z30=""), $AP30 =""  ),"18收",  IF(  AND(  OR(  Y30 ="榮14-18",Y30 ="榮10-18",Y30 ="榮06-18",Y30 ="病14-18"  ),OR(  Z30 ="x",Z30="補",Z30="婚",Z30="公",Z30="病",Z30="事",Z30="x"  ), $AP30 =""),"18放早走",  IF(  AND(  OR(  Y30 =""),OR(  Z30 ="x",Z30="補",Z30="婚",Z30="公",Z30="病",Z30="事",Z30="x榮*",Z30="榮",Z30="榮-22"  ), $AP30 =""),"18放",  IF(  AND(  OR(  Y30="當日退伍"  ),OR(  Z30="退伍",Z30="退", Z30=""  ), $AP30 =""),"當日退伍",  IF(AND(  OR(Y30="退",Y30="退伍" ), OR(Z30="退",Z30="退伍" ), $AP30 =""),"退伍","全日勤"  )  )  )  )  )  )  )  )  )  )  ),"")</f>
        <v>全日勤</v>
      </c>
      <c r="Z71" s="66" t="str">
        <f>IF(   (ROW(BL30)-1)&lt;=暫1!$B$2,           IF(  AND(  OR(  Z30="x",Z30="補"  ), OR(  AA30 ="x",AA30="補",AA30="x榮18-22",AA30="x公18-22",AA30="x榮22-08"  ), $AP30 =""),"全日休",  IF(  AND(  OR(  Z30="x",Z30="病"  ), OR(  AA30 ="病"  ), $AP30 =""),"病(事)假",  IF(  AND(  OR(  Z30="x",Z30="補"  ), OR(  AA30 ="補"  ), $AP30 =""),"補休",  IF(  AND(  OR(  Z30="x",Z30="喪"  ), OR(  AA30 ="喪"  ), $AP30 =""),"喪假",  IF(  AND(  OR(  Z30="x",Z30="婚",Z30="產"  ), OR(  AA30 ="婚",AA30="產"  ), $AP30 =""),"婚(產)假",  IF(  AND(  OR(  Z30="x",Z30="公"  ), OR(  AA30 ="公"  ), $AP30 =""),"公假",  IF(  AND(  OR(  Z30="x",Z30="補",Z30="婚",Z30="公",Z30="病",Z30="事",Z30="x榮18-22"  ),OR(AA30=""), $AP30 =""  ),"18收",  IF(  AND(  OR(  Z30 ="榮14-18",Z30 ="榮10-18",Z30 ="榮06-18",Z30 ="病14-18"  ),OR(  AA30 ="x",AA30="補",AA30="婚",AA30="公",AA30="病",AA30="事",AA30="x"  ), $AP30 =""),"18放早走",  IF(  AND(  OR(  Z30 =""),OR(  AA30 ="x",AA30="補",AA30="婚",AA30="公",AA30="病",AA30="事",AA30="x榮*",AA30="榮",AA30="榮-22"  ), $AP30 =""),"18放",  IF(  AND(  OR(  Z30="當日退伍"  ),OR(  AA30="退伍",AA30="退", AA30=""  ), $AP30 =""),"當日退伍",  IF(AND(  OR(Z30="退",Z30="退伍" ), OR(AA30="退",AA30="退伍" ), $AP30 =""),"退伍","全日勤"  )  )  )  )  )  )  )  )  )  )  ),"")</f>
        <v>全日勤</v>
      </c>
      <c r="AA71" s="66" t="str">
        <f>IF(   (ROW(BM30)-1)&lt;=暫1!$B$2,           IF(  AND(  OR(  AA30="x",AA30="補"  ), OR(  AB30 ="x",AB30="補",AB30="x榮18-22",AB30="x公18-22",AB30="x榮22-08"  ), $AP30 =""),"全日休",  IF(  AND(  OR(  AA30="x",AA30="病"  ), OR(  AB30 ="病"  ), $AP30 =""),"病(事)假",  IF(  AND(  OR(  AA30="x",AA30="補"  ), OR(  AB30 ="補"  ), $AP30 =""),"補休",  IF(  AND(  OR(  AA30="x",AA30="喪"  ), OR(  AB30 ="喪"  ), $AP30 =""),"喪假",  IF(  AND(  OR(  AA30="x",AA30="婚",AA30="產"  ), OR(  AB30 ="婚",AB30="產"  ), $AP30 =""),"婚(產)假",  IF(  AND(  OR(  AA30="x",AA30="公"  ), OR(  AB30 ="公"  ), $AP30 =""),"公假",  IF(  AND(  OR(  AA30="x",AA30="補",AA30="婚",AA30="公",AA30="病",AA30="事",AA30="x榮18-22"  ),OR(AB30=""), $AP30 =""  ),"18收",  IF(  AND(  OR(  AA30 ="榮14-18",AA30 ="榮10-18",AA30 ="榮06-18",AA30 ="病14-18"  ),OR(  AB30 ="x",AB30="補",AB30="婚",AB30="公",AB30="病",AB30="事",AB30="x"  ), $AP30 =""),"18放早走",  IF(  AND(  OR(  AA30 =""),OR(  AB30 ="x",AB30="補",AB30="婚",AB30="公",AB30="病",AB30="事",AB30="x榮*",AB30="榮",AB30="榮-22"  ), $AP30 =""),"18放",  IF(  AND(  OR(  AA30="當日退伍"  ),OR(  AB30="退伍",AB30="退", AB30=""  ), $AP30 =""),"當日退伍",  IF(AND(  OR(AA30="退",AA30="退伍" ), OR(AB30="退",AB30="退伍" ), $AP30 =""),"退伍","全日勤"  )  )  )  )  )  )  )  )  )  )  ),"")</f>
        <v>18放</v>
      </c>
      <c r="AB71" s="66" t="str">
        <f>IF(   (ROW(BN30)-1)&lt;=暫1!$B$2,           IF(  AND(  OR(  AB30="x",AB30="補"  ), OR(  AC30 ="x",AC30="補",AC30="x榮18-22",AC30="x公18-22",AC30="x榮22-08"  ), $AP30 =""),"全日休",  IF(  AND(  OR(  AB30="x",AB30="病"  ), OR(  AC30 ="病"  ), $AP30 =""),"病(事)假",  IF(  AND(  OR(  AB30="x",AB30="補"  ), OR(  AC30 ="補"  ), $AP30 =""),"補休",  IF(  AND(  OR(  AB30="x",AB30="喪"  ), OR(  AC30 ="喪"  ), $AP30 =""),"喪假",  IF(  AND(  OR(  AB30="x",AB30="婚",AB30="產"  ), OR(  AC30 ="婚",AC30="產"  ), $AP30 =""),"婚(產)假",  IF(  AND(  OR(  AB30="x",AB30="公"  ), OR(  AC30 ="公"  ), $AP30 =""),"公假",  IF(  AND(  OR(  AB30="x",AB30="補",AB30="婚",AB30="公",AB30="病",AB30="事",AB30="x榮18-22"  ),OR(AC30=""), $AP30 =""  ),"18收",  IF(  AND(  OR(  AB30 ="榮14-18",AB30 ="榮10-18",AB30 ="榮06-18",AB30 ="病14-18"  ),OR(  AC30 ="x",AC30="補",AC30="婚",AC30="公",AC30="病",AC30="事",AC30="x"  ), $AP30 =""),"18放早走",  IF(  AND(  OR(  AB30 =""),OR(  AC30 ="x",AC30="補",AC30="婚",AC30="公",AC30="病",AC30="事",AC30="x榮*",AC30="榮",AC30="榮-22"  ), $AP30 =""),"18放",  IF(  AND(  OR(  AB30="當日退伍"  ),OR(  AC30="退伍",AC30="退", AC30=""  ), $AP30 =""),"當日退伍",  IF(AND(  OR(AB30="退",AB30="退伍" ), OR(AC30="退",AC30="退伍" ), $AP30 =""),"退伍","全日勤"  )  )  )  )  )  )  )  )  )  )  ),"")</f>
        <v>18收</v>
      </c>
      <c r="AC71" s="66" t="str">
        <f>IF(   (ROW(BO30)-1)&lt;=暫1!$B$2,           IF(  AND(  OR(  AC30="x",AC30="補"  ), OR(  AD30 ="x",AD30="補",AD30="x榮18-22",AD30="x公18-22",AD30="x榮22-08"  ), $AP30 =""),"全日休",  IF(  AND(  OR(  AC30="x",AC30="病"  ), OR(  AD30 ="病"  ), $AP30 =""),"病(事)假",  IF(  AND(  OR(  AC30="x",AC30="補"  ), OR(  AD30 ="補"  ), $AP30 =""),"補休",  IF(  AND(  OR(  AC30="x",AC30="喪"  ), OR(  AD30 ="喪"  ), $AP30 =""),"喪假",  IF(  AND(  OR(  AC30="x",AC30="婚",AC30="產"  ), OR(  AD30 ="婚",AD30="產"  ), $AP30 =""),"婚(產)假",  IF(  AND(  OR(  AC30="x",AC30="公"  ), OR(  AD30 ="公"  ), $AP30 =""),"公假",  IF(  AND(  OR(  AC30="x",AC30="補",AC30="婚",AC30="公",AC30="病",AC30="事",AC30="x榮18-22"  ),OR(AD30=""), $AP30 =""  ),"18收",  IF(  AND(  OR(  AC30 ="榮14-18",AC30 ="榮10-18",AC30 ="榮06-18",AC30 ="病14-18"  ),OR(  AD30 ="x",AD30="補",AD30="婚",AD30="公",AD30="病",AD30="事",AD30="x"  ), $AP30 =""),"18放早走",  IF(  AND(  OR(  AC30 =""),OR(  AD30 ="x",AD30="補",AD30="婚",AD30="公",AD30="病",AD30="事",AD30="x榮*",AD30="榮",AD30="榮-22"  ), $AP30 =""),"18放",  IF(  AND(  OR(  AC30="當日退伍"  ),OR(  AD30="退伍",AD30="退", AD30=""  ), $AP30 =""),"當日退伍",  IF(AND(  OR(AC30="退",AC30="退伍" ), OR(AD30="退",AD30="退伍" ), $AP30 =""),"退伍","全日勤"  )  )  )  )  )  )  )  )  )  )  ),"")</f>
        <v>18放</v>
      </c>
      <c r="AD71" s="66" t="str">
        <f>IF(   (ROW(BP30)-1)&lt;=暫1!$B$2,           IF(  AND(  OR(  AD30="x",AD30="補"  ), OR(  AE30 ="x",AE30="補",AE30="x榮18-22",AE30="x公18-22",AE30="x榮22-08"  ), $AP30 =""),"全日休",  IF(  AND(  OR(  AD30="x",AD30="病"  ), OR(  AE30 ="病"  ), $AP30 =""),"病(事)假",  IF(  AND(  OR(  AD30="x",AD30="補"  ), OR(  AE30 ="補"  ), $AP30 =""),"補休",  IF(  AND(  OR(  AD30="x",AD30="喪"  ), OR(  AE30 ="喪"  ), $AP30 =""),"喪假",  IF(  AND(  OR(  AD30="x",AD30="婚",AD30="產"  ), OR(  AE30 ="婚",AE30="產"  ), $AP30 =""),"婚(產)假",  IF(  AND(  OR(  AD30="x",AD30="公"  ), OR(  AE30 ="公"  ), $AP30 =""),"公假",  IF(  AND(  OR(  AD30="x",AD30="補",AD30="婚",AD30="公",AD30="病",AD30="事",AD30="x榮18-22"  ),OR(AE30=""), $AP30 =""  ),"18收",  IF(  AND(  OR(  AD30 ="榮14-18",AD30 ="榮10-18",AD30 ="榮06-18",AD30 ="病14-18"  ),OR(  AE30 ="x",AE30="補",AE30="婚",AE30="公",AE30="病",AE30="事",AE30="x"  ), $AP30 =""),"18放早走",  IF(  AND(  OR(  AD30 =""),OR(  AE30 ="x",AE30="補",AE30="婚",AE30="公",AE30="病",AE30="事",AE30="x榮*",AE30="榮",AE30="榮-22"  ), $AP30 =""),"18放",  IF(  AND(  OR(  AD30="當日退伍"  ),OR(  AE30="退伍",AE30="退", AE30=""  ), $AP30 =""),"當日退伍",  IF(AND(  OR(AD30="退",AD30="退伍" ), OR(AE30="退",AE30="退伍" ), $AP30 =""),"退伍","全日勤"  )  )  )  )  )  )  )  )  )  )  ),"")</f>
        <v>18收</v>
      </c>
      <c r="AE71" s="66" t="str">
        <f>IF(   (ROW(BQ30)-1)&lt;=暫1!$B$2,           IF(  AND(  OR(  AE30="x",AE30="補"  ), OR(  AF30 ="x",AF30="補",AF30="x榮18-22",AF30="x公18-22",AF30="x榮22-08"  ), $AP30 =""),"全日休",  IF(  AND(  OR(  AE30="x",AE30="病"  ), OR(  AF30 ="病"  ), $AP30 =""),"病(事)假",  IF(  AND(  OR(  AE30="x",AE30="補"  ), OR(  AF30 ="補"  ), $AP30 =""),"補休",  IF(  AND(  OR(  AE30="x",AE30="喪"  ), OR(  AF30 ="喪"  ), $AP30 =""),"喪假",  IF(  AND(  OR(  AE30="x",AE30="婚",AE30="產"  ), OR(  AF30 ="婚",AF30="產"  ), $AP30 =""),"婚(產)假",  IF(  AND(  OR(  AE30="x",AE30="公"  ), OR(  AF30 ="公"  ), $AP30 =""),"公假",  IF(  AND(  OR(  AE30="x",AE30="補",AE30="婚",AE30="公",AE30="病",AE30="事",AE30="x榮18-22"  ),OR(AF30=""), $AP30 =""  ),"18收",  IF(  AND(  OR(  AE30 ="榮14-18",AE30 ="榮10-18",AE30 ="榮06-18",AE30 ="病14-18"  ),OR(  AF30 ="x",AF30="補",AF30="婚",AF30="公",AF30="病",AF30="事",AF30="x"  ), $AP30 =""),"18放早走",  IF(  AND(  OR(  AE30 =""),OR(  AF30 ="x",AF30="補",AF30="婚",AF30="公",AF30="病",AF30="事",AF30="x榮*",AF30="榮",AF30="榮-22"  ), $AP30 =""),"18放",  IF(  AND(  OR(  AE30="當日退伍"  ),OR(  AF30="退伍",AF30="退", AF30=""  ), $AP30 =""),"當日退伍",  IF(AND(  OR(AE30="退",AE30="退伍" ), OR(AF30="退",AF30="退伍" ), $AP30 =""),"退伍","全日勤"  )  )  )  )  )  )  )  )  )  )  ),"")</f>
        <v>全日勤</v>
      </c>
      <c r="AF71" s="66" t="str">
        <f>IF(   (ROW(BR30)-1)&lt;=暫1!$B$2,           IF(  AND(  OR(  AF30="x",AF30="補"  ), OR(  AG30 ="x",AG30="補",AG30="x榮18-22",AG30="x公18-22",AG30="x榮22-08"  ), $AP30 =""),"全日休",  IF(  AND(  OR(  AF30="x",AF30="病"  ), OR(  AG30 ="病"  ), $AP30 =""),"病(事)假",  IF(  AND(  OR(  AF30="x",AF30="補"  ), OR(  AG30 ="補"  ), $AP30 =""),"補休",  IF(  AND(  OR(  AF30="x",AF30="喪"  ), OR(  AG30 ="喪"  ), $AP30 =""),"喪假",  IF(  AND(  OR(  AF30="x",AF30="婚",AF30="產"  ), OR(  AG30 ="婚",AG30="產"  ), $AP30 =""),"婚(產)假",  IF(  AND(  OR(  AF30="x",AF30="公"  ), OR(  AG30 ="公"  ), $AP30 =""),"公假",  IF(  AND(  OR(  AF30="x",AF30="補",AF30="婚",AF30="公",AF30="病",AF30="事",AF30="x榮18-22"  ),OR(AG30=""), $AP30 =""  ),"18收",  IF(  AND(  OR(  AF30 ="榮14-18",AF30 ="榮10-18",AF30 ="榮06-18",AF30 ="病14-18"  ),OR(  AG30 ="x",AG30="補",AG30="婚",AG30="公",AG30="病",AG30="事",AG30="x"  ), $AP30 =""),"18放早走",  IF(  AND(  OR(  AF30 =""),OR(  AG30 ="x",AG30="補",AG30="婚",AG30="公",AG30="病",AG30="事",AG30="x榮*",AG30="榮",AG30="榮-22"  ), $AP30 =""),"18放",  IF(  AND(  OR(  AF30="當日退伍"  ),OR(  AG30="退伍",AG30="退", AG30=""  ), $AP30 =""),"當日退伍",  IF(AND(  OR(AF30="退",AF30="退伍" ), OR(AG30="退",AG30="退伍" ), $AP30 =""),"退伍","全日勤"  )  )  )  )  )  )  )  )  )  )  ),"")</f>
        <v>全日勤</v>
      </c>
      <c r="AG71" s="66" t="str">
        <f>IF(   (ROW(BS30)-1)&lt;=暫1!$B$2,           IF(  AND(  OR(  AG30="x",AG30="補"  ), OR(  AH30 ="x",AH30="補",AH30="x榮18-22",AH30="x公18-22",AH30="x榮22-08"  ), $AP30 =""),"全日休",  IF(  AND(  OR(  AG30="x",AG30="病"  ), OR(  AH30 ="病"  ), $AP30 =""),"病(事)假",  IF(  AND(  OR(  AG30="x",AG30="補"  ), OR(  AH30 ="補"  ), $AP30 =""),"補休",  IF(  AND(  OR(  AG30="x",AG30="喪"  ), OR(  AH30 ="喪"  ), $AP30 =""),"喪假",  IF(  AND(  OR(  AG30="x",AG30="婚",AG30="產"  ), OR(  AH30 ="婚",AH30="產"  ), $AP30 =""),"婚(產)假",  IF(  AND(  OR(  AG30="x",AG30="公"  ), OR(  AH30 ="公"  ), $AP30 =""),"公假",  IF(  AND(  OR(  AG30="x",AG30="補",AG30="婚",AG30="公",AG30="病",AG30="事",AG30="x榮18-22"  ),OR(AH30=""), $AP30 =""  ),"18收",  IF(  AND(  OR(  AG30 ="榮14-18",AG30 ="榮10-18",AG30 ="榮06-18",AG30 ="病14-18"  ),OR(  AH30 ="x",AH30="補",AH30="婚",AH30="公",AH30="病",AH30="事",AH30="x"  ), $AP30 =""),"18放早走",  IF(  AND(  OR(  AG30 =""),OR(  AH30 ="x",AH30="補",AH30="婚",AH30="公",AH30="病",AH30="事",AH30="x榮*",AH30="榮",AH30="榮-22"  ), $AP30 =""),"18放",  IF(  AND(  OR(  AG30="當日退伍"  ),OR(  AH30="退伍",AH30="退", AH30=""  ), $AP30 =""),"當日退伍",  IF(AND(  OR(AG30="退",AG30="退伍" ), OR(AH30="退",AH30="退伍" ), $AP30 =""),"退伍","全日勤"  )  )  )  )  )  )  )  )  )  )  ),"")</f>
        <v>全日勤</v>
      </c>
      <c r="AH71" s="66" t="str">
        <f>IF(   (ROW(BT30)-1)&lt;=暫1!$B$2,           IF(  AND(  OR(  AH30="x",AH30="補"  ), OR(  AI30 ="x",AI30="補",AI30="x榮18-22",AI30="x公18-22",AI30="x榮22-08"  ), $AP30 =""),"全日休",  IF(  AND(  OR(  AH30="x",AH30="病"  ), OR(  AI30 ="病"  ), $AP30 =""),"病(事)假",  IF(  AND(  OR(  AH30="x",AH30="補"  ), OR(  AI30 ="補"  ), $AP30 =""),"補休",  IF(  AND(  OR(  AH30="x",AH30="喪"  ), OR(  AI30 ="喪"  ), $AP30 =""),"喪假",  IF(  AND(  OR(  AH30="x",AH30="婚",AH30="產"  ), OR(  AI30 ="婚",AI30="產"  ), $AP30 =""),"婚(產)假",  IF(  AND(  OR(  AH30="x",AH30="公"  ), OR(  AI30 ="公"  ), $AP30 =""),"公假",  IF(  AND(  OR(  AH30="x",AH30="補",AH30="婚",AH30="公",AH30="病",AH30="事",AH30="x榮18-22"  ),OR(AI30=""), $AP30 =""  ),"18收",  IF(  AND(  OR(  AH30 ="榮14-18",AH30 ="榮10-18",AH30 ="榮06-18",AH30 ="病14-18"  ),OR(  AI30 ="x",AI30="補",AI30="婚",AI30="公",AI30="病",AI30="事",AI30="x"  ), $AP30 =""),"18放早走",  IF(  AND(  OR(  AH30 =""),OR(  AI30 ="x",AI30="補",AI30="婚",AI30="公",AI30="病",AI30="事",AI30="x榮*",AI30="榮",AI30="榮-22"  ), $AP30 =""),"18放",  IF(  AND(  OR(  AH30="當日退伍"  ),OR(  AI30="退伍",AI30="退", AI30=""  ), $AP30 =""),"當日退伍",  IF(AND(  OR(AH30="退",AH30="退伍" ), OR(AI30="退",AI30="退伍" ), $AP30 =""),"退伍","全日勤"  )  )  )  )  )  )  )  )  )  )  ),"")</f>
        <v>全日勤</v>
      </c>
      <c r="AI71" s="66" t="str">
        <f>IF(   (ROW(BU30)-1)&lt;=暫1!$B$2,           IF(  AND(  OR(  AI30="x",AI30="補"  ), OR(  AJ30 ="x",AJ30="補",AJ30="x榮18-22",AJ30="x公18-22",AJ30="x榮22-08"  ), $AP30 =""),"全日休",  IF(  AND(  OR(  AI30="x",AI30="病"  ), OR(  AJ30 ="病"  ), $AP30 =""),"病(事)假",  IF(  AND(  OR(  AI30="x",AI30="補"  ), OR(  AJ30 ="補"  ), $AP30 =""),"補休",  IF(  AND(  OR(  AI30="x",AI30="喪"  ), OR(  AJ30 ="喪"  ), $AP30 =""),"喪假",  IF(  AND(  OR(  AI30="x",AI30="婚",AI30="產"  ), OR(  AJ30 ="婚",AJ30="產"  ), $AP30 =""),"婚(產)假",  IF(  AND(  OR(  AI30="x",AI30="公"  ), OR(  AJ30 ="公"  ), $AP30 =""),"公假",  IF(  AND(  OR(  AI30="x",AI30="補",AI30="婚",AI30="公",AI30="病",AI30="事",AI30="x榮18-22"  ),OR(AJ30=""), $AP30 =""  ),"18收",  IF(  AND(  OR(  AI30 ="榮14-18",AI30 ="榮10-18",AI30 ="榮06-18",AI30 ="病14-18"  ),OR(  AJ30 ="x",AJ30="補",AJ30="婚",AJ30="公",AJ30="病",AJ30="事",AJ30="x"  ), $AP30 =""),"18放早走",  IF(  AND(  OR(  AI30 =""),OR(  AJ30 ="x",AJ30="補",AJ30="婚",AJ30="公",AJ30="病",AJ30="事",AJ30="x榮*",AJ30="榮",AJ30="榮-22"  ), $AP30 =""),"18放",  IF(  AND(  OR(  AI30="當日退伍"  ),OR(  AJ30="退伍",AJ30="退", AJ30=""  ), $AP30 =""),"當日退伍",  IF(AND(  OR(AI30="退",AI30="退伍" ), OR(AJ30="退",AJ30="退伍" ), $AP30 =""),"退伍","全日勤"  )  )  )  )  )  )  )  )  )  )  ),"")</f>
        <v>全日勤</v>
      </c>
      <c r="AJ71" s="66" t="str">
        <f>IF(   (ROW(BV30)-1)&lt;=暫1!$B$2,           IF(  AND(  OR(  AJ30="x",AJ30="補"  ), OR(  AK30 ="x",AK30="補",AK30="x榮18-22",AK30="x公18-22",AK30="x榮22-08"  ), $AP30 =""),"全日休",  IF(  AND(  OR(  AJ30="x",AJ30="病"  ), OR(  AK30 ="病"  ), $AP30 =""),"病(事)假",  IF(  AND(  OR(  AJ30="x",AJ30="補"  ), OR(  AK30 ="補"  ), $AP30 =""),"補休",  IF(  AND(  OR(  AJ30="x",AJ30="喪"  ), OR(  AK30 ="喪"  ), $AP30 =""),"喪假",  IF(  AND(  OR(  AJ30="x",AJ30="婚",AJ30="產"  ), OR(  AK30 ="婚",AK30="產"  ), $AP30 =""),"婚(產)假",  IF(  AND(  OR(  AJ30="x",AJ30="公"  ), OR(  AK30 ="公"  ), $AP30 =""),"公假",  IF(  AND(  OR(  AJ30="x",AJ30="補",AJ30="婚",AJ30="公",AJ30="病",AJ30="事",AJ30="x榮18-22"  ),OR(AK30=""), $AP30 =""  ),"18收",  IF(  AND(  OR(  AJ30 ="榮14-18",AJ30 ="榮10-18",AJ30 ="榮06-18",AJ30 ="病14-18"  ),OR(  AK30 ="x",AK30="補",AK30="婚",AK30="公",AK30="病",AK30="事",AK30="x"  ), $AP30 =""),"18放早走",  IF(  AND(  OR(  AJ30 =""),OR(  AK30 ="x",AK30="補",AK30="婚",AK30="公",AK30="病",AK30="事",AK30="x榮*",AK30="榮",AK30="榮-22"  ), $AP30 =""),"18放",  IF(  AND(  OR(  AJ30="當日退伍"  ),OR(  AK30="退伍",AK30="退", AK30=""  ), $AP30 =""),"當日退伍",  IF(AND(  OR(AJ30="退",AJ30="退伍" ), OR(AK30="退",AK30="退伍" ), $AP30 =""),"退伍","全日勤"  )  )  )  )  )  )  )  )  )  )  ),"")</f>
        <v>全日勤</v>
      </c>
      <c r="AO71" s="76"/>
      <c r="AP71" s="63"/>
      <c r="AU71" s="63"/>
      <c r="AY71" s="63"/>
      <c r="AZ71" s="63"/>
      <c r="BA71" s="63"/>
    </row>
    <row r="72" spans="1:55" ht="25.5" customHeight="1">
      <c r="A72" s="66">
        <f t="shared" si="4"/>
        <v>30</v>
      </c>
      <c r="B72" s="66" t="str">
        <f t="shared" si="6"/>
        <v>謝昕融</v>
      </c>
      <c r="C72" s="66" t="str">
        <f>IF(   (ROW(AO31)-1)&lt;=暫1!$B$2,           IF(  AND(  OR(  C31="x",C31="補"  ), OR(  D31 ="x",D31="補",D31="x榮18-22",D31="x公18-22",D31="x榮22-08"  ), $AP31 =""),"全日休",  IF(  AND(  OR(  C31="x",C31="病"  ), OR(  D31 ="病"  ), $AP31 =""),"病(事)假",  IF(  AND(  OR(  C31="x",C31="補"  ), OR(  D31 ="補"  ), $AP31 =""),"補休",  IF(  AND(  OR(  C31="x",C31="喪"  ), OR(  D31 ="喪"  ), $AP31 =""),"喪假",  IF(  AND(  OR(  C31="x",C31="婚",C31="產"  ), OR(  D31 ="婚",D31="產"  ), $AP31 =""),"婚(產)假",  IF(  AND(  OR(  C31="x",C31="公"  ), OR(  D31 ="公"  ), $AP31 =""),"公假",  IF(  AND(  OR(  C31="x",C31="補",C31="婚",C31="公",C31="病",C31="事",C31="x榮18-22"  ),OR(D31=""), $AP31 =""  ),"18收",  IF(  AND(  OR(  C31 ="榮14-18",C31 ="榮10-18",C31 ="榮06-18",C31 ="病14-18"  ),OR(  D31 ="x",D31="補",D31="婚",D31="公",D31="病",D31="事",D31="x"  ), $AP31 =""),"18放早走",  IF(  AND(  OR(  C31 =""),OR(  D31 ="x",D31="補",D31="婚",D31="公",D31="病",D31="事",D31="x榮*",D31="榮",D31="榮-22"  ), $AP31 =""),"18放",  IF(  AND(  OR(  C31="當日退伍"  ),OR(  D31="退伍",D31="退", D31=""  ), $AP31 =""),"當日退伍",  IF(AND(  OR(C31="退",C31="退伍" ), OR(D31="退",D31="退伍" ), $AP31 =""),"退伍","全日勤"  )  )  )  )  )  )  )  )  )  )  ),"")</f>
        <v>病(事)假</v>
      </c>
      <c r="D72" s="66" t="str">
        <f>IF(   (ROW(AP31)-1)&lt;=暫1!$B$2,           IF(  AND(  OR(  D31="x",D31="補"  ), OR(  E31 ="x",E31="補",E31="x榮18-22",E31="x公18-22",E31="x榮22-08"  ), $AP31 =""),"全日休",  IF(  AND(  OR(  D31="x",D31="病"  ), OR(  E31 ="病"  ), $AP31 =""),"病(事)假",  IF(  AND(  OR(  D31="x",D31="補"  ), OR(  E31 ="補"  ), $AP31 =""),"補休",  IF(  AND(  OR(  D31="x",D31="喪"  ), OR(  E31 ="喪"  ), $AP31 =""),"喪假",  IF(  AND(  OR(  D31="x",D31="婚",D31="產"  ), OR(  E31 ="婚",E31="產"  ), $AP31 =""),"婚(產)假",  IF(  AND(  OR(  D31="x",D31="公"  ), OR(  E31 ="公"  ), $AP31 =""),"公假",  IF(  AND(  OR(  D31="x",D31="補",D31="婚",D31="公",D31="病",D31="事",D31="x榮18-22"  ),OR(E31=""), $AP31 =""  ),"18收",  IF(  AND(  OR(  D31 ="榮14-18",D31 ="榮10-18",D31 ="榮06-18",D31 ="病14-18"  ),OR(  E31 ="x",E31="補",E31="婚",E31="公",E31="病",E31="事",E31="x"  ), $AP31 =""),"18放早走",  IF(  AND(  OR(  D31 =""),OR(  E31 ="x",E31="補",E31="婚",E31="公",E31="病",E31="事",E31="x榮*",E31="榮",E31="榮-22"  ), $AP31 =""),"18放",  IF(  AND(  OR(  D31="當日退伍"  ),OR(  E31="退伍",E31="退", E31=""  ), $AP31 =""),"當日退伍",  IF(AND(  OR(D31="退",D31="退伍" ), OR(E31="退",E31="退伍" ), $AP31 =""),"退伍","全日勤"  )  )  )  )  )  )  )  )  )  )  ),"")</f>
        <v>18收</v>
      </c>
      <c r="E72" s="66" t="str">
        <f>IF(   (ROW(AQ31)-1)&lt;=暫1!$B$2,           IF(  AND(  OR(  E31="x",E31="補"  ), OR(  F31 ="x",F31="補",F31="x榮18-22",F31="x公18-22",F31="x榮22-08"  ), $AP31 =""),"全日休",  IF(  AND(  OR(  E31="x",E31="病"  ), OR(  F31 ="病"  ), $AP31 =""),"病(事)假",  IF(  AND(  OR(  E31="x",E31="補"  ), OR(  F31 ="補"  ), $AP31 =""),"補休",  IF(  AND(  OR(  E31="x",E31="喪"  ), OR(  F31 ="喪"  ), $AP31 =""),"喪假",  IF(  AND(  OR(  E31="x",E31="婚",E31="產"  ), OR(  F31 ="婚",F31="產"  ), $AP31 =""),"婚(產)假",  IF(  AND(  OR(  E31="x",E31="公"  ), OR(  F31 ="公"  ), $AP31 =""),"公假",  IF(  AND(  OR(  E31="x",E31="補",E31="婚",E31="公",E31="病",E31="事",E31="x榮18-22"  ),OR(F31=""), $AP31 =""  ),"18收",  IF(  AND(  OR(  E31 ="榮14-18",E31 ="榮10-18",E31 ="榮06-18",E31 ="病14-18"  ),OR(  F31 ="x",F31="補",F31="婚",F31="公",F31="病",F31="事",F31="x"  ), $AP31 =""),"18放早走",  IF(  AND(  OR(  E31 =""),OR(  F31 ="x",F31="補",F31="婚",F31="公",F31="病",F31="事",F31="x榮*",F31="榮",F31="榮-22"  ), $AP31 =""),"18放",  IF(  AND(  OR(  E31="當日退伍"  ),OR(  F31="退伍",F31="退", F31=""  ), $AP31 =""),"當日退伍",  IF(AND(  OR(E31="退",E31="退伍" ), OR(F31="退",F31="退伍" ), $AP31 =""),"退伍","全日勤"  )  )  )  )  )  )  )  )  )  )  ),"")</f>
        <v>全日勤</v>
      </c>
      <c r="F72" s="66" t="str">
        <f>IF(   (ROW(AR31)-1)&lt;=暫1!$B$2,           IF(  AND(  OR(  F31="x",F31="補"  ), OR(  G31 ="x",G31="補",G31="x榮18-22",G31="x公18-22",G31="x榮22-08"  ), $AP31 =""),"全日休",  IF(  AND(  OR(  F31="x",F31="病"  ), OR(  G31 ="病"  ), $AP31 =""),"病(事)假",  IF(  AND(  OR(  F31="x",F31="補"  ), OR(  G31 ="補"  ), $AP31 =""),"補休",  IF(  AND(  OR(  F31="x",F31="喪"  ), OR(  G31 ="喪"  ), $AP31 =""),"喪假",  IF(  AND(  OR(  F31="x",F31="婚",F31="產"  ), OR(  G31 ="婚",G31="產"  ), $AP31 =""),"婚(產)假",  IF(  AND(  OR(  F31="x",F31="公"  ), OR(  G31 ="公"  ), $AP31 =""),"公假",  IF(  AND(  OR(  F31="x",F31="補",F31="婚",F31="公",F31="病",F31="事",F31="x榮18-22"  ),OR(G31=""), $AP31 =""  ),"18收",  IF(  AND(  OR(  F31 ="榮14-18",F31 ="榮10-18",F31 ="榮06-18",F31 ="病14-18"  ),OR(  G31 ="x",G31="補",G31="婚",G31="公",G31="病",G31="事",G31="x"  ), $AP31 =""),"18放早走",  IF(  AND(  OR(  F31 =""),OR(  G31 ="x",G31="補",G31="婚",G31="公",G31="病",G31="事",G31="x榮*",G31="榮",G31="榮-22"  ), $AP31 =""),"18放",  IF(  AND(  OR(  F31="當日退伍"  ),OR(  G31="退伍",G31="退", G31=""  ), $AP31 =""),"當日退伍",  IF(AND(  OR(F31="退",F31="退伍" ), OR(G31="退",G31="退伍" ), $AP31 =""),"退伍","全日勤"  )  )  )  )  )  )  )  )  )  )  ),"")</f>
        <v>全日勤</v>
      </c>
      <c r="G72" s="66" t="str">
        <f>IF(   (ROW(AS31)-1)&lt;=暫1!$B$2,           IF(  AND(  OR(  G31="x",G31="補"  ), OR(  H31 ="x",H31="補",H31="x榮18-22",H31="x公18-22",H31="x榮22-08"  ), $AP31 =""),"全日休",  IF(  AND(  OR(  G31="x",G31="病"  ), OR(  H31 ="病"  ), $AP31 =""),"病(事)假",  IF(  AND(  OR(  G31="x",G31="補"  ), OR(  H31 ="補"  ), $AP31 =""),"補休",  IF(  AND(  OR(  G31="x",G31="喪"  ), OR(  H31 ="喪"  ), $AP31 =""),"喪假",  IF(  AND(  OR(  G31="x",G31="婚",G31="產"  ), OR(  H31 ="婚",H31="產"  ), $AP31 =""),"婚(產)假",  IF(  AND(  OR(  G31="x",G31="公"  ), OR(  H31 ="公"  ), $AP31 =""),"公假",  IF(  AND(  OR(  G31="x",G31="補",G31="婚",G31="公",G31="病",G31="事",G31="x榮18-22"  ),OR(H31=""), $AP31 =""  ),"18收",  IF(  AND(  OR(  G31 ="榮14-18",G31 ="榮10-18",G31 ="榮06-18",G31 ="病14-18"  ),OR(  H31 ="x",H31="補",H31="婚",H31="公",H31="病",H31="事",H31="x"  ), $AP31 =""),"18放早走",  IF(  AND(  OR(  G31 =""),OR(  H31 ="x",H31="補",H31="婚",H31="公",H31="病",H31="事",H31="x榮*",H31="榮",H31="榮-22"  ), $AP31 =""),"18放",  IF(  AND(  OR(  G31="當日退伍"  ),OR(  H31="退伍",H31="退", H31=""  ), $AP31 =""),"當日退伍",  IF(AND(  OR(G31="退",G31="退伍" ), OR(H31="退",H31="退伍" ), $AP31 =""),"退伍","全日勤"  )  )  )  )  )  )  )  )  )  )  ),"")</f>
        <v>全日勤</v>
      </c>
      <c r="H72" s="66" t="str">
        <f>IF(   (ROW(AT31)-1)&lt;=暫1!$B$2,           IF(  AND(  OR(  H31="x",H31="補"  ), OR(  I31 ="x",I31="補",I31="x榮18-22",I31="x公18-22",I31="x榮22-08"  ), $AP31 =""),"全日休",  IF(  AND(  OR(  H31="x",H31="病"  ), OR(  I31 ="病"  ), $AP31 =""),"病(事)假",  IF(  AND(  OR(  H31="x",H31="補"  ), OR(  I31 ="補"  ), $AP31 =""),"補休",  IF(  AND(  OR(  H31="x",H31="喪"  ), OR(  I31 ="喪"  ), $AP31 =""),"喪假",  IF(  AND(  OR(  H31="x",H31="婚",H31="產"  ), OR(  I31 ="婚",I31="產"  ), $AP31 =""),"婚(產)假",  IF(  AND(  OR(  H31="x",H31="公"  ), OR(  I31 ="公"  ), $AP31 =""),"公假",  IF(  AND(  OR(  H31="x",H31="補",H31="婚",H31="公",H31="病",H31="事",H31="x榮18-22"  ),OR(I31=""), $AP31 =""  ),"18收",  IF(  AND(  OR(  H31 ="榮14-18",H31 ="榮10-18",H31 ="榮06-18",H31 ="病14-18"  ),OR(  I31 ="x",I31="補",I31="婚",I31="公",I31="病",I31="事",I31="x"  ), $AP31 =""),"18放早走",  IF(  AND(  OR(  H31 =""),OR(  I31 ="x",I31="補",I31="婚",I31="公",I31="病",I31="事",I31="x榮*",I31="榮",I31="榮-22"  ), $AP31 =""),"18放",  IF(  AND(  OR(  H31="當日退伍"  ),OR(  I31="退伍",I31="退", I31=""  ), $AP31 =""),"當日退伍",  IF(AND(  OR(H31="退",H31="退伍" ), OR(I31="退",I31="退伍" ), $AP31 =""),"退伍","全日勤"  )  )  )  )  )  )  )  )  )  )  ),"")</f>
        <v>全日勤</v>
      </c>
      <c r="I72" s="66" t="str">
        <f>IF(   (ROW(AU31)-1)&lt;=暫1!$B$2,           IF(  AND(  OR(  I31="x",I31="補"  ), OR(  J31 ="x",J31="補",J31="x榮18-22",J31="x公18-22",J31="x榮22-08"  ), $AP31 =""),"全日休",  IF(  AND(  OR(  I31="x",I31="病"  ), OR(  J31 ="病"  ), $AP31 =""),"病(事)假",  IF(  AND(  OR(  I31="x",I31="補"  ), OR(  J31 ="補"  ), $AP31 =""),"補休",  IF(  AND(  OR(  I31="x",I31="喪"  ), OR(  J31 ="喪"  ), $AP31 =""),"喪假",  IF(  AND(  OR(  I31="x",I31="婚",I31="產"  ), OR(  J31 ="婚",J31="產"  ), $AP31 =""),"婚(產)假",  IF(  AND(  OR(  I31="x",I31="公"  ), OR(  J31 ="公"  ), $AP31 =""),"公假",  IF(  AND(  OR(  I31="x",I31="補",I31="婚",I31="公",I31="病",I31="事",I31="x榮18-22"  ),OR(J31=""), $AP31 =""  ),"18收",  IF(  AND(  OR(  I31 ="榮14-18",I31 ="榮10-18",I31 ="榮06-18",I31 ="病14-18"  ),OR(  J31 ="x",J31="補",J31="婚",J31="公",J31="病",J31="事",J31="x"  ), $AP31 =""),"18放早走",  IF(  AND(  OR(  I31 =""),OR(  J31 ="x",J31="補",J31="婚",J31="公",J31="病",J31="事",J31="x榮*",J31="榮",J31="榮-22"  ), $AP31 =""),"18放",  IF(  AND(  OR(  I31="當日退伍"  ),OR(  J31="退伍",J31="退", J31=""  ), $AP31 =""),"當日退伍",  IF(AND(  OR(I31="退",I31="退伍" ), OR(J31="退",J31="退伍" ), $AP31 =""),"退伍","全日勤"  )  )  )  )  )  )  )  )  )  )  ),"")</f>
        <v>18放</v>
      </c>
      <c r="J72" s="66" t="str">
        <f>IF(   (ROW(AV31)-1)&lt;=暫1!$B$2,           IF(  AND(  OR(  J31="x",J31="補"  ), OR(  K31 ="x",K31="補",K31="x榮18-22",K31="x公18-22",K31="x榮22-08"  ), $AP31 =""),"全日休",  IF(  AND(  OR(  J31="x",J31="病"  ), OR(  K31 ="病"  ), $AP31 =""),"病(事)假",  IF(  AND(  OR(  J31="x",J31="補"  ), OR(  K31 ="補"  ), $AP31 =""),"補休",  IF(  AND(  OR(  J31="x",J31="喪"  ), OR(  K31 ="喪"  ), $AP31 =""),"喪假",  IF(  AND(  OR(  J31="x",J31="婚",J31="產"  ), OR(  K31 ="婚",K31="產"  ), $AP31 =""),"婚(產)假",  IF(  AND(  OR(  J31="x",J31="公"  ), OR(  K31 ="公"  ), $AP31 =""),"公假",  IF(  AND(  OR(  J31="x",J31="補",J31="婚",J31="公",J31="病",J31="事",J31="x榮18-22"  ),OR(K31=""), $AP31 =""  ),"18收",  IF(  AND(  OR(  J31 ="榮14-18",J31 ="榮10-18",J31 ="榮06-18",J31 ="病14-18"  ),OR(  K31 ="x",K31="補",K31="婚",K31="公",K31="病",K31="事",K31="x"  ), $AP31 =""),"18放早走",  IF(  AND(  OR(  J31 =""),OR(  K31 ="x",K31="補",K31="婚",K31="公",K31="病",K31="事",K31="x榮*",K31="榮",K31="榮-22"  ), $AP31 =""),"18放",  IF(  AND(  OR(  J31="當日退伍"  ),OR(  K31="退伍",K31="退", K31=""  ), $AP31 =""),"當日退伍",  IF(AND(  OR(J31="退",J31="退伍" ), OR(K31="退",K31="退伍" ), $AP31 =""),"退伍","全日勤"  )  )  )  )  )  )  )  )  )  )  ),"")</f>
        <v>全日休</v>
      </c>
      <c r="K72" s="66" t="str">
        <f>IF(   (ROW(AW31)-1)&lt;=暫1!$B$2,           IF(  AND(  OR(  K31="x",K31="補"  ), OR(  L31 ="x",L31="補",L31="x榮18-22",L31="x公18-22",L31="x榮22-08"  ), $AP31 =""),"全日休",  IF(  AND(  OR(  K31="x",K31="病"  ), OR(  L31 ="病"  ), $AP31 =""),"病(事)假",  IF(  AND(  OR(  K31="x",K31="補"  ), OR(  L31 ="補"  ), $AP31 =""),"補休",  IF(  AND(  OR(  K31="x",K31="喪"  ), OR(  L31 ="喪"  ), $AP31 =""),"喪假",  IF(  AND(  OR(  K31="x",K31="婚",K31="產"  ), OR(  L31 ="婚",L31="產"  ), $AP31 =""),"婚(產)假",  IF(  AND(  OR(  K31="x",K31="公"  ), OR(  L31 ="公"  ), $AP31 =""),"公假",  IF(  AND(  OR(  K31="x",K31="補",K31="婚",K31="公",K31="病",K31="事",K31="x榮18-22"  ),OR(L31=""), $AP31 =""  ),"18收",  IF(  AND(  OR(  K31 ="榮14-18",K31 ="榮10-18",K31 ="榮06-18",K31 ="病14-18"  ),OR(  L31 ="x",L31="補",L31="婚",L31="公",L31="病",L31="事",L31="x"  ), $AP31 =""),"18放早走",  IF(  AND(  OR(  K31 =""),OR(  L31 ="x",L31="補",L31="婚",L31="公",L31="病",L31="事",L31="x榮*",L31="榮",L31="榮-22"  ), $AP31 =""),"18放",  IF(  AND(  OR(  K31="當日退伍"  ),OR(  L31="退伍",L31="退", L31=""  ), $AP31 =""),"當日退伍",  IF(AND(  OR(K31="退",K31="退伍" ), OR(L31="退",L31="退伍" ), $AP31 =""),"退伍","全日勤"  )  )  )  )  )  )  )  )  )  )  ),"")</f>
        <v>全日休</v>
      </c>
      <c r="L72" s="66" t="str">
        <f>IF(   (ROW(AX31)-1)&lt;=暫1!$B$2,           IF(  AND(  OR(  L31="x",L31="補"  ), OR(  M31 ="x",M31="補",M31="x榮18-22",M31="x公18-22",M31="x榮22-08"  ), $AP31 =""),"全日休",  IF(  AND(  OR(  L31="x",L31="病"  ), OR(  M31 ="病"  ), $AP31 =""),"病(事)假",  IF(  AND(  OR(  L31="x",L31="補"  ), OR(  M31 ="補"  ), $AP31 =""),"補休",  IF(  AND(  OR(  L31="x",L31="喪"  ), OR(  M31 ="喪"  ), $AP31 =""),"喪假",  IF(  AND(  OR(  L31="x",L31="婚",L31="產"  ), OR(  M31 ="婚",M31="產"  ), $AP31 =""),"婚(產)假",  IF(  AND(  OR(  L31="x",L31="公"  ), OR(  M31 ="公"  ), $AP31 =""),"公假",  IF(  AND(  OR(  L31="x",L31="補",L31="婚",L31="公",L31="病",L31="事",L31="x榮18-22"  ),OR(M31=""), $AP31 =""  ),"18收",  IF(  AND(  OR(  L31 ="榮14-18",L31 ="榮10-18",L31 ="榮06-18",L31 ="病14-18"  ),OR(  M31 ="x",M31="補",M31="婚",M31="公",M31="病",M31="事",M31="x"  ), $AP31 =""),"18放早走",  IF(  AND(  OR(  L31 =""),OR(  M31 ="x",M31="補",M31="婚",M31="公",M31="病",M31="事",M31="x榮*",M31="榮",M31="榮-22"  ), $AP31 =""),"18放",  IF(  AND(  OR(  L31="當日退伍"  ),OR(  M31="退伍",M31="退", M31=""  ), $AP31 =""),"當日退伍",  IF(AND(  OR(L31="退",L31="退伍" ), OR(M31="退",M31="退伍" ), $AP31 =""),"退伍","全日勤"  )  )  )  )  )  )  )  )  )  )  ),"")</f>
        <v>全日休</v>
      </c>
      <c r="M72" s="66" t="str">
        <f>IF(   (ROW(AY31)-1)&lt;=暫1!$B$2,           IF(  AND(  OR(  M31="x",M31="補"  ), OR(  N31 ="x",N31="補",N31="x榮18-22",N31="x公18-22",N31="x榮22-08"  ), $AP31 =""),"全日休",  IF(  AND(  OR(  M31="x",M31="病"  ), OR(  N31 ="病"  ), $AP31 =""),"病(事)假",  IF(  AND(  OR(  M31="x",M31="補"  ), OR(  N31 ="補"  ), $AP31 =""),"補休",  IF(  AND(  OR(  M31="x",M31="喪"  ), OR(  N31 ="喪"  ), $AP31 =""),"喪假",  IF(  AND(  OR(  M31="x",M31="婚",M31="產"  ), OR(  N31 ="婚",N31="產"  ), $AP31 =""),"婚(產)假",  IF(  AND(  OR(  M31="x",M31="公"  ), OR(  N31 ="公"  ), $AP31 =""),"公假",  IF(  AND(  OR(  M31="x",M31="補",M31="婚",M31="公",M31="病",M31="事",M31="x榮18-22"  ),OR(N31=""), $AP31 =""  ),"18收",  IF(  AND(  OR(  M31 ="榮14-18",M31 ="榮10-18",M31 ="榮06-18",M31 ="病14-18"  ),OR(  N31 ="x",N31="補",N31="婚",N31="公",N31="病",N31="事",N31="x"  ), $AP31 =""),"18放早走",  IF(  AND(  OR(  M31 =""),OR(  N31 ="x",N31="補",N31="婚",N31="公",N31="病",N31="事",N31="x榮*",N31="榮",N31="榮-22"  ), $AP31 =""),"18放",  IF(  AND(  OR(  M31="當日退伍"  ),OR(  N31="退伍",N31="退", N31=""  ), $AP31 =""),"當日退伍",  IF(AND(  OR(M31="退",M31="退伍" ), OR(N31="退",N31="退伍" ), $AP31 =""),"退伍","全日勤"  )  )  )  )  )  )  )  )  )  )  ),"")</f>
        <v>全日休</v>
      </c>
      <c r="N72" s="66" t="str">
        <f>IF(   (ROW(AZ31)-1)&lt;=暫1!$B$2,           IF(  AND(  OR(  N31="x",N31="補"  ), OR(  O31 ="x",O31="補",O31="x榮18-22",O31="x公18-22",O31="x榮22-08"  ), $AP31 =""),"全日休",  IF(  AND(  OR(  N31="x",N31="病"  ), OR(  O31 ="病"  ), $AP31 =""),"病(事)假",  IF(  AND(  OR(  N31="x",N31="補"  ), OR(  O31 ="補"  ), $AP31 =""),"補休",  IF(  AND(  OR(  N31="x",N31="喪"  ), OR(  O31 ="喪"  ), $AP31 =""),"喪假",  IF(  AND(  OR(  N31="x",N31="婚",N31="產"  ), OR(  O31 ="婚",O31="產"  ), $AP31 =""),"婚(產)假",  IF(  AND(  OR(  N31="x",N31="公"  ), OR(  O31 ="公"  ), $AP31 =""),"公假",  IF(  AND(  OR(  N31="x",N31="補",N31="婚",N31="公",N31="病",N31="事",N31="x榮18-22"  ),OR(O31=""), $AP31 =""  ),"18收",  IF(  AND(  OR(  N31 ="榮14-18",N31 ="榮10-18",N31 ="榮06-18",N31 ="病14-18"  ),OR(  O31 ="x",O31="補",O31="婚",O31="公",O31="病",O31="事",O31="x"  ), $AP31 =""),"18放早走",  IF(  AND(  OR(  N31 =""),OR(  O31 ="x",O31="補",O31="婚",O31="公",O31="病",O31="事",O31="x榮*",O31="榮",O31="榮-22"  ), $AP31 =""),"18放",  IF(  AND(  OR(  N31="當日退伍"  ),OR(  O31="退伍",O31="退", O31=""  ), $AP31 =""),"當日退伍",  IF(AND(  OR(N31="退",N31="退伍" ), OR(O31="退",O31="退伍" ), $AP31 =""),"退伍","全日勤"  )  )  )  )  )  )  )  )  )  )  ),"")</f>
        <v>18收</v>
      </c>
      <c r="O72" s="66" t="str">
        <f>IF(   (ROW(BA31)-1)&lt;=暫1!$B$2,           IF(  AND(  OR(  O31="x",O31="補"  ), OR(  P31 ="x",P31="補",P31="x榮18-22",P31="x公18-22",P31="x榮22-08"  ), $AP31 =""),"全日休",  IF(  AND(  OR(  O31="x",O31="病"  ), OR(  P31 ="病"  ), $AP31 =""),"病(事)假",  IF(  AND(  OR(  O31="x",O31="補"  ), OR(  P31 ="補"  ), $AP31 =""),"補休",  IF(  AND(  OR(  O31="x",O31="喪"  ), OR(  P31 ="喪"  ), $AP31 =""),"喪假",  IF(  AND(  OR(  O31="x",O31="婚",O31="產"  ), OR(  P31 ="婚",P31="產"  ), $AP31 =""),"婚(產)假",  IF(  AND(  OR(  O31="x",O31="公"  ), OR(  P31 ="公"  ), $AP31 =""),"公假",  IF(  AND(  OR(  O31="x",O31="補",O31="婚",O31="公",O31="病",O31="事",O31="x榮18-22"  ),OR(P31=""), $AP31 =""  ),"18收",  IF(  AND(  OR(  O31 ="榮14-18",O31 ="榮10-18",O31 ="榮06-18",O31 ="病14-18"  ),OR(  P31 ="x",P31="補",P31="婚",P31="公",P31="病",P31="事",P31="x"  ), $AP31 =""),"18放早走",  IF(  AND(  OR(  O31 =""),OR(  P31 ="x",P31="補",P31="婚",P31="公",P31="病",P31="事",P31="x榮*",P31="榮",P31="榮-22"  ), $AP31 =""),"18放",  IF(  AND(  OR(  O31="當日退伍"  ),OR(  P31="退伍",P31="退", P31=""  ), $AP31 =""),"當日退伍",  IF(AND(  OR(O31="退",O31="退伍" ), OR(P31="退",P31="退伍" ), $AP31 =""),"退伍","全日勤"  )  )  )  )  )  )  )  )  )  )  ),"")</f>
        <v>全日勤</v>
      </c>
      <c r="P72" s="66" t="str">
        <f>IF(   (ROW(BB31)-1)&lt;=暫1!$B$2,           IF(  AND(  OR(  P31="x",P31="補"  ), OR(  Q31 ="x",Q31="補",Q31="x榮18-22",Q31="x公18-22",Q31="x榮22-08"  ), $AP31 =""),"全日休",  IF(  AND(  OR(  P31="x",P31="病"  ), OR(  Q31 ="病"  ), $AP31 =""),"病(事)假",  IF(  AND(  OR(  P31="x",P31="補"  ), OR(  Q31 ="補"  ), $AP31 =""),"補休",  IF(  AND(  OR(  P31="x",P31="喪"  ), OR(  Q31 ="喪"  ), $AP31 =""),"喪假",  IF(  AND(  OR(  P31="x",P31="婚",P31="產"  ), OR(  Q31 ="婚",Q31="產"  ), $AP31 =""),"婚(產)假",  IF(  AND(  OR(  P31="x",P31="公"  ), OR(  Q31 ="公"  ), $AP31 =""),"公假",  IF(  AND(  OR(  P31="x",P31="補",P31="婚",P31="公",P31="病",P31="事",P31="x榮18-22"  ),OR(Q31=""), $AP31 =""  ),"18收",  IF(  AND(  OR(  P31 ="榮14-18",P31 ="榮10-18",P31 ="榮06-18",P31 ="病14-18"  ),OR(  Q31 ="x",Q31="補",Q31="婚",Q31="公",Q31="病",Q31="事",Q31="x"  ), $AP31 =""),"18放早走",  IF(  AND(  OR(  P31 =""),OR(  Q31 ="x",Q31="補",Q31="婚",Q31="公",Q31="病",Q31="事",Q31="x榮*",Q31="榮",Q31="榮-22"  ), $AP31 =""),"18放",  IF(  AND(  OR(  P31="當日退伍"  ),OR(  Q31="退伍",Q31="退", Q31=""  ), $AP31 =""),"當日退伍",  IF(AND(  OR(P31="退",P31="退伍" ), OR(Q31="退",Q31="退伍" ), $AP31 =""),"退伍","全日勤"  )  )  )  )  )  )  )  )  )  )  ),"")</f>
        <v>全日勤</v>
      </c>
      <c r="Q72" s="66" t="str">
        <f>IF(   (ROW(BC31)-1)&lt;=暫1!$B$2,           IF(  AND(  OR(  Q31="x",Q31="補"  ), OR(  R31 ="x",R31="補",R31="x榮18-22",R31="x公18-22",R31="x榮22-08"  ), $AP31 =""),"全日休",  IF(  AND(  OR(  Q31="x",Q31="病"  ), OR(  R31 ="病"  ), $AP31 =""),"病(事)假",  IF(  AND(  OR(  Q31="x",Q31="補"  ), OR(  R31 ="補"  ), $AP31 =""),"補休",  IF(  AND(  OR(  Q31="x",Q31="喪"  ), OR(  R31 ="喪"  ), $AP31 =""),"喪假",  IF(  AND(  OR(  Q31="x",Q31="婚",Q31="產"  ), OR(  R31 ="婚",R31="產"  ), $AP31 =""),"婚(產)假",  IF(  AND(  OR(  Q31="x",Q31="公"  ), OR(  R31 ="公"  ), $AP31 =""),"公假",  IF(  AND(  OR(  Q31="x",Q31="補",Q31="婚",Q31="公",Q31="病",Q31="事",Q31="x榮18-22"  ),OR(R31=""), $AP31 =""  ),"18收",  IF(  AND(  OR(  Q31 ="榮14-18",Q31 ="榮10-18",Q31 ="榮06-18",Q31 ="病14-18"  ),OR(  R31 ="x",R31="補",R31="婚",R31="公",R31="病",R31="事",R31="x"  ), $AP31 =""),"18放早走",  IF(  AND(  OR(  Q31 =""),OR(  R31 ="x",R31="補",R31="婚",R31="公",R31="病",R31="事",R31="x榮*",R31="榮",R31="榮-22"  ), $AP31 =""),"18放",  IF(  AND(  OR(  Q31="當日退伍"  ),OR(  R31="退伍",R31="退", R31=""  ), $AP31 =""),"當日退伍",  IF(AND(  OR(Q31="退",Q31="退伍" ), OR(R31="退",R31="退伍" ), $AP31 =""),"退伍","全日勤"  )  )  )  )  )  )  )  )  )  )  ),"")</f>
        <v>全日勤</v>
      </c>
      <c r="R72" s="66" t="str">
        <f>IF(   (ROW(BD31)-1)&lt;=暫1!$B$2,           IF(  AND(  OR(  R31="x",R31="補"  ), OR(  S31 ="x",S31="補",S31="x榮18-22",S31="x公18-22",S31="x榮22-08"  ), $AP31 =""),"全日休",  IF(  AND(  OR(  R31="x",R31="病"  ), OR(  S31 ="病"  ), $AP31 =""),"病(事)假",  IF(  AND(  OR(  R31="x",R31="補"  ), OR(  S31 ="補"  ), $AP31 =""),"補休",  IF(  AND(  OR(  R31="x",R31="喪"  ), OR(  S31 ="喪"  ), $AP31 =""),"喪假",  IF(  AND(  OR(  R31="x",R31="婚",R31="產"  ), OR(  S31 ="婚",S31="產"  ), $AP31 =""),"婚(產)假",  IF(  AND(  OR(  R31="x",R31="公"  ), OR(  S31 ="公"  ), $AP31 =""),"公假",  IF(  AND(  OR(  R31="x",R31="補",R31="婚",R31="公",R31="病",R31="事",R31="x榮18-22"  ),OR(S31=""), $AP31 =""  ),"18收",  IF(  AND(  OR(  R31 ="榮14-18",R31 ="榮10-18",R31 ="榮06-18",R31 ="病14-18"  ),OR(  S31 ="x",S31="補",S31="婚",S31="公",S31="病",S31="事",S31="x"  ), $AP31 =""),"18放早走",  IF(  AND(  OR(  R31 =""),OR(  S31 ="x",S31="補",S31="婚",S31="公",S31="病",S31="事",S31="x榮*",S31="榮",S31="榮-22"  ), $AP31 =""),"18放",  IF(  AND(  OR(  R31="當日退伍"  ),OR(  S31="退伍",S31="退", S31=""  ), $AP31 =""),"當日退伍",  IF(AND(  OR(R31="退",R31="退伍" ), OR(S31="退",S31="退伍" ), $AP31 =""),"退伍","全日勤"  )  )  )  )  )  )  )  )  )  )  ),"")</f>
        <v>全日勤</v>
      </c>
      <c r="S72" s="66" t="str">
        <f>IF(   (ROW(BE31)-1)&lt;=暫1!$B$2,           IF(  AND(  OR(  S31="x",S31="補"  ), OR(  T31 ="x",T31="補",T31="x榮18-22",T31="x公18-22",T31="x榮22-08"  ), $AP31 =""),"全日休",  IF(  AND(  OR(  S31="x",S31="病"  ), OR(  T31 ="病"  ), $AP31 =""),"病(事)假",  IF(  AND(  OR(  S31="x",S31="補"  ), OR(  T31 ="補"  ), $AP31 =""),"補休",  IF(  AND(  OR(  S31="x",S31="喪"  ), OR(  T31 ="喪"  ), $AP31 =""),"喪假",  IF(  AND(  OR(  S31="x",S31="婚",S31="產"  ), OR(  T31 ="婚",T31="產"  ), $AP31 =""),"婚(產)假",  IF(  AND(  OR(  S31="x",S31="公"  ), OR(  T31 ="公"  ), $AP31 =""),"公假",  IF(  AND(  OR(  S31="x",S31="補",S31="婚",S31="公",S31="病",S31="事",S31="x榮18-22"  ),OR(T31=""), $AP31 =""  ),"18收",  IF(  AND(  OR(  S31 ="榮14-18",S31 ="榮10-18",S31 ="榮06-18",S31 ="病14-18"  ),OR(  T31 ="x",T31="補",T31="婚",T31="公",T31="病",T31="事",T31="x"  ), $AP31 =""),"18放早走",  IF(  AND(  OR(  S31 =""),OR(  T31 ="x",T31="補",T31="婚",T31="公",T31="病",T31="事",T31="x榮*",T31="榮",T31="榮-22"  ), $AP31 =""),"18放",  IF(  AND(  OR(  S31="當日退伍"  ),OR(  T31="退伍",T31="退", T31=""  ), $AP31 =""),"當日退伍",  IF(AND(  OR(S31="退",S31="退伍" ), OR(T31="退",T31="退伍" ), $AP31 =""),"退伍","全日勤"  )  )  )  )  )  )  )  )  )  )  ),"")</f>
        <v>18放</v>
      </c>
      <c r="T72" s="66" t="str">
        <f>IF(   (ROW(BF31)-1)&lt;=暫1!$B$2,           IF(  AND(  OR(  T31="x",T31="補"  ), OR(  U31 ="x",U31="補",U31="x榮18-22",U31="x公18-22",U31="x榮22-08"  ), $AP31 =""),"全日休",  IF(  AND(  OR(  T31="x",T31="病"  ), OR(  U31 ="病"  ), $AP31 =""),"病(事)假",  IF(  AND(  OR(  T31="x",T31="補"  ), OR(  U31 ="補"  ), $AP31 =""),"補休",  IF(  AND(  OR(  T31="x",T31="喪"  ), OR(  U31 ="喪"  ), $AP31 =""),"喪假",  IF(  AND(  OR(  T31="x",T31="婚",T31="產"  ), OR(  U31 ="婚",U31="產"  ), $AP31 =""),"婚(產)假",  IF(  AND(  OR(  T31="x",T31="公"  ), OR(  U31 ="公"  ), $AP31 =""),"公假",  IF(  AND(  OR(  T31="x",T31="補",T31="婚",T31="公",T31="病",T31="事",T31="x榮18-22"  ),OR(U31=""), $AP31 =""  ),"18收",  IF(  AND(  OR(  T31 ="榮14-18",T31 ="榮10-18",T31 ="榮06-18",T31 ="病14-18"  ),OR(  U31 ="x",U31="補",U31="婚",U31="公",U31="病",U31="事",U31="x"  ), $AP31 =""),"18放早走",  IF(  AND(  OR(  T31 =""),OR(  U31 ="x",U31="補",U31="婚",U31="公",U31="病",U31="事",U31="x榮*",U31="榮",U31="榮-22"  ), $AP31 =""),"18放",  IF(  AND(  OR(  T31="當日退伍"  ),OR(  U31="退伍",U31="退", U31=""  ), $AP31 =""),"當日退伍",  IF(AND(  OR(T31="退",T31="退伍" ), OR(U31="退",U31="退伍" ), $AP31 =""),"退伍","全日勤"  )  )  )  )  )  )  )  )  )  )  ),"")</f>
        <v>全日休</v>
      </c>
      <c r="U72" s="66" t="str">
        <f>IF(   (ROW(BG31)-1)&lt;=暫1!$B$2,           IF(  AND(  OR(  U31="x",U31="補"  ), OR(  V31 ="x",V31="補",V31="x榮18-22",V31="x公18-22",V31="x榮22-08"  ), $AP31 =""),"全日休",  IF(  AND(  OR(  U31="x",U31="病"  ), OR(  V31 ="病"  ), $AP31 =""),"病(事)假",  IF(  AND(  OR(  U31="x",U31="補"  ), OR(  V31 ="補"  ), $AP31 =""),"補休",  IF(  AND(  OR(  U31="x",U31="喪"  ), OR(  V31 ="喪"  ), $AP31 =""),"喪假",  IF(  AND(  OR(  U31="x",U31="婚",U31="產"  ), OR(  V31 ="婚",V31="產"  ), $AP31 =""),"婚(產)假",  IF(  AND(  OR(  U31="x",U31="公"  ), OR(  V31 ="公"  ), $AP31 =""),"公假",  IF(  AND(  OR(  U31="x",U31="補",U31="婚",U31="公",U31="病",U31="事",U31="x榮18-22"  ),OR(V31=""), $AP31 =""  ),"18收",  IF(  AND(  OR(  U31 ="榮14-18",U31 ="榮10-18",U31 ="榮06-18",U31 ="病14-18"  ),OR(  V31 ="x",V31="補",V31="婚",V31="公",V31="病",V31="事",V31="x"  ), $AP31 =""),"18放早走",  IF(  AND(  OR(  U31 =""),OR(  V31 ="x",V31="補",V31="婚",V31="公",V31="病",V31="事",V31="x榮*",V31="榮",V31="榮-22"  ), $AP31 =""),"18放",  IF(  AND(  OR(  U31="當日退伍"  ),OR(  V31="退伍",V31="退", V31=""  ), $AP31 =""),"當日退伍",  IF(AND(  OR(U31="退",U31="退伍" ), OR(V31="退",V31="退伍" ), $AP31 =""),"退伍","全日勤"  )  )  )  )  )  )  )  )  )  )  ),"")</f>
        <v>18收</v>
      </c>
      <c r="V72" s="66" t="str">
        <f>IF(   (ROW(BH31)-1)&lt;=暫1!$B$2,           IF(  AND(  OR(  V31="x",V31="補"  ), OR(  W31 ="x",W31="補",W31="x榮18-22",W31="x公18-22",W31="x榮22-08"  ), $AP31 =""),"全日休",  IF(  AND(  OR(  V31="x",V31="病"  ), OR(  W31 ="病"  ), $AP31 =""),"病(事)假",  IF(  AND(  OR(  V31="x",V31="補"  ), OR(  W31 ="補"  ), $AP31 =""),"補休",  IF(  AND(  OR(  V31="x",V31="喪"  ), OR(  W31 ="喪"  ), $AP31 =""),"喪假",  IF(  AND(  OR(  V31="x",V31="婚",V31="產"  ), OR(  W31 ="婚",W31="產"  ), $AP31 =""),"婚(產)假",  IF(  AND(  OR(  V31="x",V31="公"  ), OR(  W31 ="公"  ), $AP31 =""),"公假",  IF(  AND(  OR(  V31="x",V31="補",V31="婚",V31="公",V31="病",V31="事",V31="x榮18-22"  ),OR(W31=""), $AP31 =""  ),"18收",  IF(  AND(  OR(  V31 ="榮14-18",V31 ="榮10-18",V31 ="榮06-18",V31 ="病14-18"  ),OR(  W31 ="x",W31="補",W31="婚",W31="公",W31="病",W31="事",W31="x"  ), $AP31 =""),"18放早走",  IF(  AND(  OR(  V31 =""),OR(  W31 ="x",W31="補",W31="婚",W31="公",W31="病",W31="事",W31="x榮*",W31="榮",W31="榮-22"  ), $AP31 =""),"18放",  IF(  AND(  OR(  V31="當日退伍"  ),OR(  W31="退伍",W31="退", W31=""  ), $AP31 =""),"當日退伍",  IF(AND(  OR(V31="退",V31="退伍" ), OR(W31="退",W31="退伍" ), $AP31 =""),"退伍","全日勤"  )  )  )  )  )  )  )  )  )  )  ),"")</f>
        <v>全日勤</v>
      </c>
      <c r="W72" s="66" t="str">
        <f>IF(   (ROW(BI31)-1)&lt;=暫1!$B$2,           IF(  AND(  OR(  W31="x",W31="補"  ), OR(  X31 ="x",X31="補",X31="x榮18-22",X31="x公18-22",X31="x榮22-08"  ), $AP31 =""),"全日休",  IF(  AND(  OR(  W31="x",W31="病"  ), OR(  X31 ="病"  ), $AP31 =""),"病(事)假",  IF(  AND(  OR(  W31="x",W31="補"  ), OR(  X31 ="補"  ), $AP31 =""),"補休",  IF(  AND(  OR(  W31="x",W31="喪"  ), OR(  X31 ="喪"  ), $AP31 =""),"喪假",  IF(  AND(  OR(  W31="x",W31="婚",W31="產"  ), OR(  X31 ="婚",X31="產"  ), $AP31 =""),"婚(產)假",  IF(  AND(  OR(  W31="x",W31="公"  ), OR(  X31 ="公"  ), $AP31 =""),"公假",  IF(  AND(  OR(  W31="x",W31="補",W31="婚",W31="公",W31="病",W31="事",W31="x榮18-22"  ),OR(X31=""), $AP31 =""  ),"18收",  IF(  AND(  OR(  W31 ="榮14-18",W31 ="榮10-18",W31 ="榮06-18",W31 ="病14-18"  ),OR(  X31 ="x",X31="補",X31="婚",X31="公",X31="病",X31="事",X31="x"  ), $AP31 =""),"18放早走",  IF(  AND(  OR(  W31 =""),OR(  X31 ="x",X31="補",X31="婚",X31="公",X31="病",X31="事",X31="x榮*",X31="榮",X31="榮-22"  ), $AP31 =""),"18放",  IF(  AND(  OR(  W31="當日退伍"  ),OR(  X31="退伍",X31="退", X31=""  ), $AP31 =""),"當日退伍",  IF(AND(  OR(W31="退",W31="退伍" ), OR(X31="退",X31="退伍" ), $AP31 =""),"退伍","全日勤"  )  )  )  )  )  )  )  )  )  )  ),"")</f>
        <v>全日勤</v>
      </c>
      <c r="X72" s="66" t="str">
        <f>IF(   (ROW(BJ31)-1)&lt;=暫1!$B$2,           IF(  AND(  OR(  X31="x",X31="補"  ), OR(  Y31 ="x",Y31="補",Y31="x榮18-22",Y31="x公18-22",Y31="x榮22-08"  ), $AP31 =""),"全日休",  IF(  AND(  OR(  X31="x",X31="病"  ), OR(  Y31 ="病"  ), $AP31 =""),"病(事)假",  IF(  AND(  OR(  X31="x",X31="補"  ), OR(  Y31 ="補"  ), $AP31 =""),"補休",  IF(  AND(  OR(  X31="x",X31="喪"  ), OR(  Y31 ="喪"  ), $AP31 =""),"喪假",  IF(  AND(  OR(  X31="x",X31="婚",X31="產"  ), OR(  Y31 ="婚",Y31="產"  ), $AP31 =""),"婚(產)假",  IF(  AND(  OR(  X31="x",X31="公"  ), OR(  Y31 ="公"  ), $AP31 =""),"公假",  IF(  AND(  OR(  X31="x",X31="補",X31="婚",X31="公",X31="病",X31="事",X31="x榮18-22"  ),OR(Y31=""), $AP31 =""  ),"18收",  IF(  AND(  OR(  X31 ="榮14-18",X31 ="榮10-18",X31 ="榮06-18",X31 ="病14-18"  ),OR(  Y31 ="x",Y31="補",Y31="婚",Y31="公",Y31="病",Y31="事",Y31="x"  ), $AP31 =""),"18放早走",  IF(  AND(  OR(  X31 =""),OR(  Y31 ="x",Y31="補",Y31="婚",Y31="公",Y31="病",Y31="事",Y31="x榮*",Y31="榮",Y31="榮-22"  ), $AP31 =""),"18放",  IF(  AND(  OR(  X31="當日退伍"  ),OR(  Y31="退伍",Y31="退", Y31=""  ), $AP31 =""),"當日退伍",  IF(AND(  OR(X31="退",X31="退伍" ), OR(Y31="退",Y31="退伍" ), $AP31 =""),"退伍","全日勤"  )  )  )  )  )  )  )  )  )  )  ),"")</f>
        <v>全日勤</v>
      </c>
      <c r="Y72" s="66" t="str">
        <f>IF(   (ROW(BK31)-1)&lt;=暫1!$B$2,           IF(  AND(  OR(  Y31="x",Y31="補"  ), OR(  Z31 ="x",Z31="補",Z31="x榮18-22",Z31="x公18-22",Z31="x榮22-08"  ), $AP31 =""),"全日休",  IF(  AND(  OR(  Y31="x",Y31="病"  ), OR(  Z31 ="病"  ), $AP31 =""),"病(事)假",  IF(  AND(  OR(  Y31="x",Y31="補"  ), OR(  Z31 ="補"  ), $AP31 =""),"補休",  IF(  AND(  OR(  Y31="x",Y31="喪"  ), OR(  Z31 ="喪"  ), $AP31 =""),"喪假",  IF(  AND(  OR(  Y31="x",Y31="婚",Y31="產"  ), OR(  Z31 ="婚",Z31="產"  ), $AP31 =""),"婚(產)假",  IF(  AND(  OR(  Y31="x",Y31="公"  ), OR(  Z31 ="公"  ), $AP31 =""),"公假",  IF(  AND(  OR(  Y31="x",Y31="補",Y31="婚",Y31="公",Y31="病",Y31="事",Y31="x榮18-22"  ),OR(Z31=""), $AP31 =""  ),"18收",  IF(  AND(  OR(  Y31 ="榮14-18",Y31 ="榮10-18",Y31 ="榮06-18",Y31 ="病14-18"  ),OR(  Z31 ="x",Z31="補",Z31="婚",Z31="公",Z31="病",Z31="事",Z31="x"  ), $AP31 =""),"18放早走",  IF(  AND(  OR(  Y31 =""),OR(  Z31 ="x",Z31="補",Z31="婚",Z31="公",Z31="病",Z31="事",Z31="x榮*",Z31="榮",Z31="榮-22"  ), $AP31 =""),"18放",  IF(  AND(  OR(  Y31="當日退伍"  ),OR(  Z31="退伍",Z31="退", Z31=""  ), $AP31 =""),"當日退伍",  IF(AND(  OR(Y31="退",Y31="退伍" ), OR(Z31="退",Z31="退伍" ), $AP31 =""),"退伍","全日勤"  )  )  )  )  )  )  )  )  )  )  ),"")</f>
        <v>18放</v>
      </c>
      <c r="Z72" s="66" t="str">
        <f>IF(   (ROW(BL31)-1)&lt;=暫1!$B$2,           IF(  AND(  OR(  Z31="x",Z31="補"  ), OR(  AA31 ="x",AA31="補",AA31="x榮18-22",AA31="x公18-22",AA31="x榮22-08"  ), $AP31 =""),"全日休",  IF(  AND(  OR(  Z31="x",Z31="病"  ), OR(  AA31 ="病"  ), $AP31 =""),"病(事)假",  IF(  AND(  OR(  Z31="x",Z31="補"  ), OR(  AA31 ="補"  ), $AP31 =""),"補休",  IF(  AND(  OR(  Z31="x",Z31="喪"  ), OR(  AA31 ="喪"  ), $AP31 =""),"喪假",  IF(  AND(  OR(  Z31="x",Z31="婚",Z31="產"  ), OR(  AA31 ="婚",AA31="產"  ), $AP31 =""),"婚(產)假",  IF(  AND(  OR(  Z31="x",Z31="公"  ), OR(  AA31 ="公"  ), $AP31 =""),"公假",  IF(  AND(  OR(  Z31="x",Z31="補",Z31="婚",Z31="公",Z31="病",Z31="事",Z31="x榮18-22"  ),OR(AA31=""), $AP31 =""  ),"18收",  IF(  AND(  OR(  Z31 ="榮14-18",Z31 ="榮10-18",Z31 ="榮06-18",Z31 ="病14-18"  ),OR(  AA31 ="x",AA31="補",AA31="婚",AA31="公",AA31="病",AA31="事",AA31="x"  ), $AP31 =""),"18放早走",  IF(  AND(  OR(  Z31 =""),OR(  AA31 ="x",AA31="補",AA31="婚",AA31="公",AA31="病",AA31="事",AA31="x榮*",AA31="榮",AA31="榮-22"  ), $AP31 =""),"18放",  IF(  AND(  OR(  Z31="當日退伍"  ),OR(  AA31="退伍",AA31="退", AA31=""  ), $AP31 =""),"當日退伍",  IF(AND(  OR(Z31="退",Z31="退伍" ), OR(AA31="退",AA31="退伍" ), $AP31 =""),"退伍","全日勤"  )  )  )  )  )  )  )  )  )  )  ),"")</f>
        <v>全日休</v>
      </c>
      <c r="AA72" s="66" t="str">
        <f>IF(   (ROW(BM31)-1)&lt;=暫1!$B$2,           IF(  AND(  OR(  AA31="x",AA31="補"  ), OR(  AB31 ="x",AB31="補",AB31="x榮18-22",AB31="x公18-22",AB31="x榮22-08"  ), $AP31 =""),"全日休",  IF(  AND(  OR(  AA31="x",AA31="病"  ), OR(  AB31 ="病"  ), $AP31 =""),"病(事)假",  IF(  AND(  OR(  AA31="x",AA31="補"  ), OR(  AB31 ="補"  ), $AP31 =""),"補休",  IF(  AND(  OR(  AA31="x",AA31="喪"  ), OR(  AB31 ="喪"  ), $AP31 =""),"喪假",  IF(  AND(  OR(  AA31="x",AA31="婚",AA31="產"  ), OR(  AB31 ="婚",AB31="產"  ), $AP31 =""),"婚(產)假",  IF(  AND(  OR(  AA31="x",AA31="公"  ), OR(  AB31 ="公"  ), $AP31 =""),"公假",  IF(  AND(  OR(  AA31="x",AA31="補",AA31="婚",AA31="公",AA31="病",AA31="事",AA31="x榮18-22"  ),OR(AB31=""), $AP31 =""  ),"18收",  IF(  AND(  OR(  AA31 ="榮14-18",AA31 ="榮10-18",AA31 ="榮06-18",AA31 ="病14-18"  ),OR(  AB31 ="x",AB31="補",AB31="婚",AB31="公",AB31="病",AB31="事",AB31="x"  ), $AP31 =""),"18放早走",  IF(  AND(  OR(  AA31 =""),OR(  AB31 ="x",AB31="補",AB31="婚",AB31="公",AB31="病",AB31="事",AB31="x榮*",AB31="榮",AB31="榮-22"  ), $AP31 =""),"18放",  IF(  AND(  OR(  AA31="當日退伍"  ),OR(  AB31="退伍",AB31="退", AB31=""  ), $AP31 =""),"當日退伍",  IF(AND(  OR(AA31="退",AA31="退伍" ), OR(AB31="退",AB31="退伍" ), $AP31 =""),"退伍","全日勤"  )  )  )  )  )  )  )  )  )  )  ),"")</f>
        <v>全日休</v>
      </c>
      <c r="AB72" s="66" t="str">
        <f>IF(   (ROW(BN31)-1)&lt;=暫1!$B$2,           IF(  AND(  OR(  AB31="x",AB31="補"  ), OR(  AC31 ="x",AC31="補",AC31="x榮18-22",AC31="x公18-22",AC31="x榮22-08"  ), $AP31 =""),"全日休",  IF(  AND(  OR(  AB31="x",AB31="病"  ), OR(  AC31 ="病"  ), $AP31 =""),"病(事)假",  IF(  AND(  OR(  AB31="x",AB31="補"  ), OR(  AC31 ="補"  ), $AP31 =""),"補休",  IF(  AND(  OR(  AB31="x",AB31="喪"  ), OR(  AC31 ="喪"  ), $AP31 =""),"喪假",  IF(  AND(  OR(  AB31="x",AB31="婚",AB31="產"  ), OR(  AC31 ="婚",AC31="產"  ), $AP31 =""),"婚(產)假",  IF(  AND(  OR(  AB31="x",AB31="公"  ), OR(  AC31 ="公"  ), $AP31 =""),"公假",  IF(  AND(  OR(  AB31="x",AB31="補",AB31="婚",AB31="公",AB31="病",AB31="事",AB31="x榮18-22"  ),OR(AC31=""), $AP31 =""  ),"18收",  IF(  AND(  OR(  AB31 ="榮14-18",AB31 ="榮10-18",AB31 ="榮06-18",AB31 ="病14-18"  ),OR(  AC31 ="x",AC31="補",AC31="婚",AC31="公",AC31="病",AC31="事",AC31="x"  ), $AP31 =""),"18放早走",  IF(  AND(  OR(  AB31 =""),OR(  AC31 ="x",AC31="補",AC31="婚",AC31="公",AC31="病",AC31="事",AC31="x榮*",AC31="榮",AC31="榮-22"  ), $AP31 =""),"18放",  IF(  AND(  OR(  AB31="當日退伍"  ),OR(  AC31="退伍",AC31="退", AC31=""  ), $AP31 =""),"當日退伍",  IF(AND(  OR(AB31="退",AB31="退伍" ), OR(AC31="退",AC31="退伍" ), $AP31 =""),"退伍","全日勤"  )  )  )  )  )  )  )  )  )  )  ),"")</f>
        <v>18收</v>
      </c>
      <c r="AC72" s="66" t="str">
        <f>IF(   (ROW(BO31)-1)&lt;=暫1!$B$2,           IF(  AND(  OR(  AC31="x",AC31="補"  ), OR(  AD31 ="x",AD31="補",AD31="x榮18-22",AD31="x公18-22",AD31="x榮22-08"  ), $AP31 =""),"全日休",  IF(  AND(  OR(  AC31="x",AC31="病"  ), OR(  AD31 ="病"  ), $AP31 =""),"病(事)假",  IF(  AND(  OR(  AC31="x",AC31="補"  ), OR(  AD31 ="補"  ), $AP31 =""),"補休",  IF(  AND(  OR(  AC31="x",AC31="喪"  ), OR(  AD31 ="喪"  ), $AP31 =""),"喪假",  IF(  AND(  OR(  AC31="x",AC31="婚",AC31="產"  ), OR(  AD31 ="婚",AD31="產"  ), $AP31 =""),"婚(產)假",  IF(  AND(  OR(  AC31="x",AC31="公"  ), OR(  AD31 ="公"  ), $AP31 =""),"公假",  IF(  AND(  OR(  AC31="x",AC31="補",AC31="婚",AC31="公",AC31="病",AC31="事",AC31="x榮18-22"  ),OR(AD31=""), $AP31 =""  ),"18收",  IF(  AND(  OR(  AC31 ="榮14-18",AC31 ="榮10-18",AC31 ="榮06-18",AC31 ="病14-18"  ),OR(  AD31 ="x",AD31="補",AD31="婚",AD31="公",AD31="病",AD31="事",AD31="x"  ), $AP31 =""),"18放早走",  IF(  AND(  OR(  AC31 =""),OR(  AD31 ="x",AD31="補",AD31="婚",AD31="公",AD31="病",AD31="事",AD31="x榮*",AD31="榮",AD31="榮-22"  ), $AP31 =""),"18放",  IF(  AND(  OR(  AC31="當日退伍"  ),OR(  AD31="退伍",AD31="退", AD31=""  ), $AP31 =""),"當日退伍",  IF(AND(  OR(AC31="退",AC31="退伍" ), OR(AD31="退",AD31="退伍" ), $AP31 =""),"退伍","全日勤"  )  )  )  )  )  )  )  )  )  )  ),"")</f>
        <v>全日勤</v>
      </c>
      <c r="AD72" s="66" t="str">
        <f>IF(   (ROW(BP31)-1)&lt;=暫1!$B$2,           IF(  AND(  OR(  AD31="x",AD31="補"  ), OR(  AE31 ="x",AE31="補",AE31="x榮18-22",AE31="x公18-22",AE31="x榮22-08"  ), $AP31 =""),"全日休",  IF(  AND(  OR(  AD31="x",AD31="病"  ), OR(  AE31 ="病"  ), $AP31 =""),"病(事)假",  IF(  AND(  OR(  AD31="x",AD31="補"  ), OR(  AE31 ="補"  ), $AP31 =""),"補休",  IF(  AND(  OR(  AD31="x",AD31="喪"  ), OR(  AE31 ="喪"  ), $AP31 =""),"喪假",  IF(  AND(  OR(  AD31="x",AD31="婚",AD31="產"  ), OR(  AE31 ="婚",AE31="產"  ), $AP31 =""),"婚(產)假",  IF(  AND(  OR(  AD31="x",AD31="公"  ), OR(  AE31 ="公"  ), $AP31 =""),"公假",  IF(  AND(  OR(  AD31="x",AD31="補",AD31="婚",AD31="公",AD31="病",AD31="事",AD31="x榮18-22"  ),OR(AE31=""), $AP31 =""  ),"18收",  IF(  AND(  OR(  AD31 ="榮14-18",AD31 ="榮10-18",AD31 ="榮06-18",AD31 ="病14-18"  ),OR(  AE31 ="x",AE31="補",AE31="婚",AE31="公",AE31="病",AE31="事",AE31="x"  ), $AP31 =""),"18放早走",  IF(  AND(  OR(  AD31 =""),OR(  AE31 ="x",AE31="補",AE31="婚",AE31="公",AE31="病",AE31="事",AE31="x榮*",AE31="榮",AE31="榮-22"  ), $AP31 =""),"18放",  IF(  AND(  OR(  AD31="當日退伍"  ),OR(  AE31="退伍",AE31="退", AE31=""  ), $AP31 =""),"當日退伍",  IF(AND(  OR(AD31="退",AD31="退伍" ), OR(AE31="退",AE31="退伍" ), $AP31 =""),"退伍","全日勤"  )  )  )  )  )  )  )  )  )  )  ),"")</f>
        <v>全日勤</v>
      </c>
      <c r="AE72" s="66" t="str">
        <f>IF(   (ROW(BQ31)-1)&lt;=暫1!$B$2,           IF(  AND(  OR(  AE31="x",AE31="補"  ), OR(  AF31 ="x",AF31="補",AF31="x榮18-22",AF31="x公18-22",AF31="x榮22-08"  ), $AP31 =""),"全日休",  IF(  AND(  OR(  AE31="x",AE31="病"  ), OR(  AF31 ="病"  ), $AP31 =""),"病(事)假",  IF(  AND(  OR(  AE31="x",AE31="補"  ), OR(  AF31 ="補"  ), $AP31 =""),"補休",  IF(  AND(  OR(  AE31="x",AE31="喪"  ), OR(  AF31 ="喪"  ), $AP31 =""),"喪假",  IF(  AND(  OR(  AE31="x",AE31="婚",AE31="產"  ), OR(  AF31 ="婚",AF31="產"  ), $AP31 =""),"婚(產)假",  IF(  AND(  OR(  AE31="x",AE31="公"  ), OR(  AF31 ="公"  ), $AP31 =""),"公假",  IF(  AND(  OR(  AE31="x",AE31="補",AE31="婚",AE31="公",AE31="病",AE31="事",AE31="x榮18-22"  ),OR(AF31=""), $AP31 =""  ),"18收",  IF(  AND(  OR(  AE31 ="榮14-18",AE31 ="榮10-18",AE31 ="榮06-18",AE31 ="病14-18"  ),OR(  AF31 ="x",AF31="補",AF31="婚",AF31="公",AF31="病",AF31="事",AF31="x"  ), $AP31 =""),"18放早走",  IF(  AND(  OR(  AE31 =""),OR(  AF31 ="x",AF31="補",AF31="婚",AF31="公",AF31="病",AF31="事",AF31="x榮*",AF31="榮",AF31="榮-22"  ), $AP31 =""),"18放",  IF(  AND(  OR(  AE31="當日退伍"  ),OR(  AF31="退伍",AF31="退", AF31=""  ), $AP31 =""),"當日退伍",  IF(AND(  OR(AE31="退",AE31="退伍" ), OR(AF31="退",AF31="退伍" ), $AP31 =""),"退伍","全日勤"  )  )  )  )  )  )  )  )  )  )  ),"")</f>
        <v>全日勤</v>
      </c>
      <c r="AF72" s="66" t="str">
        <f>IF(   (ROW(BR31)-1)&lt;=暫1!$B$2,           IF(  AND(  OR(  AF31="x",AF31="補"  ), OR(  AG31 ="x",AG31="補",AG31="x榮18-22",AG31="x公18-22",AG31="x榮22-08"  ), $AP31 =""),"全日休",  IF(  AND(  OR(  AF31="x",AF31="病"  ), OR(  AG31 ="病"  ), $AP31 =""),"病(事)假",  IF(  AND(  OR(  AF31="x",AF31="補"  ), OR(  AG31 ="補"  ), $AP31 =""),"補休",  IF(  AND(  OR(  AF31="x",AF31="喪"  ), OR(  AG31 ="喪"  ), $AP31 =""),"喪假",  IF(  AND(  OR(  AF31="x",AF31="婚",AF31="產"  ), OR(  AG31 ="婚",AG31="產"  ), $AP31 =""),"婚(產)假",  IF(  AND(  OR(  AF31="x",AF31="公"  ), OR(  AG31 ="公"  ), $AP31 =""),"公假",  IF(  AND(  OR(  AF31="x",AF31="補",AF31="婚",AF31="公",AF31="病",AF31="事",AF31="x榮18-22"  ),OR(AG31=""), $AP31 =""  ),"18收",  IF(  AND(  OR(  AF31 ="榮14-18",AF31 ="榮10-18",AF31 ="榮06-18",AF31 ="病14-18"  ),OR(  AG31 ="x",AG31="補",AG31="婚",AG31="公",AG31="病",AG31="事",AG31="x"  ), $AP31 =""),"18放早走",  IF(  AND(  OR(  AF31 =""),OR(  AG31 ="x",AG31="補",AG31="婚",AG31="公",AG31="病",AG31="事",AG31="x榮*",AG31="榮",AG31="榮-22"  ), $AP31 =""),"18放",  IF(  AND(  OR(  AF31="當日退伍"  ),OR(  AG31="退伍",AG31="退", AG31=""  ), $AP31 =""),"當日退伍",  IF(AND(  OR(AF31="退",AF31="退伍" ), OR(AG31="退",AG31="退伍" ), $AP31 =""),"退伍","全日勤"  )  )  )  )  )  )  )  )  )  )  ),"")</f>
        <v>18放</v>
      </c>
      <c r="AG72" s="66" t="str">
        <f>IF(   (ROW(BS31)-1)&lt;=暫1!$B$2,           IF(  AND(  OR(  AG31="x",AG31="補"  ), OR(  AH31 ="x",AH31="補",AH31="x榮18-22",AH31="x公18-22",AH31="x榮22-08"  ), $AP31 =""),"全日休",  IF(  AND(  OR(  AG31="x",AG31="病"  ), OR(  AH31 ="病"  ), $AP31 =""),"病(事)假",  IF(  AND(  OR(  AG31="x",AG31="補"  ), OR(  AH31 ="補"  ), $AP31 =""),"補休",  IF(  AND(  OR(  AG31="x",AG31="喪"  ), OR(  AH31 ="喪"  ), $AP31 =""),"喪假",  IF(  AND(  OR(  AG31="x",AG31="婚",AG31="產"  ), OR(  AH31 ="婚",AH31="產"  ), $AP31 =""),"婚(產)假",  IF(  AND(  OR(  AG31="x",AG31="公"  ), OR(  AH31 ="公"  ), $AP31 =""),"公假",  IF(  AND(  OR(  AG31="x",AG31="補",AG31="婚",AG31="公",AG31="病",AG31="事",AG31="x榮18-22"  ),OR(AH31=""), $AP31 =""  ),"18收",  IF(  AND(  OR(  AG31 ="榮14-18",AG31 ="榮10-18",AG31 ="榮06-18",AG31 ="病14-18"  ),OR(  AH31 ="x",AH31="補",AH31="婚",AH31="公",AH31="病",AH31="事",AH31="x"  ), $AP31 =""),"18放早走",  IF(  AND(  OR(  AG31 =""),OR(  AH31 ="x",AH31="補",AH31="婚",AH31="公",AH31="病",AH31="事",AH31="x榮*",AH31="榮",AH31="榮-22"  ), $AP31 =""),"18放",  IF(  AND(  OR(  AG31="當日退伍"  ),OR(  AH31="退伍",AH31="退", AH31=""  ), $AP31 =""),"當日退伍",  IF(AND(  OR(AG31="退",AG31="退伍" ), OR(AH31="退",AH31="退伍" ), $AP31 =""),"退伍","全日勤"  )  )  )  )  )  )  )  )  )  )  ),"")</f>
        <v>18收</v>
      </c>
      <c r="AH72" s="66" t="str">
        <f>IF(   (ROW(BT31)-1)&lt;=暫1!$B$2,           IF(  AND(  OR(  AH31="x",AH31="補"  ), OR(  AI31 ="x",AI31="補",AI31="x榮18-22",AI31="x公18-22",AI31="x榮22-08"  ), $AP31 =""),"全日休",  IF(  AND(  OR(  AH31="x",AH31="病"  ), OR(  AI31 ="病"  ), $AP31 =""),"病(事)假",  IF(  AND(  OR(  AH31="x",AH31="補"  ), OR(  AI31 ="補"  ), $AP31 =""),"補休",  IF(  AND(  OR(  AH31="x",AH31="喪"  ), OR(  AI31 ="喪"  ), $AP31 =""),"喪假",  IF(  AND(  OR(  AH31="x",AH31="婚",AH31="產"  ), OR(  AI31 ="婚",AI31="產"  ), $AP31 =""),"婚(產)假",  IF(  AND(  OR(  AH31="x",AH31="公"  ), OR(  AI31 ="公"  ), $AP31 =""),"公假",  IF(  AND(  OR(  AH31="x",AH31="補",AH31="婚",AH31="公",AH31="病",AH31="事",AH31="x榮18-22"  ),OR(AI31=""), $AP31 =""  ),"18收",  IF(  AND(  OR(  AH31 ="榮14-18",AH31 ="榮10-18",AH31 ="榮06-18",AH31 ="病14-18"  ),OR(  AI31 ="x",AI31="補",AI31="婚",AI31="公",AI31="病",AI31="事",AI31="x"  ), $AP31 =""),"18放早走",  IF(  AND(  OR(  AH31 =""),OR(  AI31 ="x",AI31="補",AI31="婚",AI31="公",AI31="病",AI31="事",AI31="x榮*",AI31="榮",AI31="榮-22"  ), $AP31 =""),"18放",  IF(  AND(  OR(  AH31="當日退伍"  ),OR(  AI31="退伍",AI31="退", AI31=""  ), $AP31 =""),"當日退伍",  IF(AND(  OR(AH31="退",AH31="退伍" ), OR(AI31="退",AI31="退伍" ), $AP31 =""),"退伍","全日勤"  )  )  )  )  )  )  )  )  )  )  ),"")</f>
        <v>全日勤</v>
      </c>
      <c r="AI72" s="66" t="str">
        <f>IF(   (ROW(BU31)-1)&lt;=暫1!$B$2,           IF(  AND(  OR(  AI31="x",AI31="補"  ), OR(  AJ31 ="x",AJ31="補",AJ31="x榮18-22",AJ31="x公18-22",AJ31="x榮22-08"  ), $AP31 =""),"全日休",  IF(  AND(  OR(  AI31="x",AI31="病"  ), OR(  AJ31 ="病"  ), $AP31 =""),"病(事)假",  IF(  AND(  OR(  AI31="x",AI31="補"  ), OR(  AJ31 ="補"  ), $AP31 =""),"補休",  IF(  AND(  OR(  AI31="x",AI31="喪"  ), OR(  AJ31 ="喪"  ), $AP31 =""),"喪假",  IF(  AND(  OR(  AI31="x",AI31="婚",AI31="產"  ), OR(  AJ31 ="婚",AJ31="產"  ), $AP31 =""),"婚(產)假",  IF(  AND(  OR(  AI31="x",AI31="公"  ), OR(  AJ31 ="公"  ), $AP31 =""),"公假",  IF(  AND(  OR(  AI31="x",AI31="補",AI31="婚",AI31="公",AI31="病",AI31="事",AI31="x榮18-22"  ),OR(AJ31=""), $AP31 =""  ),"18收",  IF(  AND(  OR(  AI31 ="榮14-18",AI31 ="榮10-18",AI31 ="榮06-18",AI31 ="病14-18"  ),OR(  AJ31 ="x",AJ31="補",AJ31="婚",AJ31="公",AJ31="病",AJ31="事",AJ31="x"  ), $AP31 =""),"18放早走",  IF(  AND(  OR(  AI31 =""),OR(  AJ31 ="x",AJ31="補",AJ31="婚",AJ31="公",AJ31="病",AJ31="事",AJ31="x榮*",AJ31="榮",AJ31="榮-22"  ), $AP31 =""),"18放",  IF(  AND(  OR(  AI31="當日退伍"  ),OR(  AJ31="退伍",AJ31="退", AJ31=""  ), $AP31 =""),"當日退伍",  IF(AND(  OR(AI31="退",AI31="退伍" ), OR(AJ31="退",AJ31="退伍" ), $AP31 =""),"退伍","全日勤"  )  )  )  )  )  )  )  )  )  )  ),"")</f>
        <v>全日勤</v>
      </c>
      <c r="AJ72" s="66" t="str">
        <f>IF(   (ROW(BV31)-1)&lt;=暫1!$B$2,           IF(  AND(  OR(  AJ31="x",AJ31="補"  ), OR(  AK31 ="x",AK31="補",AK31="x榮18-22",AK31="x公18-22",AK31="x榮22-08"  ), $AP31 =""),"全日休",  IF(  AND(  OR(  AJ31="x",AJ31="病"  ), OR(  AK31 ="病"  ), $AP31 =""),"病(事)假",  IF(  AND(  OR(  AJ31="x",AJ31="補"  ), OR(  AK31 ="補"  ), $AP31 =""),"補休",  IF(  AND(  OR(  AJ31="x",AJ31="喪"  ), OR(  AK31 ="喪"  ), $AP31 =""),"喪假",  IF(  AND(  OR(  AJ31="x",AJ31="婚",AJ31="產"  ), OR(  AK31 ="婚",AK31="產"  ), $AP31 =""),"婚(產)假",  IF(  AND(  OR(  AJ31="x",AJ31="公"  ), OR(  AK31 ="公"  ), $AP31 =""),"公假",  IF(  AND(  OR(  AJ31="x",AJ31="補",AJ31="婚",AJ31="公",AJ31="病",AJ31="事",AJ31="x榮18-22"  ),OR(AK31=""), $AP31 =""  ),"18收",  IF(  AND(  OR(  AJ31 ="榮14-18",AJ31 ="榮10-18",AJ31 ="榮06-18",AJ31 ="病14-18"  ),OR(  AK31 ="x",AK31="補",AK31="婚",AK31="公",AK31="病",AK31="事",AK31="x"  ), $AP31 =""),"18放早走",  IF(  AND(  OR(  AJ31 =""),OR(  AK31 ="x",AK31="補",AK31="婚",AK31="公",AK31="病",AK31="事",AK31="x榮*",AK31="榮",AK31="榮-22"  ), $AP31 =""),"18放",  IF(  AND(  OR(  AJ31="當日退伍"  ),OR(  AK31="退伍",AK31="退", AK31=""  ), $AP31 =""),"當日退伍",  IF(AND(  OR(AJ31="退",AJ31="退伍" ), OR(AK31="退",AK31="退伍" ), $AP31 =""),"退伍","全日勤"  )  )  )  )  )  )  )  )  )  )  ),"")</f>
        <v>全日勤</v>
      </c>
      <c r="AO72" s="76"/>
      <c r="AP72" s="63"/>
      <c r="AU72" s="63"/>
      <c r="AY72" s="63"/>
      <c r="AZ72" s="63"/>
      <c r="BA72" s="63"/>
    </row>
    <row r="73" spans="1:55" ht="25.5" customHeight="1">
      <c r="A73" s="66">
        <f t="shared" si="4"/>
        <v>31</v>
      </c>
      <c r="B73" s="66" t="str">
        <f t="shared" si="6"/>
        <v>許峰銘</v>
      </c>
      <c r="C73" s="66" t="str">
        <f>IF(   (ROW(AO32)-1)&lt;=暫1!$B$2,           IF(  AND(  OR(  C32="x",C32="補"  ), OR(  D32 ="x",D32="補",D32="x榮18-22",D32="x公18-22",D32="x榮22-08"  ), $AP32 =""),"全日休",  IF(  AND(  OR(  C32="x",C32="病"  ), OR(  D32 ="病"  ), $AP32 =""),"病(事)假",  IF(  AND(  OR(  C32="x",C32="補"  ), OR(  D32 ="補"  ), $AP32 =""),"補休",  IF(  AND(  OR(  C32="x",C32="喪"  ), OR(  D32 ="喪"  ), $AP32 =""),"喪假",  IF(  AND(  OR(  C32="x",C32="婚",C32="產"  ), OR(  D32 ="婚",D32="產"  ), $AP32 =""),"婚(產)假",  IF(  AND(  OR(  C32="x",C32="公"  ), OR(  D32 ="公"  ), $AP32 =""),"公假",  IF(  AND(  OR(  C32="x",C32="補",C32="婚",C32="公",C32="病",C32="事",C32="x榮18-22"  ),OR(D32=""), $AP32 =""  ),"18收",  IF(  AND(  OR(  C32 ="榮14-18",C32 ="榮10-18",C32 ="榮06-18",C32 ="病14-18"  ),OR(  D32 ="x",D32="補",D32="婚",D32="公",D32="病",D32="事",D32="x"  ), $AP32 =""),"18放早走",  IF(  AND(  OR(  C32 =""),OR(  D32 ="x",D32="補",D32="婚",D32="公",D32="病",D32="事",D32="x榮*",D32="榮",D32="榮-22"  ), $AP32 =""),"18放",  IF(  AND(  OR(  C32="當日退伍"  ),OR(  D32="退伍",D32="退", D32=""  ), $AP32 =""),"當日退伍",  IF(AND(  OR(C32="退",C32="退伍" ), OR(D32="退",D32="退伍" ), $AP32 =""),"退伍","全日勤"  )  )  )  )  )  )  )  )  )  )  ),"")</f>
        <v>全日勤</v>
      </c>
      <c r="D73" s="66" t="str">
        <f>IF(   (ROW(AP32)-1)&lt;=暫1!$B$2,           IF(  AND(  OR(  D32="x",D32="補"  ), OR(  E32 ="x",E32="補",E32="x榮18-22",E32="x公18-22",E32="x榮22-08"  ), $AP32 =""),"全日休",  IF(  AND(  OR(  D32="x",D32="病"  ), OR(  E32 ="病"  ), $AP32 =""),"病(事)假",  IF(  AND(  OR(  D32="x",D32="補"  ), OR(  E32 ="補"  ), $AP32 =""),"補休",  IF(  AND(  OR(  D32="x",D32="喪"  ), OR(  E32 ="喪"  ), $AP32 =""),"喪假",  IF(  AND(  OR(  D32="x",D32="婚",D32="產"  ), OR(  E32 ="婚",E32="產"  ), $AP32 =""),"婚(產)假",  IF(  AND(  OR(  D32="x",D32="公"  ), OR(  E32 ="公"  ), $AP32 =""),"公假",  IF(  AND(  OR(  D32="x",D32="補",D32="婚",D32="公",D32="病",D32="事",D32="x榮18-22"  ),OR(E32=""), $AP32 =""  ),"18收",  IF(  AND(  OR(  D32 ="榮14-18",D32 ="榮10-18",D32 ="榮06-18",D32 ="病14-18"  ),OR(  E32 ="x",E32="補",E32="婚",E32="公",E32="病",E32="事",E32="x"  ), $AP32 =""),"18放早走",  IF(  AND(  OR(  D32 =""),OR(  E32 ="x",E32="補",E32="婚",E32="公",E32="病",E32="事",E32="x榮*",E32="榮",E32="榮-22"  ), $AP32 =""),"18放",  IF(  AND(  OR(  D32="當日退伍"  ),OR(  E32="退伍",E32="退", E32=""  ), $AP32 =""),"當日退伍",  IF(AND(  OR(D32="退",D32="退伍" ), OR(E32="退",E32="退伍" ), $AP32 =""),"退伍","全日勤"  )  )  )  )  )  )  )  )  )  )  ),"")</f>
        <v>全日勤</v>
      </c>
      <c r="E73" s="66" t="str">
        <f>IF(   (ROW(AQ32)-1)&lt;=暫1!$B$2,           IF(  AND(  OR(  E32="x",E32="補"  ), OR(  F32 ="x",F32="補",F32="x榮18-22",F32="x公18-22",F32="x榮22-08"  ), $AP32 =""),"全日休",  IF(  AND(  OR(  E32="x",E32="病"  ), OR(  F32 ="病"  ), $AP32 =""),"病(事)假",  IF(  AND(  OR(  E32="x",E32="補"  ), OR(  F32 ="補"  ), $AP32 =""),"補休",  IF(  AND(  OR(  E32="x",E32="喪"  ), OR(  F32 ="喪"  ), $AP32 =""),"喪假",  IF(  AND(  OR(  E32="x",E32="婚",E32="產"  ), OR(  F32 ="婚",F32="產"  ), $AP32 =""),"婚(產)假",  IF(  AND(  OR(  E32="x",E32="公"  ), OR(  F32 ="公"  ), $AP32 =""),"公假",  IF(  AND(  OR(  E32="x",E32="補",E32="婚",E32="公",E32="病",E32="事",E32="x榮18-22"  ),OR(F32=""), $AP32 =""  ),"18收",  IF(  AND(  OR(  E32 ="榮14-18",E32 ="榮10-18",E32 ="榮06-18",E32 ="病14-18"  ),OR(  F32 ="x",F32="補",F32="婚",F32="公",F32="病",F32="事",F32="x"  ), $AP32 =""),"18放早走",  IF(  AND(  OR(  E32 =""),OR(  F32 ="x",F32="補",F32="婚",F32="公",F32="病",F32="事",F32="x榮*",F32="榮",F32="榮-22"  ), $AP32 =""),"18放",  IF(  AND(  OR(  E32="當日退伍"  ),OR(  F32="退伍",F32="退", F32=""  ), $AP32 =""),"當日退伍",  IF(AND(  OR(E32="退",E32="退伍" ), OR(F32="退",F32="退伍" ), $AP32 =""),"退伍","全日勤"  )  )  )  )  )  )  )  )  )  )  ),"")</f>
        <v>18放早走</v>
      </c>
      <c r="F73" s="66" t="str">
        <f>IF(   (ROW(AR32)-1)&lt;=暫1!$B$2,           IF(  AND(  OR(  F32="x",F32="補"  ), OR(  G32 ="x",G32="補",G32="x榮18-22",G32="x公18-22",G32="x榮22-08"  ), $AP32 =""),"全日休",  IF(  AND(  OR(  F32="x",F32="病"  ), OR(  G32 ="病"  ), $AP32 =""),"病(事)假",  IF(  AND(  OR(  F32="x",F32="補"  ), OR(  G32 ="補"  ), $AP32 =""),"補休",  IF(  AND(  OR(  F32="x",F32="喪"  ), OR(  G32 ="喪"  ), $AP32 =""),"喪假",  IF(  AND(  OR(  F32="x",F32="婚",F32="產"  ), OR(  G32 ="婚",G32="產"  ), $AP32 =""),"婚(產)假",  IF(  AND(  OR(  F32="x",F32="公"  ), OR(  G32 ="公"  ), $AP32 =""),"公假",  IF(  AND(  OR(  F32="x",F32="補",F32="婚",F32="公",F32="病",F32="事",F32="x榮18-22"  ),OR(G32=""), $AP32 =""  ),"18收",  IF(  AND(  OR(  F32 ="榮14-18",F32 ="榮10-18",F32 ="榮06-18",F32 ="病14-18"  ),OR(  G32 ="x",G32="補",G32="婚",G32="公",G32="病",G32="事",G32="x"  ), $AP32 =""),"18放早走",  IF(  AND(  OR(  F32 =""),OR(  G32 ="x",G32="補",G32="婚",G32="公",G32="病",G32="事",G32="x榮*",G32="榮",G32="榮-22"  ), $AP32 =""),"18放",  IF(  AND(  OR(  F32="當日退伍"  ),OR(  G32="退伍",G32="退", G32=""  ), $AP32 =""),"當日退伍",  IF(AND(  OR(F32="退",F32="退伍" ), OR(G32="退",G32="退伍" ), $AP32 =""),"退伍","全日勤"  )  )  )  )  )  )  )  )  )  )  ),"")</f>
        <v>全日休</v>
      </c>
      <c r="G73" s="66" t="str">
        <f>IF(   (ROW(AS32)-1)&lt;=暫1!$B$2,           IF(  AND(  OR(  G32="x",G32="補"  ), OR(  H32 ="x",H32="補",H32="x榮18-22",H32="x公18-22",H32="x榮22-08"  ), $AP32 =""),"全日休",  IF(  AND(  OR(  G32="x",G32="病"  ), OR(  H32 ="病"  ), $AP32 =""),"病(事)假",  IF(  AND(  OR(  G32="x",G32="補"  ), OR(  H32 ="補"  ), $AP32 =""),"補休",  IF(  AND(  OR(  G32="x",G32="喪"  ), OR(  H32 ="喪"  ), $AP32 =""),"喪假",  IF(  AND(  OR(  G32="x",G32="婚",G32="產"  ), OR(  H32 ="婚",H32="產"  ), $AP32 =""),"婚(產)假",  IF(  AND(  OR(  G32="x",G32="公"  ), OR(  H32 ="公"  ), $AP32 =""),"公假",  IF(  AND(  OR(  G32="x",G32="補",G32="婚",G32="公",G32="病",G32="事",G32="x榮18-22"  ),OR(H32=""), $AP32 =""  ),"18收",  IF(  AND(  OR(  G32 ="榮14-18",G32 ="榮10-18",G32 ="榮06-18",G32 ="病14-18"  ),OR(  H32 ="x",H32="補",H32="婚",H32="公",H32="病",H32="事",H32="x"  ), $AP32 =""),"18放早走",  IF(  AND(  OR(  G32 =""),OR(  H32 ="x",H32="補",H32="婚",H32="公",H32="病",H32="事",H32="x榮*",H32="榮",H32="榮-22"  ), $AP32 =""),"18放",  IF(  AND(  OR(  G32="當日退伍"  ),OR(  H32="退伍",H32="退", H32=""  ), $AP32 =""),"當日退伍",  IF(AND(  OR(G32="退",G32="退伍" ), OR(H32="退",H32="退伍" ), $AP32 =""),"退伍","全日勤"  )  )  )  )  )  )  )  )  )  )  ),"")</f>
        <v>全日休</v>
      </c>
      <c r="H73" s="66" t="str">
        <f>IF(   (ROW(AT32)-1)&lt;=暫1!$B$2,           IF(  AND(  OR(  H32="x",H32="補"  ), OR(  I32 ="x",I32="補",I32="x榮18-22",I32="x公18-22",I32="x榮22-08"  ), $AP32 =""),"全日休",  IF(  AND(  OR(  H32="x",H32="病"  ), OR(  I32 ="病"  ), $AP32 =""),"病(事)假",  IF(  AND(  OR(  H32="x",H32="補"  ), OR(  I32 ="補"  ), $AP32 =""),"補休",  IF(  AND(  OR(  H32="x",H32="喪"  ), OR(  I32 ="喪"  ), $AP32 =""),"喪假",  IF(  AND(  OR(  H32="x",H32="婚",H32="產"  ), OR(  I32 ="婚",I32="產"  ), $AP32 =""),"婚(產)假",  IF(  AND(  OR(  H32="x",H32="公"  ), OR(  I32 ="公"  ), $AP32 =""),"公假",  IF(  AND(  OR(  H32="x",H32="補",H32="婚",H32="公",H32="病",H32="事",H32="x榮18-22"  ),OR(I32=""), $AP32 =""  ),"18收",  IF(  AND(  OR(  H32 ="榮14-18",H32 ="榮10-18",H32 ="榮06-18",H32 ="病14-18"  ),OR(  I32 ="x",I32="補",I32="婚",I32="公",I32="病",I32="事",I32="x"  ), $AP32 =""),"18放早走",  IF(  AND(  OR(  H32 =""),OR(  I32 ="x",I32="補",I32="婚",I32="公",I32="病",I32="事",I32="x榮*",I32="榮",I32="榮-22"  ), $AP32 =""),"18放",  IF(  AND(  OR(  H32="當日退伍"  ),OR(  I32="退伍",I32="退", I32=""  ), $AP32 =""),"當日退伍",  IF(AND(  OR(H32="退",H32="退伍" ), OR(I32="退",I32="退伍" ), $AP32 =""),"退伍","全日勤"  )  )  )  )  )  )  )  )  )  )  ),"")</f>
        <v>18收</v>
      </c>
      <c r="I73" s="66" t="str">
        <f>IF(   (ROW(AU32)-1)&lt;=暫1!$B$2,           IF(  AND(  OR(  I32="x",I32="補"  ), OR(  J32 ="x",J32="補",J32="x榮18-22",J32="x公18-22",J32="x榮22-08"  ), $AP32 =""),"全日休",  IF(  AND(  OR(  I32="x",I32="病"  ), OR(  J32 ="病"  ), $AP32 =""),"病(事)假",  IF(  AND(  OR(  I32="x",I32="補"  ), OR(  J32 ="補"  ), $AP32 =""),"補休",  IF(  AND(  OR(  I32="x",I32="喪"  ), OR(  J32 ="喪"  ), $AP32 =""),"喪假",  IF(  AND(  OR(  I32="x",I32="婚",I32="產"  ), OR(  J32 ="婚",J32="產"  ), $AP32 =""),"婚(產)假",  IF(  AND(  OR(  I32="x",I32="公"  ), OR(  J32 ="公"  ), $AP32 =""),"公假",  IF(  AND(  OR(  I32="x",I32="補",I32="婚",I32="公",I32="病",I32="事",I32="x榮18-22"  ),OR(J32=""), $AP32 =""  ),"18收",  IF(  AND(  OR(  I32 ="榮14-18",I32 ="榮10-18",I32 ="榮06-18",I32 ="病14-18"  ),OR(  J32 ="x",J32="補",J32="婚",J32="公",J32="病",J32="事",J32="x"  ), $AP32 =""),"18放早走",  IF(  AND(  OR(  I32 =""),OR(  J32 ="x",J32="補",J32="婚",J32="公",J32="病",J32="事",J32="x榮*",J32="榮",J32="榮-22"  ), $AP32 =""),"18放",  IF(  AND(  OR(  I32="當日退伍"  ),OR(  J32="退伍",J32="退", J32=""  ), $AP32 =""),"當日退伍",  IF(AND(  OR(I32="退",I32="退伍" ), OR(J32="退",J32="退伍" ), $AP32 =""),"退伍","全日勤"  )  )  )  )  )  )  )  )  )  )  ),"")</f>
        <v>全日勤</v>
      </c>
      <c r="J73" s="66" t="str">
        <f>IF(   (ROW(AV32)-1)&lt;=暫1!$B$2,           IF(  AND(  OR(  J32="x",J32="補"  ), OR(  K32 ="x",K32="補",K32="x榮18-22",K32="x公18-22",K32="x榮22-08"  ), $AP32 =""),"全日休",  IF(  AND(  OR(  J32="x",J32="病"  ), OR(  K32 ="病"  ), $AP32 =""),"病(事)假",  IF(  AND(  OR(  J32="x",J32="補"  ), OR(  K32 ="補"  ), $AP32 =""),"補休",  IF(  AND(  OR(  J32="x",J32="喪"  ), OR(  K32 ="喪"  ), $AP32 =""),"喪假",  IF(  AND(  OR(  J32="x",J32="婚",J32="產"  ), OR(  K32 ="婚",K32="產"  ), $AP32 =""),"婚(產)假",  IF(  AND(  OR(  J32="x",J32="公"  ), OR(  K32 ="公"  ), $AP32 =""),"公假",  IF(  AND(  OR(  J32="x",J32="補",J32="婚",J32="公",J32="病",J32="事",J32="x榮18-22"  ),OR(K32=""), $AP32 =""  ),"18收",  IF(  AND(  OR(  J32 ="榮14-18",J32 ="榮10-18",J32 ="榮06-18",J32 ="病14-18"  ),OR(  K32 ="x",K32="補",K32="婚",K32="公",K32="病",K32="事",K32="x"  ), $AP32 =""),"18放早走",  IF(  AND(  OR(  J32 =""),OR(  K32 ="x",K32="補",K32="婚",K32="公",K32="病",K32="事",K32="x榮*",K32="榮",K32="榮-22"  ), $AP32 =""),"18放",  IF(  AND(  OR(  J32="當日退伍"  ),OR(  K32="退伍",K32="退", K32=""  ), $AP32 =""),"當日退伍",  IF(AND(  OR(J32="退",J32="退伍" ), OR(K32="退",K32="退伍" ), $AP32 =""),"退伍","全日勤"  )  )  )  )  )  )  )  )  )  )  ),"")</f>
        <v>全日勤</v>
      </c>
      <c r="K73" s="66" t="str">
        <f>IF(   (ROW(AW32)-1)&lt;=暫1!$B$2,           IF(  AND(  OR(  K32="x",K32="補"  ), OR(  L32 ="x",L32="補",L32="x榮18-22",L32="x公18-22",L32="x榮22-08"  ), $AP32 =""),"全日休",  IF(  AND(  OR(  K32="x",K32="病"  ), OR(  L32 ="病"  ), $AP32 =""),"病(事)假",  IF(  AND(  OR(  K32="x",K32="補"  ), OR(  L32 ="補"  ), $AP32 =""),"補休",  IF(  AND(  OR(  K32="x",K32="喪"  ), OR(  L32 ="喪"  ), $AP32 =""),"喪假",  IF(  AND(  OR(  K32="x",K32="婚",K32="產"  ), OR(  L32 ="婚",L32="產"  ), $AP32 =""),"婚(產)假",  IF(  AND(  OR(  K32="x",K32="公"  ), OR(  L32 ="公"  ), $AP32 =""),"公假",  IF(  AND(  OR(  K32="x",K32="補",K32="婚",K32="公",K32="病",K32="事",K32="x榮18-22"  ),OR(L32=""), $AP32 =""  ),"18收",  IF(  AND(  OR(  K32 ="榮14-18",K32 ="榮10-18",K32 ="榮06-18",K32 ="病14-18"  ),OR(  L32 ="x",L32="補",L32="婚",L32="公",L32="病",L32="事",L32="x"  ), $AP32 =""),"18放早走",  IF(  AND(  OR(  K32 =""),OR(  L32 ="x",L32="補",L32="婚",L32="公",L32="病",L32="事",L32="x榮*",L32="榮",L32="榮-22"  ), $AP32 =""),"18放",  IF(  AND(  OR(  K32="當日退伍"  ),OR(  L32="退伍",L32="退", L32=""  ), $AP32 =""),"當日退伍",  IF(AND(  OR(K32="退",K32="退伍" ), OR(L32="退",L32="退伍" ), $AP32 =""),"退伍","全日勤"  )  )  )  )  )  )  )  )  )  )  ),"")</f>
        <v>全日勤</v>
      </c>
      <c r="L73" s="66" t="str">
        <f>IF(   (ROW(AX32)-1)&lt;=暫1!$B$2,           IF(  AND(  OR(  L32="x",L32="補"  ), OR(  M32 ="x",M32="補",M32="x榮18-22",M32="x公18-22",M32="x榮22-08"  ), $AP32 =""),"全日休",  IF(  AND(  OR(  L32="x",L32="病"  ), OR(  M32 ="病"  ), $AP32 =""),"病(事)假",  IF(  AND(  OR(  L32="x",L32="補"  ), OR(  M32 ="補"  ), $AP32 =""),"補休",  IF(  AND(  OR(  L32="x",L32="喪"  ), OR(  M32 ="喪"  ), $AP32 =""),"喪假",  IF(  AND(  OR(  L32="x",L32="婚",L32="產"  ), OR(  M32 ="婚",M32="產"  ), $AP32 =""),"婚(產)假",  IF(  AND(  OR(  L32="x",L32="公"  ), OR(  M32 ="公"  ), $AP32 =""),"公假",  IF(  AND(  OR(  L32="x",L32="補",L32="婚",L32="公",L32="病",L32="事",L32="x榮18-22"  ),OR(M32=""), $AP32 =""  ),"18收",  IF(  AND(  OR(  L32 ="榮14-18",L32 ="榮10-18",L32 ="榮06-18",L32 ="病14-18"  ),OR(  M32 ="x",M32="補",M32="婚",M32="公",M32="病",M32="事",M32="x"  ), $AP32 =""),"18放早走",  IF(  AND(  OR(  L32 =""),OR(  M32 ="x",M32="補",M32="婚",M32="公",M32="病",M32="事",M32="x榮*",M32="榮",M32="榮-22"  ), $AP32 =""),"18放",  IF(  AND(  OR(  L32="當日退伍"  ),OR(  M32="退伍",M32="退", M32=""  ), $AP32 =""),"當日退伍",  IF(AND(  OR(L32="退",L32="退伍" ), OR(M32="退",M32="退伍" ), $AP32 =""),"退伍","全日勤"  )  )  )  )  )  )  )  )  )  )  ),"")</f>
        <v>全日勤</v>
      </c>
      <c r="M73" s="66" t="str">
        <f>IF(   (ROW(AY32)-1)&lt;=暫1!$B$2,           IF(  AND(  OR(  M32="x",M32="補"  ), OR(  N32 ="x",N32="補",N32="x榮18-22",N32="x公18-22",N32="x榮22-08"  ), $AP32 =""),"全日休",  IF(  AND(  OR(  M32="x",M32="病"  ), OR(  N32 ="病"  ), $AP32 =""),"病(事)假",  IF(  AND(  OR(  M32="x",M32="補"  ), OR(  N32 ="補"  ), $AP32 =""),"補休",  IF(  AND(  OR(  M32="x",M32="喪"  ), OR(  N32 ="喪"  ), $AP32 =""),"喪假",  IF(  AND(  OR(  M32="x",M32="婚",M32="產"  ), OR(  N32 ="婚",N32="產"  ), $AP32 =""),"婚(產)假",  IF(  AND(  OR(  M32="x",M32="公"  ), OR(  N32 ="公"  ), $AP32 =""),"公假",  IF(  AND(  OR(  M32="x",M32="補",M32="婚",M32="公",M32="病",M32="事",M32="x榮18-22"  ),OR(N32=""), $AP32 =""  ),"18收",  IF(  AND(  OR(  M32 ="榮14-18",M32 ="榮10-18",M32 ="榮06-18",M32 ="病14-18"  ),OR(  N32 ="x",N32="補",N32="婚",N32="公",N32="病",N32="事",N32="x"  ), $AP32 =""),"18放早走",  IF(  AND(  OR(  M32 =""),OR(  N32 ="x",N32="補",N32="婚",N32="公",N32="病",N32="事",N32="x榮*",N32="榮",N32="榮-22"  ), $AP32 =""),"18放",  IF(  AND(  OR(  M32="當日退伍"  ),OR(  N32="退伍",N32="退", N32=""  ), $AP32 =""),"當日退伍",  IF(AND(  OR(M32="退",M32="退伍" ), OR(N32="退",N32="退伍" ), $AP32 =""),"退伍","全日勤"  )  )  )  )  )  )  )  )  )  )  ),"")</f>
        <v>18放</v>
      </c>
      <c r="N73" s="66" t="str">
        <f>IF(   (ROW(AZ32)-1)&lt;=暫1!$B$2,           IF(  AND(  OR(  N32="x",N32="補"  ), OR(  O32 ="x",O32="補",O32="x榮18-22",O32="x公18-22",O32="x榮22-08"  ), $AP32 =""),"全日休",  IF(  AND(  OR(  N32="x",N32="病"  ), OR(  O32 ="病"  ), $AP32 =""),"病(事)假",  IF(  AND(  OR(  N32="x",N32="補"  ), OR(  O32 ="補"  ), $AP32 =""),"補休",  IF(  AND(  OR(  N32="x",N32="喪"  ), OR(  O32 ="喪"  ), $AP32 =""),"喪假",  IF(  AND(  OR(  N32="x",N32="婚",N32="產"  ), OR(  O32 ="婚",O32="產"  ), $AP32 =""),"婚(產)假",  IF(  AND(  OR(  N32="x",N32="公"  ), OR(  O32 ="公"  ), $AP32 =""),"公假",  IF(  AND(  OR(  N32="x",N32="補",N32="婚",N32="公",N32="病",N32="事",N32="x榮18-22"  ),OR(O32=""), $AP32 =""  ),"18收",  IF(  AND(  OR(  N32 ="榮14-18",N32 ="榮10-18",N32 ="榮06-18",N32 ="病14-18"  ),OR(  O32 ="x",O32="補",O32="婚",O32="公",O32="病",O32="事",O32="x"  ), $AP32 =""),"18放早走",  IF(  AND(  OR(  N32 =""),OR(  O32 ="x",O32="補",O32="婚",O32="公",O32="病",O32="事",O32="x榮*",O32="榮",O32="榮-22"  ), $AP32 =""),"18放",  IF(  AND(  OR(  N32="當日退伍"  ),OR(  O32="退伍",O32="退", O32=""  ), $AP32 =""),"當日退伍",  IF(AND(  OR(N32="退",N32="退伍" ), OR(O32="退",O32="退伍" ), $AP32 =""),"退伍","全日勤"  )  )  )  )  )  )  )  )  )  )  ),"")</f>
        <v>全日休</v>
      </c>
      <c r="O73" s="66" t="str">
        <f>IF(   (ROW(BA32)-1)&lt;=暫1!$B$2,           IF(  AND(  OR(  O32="x",O32="補"  ), OR(  P32 ="x",P32="補",P32="x榮18-22",P32="x公18-22",P32="x榮22-08"  ), $AP32 =""),"全日休",  IF(  AND(  OR(  O32="x",O32="病"  ), OR(  P32 ="病"  ), $AP32 =""),"病(事)假",  IF(  AND(  OR(  O32="x",O32="補"  ), OR(  P32 ="補"  ), $AP32 =""),"補休",  IF(  AND(  OR(  O32="x",O32="喪"  ), OR(  P32 ="喪"  ), $AP32 =""),"喪假",  IF(  AND(  OR(  O32="x",O32="婚",O32="產"  ), OR(  P32 ="婚",P32="產"  ), $AP32 =""),"婚(產)假",  IF(  AND(  OR(  O32="x",O32="公"  ), OR(  P32 ="公"  ), $AP32 =""),"公假",  IF(  AND(  OR(  O32="x",O32="補",O32="婚",O32="公",O32="病",O32="事",O32="x榮18-22"  ),OR(P32=""), $AP32 =""  ),"18收",  IF(  AND(  OR(  O32 ="榮14-18",O32 ="榮10-18",O32 ="榮06-18",O32 ="病14-18"  ),OR(  P32 ="x",P32="補",P32="婚",P32="公",P32="病",P32="事",P32="x"  ), $AP32 =""),"18放早走",  IF(  AND(  OR(  O32 =""),OR(  P32 ="x",P32="補",P32="婚",P32="公",P32="病",P32="事",P32="x榮*",P32="榮",P32="榮-22"  ), $AP32 =""),"18放",  IF(  AND(  OR(  O32="當日退伍"  ),OR(  P32="退伍",P32="退", P32=""  ), $AP32 =""),"當日退伍",  IF(AND(  OR(O32="退",O32="退伍" ), OR(P32="退",P32="退伍" ), $AP32 =""),"退伍","全日勤"  )  )  )  )  )  )  )  )  )  )  ),"")</f>
        <v>18收</v>
      </c>
      <c r="P73" s="66" t="str">
        <f>IF(   (ROW(BB32)-1)&lt;=暫1!$B$2,           IF(  AND(  OR(  P32="x",P32="補"  ), OR(  Q32 ="x",Q32="補",Q32="x榮18-22",Q32="x公18-22",Q32="x榮22-08"  ), $AP32 =""),"全日休",  IF(  AND(  OR(  P32="x",P32="病"  ), OR(  Q32 ="病"  ), $AP32 =""),"病(事)假",  IF(  AND(  OR(  P32="x",P32="補"  ), OR(  Q32 ="補"  ), $AP32 =""),"補休",  IF(  AND(  OR(  P32="x",P32="喪"  ), OR(  Q32 ="喪"  ), $AP32 =""),"喪假",  IF(  AND(  OR(  P32="x",P32="婚",P32="產"  ), OR(  Q32 ="婚",Q32="產"  ), $AP32 =""),"婚(產)假",  IF(  AND(  OR(  P32="x",P32="公"  ), OR(  Q32 ="公"  ), $AP32 =""),"公假",  IF(  AND(  OR(  P32="x",P32="補",P32="婚",P32="公",P32="病",P32="事",P32="x榮18-22"  ),OR(Q32=""), $AP32 =""  ),"18收",  IF(  AND(  OR(  P32 ="榮14-18",P32 ="榮10-18",P32 ="榮06-18",P32 ="病14-18"  ),OR(  Q32 ="x",Q32="補",Q32="婚",Q32="公",Q32="病",Q32="事",Q32="x"  ), $AP32 =""),"18放早走",  IF(  AND(  OR(  P32 =""),OR(  Q32 ="x",Q32="補",Q32="婚",Q32="公",Q32="病",Q32="事",Q32="x榮*",Q32="榮",Q32="榮-22"  ), $AP32 =""),"18放",  IF(  AND(  OR(  P32="當日退伍"  ),OR(  Q32="退伍",Q32="退", Q32=""  ), $AP32 =""),"當日退伍",  IF(AND(  OR(P32="退",P32="退伍" ), OR(Q32="退",Q32="退伍" ), $AP32 =""),"退伍","全日勤"  )  )  )  )  )  )  )  )  )  )  ),"")</f>
        <v>全日勤</v>
      </c>
      <c r="Q73" s="66" t="str">
        <f>IF(   (ROW(BC32)-1)&lt;=暫1!$B$2,           IF(  AND(  OR(  Q32="x",Q32="補"  ), OR(  R32 ="x",R32="補",R32="x榮18-22",R32="x公18-22",R32="x榮22-08"  ), $AP32 =""),"全日休",  IF(  AND(  OR(  Q32="x",Q32="病"  ), OR(  R32 ="病"  ), $AP32 =""),"病(事)假",  IF(  AND(  OR(  Q32="x",Q32="補"  ), OR(  R32 ="補"  ), $AP32 =""),"補休",  IF(  AND(  OR(  Q32="x",Q32="喪"  ), OR(  R32 ="喪"  ), $AP32 =""),"喪假",  IF(  AND(  OR(  Q32="x",Q32="婚",Q32="產"  ), OR(  R32 ="婚",R32="產"  ), $AP32 =""),"婚(產)假",  IF(  AND(  OR(  Q32="x",Q32="公"  ), OR(  R32 ="公"  ), $AP32 =""),"公假",  IF(  AND(  OR(  Q32="x",Q32="補",Q32="婚",Q32="公",Q32="病",Q32="事",Q32="x榮18-22"  ),OR(R32=""), $AP32 =""  ),"18收",  IF(  AND(  OR(  Q32 ="榮14-18",Q32 ="榮10-18",Q32 ="榮06-18",Q32 ="病14-18"  ),OR(  R32 ="x",R32="補",R32="婚",R32="公",R32="病",R32="事",R32="x"  ), $AP32 =""),"18放早走",  IF(  AND(  OR(  Q32 =""),OR(  R32 ="x",R32="補",R32="婚",R32="公",R32="病",R32="事",R32="x榮*",R32="榮",R32="榮-22"  ), $AP32 =""),"18放",  IF(  AND(  OR(  Q32="當日退伍"  ),OR(  R32="退伍",R32="退", R32=""  ), $AP32 =""),"當日退伍",  IF(AND(  OR(Q32="退",Q32="退伍" ), OR(R32="退",R32="退伍" ), $AP32 =""),"退伍","全日勤"  )  )  )  )  )  )  )  )  )  )  ),"")</f>
        <v>全日勤</v>
      </c>
      <c r="R73" s="66" t="str">
        <f>IF(   (ROW(BD32)-1)&lt;=暫1!$B$2,           IF(  AND(  OR(  R32="x",R32="補"  ), OR(  S32 ="x",S32="補",S32="x榮18-22",S32="x公18-22",S32="x榮22-08"  ), $AP32 =""),"全日休",  IF(  AND(  OR(  R32="x",R32="病"  ), OR(  S32 ="病"  ), $AP32 =""),"病(事)假",  IF(  AND(  OR(  R32="x",R32="補"  ), OR(  S32 ="補"  ), $AP32 =""),"補休",  IF(  AND(  OR(  R32="x",R32="喪"  ), OR(  S32 ="喪"  ), $AP32 =""),"喪假",  IF(  AND(  OR(  R32="x",R32="婚",R32="產"  ), OR(  S32 ="婚",S32="產"  ), $AP32 =""),"婚(產)假",  IF(  AND(  OR(  R32="x",R32="公"  ), OR(  S32 ="公"  ), $AP32 =""),"公假",  IF(  AND(  OR(  R32="x",R32="補",R32="婚",R32="公",R32="病",R32="事",R32="x榮18-22"  ),OR(S32=""), $AP32 =""  ),"18收",  IF(  AND(  OR(  R32 ="榮14-18",R32 ="榮10-18",R32 ="榮06-18",R32 ="病14-18"  ),OR(  S32 ="x",S32="補",S32="婚",S32="公",S32="病",S32="事",S32="x"  ), $AP32 =""),"18放早走",  IF(  AND(  OR(  R32 =""),OR(  S32 ="x",S32="補",S32="婚",S32="公",S32="病",S32="事",S32="x榮*",S32="榮",S32="榮-22"  ), $AP32 =""),"18放",  IF(  AND(  OR(  R32="當日退伍"  ),OR(  S32="退伍",S32="退", S32=""  ), $AP32 =""),"當日退伍",  IF(AND(  OR(R32="退",R32="退伍" ), OR(S32="退",S32="退伍" ), $AP32 =""),"退伍","全日勤"  )  )  )  )  )  )  )  )  )  )  ),"")</f>
        <v>18放</v>
      </c>
      <c r="S73" s="66" t="str">
        <f>IF(   (ROW(BE32)-1)&lt;=暫1!$B$2,           IF(  AND(  OR(  S32="x",S32="補"  ), OR(  T32 ="x",T32="補",T32="x榮18-22",T32="x公18-22",T32="x榮22-08"  ), $AP32 =""),"全日休",  IF(  AND(  OR(  S32="x",S32="病"  ), OR(  T32 ="病"  ), $AP32 =""),"病(事)假",  IF(  AND(  OR(  S32="x",S32="補"  ), OR(  T32 ="補"  ), $AP32 =""),"補休",  IF(  AND(  OR(  S32="x",S32="喪"  ), OR(  T32 ="喪"  ), $AP32 =""),"喪假",  IF(  AND(  OR(  S32="x",S32="婚",S32="產"  ), OR(  T32 ="婚",T32="產"  ), $AP32 =""),"婚(產)假",  IF(  AND(  OR(  S32="x",S32="公"  ), OR(  T32 ="公"  ), $AP32 =""),"公假",  IF(  AND(  OR(  S32="x",S32="補",S32="婚",S32="公",S32="病",S32="事",S32="x榮18-22"  ),OR(T32=""), $AP32 =""  ),"18收",  IF(  AND(  OR(  S32 ="榮14-18",S32 ="榮10-18",S32 ="榮06-18",S32 ="病14-18"  ),OR(  T32 ="x",T32="補",T32="婚",T32="公",T32="病",T32="事",T32="x"  ), $AP32 =""),"18放早走",  IF(  AND(  OR(  S32 =""),OR(  T32 ="x",T32="補",T32="婚",T32="公",T32="病",T32="事",T32="x榮*",T32="榮",T32="榮-22"  ), $AP32 =""),"18放",  IF(  AND(  OR(  S32="當日退伍"  ),OR(  T32="退伍",T32="退", T32=""  ), $AP32 =""),"當日退伍",  IF(AND(  OR(S32="退",S32="退伍" ), OR(T32="退",T32="退伍" ), $AP32 =""),"退伍","全日勤"  )  )  )  )  )  )  )  )  )  )  ),"")</f>
        <v>全日休</v>
      </c>
      <c r="T73" s="66" t="str">
        <f>IF(   (ROW(BF32)-1)&lt;=暫1!$B$2,           IF(  AND(  OR(  T32="x",T32="補"  ), OR(  U32 ="x",U32="補",U32="x榮18-22",U32="x公18-22",U32="x榮22-08"  ), $AP32 =""),"全日休",  IF(  AND(  OR(  T32="x",T32="病"  ), OR(  U32 ="病"  ), $AP32 =""),"病(事)假",  IF(  AND(  OR(  T32="x",T32="補"  ), OR(  U32 ="補"  ), $AP32 =""),"補休",  IF(  AND(  OR(  T32="x",T32="喪"  ), OR(  U32 ="喪"  ), $AP32 =""),"喪假",  IF(  AND(  OR(  T32="x",T32="婚",T32="產"  ), OR(  U32 ="婚",U32="產"  ), $AP32 =""),"婚(產)假",  IF(  AND(  OR(  T32="x",T32="公"  ), OR(  U32 ="公"  ), $AP32 =""),"公假",  IF(  AND(  OR(  T32="x",T32="補",T32="婚",T32="公",T32="病",T32="事",T32="x榮18-22"  ),OR(U32=""), $AP32 =""  ),"18收",  IF(  AND(  OR(  T32 ="榮14-18",T32 ="榮10-18",T32 ="榮06-18",T32 ="病14-18"  ),OR(  U32 ="x",U32="補",U32="婚",U32="公",U32="病",U32="事",U32="x"  ), $AP32 =""),"18放早走",  IF(  AND(  OR(  T32 =""),OR(  U32 ="x",U32="補",U32="婚",U32="公",U32="病",U32="事",U32="x榮*",U32="榮",U32="榮-22"  ), $AP32 =""),"18放",  IF(  AND(  OR(  T32="當日退伍"  ),OR(  U32="退伍",U32="退", U32=""  ), $AP32 =""),"當日退伍",  IF(AND(  OR(T32="退",T32="退伍" ), OR(U32="退",U32="退伍" ), $AP32 =""),"退伍","全日勤"  )  )  )  )  )  )  )  )  )  )  ),"")</f>
        <v>18收</v>
      </c>
      <c r="U73" s="66" t="str">
        <f>IF(   (ROW(BG32)-1)&lt;=暫1!$B$2,           IF(  AND(  OR(  U32="x",U32="補"  ), OR(  V32 ="x",V32="補",V32="x榮18-22",V32="x公18-22",V32="x榮22-08"  ), $AP32 =""),"全日休",  IF(  AND(  OR(  U32="x",U32="病"  ), OR(  V32 ="病"  ), $AP32 =""),"病(事)假",  IF(  AND(  OR(  U32="x",U32="補"  ), OR(  V32 ="補"  ), $AP32 =""),"補休",  IF(  AND(  OR(  U32="x",U32="喪"  ), OR(  V32 ="喪"  ), $AP32 =""),"喪假",  IF(  AND(  OR(  U32="x",U32="婚",U32="產"  ), OR(  V32 ="婚",V32="產"  ), $AP32 =""),"婚(產)假",  IF(  AND(  OR(  U32="x",U32="公"  ), OR(  V32 ="公"  ), $AP32 =""),"公假",  IF(  AND(  OR(  U32="x",U32="補",U32="婚",U32="公",U32="病",U32="事",U32="x榮18-22"  ),OR(V32=""), $AP32 =""  ),"18收",  IF(  AND(  OR(  U32 ="榮14-18",U32 ="榮10-18",U32 ="榮06-18",U32 ="病14-18"  ),OR(  V32 ="x",V32="補",V32="婚",V32="公",V32="病",V32="事",V32="x"  ), $AP32 =""),"18放早走",  IF(  AND(  OR(  U32 =""),OR(  V32 ="x",V32="補",V32="婚",V32="公",V32="病",V32="事",V32="x榮*",V32="榮",V32="榮-22"  ), $AP32 =""),"18放",  IF(  AND(  OR(  U32="當日退伍"  ),OR(  V32="退伍",V32="退", V32=""  ), $AP32 =""),"當日退伍",  IF(AND(  OR(U32="退",U32="退伍" ), OR(V32="退",V32="退伍" ), $AP32 =""),"退伍","全日勤"  )  )  )  )  )  )  )  )  )  )  ),"")</f>
        <v>全日勤</v>
      </c>
      <c r="V73" s="66" t="str">
        <f>IF(   (ROW(BH32)-1)&lt;=暫1!$B$2,           IF(  AND(  OR(  V32="x",V32="補"  ), OR(  W32 ="x",W32="補",W32="x榮18-22",W32="x公18-22",W32="x榮22-08"  ), $AP32 =""),"全日休",  IF(  AND(  OR(  V32="x",V32="病"  ), OR(  W32 ="病"  ), $AP32 =""),"病(事)假",  IF(  AND(  OR(  V32="x",V32="補"  ), OR(  W32 ="補"  ), $AP32 =""),"補休",  IF(  AND(  OR(  V32="x",V32="喪"  ), OR(  W32 ="喪"  ), $AP32 =""),"喪假",  IF(  AND(  OR(  V32="x",V32="婚",V32="產"  ), OR(  W32 ="婚",W32="產"  ), $AP32 =""),"婚(產)假",  IF(  AND(  OR(  V32="x",V32="公"  ), OR(  W32 ="公"  ), $AP32 =""),"公假",  IF(  AND(  OR(  V32="x",V32="補",V32="婚",V32="公",V32="病",V32="事",V32="x榮18-22"  ),OR(W32=""), $AP32 =""  ),"18收",  IF(  AND(  OR(  V32 ="榮14-18",V32 ="榮10-18",V32 ="榮06-18",V32 ="病14-18"  ),OR(  W32 ="x",W32="補",W32="婚",W32="公",W32="病",W32="事",W32="x"  ), $AP32 =""),"18放早走",  IF(  AND(  OR(  V32 =""),OR(  W32 ="x",W32="補",W32="婚",W32="公",W32="病",W32="事",W32="x榮*",W32="榮",W32="榮-22"  ), $AP32 =""),"18放",  IF(  AND(  OR(  V32="當日退伍"  ),OR(  W32="退伍",W32="退", W32=""  ), $AP32 =""),"當日退伍",  IF(AND(  OR(V32="退",V32="退伍" ), OR(W32="退",W32="退伍" ), $AP32 =""),"退伍","全日勤"  )  )  )  )  )  )  )  )  )  )  ),"")</f>
        <v>全日勤</v>
      </c>
      <c r="W73" s="66" t="str">
        <f>IF(   (ROW(BI32)-1)&lt;=暫1!$B$2,           IF(  AND(  OR(  W32="x",W32="補"  ), OR(  X32 ="x",X32="補",X32="x榮18-22",X32="x公18-22",X32="x榮22-08"  ), $AP32 =""),"全日休",  IF(  AND(  OR(  W32="x",W32="病"  ), OR(  X32 ="病"  ), $AP32 =""),"病(事)假",  IF(  AND(  OR(  W32="x",W32="補"  ), OR(  X32 ="補"  ), $AP32 =""),"補休",  IF(  AND(  OR(  W32="x",W32="喪"  ), OR(  X32 ="喪"  ), $AP32 =""),"喪假",  IF(  AND(  OR(  W32="x",W32="婚",W32="產"  ), OR(  X32 ="婚",X32="產"  ), $AP32 =""),"婚(產)假",  IF(  AND(  OR(  W32="x",W32="公"  ), OR(  X32 ="公"  ), $AP32 =""),"公假",  IF(  AND(  OR(  W32="x",W32="補",W32="婚",W32="公",W32="病",W32="事",W32="x榮18-22"  ),OR(X32=""), $AP32 =""  ),"18收",  IF(  AND(  OR(  W32 ="榮14-18",W32 ="榮10-18",W32 ="榮06-18",W32 ="病14-18"  ),OR(  X32 ="x",X32="補",X32="婚",X32="公",X32="病",X32="事",X32="x"  ), $AP32 =""),"18放早走",  IF(  AND(  OR(  W32 =""),OR(  X32 ="x",X32="補",X32="婚",X32="公",X32="病",X32="事",X32="x榮*",X32="榮",X32="榮-22"  ), $AP32 =""),"18放",  IF(  AND(  OR(  W32="當日退伍"  ),OR(  X32="退伍",X32="退", X32=""  ), $AP32 =""),"當日退伍",  IF(AND(  OR(W32="退",W32="退伍" ), OR(X32="退",X32="退伍" ), $AP32 =""),"退伍","全日勤"  )  )  )  )  )  )  )  )  )  )  ),"")</f>
        <v>全日勤</v>
      </c>
      <c r="X73" s="66" t="str">
        <f>IF(   (ROW(BJ32)-1)&lt;=暫1!$B$2,           IF(  AND(  OR(  X32="x",X32="補"  ), OR(  Y32 ="x",Y32="補",Y32="x榮18-22",Y32="x公18-22",Y32="x榮22-08"  ), $AP32 =""),"全日休",  IF(  AND(  OR(  X32="x",X32="病"  ), OR(  Y32 ="病"  ), $AP32 =""),"病(事)假",  IF(  AND(  OR(  X32="x",X32="補"  ), OR(  Y32 ="補"  ), $AP32 =""),"補休",  IF(  AND(  OR(  X32="x",X32="喪"  ), OR(  Y32 ="喪"  ), $AP32 =""),"喪假",  IF(  AND(  OR(  X32="x",X32="婚",X32="產"  ), OR(  Y32 ="婚",Y32="產"  ), $AP32 =""),"婚(產)假",  IF(  AND(  OR(  X32="x",X32="公"  ), OR(  Y32 ="公"  ), $AP32 =""),"公假",  IF(  AND(  OR(  X32="x",X32="補",X32="婚",X32="公",X32="病",X32="事",X32="x榮18-22"  ),OR(Y32=""), $AP32 =""  ),"18收",  IF(  AND(  OR(  X32 ="榮14-18",X32 ="榮10-18",X32 ="榮06-18",X32 ="病14-18"  ),OR(  Y32 ="x",Y32="補",Y32="婚",Y32="公",Y32="病",Y32="事",Y32="x"  ), $AP32 =""),"18放早走",  IF(  AND(  OR(  X32 =""),OR(  Y32 ="x",Y32="補",Y32="婚",Y32="公",Y32="病",Y32="事",Y32="x榮*",Y32="榮",Y32="榮-22"  ), $AP32 =""),"18放",  IF(  AND(  OR(  X32="當日退伍"  ),OR(  Y32="退伍",Y32="退", Y32=""  ), $AP32 =""),"當日退伍",  IF(AND(  OR(X32="退",X32="退伍" ), OR(Y32="退",Y32="退伍" ), $AP32 =""),"退伍","全日勤"  )  )  )  )  )  )  )  )  )  )  ),"")</f>
        <v>18放</v>
      </c>
      <c r="Y73" s="66" t="str">
        <f>IF(   (ROW(BK32)-1)&lt;=暫1!$B$2,           IF(  AND(  OR(  Y32="x",Y32="補"  ), OR(  Z32 ="x",Z32="補",Z32="x榮18-22",Z32="x公18-22",Z32="x榮22-08"  ), $AP32 =""),"全日休",  IF(  AND(  OR(  Y32="x",Y32="病"  ), OR(  Z32 ="病"  ), $AP32 =""),"病(事)假",  IF(  AND(  OR(  Y32="x",Y32="補"  ), OR(  Z32 ="補"  ), $AP32 =""),"補休",  IF(  AND(  OR(  Y32="x",Y32="喪"  ), OR(  Z32 ="喪"  ), $AP32 =""),"喪假",  IF(  AND(  OR(  Y32="x",Y32="婚",Y32="產"  ), OR(  Z32 ="婚",Z32="產"  ), $AP32 =""),"婚(產)假",  IF(  AND(  OR(  Y32="x",Y32="公"  ), OR(  Z32 ="公"  ), $AP32 =""),"公假",  IF(  AND(  OR(  Y32="x",Y32="補",Y32="婚",Y32="公",Y32="病",Y32="事",Y32="x榮18-22"  ),OR(Z32=""), $AP32 =""  ),"18收",  IF(  AND(  OR(  Y32 ="榮14-18",Y32 ="榮10-18",Y32 ="榮06-18",Y32 ="病14-18"  ),OR(  Z32 ="x",Z32="補",Z32="婚",Z32="公",Z32="病",Z32="事",Z32="x"  ), $AP32 =""),"18放早走",  IF(  AND(  OR(  Y32 =""),OR(  Z32 ="x",Z32="補",Z32="婚",Z32="公",Z32="病",Z32="事",Z32="x榮*",Z32="榮",Z32="榮-22"  ), $AP32 =""),"18放",  IF(  AND(  OR(  Y32="當日退伍"  ),OR(  Z32="退伍",Z32="退", Z32=""  ), $AP32 =""),"當日退伍",  IF(AND(  OR(Y32="退",Y32="退伍" ), OR(Z32="退",Z32="退伍" ), $AP32 =""),"退伍","全日勤"  )  )  )  )  )  )  )  )  )  )  ),"")</f>
        <v>全日休</v>
      </c>
      <c r="Z73" s="66" t="str">
        <f>IF(   (ROW(BL32)-1)&lt;=暫1!$B$2,           IF(  AND(  OR(  Z32="x",Z32="補"  ), OR(  AA32 ="x",AA32="補",AA32="x榮18-22",AA32="x公18-22",AA32="x榮22-08"  ), $AP32 =""),"全日休",  IF(  AND(  OR(  Z32="x",Z32="病"  ), OR(  AA32 ="病"  ), $AP32 =""),"病(事)假",  IF(  AND(  OR(  Z32="x",Z32="補"  ), OR(  AA32 ="補"  ), $AP32 =""),"補休",  IF(  AND(  OR(  Z32="x",Z32="喪"  ), OR(  AA32 ="喪"  ), $AP32 =""),"喪假",  IF(  AND(  OR(  Z32="x",Z32="婚",Z32="產"  ), OR(  AA32 ="婚",AA32="產"  ), $AP32 =""),"婚(產)假",  IF(  AND(  OR(  Z32="x",Z32="公"  ), OR(  AA32 ="公"  ), $AP32 =""),"公假",  IF(  AND(  OR(  Z32="x",Z32="補",Z32="婚",Z32="公",Z32="病",Z32="事",Z32="x榮18-22"  ),OR(AA32=""), $AP32 =""  ),"18收",  IF(  AND(  OR(  Z32 ="榮14-18",Z32 ="榮10-18",Z32 ="榮06-18",Z32 ="病14-18"  ),OR(  AA32 ="x",AA32="補",AA32="婚",AA32="公",AA32="病",AA32="事",AA32="x"  ), $AP32 =""),"18放早走",  IF(  AND(  OR(  Z32 =""),OR(  AA32 ="x",AA32="補",AA32="婚",AA32="公",AA32="病",AA32="事",AA32="x榮*",AA32="榮",AA32="榮-22"  ), $AP32 =""),"18放",  IF(  AND(  OR(  Z32="當日退伍"  ),OR(  AA32="退伍",AA32="退", AA32=""  ), $AP32 =""),"當日退伍",  IF(AND(  OR(Z32="退",Z32="退伍" ), OR(AA32="退",AA32="退伍" ), $AP32 =""),"退伍","全日勤"  )  )  )  )  )  )  )  )  )  )  ),"")</f>
        <v>全日休</v>
      </c>
      <c r="AA73" s="66" t="str">
        <f>IF(   (ROW(BM32)-1)&lt;=暫1!$B$2,           IF(  AND(  OR(  AA32="x",AA32="補"  ), OR(  AB32 ="x",AB32="補",AB32="x榮18-22",AB32="x公18-22",AB32="x榮22-08"  ), $AP32 =""),"全日休",  IF(  AND(  OR(  AA32="x",AA32="病"  ), OR(  AB32 ="病"  ), $AP32 =""),"病(事)假",  IF(  AND(  OR(  AA32="x",AA32="補"  ), OR(  AB32 ="補"  ), $AP32 =""),"補休",  IF(  AND(  OR(  AA32="x",AA32="喪"  ), OR(  AB32 ="喪"  ), $AP32 =""),"喪假",  IF(  AND(  OR(  AA32="x",AA32="婚",AA32="產"  ), OR(  AB32 ="婚",AB32="產"  ), $AP32 =""),"婚(產)假",  IF(  AND(  OR(  AA32="x",AA32="公"  ), OR(  AB32 ="公"  ), $AP32 =""),"公假",  IF(  AND(  OR(  AA32="x",AA32="補",AA32="婚",AA32="公",AA32="病",AA32="事",AA32="x榮18-22"  ),OR(AB32=""), $AP32 =""  ),"18收",  IF(  AND(  OR(  AA32 ="榮14-18",AA32 ="榮10-18",AA32 ="榮06-18",AA32 ="病14-18"  ),OR(  AB32 ="x",AB32="補",AB32="婚",AB32="公",AB32="病",AB32="事",AB32="x"  ), $AP32 =""),"18放早走",  IF(  AND(  OR(  AA32 =""),OR(  AB32 ="x",AB32="補",AB32="婚",AB32="公",AB32="病",AB32="事",AB32="x榮*",AB32="榮",AB32="榮-22"  ), $AP32 =""),"18放",  IF(  AND(  OR(  AA32="當日退伍"  ),OR(  AB32="退伍",AB32="退", AB32=""  ), $AP32 =""),"當日退伍",  IF(AND(  OR(AA32="退",AA32="退伍" ), OR(AB32="退",AB32="退伍" ), $AP32 =""),"退伍","全日勤"  )  )  )  )  )  )  )  )  )  )  ),"")</f>
        <v>18收</v>
      </c>
      <c r="AB73" s="66" t="str">
        <f>IF(   (ROW(BN32)-1)&lt;=暫1!$B$2,           IF(  AND(  OR(  AB32="x",AB32="補"  ), OR(  AC32 ="x",AC32="補",AC32="x榮18-22",AC32="x公18-22",AC32="x榮22-08"  ), $AP32 =""),"全日休",  IF(  AND(  OR(  AB32="x",AB32="病"  ), OR(  AC32 ="病"  ), $AP32 =""),"病(事)假",  IF(  AND(  OR(  AB32="x",AB32="補"  ), OR(  AC32 ="補"  ), $AP32 =""),"補休",  IF(  AND(  OR(  AB32="x",AB32="喪"  ), OR(  AC32 ="喪"  ), $AP32 =""),"喪假",  IF(  AND(  OR(  AB32="x",AB32="婚",AB32="產"  ), OR(  AC32 ="婚",AC32="產"  ), $AP32 =""),"婚(產)假",  IF(  AND(  OR(  AB32="x",AB32="公"  ), OR(  AC32 ="公"  ), $AP32 =""),"公假",  IF(  AND(  OR(  AB32="x",AB32="補",AB32="婚",AB32="公",AB32="病",AB32="事",AB32="x榮18-22"  ),OR(AC32=""), $AP32 =""  ),"18收",  IF(  AND(  OR(  AB32 ="榮14-18",AB32 ="榮10-18",AB32 ="榮06-18",AB32 ="病14-18"  ),OR(  AC32 ="x",AC32="補",AC32="婚",AC32="公",AC32="病",AC32="事",AC32="x"  ), $AP32 =""),"18放早走",  IF(  AND(  OR(  AB32 =""),OR(  AC32 ="x",AC32="補",AC32="婚",AC32="公",AC32="病",AC32="事",AC32="x榮*",AC32="榮",AC32="榮-22"  ), $AP32 =""),"18放",  IF(  AND(  OR(  AB32="當日退伍"  ),OR(  AC32="退伍",AC32="退", AC32=""  ), $AP32 =""),"當日退伍",  IF(AND(  OR(AB32="退",AB32="退伍" ), OR(AC32="退",AC32="退伍" ), $AP32 =""),"退伍","全日勤"  )  )  )  )  )  )  )  )  )  )  ),"")</f>
        <v>全日勤</v>
      </c>
      <c r="AC73" s="66" t="str">
        <f>IF(   (ROW(BO32)-1)&lt;=暫1!$B$2,           IF(  AND(  OR(  AC32="x",AC32="補"  ), OR(  AD32 ="x",AD32="補",AD32="x榮18-22",AD32="x公18-22",AD32="x榮22-08"  ), $AP32 =""),"全日休",  IF(  AND(  OR(  AC32="x",AC32="病"  ), OR(  AD32 ="病"  ), $AP32 =""),"病(事)假",  IF(  AND(  OR(  AC32="x",AC32="補"  ), OR(  AD32 ="補"  ), $AP32 =""),"補休",  IF(  AND(  OR(  AC32="x",AC32="喪"  ), OR(  AD32 ="喪"  ), $AP32 =""),"喪假",  IF(  AND(  OR(  AC32="x",AC32="婚",AC32="產"  ), OR(  AD32 ="婚",AD32="產"  ), $AP32 =""),"婚(產)假",  IF(  AND(  OR(  AC32="x",AC32="公"  ), OR(  AD32 ="公"  ), $AP32 =""),"公假",  IF(  AND(  OR(  AC32="x",AC32="補",AC32="婚",AC32="公",AC32="病",AC32="事",AC32="x榮18-22"  ),OR(AD32=""), $AP32 =""  ),"18收",  IF(  AND(  OR(  AC32 ="榮14-18",AC32 ="榮10-18",AC32 ="榮06-18",AC32 ="病14-18"  ),OR(  AD32 ="x",AD32="補",AD32="婚",AD32="公",AD32="病",AD32="事",AD32="x"  ), $AP32 =""),"18放早走",  IF(  AND(  OR(  AC32 =""),OR(  AD32 ="x",AD32="補",AD32="婚",AD32="公",AD32="病",AD32="事",AD32="x榮*",AD32="榮",AD32="榮-22"  ), $AP32 =""),"18放",  IF(  AND(  OR(  AC32="當日退伍"  ),OR(  AD32="退伍",AD32="退", AD32=""  ), $AP32 =""),"當日退伍",  IF(AND(  OR(AC32="退",AC32="退伍" ), OR(AD32="退",AD32="退伍" ), $AP32 =""),"退伍","全日勤"  )  )  )  )  )  )  )  )  )  )  ),"")</f>
        <v>全日勤</v>
      </c>
      <c r="AD73" s="66" t="str">
        <f>IF(   (ROW(BP32)-1)&lt;=暫1!$B$2,           IF(  AND(  OR(  AD32="x",AD32="補"  ), OR(  AE32 ="x",AE32="補",AE32="x榮18-22",AE32="x公18-22",AE32="x榮22-08"  ), $AP32 =""),"全日休",  IF(  AND(  OR(  AD32="x",AD32="病"  ), OR(  AE32 ="病"  ), $AP32 =""),"病(事)假",  IF(  AND(  OR(  AD32="x",AD32="補"  ), OR(  AE32 ="補"  ), $AP32 =""),"補休",  IF(  AND(  OR(  AD32="x",AD32="喪"  ), OR(  AE32 ="喪"  ), $AP32 =""),"喪假",  IF(  AND(  OR(  AD32="x",AD32="婚",AD32="產"  ), OR(  AE32 ="婚",AE32="產"  ), $AP32 =""),"婚(產)假",  IF(  AND(  OR(  AD32="x",AD32="公"  ), OR(  AE32 ="公"  ), $AP32 =""),"公假",  IF(  AND(  OR(  AD32="x",AD32="補",AD32="婚",AD32="公",AD32="病",AD32="事",AD32="x榮18-22"  ),OR(AE32=""), $AP32 =""  ),"18收",  IF(  AND(  OR(  AD32 ="榮14-18",AD32 ="榮10-18",AD32 ="榮06-18",AD32 ="病14-18"  ),OR(  AE32 ="x",AE32="補",AE32="婚",AE32="公",AE32="病",AE32="事",AE32="x"  ), $AP32 =""),"18放早走",  IF(  AND(  OR(  AD32 =""),OR(  AE32 ="x",AE32="補",AE32="婚",AE32="公",AE32="病",AE32="事",AE32="x榮*",AE32="榮",AE32="榮-22"  ), $AP32 =""),"18放",  IF(  AND(  OR(  AD32="當日退伍"  ),OR(  AE32="退伍",AE32="退", AE32=""  ), $AP32 =""),"當日退伍",  IF(AND(  OR(AD32="退",AD32="退伍" ), OR(AE32="退",AE32="退伍" ), $AP32 =""),"退伍","全日勤"  )  )  )  )  )  )  )  )  )  )  ),"")</f>
        <v>全日勤</v>
      </c>
      <c r="AE73" s="66" t="str">
        <f>IF(   (ROW(BQ32)-1)&lt;=暫1!$B$2,           IF(  AND(  OR(  AE32="x",AE32="補"  ), OR(  AF32 ="x",AF32="補",AF32="x榮18-22",AF32="x公18-22",AF32="x榮22-08"  ), $AP32 =""),"全日休",  IF(  AND(  OR(  AE32="x",AE32="病"  ), OR(  AF32 ="病"  ), $AP32 =""),"病(事)假",  IF(  AND(  OR(  AE32="x",AE32="補"  ), OR(  AF32 ="補"  ), $AP32 =""),"補休",  IF(  AND(  OR(  AE32="x",AE32="喪"  ), OR(  AF32 ="喪"  ), $AP32 =""),"喪假",  IF(  AND(  OR(  AE32="x",AE32="婚",AE32="產"  ), OR(  AF32 ="婚",AF32="產"  ), $AP32 =""),"婚(產)假",  IF(  AND(  OR(  AE32="x",AE32="公"  ), OR(  AF32 ="公"  ), $AP32 =""),"公假",  IF(  AND(  OR(  AE32="x",AE32="補",AE32="婚",AE32="公",AE32="病",AE32="事",AE32="x榮18-22"  ),OR(AF32=""), $AP32 =""  ),"18收",  IF(  AND(  OR(  AE32 ="榮14-18",AE32 ="榮10-18",AE32 ="榮06-18",AE32 ="病14-18"  ),OR(  AF32 ="x",AF32="補",AF32="婚",AF32="公",AF32="病",AF32="事",AF32="x"  ), $AP32 =""),"18放早走",  IF(  AND(  OR(  AE32 =""),OR(  AF32 ="x",AF32="補",AF32="婚",AF32="公",AF32="病",AF32="事",AF32="x榮*",AF32="榮",AF32="榮-22"  ), $AP32 =""),"18放",  IF(  AND(  OR(  AE32="當日退伍"  ),OR(  AF32="退伍",AF32="退", AF32=""  ), $AP32 =""),"當日退伍",  IF(AND(  OR(AE32="退",AE32="退伍" ), OR(AF32="退",AF32="退伍" ), $AP32 =""),"退伍","全日勤"  )  )  )  )  )  )  )  )  )  )  ),"")</f>
        <v>18放</v>
      </c>
      <c r="AF73" s="66" t="str">
        <f>IF(   (ROW(BR32)-1)&lt;=暫1!$B$2,           IF(  AND(  OR(  AF32="x",AF32="補"  ), OR(  AG32 ="x",AG32="補",AG32="x榮18-22",AG32="x公18-22",AG32="x榮22-08"  ), $AP32 =""),"全日休",  IF(  AND(  OR(  AF32="x",AF32="病"  ), OR(  AG32 ="病"  ), $AP32 =""),"病(事)假",  IF(  AND(  OR(  AF32="x",AF32="補"  ), OR(  AG32 ="補"  ), $AP32 =""),"補休",  IF(  AND(  OR(  AF32="x",AF32="喪"  ), OR(  AG32 ="喪"  ), $AP32 =""),"喪假",  IF(  AND(  OR(  AF32="x",AF32="婚",AF32="產"  ), OR(  AG32 ="婚",AG32="產"  ), $AP32 =""),"婚(產)假",  IF(  AND(  OR(  AF32="x",AF32="公"  ), OR(  AG32 ="公"  ), $AP32 =""),"公假",  IF(  AND(  OR(  AF32="x",AF32="補",AF32="婚",AF32="公",AF32="病",AF32="事",AF32="x榮18-22"  ),OR(AG32=""), $AP32 =""  ),"18收",  IF(  AND(  OR(  AF32 ="榮14-18",AF32 ="榮10-18",AF32 ="榮06-18",AF32 ="病14-18"  ),OR(  AG32 ="x",AG32="補",AG32="婚",AG32="公",AG32="病",AG32="事",AG32="x"  ), $AP32 =""),"18放早走",  IF(  AND(  OR(  AF32 =""),OR(  AG32 ="x",AG32="補",AG32="婚",AG32="公",AG32="病",AG32="事",AG32="x榮*",AG32="榮",AG32="榮-22"  ), $AP32 =""),"18放",  IF(  AND(  OR(  AF32="當日退伍"  ),OR(  AG32="退伍",AG32="退", AG32=""  ), $AP32 =""),"當日退伍",  IF(AND(  OR(AF32="退",AF32="退伍" ), OR(AG32="退",AG32="退伍" ), $AP32 =""),"退伍","全日勤"  )  )  )  )  )  )  )  )  )  )  ),"")</f>
        <v>全日休</v>
      </c>
      <c r="AG73" s="66" t="str">
        <f>IF(   (ROW(BS32)-1)&lt;=暫1!$B$2,           IF(  AND(  OR(  AG32="x",AG32="補"  ), OR(  AH32 ="x",AH32="補",AH32="x榮18-22",AH32="x公18-22",AH32="x榮22-08"  ), $AP32 =""),"全日休",  IF(  AND(  OR(  AG32="x",AG32="病"  ), OR(  AH32 ="病"  ), $AP32 =""),"病(事)假",  IF(  AND(  OR(  AG32="x",AG32="補"  ), OR(  AH32 ="補"  ), $AP32 =""),"補休",  IF(  AND(  OR(  AG32="x",AG32="喪"  ), OR(  AH32 ="喪"  ), $AP32 =""),"喪假",  IF(  AND(  OR(  AG32="x",AG32="婚",AG32="產"  ), OR(  AH32 ="婚",AH32="產"  ), $AP32 =""),"婚(產)假",  IF(  AND(  OR(  AG32="x",AG32="公"  ), OR(  AH32 ="公"  ), $AP32 =""),"公假",  IF(  AND(  OR(  AG32="x",AG32="補",AG32="婚",AG32="公",AG32="病",AG32="事",AG32="x榮18-22"  ),OR(AH32=""), $AP32 =""  ),"18收",  IF(  AND(  OR(  AG32 ="榮14-18",AG32 ="榮10-18",AG32 ="榮06-18",AG32 ="病14-18"  ),OR(  AH32 ="x",AH32="補",AH32="婚",AH32="公",AH32="病",AH32="事",AH32="x"  ), $AP32 =""),"18放早走",  IF(  AND(  OR(  AG32 =""),OR(  AH32 ="x",AH32="補",AH32="婚",AH32="公",AH32="病",AH32="事",AH32="x榮*",AH32="榮",AH32="榮-22"  ), $AP32 =""),"18放",  IF(  AND(  OR(  AG32="當日退伍"  ),OR(  AH32="退伍",AH32="退", AH32=""  ), $AP32 =""),"當日退伍",  IF(AND(  OR(AG32="退",AG32="退伍" ), OR(AH32="退",AH32="退伍" ), $AP32 =""),"退伍","全日勤"  )  )  )  )  )  )  )  )  )  )  ),"")</f>
        <v>18收</v>
      </c>
      <c r="AH73" s="66" t="str">
        <f>IF(   (ROW(BT32)-1)&lt;=暫1!$B$2,           IF(  AND(  OR(  AH32="x",AH32="補"  ), OR(  AI32 ="x",AI32="補",AI32="x榮18-22",AI32="x公18-22",AI32="x榮22-08"  ), $AP32 =""),"全日休",  IF(  AND(  OR(  AH32="x",AH32="病"  ), OR(  AI32 ="病"  ), $AP32 =""),"病(事)假",  IF(  AND(  OR(  AH32="x",AH32="補"  ), OR(  AI32 ="補"  ), $AP32 =""),"補休",  IF(  AND(  OR(  AH32="x",AH32="喪"  ), OR(  AI32 ="喪"  ), $AP32 =""),"喪假",  IF(  AND(  OR(  AH32="x",AH32="婚",AH32="產"  ), OR(  AI32 ="婚",AI32="產"  ), $AP32 =""),"婚(產)假",  IF(  AND(  OR(  AH32="x",AH32="公"  ), OR(  AI32 ="公"  ), $AP32 =""),"公假",  IF(  AND(  OR(  AH32="x",AH32="補",AH32="婚",AH32="公",AH32="病",AH32="事",AH32="x榮18-22"  ),OR(AI32=""), $AP32 =""  ),"18收",  IF(  AND(  OR(  AH32 ="榮14-18",AH32 ="榮10-18",AH32 ="榮06-18",AH32 ="病14-18"  ),OR(  AI32 ="x",AI32="補",AI32="婚",AI32="公",AI32="病",AI32="事",AI32="x"  ), $AP32 =""),"18放早走",  IF(  AND(  OR(  AH32 =""),OR(  AI32 ="x",AI32="補",AI32="婚",AI32="公",AI32="病",AI32="事",AI32="x榮*",AI32="榮",AI32="榮-22"  ), $AP32 =""),"18放",  IF(  AND(  OR(  AH32="當日退伍"  ),OR(  AI32="退伍",AI32="退", AI32=""  ), $AP32 =""),"當日退伍",  IF(AND(  OR(AH32="退",AH32="退伍" ), OR(AI32="退",AI32="退伍" ), $AP32 =""),"退伍","全日勤"  )  )  )  )  )  )  )  )  )  )  ),"")</f>
        <v>全日勤</v>
      </c>
      <c r="AI73" s="66" t="str">
        <f>IF(   (ROW(BU32)-1)&lt;=暫1!$B$2,           IF(  AND(  OR(  AI32="x",AI32="補"  ), OR(  AJ32 ="x",AJ32="補",AJ32="x榮18-22",AJ32="x公18-22",AJ32="x榮22-08"  ), $AP32 =""),"全日休",  IF(  AND(  OR(  AI32="x",AI32="病"  ), OR(  AJ32 ="病"  ), $AP32 =""),"病(事)假",  IF(  AND(  OR(  AI32="x",AI32="補"  ), OR(  AJ32 ="補"  ), $AP32 =""),"補休",  IF(  AND(  OR(  AI32="x",AI32="喪"  ), OR(  AJ32 ="喪"  ), $AP32 =""),"喪假",  IF(  AND(  OR(  AI32="x",AI32="婚",AI32="產"  ), OR(  AJ32 ="婚",AJ32="產"  ), $AP32 =""),"婚(產)假",  IF(  AND(  OR(  AI32="x",AI32="公"  ), OR(  AJ32 ="公"  ), $AP32 =""),"公假",  IF(  AND(  OR(  AI32="x",AI32="補",AI32="婚",AI32="公",AI32="病",AI32="事",AI32="x榮18-22"  ),OR(AJ32=""), $AP32 =""  ),"18收",  IF(  AND(  OR(  AI32 ="榮14-18",AI32 ="榮10-18",AI32 ="榮06-18",AI32 ="病14-18"  ),OR(  AJ32 ="x",AJ32="補",AJ32="婚",AJ32="公",AJ32="病",AJ32="事",AJ32="x"  ), $AP32 =""),"18放早走",  IF(  AND(  OR(  AI32 =""),OR(  AJ32 ="x",AJ32="補",AJ32="婚",AJ32="公",AJ32="病",AJ32="事",AJ32="x榮*",AJ32="榮",AJ32="榮-22"  ), $AP32 =""),"18放",  IF(  AND(  OR(  AI32="當日退伍"  ),OR(  AJ32="退伍",AJ32="退", AJ32=""  ), $AP32 =""),"當日退伍",  IF(AND(  OR(AI32="退",AI32="退伍" ), OR(AJ32="退",AJ32="退伍" ), $AP32 =""),"退伍","全日勤"  )  )  )  )  )  )  )  )  )  )  ),"")</f>
        <v>全日勤</v>
      </c>
      <c r="AJ73" s="66" t="str">
        <f>IF(   (ROW(BV32)-1)&lt;=暫1!$B$2,           IF(  AND(  OR(  AJ32="x",AJ32="補"  ), OR(  AK32 ="x",AK32="補",AK32="x榮18-22",AK32="x公18-22",AK32="x榮22-08"  ), $AP32 =""),"全日休",  IF(  AND(  OR(  AJ32="x",AJ32="病"  ), OR(  AK32 ="病"  ), $AP32 =""),"病(事)假",  IF(  AND(  OR(  AJ32="x",AJ32="補"  ), OR(  AK32 ="補"  ), $AP32 =""),"補休",  IF(  AND(  OR(  AJ32="x",AJ32="喪"  ), OR(  AK32 ="喪"  ), $AP32 =""),"喪假",  IF(  AND(  OR(  AJ32="x",AJ32="婚",AJ32="產"  ), OR(  AK32 ="婚",AK32="產"  ), $AP32 =""),"婚(產)假",  IF(  AND(  OR(  AJ32="x",AJ32="公"  ), OR(  AK32 ="公"  ), $AP32 =""),"公假",  IF(  AND(  OR(  AJ32="x",AJ32="補",AJ32="婚",AJ32="公",AJ32="病",AJ32="事",AJ32="x榮18-22"  ),OR(AK32=""), $AP32 =""  ),"18收",  IF(  AND(  OR(  AJ32 ="榮14-18",AJ32 ="榮10-18",AJ32 ="榮06-18",AJ32 ="病14-18"  ),OR(  AK32 ="x",AK32="補",AK32="婚",AK32="公",AK32="病",AK32="事",AK32="x"  ), $AP32 =""),"18放早走",  IF(  AND(  OR(  AJ32 =""),OR(  AK32 ="x",AK32="補",AK32="婚",AK32="公",AK32="病",AK32="事",AK32="x榮*",AK32="榮",AK32="榮-22"  ), $AP32 =""),"18放",  IF(  AND(  OR(  AJ32="當日退伍"  ),OR(  AK32="退伍",AK32="退", AK32=""  ), $AP32 =""),"當日退伍",  IF(AND(  OR(AJ32="退",AJ32="退伍" ), OR(AK32="退",AK32="退伍" ), $AP32 =""),"退伍","全日勤"  )  )  )  )  )  )  )  )  )  )  ),"")</f>
        <v>全日勤</v>
      </c>
      <c r="AO73" s="76"/>
      <c r="AP73" s="63"/>
      <c r="AU73" s="63"/>
      <c r="AY73" s="63"/>
      <c r="AZ73" s="63"/>
      <c r="BA73" s="63"/>
    </row>
    <row r="74" spans="1:55" ht="25.5" customHeight="1">
      <c r="A74" s="66">
        <f t="shared" si="4"/>
        <v>32</v>
      </c>
      <c r="B74" s="66" t="str">
        <f t="shared" si="6"/>
        <v>莊博竣</v>
      </c>
      <c r="C74" s="66" t="str">
        <f>IF(   (ROW(AO33)-1)&lt;=暫1!$B$2,           IF(  AND(  OR(  C33="x",C33="補"  ), OR(  D33 ="x",D33="補",D33="x榮18-22",D33="x公18-22",D33="x榮22-08"  ), $AP33 =""),"全日休",  IF(  AND(  OR(  C33="x",C33="病"  ), OR(  D33 ="病"  ), $AP33 =""),"病(事)假",  IF(  AND(  OR(  C33="x",C33="補"  ), OR(  D33 ="補"  ), $AP33 =""),"補休",  IF(  AND(  OR(  C33="x",C33="喪"  ), OR(  D33 ="喪"  ), $AP33 =""),"喪假",  IF(  AND(  OR(  C33="x",C33="婚",C33="產"  ), OR(  D33 ="婚",D33="產"  ), $AP33 =""),"婚(產)假",  IF(  AND(  OR(  C33="x",C33="公"  ), OR(  D33 ="公"  ), $AP33 =""),"公假",  IF(  AND(  OR(  C33="x",C33="補",C33="婚",C33="公",C33="病",C33="事",C33="x榮18-22"  ),OR(D33=""), $AP33 =""  ),"18收",  IF(  AND(  OR(  C33 ="榮14-18",C33 ="榮10-18",C33 ="榮06-18",C33 ="病14-18"  ),OR(  D33 ="x",D33="補",D33="婚",D33="公",D33="病",D33="事",D33="x"  ), $AP33 =""),"18放早走",  IF(  AND(  OR(  C33 =""),OR(  D33 ="x",D33="補",D33="婚",D33="公",D33="病",D33="事",D33="x榮*",D33="榮",D33="榮-22"  ), $AP33 =""),"18放",  IF(  AND(  OR(  C33="當日退伍"  ),OR(  D33="退伍",D33="退", D33=""  ), $AP33 =""),"當日退伍",  IF(AND(  OR(C33="退",C33="退伍" ), OR(D33="退",D33="退伍" ), $AP33 =""),"退伍","全日勤"  )  )  )  )  )  )  )  )  )  )  ),"")</f>
        <v>病(事)假</v>
      </c>
      <c r="D74" s="66" t="str">
        <f>IF(   (ROW(AP33)-1)&lt;=暫1!$B$2,           IF(  AND(  OR(  D33="x",D33="補"  ), OR(  E33 ="x",E33="補",E33="x榮18-22",E33="x公18-22",E33="x榮22-08"  ), $AP33 =""),"全日休",  IF(  AND(  OR(  D33="x",D33="病"  ), OR(  E33 ="病"  ), $AP33 =""),"病(事)假",  IF(  AND(  OR(  D33="x",D33="補"  ), OR(  E33 ="補"  ), $AP33 =""),"補休",  IF(  AND(  OR(  D33="x",D33="喪"  ), OR(  E33 ="喪"  ), $AP33 =""),"喪假",  IF(  AND(  OR(  D33="x",D33="婚",D33="產"  ), OR(  E33 ="婚",E33="產"  ), $AP33 =""),"婚(產)假",  IF(  AND(  OR(  D33="x",D33="公"  ), OR(  E33 ="公"  ), $AP33 =""),"公假",  IF(  AND(  OR(  D33="x",D33="補",D33="婚",D33="公",D33="病",D33="事",D33="x榮18-22"  ),OR(E33=""), $AP33 =""  ),"18收",  IF(  AND(  OR(  D33 ="榮14-18",D33 ="榮10-18",D33 ="榮06-18",D33 ="病14-18"  ),OR(  E33 ="x",E33="補",E33="婚",E33="公",E33="病",E33="事",E33="x"  ), $AP33 =""),"18放早走",  IF(  AND(  OR(  D33 =""),OR(  E33 ="x",E33="補",E33="婚",E33="公",E33="病",E33="事",E33="x榮*",E33="榮",E33="榮-22"  ), $AP33 =""),"18放",  IF(  AND(  OR(  D33="當日退伍"  ),OR(  E33="退伍",E33="退", E33=""  ), $AP33 =""),"當日退伍",  IF(AND(  OR(D33="退",D33="退伍" ), OR(E33="退",E33="退伍" ), $AP33 =""),"退伍","全日勤"  )  )  )  )  )  )  )  )  )  )  ),"")</f>
        <v>病(事)假</v>
      </c>
      <c r="E74" s="66" t="str">
        <f>IF(   (ROW(AQ33)-1)&lt;=暫1!$B$2,           IF(  AND(  OR(  E33="x",E33="補"  ), OR(  F33 ="x",F33="補",F33="x榮18-22",F33="x公18-22",F33="x榮22-08"  ), $AP33 =""),"全日休",  IF(  AND(  OR(  E33="x",E33="病"  ), OR(  F33 ="病"  ), $AP33 =""),"病(事)假",  IF(  AND(  OR(  E33="x",E33="補"  ), OR(  F33 ="補"  ), $AP33 =""),"補休",  IF(  AND(  OR(  E33="x",E33="喪"  ), OR(  F33 ="喪"  ), $AP33 =""),"喪假",  IF(  AND(  OR(  E33="x",E33="婚",E33="產"  ), OR(  F33 ="婚",F33="產"  ), $AP33 =""),"婚(產)假",  IF(  AND(  OR(  E33="x",E33="公"  ), OR(  F33 ="公"  ), $AP33 =""),"公假",  IF(  AND(  OR(  E33="x",E33="補",E33="婚",E33="公",E33="病",E33="事",E33="x榮18-22"  ),OR(F33=""), $AP33 =""  ),"18收",  IF(  AND(  OR(  E33 ="榮14-18",E33 ="榮10-18",E33 ="榮06-18",E33 ="病14-18"  ),OR(  F33 ="x",F33="補",F33="婚",F33="公",F33="病",F33="事",F33="x"  ), $AP33 =""),"18放早走",  IF(  AND(  OR(  E33 =""),OR(  F33 ="x",F33="補",F33="婚",F33="公",F33="病",F33="事",F33="x榮*",F33="榮",F33="榮-22"  ), $AP33 =""),"18放",  IF(  AND(  OR(  E33="當日退伍"  ),OR(  F33="退伍",F33="退", F33=""  ), $AP33 =""),"當日退伍",  IF(AND(  OR(E33="退",E33="退伍" ), OR(F33="退",F33="退伍" ), $AP33 =""),"退伍","全日勤"  )  )  )  )  )  )  )  )  )  )  ),"")</f>
        <v>病(事)假</v>
      </c>
      <c r="F74" s="66" t="str">
        <f>IF(   (ROW(AR33)-1)&lt;=暫1!$B$2,           IF(  AND(  OR(  F33="x",F33="補"  ), OR(  G33 ="x",G33="補",G33="x榮18-22",G33="x公18-22",G33="x榮22-08"  ), $AP33 =""),"全日休",  IF(  AND(  OR(  F33="x",F33="病"  ), OR(  G33 ="病"  ), $AP33 =""),"病(事)假",  IF(  AND(  OR(  F33="x",F33="補"  ), OR(  G33 ="補"  ), $AP33 =""),"補休",  IF(  AND(  OR(  F33="x",F33="喪"  ), OR(  G33 ="喪"  ), $AP33 =""),"喪假",  IF(  AND(  OR(  F33="x",F33="婚",F33="產"  ), OR(  G33 ="婚",G33="產"  ), $AP33 =""),"婚(產)假",  IF(  AND(  OR(  F33="x",F33="公"  ), OR(  G33 ="公"  ), $AP33 =""),"公假",  IF(  AND(  OR(  F33="x",F33="補",F33="婚",F33="公",F33="病",F33="事",F33="x榮18-22"  ),OR(G33=""), $AP33 =""  ),"18收",  IF(  AND(  OR(  F33 ="榮14-18",F33 ="榮10-18",F33 ="榮06-18",F33 ="病14-18"  ),OR(  G33 ="x",G33="補",G33="婚",G33="公",G33="病",G33="事",G33="x"  ), $AP33 =""),"18放早走",  IF(  AND(  OR(  F33 =""),OR(  G33 ="x",G33="補",G33="婚",G33="公",G33="病",G33="事",G33="x榮*",G33="榮",G33="榮-22"  ), $AP33 =""),"18放",  IF(  AND(  OR(  F33="當日退伍"  ),OR(  G33="退伍",G33="退", G33=""  ), $AP33 =""),"當日退伍",  IF(AND(  OR(F33="退",F33="退伍" ), OR(G33="退",G33="退伍" ), $AP33 =""),"退伍","全日勤"  )  )  )  )  )  )  )  )  )  )  ),"")</f>
        <v>病(事)假</v>
      </c>
      <c r="G74" s="66" t="str">
        <f>IF(   (ROW(AS33)-1)&lt;=暫1!$B$2,           IF(  AND(  OR(  G33="x",G33="補"  ), OR(  H33 ="x",H33="補",H33="x榮18-22",H33="x公18-22",H33="x榮22-08"  ), $AP33 =""),"全日休",  IF(  AND(  OR(  G33="x",G33="病"  ), OR(  H33 ="病"  ), $AP33 =""),"病(事)假",  IF(  AND(  OR(  G33="x",G33="補"  ), OR(  H33 ="補"  ), $AP33 =""),"補休",  IF(  AND(  OR(  G33="x",G33="喪"  ), OR(  H33 ="喪"  ), $AP33 =""),"喪假",  IF(  AND(  OR(  G33="x",G33="婚",G33="產"  ), OR(  H33 ="婚",H33="產"  ), $AP33 =""),"婚(產)假",  IF(  AND(  OR(  G33="x",G33="公"  ), OR(  H33 ="公"  ), $AP33 =""),"公假",  IF(  AND(  OR(  G33="x",G33="補",G33="婚",G33="公",G33="病",G33="事",G33="x榮18-22"  ),OR(H33=""), $AP33 =""  ),"18收",  IF(  AND(  OR(  G33 ="榮14-18",G33 ="榮10-18",G33 ="榮06-18",G33 ="病14-18"  ),OR(  H33 ="x",H33="補",H33="婚",H33="公",H33="病",H33="事",H33="x"  ), $AP33 =""),"18放早走",  IF(  AND(  OR(  G33 =""),OR(  H33 ="x",H33="補",H33="婚",H33="公",H33="病",H33="事",H33="x榮*",H33="榮",H33="榮-22"  ), $AP33 =""),"18放",  IF(  AND(  OR(  G33="當日退伍"  ),OR(  H33="退伍",H33="退", H33=""  ), $AP33 =""),"當日退伍",  IF(AND(  OR(G33="退",G33="退伍" ), OR(H33="退",H33="退伍" ), $AP33 =""),"退伍","全日勤"  )  )  )  )  )  )  )  )  )  )  ),"")</f>
        <v>病(事)假</v>
      </c>
      <c r="H74" s="66" t="str">
        <f>IF(   (ROW(AT33)-1)&lt;=暫1!$B$2,           IF(  AND(  OR(  H33="x",H33="補"  ), OR(  I33 ="x",I33="補",I33="x榮18-22",I33="x公18-22",I33="x榮22-08"  ), $AP33 =""),"全日休",  IF(  AND(  OR(  H33="x",H33="病"  ), OR(  I33 ="病"  ), $AP33 =""),"病(事)假",  IF(  AND(  OR(  H33="x",H33="補"  ), OR(  I33 ="補"  ), $AP33 =""),"補休",  IF(  AND(  OR(  H33="x",H33="喪"  ), OR(  I33 ="喪"  ), $AP33 =""),"喪假",  IF(  AND(  OR(  H33="x",H33="婚",H33="產"  ), OR(  I33 ="婚",I33="產"  ), $AP33 =""),"婚(產)假",  IF(  AND(  OR(  H33="x",H33="公"  ), OR(  I33 ="公"  ), $AP33 =""),"公假",  IF(  AND(  OR(  H33="x",H33="補",H33="婚",H33="公",H33="病",H33="事",H33="x榮18-22"  ),OR(I33=""), $AP33 =""  ),"18收",  IF(  AND(  OR(  H33 ="榮14-18",H33 ="榮10-18",H33 ="榮06-18",H33 ="病14-18"  ),OR(  I33 ="x",I33="補",I33="婚",I33="公",I33="病",I33="事",I33="x"  ), $AP33 =""),"18放早走",  IF(  AND(  OR(  H33 =""),OR(  I33 ="x",I33="補",I33="婚",I33="公",I33="病",I33="事",I33="x榮*",I33="榮",I33="榮-22"  ), $AP33 =""),"18放",  IF(  AND(  OR(  H33="當日退伍"  ),OR(  I33="退伍",I33="退", I33=""  ), $AP33 =""),"當日退伍",  IF(AND(  OR(H33="退",H33="退伍" ), OR(I33="退",I33="退伍" ), $AP33 =""),"退伍","全日勤"  )  )  )  )  )  )  )  )  )  )  ),"")</f>
        <v>病(事)假</v>
      </c>
      <c r="I74" s="66" t="str">
        <f>IF(   (ROW(AU33)-1)&lt;=暫1!$B$2,           IF(  AND(  OR(  I33="x",I33="補"  ), OR(  J33 ="x",J33="補",J33="x榮18-22",J33="x公18-22",J33="x榮22-08"  ), $AP33 =""),"全日休",  IF(  AND(  OR(  I33="x",I33="病"  ), OR(  J33 ="病"  ), $AP33 =""),"病(事)假",  IF(  AND(  OR(  I33="x",I33="補"  ), OR(  J33 ="補"  ), $AP33 =""),"補休",  IF(  AND(  OR(  I33="x",I33="喪"  ), OR(  J33 ="喪"  ), $AP33 =""),"喪假",  IF(  AND(  OR(  I33="x",I33="婚",I33="產"  ), OR(  J33 ="婚",J33="產"  ), $AP33 =""),"婚(產)假",  IF(  AND(  OR(  I33="x",I33="公"  ), OR(  J33 ="公"  ), $AP33 =""),"公假",  IF(  AND(  OR(  I33="x",I33="補",I33="婚",I33="公",I33="病",I33="事",I33="x榮18-22"  ),OR(J33=""), $AP33 =""  ),"18收",  IF(  AND(  OR(  I33 ="榮14-18",I33 ="榮10-18",I33 ="榮06-18",I33 ="病14-18"  ),OR(  J33 ="x",J33="補",J33="婚",J33="公",J33="病",J33="事",J33="x"  ), $AP33 =""),"18放早走",  IF(  AND(  OR(  I33 =""),OR(  J33 ="x",J33="補",J33="婚",J33="公",J33="病",J33="事",J33="x榮*",J33="榮",J33="榮-22"  ), $AP33 =""),"18放",  IF(  AND(  OR(  I33="當日退伍"  ),OR(  J33="退伍",J33="退", J33=""  ), $AP33 =""),"當日退伍",  IF(AND(  OR(I33="退",I33="退伍" ), OR(J33="退",J33="退伍" ), $AP33 =""),"退伍","全日勤"  )  )  )  )  )  )  )  )  )  )  ),"")</f>
        <v>病(事)假</v>
      </c>
      <c r="J74" s="66" t="str">
        <f>IF(   (ROW(AV33)-1)&lt;=暫1!$B$2,           IF(  AND(  OR(  J33="x",J33="補"  ), OR(  K33 ="x",K33="補",K33="x榮18-22",K33="x公18-22",K33="x榮22-08"  ), $AP33 =""),"全日休",  IF(  AND(  OR(  J33="x",J33="病"  ), OR(  K33 ="病"  ), $AP33 =""),"病(事)假",  IF(  AND(  OR(  J33="x",J33="補"  ), OR(  K33 ="補"  ), $AP33 =""),"補休",  IF(  AND(  OR(  J33="x",J33="喪"  ), OR(  K33 ="喪"  ), $AP33 =""),"喪假",  IF(  AND(  OR(  J33="x",J33="婚",J33="產"  ), OR(  K33 ="婚",K33="產"  ), $AP33 =""),"婚(產)假",  IF(  AND(  OR(  J33="x",J33="公"  ), OR(  K33 ="公"  ), $AP33 =""),"公假",  IF(  AND(  OR(  J33="x",J33="補",J33="婚",J33="公",J33="病",J33="事",J33="x榮18-22"  ),OR(K33=""), $AP33 =""  ),"18收",  IF(  AND(  OR(  J33 ="榮14-18",J33 ="榮10-18",J33 ="榮06-18",J33 ="病14-18"  ),OR(  K33 ="x",K33="補",K33="婚",K33="公",K33="病",K33="事",K33="x"  ), $AP33 =""),"18放早走",  IF(  AND(  OR(  J33 =""),OR(  K33 ="x",K33="補",K33="婚",K33="公",K33="病",K33="事",K33="x榮*",K33="榮",K33="榮-22"  ), $AP33 =""),"18放",  IF(  AND(  OR(  J33="當日退伍"  ),OR(  K33="退伍",K33="退", K33=""  ), $AP33 =""),"當日退伍",  IF(AND(  OR(J33="退",J33="退伍" ), OR(K33="退",K33="退伍" ), $AP33 =""),"退伍","全日勤"  )  )  )  )  )  )  )  )  )  )  ),"")</f>
        <v>病(事)假</v>
      </c>
      <c r="K74" s="66" t="str">
        <f>IF(   (ROW(AW33)-1)&lt;=暫1!$B$2,           IF(  AND(  OR(  K33="x",K33="補"  ), OR(  L33 ="x",L33="補",L33="x榮18-22",L33="x公18-22",L33="x榮22-08"  ), $AP33 =""),"全日休",  IF(  AND(  OR(  K33="x",K33="病"  ), OR(  L33 ="病"  ), $AP33 =""),"病(事)假",  IF(  AND(  OR(  K33="x",K33="補"  ), OR(  L33 ="補"  ), $AP33 =""),"補休",  IF(  AND(  OR(  K33="x",K33="喪"  ), OR(  L33 ="喪"  ), $AP33 =""),"喪假",  IF(  AND(  OR(  K33="x",K33="婚",K33="產"  ), OR(  L33 ="婚",L33="產"  ), $AP33 =""),"婚(產)假",  IF(  AND(  OR(  K33="x",K33="公"  ), OR(  L33 ="公"  ), $AP33 =""),"公假",  IF(  AND(  OR(  K33="x",K33="補",K33="婚",K33="公",K33="病",K33="事",K33="x榮18-22"  ),OR(L33=""), $AP33 =""  ),"18收",  IF(  AND(  OR(  K33 ="榮14-18",K33 ="榮10-18",K33 ="榮06-18",K33 ="病14-18"  ),OR(  L33 ="x",L33="補",L33="婚",L33="公",L33="病",L33="事",L33="x"  ), $AP33 =""),"18放早走",  IF(  AND(  OR(  K33 =""),OR(  L33 ="x",L33="補",L33="婚",L33="公",L33="病",L33="事",L33="x榮*",L33="榮",L33="榮-22"  ), $AP33 =""),"18放",  IF(  AND(  OR(  K33="當日退伍"  ),OR(  L33="退伍",L33="退", L33=""  ), $AP33 =""),"當日退伍",  IF(AND(  OR(K33="退",K33="退伍" ), OR(L33="退",L33="退伍" ), $AP33 =""),"退伍","全日勤"  )  )  )  )  )  )  )  )  )  )  ),"")</f>
        <v>病(事)假</v>
      </c>
      <c r="L74" s="66" t="str">
        <f>IF(   (ROW(AX33)-1)&lt;=暫1!$B$2,           IF(  AND(  OR(  L33="x",L33="補"  ), OR(  M33 ="x",M33="補",M33="x榮18-22",M33="x公18-22",M33="x榮22-08"  ), $AP33 =""),"全日休",  IF(  AND(  OR(  L33="x",L33="病"  ), OR(  M33 ="病"  ), $AP33 =""),"病(事)假",  IF(  AND(  OR(  L33="x",L33="補"  ), OR(  M33 ="補"  ), $AP33 =""),"補休",  IF(  AND(  OR(  L33="x",L33="喪"  ), OR(  M33 ="喪"  ), $AP33 =""),"喪假",  IF(  AND(  OR(  L33="x",L33="婚",L33="產"  ), OR(  M33 ="婚",M33="產"  ), $AP33 =""),"婚(產)假",  IF(  AND(  OR(  L33="x",L33="公"  ), OR(  M33 ="公"  ), $AP33 =""),"公假",  IF(  AND(  OR(  L33="x",L33="補",L33="婚",L33="公",L33="病",L33="事",L33="x榮18-22"  ),OR(M33=""), $AP33 =""  ),"18收",  IF(  AND(  OR(  L33 ="榮14-18",L33 ="榮10-18",L33 ="榮06-18",L33 ="病14-18"  ),OR(  M33 ="x",M33="補",M33="婚",M33="公",M33="病",M33="事",M33="x"  ), $AP33 =""),"18放早走",  IF(  AND(  OR(  L33 =""),OR(  M33 ="x",M33="補",M33="婚",M33="公",M33="病",M33="事",M33="x榮*",M33="榮",M33="榮-22"  ), $AP33 =""),"18放",  IF(  AND(  OR(  L33="當日退伍"  ),OR(  M33="退伍",M33="退", M33=""  ), $AP33 =""),"當日退伍",  IF(AND(  OR(L33="退",L33="退伍" ), OR(M33="退",M33="退伍" ), $AP33 =""),"退伍","全日勤"  )  )  )  )  )  )  )  )  )  )  ),"")</f>
        <v>病(事)假</v>
      </c>
      <c r="M74" s="66" t="str">
        <f>IF(   (ROW(AY33)-1)&lt;=暫1!$B$2,           IF(  AND(  OR(  M33="x",M33="補"  ), OR(  N33 ="x",N33="補",N33="x榮18-22",N33="x公18-22",N33="x榮22-08"  ), $AP33 =""),"全日休",  IF(  AND(  OR(  M33="x",M33="病"  ), OR(  N33 ="病"  ), $AP33 =""),"病(事)假",  IF(  AND(  OR(  M33="x",M33="補"  ), OR(  N33 ="補"  ), $AP33 =""),"補休",  IF(  AND(  OR(  M33="x",M33="喪"  ), OR(  N33 ="喪"  ), $AP33 =""),"喪假",  IF(  AND(  OR(  M33="x",M33="婚",M33="產"  ), OR(  N33 ="婚",N33="產"  ), $AP33 =""),"婚(產)假",  IF(  AND(  OR(  M33="x",M33="公"  ), OR(  N33 ="公"  ), $AP33 =""),"公假",  IF(  AND(  OR(  M33="x",M33="補",M33="婚",M33="公",M33="病",M33="事",M33="x榮18-22"  ),OR(N33=""), $AP33 =""  ),"18收",  IF(  AND(  OR(  M33 ="榮14-18",M33 ="榮10-18",M33 ="榮06-18",M33 ="病14-18"  ),OR(  N33 ="x",N33="補",N33="婚",N33="公",N33="病",N33="事",N33="x"  ), $AP33 =""),"18放早走",  IF(  AND(  OR(  M33 =""),OR(  N33 ="x",N33="補",N33="婚",N33="公",N33="病",N33="事",N33="x榮*",N33="榮",N33="榮-22"  ), $AP33 =""),"18放",  IF(  AND(  OR(  M33="當日退伍"  ),OR(  N33="退伍",N33="退", N33=""  ), $AP33 =""),"當日退伍",  IF(AND(  OR(M33="退",M33="退伍" ), OR(N33="退",N33="退伍" ), $AP33 =""),"退伍","全日勤"  )  )  )  )  )  )  )  )  )  )  ),"")</f>
        <v>病(事)假</v>
      </c>
      <c r="N74" s="66" t="str">
        <f>IF(   (ROW(AZ33)-1)&lt;=暫1!$B$2,           IF(  AND(  OR(  N33="x",N33="補"  ), OR(  O33 ="x",O33="補",O33="x榮18-22",O33="x公18-22",O33="x榮22-08"  ), $AP33 =""),"全日休",  IF(  AND(  OR(  N33="x",N33="病"  ), OR(  O33 ="病"  ), $AP33 =""),"病(事)假",  IF(  AND(  OR(  N33="x",N33="補"  ), OR(  O33 ="補"  ), $AP33 =""),"補休",  IF(  AND(  OR(  N33="x",N33="喪"  ), OR(  O33 ="喪"  ), $AP33 =""),"喪假",  IF(  AND(  OR(  N33="x",N33="婚",N33="產"  ), OR(  O33 ="婚",O33="產"  ), $AP33 =""),"婚(產)假",  IF(  AND(  OR(  N33="x",N33="公"  ), OR(  O33 ="公"  ), $AP33 =""),"公假",  IF(  AND(  OR(  N33="x",N33="補",N33="婚",N33="公",N33="病",N33="事",N33="x榮18-22"  ),OR(O33=""), $AP33 =""  ),"18收",  IF(  AND(  OR(  N33 ="榮14-18",N33 ="榮10-18",N33 ="榮06-18",N33 ="病14-18"  ),OR(  O33 ="x",O33="補",O33="婚",O33="公",O33="病",O33="事",O33="x"  ), $AP33 =""),"18放早走",  IF(  AND(  OR(  N33 =""),OR(  O33 ="x",O33="補",O33="婚",O33="公",O33="病",O33="事",O33="x榮*",O33="榮",O33="榮-22"  ), $AP33 =""),"18放",  IF(  AND(  OR(  N33="當日退伍"  ),OR(  O33="退伍",O33="退", O33=""  ), $AP33 =""),"當日退伍",  IF(AND(  OR(N33="退",N33="退伍" ), OR(O33="退",O33="退伍" ), $AP33 =""),"退伍","全日勤"  )  )  )  )  )  )  )  )  )  )  ),"")</f>
        <v>病(事)假</v>
      </c>
      <c r="O74" s="66" t="str">
        <f>IF(   (ROW(BA33)-1)&lt;=暫1!$B$2,           IF(  AND(  OR(  O33="x",O33="補"  ), OR(  P33 ="x",P33="補",P33="x榮18-22",P33="x公18-22",P33="x榮22-08"  ), $AP33 =""),"全日休",  IF(  AND(  OR(  O33="x",O33="病"  ), OR(  P33 ="病"  ), $AP33 =""),"病(事)假",  IF(  AND(  OR(  O33="x",O33="補"  ), OR(  P33 ="補"  ), $AP33 =""),"補休",  IF(  AND(  OR(  O33="x",O33="喪"  ), OR(  P33 ="喪"  ), $AP33 =""),"喪假",  IF(  AND(  OR(  O33="x",O33="婚",O33="產"  ), OR(  P33 ="婚",P33="產"  ), $AP33 =""),"婚(產)假",  IF(  AND(  OR(  O33="x",O33="公"  ), OR(  P33 ="公"  ), $AP33 =""),"公假",  IF(  AND(  OR(  O33="x",O33="補",O33="婚",O33="公",O33="病",O33="事",O33="x榮18-22"  ),OR(P33=""), $AP33 =""  ),"18收",  IF(  AND(  OR(  O33 ="榮14-18",O33 ="榮10-18",O33 ="榮06-18",O33 ="病14-18"  ),OR(  P33 ="x",P33="補",P33="婚",P33="公",P33="病",P33="事",P33="x"  ), $AP33 =""),"18放早走",  IF(  AND(  OR(  O33 =""),OR(  P33 ="x",P33="補",P33="婚",P33="公",P33="病",P33="事",P33="x榮*",P33="榮",P33="榮-22"  ), $AP33 =""),"18放",  IF(  AND(  OR(  O33="當日退伍"  ),OR(  P33="退伍",P33="退", P33=""  ), $AP33 =""),"當日退伍",  IF(AND(  OR(O33="退",O33="退伍" ), OR(P33="退",P33="退伍" ), $AP33 =""),"退伍","全日勤"  )  )  )  )  )  )  )  )  )  )  ),"")</f>
        <v>病(事)假</v>
      </c>
      <c r="P74" s="66" t="str">
        <f>IF(   (ROW(BB33)-1)&lt;=暫1!$B$2,           IF(  AND(  OR(  P33="x",P33="補"  ), OR(  Q33 ="x",Q33="補",Q33="x榮18-22",Q33="x公18-22",Q33="x榮22-08"  ), $AP33 =""),"全日休",  IF(  AND(  OR(  P33="x",P33="病"  ), OR(  Q33 ="病"  ), $AP33 =""),"病(事)假",  IF(  AND(  OR(  P33="x",P33="補"  ), OR(  Q33 ="補"  ), $AP33 =""),"補休",  IF(  AND(  OR(  P33="x",P33="喪"  ), OR(  Q33 ="喪"  ), $AP33 =""),"喪假",  IF(  AND(  OR(  P33="x",P33="婚",P33="產"  ), OR(  Q33 ="婚",Q33="產"  ), $AP33 =""),"婚(產)假",  IF(  AND(  OR(  P33="x",P33="公"  ), OR(  Q33 ="公"  ), $AP33 =""),"公假",  IF(  AND(  OR(  P33="x",P33="補",P33="婚",P33="公",P33="病",P33="事",P33="x榮18-22"  ),OR(Q33=""), $AP33 =""  ),"18收",  IF(  AND(  OR(  P33 ="榮14-18",P33 ="榮10-18",P33 ="榮06-18",P33 ="病14-18"  ),OR(  Q33 ="x",Q33="補",Q33="婚",Q33="公",Q33="病",Q33="事",Q33="x"  ), $AP33 =""),"18放早走",  IF(  AND(  OR(  P33 =""),OR(  Q33 ="x",Q33="補",Q33="婚",Q33="公",Q33="病",Q33="事",Q33="x榮*",Q33="榮",Q33="榮-22"  ), $AP33 =""),"18放",  IF(  AND(  OR(  P33="當日退伍"  ),OR(  Q33="退伍",Q33="退", Q33=""  ), $AP33 =""),"當日退伍",  IF(AND(  OR(P33="退",P33="退伍" ), OR(Q33="退",Q33="退伍" ), $AP33 =""),"退伍","全日勤"  )  )  )  )  )  )  )  )  )  )  ),"")</f>
        <v>病(事)假</v>
      </c>
      <c r="Q74" s="66" t="str">
        <f>IF(   (ROW(BC33)-1)&lt;=暫1!$B$2,           IF(  AND(  OR(  Q33="x",Q33="補"  ), OR(  R33 ="x",R33="補",R33="x榮18-22",R33="x公18-22",R33="x榮22-08"  ), $AP33 =""),"全日休",  IF(  AND(  OR(  Q33="x",Q33="病"  ), OR(  R33 ="病"  ), $AP33 =""),"病(事)假",  IF(  AND(  OR(  Q33="x",Q33="補"  ), OR(  R33 ="補"  ), $AP33 =""),"補休",  IF(  AND(  OR(  Q33="x",Q33="喪"  ), OR(  R33 ="喪"  ), $AP33 =""),"喪假",  IF(  AND(  OR(  Q33="x",Q33="婚",Q33="產"  ), OR(  R33 ="婚",R33="產"  ), $AP33 =""),"婚(產)假",  IF(  AND(  OR(  Q33="x",Q33="公"  ), OR(  R33 ="公"  ), $AP33 =""),"公假",  IF(  AND(  OR(  Q33="x",Q33="補",Q33="婚",Q33="公",Q33="病",Q33="事",Q33="x榮18-22"  ),OR(R33=""), $AP33 =""  ),"18收",  IF(  AND(  OR(  Q33 ="榮14-18",Q33 ="榮10-18",Q33 ="榮06-18",Q33 ="病14-18"  ),OR(  R33 ="x",R33="補",R33="婚",R33="公",R33="病",R33="事",R33="x"  ), $AP33 =""),"18放早走",  IF(  AND(  OR(  Q33 =""),OR(  R33 ="x",R33="補",R33="婚",R33="公",R33="病",R33="事",R33="x榮*",R33="榮",R33="榮-22"  ), $AP33 =""),"18放",  IF(  AND(  OR(  Q33="當日退伍"  ),OR(  R33="退伍",R33="退", R33=""  ), $AP33 =""),"當日退伍",  IF(AND(  OR(Q33="退",Q33="退伍" ), OR(R33="退",R33="退伍" ), $AP33 =""),"退伍","全日勤"  )  )  )  )  )  )  )  )  )  )  ),"")</f>
        <v>病(事)假</v>
      </c>
      <c r="R74" s="66" t="str">
        <f>IF(   (ROW(BD33)-1)&lt;=暫1!$B$2,           IF(  AND(  OR(  R33="x",R33="補"  ), OR(  S33 ="x",S33="補",S33="x榮18-22",S33="x公18-22",S33="x榮22-08"  ), $AP33 =""),"全日休",  IF(  AND(  OR(  R33="x",R33="病"  ), OR(  S33 ="病"  ), $AP33 =""),"病(事)假",  IF(  AND(  OR(  R33="x",R33="補"  ), OR(  S33 ="補"  ), $AP33 =""),"補休",  IF(  AND(  OR(  R33="x",R33="喪"  ), OR(  S33 ="喪"  ), $AP33 =""),"喪假",  IF(  AND(  OR(  R33="x",R33="婚",R33="產"  ), OR(  S33 ="婚",S33="產"  ), $AP33 =""),"婚(產)假",  IF(  AND(  OR(  R33="x",R33="公"  ), OR(  S33 ="公"  ), $AP33 =""),"公假",  IF(  AND(  OR(  R33="x",R33="補",R33="婚",R33="公",R33="病",R33="事",R33="x榮18-22"  ),OR(S33=""), $AP33 =""  ),"18收",  IF(  AND(  OR(  R33 ="榮14-18",R33 ="榮10-18",R33 ="榮06-18",R33 ="病14-18"  ),OR(  S33 ="x",S33="補",S33="婚",S33="公",S33="病",S33="事",S33="x"  ), $AP33 =""),"18放早走",  IF(  AND(  OR(  R33 =""),OR(  S33 ="x",S33="補",S33="婚",S33="公",S33="病",S33="事",S33="x榮*",S33="榮",S33="榮-22"  ), $AP33 =""),"18放",  IF(  AND(  OR(  R33="當日退伍"  ),OR(  S33="退伍",S33="退", S33=""  ), $AP33 =""),"當日退伍",  IF(AND(  OR(R33="退",R33="退伍" ), OR(S33="退",S33="退伍" ), $AP33 =""),"退伍","全日勤"  )  )  )  )  )  )  )  )  )  )  ),"")</f>
        <v>病(事)假</v>
      </c>
      <c r="S74" s="66" t="str">
        <f>IF(   (ROW(BE33)-1)&lt;=暫1!$B$2,           IF(  AND(  OR(  S33="x",S33="補"  ), OR(  T33 ="x",T33="補",T33="x榮18-22",T33="x公18-22",T33="x榮22-08"  ), $AP33 =""),"全日休",  IF(  AND(  OR(  S33="x",S33="病"  ), OR(  T33 ="病"  ), $AP33 =""),"病(事)假",  IF(  AND(  OR(  S33="x",S33="補"  ), OR(  T33 ="補"  ), $AP33 =""),"補休",  IF(  AND(  OR(  S33="x",S33="喪"  ), OR(  T33 ="喪"  ), $AP33 =""),"喪假",  IF(  AND(  OR(  S33="x",S33="婚",S33="產"  ), OR(  T33 ="婚",T33="產"  ), $AP33 =""),"婚(產)假",  IF(  AND(  OR(  S33="x",S33="公"  ), OR(  T33 ="公"  ), $AP33 =""),"公假",  IF(  AND(  OR(  S33="x",S33="補",S33="婚",S33="公",S33="病",S33="事",S33="x榮18-22"  ),OR(T33=""), $AP33 =""  ),"18收",  IF(  AND(  OR(  S33 ="榮14-18",S33 ="榮10-18",S33 ="榮06-18",S33 ="病14-18"  ),OR(  T33 ="x",T33="補",T33="婚",T33="公",T33="病",T33="事",T33="x"  ), $AP33 =""),"18放早走",  IF(  AND(  OR(  S33 =""),OR(  T33 ="x",T33="補",T33="婚",T33="公",T33="病",T33="事",T33="x榮*",T33="榮",T33="榮-22"  ), $AP33 =""),"18放",  IF(  AND(  OR(  S33="當日退伍"  ),OR(  T33="退伍",T33="退", T33=""  ), $AP33 =""),"當日退伍",  IF(AND(  OR(S33="退",S33="退伍" ), OR(T33="退",T33="退伍" ), $AP33 =""),"退伍","全日勤"  )  )  )  )  )  )  )  )  )  )  ),"")</f>
        <v>病(事)假</v>
      </c>
      <c r="T74" s="66" t="str">
        <f>IF(   (ROW(BF33)-1)&lt;=暫1!$B$2,           IF(  AND(  OR(  T33="x",T33="補"  ), OR(  U33 ="x",U33="補",U33="x榮18-22",U33="x公18-22",U33="x榮22-08"  ), $AP33 =""),"全日休",  IF(  AND(  OR(  T33="x",T33="病"  ), OR(  U33 ="病"  ), $AP33 =""),"病(事)假",  IF(  AND(  OR(  T33="x",T33="補"  ), OR(  U33 ="補"  ), $AP33 =""),"補休",  IF(  AND(  OR(  T33="x",T33="喪"  ), OR(  U33 ="喪"  ), $AP33 =""),"喪假",  IF(  AND(  OR(  T33="x",T33="婚",T33="產"  ), OR(  U33 ="婚",U33="產"  ), $AP33 =""),"婚(產)假",  IF(  AND(  OR(  T33="x",T33="公"  ), OR(  U33 ="公"  ), $AP33 =""),"公假",  IF(  AND(  OR(  T33="x",T33="補",T33="婚",T33="公",T33="病",T33="事",T33="x榮18-22"  ),OR(U33=""), $AP33 =""  ),"18收",  IF(  AND(  OR(  T33 ="榮14-18",T33 ="榮10-18",T33 ="榮06-18",T33 ="病14-18"  ),OR(  U33 ="x",U33="補",U33="婚",U33="公",U33="病",U33="事",U33="x"  ), $AP33 =""),"18放早走",  IF(  AND(  OR(  T33 =""),OR(  U33 ="x",U33="補",U33="婚",U33="公",U33="病",U33="事",U33="x榮*",U33="榮",U33="榮-22"  ), $AP33 =""),"18放",  IF(  AND(  OR(  T33="當日退伍"  ),OR(  U33="退伍",U33="退", U33=""  ), $AP33 =""),"當日退伍",  IF(AND(  OR(T33="退",T33="退伍" ), OR(U33="退",U33="退伍" ), $AP33 =""),"退伍","全日勤"  )  )  )  )  )  )  )  )  )  )  ),"")</f>
        <v>病(事)假</v>
      </c>
      <c r="U74" s="66" t="str">
        <f>IF(   (ROW(BG33)-1)&lt;=暫1!$B$2,           IF(  AND(  OR(  U33="x",U33="補"  ), OR(  V33 ="x",V33="補",V33="x榮18-22",V33="x公18-22",V33="x榮22-08"  ), $AP33 =""),"全日休",  IF(  AND(  OR(  U33="x",U33="病"  ), OR(  V33 ="病"  ), $AP33 =""),"病(事)假",  IF(  AND(  OR(  U33="x",U33="補"  ), OR(  V33 ="補"  ), $AP33 =""),"補休",  IF(  AND(  OR(  U33="x",U33="喪"  ), OR(  V33 ="喪"  ), $AP33 =""),"喪假",  IF(  AND(  OR(  U33="x",U33="婚",U33="產"  ), OR(  V33 ="婚",V33="產"  ), $AP33 =""),"婚(產)假",  IF(  AND(  OR(  U33="x",U33="公"  ), OR(  V33 ="公"  ), $AP33 =""),"公假",  IF(  AND(  OR(  U33="x",U33="補",U33="婚",U33="公",U33="病",U33="事",U33="x榮18-22"  ),OR(V33=""), $AP33 =""  ),"18收",  IF(  AND(  OR(  U33 ="榮14-18",U33 ="榮10-18",U33 ="榮06-18",U33 ="病14-18"  ),OR(  V33 ="x",V33="補",V33="婚",V33="公",V33="病",V33="事",V33="x"  ), $AP33 =""),"18放早走",  IF(  AND(  OR(  U33 =""),OR(  V33 ="x",V33="補",V33="婚",V33="公",V33="病",V33="事",V33="x榮*",V33="榮",V33="榮-22"  ), $AP33 =""),"18放",  IF(  AND(  OR(  U33="當日退伍"  ),OR(  V33="退伍",V33="退", V33=""  ), $AP33 =""),"當日退伍",  IF(AND(  OR(U33="退",U33="退伍" ), OR(V33="退",V33="退伍" ), $AP33 =""),"退伍","全日勤"  )  )  )  )  )  )  )  )  )  )  ),"")</f>
        <v>病(事)假</v>
      </c>
      <c r="V74" s="66" t="str">
        <f>IF(   (ROW(BH33)-1)&lt;=暫1!$B$2,           IF(  AND(  OR(  V33="x",V33="補"  ), OR(  W33 ="x",W33="補",W33="x榮18-22",W33="x公18-22",W33="x榮22-08"  ), $AP33 =""),"全日休",  IF(  AND(  OR(  V33="x",V33="病"  ), OR(  W33 ="病"  ), $AP33 =""),"病(事)假",  IF(  AND(  OR(  V33="x",V33="補"  ), OR(  W33 ="補"  ), $AP33 =""),"補休",  IF(  AND(  OR(  V33="x",V33="喪"  ), OR(  W33 ="喪"  ), $AP33 =""),"喪假",  IF(  AND(  OR(  V33="x",V33="婚",V33="產"  ), OR(  W33 ="婚",W33="產"  ), $AP33 =""),"婚(產)假",  IF(  AND(  OR(  V33="x",V33="公"  ), OR(  W33 ="公"  ), $AP33 =""),"公假",  IF(  AND(  OR(  V33="x",V33="補",V33="婚",V33="公",V33="病",V33="事",V33="x榮18-22"  ),OR(W33=""), $AP33 =""  ),"18收",  IF(  AND(  OR(  V33 ="榮14-18",V33 ="榮10-18",V33 ="榮06-18",V33 ="病14-18"  ),OR(  W33 ="x",W33="補",W33="婚",W33="公",W33="病",W33="事",W33="x"  ), $AP33 =""),"18放早走",  IF(  AND(  OR(  V33 =""),OR(  W33 ="x",W33="補",W33="婚",W33="公",W33="病",W33="事",W33="x榮*",W33="榮",W33="榮-22"  ), $AP33 =""),"18放",  IF(  AND(  OR(  V33="當日退伍"  ),OR(  W33="退伍",W33="退", W33=""  ), $AP33 =""),"當日退伍",  IF(AND(  OR(V33="退",V33="退伍" ), OR(W33="退",W33="退伍" ), $AP33 =""),"退伍","全日勤"  )  )  )  )  )  )  )  )  )  )  ),"")</f>
        <v>病(事)假</v>
      </c>
      <c r="W74" s="66" t="str">
        <f>IF(   (ROW(BI33)-1)&lt;=暫1!$B$2,           IF(  AND(  OR(  W33="x",W33="補"  ), OR(  X33 ="x",X33="補",X33="x榮18-22",X33="x公18-22",X33="x榮22-08"  ), $AP33 =""),"全日休",  IF(  AND(  OR(  W33="x",W33="病"  ), OR(  X33 ="病"  ), $AP33 =""),"病(事)假",  IF(  AND(  OR(  W33="x",W33="補"  ), OR(  X33 ="補"  ), $AP33 =""),"補休",  IF(  AND(  OR(  W33="x",W33="喪"  ), OR(  X33 ="喪"  ), $AP33 =""),"喪假",  IF(  AND(  OR(  W33="x",W33="婚",W33="產"  ), OR(  X33 ="婚",X33="產"  ), $AP33 =""),"婚(產)假",  IF(  AND(  OR(  W33="x",W33="公"  ), OR(  X33 ="公"  ), $AP33 =""),"公假",  IF(  AND(  OR(  W33="x",W33="補",W33="婚",W33="公",W33="病",W33="事",W33="x榮18-22"  ),OR(X33=""), $AP33 =""  ),"18收",  IF(  AND(  OR(  W33 ="榮14-18",W33 ="榮10-18",W33 ="榮06-18",W33 ="病14-18"  ),OR(  X33 ="x",X33="補",X33="婚",X33="公",X33="病",X33="事",X33="x"  ), $AP33 =""),"18放早走",  IF(  AND(  OR(  W33 =""),OR(  X33 ="x",X33="補",X33="婚",X33="公",X33="病",X33="事",X33="x榮*",X33="榮",X33="榮-22"  ), $AP33 =""),"18放",  IF(  AND(  OR(  W33="當日退伍"  ),OR(  X33="退伍",X33="退", X33=""  ), $AP33 =""),"當日退伍",  IF(AND(  OR(W33="退",W33="退伍" ), OR(X33="退",X33="退伍" ), $AP33 =""),"退伍","全日勤"  )  )  )  )  )  )  )  )  )  )  ),"")</f>
        <v>病(事)假</v>
      </c>
      <c r="X74" s="66" t="str">
        <f>IF(   (ROW(BJ33)-1)&lt;=暫1!$B$2,           IF(  AND(  OR(  X33="x",X33="補"  ), OR(  Y33 ="x",Y33="補",Y33="x榮18-22",Y33="x公18-22",Y33="x榮22-08"  ), $AP33 =""),"全日休",  IF(  AND(  OR(  X33="x",X33="病"  ), OR(  Y33 ="病"  ), $AP33 =""),"病(事)假",  IF(  AND(  OR(  X33="x",X33="補"  ), OR(  Y33 ="補"  ), $AP33 =""),"補休",  IF(  AND(  OR(  X33="x",X33="喪"  ), OR(  Y33 ="喪"  ), $AP33 =""),"喪假",  IF(  AND(  OR(  X33="x",X33="婚",X33="產"  ), OR(  Y33 ="婚",Y33="產"  ), $AP33 =""),"婚(產)假",  IF(  AND(  OR(  X33="x",X33="公"  ), OR(  Y33 ="公"  ), $AP33 =""),"公假",  IF(  AND(  OR(  X33="x",X33="補",X33="婚",X33="公",X33="病",X33="事",X33="x榮18-22"  ),OR(Y33=""), $AP33 =""  ),"18收",  IF(  AND(  OR(  X33 ="榮14-18",X33 ="榮10-18",X33 ="榮06-18",X33 ="病14-18"  ),OR(  Y33 ="x",Y33="補",Y33="婚",Y33="公",Y33="病",Y33="事",Y33="x"  ), $AP33 =""),"18放早走",  IF(  AND(  OR(  X33 =""),OR(  Y33 ="x",Y33="補",Y33="婚",Y33="公",Y33="病",Y33="事",Y33="x榮*",Y33="榮",Y33="榮-22"  ), $AP33 =""),"18放",  IF(  AND(  OR(  X33="當日退伍"  ),OR(  Y33="退伍",Y33="退", Y33=""  ), $AP33 =""),"當日退伍",  IF(AND(  OR(X33="退",X33="退伍" ), OR(Y33="退",Y33="退伍" ), $AP33 =""),"退伍","全日勤"  )  )  )  )  )  )  )  )  )  )  ),"")</f>
        <v>病(事)假</v>
      </c>
      <c r="Y74" s="66" t="str">
        <f>IF(   (ROW(BK33)-1)&lt;=暫1!$B$2,           IF(  AND(  OR(  Y33="x",Y33="補"  ), OR(  Z33 ="x",Z33="補",Z33="x榮18-22",Z33="x公18-22",Z33="x榮22-08"  ), $AP33 =""),"全日休",  IF(  AND(  OR(  Y33="x",Y33="病"  ), OR(  Z33 ="病"  ), $AP33 =""),"病(事)假",  IF(  AND(  OR(  Y33="x",Y33="補"  ), OR(  Z33 ="補"  ), $AP33 =""),"補休",  IF(  AND(  OR(  Y33="x",Y33="喪"  ), OR(  Z33 ="喪"  ), $AP33 =""),"喪假",  IF(  AND(  OR(  Y33="x",Y33="婚",Y33="產"  ), OR(  Z33 ="婚",Z33="產"  ), $AP33 =""),"婚(產)假",  IF(  AND(  OR(  Y33="x",Y33="公"  ), OR(  Z33 ="公"  ), $AP33 =""),"公假",  IF(  AND(  OR(  Y33="x",Y33="補",Y33="婚",Y33="公",Y33="病",Y33="事",Y33="x榮18-22"  ),OR(Z33=""), $AP33 =""  ),"18收",  IF(  AND(  OR(  Y33 ="榮14-18",Y33 ="榮10-18",Y33 ="榮06-18",Y33 ="病14-18"  ),OR(  Z33 ="x",Z33="補",Z33="婚",Z33="公",Z33="病",Z33="事",Z33="x"  ), $AP33 =""),"18放早走",  IF(  AND(  OR(  Y33 =""),OR(  Z33 ="x",Z33="補",Z33="婚",Z33="公",Z33="病",Z33="事",Z33="x榮*",Z33="榮",Z33="榮-22"  ), $AP33 =""),"18放",  IF(  AND(  OR(  Y33="當日退伍"  ),OR(  Z33="退伍",Z33="退", Z33=""  ), $AP33 =""),"當日退伍",  IF(AND(  OR(Y33="退",Y33="退伍" ), OR(Z33="退",Z33="退伍" ), $AP33 =""),"退伍","全日勤"  )  )  )  )  )  )  )  )  )  )  ),"")</f>
        <v>病(事)假</v>
      </c>
      <c r="Z74" s="66" t="str">
        <f>IF(   (ROW(BL33)-1)&lt;=暫1!$B$2,           IF(  AND(  OR(  Z33="x",Z33="補"  ), OR(  AA33 ="x",AA33="補",AA33="x榮18-22",AA33="x公18-22",AA33="x榮22-08"  ), $AP33 =""),"全日休",  IF(  AND(  OR(  Z33="x",Z33="病"  ), OR(  AA33 ="病"  ), $AP33 =""),"病(事)假",  IF(  AND(  OR(  Z33="x",Z33="補"  ), OR(  AA33 ="補"  ), $AP33 =""),"補休",  IF(  AND(  OR(  Z33="x",Z33="喪"  ), OR(  AA33 ="喪"  ), $AP33 =""),"喪假",  IF(  AND(  OR(  Z33="x",Z33="婚",Z33="產"  ), OR(  AA33 ="婚",AA33="產"  ), $AP33 =""),"婚(產)假",  IF(  AND(  OR(  Z33="x",Z33="公"  ), OR(  AA33 ="公"  ), $AP33 =""),"公假",  IF(  AND(  OR(  Z33="x",Z33="補",Z33="婚",Z33="公",Z33="病",Z33="事",Z33="x榮18-22"  ),OR(AA33=""), $AP33 =""  ),"18收",  IF(  AND(  OR(  Z33 ="榮14-18",Z33 ="榮10-18",Z33 ="榮06-18",Z33 ="病14-18"  ),OR(  AA33 ="x",AA33="補",AA33="婚",AA33="公",AA33="病",AA33="事",AA33="x"  ), $AP33 =""),"18放早走",  IF(  AND(  OR(  Z33 =""),OR(  AA33 ="x",AA33="補",AA33="婚",AA33="公",AA33="病",AA33="事",AA33="x榮*",AA33="榮",AA33="榮-22"  ), $AP33 =""),"18放",  IF(  AND(  OR(  Z33="當日退伍"  ),OR(  AA33="退伍",AA33="退", AA33=""  ), $AP33 =""),"當日退伍",  IF(AND(  OR(Z33="退",Z33="退伍" ), OR(AA33="退",AA33="退伍" ), $AP33 =""),"退伍","全日勤"  )  )  )  )  )  )  )  )  )  )  ),"")</f>
        <v>病(事)假</v>
      </c>
      <c r="AA74" s="66" t="str">
        <f>IF(   (ROW(BM33)-1)&lt;=暫1!$B$2,           IF(  AND(  OR(  AA33="x",AA33="補"  ), OR(  AB33 ="x",AB33="補",AB33="x榮18-22",AB33="x公18-22",AB33="x榮22-08"  ), $AP33 =""),"全日休",  IF(  AND(  OR(  AA33="x",AA33="病"  ), OR(  AB33 ="病"  ), $AP33 =""),"病(事)假",  IF(  AND(  OR(  AA33="x",AA33="補"  ), OR(  AB33 ="補"  ), $AP33 =""),"補休",  IF(  AND(  OR(  AA33="x",AA33="喪"  ), OR(  AB33 ="喪"  ), $AP33 =""),"喪假",  IF(  AND(  OR(  AA33="x",AA33="婚",AA33="產"  ), OR(  AB33 ="婚",AB33="產"  ), $AP33 =""),"婚(產)假",  IF(  AND(  OR(  AA33="x",AA33="公"  ), OR(  AB33 ="公"  ), $AP33 =""),"公假",  IF(  AND(  OR(  AA33="x",AA33="補",AA33="婚",AA33="公",AA33="病",AA33="事",AA33="x榮18-22"  ),OR(AB33=""), $AP33 =""  ),"18收",  IF(  AND(  OR(  AA33 ="榮14-18",AA33 ="榮10-18",AA33 ="榮06-18",AA33 ="病14-18"  ),OR(  AB33 ="x",AB33="補",AB33="婚",AB33="公",AB33="病",AB33="事",AB33="x"  ), $AP33 =""),"18放早走",  IF(  AND(  OR(  AA33 =""),OR(  AB33 ="x",AB33="補",AB33="婚",AB33="公",AB33="病",AB33="事",AB33="x榮*",AB33="榮",AB33="榮-22"  ), $AP33 =""),"18放",  IF(  AND(  OR(  AA33="當日退伍"  ),OR(  AB33="退伍",AB33="退", AB33=""  ), $AP33 =""),"當日退伍",  IF(AND(  OR(AA33="退",AA33="退伍" ), OR(AB33="退",AB33="退伍" ), $AP33 =""),"退伍","全日勤"  )  )  )  )  )  )  )  )  )  )  ),"")</f>
        <v>病(事)假</v>
      </c>
      <c r="AB74" s="66" t="str">
        <f>IF(   (ROW(BN33)-1)&lt;=暫1!$B$2,           IF(  AND(  OR(  AB33="x",AB33="補"  ), OR(  AC33 ="x",AC33="補",AC33="x榮18-22",AC33="x公18-22",AC33="x榮22-08"  ), $AP33 =""),"全日休",  IF(  AND(  OR(  AB33="x",AB33="病"  ), OR(  AC33 ="病"  ), $AP33 =""),"病(事)假",  IF(  AND(  OR(  AB33="x",AB33="補"  ), OR(  AC33 ="補"  ), $AP33 =""),"補休",  IF(  AND(  OR(  AB33="x",AB33="喪"  ), OR(  AC33 ="喪"  ), $AP33 =""),"喪假",  IF(  AND(  OR(  AB33="x",AB33="婚",AB33="產"  ), OR(  AC33 ="婚",AC33="產"  ), $AP33 =""),"婚(產)假",  IF(  AND(  OR(  AB33="x",AB33="公"  ), OR(  AC33 ="公"  ), $AP33 =""),"公假",  IF(  AND(  OR(  AB33="x",AB33="補",AB33="婚",AB33="公",AB33="病",AB33="事",AB33="x榮18-22"  ),OR(AC33=""), $AP33 =""  ),"18收",  IF(  AND(  OR(  AB33 ="榮14-18",AB33 ="榮10-18",AB33 ="榮06-18",AB33 ="病14-18"  ),OR(  AC33 ="x",AC33="補",AC33="婚",AC33="公",AC33="病",AC33="事",AC33="x"  ), $AP33 =""),"18放早走",  IF(  AND(  OR(  AB33 =""),OR(  AC33 ="x",AC33="補",AC33="婚",AC33="公",AC33="病",AC33="事",AC33="x榮*",AC33="榮",AC33="榮-22"  ), $AP33 =""),"18放",  IF(  AND(  OR(  AB33="當日退伍"  ),OR(  AC33="退伍",AC33="退", AC33=""  ), $AP33 =""),"當日退伍",  IF(AND(  OR(AB33="退",AB33="退伍" ), OR(AC33="退",AC33="退伍" ), $AP33 =""),"退伍","全日勤"  )  )  )  )  )  )  )  )  )  )  ),"")</f>
        <v>病(事)假</v>
      </c>
      <c r="AC74" s="66" t="str">
        <f>IF(   (ROW(BO33)-1)&lt;=暫1!$B$2,           IF(  AND(  OR(  AC33="x",AC33="補"  ), OR(  AD33 ="x",AD33="補",AD33="x榮18-22",AD33="x公18-22",AD33="x榮22-08"  ), $AP33 =""),"全日休",  IF(  AND(  OR(  AC33="x",AC33="病"  ), OR(  AD33 ="病"  ), $AP33 =""),"病(事)假",  IF(  AND(  OR(  AC33="x",AC33="補"  ), OR(  AD33 ="補"  ), $AP33 =""),"補休",  IF(  AND(  OR(  AC33="x",AC33="喪"  ), OR(  AD33 ="喪"  ), $AP33 =""),"喪假",  IF(  AND(  OR(  AC33="x",AC33="婚",AC33="產"  ), OR(  AD33 ="婚",AD33="產"  ), $AP33 =""),"婚(產)假",  IF(  AND(  OR(  AC33="x",AC33="公"  ), OR(  AD33 ="公"  ), $AP33 =""),"公假",  IF(  AND(  OR(  AC33="x",AC33="補",AC33="婚",AC33="公",AC33="病",AC33="事",AC33="x榮18-22"  ),OR(AD33=""), $AP33 =""  ),"18收",  IF(  AND(  OR(  AC33 ="榮14-18",AC33 ="榮10-18",AC33 ="榮06-18",AC33 ="病14-18"  ),OR(  AD33 ="x",AD33="補",AD33="婚",AD33="公",AD33="病",AD33="事",AD33="x"  ), $AP33 =""),"18放早走",  IF(  AND(  OR(  AC33 =""),OR(  AD33 ="x",AD33="補",AD33="婚",AD33="公",AD33="病",AD33="事",AD33="x榮*",AD33="榮",AD33="榮-22"  ), $AP33 =""),"18放",  IF(  AND(  OR(  AC33="當日退伍"  ),OR(  AD33="退伍",AD33="退", AD33=""  ), $AP33 =""),"當日退伍",  IF(AND(  OR(AC33="退",AC33="退伍" ), OR(AD33="退",AD33="退伍" ), $AP33 =""),"退伍","全日勤"  )  )  )  )  )  )  )  )  )  )  ),"")</f>
        <v>病(事)假</v>
      </c>
      <c r="AD74" s="66" t="str">
        <f>IF(   (ROW(BP33)-1)&lt;=暫1!$B$2,           IF(  AND(  OR(  AD33="x",AD33="補"  ), OR(  AE33 ="x",AE33="補",AE33="x榮18-22",AE33="x公18-22",AE33="x榮22-08"  ), $AP33 =""),"全日休",  IF(  AND(  OR(  AD33="x",AD33="病"  ), OR(  AE33 ="病"  ), $AP33 =""),"病(事)假",  IF(  AND(  OR(  AD33="x",AD33="補"  ), OR(  AE33 ="補"  ), $AP33 =""),"補休",  IF(  AND(  OR(  AD33="x",AD33="喪"  ), OR(  AE33 ="喪"  ), $AP33 =""),"喪假",  IF(  AND(  OR(  AD33="x",AD33="婚",AD33="產"  ), OR(  AE33 ="婚",AE33="產"  ), $AP33 =""),"婚(產)假",  IF(  AND(  OR(  AD33="x",AD33="公"  ), OR(  AE33 ="公"  ), $AP33 =""),"公假",  IF(  AND(  OR(  AD33="x",AD33="補",AD33="婚",AD33="公",AD33="病",AD33="事",AD33="x榮18-22"  ),OR(AE33=""), $AP33 =""  ),"18收",  IF(  AND(  OR(  AD33 ="榮14-18",AD33 ="榮10-18",AD33 ="榮06-18",AD33 ="病14-18"  ),OR(  AE33 ="x",AE33="補",AE33="婚",AE33="公",AE33="病",AE33="事",AE33="x"  ), $AP33 =""),"18放早走",  IF(  AND(  OR(  AD33 =""),OR(  AE33 ="x",AE33="補",AE33="婚",AE33="公",AE33="病",AE33="事",AE33="x榮*",AE33="榮",AE33="榮-22"  ), $AP33 =""),"18放",  IF(  AND(  OR(  AD33="當日退伍"  ),OR(  AE33="退伍",AE33="退", AE33=""  ), $AP33 =""),"當日退伍",  IF(AND(  OR(AD33="退",AD33="退伍" ), OR(AE33="退",AE33="退伍" ), $AP33 =""),"退伍","全日勤"  )  )  )  )  )  )  )  )  )  )  ),"")</f>
        <v>病(事)假</v>
      </c>
      <c r="AE74" s="66" t="str">
        <f>IF(   (ROW(BQ33)-1)&lt;=暫1!$B$2,           IF(  AND(  OR(  AE33="x",AE33="補"  ), OR(  AF33 ="x",AF33="補",AF33="x榮18-22",AF33="x公18-22",AF33="x榮22-08"  ), $AP33 =""),"全日休",  IF(  AND(  OR(  AE33="x",AE33="病"  ), OR(  AF33 ="病"  ), $AP33 =""),"病(事)假",  IF(  AND(  OR(  AE33="x",AE33="補"  ), OR(  AF33 ="補"  ), $AP33 =""),"補休",  IF(  AND(  OR(  AE33="x",AE33="喪"  ), OR(  AF33 ="喪"  ), $AP33 =""),"喪假",  IF(  AND(  OR(  AE33="x",AE33="婚",AE33="產"  ), OR(  AF33 ="婚",AF33="產"  ), $AP33 =""),"婚(產)假",  IF(  AND(  OR(  AE33="x",AE33="公"  ), OR(  AF33 ="公"  ), $AP33 =""),"公假",  IF(  AND(  OR(  AE33="x",AE33="補",AE33="婚",AE33="公",AE33="病",AE33="事",AE33="x榮18-22"  ),OR(AF33=""), $AP33 =""  ),"18收",  IF(  AND(  OR(  AE33 ="榮14-18",AE33 ="榮10-18",AE33 ="榮06-18",AE33 ="病14-18"  ),OR(  AF33 ="x",AF33="補",AF33="婚",AF33="公",AF33="病",AF33="事",AF33="x"  ), $AP33 =""),"18放早走",  IF(  AND(  OR(  AE33 =""),OR(  AF33 ="x",AF33="補",AF33="婚",AF33="公",AF33="病",AF33="事",AF33="x榮*",AF33="榮",AF33="榮-22"  ), $AP33 =""),"18放",  IF(  AND(  OR(  AE33="當日退伍"  ),OR(  AF33="退伍",AF33="退", AF33=""  ), $AP33 =""),"當日退伍",  IF(AND(  OR(AE33="退",AE33="退伍" ), OR(AF33="退",AF33="退伍" ), $AP33 =""),"退伍","全日勤"  )  )  )  )  )  )  )  )  )  )  ),"")</f>
        <v>病(事)假</v>
      </c>
      <c r="AF74" s="66" t="str">
        <f>IF(   (ROW(BR33)-1)&lt;=暫1!$B$2,           IF(  AND(  OR(  AF33="x",AF33="補"  ), OR(  AG33 ="x",AG33="補",AG33="x榮18-22",AG33="x公18-22",AG33="x榮22-08"  ), $AP33 =""),"全日休",  IF(  AND(  OR(  AF33="x",AF33="病"  ), OR(  AG33 ="病"  ), $AP33 =""),"病(事)假",  IF(  AND(  OR(  AF33="x",AF33="補"  ), OR(  AG33 ="補"  ), $AP33 =""),"補休",  IF(  AND(  OR(  AF33="x",AF33="喪"  ), OR(  AG33 ="喪"  ), $AP33 =""),"喪假",  IF(  AND(  OR(  AF33="x",AF33="婚",AF33="產"  ), OR(  AG33 ="婚",AG33="產"  ), $AP33 =""),"婚(產)假",  IF(  AND(  OR(  AF33="x",AF33="公"  ), OR(  AG33 ="公"  ), $AP33 =""),"公假",  IF(  AND(  OR(  AF33="x",AF33="補",AF33="婚",AF33="公",AF33="病",AF33="事",AF33="x榮18-22"  ),OR(AG33=""), $AP33 =""  ),"18收",  IF(  AND(  OR(  AF33 ="榮14-18",AF33 ="榮10-18",AF33 ="榮06-18",AF33 ="病14-18"  ),OR(  AG33 ="x",AG33="補",AG33="婚",AG33="公",AG33="病",AG33="事",AG33="x"  ), $AP33 =""),"18放早走",  IF(  AND(  OR(  AF33 =""),OR(  AG33 ="x",AG33="補",AG33="婚",AG33="公",AG33="病",AG33="事",AG33="x榮*",AG33="榮",AG33="榮-22"  ), $AP33 =""),"18放",  IF(  AND(  OR(  AF33="當日退伍"  ),OR(  AG33="退伍",AG33="退", AG33=""  ), $AP33 =""),"當日退伍",  IF(AND(  OR(AF33="退",AF33="退伍" ), OR(AG33="退",AG33="退伍" ), $AP33 =""),"退伍","全日勤"  )  )  )  )  )  )  )  )  )  )  ),"")</f>
        <v>病(事)假</v>
      </c>
      <c r="AG74" s="66" t="str">
        <f>IF(   (ROW(BS33)-1)&lt;=暫1!$B$2,           IF(  AND(  OR(  AG33="x",AG33="補"  ), OR(  AH33 ="x",AH33="補",AH33="x榮18-22",AH33="x公18-22",AH33="x榮22-08"  ), $AP33 =""),"全日休",  IF(  AND(  OR(  AG33="x",AG33="病"  ), OR(  AH33 ="病"  ), $AP33 =""),"病(事)假",  IF(  AND(  OR(  AG33="x",AG33="補"  ), OR(  AH33 ="補"  ), $AP33 =""),"補休",  IF(  AND(  OR(  AG33="x",AG33="喪"  ), OR(  AH33 ="喪"  ), $AP33 =""),"喪假",  IF(  AND(  OR(  AG33="x",AG33="婚",AG33="產"  ), OR(  AH33 ="婚",AH33="產"  ), $AP33 =""),"婚(產)假",  IF(  AND(  OR(  AG33="x",AG33="公"  ), OR(  AH33 ="公"  ), $AP33 =""),"公假",  IF(  AND(  OR(  AG33="x",AG33="補",AG33="婚",AG33="公",AG33="病",AG33="事",AG33="x榮18-22"  ),OR(AH33=""), $AP33 =""  ),"18收",  IF(  AND(  OR(  AG33 ="榮14-18",AG33 ="榮10-18",AG33 ="榮06-18",AG33 ="病14-18"  ),OR(  AH33 ="x",AH33="補",AH33="婚",AH33="公",AH33="病",AH33="事",AH33="x"  ), $AP33 =""),"18放早走",  IF(  AND(  OR(  AG33 =""),OR(  AH33 ="x",AH33="補",AH33="婚",AH33="公",AH33="病",AH33="事",AH33="x榮*",AH33="榮",AH33="榮-22"  ), $AP33 =""),"18放",  IF(  AND(  OR(  AG33="當日退伍"  ),OR(  AH33="退伍",AH33="退", AH33=""  ), $AP33 =""),"當日退伍",  IF(AND(  OR(AG33="退",AG33="退伍" ), OR(AH33="退",AH33="退伍" ), $AP33 =""),"退伍","全日勤"  )  )  )  )  )  )  )  )  )  )  ),"")</f>
        <v>18收</v>
      </c>
      <c r="AH74" s="66" t="str">
        <f>IF(   (ROW(BT33)-1)&lt;=暫1!$B$2,           IF(  AND(  OR(  AH33="x",AH33="補"  ), OR(  AI33 ="x",AI33="補",AI33="x榮18-22",AI33="x公18-22",AI33="x榮22-08"  ), $AP33 =""),"全日休",  IF(  AND(  OR(  AH33="x",AH33="病"  ), OR(  AI33 ="病"  ), $AP33 =""),"病(事)假",  IF(  AND(  OR(  AH33="x",AH33="補"  ), OR(  AI33 ="補"  ), $AP33 =""),"補休",  IF(  AND(  OR(  AH33="x",AH33="喪"  ), OR(  AI33 ="喪"  ), $AP33 =""),"喪假",  IF(  AND(  OR(  AH33="x",AH33="婚",AH33="產"  ), OR(  AI33 ="婚",AI33="產"  ), $AP33 =""),"婚(產)假",  IF(  AND(  OR(  AH33="x",AH33="公"  ), OR(  AI33 ="公"  ), $AP33 =""),"公假",  IF(  AND(  OR(  AH33="x",AH33="補",AH33="婚",AH33="公",AH33="病",AH33="事",AH33="x榮18-22"  ),OR(AI33=""), $AP33 =""  ),"18收",  IF(  AND(  OR(  AH33 ="榮14-18",AH33 ="榮10-18",AH33 ="榮06-18",AH33 ="病14-18"  ),OR(  AI33 ="x",AI33="補",AI33="婚",AI33="公",AI33="病",AI33="事",AI33="x"  ), $AP33 =""),"18放早走",  IF(  AND(  OR(  AH33 =""),OR(  AI33 ="x",AI33="補",AI33="婚",AI33="公",AI33="病",AI33="事",AI33="x榮*",AI33="榮",AI33="榮-22"  ), $AP33 =""),"18放",  IF(  AND(  OR(  AH33="當日退伍"  ),OR(  AI33="退伍",AI33="退", AI33=""  ), $AP33 =""),"當日退伍",  IF(AND(  OR(AH33="退",AH33="退伍" ), OR(AI33="退",AI33="退伍" ), $AP33 =""),"退伍","全日勤"  )  )  )  )  )  )  )  )  )  )  ),"")</f>
        <v>全日勤</v>
      </c>
      <c r="AI74" s="66" t="str">
        <f>IF(   (ROW(BU33)-1)&lt;=暫1!$B$2,           IF(  AND(  OR(  AI33="x",AI33="補"  ), OR(  AJ33 ="x",AJ33="補",AJ33="x榮18-22",AJ33="x公18-22",AJ33="x榮22-08"  ), $AP33 =""),"全日休",  IF(  AND(  OR(  AI33="x",AI33="病"  ), OR(  AJ33 ="病"  ), $AP33 =""),"病(事)假",  IF(  AND(  OR(  AI33="x",AI33="補"  ), OR(  AJ33 ="補"  ), $AP33 =""),"補休",  IF(  AND(  OR(  AI33="x",AI33="喪"  ), OR(  AJ33 ="喪"  ), $AP33 =""),"喪假",  IF(  AND(  OR(  AI33="x",AI33="婚",AI33="產"  ), OR(  AJ33 ="婚",AJ33="產"  ), $AP33 =""),"婚(產)假",  IF(  AND(  OR(  AI33="x",AI33="公"  ), OR(  AJ33 ="公"  ), $AP33 =""),"公假",  IF(  AND(  OR(  AI33="x",AI33="補",AI33="婚",AI33="公",AI33="病",AI33="事",AI33="x榮18-22"  ),OR(AJ33=""), $AP33 =""  ),"18收",  IF(  AND(  OR(  AI33 ="榮14-18",AI33 ="榮10-18",AI33 ="榮06-18",AI33 ="病14-18"  ),OR(  AJ33 ="x",AJ33="補",AJ33="婚",AJ33="公",AJ33="病",AJ33="事",AJ33="x"  ), $AP33 =""),"18放早走",  IF(  AND(  OR(  AI33 =""),OR(  AJ33 ="x",AJ33="補",AJ33="婚",AJ33="公",AJ33="病",AJ33="事",AJ33="x榮*",AJ33="榮",AJ33="榮-22"  ), $AP33 =""),"18放",  IF(  AND(  OR(  AI33="當日退伍"  ),OR(  AJ33="退伍",AJ33="退", AJ33=""  ), $AP33 =""),"當日退伍",  IF(AND(  OR(AI33="退",AI33="退伍" ), OR(AJ33="退",AJ33="退伍" ), $AP33 =""),"退伍","全日勤"  )  )  )  )  )  )  )  )  )  )  ),"")</f>
        <v>全日勤</v>
      </c>
      <c r="AJ74" s="66" t="str">
        <f>IF(   (ROW(BV33)-1)&lt;=暫1!$B$2,           IF(  AND(  OR(  AJ33="x",AJ33="補"  ), OR(  AK33 ="x",AK33="補",AK33="x榮18-22",AK33="x公18-22",AK33="x榮22-08"  ), $AP33 =""),"全日休",  IF(  AND(  OR(  AJ33="x",AJ33="病"  ), OR(  AK33 ="病"  ), $AP33 =""),"病(事)假",  IF(  AND(  OR(  AJ33="x",AJ33="補"  ), OR(  AK33 ="補"  ), $AP33 =""),"補休",  IF(  AND(  OR(  AJ33="x",AJ33="喪"  ), OR(  AK33 ="喪"  ), $AP33 =""),"喪假",  IF(  AND(  OR(  AJ33="x",AJ33="婚",AJ33="產"  ), OR(  AK33 ="婚",AK33="產"  ), $AP33 =""),"婚(產)假",  IF(  AND(  OR(  AJ33="x",AJ33="公"  ), OR(  AK33 ="公"  ), $AP33 =""),"公假",  IF(  AND(  OR(  AJ33="x",AJ33="補",AJ33="婚",AJ33="公",AJ33="病",AJ33="事",AJ33="x榮18-22"  ),OR(AK33=""), $AP33 =""  ),"18收",  IF(  AND(  OR(  AJ33 ="榮14-18",AJ33 ="榮10-18",AJ33 ="榮06-18",AJ33 ="病14-18"  ),OR(  AK33 ="x",AK33="補",AK33="婚",AK33="公",AK33="病",AK33="事",AK33="x"  ), $AP33 =""),"18放早走",  IF(  AND(  OR(  AJ33 =""),OR(  AK33 ="x",AK33="補",AK33="婚",AK33="公",AK33="病",AK33="事",AK33="x榮*",AK33="榮",AK33="榮-22"  ), $AP33 =""),"18放",  IF(  AND(  OR(  AJ33="當日退伍"  ),OR(  AK33="退伍",AK33="退", AK33=""  ), $AP33 =""),"當日退伍",  IF(AND(  OR(AJ33="退",AJ33="退伍" ), OR(AK33="退",AK33="退伍" ), $AP33 =""),"退伍","全日勤"  )  )  )  )  )  )  )  )  )  )  ),"")</f>
        <v>全日勤</v>
      </c>
      <c r="AO74" s="76"/>
      <c r="AP74" s="63"/>
      <c r="AU74" s="63"/>
      <c r="AY74" s="63"/>
      <c r="AZ74" s="63"/>
      <c r="BA74" s="63"/>
    </row>
    <row r="75" spans="1:55" ht="25.5" customHeight="1">
      <c r="A75" s="66">
        <f t="shared" si="4"/>
        <v>33</v>
      </c>
      <c r="B75" s="66" t="str">
        <f t="shared" si="6"/>
        <v/>
      </c>
      <c r="C75" s="66" t="str">
        <f>IF(   (ROW(AO34)-1)&lt;=暫1!$B$2,           IF(  AND(  OR(  C34="x",C34="補"  ), OR(  D34 ="x",D34="補",D34="x榮18-22",D34="x公18-22",D34="x榮22-08"  ), $AP34 =""),"全日休",  IF(  AND(  OR(  C34="x",C34="病"  ), OR(  D34 ="病"  ), $AP34 =""),"病(事)假",  IF(  AND(  OR(  C34="x",C34="補"  ), OR(  D34 ="補"  ), $AP34 =""),"補休",  IF(  AND(  OR(  C34="x",C34="喪"  ), OR(  D34 ="喪"  ), $AP34 =""),"喪假",  IF(  AND(  OR(  C34="x",C34="婚",C34="產"  ), OR(  D34 ="婚",D34="產"  ), $AP34 =""),"婚(產)假",  IF(  AND(  OR(  C34="x",C34="公"  ), OR(  D34 ="公"  ), $AP34 =""),"公假",  IF(  AND(  OR(  C34="x",C34="補",C34="婚",C34="公",C34="病",C34="事",C34="x榮18-22"  ),OR(D34=""), $AP34 =""  ),"18收",  IF(  AND(  OR(  C34 ="榮14-18",C34 ="榮10-18",C34 ="榮06-18",C34 ="病14-18"  ),OR(  D34 ="x",D34="補",D34="婚",D34="公",D34="病",D34="事",D34="x"  ), $AP34 =""),"18放早走",  IF(  AND(  OR(  C34 =""),OR(  D34 ="x",D34="補",D34="婚",D34="公",D34="病",D34="事",D34="x榮*",D34="榮",D34="榮-22"  ), $AP34 =""),"18放",  IF(  AND(  OR(  C34="當日退伍"  ),OR(  D34="退伍",D34="退", D34=""  ), $AP34 =""),"當日退伍",  IF(AND(  OR(C34="退",C34="退伍" ), OR(D34="退",D34="退伍" ), $AP34 =""),"退伍","全日勤"  )  )  )  )  )  )  )  )  )  )  ),"")</f>
        <v/>
      </c>
      <c r="D75" s="66" t="str">
        <f>IF(   (ROW(AP34)-1)&lt;=暫1!$B$2,           IF(  AND(  OR(  D34="x",D34="補"  ), OR(  E34 ="x",E34="補",E34="x榮18-22",E34="x公18-22",E34="x榮22-08"  ), $AP34 =""),"全日休",  IF(  AND(  OR(  D34="x",D34="病"  ), OR(  E34 ="病"  ), $AP34 =""),"病(事)假",  IF(  AND(  OR(  D34="x",D34="補"  ), OR(  E34 ="補"  ), $AP34 =""),"補休",  IF(  AND(  OR(  D34="x",D34="喪"  ), OR(  E34 ="喪"  ), $AP34 =""),"喪假",  IF(  AND(  OR(  D34="x",D34="婚",D34="產"  ), OR(  E34 ="婚",E34="產"  ), $AP34 =""),"婚(產)假",  IF(  AND(  OR(  D34="x",D34="公"  ), OR(  E34 ="公"  ), $AP34 =""),"公假",  IF(  AND(  OR(  D34="x",D34="補",D34="婚",D34="公",D34="病",D34="事",D34="x榮18-22"  ),OR(E34=""), $AP34 =""  ),"18收",  IF(  AND(  OR(  D34 ="榮14-18",D34 ="榮10-18",D34 ="榮06-18",D34 ="病14-18"  ),OR(  E34 ="x",E34="補",E34="婚",E34="公",E34="病",E34="事",E34="x"  ), $AP34 =""),"18放早走",  IF(  AND(  OR(  D34 =""),OR(  E34 ="x",E34="補",E34="婚",E34="公",E34="病",E34="事",E34="x榮*",E34="榮",E34="榮-22"  ), $AP34 =""),"18放",  IF(  AND(  OR(  D34="當日退伍"  ),OR(  E34="退伍",E34="退", E34=""  ), $AP34 =""),"當日退伍",  IF(AND(  OR(D34="退",D34="退伍" ), OR(E34="退",E34="退伍" ), $AP34 =""),"退伍","全日勤"  )  )  )  )  )  )  )  )  )  )  ),"")</f>
        <v/>
      </c>
      <c r="E75" s="66" t="str">
        <f>IF(   (ROW(AQ34)-1)&lt;=暫1!$B$2,           IF(  AND(  OR(  E34="x",E34="補"  ), OR(  F34 ="x",F34="補",F34="x榮18-22",F34="x公18-22",F34="x榮22-08"  ), $AP34 =""),"全日休",  IF(  AND(  OR(  E34="x",E34="病"  ), OR(  F34 ="病"  ), $AP34 =""),"病(事)假",  IF(  AND(  OR(  E34="x",E34="補"  ), OR(  F34 ="補"  ), $AP34 =""),"補休",  IF(  AND(  OR(  E34="x",E34="喪"  ), OR(  F34 ="喪"  ), $AP34 =""),"喪假",  IF(  AND(  OR(  E34="x",E34="婚",E34="產"  ), OR(  F34 ="婚",F34="產"  ), $AP34 =""),"婚(產)假",  IF(  AND(  OR(  E34="x",E34="公"  ), OR(  F34 ="公"  ), $AP34 =""),"公假",  IF(  AND(  OR(  E34="x",E34="補",E34="婚",E34="公",E34="病",E34="事",E34="x榮18-22"  ),OR(F34=""), $AP34 =""  ),"18收",  IF(  AND(  OR(  E34 ="榮14-18",E34 ="榮10-18",E34 ="榮06-18",E34 ="病14-18"  ),OR(  F34 ="x",F34="補",F34="婚",F34="公",F34="病",F34="事",F34="x"  ), $AP34 =""),"18放早走",  IF(  AND(  OR(  E34 =""),OR(  F34 ="x",F34="補",F34="婚",F34="公",F34="病",F34="事",F34="x榮*",F34="榮",F34="榮-22"  ), $AP34 =""),"18放",  IF(  AND(  OR(  E34="當日退伍"  ),OR(  F34="退伍",F34="退", F34=""  ), $AP34 =""),"當日退伍",  IF(AND(  OR(E34="退",E34="退伍" ), OR(F34="退",F34="退伍" ), $AP34 =""),"退伍","全日勤"  )  )  )  )  )  )  )  )  )  )  ),"")</f>
        <v/>
      </c>
      <c r="F75" s="66" t="str">
        <f>IF(   (ROW(AR34)-1)&lt;=暫1!$B$2,           IF(  AND(  OR(  F34="x",F34="補"  ), OR(  G34 ="x",G34="補",G34="x榮18-22",G34="x公18-22",G34="x榮22-08"  ), $AP34 =""),"全日休",  IF(  AND(  OR(  F34="x",F34="病"  ), OR(  G34 ="病"  ), $AP34 =""),"病(事)假",  IF(  AND(  OR(  F34="x",F34="補"  ), OR(  G34 ="補"  ), $AP34 =""),"補休",  IF(  AND(  OR(  F34="x",F34="喪"  ), OR(  G34 ="喪"  ), $AP34 =""),"喪假",  IF(  AND(  OR(  F34="x",F34="婚",F34="產"  ), OR(  G34 ="婚",G34="產"  ), $AP34 =""),"婚(產)假",  IF(  AND(  OR(  F34="x",F34="公"  ), OR(  G34 ="公"  ), $AP34 =""),"公假",  IF(  AND(  OR(  F34="x",F34="補",F34="婚",F34="公",F34="病",F34="事",F34="x榮18-22"  ),OR(G34=""), $AP34 =""  ),"18收",  IF(  AND(  OR(  F34 ="榮14-18",F34 ="榮10-18",F34 ="榮06-18",F34 ="病14-18"  ),OR(  G34 ="x",G34="補",G34="婚",G34="公",G34="病",G34="事",G34="x"  ), $AP34 =""),"18放早走",  IF(  AND(  OR(  F34 =""),OR(  G34 ="x",G34="補",G34="婚",G34="公",G34="病",G34="事",G34="x榮*",G34="榮",G34="榮-22"  ), $AP34 =""),"18放",  IF(  AND(  OR(  F34="當日退伍"  ),OR(  G34="退伍",G34="退", G34=""  ), $AP34 =""),"當日退伍",  IF(AND(  OR(F34="退",F34="退伍" ), OR(G34="退",G34="退伍" ), $AP34 =""),"退伍","全日勤"  )  )  )  )  )  )  )  )  )  )  ),"")</f>
        <v/>
      </c>
      <c r="G75" s="66" t="str">
        <f>IF(   (ROW(AS34)-1)&lt;=暫1!$B$2,           IF(  AND(  OR(  G34="x",G34="補"  ), OR(  H34 ="x",H34="補",H34="x榮18-22",H34="x公18-22",H34="x榮22-08"  ), $AP34 =""),"全日休",  IF(  AND(  OR(  G34="x",G34="病"  ), OR(  H34 ="病"  ), $AP34 =""),"病(事)假",  IF(  AND(  OR(  G34="x",G34="補"  ), OR(  H34 ="補"  ), $AP34 =""),"補休",  IF(  AND(  OR(  G34="x",G34="喪"  ), OR(  H34 ="喪"  ), $AP34 =""),"喪假",  IF(  AND(  OR(  G34="x",G34="婚",G34="產"  ), OR(  H34 ="婚",H34="產"  ), $AP34 =""),"婚(產)假",  IF(  AND(  OR(  G34="x",G34="公"  ), OR(  H34 ="公"  ), $AP34 =""),"公假",  IF(  AND(  OR(  G34="x",G34="補",G34="婚",G34="公",G34="病",G34="事",G34="x榮18-22"  ),OR(H34=""), $AP34 =""  ),"18收",  IF(  AND(  OR(  G34 ="榮14-18",G34 ="榮10-18",G34 ="榮06-18",G34 ="病14-18"  ),OR(  H34 ="x",H34="補",H34="婚",H34="公",H34="病",H34="事",H34="x"  ), $AP34 =""),"18放早走",  IF(  AND(  OR(  G34 =""),OR(  H34 ="x",H34="補",H34="婚",H34="公",H34="病",H34="事",H34="x榮*",H34="榮",H34="榮-22"  ), $AP34 =""),"18放",  IF(  AND(  OR(  G34="當日退伍"  ),OR(  H34="退伍",H34="退", H34=""  ), $AP34 =""),"當日退伍",  IF(AND(  OR(G34="退",G34="退伍" ), OR(H34="退",H34="退伍" ), $AP34 =""),"退伍","全日勤"  )  )  )  )  )  )  )  )  )  )  ),"")</f>
        <v/>
      </c>
      <c r="H75" s="66" t="str">
        <f>IF(   (ROW(AT34)-1)&lt;=暫1!$B$2,           IF(  AND(  OR(  H34="x",H34="補"  ), OR(  I34 ="x",I34="補",I34="x榮18-22",I34="x公18-22",I34="x榮22-08"  ), $AP34 =""),"全日休",  IF(  AND(  OR(  H34="x",H34="病"  ), OR(  I34 ="病"  ), $AP34 =""),"病(事)假",  IF(  AND(  OR(  H34="x",H34="補"  ), OR(  I34 ="補"  ), $AP34 =""),"補休",  IF(  AND(  OR(  H34="x",H34="喪"  ), OR(  I34 ="喪"  ), $AP34 =""),"喪假",  IF(  AND(  OR(  H34="x",H34="婚",H34="產"  ), OR(  I34 ="婚",I34="產"  ), $AP34 =""),"婚(產)假",  IF(  AND(  OR(  H34="x",H34="公"  ), OR(  I34 ="公"  ), $AP34 =""),"公假",  IF(  AND(  OR(  H34="x",H34="補",H34="婚",H34="公",H34="病",H34="事",H34="x榮18-22"  ),OR(I34=""), $AP34 =""  ),"18收",  IF(  AND(  OR(  H34 ="榮14-18",H34 ="榮10-18",H34 ="榮06-18",H34 ="病14-18"  ),OR(  I34 ="x",I34="補",I34="婚",I34="公",I34="病",I34="事",I34="x"  ), $AP34 =""),"18放早走",  IF(  AND(  OR(  H34 =""),OR(  I34 ="x",I34="補",I34="婚",I34="公",I34="病",I34="事",I34="x榮*",I34="榮",I34="榮-22"  ), $AP34 =""),"18放",  IF(  AND(  OR(  H34="當日退伍"  ),OR(  I34="退伍",I34="退", I34=""  ), $AP34 =""),"當日退伍",  IF(AND(  OR(H34="退",H34="退伍" ), OR(I34="退",I34="退伍" ), $AP34 =""),"退伍","全日勤"  )  )  )  )  )  )  )  )  )  )  ),"")</f>
        <v/>
      </c>
      <c r="I75" s="66" t="str">
        <f>IF(   (ROW(AU34)-1)&lt;=暫1!$B$2,           IF(  AND(  OR(  I34="x",I34="補"  ), OR(  J34 ="x",J34="補",J34="x榮18-22",J34="x公18-22",J34="x榮22-08"  ), $AP34 =""),"全日休",  IF(  AND(  OR(  I34="x",I34="病"  ), OR(  J34 ="病"  ), $AP34 =""),"病(事)假",  IF(  AND(  OR(  I34="x",I34="補"  ), OR(  J34 ="補"  ), $AP34 =""),"補休",  IF(  AND(  OR(  I34="x",I34="喪"  ), OR(  J34 ="喪"  ), $AP34 =""),"喪假",  IF(  AND(  OR(  I34="x",I34="婚",I34="產"  ), OR(  J34 ="婚",J34="產"  ), $AP34 =""),"婚(產)假",  IF(  AND(  OR(  I34="x",I34="公"  ), OR(  J34 ="公"  ), $AP34 =""),"公假",  IF(  AND(  OR(  I34="x",I34="補",I34="婚",I34="公",I34="病",I34="事",I34="x榮18-22"  ),OR(J34=""), $AP34 =""  ),"18收",  IF(  AND(  OR(  I34 ="榮14-18",I34 ="榮10-18",I34 ="榮06-18",I34 ="病14-18"  ),OR(  J34 ="x",J34="補",J34="婚",J34="公",J34="病",J34="事",J34="x"  ), $AP34 =""),"18放早走",  IF(  AND(  OR(  I34 =""),OR(  J34 ="x",J34="補",J34="婚",J34="公",J34="病",J34="事",J34="x榮*",J34="榮",J34="榮-22"  ), $AP34 =""),"18放",  IF(  AND(  OR(  I34="當日退伍"  ),OR(  J34="退伍",J34="退", J34=""  ), $AP34 =""),"當日退伍",  IF(AND(  OR(I34="退",I34="退伍" ), OR(J34="退",J34="退伍" ), $AP34 =""),"退伍","全日勤"  )  )  )  )  )  )  )  )  )  )  ),"")</f>
        <v/>
      </c>
      <c r="J75" s="66" t="str">
        <f>IF(   (ROW(AV34)-1)&lt;=暫1!$B$2,           IF(  AND(  OR(  J34="x",J34="補"  ), OR(  K34 ="x",K34="補",K34="x榮18-22",K34="x公18-22",K34="x榮22-08"  ), $AP34 =""),"全日休",  IF(  AND(  OR(  J34="x",J34="病"  ), OR(  K34 ="病"  ), $AP34 =""),"病(事)假",  IF(  AND(  OR(  J34="x",J34="補"  ), OR(  K34 ="補"  ), $AP34 =""),"補休",  IF(  AND(  OR(  J34="x",J34="喪"  ), OR(  K34 ="喪"  ), $AP34 =""),"喪假",  IF(  AND(  OR(  J34="x",J34="婚",J34="產"  ), OR(  K34 ="婚",K34="產"  ), $AP34 =""),"婚(產)假",  IF(  AND(  OR(  J34="x",J34="公"  ), OR(  K34 ="公"  ), $AP34 =""),"公假",  IF(  AND(  OR(  J34="x",J34="補",J34="婚",J34="公",J34="病",J34="事",J34="x榮18-22"  ),OR(K34=""), $AP34 =""  ),"18收",  IF(  AND(  OR(  J34 ="榮14-18",J34 ="榮10-18",J34 ="榮06-18",J34 ="病14-18"  ),OR(  K34 ="x",K34="補",K34="婚",K34="公",K34="病",K34="事",K34="x"  ), $AP34 =""),"18放早走",  IF(  AND(  OR(  J34 =""),OR(  K34 ="x",K34="補",K34="婚",K34="公",K34="病",K34="事",K34="x榮*",K34="榮",K34="榮-22"  ), $AP34 =""),"18放",  IF(  AND(  OR(  J34="當日退伍"  ),OR(  K34="退伍",K34="退", K34=""  ), $AP34 =""),"當日退伍",  IF(AND(  OR(J34="退",J34="退伍" ), OR(K34="退",K34="退伍" ), $AP34 =""),"退伍","全日勤"  )  )  )  )  )  )  )  )  )  )  ),"")</f>
        <v/>
      </c>
      <c r="K75" s="66" t="str">
        <f>IF(   (ROW(AW34)-1)&lt;=暫1!$B$2,           IF(  AND(  OR(  K34="x",K34="補"  ), OR(  L34 ="x",L34="補",L34="x榮18-22",L34="x公18-22",L34="x榮22-08"  ), $AP34 =""),"全日休",  IF(  AND(  OR(  K34="x",K34="病"  ), OR(  L34 ="病"  ), $AP34 =""),"病(事)假",  IF(  AND(  OR(  K34="x",K34="補"  ), OR(  L34 ="補"  ), $AP34 =""),"補休",  IF(  AND(  OR(  K34="x",K34="喪"  ), OR(  L34 ="喪"  ), $AP34 =""),"喪假",  IF(  AND(  OR(  K34="x",K34="婚",K34="產"  ), OR(  L34 ="婚",L34="產"  ), $AP34 =""),"婚(產)假",  IF(  AND(  OR(  K34="x",K34="公"  ), OR(  L34 ="公"  ), $AP34 =""),"公假",  IF(  AND(  OR(  K34="x",K34="補",K34="婚",K34="公",K34="病",K34="事",K34="x榮18-22"  ),OR(L34=""), $AP34 =""  ),"18收",  IF(  AND(  OR(  K34 ="榮14-18",K34 ="榮10-18",K34 ="榮06-18",K34 ="病14-18"  ),OR(  L34 ="x",L34="補",L34="婚",L34="公",L34="病",L34="事",L34="x"  ), $AP34 =""),"18放早走",  IF(  AND(  OR(  K34 =""),OR(  L34 ="x",L34="補",L34="婚",L34="公",L34="病",L34="事",L34="x榮*",L34="榮",L34="榮-22"  ), $AP34 =""),"18放",  IF(  AND(  OR(  K34="當日退伍"  ),OR(  L34="退伍",L34="退", L34=""  ), $AP34 =""),"當日退伍",  IF(AND(  OR(K34="退",K34="退伍" ), OR(L34="退",L34="退伍" ), $AP34 =""),"退伍","全日勤"  )  )  )  )  )  )  )  )  )  )  ),"")</f>
        <v/>
      </c>
      <c r="L75" s="66" t="str">
        <f>IF(   (ROW(AX34)-1)&lt;=暫1!$B$2,           IF(  AND(  OR(  L34="x",L34="補"  ), OR(  M34 ="x",M34="補",M34="x榮18-22",M34="x公18-22",M34="x榮22-08"  ), $AP34 =""),"全日休",  IF(  AND(  OR(  L34="x",L34="病"  ), OR(  M34 ="病"  ), $AP34 =""),"病(事)假",  IF(  AND(  OR(  L34="x",L34="補"  ), OR(  M34 ="補"  ), $AP34 =""),"補休",  IF(  AND(  OR(  L34="x",L34="喪"  ), OR(  M34 ="喪"  ), $AP34 =""),"喪假",  IF(  AND(  OR(  L34="x",L34="婚",L34="產"  ), OR(  M34 ="婚",M34="產"  ), $AP34 =""),"婚(產)假",  IF(  AND(  OR(  L34="x",L34="公"  ), OR(  M34 ="公"  ), $AP34 =""),"公假",  IF(  AND(  OR(  L34="x",L34="補",L34="婚",L34="公",L34="病",L34="事",L34="x榮18-22"  ),OR(M34=""), $AP34 =""  ),"18收",  IF(  AND(  OR(  L34 ="榮14-18",L34 ="榮10-18",L34 ="榮06-18",L34 ="病14-18"  ),OR(  M34 ="x",M34="補",M34="婚",M34="公",M34="病",M34="事",M34="x"  ), $AP34 =""),"18放早走",  IF(  AND(  OR(  L34 =""),OR(  M34 ="x",M34="補",M34="婚",M34="公",M34="病",M34="事",M34="x榮*",M34="榮",M34="榮-22"  ), $AP34 =""),"18放",  IF(  AND(  OR(  L34="當日退伍"  ),OR(  M34="退伍",M34="退", M34=""  ), $AP34 =""),"當日退伍",  IF(AND(  OR(L34="退",L34="退伍" ), OR(M34="退",M34="退伍" ), $AP34 =""),"退伍","全日勤"  )  )  )  )  )  )  )  )  )  )  ),"")</f>
        <v/>
      </c>
      <c r="M75" s="66" t="str">
        <f>IF(   (ROW(AY34)-1)&lt;=暫1!$B$2,           IF(  AND(  OR(  M34="x",M34="補"  ), OR(  N34 ="x",N34="補",N34="x榮18-22",N34="x公18-22",N34="x榮22-08"  ), $AP34 =""),"全日休",  IF(  AND(  OR(  M34="x",M34="病"  ), OR(  N34 ="病"  ), $AP34 =""),"病(事)假",  IF(  AND(  OR(  M34="x",M34="補"  ), OR(  N34 ="補"  ), $AP34 =""),"補休",  IF(  AND(  OR(  M34="x",M34="喪"  ), OR(  N34 ="喪"  ), $AP34 =""),"喪假",  IF(  AND(  OR(  M34="x",M34="婚",M34="產"  ), OR(  N34 ="婚",N34="產"  ), $AP34 =""),"婚(產)假",  IF(  AND(  OR(  M34="x",M34="公"  ), OR(  N34 ="公"  ), $AP34 =""),"公假",  IF(  AND(  OR(  M34="x",M34="補",M34="婚",M34="公",M34="病",M34="事",M34="x榮18-22"  ),OR(N34=""), $AP34 =""  ),"18收",  IF(  AND(  OR(  M34 ="榮14-18",M34 ="榮10-18",M34 ="榮06-18",M34 ="病14-18"  ),OR(  N34 ="x",N34="補",N34="婚",N34="公",N34="病",N34="事",N34="x"  ), $AP34 =""),"18放早走",  IF(  AND(  OR(  M34 =""),OR(  N34 ="x",N34="補",N34="婚",N34="公",N34="病",N34="事",N34="x榮*",N34="榮",N34="榮-22"  ), $AP34 =""),"18放",  IF(  AND(  OR(  M34="當日退伍"  ),OR(  N34="退伍",N34="退", N34=""  ), $AP34 =""),"當日退伍",  IF(AND(  OR(M34="退",M34="退伍" ), OR(N34="退",N34="退伍" ), $AP34 =""),"退伍","全日勤"  )  )  )  )  )  )  )  )  )  )  ),"")</f>
        <v/>
      </c>
      <c r="N75" s="66" t="str">
        <f>IF(   (ROW(AZ34)-1)&lt;=暫1!$B$2,           IF(  AND(  OR(  N34="x",N34="補"  ), OR(  O34 ="x",O34="補",O34="x榮18-22",O34="x公18-22",O34="x榮22-08"  ), $AP34 =""),"全日休",  IF(  AND(  OR(  N34="x",N34="病"  ), OR(  O34 ="病"  ), $AP34 =""),"病(事)假",  IF(  AND(  OR(  N34="x",N34="補"  ), OR(  O34 ="補"  ), $AP34 =""),"補休",  IF(  AND(  OR(  N34="x",N34="喪"  ), OR(  O34 ="喪"  ), $AP34 =""),"喪假",  IF(  AND(  OR(  N34="x",N34="婚",N34="產"  ), OR(  O34 ="婚",O34="產"  ), $AP34 =""),"婚(產)假",  IF(  AND(  OR(  N34="x",N34="公"  ), OR(  O34 ="公"  ), $AP34 =""),"公假",  IF(  AND(  OR(  N34="x",N34="補",N34="婚",N34="公",N34="病",N34="事",N34="x榮18-22"  ),OR(O34=""), $AP34 =""  ),"18收",  IF(  AND(  OR(  N34 ="榮14-18",N34 ="榮10-18",N34 ="榮06-18",N34 ="病14-18"  ),OR(  O34 ="x",O34="補",O34="婚",O34="公",O34="病",O34="事",O34="x"  ), $AP34 =""),"18放早走",  IF(  AND(  OR(  N34 =""),OR(  O34 ="x",O34="補",O34="婚",O34="公",O34="病",O34="事",O34="x榮*",O34="榮",O34="榮-22"  ), $AP34 =""),"18放",  IF(  AND(  OR(  N34="當日退伍"  ),OR(  O34="退伍",O34="退", O34=""  ), $AP34 =""),"當日退伍",  IF(AND(  OR(N34="退",N34="退伍" ), OR(O34="退",O34="退伍" ), $AP34 =""),"退伍","全日勤"  )  )  )  )  )  )  )  )  )  )  ),"")</f>
        <v/>
      </c>
      <c r="O75" s="66" t="str">
        <f>IF(   (ROW(BA34)-1)&lt;=暫1!$B$2,           IF(  AND(  OR(  O34="x",O34="補"  ), OR(  P34 ="x",P34="補",P34="x榮18-22",P34="x公18-22",P34="x榮22-08"  ), $AP34 =""),"全日休",  IF(  AND(  OR(  O34="x",O34="病"  ), OR(  P34 ="病"  ), $AP34 =""),"病(事)假",  IF(  AND(  OR(  O34="x",O34="補"  ), OR(  P34 ="補"  ), $AP34 =""),"補休",  IF(  AND(  OR(  O34="x",O34="喪"  ), OR(  P34 ="喪"  ), $AP34 =""),"喪假",  IF(  AND(  OR(  O34="x",O34="婚",O34="產"  ), OR(  P34 ="婚",P34="產"  ), $AP34 =""),"婚(產)假",  IF(  AND(  OR(  O34="x",O34="公"  ), OR(  P34 ="公"  ), $AP34 =""),"公假",  IF(  AND(  OR(  O34="x",O34="補",O34="婚",O34="公",O34="病",O34="事",O34="x榮18-22"  ),OR(P34=""), $AP34 =""  ),"18收",  IF(  AND(  OR(  O34 ="榮14-18",O34 ="榮10-18",O34 ="榮06-18",O34 ="病14-18"  ),OR(  P34 ="x",P34="補",P34="婚",P34="公",P34="病",P34="事",P34="x"  ), $AP34 =""),"18放早走",  IF(  AND(  OR(  O34 =""),OR(  P34 ="x",P34="補",P34="婚",P34="公",P34="病",P34="事",P34="x榮*",P34="榮",P34="榮-22"  ), $AP34 =""),"18放",  IF(  AND(  OR(  O34="當日退伍"  ),OR(  P34="退伍",P34="退", P34=""  ), $AP34 =""),"當日退伍",  IF(AND(  OR(O34="退",O34="退伍" ), OR(P34="退",P34="退伍" ), $AP34 =""),"退伍","全日勤"  )  )  )  )  )  )  )  )  )  )  ),"")</f>
        <v/>
      </c>
      <c r="P75" s="66" t="str">
        <f>IF(   (ROW(BB34)-1)&lt;=暫1!$B$2,           IF(  AND(  OR(  P34="x",P34="補"  ), OR(  Q34 ="x",Q34="補",Q34="x榮18-22",Q34="x公18-22",Q34="x榮22-08"  ), $AP34 =""),"全日休",  IF(  AND(  OR(  P34="x",P34="病"  ), OR(  Q34 ="病"  ), $AP34 =""),"病(事)假",  IF(  AND(  OR(  P34="x",P34="補"  ), OR(  Q34 ="補"  ), $AP34 =""),"補休",  IF(  AND(  OR(  P34="x",P34="喪"  ), OR(  Q34 ="喪"  ), $AP34 =""),"喪假",  IF(  AND(  OR(  P34="x",P34="婚",P34="產"  ), OR(  Q34 ="婚",Q34="產"  ), $AP34 =""),"婚(產)假",  IF(  AND(  OR(  P34="x",P34="公"  ), OR(  Q34 ="公"  ), $AP34 =""),"公假",  IF(  AND(  OR(  P34="x",P34="補",P34="婚",P34="公",P34="病",P34="事",P34="x榮18-22"  ),OR(Q34=""), $AP34 =""  ),"18收",  IF(  AND(  OR(  P34 ="榮14-18",P34 ="榮10-18",P34 ="榮06-18",P34 ="病14-18"  ),OR(  Q34 ="x",Q34="補",Q34="婚",Q34="公",Q34="病",Q34="事",Q34="x"  ), $AP34 =""),"18放早走",  IF(  AND(  OR(  P34 =""),OR(  Q34 ="x",Q34="補",Q34="婚",Q34="公",Q34="病",Q34="事",Q34="x榮*",Q34="榮",Q34="榮-22"  ), $AP34 =""),"18放",  IF(  AND(  OR(  P34="當日退伍"  ),OR(  Q34="退伍",Q34="退", Q34=""  ), $AP34 =""),"當日退伍",  IF(AND(  OR(P34="退",P34="退伍" ), OR(Q34="退",Q34="退伍" ), $AP34 =""),"退伍","全日勤"  )  )  )  )  )  )  )  )  )  )  ),"")</f>
        <v/>
      </c>
      <c r="Q75" s="66" t="str">
        <f>IF(   (ROW(BC34)-1)&lt;=暫1!$B$2,           IF(  AND(  OR(  Q34="x",Q34="補"  ), OR(  R34 ="x",R34="補",R34="x榮18-22",R34="x公18-22",R34="x榮22-08"  ), $AP34 =""),"全日休",  IF(  AND(  OR(  Q34="x",Q34="病"  ), OR(  R34 ="病"  ), $AP34 =""),"病(事)假",  IF(  AND(  OR(  Q34="x",Q34="補"  ), OR(  R34 ="補"  ), $AP34 =""),"補休",  IF(  AND(  OR(  Q34="x",Q34="喪"  ), OR(  R34 ="喪"  ), $AP34 =""),"喪假",  IF(  AND(  OR(  Q34="x",Q34="婚",Q34="產"  ), OR(  R34 ="婚",R34="產"  ), $AP34 =""),"婚(產)假",  IF(  AND(  OR(  Q34="x",Q34="公"  ), OR(  R34 ="公"  ), $AP34 =""),"公假",  IF(  AND(  OR(  Q34="x",Q34="補",Q34="婚",Q34="公",Q34="病",Q34="事",Q34="x榮18-22"  ),OR(R34=""), $AP34 =""  ),"18收",  IF(  AND(  OR(  Q34 ="榮14-18",Q34 ="榮10-18",Q34 ="榮06-18",Q34 ="病14-18"  ),OR(  R34 ="x",R34="補",R34="婚",R34="公",R34="病",R34="事",R34="x"  ), $AP34 =""),"18放早走",  IF(  AND(  OR(  Q34 =""),OR(  R34 ="x",R34="補",R34="婚",R34="公",R34="病",R34="事",R34="x榮*",R34="榮",R34="榮-22"  ), $AP34 =""),"18放",  IF(  AND(  OR(  Q34="當日退伍"  ),OR(  R34="退伍",R34="退", R34=""  ), $AP34 =""),"當日退伍",  IF(AND(  OR(Q34="退",Q34="退伍" ), OR(R34="退",R34="退伍" ), $AP34 =""),"退伍","全日勤"  )  )  )  )  )  )  )  )  )  )  ),"")</f>
        <v/>
      </c>
      <c r="R75" s="66" t="str">
        <f>IF(   (ROW(BD34)-1)&lt;=暫1!$B$2,           IF(  AND(  OR(  R34="x",R34="補"  ), OR(  S34 ="x",S34="補",S34="x榮18-22",S34="x公18-22",S34="x榮22-08"  ), $AP34 =""),"全日休",  IF(  AND(  OR(  R34="x",R34="病"  ), OR(  S34 ="病"  ), $AP34 =""),"病(事)假",  IF(  AND(  OR(  R34="x",R34="補"  ), OR(  S34 ="補"  ), $AP34 =""),"補休",  IF(  AND(  OR(  R34="x",R34="喪"  ), OR(  S34 ="喪"  ), $AP34 =""),"喪假",  IF(  AND(  OR(  R34="x",R34="婚",R34="產"  ), OR(  S34 ="婚",S34="產"  ), $AP34 =""),"婚(產)假",  IF(  AND(  OR(  R34="x",R34="公"  ), OR(  S34 ="公"  ), $AP34 =""),"公假",  IF(  AND(  OR(  R34="x",R34="補",R34="婚",R34="公",R34="病",R34="事",R34="x榮18-22"  ),OR(S34=""), $AP34 =""  ),"18收",  IF(  AND(  OR(  R34 ="榮14-18",R34 ="榮10-18",R34 ="榮06-18",R34 ="病14-18"  ),OR(  S34 ="x",S34="補",S34="婚",S34="公",S34="病",S34="事",S34="x"  ), $AP34 =""),"18放早走",  IF(  AND(  OR(  R34 =""),OR(  S34 ="x",S34="補",S34="婚",S34="公",S34="病",S34="事",S34="x榮*",S34="榮",S34="榮-22"  ), $AP34 =""),"18放",  IF(  AND(  OR(  R34="當日退伍"  ),OR(  S34="退伍",S34="退", S34=""  ), $AP34 =""),"當日退伍",  IF(AND(  OR(R34="退",R34="退伍" ), OR(S34="退",S34="退伍" ), $AP34 =""),"退伍","全日勤"  )  )  )  )  )  )  )  )  )  )  ),"")</f>
        <v/>
      </c>
      <c r="S75" s="66" t="str">
        <f>IF(   (ROW(BE34)-1)&lt;=暫1!$B$2,           IF(  AND(  OR(  S34="x",S34="補"  ), OR(  T34 ="x",T34="補",T34="x榮18-22",T34="x公18-22",T34="x榮22-08"  ), $AP34 =""),"全日休",  IF(  AND(  OR(  S34="x",S34="病"  ), OR(  T34 ="病"  ), $AP34 =""),"病(事)假",  IF(  AND(  OR(  S34="x",S34="補"  ), OR(  T34 ="補"  ), $AP34 =""),"補休",  IF(  AND(  OR(  S34="x",S34="喪"  ), OR(  T34 ="喪"  ), $AP34 =""),"喪假",  IF(  AND(  OR(  S34="x",S34="婚",S34="產"  ), OR(  T34 ="婚",T34="產"  ), $AP34 =""),"婚(產)假",  IF(  AND(  OR(  S34="x",S34="公"  ), OR(  T34 ="公"  ), $AP34 =""),"公假",  IF(  AND(  OR(  S34="x",S34="補",S34="婚",S34="公",S34="病",S34="事",S34="x榮18-22"  ),OR(T34=""), $AP34 =""  ),"18收",  IF(  AND(  OR(  S34 ="榮14-18",S34 ="榮10-18",S34 ="榮06-18",S34 ="病14-18"  ),OR(  T34 ="x",T34="補",T34="婚",T34="公",T34="病",T34="事",T34="x"  ), $AP34 =""),"18放早走",  IF(  AND(  OR(  S34 =""),OR(  T34 ="x",T34="補",T34="婚",T34="公",T34="病",T34="事",T34="x榮*",T34="榮",T34="榮-22"  ), $AP34 =""),"18放",  IF(  AND(  OR(  S34="當日退伍"  ),OR(  T34="退伍",T34="退", T34=""  ), $AP34 =""),"當日退伍",  IF(AND(  OR(S34="退",S34="退伍" ), OR(T34="退",T34="退伍" ), $AP34 =""),"退伍","全日勤"  )  )  )  )  )  )  )  )  )  )  ),"")</f>
        <v/>
      </c>
      <c r="T75" s="66" t="str">
        <f>IF(   (ROW(BF34)-1)&lt;=暫1!$B$2,           IF(  AND(  OR(  T34="x",T34="補"  ), OR(  U34 ="x",U34="補",U34="x榮18-22",U34="x公18-22",U34="x榮22-08"  ), $AP34 =""),"全日休",  IF(  AND(  OR(  T34="x",T34="病"  ), OR(  U34 ="病"  ), $AP34 =""),"病(事)假",  IF(  AND(  OR(  T34="x",T34="補"  ), OR(  U34 ="補"  ), $AP34 =""),"補休",  IF(  AND(  OR(  T34="x",T34="喪"  ), OR(  U34 ="喪"  ), $AP34 =""),"喪假",  IF(  AND(  OR(  T34="x",T34="婚",T34="產"  ), OR(  U34 ="婚",U34="產"  ), $AP34 =""),"婚(產)假",  IF(  AND(  OR(  T34="x",T34="公"  ), OR(  U34 ="公"  ), $AP34 =""),"公假",  IF(  AND(  OR(  T34="x",T34="補",T34="婚",T34="公",T34="病",T34="事",T34="x榮18-22"  ),OR(U34=""), $AP34 =""  ),"18收",  IF(  AND(  OR(  T34 ="榮14-18",T34 ="榮10-18",T34 ="榮06-18",T34 ="病14-18"  ),OR(  U34 ="x",U34="補",U34="婚",U34="公",U34="病",U34="事",U34="x"  ), $AP34 =""),"18放早走",  IF(  AND(  OR(  T34 =""),OR(  U34 ="x",U34="補",U34="婚",U34="公",U34="病",U34="事",U34="x榮*",U34="榮",U34="榮-22"  ), $AP34 =""),"18放",  IF(  AND(  OR(  T34="當日退伍"  ),OR(  U34="退伍",U34="退", U34=""  ), $AP34 =""),"當日退伍",  IF(AND(  OR(T34="退",T34="退伍" ), OR(U34="退",U34="退伍" ), $AP34 =""),"退伍","全日勤"  )  )  )  )  )  )  )  )  )  )  ),"")</f>
        <v/>
      </c>
      <c r="U75" s="66" t="str">
        <f>IF(   (ROW(BG34)-1)&lt;=暫1!$B$2,           IF(  AND(  OR(  U34="x",U34="補"  ), OR(  V34 ="x",V34="補",V34="x榮18-22",V34="x公18-22",V34="x榮22-08"  ), $AP34 =""),"全日休",  IF(  AND(  OR(  U34="x",U34="病"  ), OR(  V34 ="病"  ), $AP34 =""),"病(事)假",  IF(  AND(  OR(  U34="x",U34="補"  ), OR(  V34 ="補"  ), $AP34 =""),"補休",  IF(  AND(  OR(  U34="x",U34="喪"  ), OR(  V34 ="喪"  ), $AP34 =""),"喪假",  IF(  AND(  OR(  U34="x",U34="婚",U34="產"  ), OR(  V34 ="婚",V34="產"  ), $AP34 =""),"婚(產)假",  IF(  AND(  OR(  U34="x",U34="公"  ), OR(  V34 ="公"  ), $AP34 =""),"公假",  IF(  AND(  OR(  U34="x",U34="補",U34="婚",U34="公",U34="病",U34="事",U34="x榮18-22"  ),OR(V34=""), $AP34 =""  ),"18收",  IF(  AND(  OR(  U34 ="榮14-18",U34 ="榮10-18",U34 ="榮06-18",U34 ="病14-18"  ),OR(  V34 ="x",V34="補",V34="婚",V34="公",V34="病",V34="事",V34="x"  ), $AP34 =""),"18放早走",  IF(  AND(  OR(  U34 =""),OR(  V34 ="x",V34="補",V34="婚",V34="公",V34="病",V34="事",V34="x榮*",V34="榮",V34="榮-22"  ), $AP34 =""),"18放",  IF(  AND(  OR(  U34="當日退伍"  ),OR(  V34="退伍",V34="退", V34=""  ), $AP34 =""),"當日退伍",  IF(AND(  OR(U34="退",U34="退伍" ), OR(V34="退",V34="退伍" ), $AP34 =""),"退伍","全日勤"  )  )  )  )  )  )  )  )  )  )  ),"")</f>
        <v/>
      </c>
      <c r="V75" s="66" t="str">
        <f>IF(   (ROW(BH34)-1)&lt;=暫1!$B$2,           IF(  AND(  OR(  V34="x",V34="補"  ), OR(  W34 ="x",W34="補",W34="x榮18-22",W34="x公18-22",W34="x榮22-08"  ), $AP34 =""),"全日休",  IF(  AND(  OR(  V34="x",V34="病"  ), OR(  W34 ="病"  ), $AP34 =""),"病(事)假",  IF(  AND(  OR(  V34="x",V34="補"  ), OR(  W34 ="補"  ), $AP34 =""),"補休",  IF(  AND(  OR(  V34="x",V34="喪"  ), OR(  W34 ="喪"  ), $AP34 =""),"喪假",  IF(  AND(  OR(  V34="x",V34="婚",V34="產"  ), OR(  W34 ="婚",W34="產"  ), $AP34 =""),"婚(產)假",  IF(  AND(  OR(  V34="x",V34="公"  ), OR(  W34 ="公"  ), $AP34 =""),"公假",  IF(  AND(  OR(  V34="x",V34="補",V34="婚",V34="公",V34="病",V34="事",V34="x榮18-22"  ),OR(W34=""), $AP34 =""  ),"18收",  IF(  AND(  OR(  V34 ="榮14-18",V34 ="榮10-18",V34 ="榮06-18",V34 ="病14-18"  ),OR(  W34 ="x",W34="補",W34="婚",W34="公",W34="病",W34="事",W34="x"  ), $AP34 =""),"18放早走",  IF(  AND(  OR(  V34 =""),OR(  W34 ="x",W34="補",W34="婚",W34="公",W34="病",W34="事",W34="x榮*",W34="榮",W34="榮-22"  ), $AP34 =""),"18放",  IF(  AND(  OR(  V34="當日退伍"  ),OR(  W34="退伍",W34="退", W34=""  ), $AP34 =""),"當日退伍",  IF(AND(  OR(V34="退",V34="退伍" ), OR(W34="退",W34="退伍" ), $AP34 =""),"退伍","全日勤"  )  )  )  )  )  )  )  )  )  )  ),"")</f>
        <v/>
      </c>
      <c r="W75" s="66" t="str">
        <f>IF(   (ROW(BI34)-1)&lt;=暫1!$B$2,           IF(  AND(  OR(  W34="x",W34="補"  ), OR(  X34 ="x",X34="補",X34="x榮18-22",X34="x公18-22",X34="x榮22-08"  ), $AP34 =""),"全日休",  IF(  AND(  OR(  W34="x",W34="病"  ), OR(  X34 ="病"  ), $AP34 =""),"病(事)假",  IF(  AND(  OR(  W34="x",W34="補"  ), OR(  X34 ="補"  ), $AP34 =""),"補休",  IF(  AND(  OR(  W34="x",W34="喪"  ), OR(  X34 ="喪"  ), $AP34 =""),"喪假",  IF(  AND(  OR(  W34="x",W34="婚",W34="產"  ), OR(  X34 ="婚",X34="產"  ), $AP34 =""),"婚(產)假",  IF(  AND(  OR(  W34="x",W34="公"  ), OR(  X34 ="公"  ), $AP34 =""),"公假",  IF(  AND(  OR(  W34="x",W34="補",W34="婚",W34="公",W34="病",W34="事",W34="x榮18-22"  ),OR(X34=""), $AP34 =""  ),"18收",  IF(  AND(  OR(  W34 ="榮14-18",W34 ="榮10-18",W34 ="榮06-18",W34 ="病14-18"  ),OR(  X34 ="x",X34="補",X34="婚",X34="公",X34="病",X34="事",X34="x"  ), $AP34 =""),"18放早走",  IF(  AND(  OR(  W34 =""),OR(  X34 ="x",X34="補",X34="婚",X34="公",X34="病",X34="事",X34="x榮*",X34="榮",X34="榮-22"  ), $AP34 =""),"18放",  IF(  AND(  OR(  W34="當日退伍"  ),OR(  X34="退伍",X34="退", X34=""  ), $AP34 =""),"當日退伍",  IF(AND(  OR(W34="退",W34="退伍" ), OR(X34="退",X34="退伍" ), $AP34 =""),"退伍","全日勤"  )  )  )  )  )  )  )  )  )  )  ),"")</f>
        <v/>
      </c>
      <c r="X75" s="66" t="str">
        <f>IF(   (ROW(BJ34)-1)&lt;=暫1!$B$2,           IF(  AND(  OR(  X34="x",X34="補"  ), OR(  Y34 ="x",Y34="補",Y34="x榮18-22",Y34="x公18-22",Y34="x榮22-08"  ), $AP34 =""),"全日休",  IF(  AND(  OR(  X34="x",X34="病"  ), OR(  Y34 ="病"  ), $AP34 =""),"病(事)假",  IF(  AND(  OR(  X34="x",X34="補"  ), OR(  Y34 ="補"  ), $AP34 =""),"補休",  IF(  AND(  OR(  X34="x",X34="喪"  ), OR(  Y34 ="喪"  ), $AP34 =""),"喪假",  IF(  AND(  OR(  X34="x",X34="婚",X34="產"  ), OR(  Y34 ="婚",Y34="產"  ), $AP34 =""),"婚(產)假",  IF(  AND(  OR(  X34="x",X34="公"  ), OR(  Y34 ="公"  ), $AP34 =""),"公假",  IF(  AND(  OR(  X34="x",X34="補",X34="婚",X34="公",X34="病",X34="事",X34="x榮18-22"  ),OR(Y34=""), $AP34 =""  ),"18收",  IF(  AND(  OR(  X34 ="榮14-18",X34 ="榮10-18",X34 ="榮06-18",X34 ="病14-18"  ),OR(  Y34 ="x",Y34="補",Y34="婚",Y34="公",Y34="病",Y34="事",Y34="x"  ), $AP34 =""),"18放早走",  IF(  AND(  OR(  X34 =""),OR(  Y34 ="x",Y34="補",Y34="婚",Y34="公",Y34="病",Y34="事",Y34="x榮*",Y34="榮",Y34="榮-22"  ), $AP34 =""),"18放",  IF(  AND(  OR(  X34="當日退伍"  ),OR(  Y34="退伍",Y34="退", Y34=""  ), $AP34 =""),"當日退伍",  IF(AND(  OR(X34="退",X34="退伍" ), OR(Y34="退",Y34="退伍" ), $AP34 =""),"退伍","全日勤"  )  )  )  )  )  )  )  )  )  )  ),"")</f>
        <v/>
      </c>
      <c r="Y75" s="66" t="str">
        <f>IF(   (ROW(BK34)-1)&lt;=暫1!$B$2,           IF(  AND(  OR(  Y34="x",Y34="補"  ), OR(  Z34 ="x",Z34="補",Z34="x榮18-22",Z34="x公18-22",Z34="x榮22-08"  ), $AP34 =""),"全日休",  IF(  AND(  OR(  Y34="x",Y34="病"  ), OR(  Z34 ="病"  ), $AP34 =""),"病(事)假",  IF(  AND(  OR(  Y34="x",Y34="補"  ), OR(  Z34 ="補"  ), $AP34 =""),"補休",  IF(  AND(  OR(  Y34="x",Y34="喪"  ), OR(  Z34 ="喪"  ), $AP34 =""),"喪假",  IF(  AND(  OR(  Y34="x",Y34="婚",Y34="產"  ), OR(  Z34 ="婚",Z34="產"  ), $AP34 =""),"婚(產)假",  IF(  AND(  OR(  Y34="x",Y34="公"  ), OR(  Z34 ="公"  ), $AP34 =""),"公假",  IF(  AND(  OR(  Y34="x",Y34="補",Y34="婚",Y34="公",Y34="病",Y34="事",Y34="x榮18-22"  ),OR(Z34=""), $AP34 =""  ),"18收",  IF(  AND(  OR(  Y34 ="榮14-18",Y34 ="榮10-18",Y34 ="榮06-18",Y34 ="病14-18"  ),OR(  Z34 ="x",Z34="補",Z34="婚",Z34="公",Z34="病",Z34="事",Z34="x"  ), $AP34 =""),"18放早走",  IF(  AND(  OR(  Y34 =""),OR(  Z34 ="x",Z34="補",Z34="婚",Z34="公",Z34="病",Z34="事",Z34="x榮*",Z34="榮",Z34="榮-22"  ), $AP34 =""),"18放",  IF(  AND(  OR(  Y34="當日退伍"  ),OR(  Z34="退伍",Z34="退", Z34=""  ), $AP34 =""),"當日退伍",  IF(AND(  OR(Y34="退",Y34="退伍" ), OR(Z34="退",Z34="退伍" ), $AP34 =""),"退伍","全日勤"  )  )  )  )  )  )  )  )  )  )  ),"")</f>
        <v/>
      </c>
      <c r="Z75" s="66" t="str">
        <f>IF(   (ROW(BL34)-1)&lt;=暫1!$B$2,           IF(  AND(  OR(  Z34="x",Z34="補"  ), OR(  AA34 ="x",AA34="補",AA34="x榮18-22",AA34="x公18-22",AA34="x榮22-08"  ), $AP34 =""),"全日休",  IF(  AND(  OR(  Z34="x",Z34="病"  ), OR(  AA34 ="病"  ), $AP34 =""),"病(事)假",  IF(  AND(  OR(  Z34="x",Z34="補"  ), OR(  AA34 ="補"  ), $AP34 =""),"補休",  IF(  AND(  OR(  Z34="x",Z34="喪"  ), OR(  AA34 ="喪"  ), $AP34 =""),"喪假",  IF(  AND(  OR(  Z34="x",Z34="婚",Z34="產"  ), OR(  AA34 ="婚",AA34="產"  ), $AP34 =""),"婚(產)假",  IF(  AND(  OR(  Z34="x",Z34="公"  ), OR(  AA34 ="公"  ), $AP34 =""),"公假",  IF(  AND(  OR(  Z34="x",Z34="補",Z34="婚",Z34="公",Z34="病",Z34="事",Z34="x榮18-22"  ),OR(AA34=""), $AP34 =""  ),"18收",  IF(  AND(  OR(  Z34 ="榮14-18",Z34 ="榮10-18",Z34 ="榮06-18",Z34 ="病14-18"  ),OR(  AA34 ="x",AA34="補",AA34="婚",AA34="公",AA34="病",AA34="事",AA34="x"  ), $AP34 =""),"18放早走",  IF(  AND(  OR(  Z34 =""),OR(  AA34 ="x",AA34="補",AA34="婚",AA34="公",AA34="病",AA34="事",AA34="x榮*",AA34="榮",AA34="榮-22"  ), $AP34 =""),"18放",  IF(  AND(  OR(  Z34="當日退伍"  ),OR(  AA34="退伍",AA34="退", AA34=""  ), $AP34 =""),"當日退伍",  IF(AND(  OR(Z34="退",Z34="退伍" ), OR(AA34="退",AA34="退伍" ), $AP34 =""),"退伍","全日勤"  )  )  )  )  )  )  )  )  )  )  ),"")</f>
        <v/>
      </c>
      <c r="AA75" s="66" t="str">
        <f>IF(   (ROW(BM34)-1)&lt;=暫1!$B$2,           IF(  AND(  OR(  AA34="x",AA34="補"  ), OR(  AB34 ="x",AB34="補",AB34="x榮18-22",AB34="x公18-22",AB34="x榮22-08"  ), $AP34 =""),"全日休",  IF(  AND(  OR(  AA34="x",AA34="病"  ), OR(  AB34 ="病"  ), $AP34 =""),"病(事)假",  IF(  AND(  OR(  AA34="x",AA34="補"  ), OR(  AB34 ="補"  ), $AP34 =""),"補休",  IF(  AND(  OR(  AA34="x",AA34="喪"  ), OR(  AB34 ="喪"  ), $AP34 =""),"喪假",  IF(  AND(  OR(  AA34="x",AA34="婚",AA34="產"  ), OR(  AB34 ="婚",AB34="產"  ), $AP34 =""),"婚(產)假",  IF(  AND(  OR(  AA34="x",AA34="公"  ), OR(  AB34 ="公"  ), $AP34 =""),"公假",  IF(  AND(  OR(  AA34="x",AA34="補",AA34="婚",AA34="公",AA34="病",AA34="事",AA34="x榮18-22"  ),OR(AB34=""), $AP34 =""  ),"18收",  IF(  AND(  OR(  AA34 ="榮14-18",AA34 ="榮10-18",AA34 ="榮06-18",AA34 ="病14-18"  ),OR(  AB34 ="x",AB34="補",AB34="婚",AB34="公",AB34="病",AB34="事",AB34="x"  ), $AP34 =""),"18放早走",  IF(  AND(  OR(  AA34 =""),OR(  AB34 ="x",AB34="補",AB34="婚",AB34="公",AB34="病",AB34="事",AB34="x榮*",AB34="榮",AB34="榮-22"  ), $AP34 =""),"18放",  IF(  AND(  OR(  AA34="當日退伍"  ),OR(  AB34="退伍",AB34="退", AB34=""  ), $AP34 =""),"當日退伍",  IF(AND(  OR(AA34="退",AA34="退伍" ), OR(AB34="退",AB34="退伍" ), $AP34 =""),"退伍","全日勤"  )  )  )  )  )  )  )  )  )  )  ),"")</f>
        <v/>
      </c>
      <c r="AB75" s="66" t="str">
        <f>IF(   (ROW(BN34)-1)&lt;=暫1!$B$2,           IF(  AND(  OR(  AB34="x",AB34="補"  ), OR(  AC34 ="x",AC34="補",AC34="x榮18-22",AC34="x公18-22",AC34="x榮22-08"  ), $AP34 =""),"全日休",  IF(  AND(  OR(  AB34="x",AB34="病"  ), OR(  AC34 ="病"  ), $AP34 =""),"病(事)假",  IF(  AND(  OR(  AB34="x",AB34="補"  ), OR(  AC34 ="補"  ), $AP34 =""),"補休",  IF(  AND(  OR(  AB34="x",AB34="喪"  ), OR(  AC34 ="喪"  ), $AP34 =""),"喪假",  IF(  AND(  OR(  AB34="x",AB34="婚",AB34="產"  ), OR(  AC34 ="婚",AC34="產"  ), $AP34 =""),"婚(產)假",  IF(  AND(  OR(  AB34="x",AB34="公"  ), OR(  AC34 ="公"  ), $AP34 =""),"公假",  IF(  AND(  OR(  AB34="x",AB34="補",AB34="婚",AB34="公",AB34="病",AB34="事",AB34="x榮18-22"  ),OR(AC34=""), $AP34 =""  ),"18收",  IF(  AND(  OR(  AB34 ="榮14-18",AB34 ="榮10-18",AB34 ="榮06-18",AB34 ="病14-18"  ),OR(  AC34 ="x",AC34="補",AC34="婚",AC34="公",AC34="病",AC34="事",AC34="x"  ), $AP34 =""),"18放早走",  IF(  AND(  OR(  AB34 =""),OR(  AC34 ="x",AC34="補",AC34="婚",AC34="公",AC34="病",AC34="事",AC34="x榮*",AC34="榮",AC34="榮-22"  ), $AP34 =""),"18放",  IF(  AND(  OR(  AB34="當日退伍"  ),OR(  AC34="退伍",AC34="退", AC34=""  ), $AP34 =""),"當日退伍",  IF(AND(  OR(AB34="退",AB34="退伍" ), OR(AC34="退",AC34="退伍" ), $AP34 =""),"退伍","全日勤"  )  )  )  )  )  )  )  )  )  )  ),"")</f>
        <v/>
      </c>
      <c r="AC75" s="66" t="str">
        <f>IF(   (ROW(BO34)-1)&lt;=暫1!$B$2,           IF(  AND(  OR(  AC34="x",AC34="補"  ), OR(  AD34 ="x",AD34="補",AD34="x榮18-22",AD34="x公18-22",AD34="x榮22-08"  ), $AP34 =""),"全日休",  IF(  AND(  OR(  AC34="x",AC34="病"  ), OR(  AD34 ="病"  ), $AP34 =""),"病(事)假",  IF(  AND(  OR(  AC34="x",AC34="補"  ), OR(  AD34 ="補"  ), $AP34 =""),"補休",  IF(  AND(  OR(  AC34="x",AC34="喪"  ), OR(  AD34 ="喪"  ), $AP34 =""),"喪假",  IF(  AND(  OR(  AC34="x",AC34="婚",AC34="產"  ), OR(  AD34 ="婚",AD34="產"  ), $AP34 =""),"婚(產)假",  IF(  AND(  OR(  AC34="x",AC34="公"  ), OR(  AD34 ="公"  ), $AP34 =""),"公假",  IF(  AND(  OR(  AC34="x",AC34="補",AC34="婚",AC34="公",AC34="病",AC34="事",AC34="x榮18-22"  ),OR(AD34=""), $AP34 =""  ),"18收",  IF(  AND(  OR(  AC34 ="榮14-18",AC34 ="榮10-18",AC34 ="榮06-18",AC34 ="病14-18"  ),OR(  AD34 ="x",AD34="補",AD34="婚",AD34="公",AD34="病",AD34="事",AD34="x"  ), $AP34 =""),"18放早走",  IF(  AND(  OR(  AC34 =""),OR(  AD34 ="x",AD34="補",AD34="婚",AD34="公",AD34="病",AD34="事",AD34="x榮*",AD34="榮",AD34="榮-22"  ), $AP34 =""),"18放",  IF(  AND(  OR(  AC34="當日退伍"  ),OR(  AD34="退伍",AD34="退", AD34=""  ), $AP34 =""),"當日退伍",  IF(AND(  OR(AC34="退",AC34="退伍" ), OR(AD34="退",AD34="退伍" ), $AP34 =""),"退伍","全日勤"  )  )  )  )  )  )  )  )  )  )  ),"")</f>
        <v/>
      </c>
      <c r="AD75" s="66" t="str">
        <f>IF(   (ROW(BP34)-1)&lt;=暫1!$B$2,           IF(  AND(  OR(  AD34="x",AD34="補"  ), OR(  AE34 ="x",AE34="補",AE34="x榮18-22",AE34="x公18-22",AE34="x榮22-08"  ), $AP34 =""),"全日休",  IF(  AND(  OR(  AD34="x",AD34="病"  ), OR(  AE34 ="病"  ), $AP34 =""),"病(事)假",  IF(  AND(  OR(  AD34="x",AD34="補"  ), OR(  AE34 ="補"  ), $AP34 =""),"補休",  IF(  AND(  OR(  AD34="x",AD34="喪"  ), OR(  AE34 ="喪"  ), $AP34 =""),"喪假",  IF(  AND(  OR(  AD34="x",AD34="婚",AD34="產"  ), OR(  AE34 ="婚",AE34="產"  ), $AP34 =""),"婚(產)假",  IF(  AND(  OR(  AD34="x",AD34="公"  ), OR(  AE34 ="公"  ), $AP34 =""),"公假",  IF(  AND(  OR(  AD34="x",AD34="補",AD34="婚",AD34="公",AD34="病",AD34="事",AD34="x榮18-22"  ),OR(AE34=""), $AP34 =""  ),"18收",  IF(  AND(  OR(  AD34 ="榮14-18",AD34 ="榮10-18",AD34 ="榮06-18",AD34 ="病14-18"  ),OR(  AE34 ="x",AE34="補",AE34="婚",AE34="公",AE34="病",AE34="事",AE34="x"  ), $AP34 =""),"18放早走",  IF(  AND(  OR(  AD34 =""),OR(  AE34 ="x",AE34="補",AE34="婚",AE34="公",AE34="病",AE34="事",AE34="x榮*",AE34="榮",AE34="榮-22"  ), $AP34 =""),"18放",  IF(  AND(  OR(  AD34="當日退伍"  ),OR(  AE34="退伍",AE34="退", AE34=""  ), $AP34 =""),"當日退伍",  IF(AND(  OR(AD34="退",AD34="退伍" ), OR(AE34="退",AE34="退伍" ), $AP34 =""),"退伍","全日勤"  )  )  )  )  )  )  )  )  )  )  ),"")</f>
        <v/>
      </c>
      <c r="AE75" s="66" t="str">
        <f>IF(   (ROW(BQ34)-1)&lt;=暫1!$B$2,           IF(  AND(  OR(  AE34="x",AE34="補"  ), OR(  AF34 ="x",AF34="補",AF34="x榮18-22",AF34="x公18-22",AF34="x榮22-08"  ), $AP34 =""),"全日休",  IF(  AND(  OR(  AE34="x",AE34="病"  ), OR(  AF34 ="病"  ), $AP34 =""),"病(事)假",  IF(  AND(  OR(  AE34="x",AE34="補"  ), OR(  AF34 ="補"  ), $AP34 =""),"補休",  IF(  AND(  OR(  AE34="x",AE34="喪"  ), OR(  AF34 ="喪"  ), $AP34 =""),"喪假",  IF(  AND(  OR(  AE34="x",AE34="婚",AE34="產"  ), OR(  AF34 ="婚",AF34="產"  ), $AP34 =""),"婚(產)假",  IF(  AND(  OR(  AE34="x",AE34="公"  ), OR(  AF34 ="公"  ), $AP34 =""),"公假",  IF(  AND(  OR(  AE34="x",AE34="補",AE34="婚",AE34="公",AE34="病",AE34="事",AE34="x榮18-22"  ),OR(AF34=""), $AP34 =""  ),"18收",  IF(  AND(  OR(  AE34 ="榮14-18",AE34 ="榮10-18",AE34 ="榮06-18",AE34 ="病14-18"  ),OR(  AF34 ="x",AF34="補",AF34="婚",AF34="公",AF34="病",AF34="事",AF34="x"  ), $AP34 =""),"18放早走",  IF(  AND(  OR(  AE34 =""),OR(  AF34 ="x",AF34="補",AF34="婚",AF34="公",AF34="病",AF34="事",AF34="x榮*",AF34="榮",AF34="榮-22"  ), $AP34 =""),"18放",  IF(  AND(  OR(  AE34="當日退伍"  ),OR(  AF34="退伍",AF34="退", AF34=""  ), $AP34 =""),"當日退伍",  IF(AND(  OR(AE34="退",AE34="退伍" ), OR(AF34="退",AF34="退伍" ), $AP34 =""),"退伍","全日勤"  )  )  )  )  )  )  )  )  )  )  ),"")</f>
        <v/>
      </c>
      <c r="AF75" s="66" t="str">
        <f>IF(   (ROW(BR34)-1)&lt;=暫1!$B$2,           IF(  AND(  OR(  AF34="x",AF34="補"  ), OR(  AG34 ="x",AG34="補",AG34="x榮18-22",AG34="x公18-22",AG34="x榮22-08"  ), $AP34 =""),"全日休",  IF(  AND(  OR(  AF34="x",AF34="病"  ), OR(  AG34 ="病"  ), $AP34 =""),"病(事)假",  IF(  AND(  OR(  AF34="x",AF34="補"  ), OR(  AG34 ="補"  ), $AP34 =""),"補休",  IF(  AND(  OR(  AF34="x",AF34="喪"  ), OR(  AG34 ="喪"  ), $AP34 =""),"喪假",  IF(  AND(  OR(  AF34="x",AF34="婚",AF34="產"  ), OR(  AG34 ="婚",AG34="產"  ), $AP34 =""),"婚(產)假",  IF(  AND(  OR(  AF34="x",AF34="公"  ), OR(  AG34 ="公"  ), $AP34 =""),"公假",  IF(  AND(  OR(  AF34="x",AF34="補",AF34="婚",AF34="公",AF34="病",AF34="事",AF34="x榮18-22"  ),OR(AG34=""), $AP34 =""  ),"18收",  IF(  AND(  OR(  AF34 ="榮14-18",AF34 ="榮10-18",AF34 ="榮06-18",AF34 ="病14-18"  ),OR(  AG34 ="x",AG34="補",AG34="婚",AG34="公",AG34="病",AG34="事",AG34="x"  ), $AP34 =""),"18放早走",  IF(  AND(  OR(  AF34 =""),OR(  AG34 ="x",AG34="補",AG34="婚",AG34="公",AG34="病",AG34="事",AG34="x榮*",AG34="榮",AG34="榮-22"  ), $AP34 =""),"18放",  IF(  AND(  OR(  AF34="當日退伍"  ),OR(  AG34="退伍",AG34="退", AG34=""  ), $AP34 =""),"當日退伍",  IF(AND(  OR(AF34="退",AF34="退伍" ), OR(AG34="退",AG34="退伍" ), $AP34 =""),"退伍","全日勤"  )  )  )  )  )  )  )  )  )  )  ),"")</f>
        <v/>
      </c>
      <c r="AG75" s="66" t="str">
        <f>IF(   (ROW(BS34)-1)&lt;=暫1!$B$2,           IF(  AND(  OR(  AG34="x",AG34="補"  ), OR(  AH34 ="x",AH34="補",AH34="x榮18-22",AH34="x公18-22",AH34="x榮22-08"  ), $AP34 =""),"全日休",  IF(  AND(  OR(  AG34="x",AG34="病"  ), OR(  AH34 ="病"  ), $AP34 =""),"病(事)假",  IF(  AND(  OR(  AG34="x",AG34="補"  ), OR(  AH34 ="補"  ), $AP34 =""),"補休",  IF(  AND(  OR(  AG34="x",AG34="喪"  ), OR(  AH34 ="喪"  ), $AP34 =""),"喪假",  IF(  AND(  OR(  AG34="x",AG34="婚",AG34="產"  ), OR(  AH34 ="婚",AH34="產"  ), $AP34 =""),"婚(產)假",  IF(  AND(  OR(  AG34="x",AG34="公"  ), OR(  AH34 ="公"  ), $AP34 =""),"公假",  IF(  AND(  OR(  AG34="x",AG34="補",AG34="婚",AG34="公",AG34="病",AG34="事",AG34="x榮18-22"  ),OR(AH34=""), $AP34 =""  ),"18收",  IF(  AND(  OR(  AG34 ="榮14-18",AG34 ="榮10-18",AG34 ="榮06-18",AG34 ="病14-18"  ),OR(  AH34 ="x",AH34="補",AH34="婚",AH34="公",AH34="病",AH34="事",AH34="x"  ), $AP34 =""),"18放早走",  IF(  AND(  OR(  AG34 =""),OR(  AH34 ="x",AH34="補",AH34="婚",AH34="公",AH34="病",AH34="事",AH34="x榮*",AH34="榮",AH34="榮-22"  ), $AP34 =""),"18放",  IF(  AND(  OR(  AG34="當日退伍"  ),OR(  AH34="退伍",AH34="退", AH34=""  ), $AP34 =""),"當日退伍",  IF(AND(  OR(AG34="退",AG34="退伍" ), OR(AH34="退",AH34="退伍" ), $AP34 =""),"退伍","全日勤"  )  )  )  )  )  )  )  )  )  )  ),"")</f>
        <v/>
      </c>
      <c r="AH75" s="66" t="str">
        <f>IF(   (ROW(BT34)-1)&lt;=暫1!$B$2,           IF(  AND(  OR(  AH34="x",AH34="補"  ), OR(  AI34 ="x",AI34="補",AI34="x榮18-22",AI34="x公18-22",AI34="x榮22-08"  ), $AP34 =""),"全日休",  IF(  AND(  OR(  AH34="x",AH34="病"  ), OR(  AI34 ="病"  ), $AP34 =""),"病(事)假",  IF(  AND(  OR(  AH34="x",AH34="補"  ), OR(  AI34 ="補"  ), $AP34 =""),"補休",  IF(  AND(  OR(  AH34="x",AH34="喪"  ), OR(  AI34 ="喪"  ), $AP34 =""),"喪假",  IF(  AND(  OR(  AH34="x",AH34="婚",AH34="產"  ), OR(  AI34 ="婚",AI34="產"  ), $AP34 =""),"婚(產)假",  IF(  AND(  OR(  AH34="x",AH34="公"  ), OR(  AI34 ="公"  ), $AP34 =""),"公假",  IF(  AND(  OR(  AH34="x",AH34="補",AH34="婚",AH34="公",AH34="病",AH34="事",AH34="x榮18-22"  ),OR(AI34=""), $AP34 =""  ),"18收",  IF(  AND(  OR(  AH34 ="榮14-18",AH34 ="榮10-18",AH34 ="榮06-18",AH34 ="病14-18"  ),OR(  AI34 ="x",AI34="補",AI34="婚",AI34="公",AI34="病",AI34="事",AI34="x"  ), $AP34 =""),"18放早走",  IF(  AND(  OR(  AH34 =""),OR(  AI34 ="x",AI34="補",AI34="婚",AI34="公",AI34="病",AI34="事",AI34="x榮*",AI34="榮",AI34="榮-22"  ), $AP34 =""),"18放",  IF(  AND(  OR(  AH34="當日退伍"  ),OR(  AI34="退伍",AI34="退", AI34=""  ), $AP34 =""),"當日退伍",  IF(AND(  OR(AH34="退",AH34="退伍" ), OR(AI34="退",AI34="退伍" ), $AP34 =""),"退伍","全日勤"  )  )  )  )  )  )  )  )  )  )  ),"")</f>
        <v/>
      </c>
      <c r="AI75" s="66" t="str">
        <f>IF(   (ROW(BU34)-1)&lt;=暫1!$B$2,           IF(  AND(  OR(  AI34="x",AI34="補"  ), OR(  AJ34 ="x",AJ34="補",AJ34="x榮18-22",AJ34="x公18-22",AJ34="x榮22-08"  ), $AP34 =""),"全日休",  IF(  AND(  OR(  AI34="x",AI34="病"  ), OR(  AJ34 ="病"  ), $AP34 =""),"病(事)假",  IF(  AND(  OR(  AI34="x",AI34="補"  ), OR(  AJ34 ="補"  ), $AP34 =""),"補休",  IF(  AND(  OR(  AI34="x",AI34="喪"  ), OR(  AJ34 ="喪"  ), $AP34 =""),"喪假",  IF(  AND(  OR(  AI34="x",AI34="婚",AI34="產"  ), OR(  AJ34 ="婚",AJ34="產"  ), $AP34 =""),"婚(產)假",  IF(  AND(  OR(  AI34="x",AI34="公"  ), OR(  AJ34 ="公"  ), $AP34 =""),"公假",  IF(  AND(  OR(  AI34="x",AI34="補",AI34="婚",AI34="公",AI34="病",AI34="事",AI34="x榮18-22"  ),OR(AJ34=""), $AP34 =""  ),"18收",  IF(  AND(  OR(  AI34 ="榮14-18",AI34 ="榮10-18",AI34 ="榮06-18",AI34 ="病14-18"  ),OR(  AJ34 ="x",AJ34="補",AJ34="婚",AJ34="公",AJ34="病",AJ34="事",AJ34="x"  ), $AP34 =""),"18放早走",  IF(  AND(  OR(  AI34 =""),OR(  AJ34 ="x",AJ34="補",AJ34="婚",AJ34="公",AJ34="病",AJ34="事",AJ34="x榮*",AJ34="榮",AJ34="榮-22"  ), $AP34 =""),"18放",  IF(  AND(  OR(  AI34="當日退伍"  ),OR(  AJ34="退伍",AJ34="退", AJ34=""  ), $AP34 =""),"當日退伍",  IF(AND(  OR(AI34="退",AI34="退伍" ), OR(AJ34="退",AJ34="退伍" ), $AP34 =""),"退伍","全日勤"  )  )  )  )  )  )  )  )  )  )  ),"")</f>
        <v/>
      </c>
      <c r="AJ75" s="66" t="str">
        <f>IF(   (ROW(BV34)-1)&lt;=暫1!$B$2,           IF(  AND(  OR(  AJ34="x",AJ34="補"  ), OR(  AK34 ="x",AK34="補",AK34="x榮18-22",AK34="x公18-22",AK34="x榮22-08"  ), $AP34 =""),"全日休",  IF(  AND(  OR(  AJ34="x",AJ34="病"  ), OR(  AK34 ="病"  ), $AP34 =""),"病(事)假",  IF(  AND(  OR(  AJ34="x",AJ34="補"  ), OR(  AK34 ="補"  ), $AP34 =""),"補休",  IF(  AND(  OR(  AJ34="x",AJ34="喪"  ), OR(  AK34 ="喪"  ), $AP34 =""),"喪假",  IF(  AND(  OR(  AJ34="x",AJ34="婚",AJ34="產"  ), OR(  AK34 ="婚",AK34="產"  ), $AP34 =""),"婚(產)假",  IF(  AND(  OR(  AJ34="x",AJ34="公"  ), OR(  AK34 ="公"  ), $AP34 =""),"公假",  IF(  AND(  OR(  AJ34="x",AJ34="補",AJ34="婚",AJ34="公",AJ34="病",AJ34="事",AJ34="x榮18-22"  ),OR(AK34=""), $AP34 =""  ),"18收",  IF(  AND(  OR(  AJ34 ="榮14-18",AJ34 ="榮10-18",AJ34 ="榮06-18",AJ34 ="病14-18"  ),OR(  AK34 ="x",AK34="補",AK34="婚",AK34="公",AK34="病",AK34="事",AK34="x"  ), $AP34 =""),"18放早走",  IF(  AND(  OR(  AJ34 =""),OR(  AK34 ="x",AK34="補",AK34="婚",AK34="公",AK34="病",AK34="事",AK34="x榮*",AK34="榮",AK34="榮-22"  ), $AP34 =""),"18放",  IF(  AND(  OR(  AJ34="當日退伍"  ),OR(  AK34="退伍",AK34="退", AK34=""  ), $AP34 =""),"當日退伍",  IF(AND(  OR(AJ34="退",AJ34="退伍" ), OR(AK34="退",AK34="退伍" ), $AP34 =""),"退伍","全日勤"  )  )  )  )  )  )  )  )  )  )  ),"")</f>
        <v/>
      </c>
      <c r="AO75" s="76"/>
      <c r="AP75" s="63"/>
      <c r="AU75" s="63"/>
      <c r="AY75" s="63"/>
      <c r="AZ75" s="63"/>
      <c r="BA75" s="63"/>
    </row>
    <row r="76" spans="1:55" ht="25.5" customHeight="1">
      <c r="A76" s="66">
        <f t="shared" si="4"/>
        <v>34</v>
      </c>
      <c r="B76" s="66" t="str">
        <f t="shared" si="6"/>
        <v/>
      </c>
      <c r="C76" s="66" t="str">
        <f>IF(   (ROW(AO35)-1)&lt;=暫1!$B$2,           IF(  AND(  OR(  C35="x",C35="補"  ), OR(  D35 ="x",D35="補",D35="x榮18-22",D35="x公18-22",D35="x榮22-08"  ), $AP35 =""),"全日休",  IF(  AND(  OR(  C35="x",C35="病"  ), OR(  D35 ="病"  ), $AP35 =""),"病(事)假",  IF(  AND(  OR(  C35="x",C35="補"  ), OR(  D35 ="補"  ), $AP35 =""),"補休",  IF(  AND(  OR(  C35="x",C35="喪"  ), OR(  D35 ="喪"  ), $AP35 =""),"喪假",  IF(  AND(  OR(  C35="x",C35="婚",C35="產"  ), OR(  D35 ="婚",D35="產"  ), $AP35 =""),"婚(產)假",  IF(  AND(  OR(  C35="x",C35="公"  ), OR(  D35 ="公"  ), $AP35 =""),"公假",  IF(  AND(  OR(  C35="x",C35="補",C35="婚",C35="公",C35="病",C35="事",C35="x榮18-22"  ),OR(D35=""), $AP35 =""  ),"18收",  IF(  AND(  OR(  C35 ="榮14-18",C35 ="榮10-18",C35 ="榮06-18",C35 ="病14-18"  ),OR(  D35 ="x",D35="補",D35="婚",D35="公",D35="病",D35="事",D35="x"  ), $AP35 =""),"18放早走",  IF(  AND(  OR(  C35 =""),OR(  D35 ="x",D35="補",D35="婚",D35="公",D35="病",D35="事",D35="x榮*",D35="榮",D35="榮-22"  ), $AP35 =""),"18放",  IF(  AND(  OR(  C35="當日退伍"  ),OR(  D35="退伍",D35="退", D35=""  ), $AP35 =""),"當日退伍",  IF(AND(  OR(C35="退",C35="退伍" ), OR(D35="退",D35="退伍" ), $AP35 =""),"退伍","全日勤"  )  )  )  )  )  )  )  )  )  )  ),"")</f>
        <v/>
      </c>
      <c r="D76" s="66" t="str">
        <f>IF(   (ROW(AP35)-1)&lt;=暫1!$B$2,           IF(  AND(  OR(  D35="x",D35="補"  ), OR(  E35 ="x",E35="補",E35="x榮18-22",E35="x公18-22",E35="x榮22-08"  ), $AP35 =""),"全日休",  IF(  AND(  OR(  D35="x",D35="病"  ), OR(  E35 ="病"  ), $AP35 =""),"病(事)假",  IF(  AND(  OR(  D35="x",D35="補"  ), OR(  E35 ="補"  ), $AP35 =""),"補休",  IF(  AND(  OR(  D35="x",D35="喪"  ), OR(  E35 ="喪"  ), $AP35 =""),"喪假",  IF(  AND(  OR(  D35="x",D35="婚",D35="產"  ), OR(  E35 ="婚",E35="產"  ), $AP35 =""),"婚(產)假",  IF(  AND(  OR(  D35="x",D35="公"  ), OR(  E35 ="公"  ), $AP35 =""),"公假",  IF(  AND(  OR(  D35="x",D35="補",D35="婚",D35="公",D35="病",D35="事",D35="x榮18-22"  ),OR(E35=""), $AP35 =""  ),"18收",  IF(  AND(  OR(  D35 ="榮14-18",D35 ="榮10-18",D35 ="榮06-18",D35 ="病14-18"  ),OR(  E35 ="x",E35="補",E35="婚",E35="公",E35="病",E35="事",E35="x"  ), $AP35 =""),"18放早走",  IF(  AND(  OR(  D35 =""),OR(  E35 ="x",E35="補",E35="婚",E35="公",E35="病",E35="事",E35="x榮*",E35="榮",E35="榮-22"  ), $AP35 =""),"18放",  IF(  AND(  OR(  D35="當日退伍"  ),OR(  E35="退伍",E35="退", E35=""  ), $AP35 =""),"當日退伍",  IF(AND(  OR(D35="退",D35="退伍" ), OR(E35="退",E35="退伍" ), $AP35 =""),"退伍","全日勤"  )  )  )  )  )  )  )  )  )  )  ),"")</f>
        <v/>
      </c>
      <c r="E76" s="66" t="str">
        <f>IF(   (ROW(AQ35)-1)&lt;=暫1!$B$2,           IF(  AND(  OR(  E35="x",E35="補"  ), OR(  F35 ="x",F35="補",F35="x榮18-22",F35="x公18-22",F35="x榮22-08"  ), $AP35 =""),"全日休",  IF(  AND(  OR(  E35="x",E35="病"  ), OR(  F35 ="病"  ), $AP35 =""),"病(事)假",  IF(  AND(  OR(  E35="x",E35="補"  ), OR(  F35 ="補"  ), $AP35 =""),"補休",  IF(  AND(  OR(  E35="x",E35="喪"  ), OR(  F35 ="喪"  ), $AP35 =""),"喪假",  IF(  AND(  OR(  E35="x",E35="婚",E35="產"  ), OR(  F35 ="婚",F35="產"  ), $AP35 =""),"婚(產)假",  IF(  AND(  OR(  E35="x",E35="公"  ), OR(  F35 ="公"  ), $AP35 =""),"公假",  IF(  AND(  OR(  E35="x",E35="補",E35="婚",E35="公",E35="病",E35="事",E35="x榮18-22"  ),OR(F35=""), $AP35 =""  ),"18收",  IF(  AND(  OR(  E35 ="榮14-18",E35 ="榮10-18",E35 ="榮06-18",E35 ="病14-18"  ),OR(  F35 ="x",F35="補",F35="婚",F35="公",F35="病",F35="事",F35="x"  ), $AP35 =""),"18放早走",  IF(  AND(  OR(  E35 =""),OR(  F35 ="x",F35="補",F35="婚",F35="公",F35="病",F35="事",F35="x榮*",F35="榮",F35="榮-22"  ), $AP35 =""),"18放",  IF(  AND(  OR(  E35="當日退伍"  ),OR(  F35="退伍",F35="退", F35=""  ), $AP35 =""),"當日退伍",  IF(AND(  OR(E35="退",E35="退伍" ), OR(F35="退",F35="退伍" ), $AP35 =""),"退伍","全日勤"  )  )  )  )  )  )  )  )  )  )  ),"")</f>
        <v/>
      </c>
      <c r="F76" s="66" t="str">
        <f>IF(   (ROW(AR35)-1)&lt;=暫1!$B$2,           IF(  AND(  OR(  F35="x",F35="補"  ), OR(  G35 ="x",G35="補",G35="x榮18-22",G35="x公18-22",G35="x榮22-08"  ), $AP35 =""),"全日休",  IF(  AND(  OR(  F35="x",F35="病"  ), OR(  G35 ="病"  ), $AP35 =""),"病(事)假",  IF(  AND(  OR(  F35="x",F35="補"  ), OR(  G35 ="補"  ), $AP35 =""),"補休",  IF(  AND(  OR(  F35="x",F35="喪"  ), OR(  G35 ="喪"  ), $AP35 =""),"喪假",  IF(  AND(  OR(  F35="x",F35="婚",F35="產"  ), OR(  G35 ="婚",G35="產"  ), $AP35 =""),"婚(產)假",  IF(  AND(  OR(  F35="x",F35="公"  ), OR(  G35 ="公"  ), $AP35 =""),"公假",  IF(  AND(  OR(  F35="x",F35="補",F35="婚",F35="公",F35="病",F35="事",F35="x榮18-22"  ),OR(G35=""), $AP35 =""  ),"18收",  IF(  AND(  OR(  F35 ="榮14-18",F35 ="榮10-18",F35 ="榮06-18",F35 ="病14-18"  ),OR(  G35 ="x",G35="補",G35="婚",G35="公",G35="病",G35="事",G35="x"  ), $AP35 =""),"18放早走",  IF(  AND(  OR(  F35 =""),OR(  G35 ="x",G35="補",G35="婚",G35="公",G35="病",G35="事",G35="x榮*",G35="榮",G35="榮-22"  ), $AP35 =""),"18放",  IF(  AND(  OR(  F35="當日退伍"  ),OR(  G35="退伍",G35="退", G35=""  ), $AP35 =""),"當日退伍",  IF(AND(  OR(F35="退",F35="退伍" ), OR(G35="退",G35="退伍" ), $AP35 =""),"退伍","全日勤"  )  )  )  )  )  )  )  )  )  )  ),"")</f>
        <v/>
      </c>
      <c r="G76" s="66" t="str">
        <f>IF(   (ROW(AS35)-1)&lt;=暫1!$B$2,           IF(  AND(  OR(  G35="x",G35="補"  ), OR(  H35 ="x",H35="補",H35="x榮18-22",H35="x公18-22",H35="x榮22-08"  ), $AP35 =""),"全日休",  IF(  AND(  OR(  G35="x",G35="病"  ), OR(  H35 ="病"  ), $AP35 =""),"病(事)假",  IF(  AND(  OR(  G35="x",G35="補"  ), OR(  H35 ="補"  ), $AP35 =""),"補休",  IF(  AND(  OR(  G35="x",G35="喪"  ), OR(  H35 ="喪"  ), $AP35 =""),"喪假",  IF(  AND(  OR(  G35="x",G35="婚",G35="產"  ), OR(  H35 ="婚",H35="產"  ), $AP35 =""),"婚(產)假",  IF(  AND(  OR(  G35="x",G35="公"  ), OR(  H35 ="公"  ), $AP35 =""),"公假",  IF(  AND(  OR(  G35="x",G35="補",G35="婚",G35="公",G35="病",G35="事",G35="x榮18-22"  ),OR(H35=""), $AP35 =""  ),"18收",  IF(  AND(  OR(  G35 ="榮14-18",G35 ="榮10-18",G35 ="榮06-18",G35 ="病14-18"  ),OR(  H35 ="x",H35="補",H35="婚",H35="公",H35="病",H35="事",H35="x"  ), $AP35 =""),"18放早走",  IF(  AND(  OR(  G35 =""),OR(  H35 ="x",H35="補",H35="婚",H35="公",H35="病",H35="事",H35="x榮*",H35="榮",H35="榮-22"  ), $AP35 =""),"18放",  IF(  AND(  OR(  G35="當日退伍"  ),OR(  H35="退伍",H35="退", H35=""  ), $AP35 =""),"當日退伍",  IF(AND(  OR(G35="退",G35="退伍" ), OR(H35="退",H35="退伍" ), $AP35 =""),"退伍","全日勤"  )  )  )  )  )  )  )  )  )  )  ),"")</f>
        <v/>
      </c>
      <c r="H76" s="66" t="str">
        <f>IF(   (ROW(AT35)-1)&lt;=暫1!$B$2,           IF(  AND(  OR(  H35="x",H35="補"  ), OR(  I35 ="x",I35="補",I35="x榮18-22",I35="x公18-22",I35="x榮22-08"  ), $AP35 =""),"全日休",  IF(  AND(  OR(  H35="x",H35="病"  ), OR(  I35 ="病"  ), $AP35 =""),"病(事)假",  IF(  AND(  OR(  H35="x",H35="補"  ), OR(  I35 ="補"  ), $AP35 =""),"補休",  IF(  AND(  OR(  H35="x",H35="喪"  ), OR(  I35 ="喪"  ), $AP35 =""),"喪假",  IF(  AND(  OR(  H35="x",H35="婚",H35="產"  ), OR(  I35 ="婚",I35="產"  ), $AP35 =""),"婚(產)假",  IF(  AND(  OR(  H35="x",H35="公"  ), OR(  I35 ="公"  ), $AP35 =""),"公假",  IF(  AND(  OR(  H35="x",H35="補",H35="婚",H35="公",H35="病",H35="事",H35="x榮18-22"  ),OR(I35=""), $AP35 =""  ),"18收",  IF(  AND(  OR(  H35 ="榮14-18",H35 ="榮10-18",H35 ="榮06-18",H35 ="病14-18"  ),OR(  I35 ="x",I35="補",I35="婚",I35="公",I35="病",I35="事",I35="x"  ), $AP35 =""),"18放早走",  IF(  AND(  OR(  H35 =""),OR(  I35 ="x",I35="補",I35="婚",I35="公",I35="病",I35="事",I35="x榮*",I35="榮",I35="榮-22"  ), $AP35 =""),"18放",  IF(  AND(  OR(  H35="當日退伍"  ),OR(  I35="退伍",I35="退", I35=""  ), $AP35 =""),"當日退伍",  IF(AND(  OR(H35="退",H35="退伍" ), OR(I35="退",I35="退伍" ), $AP35 =""),"退伍","全日勤"  )  )  )  )  )  )  )  )  )  )  ),"")</f>
        <v/>
      </c>
      <c r="I76" s="66" t="str">
        <f>IF(   (ROW(AU35)-1)&lt;=暫1!$B$2,           IF(  AND(  OR(  I35="x",I35="補"  ), OR(  J35 ="x",J35="補",J35="x榮18-22",J35="x公18-22",J35="x榮22-08"  ), $AP35 =""),"全日休",  IF(  AND(  OR(  I35="x",I35="病"  ), OR(  J35 ="病"  ), $AP35 =""),"病(事)假",  IF(  AND(  OR(  I35="x",I35="補"  ), OR(  J35 ="補"  ), $AP35 =""),"補休",  IF(  AND(  OR(  I35="x",I35="喪"  ), OR(  J35 ="喪"  ), $AP35 =""),"喪假",  IF(  AND(  OR(  I35="x",I35="婚",I35="產"  ), OR(  J35 ="婚",J35="產"  ), $AP35 =""),"婚(產)假",  IF(  AND(  OR(  I35="x",I35="公"  ), OR(  J35 ="公"  ), $AP35 =""),"公假",  IF(  AND(  OR(  I35="x",I35="補",I35="婚",I35="公",I35="病",I35="事",I35="x榮18-22"  ),OR(J35=""), $AP35 =""  ),"18收",  IF(  AND(  OR(  I35 ="榮14-18",I35 ="榮10-18",I35 ="榮06-18",I35 ="病14-18"  ),OR(  J35 ="x",J35="補",J35="婚",J35="公",J35="病",J35="事",J35="x"  ), $AP35 =""),"18放早走",  IF(  AND(  OR(  I35 =""),OR(  J35 ="x",J35="補",J35="婚",J35="公",J35="病",J35="事",J35="x榮*",J35="榮",J35="榮-22"  ), $AP35 =""),"18放",  IF(  AND(  OR(  I35="當日退伍"  ),OR(  J35="退伍",J35="退", J35=""  ), $AP35 =""),"當日退伍",  IF(AND(  OR(I35="退",I35="退伍" ), OR(J35="退",J35="退伍" ), $AP35 =""),"退伍","全日勤"  )  )  )  )  )  )  )  )  )  )  ),"")</f>
        <v/>
      </c>
      <c r="J76" s="66" t="str">
        <f>IF(   (ROW(AV35)-1)&lt;=暫1!$B$2,           IF(  AND(  OR(  J35="x",J35="補"  ), OR(  K35 ="x",K35="補",K35="x榮18-22",K35="x公18-22",K35="x榮22-08"  ), $AP35 =""),"全日休",  IF(  AND(  OR(  J35="x",J35="病"  ), OR(  K35 ="病"  ), $AP35 =""),"病(事)假",  IF(  AND(  OR(  J35="x",J35="補"  ), OR(  K35 ="補"  ), $AP35 =""),"補休",  IF(  AND(  OR(  J35="x",J35="喪"  ), OR(  K35 ="喪"  ), $AP35 =""),"喪假",  IF(  AND(  OR(  J35="x",J35="婚",J35="產"  ), OR(  K35 ="婚",K35="產"  ), $AP35 =""),"婚(產)假",  IF(  AND(  OR(  J35="x",J35="公"  ), OR(  K35 ="公"  ), $AP35 =""),"公假",  IF(  AND(  OR(  J35="x",J35="補",J35="婚",J35="公",J35="病",J35="事",J35="x榮18-22"  ),OR(K35=""), $AP35 =""  ),"18收",  IF(  AND(  OR(  J35 ="榮14-18",J35 ="榮10-18",J35 ="榮06-18",J35 ="病14-18"  ),OR(  K35 ="x",K35="補",K35="婚",K35="公",K35="病",K35="事",K35="x"  ), $AP35 =""),"18放早走",  IF(  AND(  OR(  J35 =""),OR(  K35 ="x",K35="補",K35="婚",K35="公",K35="病",K35="事",K35="x榮*",K35="榮",K35="榮-22"  ), $AP35 =""),"18放",  IF(  AND(  OR(  J35="當日退伍"  ),OR(  K35="退伍",K35="退", K35=""  ), $AP35 =""),"當日退伍",  IF(AND(  OR(J35="退",J35="退伍" ), OR(K35="退",K35="退伍" ), $AP35 =""),"退伍","全日勤"  )  )  )  )  )  )  )  )  )  )  ),"")</f>
        <v/>
      </c>
      <c r="K76" s="66" t="str">
        <f>IF(   (ROW(AW35)-1)&lt;=暫1!$B$2,           IF(  AND(  OR(  K35="x",K35="補"  ), OR(  L35 ="x",L35="補",L35="x榮18-22",L35="x公18-22",L35="x榮22-08"  ), $AP35 =""),"全日休",  IF(  AND(  OR(  K35="x",K35="病"  ), OR(  L35 ="病"  ), $AP35 =""),"病(事)假",  IF(  AND(  OR(  K35="x",K35="補"  ), OR(  L35 ="補"  ), $AP35 =""),"補休",  IF(  AND(  OR(  K35="x",K35="喪"  ), OR(  L35 ="喪"  ), $AP35 =""),"喪假",  IF(  AND(  OR(  K35="x",K35="婚",K35="產"  ), OR(  L35 ="婚",L35="產"  ), $AP35 =""),"婚(產)假",  IF(  AND(  OR(  K35="x",K35="公"  ), OR(  L35 ="公"  ), $AP35 =""),"公假",  IF(  AND(  OR(  K35="x",K35="補",K35="婚",K35="公",K35="病",K35="事",K35="x榮18-22"  ),OR(L35=""), $AP35 =""  ),"18收",  IF(  AND(  OR(  K35 ="榮14-18",K35 ="榮10-18",K35 ="榮06-18",K35 ="病14-18"  ),OR(  L35 ="x",L35="補",L35="婚",L35="公",L35="病",L35="事",L35="x"  ), $AP35 =""),"18放早走",  IF(  AND(  OR(  K35 =""),OR(  L35 ="x",L35="補",L35="婚",L35="公",L35="病",L35="事",L35="x榮*",L35="榮",L35="榮-22"  ), $AP35 =""),"18放",  IF(  AND(  OR(  K35="當日退伍"  ),OR(  L35="退伍",L35="退", L35=""  ), $AP35 =""),"當日退伍",  IF(AND(  OR(K35="退",K35="退伍" ), OR(L35="退",L35="退伍" ), $AP35 =""),"退伍","全日勤"  )  )  )  )  )  )  )  )  )  )  ),"")</f>
        <v/>
      </c>
      <c r="L76" s="66" t="str">
        <f>IF(   (ROW(AX35)-1)&lt;=暫1!$B$2,           IF(  AND(  OR(  L35="x",L35="補"  ), OR(  M35 ="x",M35="補",M35="x榮18-22",M35="x公18-22",M35="x榮22-08"  ), $AP35 =""),"全日休",  IF(  AND(  OR(  L35="x",L35="病"  ), OR(  M35 ="病"  ), $AP35 =""),"病(事)假",  IF(  AND(  OR(  L35="x",L35="補"  ), OR(  M35 ="補"  ), $AP35 =""),"補休",  IF(  AND(  OR(  L35="x",L35="喪"  ), OR(  M35 ="喪"  ), $AP35 =""),"喪假",  IF(  AND(  OR(  L35="x",L35="婚",L35="產"  ), OR(  M35 ="婚",M35="產"  ), $AP35 =""),"婚(產)假",  IF(  AND(  OR(  L35="x",L35="公"  ), OR(  M35 ="公"  ), $AP35 =""),"公假",  IF(  AND(  OR(  L35="x",L35="補",L35="婚",L35="公",L35="病",L35="事",L35="x榮18-22"  ),OR(M35=""), $AP35 =""  ),"18收",  IF(  AND(  OR(  L35 ="榮14-18",L35 ="榮10-18",L35 ="榮06-18",L35 ="病14-18"  ),OR(  M35 ="x",M35="補",M35="婚",M35="公",M35="病",M35="事",M35="x"  ), $AP35 =""),"18放早走",  IF(  AND(  OR(  L35 =""),OR(  M35 ="x",M35="補",M35="婚",M35="公",M35="病",M35="事",M35="x榮*",M35="榮",M35="榮-22"  ), $AP35 =""),"18放",  IF(  AND(  OR(  L35="當日退伍"  ),OR(  M35="退伍",M35="退", M35=""  ), $AP35 =""),"當日退伍",  IF(AND(  OR(L35="退",L35="退伍" ), OR(M35="退",M35="退伍" ), $AP35 =""),"退伍","全日勤"  )  )  )  )  )  )  )  )  )  )  ),"")</f>
        <v/>
      </c>
      <c r="M76" s="66" t="str">
        <f>IF(   (ROW(AY35)-1)&lt;=暫1!$B$2,           IF(  AND(  OR(  M35="x",M35="補"  ), OR(  N35 ="x",N35="補",N35="x榮18-22",N35="x公18-22",N35="x榮22-08"  ), $AP35 =""),"全日休",  IF(  AND(  OR(  M35="x",M35="病"  ), OR(  N35 ="病"  ), $AP35 =""),"病(事)假",  IF(  AND(  OR(  M35="x",M35="補"  ), OR(  N35 ="補"  ), $AP35 =""),"補休",  IF(  AND(  OR(  M35="x",M35="喪"  ), OR(  N35 ="喪"  ), $AP35 =""),"喪假",  IF(  AND(  OR(  M35="x",M35="婚",M35="產"  ), OR(  N35 ="婚",N35="產"  ), $AP35 =""),"婚(產)假",  IF(  AND(  OR(  M35="x",M35="公"  ), OR(  N35 ="公"  ), $AP35 =""),"公假",  IF(  AND(  OR(  M35="x",M35="補",M35="婚",M35="公",M35="病",M35="事",M35="x榮18-22"  ),OR(N35=""), $AP35 =""  ),"18收",  IF(  AND(  OR(  M35 ="榮14-18",M35 ="榮10-18",M35 ="榮06-18",M35 ="病14-18"  ),OR(  N35 ="x",N35="補",N35="婚",N35="公",N35="病",N35="事",N35="x"  ), $AP35 =""),"18放早走",  IF(  AND(  OR(  M35 =""),OR(  N35 ="x",N35="補",N35="婚",N35="公",N35="病",N35="事",N35="x榮*",N35="榮",N35="榮-22"  ), $AP35 =""),"18放",  IF(  AND(  OR(  M35="當日退伍"  ),OR(  N35="退伍",N35="退", N35=""  ), $AP35 =""),"當日退伍",  IF(AND(  OR(M35="退",M35="退伍" ), OR(N35="退",N35="退伍" ), $AP35 =""),"退伍","全日勤"  )  )  )  )  )  )  )  )  )  )  ),"")</f>
        <v/>
      </c>
      <c r="N76" s="66" t="str">
        <f>IF(   (ROW(AZ35)-1)&lt;=暫1!$B$2,           IF(  AND(  OR(  N35="x",N35="補"  ), OR(  O35 ="x",O35="補",O35="x榮18-22",O35="x公18-22",O35="x榮22-08"  ), $AP35 =""),"全日休",  IF(  AND(  OR(  N35="x",N35="病"  ), OR(  O35 ="病"  ), $AP35 =""),"病(事)假",  IF(  AND(  OR(  N35="x",N35="補"  ), OR(  O35 ="補"  ), $AP35 =""),"補休",  IF(  AND(  OR(  N35="x",N35="喪"  ), OR(  O35 ="喪"  ), $AP35 =""),"喪假",  IF(  AND(  OR(  N35="x",N35="婚",N35="產"  ), OR(  O35 ="婚",O35="產"  ), $AP35 =""),"婚(產)假",  IF(  AND(  OR(  N35="x",N35="公"  ), OR(  O35 ="公"  ), $AP35 =""),"公假",  IF(  AND(  OR(  N35="x",N35="補",N35="婚",N35="公",N35="病",N35="事",N35="x榮18-22"  ),OR(O35=""), $AP35 =""  ),"18收",  IF(  AND(  OR(  N35 ="榮14-18",N35 ="榮10-18",N35 ="榮06-18",N35 ="病14-18"  ),OR(  O35 ="x",O35="補",O35="婚",O35="公",O35="病",O35="事",O35="x"  ), $AP35 =""),"18放早走",  IF(  AND(  OR(  N35 =""),OR(  O35 ="x",O35="補",O35="婚",O35="公",O35="病",O35="事",O35="x榮*",O35="榮",O35="榮-22"  ), $AP35 =""),"18放",  IF(  AND(  OR(  N35="當日退伍"  ),OR(  O35="退伍",O35="退", O35=""  ), $AP35 =""),"當日退伍",  IF(AND(  OR(N35="退",N35="退伍" ), OR(O35="退",O35="退伍" ), $AP35 =""),"退伍","全日勤"  )  )  )  )  )  )  )  )  )  )  ),"")</f>
        <v/>
      </c>
      <c r="O76" s="66" t="str">
        <f>IF(   (ROW(BA35)-1)&lt;=暫1!$B$2,           IF(  AND(  OR(  O35="x",O35="補"  ), OR(  P35 ="x",P35="補",P35="x榮18-22",P35="x公18-22",P35="x榮22-08"  ), $AP35 =""),"全日休",  IF(  AND(  OR(  O35="x",O35="病"  ), OR(  P35 ="病"  ), $AP35 =""),"病(事)假",  IF(  AND(  OR(  O35="x",O35="補"  ), OR(  P35 ="補"  ), $AP35 =""),"補休",  IF(  AND(  OR(  O35="x",O35="喪"  ), OR(  P35 ="喪"  ), $AP35 =""),"喪假",  IF(  AND(  OR(  O35="x",O35="婚",O35="產"  ), OR(  P35 ="婚",P35="產"  ), $AP35 =""),"婚(產)假",  IF(  AND(  OR(  O35="x",O35="公"  ), OR(  P35 ="公"  ), $AP35 =""),"公假",  IF(  AND(  OR(  O35="x",O35="補",O35="婚",O35="公",O35="病",O35="事",O35="x榮18-22"  ),OR(P35=""), $AP35 =""  ),"18收",  IF(  AND(  OR(  O35 ="榮14-18",O35 ="榮10-18",O35 ="榮06-18",O35 ="病14-18"  ),OR(  P35 ="x",P35="補",P35="婚",P35="公",P35="病",P35="事",P35="x"  ), $AP35 =""),"18放早走",  IF(  AND(  OR(  O35 =""),OR(  P35 ="x",P35="補",P35="婚",P35="公",P35="病",P35="事",P35="x榮*",P35="榮",P35="榮-22"  ), $AP35 =""),"18放",  IF(  AND(  OR(  O35="當日退伍"  ),OR(  P35="退伍",P35="退", P35=""  ), $AP35 =""),"當日退伍",  IF(AND(  OR(O35="退",O35="退伍" ), OR(P35="退",P35="退伍" ), $AP35 =""),"退伍","全日勤"  )  )  )  )  )  )  )  )  )  )  ),"")</f>
        <v/>
      </c>
      <c r="P76" s="66" t="str">
        <f>IF(   (ROW(BB35)-1)&lt;=暫1!$B$2,           IF(  AND(  OR(  P35="x",P35="補"  ), OR(  Q35 ="x",Q35="補",Q35="x榮18-22",Q35="x公18-22",Q35="x榮22-08"  ), $AP35 =""),"全日休",  IF(  AND(  OR(  P35="x",P35="病"  ), OR(  Q35 ="病"  ), $AP35 =""),"病(事)假",  IF(  AND(  OR(  P35="x",P35="補"  ), OR(  Q35 ="補"  ), $AP35 =""),"補休",  IF(  AND(  OR(  P35="x",P35="喪"  ), OR(  Q35 ="喪"  ), $AP35 =""),"喪假",  IF(  AND(  OR(  P35="x",P35="婚",P35="產"  ), OR(  Q35 ="婚",Q35="產"  ), $AP35 =""),"婚(產)假",  IF(  AND(  OR(  P35="x",P35="公"  ), OR(  Q35 ="公"  ), $AP35 =""),"公假",  IF(  AND(  OR(  P35="x",P35="補",P35="婚",P35="公",P35="病",P35="事",P35="x榮18-22"  ),OR(Q35=""), $AP35 =""  ),"18收",  IF(  AND(  OR(  P35 ="榮14-18",P35 ="榮10-18",P35 ="榮06-18",P35 ="病14-18"  ),OR(  Q35 ="x",Q35="補",Q35="婚",Q35="公",Q35="病",Q35="事",Q35="x"  ), $AP35 =""),"18放早走",  IF(  AND(  OR(  P35 =""),OR(  Q35 ="x",Q35="補",Q35="婚",Q35="公",Q35="病",Q35="事",Q35="x榮*",Q35="榮",Q35="榮-22"  ), $AP35 =""),"18放",  IF(  AND(  OR(  P35="當日退伍"  ),OR(  Q35="退伍",Q35="退", Q35=""  ), $AP35 =""),"當日退伍",  IF(AND(  OR(P35="退",P35="退伍" ), OR(Q35="退",Q35="退伍" ), $AP35 =""),"退伍","全日勤"  )  )  )  )  )  )  )  )  )  )  ),"")</f>
        <v/>
      </c>
      <c r="Q76" s="66" t="str">
        <f>IF(   (ROW(BC35)-1)&lt;=暫1!$B$2,           IF(  AND(  OR(  Q35="x",Q35="補"  ), OR(  R35 ="x",R35="補",R35="x榮18-22",R35="x公18-22",R35="x榮22-08"  ), $AP35 =""),"全日休",  IF(  AND(  OR(  Q35="x",Q35="病"  ), OR(  R35 ="病"  ), $AP35 =""),"病(事)假",  IF(  AND(  OR(  Q35="x",Q35="補"  ), OR(  R35 ="補"  ), $AP35 =""),"補休",  IF(  AND(  OR(  Q35="x",Q35="喪"  ), OR(  R35 ="喪"  ), $AP35 =""),"喪假",  IF(  AND(  OR(  Q35="x",Q35="婚",Q35="產"  ), OR(  R35 ="婚",R35="產"  ), $AP35 =""),"婚(產)假",  IF(  AND(  OR(  Q35="x",Q35="公"  ), OR(  R35 ="公"  ), $AP35 =""),"公假",  IF(  AND(  OR(  Q35="x",Q35="補",Q35="婚",Q35="公",Q35="病",Q35="事",Q35="x榮18-22"  ),OR(R35=""), $AP35 =""  ),"18收",  IF(  AND(  OR(  Q35 ="榮14-18",Q35 ="榮10-18",Q35 ="榮06-18",Q35 ="病14-18"  ),OR(  R35 ="x",R35="補",R35="婚",R35="公",R35="病",R35="事",R35="x"  ), $AP35 =""),"18放早走",  IF(  AND(  OR(  Q35 =""),OR(  R35 ="x",R35="補",R35="婚",R35="公",R35="病",R35="事",R35="x榮*",R35="榮",R35="榮-22"  ), $AP35 =""),"18放",  IF(  AND(  OR(  Q35="當日退伍"  ),OR(  R35="退伍",R35="退", R35=""  ), $AP35 =""),"當日退伍",  IF(AND(  OR(Q35="退",Q35="退伍" ), OR(R35="退",R35="退伍" ), $AP35 =""),"退伍","全日勤"  )  )  )  )  )  )  )  )  )  )  ),"")</f>
        <v/>
      </c>
      <c r="R76" s="66" t="str">
        <f>IF(   (ROW(BD35)-1)&lt;=暫1!$B$2,           IF(  AND(  OR(  R35="x",R35="補"  ), OR(  S35 ="x",S35="補",S35="x榮18-22",S35="x公18-22",S35="x榮22-08"  ), $AP35 =""),"全日休",  IF(  AND(  OR(  R35="x",R35="病"  ), OR(  S35 ="病"  ), $AP35 =""),"病(事)假",  IF(  AND(  OR(  R35="x",R35="補"  ), OR(  S35 ="補"  ), $AP35 =""),"補休",  IF(  AND(  OR(  R35="x",R35="喪"  ), OR(  S35 ="喪"  ), $AP35 =""),"喪假",  IF(  AND(  OR(  R35="x",R35="婚",R35="產"  ), OR(  S35 ="婚",S35="產"  ), $AP35 =""),"婚(產)假",  IF(  AND(  OR(  R35="x",R35="公"  ), OR(  S35 ="公"  ), $AP35 =""),"公假",  IF(  AND(  OR(  R35="x",R35="補",R35="婚",R35="公",R35="病",R35="事",R35="x榮18-22"  ),OR(S35=""), $AP35 =""  ),"18收",  IF(  AND(  OR(  R35 ="榮14-18",R35 ="榮10-18",R35 ="榮06-18",R35 ="病14-18"  ),OR(  S35 ="x",S35="補",S35="婚",S35="公",S35="病",S35="事",S35="x"  ), $AP35 =""),"18放早走",  IF(  AND(  OR(  R35 =""),OR(  S35 ="x",S35="補",S35="婚",S35="公",S35="病",S35="事",S35="x榮*",S35="榮",S35="榮-22"  ), $AP35 =""),"18放",  IF(  AND(  OR(  R35="當日退伍"  ),OR(  S35="退伍",S35="退", S35=""  ), $AP35 =""),"當日退伍",  IF(AND(  OR(R35="退",R35="退伍" ), OR(S35="退",S35="退伍" ), $AP35 =""),"退伍","全日勤"  )  )  )  )  )  )  )  )  )  )  ),"")</f>
        <v/>
      </c>
      <c r="S76" s="66" t="str">
        <f>IF(   (ROW(BE35)-1)&lt;=暫1!$B$2,           IF(  AND(  OR(  S35="x",S35="補"  ), OR(  T35 ="x",T35="補",T35="x榮18-22",T35="x公18-22",T35="x榮22-08"  ), $AP35 =""),"全日休",  IF(  AND(  OR(  S35="x",S35="病"  ), OR(  T35 ="病"  ), $AP35 =""),"病(事)假",  IF(  AND(  OR(  S35="x",S35="補"  ), OR(  T35 ="補"  ), $AP35 =""),"補休",  IF(  AND(  OR(  S35="x",S35="喪"  ), OR(  T35 ="喪"  ), $AP35 =""),"喪假",  IF(  AND(  OR(  S35="x",S35="婚",S35="產"  ), OR(  T35 ="婚",T35="產"  ), $AP35 =""),"婚(產)假",  IF(  AND(  OR(  S35="x",S35="公"  ), OR(  T35 ="公"  ), $AP35 =""),"公假",  IF(  AND(  OR(  S35="x",S35="補",S35="婚",S35="公",S35="病",S35="事",S35="x榮18-22"  ),OR(T35=""), $AP35 =""  ),"18收",  IF(  AND(  OR(  S35 ="榮14-18",S35 ="榮10-18",S35 ="榮06-18",S35 ="病14-18"  ),OR(  T35 ="x",T35="補",T35="婚",T35="公",T35="病",T35="事",T35="x"  ), $AP35 =""),"18放早走",  IF(  AND(  OR(  S35 =""),OR(  T35 ="x",T35="補",T35="婚",T35="公",T35="病",T35="事",T35="x榮*",T35="榮",T35="榮-22"  ), $AP35 =""),"18放",  IF(  AND(  OR(  S35="當日退伍"  ),OR(  T35="退伍",T35="退", T35=""  ), $AP35 =""),"當日退伍",  IF(AND(  OR(S35="退",S35="退伍" ), OR(T35="退",T35="退伍" ), $AP35 =""),"退伍","全日勤"  )  )  )  )  )  )  )  )  )  )  ),"")</f>
        <v/>
      </c>
      <c r="T76" s="66" t="str">
        <f>IF(   (ROW(BF35)-1)&lt;=暫1!$B$2,           IF(  AND(  OR(  T35="x",T35="補"  ), OR(  U35 ="x",U35="補",U35="x榮18-22",U35="x公18-22",U35="x榮22-08"  ), $AP35 =""),"全日休",  IF(  AND(  OR(  T35="x",T35="病"  ), OR(  U35 ="病"  ), $AP35 =""),"病(事)假",  IF(  AND(  OR(  T35="x",T35="補"  ), OR(  U35 ="補"  ), $AP35 =""),"補休",  IF(  AND(  OR(  T35="x",T35="喪"  ), OR(  U35 ="喪"  ), $AP35 =""),"喪假",  IF(  AND(  OR(  T35="x",T35="婚",T35="產"  ), OR(  U35 ="婚",U35="產"  ), $AP35 =""),"婚(產)假",  IF(  AND(  OR(  T35="x",T35="公"  ), OR(  U35 ="公"  ), $AP35 =""),"公假",  IF(  AND(  OR(  T35="x",T35="補",T35="婚",T35="公",T35="病",T35="事",T35="x榮18-22"  ),OR(U35=""), $AP35 =""  ),"18收",  IF(  AND(  OR(  T35 ="榮14-18",T35 ="榮10-18",T35 ="榮06-18",T35 ="病14-18"  ),OR(  U35 ="x",U35="補",U35="婚",U35="公",U35="病",U35="事",U35="x"  ), $AP35 =""),"18放早走",  IF(  AND(  OR(  T35 =""),OR(  U35 ="x",U35="補",U35="婚",U35="公",U35="病",U35="事",U35="x榮*",U35="榮",U35="榮-22"  ), $AP35 =""),"18放",  IF(  AND(  OR(  T35="當日退伍"  ),OR(  U35="退伍",U35="退", U35=""  ), $AP35 =""),"當日退伍",  IF(AND(  OR(T35="退",T35="退伍" ), OR(U35="退",U35="退伍" ), $AP35 =""),"退伍","全日勤"  )  )  )  )  )  )  )  )  )  )  ),"")</f>
        <v/>
      </c>
      <c r="U76" s="66" t="str">
        <f>IF(   (ROW(BG35)-1)&lt;=暫1!$B$2,           IF(  AND(  OR(  U35="x",U35="補"  ), OR(  V35 ="x",V35="補",V35="x榮18-22",V35="x公18-22",V35="x榮22-08"  ), $AP35 =""),"全日休",  IF(  AND(  OR(  U35="x",U35="病"  ), OR(  V35 ="病"  ), $AP35 =""),"病(事)假",  IF(  AND(  OR(  U35="x",U35="補"  ), OR(  V35 ="補"  ), $AP35 =""),"補休",  IF(  AND(  OR(  U35="x",U35="喪"  ), OR(  V35 ="喪"  ), $AP35 =""),"喪假",  IF(  AND(  OR(  U35="x",U35="婚",U35="產"  ), OR(  V35 ="婚",V35="產"  ), $AP35 =""),"婚(產)假",  IF(  AND(  OR(  U35="x",U35="公"  ), OR(  V35 ="公"  ), $AP35 =""),"公假",  IF(  AND(  OR(  U35="x",U35="補",U35="婚",U35="公",U35="病",U35="事",U35="x榮18-22"  ),OR(V35=""), $AP35 =""  ),"18收",  IF(  AND(  OR(  U35 ="榮14-18",U35 ="榮10-18",U35 ="榮06-18",U35 ="病14-18"  ),OR(  V35 ="x",V35="補",V35="婚",V35="公",V35="病",V35="事",V35="x"  ), $AP35 =""),"18放早走",  IF(  AND(  OR(  U35 =""),OR(  V35 ="x",V35="補",V35="婚",V35="公",V35="病",V35="事",V35="x榮*",V35="榮",V35="榮-22"  ), $AP35 =""),"18放",  IF(  AND(  OR(  U35="當日退伍"  ),OR(  V35="退伍",V35="退", V35=""  ), $AP35 =""),"當日退伍",  IF(AND(  OR(U35="退",U35="退伍" ), OR(V35="退",V35="退伍" ), $AP35 =""),"退伍","全日勤"  )  )  )  )  )  )  )  )  )  )  ),"")</f>
        <v/>
      </c>
      <c r="V76" s="66" t="str">
        <f>IF(   (ROW(BH35)-1)&lt;=暫1!$B$2,           IF(  AND(  OR(  V35="x",V35="補"  ), OR(  W35 ="x",W35="補",W35="x榮18-22",W35="x公18-22",W35="x榮22-08"  ), $AP35 =""),"全日休",  IF(  AND(  OR(  V35="x",V35="病"  ), OR(  W35 ="病"  ), $AP35 =""),"病(事)假",  IF(  AND(  OR(  V35="x",V35="補"  ), OR(  W35 ="補"  ), $AP35 =""),"補休",  IF(  AND(  OR(  V35="x",V35="喪"  ), OR(  W35 ="喪"  ), $AP35 =""),"喪假",  IF(  AND(  OR(  V35="x",V35="婚",V35="產"  ), OR(  W35 ="婚",W35="產"  ), $AP35 =""),"婚(產)假",  IF(  AND(  OR(  V35="x",V35="公"  ), OR(  W35 ="公"  ), $AP35 =""),"公假",  IF(  AND(  OR(  V35="x",V35="補",V35="婚",V35="公",V35="病",V35="事",V35="x榮18-22"  ),OR(W35=""), $AP35 =""  ),"18收",  IF(  AND(  OR(  V35 ="榮14-18",V35 ="榮10-18",V35 ="榮06-18",V35 ="病14-18"  ),OR(  W35 ="x",W35="補",W35="婚",W35="公",W35="病",W35="事",W35="x"  ), $AP35 =""),"18放早走",  IF(  AND(  OR(  V35 =""),OR(  W35 ="x",W35="補",W35="婚",W35="公",W35="病",W35="事",W35="x榮*",W35="榮",W35="榮-22"  ), $AP35 =""),"18放",  IF(  AND(  OR(  V35="當日退伍"  ),OR(  W35="退伍",W35="退", W35=""  ), $AP35 =""),"當日退伍",  IF(AND(  OR(V35="退",V35="退伍" ), OR(W35="退",W35="退伍" ), $AP35 =""),"退伍","全日勤"  )  )  )  )  )  )  )  )  )  )  ),"")</f>
        <v/>
      </c>
      <c r="W76" s="66" t="str">
        <f>IF(   (ROW(BI35)-1)&lt;=暫1!$B$2,           IF(  AND(  OR(  W35="x",W35="補"  ), OR(  X35 ="x",X35="補",X35="x榮18-22",X35="x公18-22",X35="x榮22-08"  ), $AP35 =""),"全日休",  IF(  AND(  OR(  W35="x",W35="病"  ), OR(  X35 ="病"  ), $AP35 =""),"病(事)假",  IF(  AND(  OR(  W35="x",W35="補"  ), OR(  X35 ="補"  ), $AP35 =""),"補休",  IF(  AND(  OR(  W35="x",W35="喪"  ), OR(  X35 ="喪"  ), $AP35 =""),"喪假",  IF(  AND(  OR(  W35="x",W35="婚",W35="產"  ), OR(  X35 ="婚",X35="產"  ), $AP35 =""),"婚(產)假",  IF(  AND(  OR(  W35="x",W35="公"  ), OR(  X35 ="公"  ), $AP35 =""),"公假",  IF(  AND(  OR(  W35="x",W35="補",W35="婚",W35="公",W35="病",W35="事",W35="x榮18-22"  ),OR(X35=""), $AP35 =""  ),"18收",  IF(  AND(  OR(  W35 ="榮14-18",W35 ="榮10-18",W35 ="榮06-18",W35 ="病14-18"  ),OR(  X35 ="x",X35="補",X35="婚",X35="公",X35="病",X35="事",X35="x"  ), $AP35 =""),"18放早走",  IF(  AND(  OR(  W35 =""),OR(  X35 ="x",X35="補",X35="婚",X35="公",X35="病",X35="事",X35="x榮*",X35="榮",X35="榮-22"  ), $AP35 =""),"18放",  IF(  AND(  OR(  W35="當日退伍"  ),OR(  X35="退伍",X35="退", X35=""  ), $AP35 =""),"當日退伍",  IF(AND(  OR(W35="退",W35="退伍" ), OR(X35="退",X35="退伍" ), $AP35 =""),"退伍","全日勤"  )  )  )  )  )  )  )  )  )  )  ),"")</f>
        <v/>
      </c>
      <c r="X76" s="66" t="str">
        <f>IF(   (ROW(BJ35)-1)&lt;=暫1!$B$2,           IF(  AND(  OR(  X35="x",X35="補"  ), OR(  Y35 ="x",Y35="補",Y35="x榮18-22",Y35="x公18-22",Y35="x榮22-08"  ), $AP35 =""),"全日休",  IF(  AND(  OR(  X35="x",X35="病"  ), OR(  Y35 ="病"  ), $AP35 =""),"病(事)假",  IF(  AND(  OR(  X35="x",X35="補"  ), OR(  Y35 ="補"  ), $AP35 =""),"補休",  IF(  AND(  OR(  X35="x",X35="喪"  ), OR(  Y35 ="喪"  ), $AP35 =""),"喪假",  IF(  AND(  OR(  X35="x",X35="婚",X35="產"  ), OR(  Y35 ="婚",Y35="產"  ), $AP35 =""),"婚(產)假",  IF(  AND(  OR(  X35="x",X35="公"  ), OR(  Y35 ="公"  ), $AP35 =""),"公假",  IF(  AND(  OR(  X35="x",X35="補",X35="婚",X35="公",X35="病",X35="事",X35="x榮18-22"  ),OR(Y35=""), $AP35 =""  ),"18收",  IF(  AND(  OR(  X35 ="榮14-18",X35 ="榮10-18",X35 ="榮06-18",X35 ="病14-18"  ),OR(  Y35 ="x",Y35="補",Y35="婚",Y35="公",Y35="病",Y35="事",Y35="x"  ), $AP35 =""),"18放早走",  IF(  AND(  OR(  X35 =""),OR(  Y35 ="x",Y35="補",Y35="婚",Y35="公",Y35="病",Y35="事",Y35="x榮*",Y35="榮",Y35="榮-22"  ), $AP35 =""),"18放",  IF(  AND(  OR(  X35="當日退伍"  ),OR(  Y35="退伍",Y35="退", Y35=""  ), $AP35 =""),"當日退伍",  IF(AND(  OR(X35="退",X35="退伍" ), OR(Y35="退",Y35="退伍" ), $AP35 =""),"退伍","全日勤"  )  )  )  )  )  )  )  )  )  )  ),"")</f>
        <v/>
      </c>
      <c r="Y76" s="66" t="str">
        <f>IF(   (ROW(BK35)-1)&lt;=暫1!$B$2,           IF(  AND(  OR(  Y35="x",Y35="補"  ), OR(  Z35 ="x",Z35="補",Z35="x榮18-22",Z35="x公18-22",Z35="x榮22-08"  ), $AP35 =""),"全日休",  IF(  AND(  OR(  Y35="x",Y35="病"  ), OR(  Z35 ="病"  ), $AP35 =""),"病(事)假",  IF(  AND(  OR(  Y35="x",Y35="補"  ), OR(  Z35 ="補"  ), $AP35 =""),"補休",  IF(  AND(  OR(  Y35="x",Y35="喪"  ), OR(  Z35 ="喪"  ), $AP35 =""),"喪假",  IF(  AND(  OR(  Y35="x",Y35="婚",Y35="產"  ), OR(  Z35 ="婚",Z35="產"  ), $AP35 =""),"婚(產)假",  IF(  AND(  OR(  Y35="x",Y35="公"  ), OR(  Z35 ="公"  ), $AP35 =""),"公假",  IF(  AND(  OR(  Y35="x",Y35="補",Y35="婚",Y35="公",Y35="病",Y35="事",Y35="x榮18-22"  ),OR(Z35=""), $AP35 =""  ),"18收",  IF(  AND(  OR(  Y35 ="榮14-18",Y35 ="榮10-18",Y35 ="榮06-18",Y35 ="病14-18"  ),OR(  Z35 ="x",Z35="補",Z35="婚",Z35="公",Z35="病",Z35="事",Z35="x"  ), $AP35 =""),"18放早走",  IF(  AND(  OR(  Y35 =""),OR(  Z35 ="x",Z35="補",Z35="婚",Z35="公",Z35="病",Z35="事",Z35="x榮*",Z35="榮",Z35="榮-22"  ), $AP35 =""),"18放",  IF(  AND(  OR(  Y35="當日退伍"  ),OR(  Z35="退伍",Z35="退", Z35=""  ), $AP35 =""),"當日退伍",  IF(AND(  OR(Y35="退",Y35="退伍" ), OR(Z35="退",Z35="退伍" ), $AP35 =""),"退伍","全日勤"  )  )  )  )  )  )  )  )  )  )  ),"")</f>
        <v/>
      </c>
      <c r="Z76" s="66" t="str">
        <f>IF(   (ROW(BL35)-1)&lt;=暫1!$B$2,           IF(  AND(  OR(  Z35="x",Z35="補"  ), OR(  AA35 ="x",AA35="補",AA35="x榮18-22",AA35="x公18-22",AA35="x榮22-08"  ), $AP35 =""),"全日休",  IF(  AND(  OR(  Z35="x",Z35="病"  ), OR(  AA35 ="病"  ), $AP35 =""),"病(事)假",  IF(  AND(  OR(  Z35="x",Z35="補"  ), OR(  AA35 ="補"  ), $AP35 =""),"補休",  IF(  AND(  OR(  Z35="x",Z35="喪"  ), OR(  AA35 ="喪"  ), $AP35 =""),"喪假",  IF(  AND(  OR(  Z35="x",Z35="婚",Z35="產"  ), OR(  AA35 ="婚",AA35="產"  ), $AP35 =""),"婚(產)假",  IF(  AND(  OR(  Z35="x",Z35="公"  ), OR(  AA35 ="公"  ), $AP35 =""),"公假",  IF(  AND(  OR(  Z35="x",Z35="補",Z35="婚",Z35="公",Z35="病",Z35="事",Z35="x榮18-22"  ),OR(AA35=""), $AP35 =""  ),"18收",  IF(  AND(  OR(  Z35 ="榮14-18",Z35 ="榮10-18",Z35 ="榮06-18",Z35 ="病14-18"  ),OR(  AA35 ="x",AA35="補",AA35="婚",AA35="公",AA35="病",AA35="事",AA35="x"  ), $AP35 =""),"18放早走",  IF(  AND(  OR(  Z35 =""),OR(  AA35 ="x",AA35="補",AA35="婚",AA35="公",AA35="病",AA35="事",AA35="x榮*",AA35="榮",AA35="榮-22"  ), $AP35 =""),"18放",  IF(  AND(  OR(  Z35="當日退伍"  ),OR(  AA35="退伍",AA35="退", AA35=""  ), $AP35 =""),"當日退伍",  IF(AND(  OR(Z35="退",Z35="退伍" ), OR(AA35="退",AA35="退伍" ), $AP35 =""),"退伍","全日勤"  )  )  )  )  )  )  )  )  )  )  ),"")</f>
        <v/>
      </c>
      <c r="AA76" s="66" t="str">
        <f>IF(   (ROW(BM35)-1)&lt;=暫1!$B$2,           IF(  AND(  OR(  AA35="x",AA35="補"  ), OR(  AB35 ="x",AB35="補",AB35="x榮18-22",AB35="x公18-22",AB35="x榮22-08"  ), $AP35 =""),"全日休",  IF(  AND(  OR(  AA35="x",AA35="病"  ), OR(  AB35 ="病"  ), $AP35 =""),"病(事)假",  IF(  AND(  OR(  AA35="x",AA35="補"  ), OR(  AB35 ="補"  ), $AP35 =""),"補休",  IF(  AND(  OR(  AA35="x",AA35="喪"  ), OR(  AB35 ="喪"  ), $AP35 =""),"喪假",  IF(  AND(  OR(  AA35="x",AA35="婚",AA35="產"  ), OR(  AB35 ="婚",AB35="產"  ), $AP35 =""),"婚(產)假",  IF(  AND(  OR(  AA35="x",AA35="公"  ), OR(  AB35 ="公"  ), $AP35 =""),"公假",  IF(  AND(  OR(  AA35="x",AA35="補",AA35="婚",AA35="公",AA35="病",AA35="事",AA35="x榮18-22"  ),OR(AB35=""), $AP35 =""  ),"18收",  IF(  AND(  OR(  AA35 ="榮14-18",AA35 ="榮10-18",AA35 ="榮06-18",AA35 ="病14-18"  ),OR(  AB35 ="x",AB35="補",AB35="婚",AB35="公",AB35="病",AB35="事",AB35="x"  ), $AP35 =""),"18放早走",  IF(  AND(  OR(  AA35 =""),OR(  AB35 ="x",AB35="補",AB35="婚",AB35="公",AB35="病",AB35="事",AB35="x榮*",AB35="榮",AB35="榮-22"  ), $AP35 =""),"18放",  IF(  AND(  OR(  AA35="當日退伍"  ),OR(  AB35="退伍",AB35="退", AB35=""  ), $AP35 =""),"當日退伍",  IF(AND(  OR(AA35="退",AA35="退伍" ), OR(AB35="退",AB35="退伍" ), $AP35 =""),"退伍","全日勤"  )  )  )  )  )  )  )  )  )  )  ),"")</f>
        <v/>
      </c>
      <c r="AB76" s="66" t="str">
        <f>IF(   (ROW(BN35)-1)&lt;=暫1!$B$2,           IF(  AND(  OR(  AB35="x",AB35="補"  ), OR(  AC35 ="x",AC35="補",AC35="x榮18-22",AC35="x公18-22",AC35="x榮22-08"  ), $AP35 =""),"全日休",  IF(  AND(  OR(  AB35="x",AB35="病"  ), OR(  AC35 ="病"  ), $AP35 =""),"病(事)假",  IF(  AND(  OR(  AB35="x",AB35="補"  ), OR(  AC35 ="補"  ), $AP35 =""),"補休",  IF(  AND(  OR(  AB35="x",AB35="喪"  ), OR(  AC35 ="喪"  ), $AP35 =""),"喪假",  IF(  AND(  OR(  AB35="x",AB35="婚",AB35="產"  ), OR(  AC35 ="婚",AC35="產"  ), $AP35 =""),"婚(產)假",  IF(  AND(  OR(  AB35="x",AB35="公"  ), OR(  AC35 ="公"  ), $AP35 =""),"公假",  IF(  AND(  OR(  AB35="x",AB35="補",AB35="婚",AB35="公",AB35="病",AB35="事",AB35="x榮18-22"  ),OR(AC35=""), $AP35 =""  ),"18收",  IF(  AND(  OR(  AB35 ="榮14-18",AB35 ="榮10-18",AB35 ="榮06-18",AB35 ="病14-18"  ),OR(  AC35 ="x",AC35="補",AC35="婚",AC35="公",AC35="病",AC35="事",AC35="x"  ), $AP35 =""),"18放早走",  IF(  AND(  OR(  AB35 =""),OR(  AC35 ="x",AC35="補",AC35="婚",AC35="公",AC35="病",AC35="事",AC35="x榮*",AC35="榮",AC35="榮-22"  ), $AP35 =""),"18放",  IF(  AND(  OR(  AB35="當日退伍"  ),OR(  AC35="退伍",AC35="退", AC35=""  ), $AP35 =""),"當日退伍",  IF(AND(  OR(AB35="退",AB35="退伍" ), OR(AC35="退",AC35="退伍" ), $AP35 =""),"退伍","全日勤"  )  )  )  )  )  )  )  )  )  )  ),"")</f>
        <v/>
      </c>
      <c r="AC76" s="66" t="str">
        <f>IF(   (ROW(BO35)-1)&lt;=暫1!$B$2,           IF(  AND(  OR(  AC35="x",AC35="補"  ), OR(  AD35 ="x",AD35="補",AD35="x榮18-22",AD35="x公18-22",AD35="x榮22-08"  ), $AP35 =""),"全日休",  IF(  AND(  OR(  AC35="x",AC35="病"  ), OR(  AD35 ="病"  ), $AP35 =""),"病(事)假",  IF(  AND(  OR(  AC35="x",AC35="補"  ), OR(  AD35 ="補"  ), $AP35 =""),"補休",  IF(  AND(  OR(  AC35="x",AC35="喪"  ), OR(  AD35 ="喪"  ), $AP35 =""),"喪假",  IF(  AND(  OR(  AC35="x",AC35="婚",AC35="產"  ), OR(  AD35 ="婚",AD35="產"  ), $AP35 =""),"婚(產)假",  IF(  AND(  OR(  AC35="x",AC35="公"  ), OR(  AD35 ="公"  ), $AP35 =""),"公假",  IF(  AND(  OR(  AC35="x",AC35="補",AC35="婚",AC35="公",AC35="病",AC35="事",AC35="x榮18-22"  ),OR(AD35=""), $AP35 =""  ),"18收",  IF(  AND(  OR(  AC35 ="榮14-18",AC35 ="榮10-18",AC35 ="榮06-18",AC35 ="病14-18"  ),OR(  AD35 ="x",AD35="補",AD35="婚",AD35="公",AD35="病",AD35="事",AD35="x"  ), $AP35 =""),"18放早走",  IF(  AND(  OR(  AC35 =""),OR(  AD35 ="x",AD35="補",AD35="婚",AD35="公",AD35="病",AD35="事",AD35="x榮*",AD35="榮",AD35="榮-22"  ), $AP35 =""),"18放",  IF(  AND(  OR(  AC35="當日退伍"  ),OR(  AD35="退伍",AD35="退", AD35=""  ), $AP35 =""),"當日退伍",  IF(AND(  OR(AC35="退",AC35="退伍" ), OR(AD35="退",AD35="退伍" ), $AP35 =""),"退伍","全日勤"  )  )  )  )  )  )  )  )  )  )  ),"")</f>
        <v/>
      </c>
      <c r="AD76" s="66" t="str">
        <f>IF(   (ROW(BP35)-1)&lt;=暫1!$B$2,           IF(  AND(  OR(  AD35="x",AD35="補"  ), OR(  AE35 ="x",AE35="補",AE35="x榮18-22",AE35="x公18-22",AE35="x榮22-08"  ), $AP35 =""),"全日休",  IF(  AND(  OR(  AD35="x",AD35="病"  ), OR(  AE35 ="病"  ), $AP35 =""),"病(事)假",  IF(  AND(  OR(  AD35="x",AD35="補"  ), OR(  AE35 ="補"  ), $AP35 =""),"補休",  IF(  AND(  OR(  AD35="x",AD35="喪"  ), OR(  AE35 ="喪"  ), $AP35 =""),"喪假",  IF(  AND(  OR(  AD35="x",AD35="婚",AD35="產"  ), OR(  AE35 ="婚",AE35="產"  ), $AP35 =""),"婚(產)假",  IF(  AND(  OR(  AD35="x",AD35="公"  ), OR(  AE35 ="公"  ), $AP35 =""),"公假",  IF(  AND(  OR(  AD35="x",AD35="補",AD35="婚",AD35="公",AD35="病",AD35="事",AD35="x榮18-22"  ),OR(AE35=""), $AP35 =""  ),"18收",  IF(  AND(  OR(  AD35 ="榮14-18",AD35 ="榮10-18",AD35 ="榮06-18",AD35 ="病14-18"  ),OR(  AE35 ="x",AE35="補",AE35="婚",AE35="公",AE35="病",AE35="事",AE35="x"  ), $AP35 =""),"18放早走",  IF(  AND(  OR(  AD35 =""),OR(  AE35 ="x",AE35="補",AE35="婚",AE35="公",AE35="病",AE35="事",AE35="x榮*",AE35="榮",AE35="榮-22"  ), $AP35 =""),"18放",  IF(  AND(  OR(  AD35="當日退伍"  ),OR(  AE35="退伍",AE35="退", AE35=""  ), $AP35 =""),"當日退伍",  IF(AND(  OR(AD35="退",AD35="退伍" ), OR(AE35="退",AE35="退伍" ), $AP35 =""),"退伍","全日勤"  )  )  )  )  )  )  )  )  )  )  ),"")</f>
        <v/>
      </c>
      <c r="AE76" s="66" t="str">
        <f>IF(   (ROW(BQ35)-1)&lt;=暫1!$B$2,           IF(  AND(  OR(  AE35="x",AE35="補"  ), OR(  AF35 ="x",AF35="補",AF35="x榮18-22",AF35="x公18-22",AF35="x榮22-08"  ), $AP35 =""),"全日休",  IF(  AND(  OR(  AE35="x",AE35="病"  ), OR(  AF35 ="病"  ), $AP35 =""),"病(事)假",  IF(  AND(  OR(  AE35="x",AE35="補"  ), OR(  AF35 ="補"  ), $AP35 =""),"補休",  IF(  AND(  OR(  AE35="x",AE35="喪"  ), OR(  AF35 ="喪"  ), $AP35 =""),"喪假",  IF(  AND(  OR(  AE35="x",AE35="婚",AE35="產"  ), OR(  AF35 ="婚",AF35="產"  ), $AP35 =""),"婚(產)假",  IF(  AND(  OR(  AE35="x",AE35="公"  ), OR(  AF35 ="公"  ), $AP35 =""),"公假",  IF(  AND(  OR(  AE35="x",AE35="補",AE35="婚",AE35="公",AE35="病",AE35="事",AE35="x榮18-22"  ),OR(AF35=""), $AP35 =""  ),"18收",  IF(  AND(  OR(  AE35 ="榮14-18",AE35 ="榮10-18",AE35 ="榮06-18",AE35 ="病14-18"  ),OR(  AF35 ="x",AF35="補",AF35="婚",AF35="公",AF35="病",AF35="事",AF35="x"  ), $AP35 =""),"18放早走",  IF(  AND(  OR(  AE35 =""),OR(  AF35 ="x",AF35="補",AF35="婚",AF35="公",AF35="病",AF35="事",AF35="x榮*",AF35="榮",AF35="榮-22"  ), $AP35 =""),"18放",  IF(  AND(  OR(  AE35="當日退伍"  ),OR(  AF35="退伍",AF35="退", AF35=""  ), $AP35 =""),"當日退伍",  IF(AND(  OR(AE35="退",AE35="退伍" ), OR(AF35="退",AF35="退伍" ), $AP35 =""),"退伍","全日勤"  )  )  )  )  )  )  )  )  )  )  ),"")</f>
        <v/>
      </c>
      <c r="AF76" s="66" t="str">
        <f>IF(   (ROW(BR35)-1)&lt;=暫1!$B$2,           IF(  AND(  OR(  AF35="x",AF35="補"  ), OR(  AG35 ="x",AG35="補",AG35="x榮18-22",AG35="x公18-22",AG35="x榮22-08"  ), $AP35 =""),"全日休",  IF(  AND(  OR(  AF35="x",AF35="病"  ), OR(  AG35 ="病"  ), $AP35 =""),"病(事)假",  IF(  AND(  OR(  AF35="x",AF35="補"  ), OR(  AG35 ="補"  ), $AP35 =""),"補休",  IF(  AND(  OR(  AF35="x",AF35="喪"  ), OR(  AG35 ="喪"  ), $AP35 =""),"喪假",  IF(  AND(  OR(  AF35="x",AF35="婚",AF35="產"  ), OR(  AG35 ="婚",AG35="產"  ), $AP35 =""),"婚(產)假",  IF(  AND(  OR(  AF35="x",AF35="公"  ), OR(  AG35 ="公"  ), $AP35 =""),"公假",  IF(  AND(  OR(  AF35="x",AF35="補",AF35="婚",AF35="公",AF35="病",AF35="事",AF35="x榮18-22"  ),OR(AG35=""), $AP35 =""  ),"18收",  IF(  AND(  OR(  AF35 ="榮14-18",AF35 ="榮10-18",AF35 ="榮06-18",AF35 ="病14-18"  ),OR(  AG35 ="x",AG35="補",AG35="婚",AG35="公",AG35="病",AG35="事",AG35="x"  ), $AP35 =""),"18放早走",  IF(  AND(  OR(  AF35 =""),OR(  AG35 ="x",AG35="補",AG35="婚",AG35="公",AG35="病",AG35="事",AG35="x榮*",AG35="榮",AG35="榮-22"  ), $AP35 =""),"18放",  IF(  AND(  OR(  AF35="當日退伍"  ),OR(  AG35="退伍",AG35="退", AG35=""  ), $AP35 =""),"當日退伍",  IF(AND(  OR(AF35="退",AF35="退伍" ), OR(AG35="退",AG35="退伍" ), $AP35 =""),"退伍","全日勤"  )  )  )  )  )  )  )  )  )  )  ),"")</f>
        <v/>
      </c>
      <c r="AG76" s="66" t="str">
        <f>IF(   (ROW(BS35)-1)&lt;=暫1!$B$2,           IF(  AND(  OR(  AG35="x",AG35="補"  ), OR(  AH35 ="x",AH35="補",AH35="x榮18-22",AH35="x公18-22",AH35="x榮22-08"  ), $AP35 =""),"全日休",  IF(  AND(  OR(  AG35="x",AG35="病"  ), OR(  AH35 ="病"  ), $AP35 =""),"病(事)假",  IF(  AND(  OR(  AG35="x",AG35="補"  ), OR(  AH35 ="補"  ), $AP35 =""),"補休",  IF(  AND(  OR(  AG35="x",AG35="喪"  ), OR(  AH35 ="喪"  ), $AP35 =""),"喪假",  IF(  AND(  OR(  AG35="x",AG35="婚",AG35="產"  ), OR(  AH35 ="婚",AH35="產"  ), $AP35 =""),"婚(產)假",  IF(  AND(  OR(  AG35="x",AG35="公"  ), OR(  AH35 ="公"  ), $AP35 =""),"公假",  IF(  AND(  OR(  AG35="x",AG35="補",AG35="婚",AG35="公",AG35="病",AG35="事",AG35="x榮18-22"  ),OR(AH35=""), $AP35 =""  ),"18收",  IF(  AND(  OR(  AG35 ="榮14-18",AG35 ="榮10-18",AG35 ="榮06-18",AG35 ="病14-18"  ),OR(  AH35 ="x",AH35="補",AH35="婚",AH35="公",AH35="病",AH35="事",AH35="x"  ), $AP35 =""),"18放早走",  IF(  AND(  OR(  AG35 =""),OR(  AH35 ="x",AH35="補",AH35="婚",AH35="公",AH35="病",AH35="事",AH35="x榮*",AH35="榮",AH35="榮-22"  ), $AP35 =""),"18放",  IF(  AND(  OR(  AG35="當日退伍"  ),OR(  AH35="退伍",AH35="退", AH35=""  ), $AP35 =""),"當日退伍",  IF(AND(  OR(AG35="退",AG35="退伍" ), OR(AH35="退",AH35="退伍" ), $AP35 =""),"退伍","全日勤"  )  )  )  )  )  )  )  )  )  )  ),"")</f>
        <v/>
      </c>
      <c r="AH76" s="66" t="str">
        <f>IF(   (ROW(BT35)-1)&lt;=暫1!$B$2,           IF(  AND(  OR(  AH35="x",AH35="補"  ), OR(  AI35 ="x",AI35="補",AI35="x榮18-22",AI35="x公18-22",AI35="x榮22-08"  ), $AP35 =""),"全日休",  IF(  AND(  OR(  AH35="x",AH35="病"  ), OR(  AI35 ="病"  ), $AP35 =""),"病(事)假",  IF(  AND(  OR(  AH35="x",AH35="補"  ), OR(  AI35 ="補"  ), $AP35 =""),"補休",  IF(  AND(  OR(  AH35="x",AH35="喪"  ), OR(  AI35 ="喪"  ), $AP35 =""),"喪假",  IF(  AND(  OR(  AH35="x",AH35="婚",AH35="產"  ), OR(  AI35 ="婚",AI35="產"  ), $AP35 =""),"婚(產)假",  IF(  AND(  OR(  AH35="x",AH35="公"  ), OR(  AI35 ="公"  ), $AP35 =""),"公假",  IF(  AND(  OR(  AH35="x",AH35="補",AH35="婚",AH35="公",AH35="病",AH35="事",AH35="x榮18-22"  ),OR(AI35=""), $AP35 =""  ),"18收",  IF(  AND(  OR(  AH35 ="榮14-18",AH35 ="榮10-18",AH35 ="榮06-18",AH35 ="病14-18"  ),OR(  AI35 ="x",AI35="補",AI35="婚",AI35="公",AI35="病",AI35="事",AI35="x"  ), $AP35 =""),"18放早走",  IF(  AND(  OR(  AH35 =""),OR(  AI35 ="x",AI35="補",AI35="婚",AI35="公",AI35="病",AI35="事",AI35="x榮*",AI35="榮",AI35="榮-22"  ), $AP35 =""),"18放",  IF(  AND(  OR(  AH35="當日退伍"  ),OR(  AI35="退伍",AI35="退", AI35=""  ), $AP35 =""),"當日退伍",  IF(AND(  OR(AH35="退",AH35="退伍" ), OR(AI35="退",AI35="退伍" ), $AP35 =""),"退伍","全日勤"  )  )  )  )  )  )  )  )  )  )  ),"")</f>
        <v/>
      </c>
      <c r="AI76" s="66" t="str">
        <f>IF(   (ROW(BU35)-1)&lt;=暫1!$B$2,           IF(  AND(  OR(  AI35="x",AI35="補"  ), OR(  AJ35 ="x",AJ35="補",AJ35="x榮18-22",AJ35="x公18-22",AJ35="x榮22-08"  ), $AP35 =""),"全日休",  IF(  AND(  OR(  AI35="x",AI35="病"  ), OR(  AJ35 ="病"  ), $AP35 =""),"病(事)假",  IF(  AND(  OR(  AI35="x",AI35="補"  ), OR(  AJ35 ="補"  ), $AP35 =""),"補休",  IF(  AND(  OR(  AI35="x",AI35="喪"  ), OR(  AJ35 ="喪"  ), $AP35 =""),"喪假",  IF(  AND(  OR(  AI35="x",AI35="婚",AI35="產"  ), OR(  AJ35 ="婚",AJ35="產"  ), $AP35 =""),"婚(產)假",  IF(  AND(  OR(  AI35="x",AI35="公"  ), OR(  AJ35 ="公"  ), $AP35 =""),"公假",  IF(  AND(  OR(  AI35="x",AI35="補",AI35="婚",AI35="公",AI35="病",AI35="事",AI35="x榮18-22"  ),OR(AJ35=""), $AP35 =""  ),"18收",  IF(  AND(  OR(  AI35 ="榮14-18",AI35 ="榮10-18",AI35 ="榮06-18",AI35 ="病14-18"  ),OR(  AJ35 ="x",AJ35="補",AJ35="婚",AJ35="公",AJ35="病",AJ35="事",AJ35="x"  ), $AP35 =""),"18放早走",  IF(  AND(  OR(  AI35 =""),OR(  AJ35 ="x",AJ35="補",AJ35="婚",AJ35="公",AJ35="病",AJ35="事",AJ35="x榮*",AJ35="榮",AJ35="榮-22"  ), $AP35 =""),"18放",  IF(  AND(  OR(  AI35="當日退伍"  ),OR(  AJ35="退伍",AJ35="退", AJ35=""  ), $AP35 =""),"當日退伍",  IF(AND(  OR(AI35="退",AI35="退伍" ), OR(AJ35="退",AJ35="退伍" ), $AP35 =""),"退伍","全日勤"  )  )  )  )  )  )  )  )  )  )  ),"")</f>
        <v/>
      </c>
      <c r="AJ76" s="66" t="str">
        <f>IF(   (ROW(BV35)-1)&lt;=暫1!$B$2,           IF(  AND(  OR(  AJ35="x",AJ35="補"  ), OR(  AK35 ="x",AK35="補",AK35="x榮18-22",AK35="x公18-22",AK35="x榮22-08"  ), $AP35 =""),"全日休",  IF(  AND(  OR(  AJ35="x",AJ35="病"  ), OR(  AK35 ="病"  ), $AP35 =""),"病(事)假",  IF(  AND(  OR(  AJ35="x",AJ35="補"  ), OR(  AK35 ="補"  ), $AP35 =""),"補休",  IF(  AND(  OR(  AJ35="x",AJ35="喪"  ), OR(  AK35 ="喪"  ), $AP35 =""),"喪假",  IF(  AND(  OR(  AJ35="x",AJ35="婚",AJ35="產"  ), OR(  AK35 ="婚",AK35="產"  ), $AP35 =""),"婚(產)假",  IF(  AND(  OR(  AJ35="x",AJ35="公"  ), OR(  AK35 ="公"  ), $AP35 =""),"公假",  IF(  AND(  OR(  AJ35="x",AJ35="補",AJ35="婚",AJ35="公",AJ35="病",AJ35="事",AJ35="x榮18-22"  ),OR(AK35=""), $AP35 =""  ),"18收",  IF(  AND(  OR(  AJ35 ="榮14-18",AJ35 ="榮10-18",AJ35 ="榮06-18",AJ35 ="病14-18"  ),OR(  AK35 ="x",AK35="補",AK35="婚",AK35="公",AK35="病",AK35="事",AK35="x"  ), $AP35 =""),"18放早走",  IF(  AND(  OR(  AJ35 =""),OR(  AK35 ="x",AK35="補",AK35="婚",AK35="公",AK35="病",AK35="事",AK35="x榮*",AK35="榮",AK35="榮-22"  ), $AP35 =""),"18放",  IF(  AND(  OR(  AJ35="當日退伍"  ),OR(  AK35="退伍",AK35="退", AK35=""  ), $AP35 =""),"當日退伍",  IF(AND(  OR(AJ35="退",AJ35="退伍" ), OR(AK35="退",AK35="退伍" ), $AP35 =""),"退伍","全日勤"  )  )  )  )  )  )  )  )  )  )  ),"")</f>
        <v/>
      </c>
      <c r="AO76" s="76"/>
      <c r="AP76" s="63"/>
      <c r="AU76" s="63"/>
      <c r="AY76" s="63"/>
      <c r="AZ76" s="63"/>
      <c r="BA76" s="63"/>
    </row>
    <row r="77" spans="1:55" ht="25.5" customHeight="1">
      <c r="A77" s="66">
        <f t="shared" si="4"/>
        <v>35</v>
      </c>
      <c r="B77" s="66" t="str">
        <f t="shared" si="6"/>
        <v/>
      </c>
      <c r="C77" s="66" t="str">
        <f>IF(   (ROW(AO36)-1)&lt;=暫1!$B$2,           IF(  AND(  OR(  C36="x",C36="補"  ), OR(  D36 ="x",D36="補",D36="x榮18-22",D36="x公18-22",D36="x榮22-08"  ), $AP36 =""),"全日休",  IF(  AND(  OR(  C36="x",C36="病"  ), OR(  D36 ="病"  ), $AP36 =""),"病(事)假",  IF(  AND(  OR(  C36="x",C36="補"  ), OR(  D36 ="補"  ), $AP36 =""),"補休",  IF(  AND(  OR(  C36="x",C36="喪"  ), OR(  D36 ="喪"  ), $AP36 =""),"喪假",  IF(  AND(  OR(  C36="x",C36="婚",C36="產"  ), OR(  D36 ="婚",D36="產"  ), $AP36 =""),"婚(產)假",  IF(  AND(  OR(  C36="x",C36="公"  ), OR(  D36 ="公"  ), $AP36 =""),"公假",  IF(  AND(  OR(  C36="x",C36="補",C36="婚",C36="公",C36="病",C36="事",C36="x榮18-22"  ),OR(D36=""), $AP36 =""  ),"18收",  IF(  AND(  OR(  C36 ="榮14-18",C36 ="榮10-18",C36 ="榮06-18",C36 ="病14-18"  ),OR(  D36 ="x",D36="補",D36="婚",D36="公",D36="病",D36="事",D36="x"  ), $AP36 =""),"18放早走",  IF(  AND(  OR(  C36 =""),OR(  D36 ="x",D36="補",D36="婚",D36="公",D36="病",D36="事",D36="x榮*",D36="榮",D36="榮-22"  ), $AP36 =""),"18放",  IF(  AND(  OR(  C36="當日退伍"  ),OR(  D36="退伍",D36="退", D36=""  ), $AP36 =""),"當日退伍",  IF(AND(  OR(C36="退",C36="退伍" ), OR(D36="退",D36="退伍" ), $AP36 =""),"退伍","全日勤"  )  )  )  )  )  )  )  )  )  )  ),"")</f>
        <v/>
      </c>
      <c r="D77" s="66" t="str">
        <f>IF(   (ROW(AP36)-1)&lt;=暫1!$B$2,           IF(  AND(  OR(  D36="x",D36="補"  ), OR(  E36 ="x",E36="補",E36="x榮18-22",E36="x公18-22",E36="x榮22-08"  ), $AP36 =""),"全日休",  IF(  AND(  OR(  D36="x",D36="病"  ), OR(  E36 ="病"  ), $AP36 =""),"病(事)假",  IF(  AND(  OR(  D36="x",D36="補"  ), OR(  E36 ="補"  ), $AP36 =""),"補休",  IF(  AND(  OR(  D36="x",D36="喪"  ), OR(  E36 ="喪"  ), $AP36 =""),"喪假",  IF(  AND(  OR(  D36="x",D36="婚",D36="產"  ), OR(  E36 ="婚",E36="產"  ), $AP36 =""),"婚(產)假",  IF(  AND(  OR(  D36="x",D36="公"  ), OR(  E36 ="公"  ), $AP36 =""),"公假",  IF(  AND(  OR(  D36="x",D36="補",D36="婚",D36="公",D36="病",D36="事",D36="x榮18-22"  ),OR(E36=""), $AP36 =""  ),"18收",  IF(  AND(  OR(  D36 ="榮14-18",D36 ="榮10-18",D36 ="榮06-18",D36 ="病14-18"  ),OR(  E36 ="x",E36="補",E36="婚",E36="公",E36="病",E36="事",E36="x"  ), $AP36 =""),"18放早走",  IF(  AND(  OR(  D36 =""),OR(  E36 ="x",E36="補",E36="婚",E36="公",E36="病",E36="事",E36="x榮*",E36="榮",E36="榮-22"  ), $AP36 =""),"18放",  IF(  AND(  OR(  D36="當日退伍"  ),OR(  E36="退伍",E36="退", E36=""  ), $AP36 =""),"當日退伍",  IF(AND(  OR(D36="退",D36="退伍" ), OR(E36="退",E36="退伍" ), $AP36 =""),"退伍","全日勤"  )  )  )  )  )  )  )  )  )  )  ),"")</f>
        <v/>
      </c>
      <c r="E77" s="66" t="str">
        <f>IF(   (ROW(AQ36)-1)&lt;=暫1!$B$2,           IF(  AND(  OR(  E36="x",E36="補"  ), OR(  F36 ="x",F36="補",F36="x榮18-22",F36="x公18-22",F36="x榮22-08"  ), $AP36 =""),"全日休",  IF(  AND(  OR(  E36="x",E36="病"  ), OR(  F36 ="病"  ), $AP36 =""),"病(事)假",  IF(  AND(  OR(  E36="x",E36="補"  ), OR(  F36 ="補"  ), $AP36 =""),"補休",  IF(  AND(  OR(  E36="x",E36="喪"  ), OR(  F36 ="喪"  ), $AP36 =""),"喪假",  IF(  AND(  OR(  E36="x",E36="婚",E36="產"  ), OR(  F36 ="婚",F36="產"  ), $AP36 =""),"婚(產)假",  IF(  AND(  OR(  E36="x",E36="公"  ), OR(  F36 ="公"  ), $AP36 =""),"公假",  IF(  AND(  OR(  E36="x",E36="補",E36="婚",E36="公",E36="病",E36="事",E36="x榮18-22"  ),OR(F36=""), $AP36 =""  ),"18收",  IF(  AND(  OR(  E36 ="榮14-18",E36 ="榮10-18",E36 ="榮06-18",E36 ="病14-18"  ),OR(  F36 ="x",F36="補",F36="婚",F36="公",F36="病",F36="事",F36="x"  ), $AP36 =""),"18放早走",  IF(  AND(  OR(  E36 =""),OR(  F36 ="x",F36="補",F36="婚",F36="公",F36="病",F36="事",F36="x榮*",F36="榮",F36="榮-22"  ), $AP36 =""),"18放",  IF(  AND(  OR(  E36="當日退伍"  ),OR(  F36="退伍",F36="退", F36=""  ), $AP36 =""),"當日退伍",  IF(AND(  OR(E36="退",E36="退伍" ), OR(F36="退",F36="退伍" ), $AP36 =""),"退伍","全日勤"  )  )  )  )  )  )  )  )  )  )  ),"")</f>
        <v/>
      </c>
      <c r="F77" s="66" t="str">
        <f>IF(   (ROW(AR36)-1)&lt;=暫1!$B$2,           IF(  AND(  OR(  F36="x",F36="補"  ), OR(  G36 ="x",G36="補",G36="x榮18-22",G36="x公18-22",G36="x榮22-08"  ), $AP36 =""),"全日休",  IF(  AND(  OR(  F36="x",F36="病"  ), OR(  G36 ="病"  ), $AP36 =""),"病(事)假",  IF(  AND(  OR(  F36="x",F36="補"  ), OR(  G36 ="補"  ), $AP36 =""),"補休",  IF(  AND(  OR(  F36="x",F36="喪"  ), OR(  G36 ="喪"  ), $AP36 =""),"喪假",  IF(  AND(  OR(  F36="x",F36="婚",F36="產"  ), OR(  G36 ="婚",G36="產"  ), $AP36 =""),"婚(產)假",  IF(  AND(  OR(  F36="x",F36="公"  ), OR(  G36 ="公"  ), $AP36 =""),"公假",  IF(  AND(  OR(  F36="x",F36="補",F36="婚",F36="公",F36="病",F36="事",F36="x榮18-22"  ),OR(G36=""), $AP36 =""  ),"18收",  IF(  AND(  OR(  F36 ="榮14-18",F36 ="榮10-18",F36 ="榮06-18",F36 ="病14-18"  ),OR(  G36 ="x",G36="補",G36="婚",G36="公",G36="病",G36="事",G36="x"  ), $AP36 =""),"18放早走",  IF(  AND(  OR(  F36 =""),OR(  G36 ="x",G36="補",G36="婚",G36="公",G36="病",G36="事",G36="x榮*",G36="榮",G36="榮-22"  ), $AP36 =""),"18放",  IF(  AND(  OR(  F36="當日退伍"  ),OR(  G36="退伍",G36="退", G36=""  ), $AP36 =""),"當日退伍",  IF(AND(  OR(F36="退",F36="退伍" ), OR(G36="退",G36="退伍" ), $AP36 =""),"退伍","全日勤"  )  )  )  )  )  )  )  )  )  )  ),"")</f>
        <v/>
      </c>
      <c r="G77" s="66" t="str">
        <f>IF(   (ROW(AS36)-1)&lt;=暫1!$B$2,           IF(  AND(  OR(  G36="x",G36="補"  ), OR(  H36 ="x",H36="補",H36="x榮18-22",H36="x公18-22",H36="x榮22-08"  ), $AP36 =""),"全日休",  IF(  AND(  OR(  G36="x",G36="病"  ), OR(  H36 ="病"  ), $AP36 =""),"病(事)假",  IF(  AND(  OR(  G36="x",G36="補"  ), OR(  H36 ="補"  ), $AP36 =""),"補休",  IF(  AND(  OR(  G36="x",G36="喪"  ), OR(  H36 ="喪"  ), $AP36 =""),"喪假",  IF(  AND(  OR(  G36="x",G36="婚",G36="產"  ), OR(  H36 ="婚",H36="產"  ), $AP36 =""),"婚(產)假",  IF(  AND(  OR(  G36="x",G36="公"  ), OR(  H36 ="公"  ), $AP36 =""),"公假",  IF(  AND(  OR(  G36="x",G36="補",G36="婚",G36="公",G36="病",G36="事",G36="x榮18-22"  ),OR(H36=""), $AP36 =""  ),"18收",  IF(  AND(  OR(  G36 ="榮14-18",G36 ="榮10-18",G36 ="榮06-18",G36 ="病14-18"  ),OR(  H36 ="x",H36="補",H36="婚",H36="公",H36="病",H36="事",H36="x"  ), $AP36 =""),"18放早走",  IF(  AND(  OR(  G36 =""),OR(  H36 ="x",H36="補",H36="婚",H36="公",H36="病",H36="事",H36="x榮*",H36="榮",H36="榮-22"  ), $AP36 =""),"18放",  IF(  AND(  OR(  G36="當日退伍"  ),OR(  H36="退伍",H36="退", H36=""  ), $AP36 =""),"當日退伍",  IF(AND(  OR(G36="退",G36="退伍" ), OR(H36="退",H36="退伍" ), $AP36 =""),"退伍","全日勤"  )  )  )  )  )  )  )  )  )  )  ),"")</f>
        <v/>
      </c>
      <c r="H77" s="66" t="str">
        <f>IF(   (ROW(AT36)-1)&lt;=暫1!$B$2,           IF(  AND(  OR(  H36="x",H36="補"  ), OR(  I36 ="x",I36="補",I36="x榮18-22",I36="x公18-22",I36="x榮22-08"  ), $AP36 =""),"全日休",  IF(  AND(  OR(  H36="x",H36="病"  ), OR(  I36 ="病"  ), $AP36 =""),"病(事)假",  IF(  AND(  OR(  H36="x",H36="補"  ), OR(  I36 ="補"  ), $AP36 =""),"補休",  IF(  AND(  OR(  H36="x",H36="喪"  ), OR(  I36 ="喪"  ), $AP36 =""),"喪假",  IF(  AND(  OR(  H36="x",H36="婚",H36="產"  ), OR(  I36 ="婚",I36="產"  ), $AP36 =""),"婚(產)假",  IF(  AND(  OR(  H36="x",H36="公"  ), OR(  I36 ="公"  ), $AP36 =""),"公假",  IF(  AND(  OR(  H36="x",H36="補",H36="婚",H36="公",H36="病",H36="事",H36="x榮18-22"  ),OR(I36=""), $AP36 =""  ),"18收",  IF(  AND(  OR(  H36 ="榮14-18",H36 ="榮10-18",H36 ="榮06-18",H36 ="病14-18"  ),OR(  I36 ="x",I36="補",I36="婚",I36="公",I36="病",I36="事",I36="x"  ), $AP36 =""),"18放早走",  IF(  AND(  OR(  H36 =""),OR(  I36 ="x",I36="補",I36="婚",I36="公",I36="病",I36="事",I36="x榮*",I36="榮",I36="榮-22"  ), $AP36 =""),"18放",  IF(  AND(  OR(  H36="當日退伍"  ),OR(  I36="退伍",I36="退", I36=""  ), $AP36 =""),"當日退伍",  IF(AND(  OR(H36="退",H36="退伍" ), OR(I36="退",I36="退伍" ), $AP36 =""),"退伍","全日勤"  )  )  )  )  )  )  )  )  )  )  ),"")</f>
        <v/>
      </c>
      <c r="I77" s="66" t="str">
        <f>IF(   (ROW(AU36)-1)&lt;=暫1!$B$2,           IF(  AND(  OR(  I36="x",I36="補"  ), OR(  J36 ="x",J36="補",J36="x榮18-22",J36="x公18-22",J36="x榮22-08"  ), $AP36 =""),"全日休",  IF(  AND(  OR(  I36="x",I36="病"  ), OR(  J36 ="病"  ), $AP36 =""),"病(事)假",  IF(  AND(  OR(  I36="x",I36="補"  ), OR(  J36 ="補"  ), $AP36 =""),"補休",  IF(  AND(  OR(  I36="x",I36="喪"  ), OR(  J36 ="喪"  ), $AP36 =""),"喪假",  IF(  AND(  OR(  I36="x",I36="婚",I36="產"  ), OR(  J36 ="婚",J36="產"  ), $AP36 =""),"婚(產)假",  IF(  AND(  OR(  I36="x",I36="公"  ), OR(  J36 ="公"  ), $AP36 =""),"公假",  IF(  AND(  OR(  I36="x",I36="補",I36="婚",I36="公",I36="病",I36="事",I36="x榮18-22"  ),OR(J36=""), $AP36 =""  ),"18收",  IF(  AND(  OR(  I36 ="榮14-18",I36 ="榮10-18",I36 ="榮06-18",I36 ="病14-18"  ),OR(  J36 ="x",J36="補",J36="婚",J36="公",J36="病",J36="事",J36="x"  ), $AP36 =""),"18放早走",  IF(  AND(  OR(  I36 =""),OR(  J36 ="x",J36="補",J36="婚",J36="公",J36="病",J36="事",J36="x榮*",J36="榮",J36="榮-22"  ), $AP36 =""),"18放",  IF(  AND(  OR(  I36="當日退伍"  ),OR(  J36="退伍",J36="退", J36=""  ), $AP36 =""),"當日退伍",  IF(AND(  OR(I36="退",I36="退伍" ), OR(J36="退",J36="退伍" ), $AP36 =""),"退伍","全日勤"  )  )  )  )  )  )  )  )  )  )  ),"")</f>
        <v/>
      </c>
      <c r="J77" s="66" t="str">
        <f>IF(   (ROW(AV36)-1)&lt;=暫1!$B$2,           IF(  AND(  OR(  J36="x",J36="補"  ), OR(  K36 ="x",K36="補",K36="x榮18-22",K36="x公18-22",K36="x榮22-08"  ), $AP36 =""),"全日休",  IF(  AND(  OR(  J36="x",J36="病"  ), OR(  K36 ="病"  ), $AP36 =""),"病(事)假",  IF(  AND(  OR(  J36="x",J36="補"  ), OR(  K36 ="補"  ), $AP36 =""),"補休",  IF(  AND(  OR(  J36="x",J36="喪"  ), OR(  K36 ="喪"  ), $AP36 =""),"喪假",  IF(  AND(  OR(  J36="x",J36="婚",J36="產"  ), OR(  K36 ="婚",K36="產"  ), $AP36 =""),"婚(產)假",  IF(  AND(  OR(  J36="x",J36="公"  ), OR(  K36 ="公"  ), $AP36 =""),"公假",  IF(  AND(  OR(  J36="x",J36="補",J36="婚",J36="公",J36="病",J36="事",J36="x榮18-22"  ),OR(K36=""), $AP36 =""  ),"18收",  IF(  AND(  OR(  J36 ="榮14-18",J36 ="榮10-18",J36 ="榮06-18",J36 ="病14-18"  ),OR(  K36 ="x",K36="補",K36="婚",K36="公",K36="病",K36="事",K36="x"  ), $AP36 =""),"18放早走",  IF(  AND(  OR(  J36 =""),OR(  K36 ="x",K36="補",K36="婚",K36="公",K36="病",K36="事",K36="x榮*",K36="榮",K36="榮-22"  ), $AP36 =""),"18放",  IF(  AND(  OR(  J36="當日退伍"  ),OR(  K36="退伍",K36="退", K36=""  ), $AP36 =""),"當日退伍",  IF(AND(  OR(J36="退",J36="退伍" ), OR(K36="退",K36="退伍" ), $AP36 =""),"退伍","全日勤"  )  )  )  )  )  )  )  )  )  )  ),"")</f>
        <v/>
      </c>
      <c r="K77" s="66" t="str">
        <f>IF(   (ROW(AW36)-1)&lt;=暫1!$B$2,           IF(  AND(  OR(  K36="x",K36="補"  ), OR(  L36 ="x",L36="補",L36="x榮18-22",L36="x公18-22",L36="x榮22-08"  ), $AP36 =""),"全日休",  IF(  AND(  OR(  K36="x",K36="病"  ), OR(  L36 ="病"  ), $AP36 =""),"病(事)假",  IF(  AND(  OR(  K36="x",K36="補"  ), OR(  L36 ="補"  ), $AP36 =""),"補休",  IF(  AND(  OR(  K36="x",K36="喪"  ), OR(  L36 ="喪"  ), $AP36 =""),"喪假",  IF(  AND(  OR(  K36="x",K36="婚",K36="產"  ), OR(  L36 ="婚",L36="產"  ), $AP36 =""),"婚(產)假",  IF(  AND(  OR(  K36="x",K36="公"  ), OR(  L36 ="公"  ), $AP36 =""),"公假",  IF(  AND(  OR(  K36="x",K36="補",K36="婚",K36="公",K36="病",K36="事",K36="x榮18-22"  ),OR(L36=""), $AP36 =""  ),"18收",  IF(  AND(  OR(  K36 ="榮14-18",K36 ="榮10-18",K36 ="榮06-18",K36 ="病14-18"  ),OR(  L36 ="x",L36="補",L36="婚",L36="公",L36="病",L36="事",L36="x"  ), $AP36 =""),"18放早走",  IF(  AND(  OR(  K36 =""),OR(  L36 ="x",L36="補",L36="婚",L36="公",L36="病",L36="事",L36="x榮*",L36="榮",L36="榮-22"  ), $AP36 =""),"18放",  IF(  AND(  OR(  K36="當日退伍"  ),OR(  L36="退伍",L36="退", L36=""  ), $AP36 =""),"當日退伍",  IF(AND(  OR(K36="退",K36="退伍" ), OR(L36="退",L36="退伍" ), $AP36 =""),"退伍","全日勤"  )  )  )  )  )  )  )  )  )  )  ),"")</f>
        <v/>
      </c>
      <c r="L77" s="66" t="str">
        <f>IF(   (ROW(AX36)-1)&lt;=暫1!$B$2,           IF(  AND(  OR(  L36="x",L36="補"  ), OR(  M36 ="x",M36="補",M36="x榮18-22",M36="x公18-22",M36="x榮22-08"  ), $AP36 =""),"全日休",  IF(  AND(  OR(  L36="x",L36="病"  ), OR(  M36 ="病"  ), $AP36 =""),"病(事)假",  IF(  AND(  OR(  L36="x",L36="補"  ), OR(  M36 ="補"  ), $AP36 =""),"補休",  IF(  AND(  OR(  L36="x",L36="喪"  ), OR(  M36 ="喪"  ), $AP36 =""),"喪假",  IF(  AND(  OR(  L36="x",L36="婚",L36="產"  ), OR(  M36 ="婚",M36="產"  ), $AP36 =""),"婚(產)假",  IF(  AND(  OR(  L36="x",L36="公"  ), OR(  M36 ="公"  ), $AP36 =""),"公假",  IF(  AND(  OR(  L36="x",L36="補",L36="婚",L36="公",L36="病",L36="事",L36="x榮18-22"  ),OR(M36=""), $AP36 =""  ),"18收",  IF(  AND(  OR(  L36 ="榮14-18",L36 ="榮10-18",L36 ="榮06-18",L36 ="病14-18"  ),OR(  M36 ="x",M36="補",M36="婚",M36="公",M36="病",M36="事",M36="x"  ), $AP36 =""),"18放早走",  IF(  AND(  OR(  L36 =""),OR(  M36 ="x",M36="補",M36="婚",M36="公",M36="病",M36="事",M36="x榮*",M36="榮",M36="榮-22"  ), $AP36 =""),"18放",  IF(  AND(  OR(  L36="當日退伍"  ),OR(  M36="退伍",M36="退", M36=""  ), $AP36 =""),"當日退伍",  IF(AND(  OR(L36="退",L36="退伍" ), OR(M36="退",M36="退伍" ), $AP36 =""),"退伍","全日勤"  )  )  )  )  )  )  )  )  )  )  ),"")</f>
        <v/>
      </c>
      <c r="M77" s="66" t="str">
        <f>IF(   (ROW(AY36)-1)&lt;=暫1!$B$2,           IF(  AND(  OR(  M36="x",M36="補"  ), OR(  N36 ="x",N36="補",N36="x榮18-22",N36="x公18-22",N36="x榮22-08"  ), $AP36 =""),"全日休",  IF(  AND(  OR(  M36="x",M36="病"  ), OR(  N36 ="病"  ), $AP36 =""),"病(事)假",  IF(  AND(  OR(  M36="x",M36="補"  ), OR(  N36 ="補"  ), $AP36 =""),"補休",  IF(  AND(  OR(  M36="x",M36="喪"  ), OR(  N36 ="喪"  ), $AP36 =""),"喪假",  IF(  AND(  OR(  M36="x",M36="婚",M36="產"  ), OR(  N36 ="婚",N36="產"  ), $AP36 =""),"婚(產)假",  IF(  AND(  OR(  M36="x",M36="公"  ), OR(  N36 ="公"  ), $AP36 =""),"公假",  IF(  AND(  OR(  M36="x",M36="補",M36="婚",M36="公",M36="病",M36="事",M36="x榮18-22"  ),OR(N36=""), $AP36 =""  ),"18收",  IF(  AND(  OR(  M36 ="榮14-18",M36 ="榮10-18",M36 ="榮06-18",M36 ="病14-18"  ),OR(  N36 ="x",N36="補",N36="婚",N36="公",N36="病",N36="事",N36="x"  ), $AP36 =""),"18放早走",  IF(  AND(  OR(  M36 =""),OR(  N36 ="x",N36="補",N36="婚",N36="公",N36="病",N36="事",N36="x榮*",N36="榮",N36="榮-22"  ), $AP36 =""),"18放",  IF(  AND(  OR(  M36="當日退伍"  ),OR(  N36="退伍",N36="退", N36=""  ), $AP36 =""),"當日退伍",  IF(AND(  OR(M36="退",M36="退伍" ), OR(N36="退",N36="退伍" ), $AP36 =""),"退伍","全日勤"  )  )  )  )  )  )  )  )  )  )  ),"")</f>
        <v/>
      </c>
      <c r="N77" s="66" t="str">
        <f>IF(   (ROW(AZ36)-1)&lt;=暫1!$B$2,           IF(  AND(  OR(  N36="x",N36="補"  ), OR(  O36 ="x",O36="補",O36="x榮18-22",O36="x公18-22",O36="x榮22-08"  ), $AP36 =""),"全日休",  IF(  AND(  OR(  N36="x",N36="病"  ), OR(  O36 ="病"  ), $AP36 =""),"病(事)假",  IF(  AND(  OR(  N36="x",N36="補"  ), OR(  O36 ="補"  ), $AP36 =""),"補休",  IF(  AND(  OR(  N36="x",N36="喪"  ), OR(  O36 ="喪"  ), $AP36 =""),"喪假",  IF(  AND(  OR(  N36="x",N36="婚",N36="產"  ), OR(  O36 ="婚",O36="產"  ), $AP36 =""),"婚(產)假",  IF(  AND(  OR(  N36="x",N36="公"  ), OR(  O36 ="公"  ), $AP36 =""),"公假",  IF(  AND(  OR(  N36="x",N36="補",N36="婚",N36="公",N36="病",N36="事",N36="x榮18-22"  ),OR(O36=""), $AP36 =""  ),"18收",  IF(  AND(  OR(  N36 ="榮14-18",N36 ="榮10-18",N36 ="榮06-18",N36 ="病14-18"  ),OR(  O36 ="x",O36="補",O36="婚",O36="公",O36="病",O36="事",O36="x"  ), $AP36 =""),"18放早走",  IF(  AND(  OR(  N36 =""),OR(  O36 ="x",O36="補",O36="婚",O36="公",O36="病",O36="事",O36="x榮*",O36="榮",O36="榮-22"  ), $AP36 =""),"18放",  IF(  AND(  OR(  N36="當日退伍"  ),OR(  O36="退伍",O36="退", O36=""  ), $AP36 =""),"當日退伍",  IF(AND(  OR(N36="退",N36="退伍" ), OR(O36="退",O36="退伍" ), $AP36 =""),"退伍","全日勤"  )  )  )  )  )  )  )  )  )  )  ),"")</f>
        <v/>
      </c>
      <c r="O77" s="66" t="str">
        <f>IF(   (ROW(BA36)-1)&lt;=暫1!$B$2,           IF(  AND(  OR(  O36="x",O36="補"  ), OR(  P36 ="x",P36="補",P36="x榮18-22",P36="x公18-22",P36="x榮22-08"  ), $AP36 =""),"全日休",  IF(  AND(  OR(  O36="x",O36="病"  ), OR(  P36 ="病"  ), $AP36 =""),"病(事)假",  IF(  AND(  OR(  O36="x",O36="補"  ), OR(  P36 ="補"  ), $AP36 =""),"補休",  IF(  AND(  OR(  O36="x",O36="喪"  ), OR(  P36 ="喪"  ), $AP36 =""),"喪假",  IF(  AND(  OR(  O36="x",O36="婚",O36="產"  ), OR(  P36 ="婚",P36="產"  ), $AP36 =""),"婚(產)假",  IF(  AND(  OR(  O36="x",O36="公"  ), OR(  P36 ="公"  ), $AP36 =""),"公假",  IF(  AND(  OR(  O36="x",O36="補",O36="婚",O36="公",O36="病",O36="事",O36="x榮18-22"  ),OR(P36=""), $AP36 =""  ),"18收",  IF(  AND(  OR(  O36 ="榮14-18",O36 ="榮10-18",O36 ="榮06-18",O36 ="病14-18"  ),OR(  P36 ="x",P36="補",P36="婚",P36="公",P36="病",P36="事",P36="x"  ), $AP36 =""),"18放早走",  IF(  AND(  OR(  O36 =""),OR(  P36 ="x",P36="補",P36="婚",P36="公",P36="病",P36="事",P36="x榮*",P36="榮",P36="榮-22"  ), $AP36 =""),"18放",  IF(  AND(  OR(  O36="當日退伍"  ),OR(  P36="退伍",P36="退", P36=""  ), $AP36 =""),"當日退伍",  IF(AND(  OR(O36="退",O36="退伍" ), OR(P36="退",P36="退伍" ), $AP36 =""),"退伍","全日勤"  )  )  )  )  )  )  )  )  )  )  ),"")</f>
        <v/>
      </c>
      <c r="P77" s="66" t="str">
        <f>IF(   (ROW(BB36)-1)&lt;=暫1!$B$2,           IF(  AND(  OR(  P36="x",P36="補"  ), OR(  Q36 ="x",Q36="補",Q36="x榮18-22",Q36="x公18-22",Q36="x榮22-08"  ), $AP36 =""),"全日休",  IF(  AND(  OR(  P36="x",P36="病"  ), OR(  Q36 ="病"  ), $AP36 =""),"病(事)假",  IF(  AND(  OR(  P36="x",P36="補"  ), OR(  Q36 ="補"  ), $AP36 =""),"補休",  IF(  AND(  OR(  P36="x",P36="喪"  ), OR(  Q36 ="喪"  ), $AP36 =""),"喪假",  IF(  AND(  OR(  P36="x",P36="婚",P36="產"  ), OR(  Q36 ="婚",Q36="產"  ), $AP36 =""),"婚(產)假",  IF(  AND(  OR(  P36="x",P36="公"  ), OR(  Q36 ="公"  ), $AP36 =""),"公假",  IF(  AND(  OR(  P36="x",P36="補",P36="婚",P36="公",P36="病",P36="事",P36="x榮18-22"  ),OR(Q36=""), $AP36 =""  ),"18收",  IF(  AND(  OR(  P36 ="榮14-18",P36 ="榮10-18",P36 ="榮06-18",P36 ="病14-18"  ),OR(  Q36 ="x",Q36="補",Q36="婚",Q36="公",Q36="病",Q36="事",Q36="x"  ), $AP36 =""),"18放早走",  IF(  AND(  OR(  P36 =""),OR(  Q36 ="x",Q36="補",Q36="婚",Q36="公",Q36="病",Q36="事",Q36="x榮*",Q36="榮",Q36="榮-22"  ), $AP36 =""),"18放",  IF(  AND(  OR(  P36="當日退伍"  ),OR(  Q36="退伍",Q36="退", Q36=""  ), $AP36 =""),"當日退伍",  IF(AND(  OR(P36="退",P36="退伍" ), OR(Q36="退",Q36="退伍" ), $AP36 =""),"退伍","全日勤"  )  )  )  )  )  )  )  )  )  )  ),"")</f>
        <v/>
      </c>
      <c r="Q77" s="66" t="str">
        <f>IF(   (ROW(BC36)-1)&lt;=暫1!$B$2,           IF(  AND(  OR(  Q36="x",Q36="補"  ), OR(  R36 ="x",R36="補",R36="x榮18-22",R36="x公18-22",R36="x榮22-08"  ), $AP36 =""),"全日休",  IF(  AND(  OR(  Q36="x",Q36="病"  ), OR(  R36 ="病"  ), $AP36 =""),"病(事)假",  IF(  AND(  OR(  Q36="x",Q36="補"  ), OR(  R36 ="補"  ), $AP36 =""),"補休",  IF(  AND(  OR(  Q36="x",Q36="喪"  ), OR(  R36 ="喪"  ), $AP36 =""),"喪假",  IF(  AND(  OR(  Q36="x",Q36="婚",Q36="產"  ), OR(  R36 ="婚",R36="產"  ), $AP36 =""),"婚(產)假",  IF(  AND(  OR(  Q36="x",Q36="公"  ), OR(  R36 ="公"  ), $AP36 =""),"公假",  IF(  AND(  OR(  Q36="x",Q36="補",Q36="婚",Q36="公",Q36="病",Q36="事",Q36="x榮18-22"  ),OR(R36=""), $AP36 =""  ),"18收",  IF(  AND(  OR(  Q36 ="榮14-18",Q36 ="榮10-18",Q36 ="榮06-18",Q36 ="病14-18"  ),OR(  R36 ="x",R36="補",R36="婚",R36="公",R36="病",R36="事",R36="x"  ), $AP36 =""),"18放早走",  IF(  AND(  OR(  Q36 =""),OR(  R36 ="x",R36="補",R36="婚",R36="公",R36="病",R36="事",R36="x榮*",R36="榮",R36="榮-22"  ), $AP36 =""),"18放",  IF(  AND(  OR(  Q36="當日退伍"  ),OR(  R36="退伍",R36="退", R36=""  ), $AP36 =""),"當日退伍",  IF(AND(  OR(Q36="退",Q36="退伍" ), OR(R36="退",R36="退伍" ), $AP36 =""),"退伍","全日勤"  )  )  )  )  )  )  )  )  )  )  ),"")</f>
        <v/>
      </c>
      <c r="R77" s="66" t="str">
        <f>IF(   (ROW(BD36)-1)&lt;=暫1!$B$2,           IF(  AND(  OR(  R36="x",R36="補"  ), OR(  S36 ="x",S36="補",S36="x榮18-22",S36="x公18-22",S36="x榮22-08"  ), $AP36 =""),"全日休",  IF(  AND(  OR(  R36="x",R36="病"  ), OR(  S36 ="病"  ), $AP36 =""),"病(事)假",  IF(  AND(  OR(  R36="x",R36="補"  ), OR(  S36 ="補"  ), $AP36 =""),"補休",  IF(  AND(  OR(  R36="x",R36="喪"  ), OR(  S36 ="喪"  ), $AP36 =""),"喪假",  IF(  AND(  OR(  R36="x",R36="婚",R36="產"  ), OR(  S36 ="婚",S36="產"  ), $AP36 =""),"婚(產)假",  IF(  AND(  OR(  R36="x",R36="公"  ), OR(  S36 ="公"  ), $AP36 =""),"公假",  IF(  AND(  OR(  R36="x",R36="補",R36="婚",R36="公",R36="病",R36="事",R36="x榮18-22"  ),OR(S36=""), $AP36 =""  ),"18收",  IF(  AND(  OR(  R36 ="榮14-18",R36 ="榮10-18",R36 ="榮06-18",R36 ="病14-18"  ),OR(  S36 ="x",S36="補",S36="婚",S36="公",S36="病",S36="事",S36="x"  ), $AP36 =""),"18放早走",  IF(  AND(  OR(  R36 =""),OR(  S36 ="x",S36="補",S36="婚",S36="公",S36="病",S36="事",S36="x榮*",S36="榮",S36="榮-22"  ), $AP36 =""),"18放",  IF(  AND(  OR(  R36="當日退伍"  ),OR(  S36="退伍",S36="退", S36=""  ), $AP36 =""),"當日退伍",  IF(AND(  OR(R36="退",R36="退伍" ), OR(S36="退",S36="退伍" ), $AP36 =""),"退伍","全日勤"  )  )  )  )  )  )  )  )  )  )  ),"")</f>
        <v/>
      </c>
      <c r="S77" s="66" t="str">
        <f>IF(   (ROW(BE36)-1)&lt;=暫1!$B$2,           IF(  AND(  OR(  S36="x",S36="補"  ), OR(  T36 ="x",T36="補",T36="x榮18-22",T36="x公18-22",T36="x榮22-08"  ), $AP36 =""),"全日休",  IF(  AND(  OR(  S36="x",S36="病"  ), OR(  T36 ="病"  ), $AP36 =""),"病(事)假",  IF(  AND(  OR(  S36="x",S36="補"  ), OR(  T36 ="補"  ), $AP36 =""),"補休",  IF(  AND(  OR(  S36="x",S36="喪"  ), OR(  T36 ="喪"  ), $AP36 =""),"喪假",  IF(  AND(  OR(  S36="x",S36="婚",S36="產"  ), OR(  T36 ="婚",T36="產"  ), $AP36 =""),"婚(產)假",  IF(  AND(  OR(  S36="x",S36="公"  ), OR(  T36 ="公"  ), $AP36 =""),"公假",  IF(  AND(  OR(  S36="x",S36="補",S36="婚",S36="公",S36="病",S36="事",S36="x榮18-22"  ),OR(T36=""), $AP36 =""  ),"18收",  IF(  AND(  OR(  S36 ="榮14-18",S36 ="榮10-18",S36 ="榮06-18",S36 ="病14-18"  ),OR(  T36 ="x",T36="補",T36="婚",T36="公",T36="病",T36="事",T36="x"  ), $AP36 =""),"18放早走",  IF(  AND(  OR(  S36 =""),OR(  T36 ="x",T36="補",T36="婚",T36="公",T36="病",T36="事",T36="x榮*",T36="榮",T36="榮-22"  ), $AP36 =""),"18放",  IF(  AND(  OR(  S36="當日退伍"  ),OR(  T36="退伍",T36="退", T36=""  ), $AP36 =""),"當日退伍",  IF(AND(  OR(S36="退",S36="退伍" ), OR(T36="退",T36="退伍" ), $AP36 =""),"退伍","全日勤"  )  )  )  )  )  )  )  )  )  )  ),"")</f>
        <v/>
      </c>
      <c r="T77" s="66" t="str">
        <f>IF(   (ROW(BF36)-1)&lt;=暫1!$B$2,           IF(  AND(  OR(  T36="x",T36="補"  ), OR(  U36 ="x",U36="補",U36="x榮18-22",U36="x公18-22",U36="x榮22-08"  ), $AP36 =""),"全日休",  IF(  AND(  OR(  T36="x",T36="病"  ), OR(  U36 ="病"  ), $AP36 =""),"病(事)假",  IF(  AND(  OR(  T36="x",T36="補"  ), OR(  U36 ="補"  ), $AP36 =""),"補休",  IF(  AND(  OR(  T36="x",T36="喪"  ), OR(  U36 ="喪"  ), $AP36 =""),"喪假",  IF(  AND(  OR(  T36="x",T36="婚",T36="產"  ), OR(  U36 ="婚",U36="產"  ), $AP36 =""),"婚(產)假",  IF(  AND(  OR(  T36="x",T36="公"  ), OR(  U36 ="公"  ), $AP36 =""),"公假",  IF(  AND(  OR(  T36="x",T36="補",T36="婚",T36="公",T36="病",T36="事",T36="x榮18-22"  ),OR(U36=""), $AP36 =""  ),"18收",  IF(  AND(  OR(  T36 ="榮14-18",T36 ="榮10-18",T36 ="榮06-18",T36 ="病14-18"  ),OR(  U36 ="x",U36="補",U36="婚",U36="公",U36="病",U36="事",U36="x"  ), $AP36 =""),"18放早走",  IF(  AND(  OR(  T36 =""),OR(  U36 ="x",U36="補",U36="婚",U36="公",U36="病",U36="事",U36="x榮*",U36="榮",U36="榮-22"  ), $AP36 =""),"18放",  IF(  AND(  OR(  T36="當日退伍"  ),OR(  U36="退伍",U36="退", U36=""  ), $AP36 =""),"當日退伍",  IF(AND(  OR(T36="退",T36="退伍" ), OR(U36="退",U36="退伍" ), $AP36 =""),"退伍","全日勤"  )  )  )  )  )  )  )  )  )  )  ),"")</f>
        <v/>
      </c>
      <c r="U77" s="66" t="str">
        <f>IF(   (ROW(BG36)-1)&lt;=暫1!$B$2,           IF(  AND(  OR(  U36="x",U36="補"  ), OR(  V36 ="x",V36="補",V36="x榮18-22",V36="x公18-22",V36="x榮22-08"  ), $AP36 =""),"全日休",  IF(  AND(  OR(  U36="x",U36="病"  ), OR(  V36 ="病"  ), $AP36 =""),"病(事)假",  IF(  AND(  OR(  U36="x",U36="補"  ), OR(  V36 ="補"  ), $AP36 =""),"補休",  IF(  AND(  OR(  U36="x",U36="喪"  ), OR(  V36 ="喪"  ), $AP36 =""),"喪假",  IF(  AND(  OR(  U36="x",U36="婚",U36="產"  ), OR(  V36 ="婚",V36="產"  ), $AP36 =""),"婚(產)假",  IF(  AND(  OR(  U36="x",U36="公"  ), OR(  V36 ="公"  ), $AP36 =""),"公假",  IF(  AND(  OR(  U36="x",U36="補",U36="婚",U36="公",U36="病",U36="事",U36="x榮18-22"  ),OR(V36=""), $AP36 =""  ),"18收",  IF(  AND(  OR(  U36 ="榮14-18",U36 ="榮10-18",U36 ="榮06-18",U36 ="病14-18"  ),OR(  V36 ="x",V36="補",V36="婚",V36="公",V36="病",V36="事",V36="x"  ), $AP36 =""),"18放早走",  IF(  AND(  OR(  U36 =""),OR(  V36 ="x",V36="補",V36="婚",V36="公",V36="病",V36="事",V36="x榮*",V36="榮",V36="榮-22"  ), $AP36 =""),"18放",  IF(  AND(  OR(  U36="當日退伍"  ),OR(  V36="退伍",V36="退", V36=""  ), $AP36 =""),"當日退伍",  IF(AND(  OR(U36="退",U36="退伍" ), OR(V36="退",V36="退伍" ), $AP36 =""),"退伍","全日勤"  )  )  )  )  )  )  )  )  )  )  ),"")</f>
        <v/>
      </c>
      <c r="V77" s="66" t="str">
        <f>IF(   (ROW(BH36)-1)&lt;=暫1!$B$2,           IF(  AND(  OR(  V36="x",V36="補"  ), OR(  W36 ="x",W36="補",W36="x榮18-22",W36="x公18-22",W36="x榮22-08"  ), $AP36 =""),"全日休",  IF(  AND(  OR(  V36="x",V36="病"  ), OR(  W36 ="病"  ), $AP36 =""),"病(事)假",  IF(  AND(  OR(  V36="x",V36="補"  ), OR(  W36 ="補"  ), $AP36 =""),"補休",  IF(  AND(  OR(  V36="x",V36="喪"  ), OR(  W36 ="喪"  ), $AP36 =""),"喪假",  IF(  AND(  OR(  V36="x",V36="婚",V36="產"  ), OR(  W36 ="婚",W36="產"  ), $AP36 =""),"婚(產)假",  IF(  AND(  OR(  V36="x",V36="公"  ), OR(  W36 ="公"  ), $AP36 =""),"公假",  IF(  AND(  OR(  V36="x",V36="補",V36="婚",V36="公",V36="病",V36="事",V36="x榮18-22"  ),OR(W36=""), $AP36 =""  ),"18收",  IF(  AND(  OR(  V36 ="榮14-18",V36 ="榮10-18",V36 ="榮06-18",V36 ="病14-18"  ),OR(  W36 ="x",W36="補",W36="婚",W36="公",W36="病",W36="事",W36="x"  ), $AP36 =""),"18放早走",  IF(  AND(  OR(  V36 =""),OR(  W36 ="x",W36="補",W36="婚",W36="公",W36="病",W36="事",W36="x榮*",W36="榮",W36="榮-22"  ), $AP36 =""),"18放",  IF(  AND(  OR(  V36="當日退伍"  ),OR(  W36="退伍",W36="退", W36=""  ), $AP36 =""),"當日退伍",  IF(AND(  OR(V36="退",V36="退伍" ), OR(W36="退",W36="退伍" ), $AP36 =""),"退伍","全日勤"  )  )  )  )  )  )  )  )  )  )  ),"")</f>
        <v/>
      </c>
      <c r="W77" s="66" t="str">
        <f>IF(   (ROW(BI36)-1)&lt;=暫1!$B$2,           IF(  AND(  OR(  W36="x",W36="補"  ), OR(  X36 ="x",X36="補",X36="x榮18-22",X36="x公18-22",X36="x榮22-08"  ), $AP36 =""),"全日休",  IF(  AND(  OR(  W36="x",W36="病"  ), OR(  X36 ="病"  ), $AP36 =""),"病(事)假",  IF(  AND(  OR(  W36="x",W36="補"  ), OR(  X36 ="補"  ), $AP36 =""),"補休",  IF(  AND(  OR(  W36="x",W36="喪"  ), OR(  X36 ="喪"  ), $AP36 =""),"喪假",  IF(  AND(  OR(  W36="x",W36="婚",W36="產"  ), OR(  X36 ="婚",X36="產"  ), $AP36 =""),"婚(產)假",  IF(  AND(  OR(  W36="x",W36="公"  ), OR(  X36 ="公"  ), $AP36 =""),"公假",  IF(  AND(  OR(  W36="x",W36="補",W36="婚",W36="公",W36="病",W36="事",W36="x榮18-22"  ),OR(X36=""), $AP36 =""  ),"18收",  IF(  AND(  OR(  W36 ="榮14-18",W36 ="榮10-18",W36 ="榮06-18",W36 ="病14-18"  ),OR(  X36 ="x",X36="補",X36="婚",X36="公",X36="病",X36="事",X36="x"  ), $AP36 =""),"18放早走",  IF(  AND(  OR(  W36 =""),OR(  X36 ="x",X36="補",X36="婚",X36="公",X36="病",X36="事",X36="x榮*",X36="榮",X36="榮-22"  ), $AP36 =""),"18放",  IF(  AND(  OR(  W36="當日退伍"  ),OR(  X36="退伍",X36="退", X36=""  ), $AP36 =""),"當日退伍",  IF(AND(  OR(W36="退",W36="退伍" ), OR(X36="退",X36="退伍" ), $AP36 =""),"退伍","全日勤"  )  )  )  )  )  )  )  )  )  )  ),"")</f>
        <v/>
      </c>
      <c r="X77" s="66" t="str">
        <f>IF(   (ROW(BJ36)-1)&lt;=暫1!$B$2,           IF(  AND(  OR(  X36="x",X36="補"  ), OR(  Y36 ="x",Y36="補",Y36="x榮18-22",Y36="x公18-22",Y36="x榮22-08"  ), $AP36 =""),"全日休",  IF(  AND(  OR(  X36="x",X36="病"  ), OR(  Y36 ="病"  ), $AP36 =""),"病(事)假",  IF(  AND(  OR(  X36="x",X36="補"  ), OR(  Y36 ="補"  ), $AP36 =""),"補休",  IF(  AND(  OR(  X36="x",X36="喪"  ), OR(  Y36 ="喪"  ), $AP36 =""),"喪假",  IF(  AND(  OR(  X36="x",X36="婚",X36="產"  ), OR(  Y36 ="婚",Y36="產"  ), $AP36 =""),"婚(產)假",  IF(  AND(  OR(  X36="x",X36="公"  ), OR(  Y36 ="公"  ), $AP36 =""),"公假",  IF(  AND(  OR(  X36="x",X36="補",X36="婚",X36="公",X36="病",X36="事",X36="x榮18-22"  ),OR(Y36=""), $AP36 =""  ),"18收",  IF(  AND(  OR(  X36 ="榮14-18",X36 ="榮10-18",X36 ="榮06-18",X36 ="病14-18"  ),OR(  Y36 ="x",Y36="補",Y36="婚",Y36="公",Y36="病",Y36="事",Y36="x"  ), $AP36 =""),"18放早走",  IF(  AND(  OR(  X36 =""),OR(  Y36 ="x",Y36="補",Y36="婚",Y36="公",Y36="病",Y36="事",Y36="x榮*",Y36="榮",Y36="榮-22"  ), $AP36 =""),"18放",  IF(  AND(  OR(  X36="當日退伍"  ),OR(  Y36="退伍",Y36="退", Y36=""  ), $AP36 =""),"當日退伍",  IF(AND(  OR(X36="退",X36="退伍" ), OR(Y36="退",Y36="退伍" ), $AP36 =""),"退伍","全日勤"  )  )  )  )  )  )  )  )  )  )  ),"")</f>
        <v/>
      </c>
      <c r="Y77" s="66" t="str">
        <f>IF(   (ROW(BK36)-1)&lt;=暫1!$B$2,           IF(  AND(  OR(  Y36="x",Y36="補"  ), OR(  Z36 ="x",Z36="補",Z36="x榮18-22",Z36="x公18-22",Z36="x榮22-08"  ), $AP36 =""),"全日休",  IF(  AND(  OR(  Y36="x",Y36="病"  ), OR(  Z36 ="病"  ), $AP36 =""),"病(事)假",  IF(  AND(  OR(  Y36="x",Y36="補"  ), OR(  Z36 ="補"  ), $AP36 =""),"補休",  IF(  AND(  OR(  Y36="x",Y36="喪"  ), OR(  Z36 ="喪"  ), $AP36 =""),"喪假",  IF(  AND(  OR(  Y36="x",Y36="婚",Y36="產"  ), OR(  Z36 ="婚",Z36="產"  ), $AP36 =""),"婚(產)假",  IF(  AND(  OR(  Y36="x",Y36="公"  ), OR(  Z36 ="公"  ), $AP36 =""),"公假",  IF(  AND(  OR(  Y36="x",Y36="補",Y36="婚",Y36="公",Y36="病",Y36="事",Y36="x榮18-22"  ),OR(Z36=""), $AP36 =""  ),"18收",  IF(  AND(  OR(  Y36 ="榮14-18",Y36 ="榮10-18",Y36 ="榮06-18",Y36 ="病14-18"  ),OR(  Z36 ="x",Z36="補",Z36="婚",Z36="公",Z36="病",Z36="事",Z36="x"  ), $AP36 =""),"18放早走",  IF(  AND(  OR(  Y36 =""),OR(  Z36 ="x",Z36="補",Z36="婚",Z36="公",Z36="病",Z36="事",Z36="x榮*",Z36="榮",Z36="榮-22"  ), $AP36 =""),"18放",  IF(  AND(  OR(  Y36="當日退伍"  ),OR(  Z36="退伍",Z36="退", Z36=""  ), $AP36 =""),"當日退伍",  IF(AND(  OR(Y36="退",Y36="退伍" ), OR(Z36="退",Z36="退伍" ), $AP36 =""),"退伍","全日勤"  )  )  )  )  )  )  )  )  )  )  ),"")</f>
        <v/>
      </c>
      <c r="Z77" s="66" t="str">
        <f>IF(   (ROW(BL36)-1)&lt;=暫1!$B$2,           IF(  AND(  OR(  Z36="x",Z36="補"  ), OR(  AA36 ="x",AA36="補",AA36="x榮18-22",AA36="x公18-22",AA36="x榮22-08"  ), $AP36 =""),"全日休",  IF(  AND(  OR(  Z36="x",Z36="病"  ), OR(  AA36 ="病"  ), $AP36 =""),"病(事)假",  IF(  AND(  OR(  Z36="x",Z36="補"  ), OR(  AA36 ="補"  ), $AP36 =""),"補休",  IF(  AND(  OR(  Z36="x",Z36="喪"  ), OR(  AA36 ="喪"  ), $AP36 =""),"喪假",  IF(  AND(  OR(  Z36="x",Z36="婚",Z36="產"  ), OR(  AA36 ="婚",AA36="產"  ), $AP36 =""),"婚(產)假",  IF(  AND(  OR(  Z36="x",Z36="公"  ), OR(  AA36 ="公"  ), $AP36 =""),"公假",  IF(  AND(  OR(  Z36="x",Z36="補",Z36="婚",Z36="公",Z36="病",Z36="事",Z36="x榮18-22"  ),OR(AA36=""), $AP36 =""  ),"18收",  IF(  AND(  OR(  Z36 ="榮14-18",Z36 ="榮10-18",Z36 ="榮06-18",Z36 ="病14-18"  ),OR(  AA36 ="x",AA36="補",AA36="婚",AA36="公",AA36="病",AA36="事",AA36="x"  ), $AP36 =""),"18放早走",  IF(  AND(  OR(  Z36 =""),OR(  AA36 ="x",AA36="補",AA36="婚",AA36="公",AA36="病",AA36="事",AA36="x榮*",AA36="榮",AA36="榮-22"  ), $AP36 =""),"18放",  IF(  AND(  OR(  Z36="當日退伍"  ),OR(  AA36="退伍",AA36="退", AA36=""  ), $AP36 =""),"當日退伍",  IF(AND(  OR(Z36="退",Z36="退伍" ), OR(AA36="退",AA36="退伍" ), $AP36 =""),"退伍","全日勤"  )  )  )  )  )  )  )  )  )  )  ),"")</f>
        <v/>
      </c>
      <c r="AA77" s="66" t="str">
        <f>IF(   (ROW(BM36)-1)&lt;=暫1!$B$2,           IF(  AND(  OR(  AA36="x",AA36="補"  ), OR(  AB36 ="x",AB36="補",AB36="x榮18-22",AB36="x公18-22",AB36="x榮22-08"  ), $AP36 =""),"全日休",  IF(  AND(  OR(  AA36="x",AA36="病"  ), OR(  AB36 ="病"  ), $AP36 =""),"病(事)假",  IF(  AND(  OR(  AA36="x",AA36="補"  ), OR(  AB36 ="補"  ), $AP36 =""),"補休",  IF(  AND(  OR(  AA36="x",AA36="喪"  ), OR(  AB36 ="喪"  ), $AP36 =""),"喪假",  IF(  AND(  OR(  AA36="x",AA36="婚",AA36="產"  ), OR(  AB36 ="婚",AB36="產"  ), $AP36 =""),"婚(產)假",  IF(  AND(  OR(  AA36="x",AA36="公"  ), OR(  AB36 ="公"  ), $AP36 =""),"公假",  IF(  AND(  OR(  AA36="x",AA36="補",AA36="婚",AA36="公",AA36="病",AA36="事",AA36="x榮18-22"  ),OR(AB36=""), $AP36 =""  ),"18收",  IF(  AND(  OR(  AA36 ="榮14-18",AA36 ="榮10-18",AA36 ="榮06-18",AA36 ="病14-18"  ),OR(  AB36 ="x",AB36="補",AB36="婚",AB36="公",AB36="病",AB36="事",AB36="x"  ), $AP36 =""),"18放早走",  IF(  AND(  OR(  AA36 =""),OR(  AB36 ="x",AB36="補",AB36="婚",AB36="公",AB36="病",AB36="事",AB36="x榮*",AB36="榮",AB36="榮-22"  ), $AP36 =""),"18放",  IF(  AND(  OR(  AA36="當日退伍"  ),OR(  AB36="退伍",AB36="退", AB36=""  ), $AP36 =""),"當日退伍",  IF(AND(  OR(AA36="退",AA36="退伍" ), OR(AB36="退",AB36="退伍" ), $AP36 =""),"退伍","全日勤"  )  )  )  )  )  )  )  )  )  )  ),"")</f>
        <v/>
      </c>
      <c r="AB77" s="66" t="str">
        <f>IF(   (ROW(BN36)-1)&lt;=暫1!$B$2,           IF(  AND(  OR(  AB36="x",AB36="補"  ), OR(  AC36 ="x",AC36="補",AC36="x榮18-22",AC36="x公18-22",AC36="x榮22-08"  ), $AP36 =""),"全日休",  IF(  AND(  OR(  AB36="x",AB36="病"  ), OR(  AC36 ="病"  ), $AP36 =""),"病(事)假",  IF(  AND(  OR(  AB36="x",AB36="補"  ), OR(  AC36 ="補"  ), $AP36 =""),"補休",  IF(  AND(  OR(  AB36="x",AB36="喪"  ), OR(  AC36 ="喪"  ), $AP36 =""),"喪假",  IF(  AND(  OR(  AB36="x",AB36="婚",AB36="產"  ), OR(  AC36 ="婚",AC36="產"  ), $AP36 =""),"婚(產)假",  IF(  AND(  OR(  AB36="x",AB36="公"  ), OR(  AC36 ="公"  ), $AP36 =""),"公假",  IF(  AND(  OR(  AB36="x",AB36="補",AB36="婚",AB36="公",AB36="病",AB36="事",AB36="x榮18-22"  ),OR(AC36=""), $AP36 =""  ),"18收",  IF(  AND(  OR(  AB36 ="榮14-18",AB36 ="榮10-18",AB36 ="榮06-18",AB36 ="病14-18"  ),OR(  AC36 ="x",AC36="補",AC36="婚",AC36="公",AC36="病",AC36="事",AC36="x"  ), $AP36 =""),"18放早走",  IF(  AND(  OR(  AB36 =""),OR(  AC36 ="x",AC36="補",AC36="婚",AC36="公",AC36="病",AC36="事",AC36="x榮*",AC36="榮",AC36="榮-22"  ), $AP36 =""),"18放",  IF(  AND(  OR(  AB36="當日退伍"  ),OR(  AC36="退伍",AC36="退", AC36=""  ), $AP36 =""),"當日退伍",  IF(AND(  OR(AB36="退",AB36="退伍" ), OR(AC36="退",AC36="退伍" ), $AP36 =""),"退伍","全日勤"  )  )  )  )  )  )  )  )  )  )  ),"")</f>
        <v/>
      </c>
      <c r="AC77" s="66" t="str">
        <f>IF(   (ROW(BO36)-1)&lt;=暫1!$B$2,           IF(  AND(  OR(  AC36="x",AC36="補"  ), OR(  AD36 ="x",AD36="補",AD36="x榮18-22",AD36="x公18-22",AD36="x榮22-08"  ), $AP36 =""),"全日休",  IF(  AND(  OR(  AC36="x",AC36="病"  ), OR(  AD36 ="病"  ), $AP36 =""),"病(事)假",  IF(  AND(  OR(  AC36="x",AC36="補"  ), OR(  AD36 ="補"  ), $AP36 =""),"補休",  IF(  AND(  OR(  AC36="x",AC36="喪"  ), OR(  AD36 ="喪"  ), $AP36 =""),"喪假",  IF(  AND(  OR(  AC36="x",AC36="婚",AC36="產"  ), OR(  AD36 ="婚",AD36="產"  ), $AP36 =""),"婚(產)假",  IF(  AND(  OR(  AC36="x",AC36="公"  ), OR(  AD36 ="公"  ), $AP36 =""),"公假",  IF(  AND(  OR(  AC36="x",AC36="補",AC36="婚",AC36="公",AC36="病",AC36="事",AC36="x榮18-22"  ),OR(AD36=""), $AP36 =""  ),"18收",  IF(  AND(  OR(  AC36 ="榮14-18",AC36 ="榮10-18",AC36 ="榮06-18",AC36 ="病14-18"  ),OR(  AD36 ="x",AD36="補",AD36="婚",AD36="公",AD36="病",AD36="事",AD36="x"  ), $AP36 =""),"18放早走",  IF(  AND(  OR(  AC36 =""),OR(  AD36 ="x",AD36="補",AD36="婚",AD36="公",AD36="病",AD36="事",AD36="x榮*",AD36="榮",AD36="榮-22"  ), $AP36 =""),"18放",  IF(  AND(  OR(  AC36="當日退伍"  ),OR(  AD36="退伍",AD36="退", AD36=""  ), $AP36 =""),"當日退伍",  IF(AND(  OR(AC36="退",AC36="退伍" ), OR(AD36="退",AD36="退伍" ), $AP36 =""),"退伍","全日勤"  )  )  )  )  )  )  )  )  )  )  ),"")</f>
        <v/>
      </c>
      <c r="AD77" s="66" t="str">
        <f>IF(   (ROW(BP36)-1)&lt;=暫1!$B$2,           IF(  AND(  OR(  AD36="x",AD36="補"  ), OR(  AE36 ="x",AE36="補",AE36="x榮18-22",AE36="x公18-22",AE36="x榮22-08"  ), $AP36 =""),"全日休",  IF(  AND(  OR(  AD36="x",AD36="病"  ), OR(  AE36 ="病"  ), $AP36 =""),"病(事)假",  IF(  AND(  OR(  AD36="x",AD36="補"  ), OR(  AE36 ="補"  ), $AP36 =""),"補休",  IF(  AND(  OR(  AD36="x",AD36="喪"  ), OR(  AE36 ="喪"  ), $AP36 =""),"喪假",  IF(  AND(  OR(  AD36="x",AD36="婚",AD36="產"  ), OR(  AE36 ="婚",AE36="產"  ), $AP36 =""),"婚(產)假",  IF(  AND(  OR(  AD36="x",AD36="公"  ), OR(  AE36 ="公"  ), $AP36 =""),"公假",  IF(  AND(  OR(  AD36="x",AD36="補",AD36="婚",AD36="公",AD36="病",AD36="事",AD36="x榮18-22"  ),OR(AE36=""), $AP36 =""  ),"18收",  IF(  AND(  OR(  AD36 ="榮14-18",AD36 ="榮10-18",AD36 ="榮06-18",AD36 ="病14-18"  ),OR(  AE36 ="x",AE36="補",AE36="婚",AE36="公",AE36="病",AE36="事",AE36="x"  ), $AP36 =""),"18放早走",  IF(  AND(  OR(  AD36 =""),OR(  AE36 ="x",AE36="補",AE36="婚",AE36="公",AE36="病",AE36="事",AE36="x榮*",AE36="榮",AE36="榮-22"  ), $AP36 =""),"18放",  IF(  AND(  OR(  AD36="當日退伍"  ),OR(  AE36="退伍",AE36="退", AE36=""  ), $AP36 =""),"當日退伍",  IF(AND(  OR(AD36="退",AD36="退伍" ), OR(AE36="退",AE36="退伍" ), $AP36 =""),"退伍","全日勤"  )  )  )  )  )  )  )  )  )  )  ),"")</f>
        <v/>
      </c>
      <c r="AE77" s="66" t="str">
        <f>IF(   (ROW(BQ36)-1)&lt;=暫1!$B$2,           IF(  AND(  OR(  AE36="x",AE36="補"  ), OR(  AF36 ="x",AF36="補",AF36="x榮18-22",AF36="x公18-22",AF36="x榮22-08"  ), $AP36 =""),"全日休",  IF(  AND(  OR(  AE36="x",AE36="病"  ), OR(  AF36 ="病"  ), $AP36 =""),"病(事)假",  IF(  AND(  OR(  AE36="x",AE36="補"  ), OR(  AF36 ="補"  ), $AP36 =""),"補休",  IF(  AND(  OR(  AE36="x",AE36="喪"  ), OR(  AF36 ="喪"  ), $AP36 =""),"喪假",  IF(  AND(  OR(  AE36="x",AE36="婚",AE36="產"  ), OR(  AF36 ="婚",AF36="產"  ), $AP36 =""),"婚(產)假",  IF(  AND(  OR(  AE36="x",AE36="公"  ), OR(  AF36 ="公"  ), $AP36 =""),"公假",  IF(  AND(  OR(  AE36="x",AE36="補",AE36="婚",AE36="公",AE36="病",AE36="事",AE36="x榮18-22"  ),OR(AF36=""), $AP36 =""  ),"18收",  IF(  AND(  OR(  AE36 ="榮14-18",AE36 ="榮10-18",AE36 ="榮06-18",AE36 ="病14-18"  ),OR(  AF36 ="x",AF36="補",AF36="婚",AF36="公",AF36="病",AF36="事",AF36="x"  ), $AP36 =""),"18放早走",  IF(  AND(  OR(  AE36 =""),OR(  AF36 ="x",AF36="補",AF36="婚",AF36="公",AF36="病",AF36="事",AF36="x榮*",AF36="榮",AF36="榮-22"  ), $AP36 =""),"18放",  IF(  AND(  OR(  AE36="當日退伍"  ),OR(  AF36="退伍",AF36="退", AF36=""  ), $AP36 =""),"當日退伍",  IF(AND(  OR(AE36="退",AE36="退伍" ), OR(AF36="退",AF36="退伍" ), $AP36 =""),"退伍","全日勤"  )  )  )  )  )  )  )  )  )  )  ),"")</f>
        <v/>
      </c>
      <c r="AF77" s="66" t="str">
        <f>IF(   (ROW(BR36)-1)&lt;=暫1!$B$2,           IF(  AND(  OR(  AF36="x",AF36="補"  ), OR(  AG36 ="x",AG36="補",AG36="x榮18-22",AG36="x公18-22",AG36="x榮22-08"  ), $AP36 =""),"全日休",  IF(  AND(  OR(  AF36="x",AF36="病"  ), OR(  AG36 ="病"  ), $AP36 =""),"病(事)假",  IF(  AND(  OR(  AF36="x",AF36="補"  ), OR(  AG36 ="補"  ), $AP36 =""),"補休",  IF(  AND(  OR(  AF36="x",AF36="喪"  ), OR(  AG36 ="喪"  ), $AP36 =""),"喪假",  IF(  AND(  OR(  AF36="x",AF36="婚",AF36="產"  ), OR(  AG36 ="婚",AG36="產"  ), $AP36 =""),"婚(產)假",  IF(  AND(  OR(  AF36="x",AF36="公"  ), OR(  AG36 ="公"  ), $AP36 =""),"公假",  IF(  AND(  OR(  AF36="x",AF36="補",AF36="婚",AF36="公",AF36="病",AF36="事",AF36="x榮18-22"  ),OR(AG36=""), $AP36 =""  ),"18收",  IF(  AND(  OR(  AF36 ="榮14-18",AF36 ="榮10-18",AF36 ="榮06-18",AF36 ="病14-18"  ),OR(  AG36 ="x",AG36="補",AG36="婚",AG36="公",AG36="病",AG36="事",AG36="x"  ), $AP36 =""),"18放早走",  IF(  AND(  OR(  AF36 =""),OR(  AG36 ="x",AG36="補",AG36="婚",AG36="公",AG36="病",AG36="事",AG36="x榮*",AG36="榮",AG36="榮-22"  ), $AP36 =""),"18放",  IF(  AND(  OR(  AF36="當日退伍"  ),OR(  AG36="退伍",AG36="退", AG36=""  ), $AP36 =""),"當日退伍",  IF(AND(  OR(AF36="退",AF36="退伍" ), OR(AG36="退",AG36="退伍" ), $AP36 =""),"退伍","全日勤"  )  )  )  )  )  )  )  )  )  )  ),"")</f>
        <v/>
      </c>
      <c r="AG77" s="66" t="str">
        <f>IF(   (ROW(BS36)-1)&lt;=暫1!$B$2,           IF(  AND(  OR(  AG36="x",AG36="補"  ), OR(  AH36 ="x",AH36="補",AH36="x榮18-22",AH36="x公18-22",AH36="x榮22-08"  ), $AP36 =""),"全日休",  IF(  AND(  OR(  AG36="x",AG36="病"  ), OR(  AH36 ="病"  ), $AP36 =""),"病(事)假",  IF(  AND(  OR(  AG36="x",AG36="補"  ), OR(  AH36 ="補"  ), $AP36 =""),"補休",  IF(  AND(  OR(  AG36="x",AG36="喪"  ), OR(  AH36 ="喪"  ), $AP36 =""),"喪假",  IF(  AND(  OR(  AG36="x",AG36="婚",AG36="產"  ), OR(  AH36 ="婚",AH36="產"  ), $AP36 =""),"婚(產)假",  IF(  AND(  OR(  AG36="x",AG36="公"  ), OR(  AH36 ="公"  ), $AP36 =""),"公假",  IF(  AND(  OR(  AG36="x",AG36="補",AG36="婚",AG36="公",AG36="病",AG36="事",AG36="x榮18-22"  ),OR(AH36=""), $AP36 =""  ),"18收",  IF(  AND(  OR(  AG36 ="榮14-18",AG36 ="榮10-18",AG36 ="榮06-18",AG36 ="病14-18"  ),OR(  AH36 ="x",AH36="補",AH36="婚",AH36="公",AH36="病",AH36="事",AH36="x"  ), $AP36 =""),"18放早走",  IF(  AND(  OR(  AG36 =""),OR(  AH36 ="x",AH36="補",AH36="婚",AH36="公",AH36="病",AH36="事",AH36="x榮*",AH36="榮",AH36="榮-22"  ), $AP36 =""),"18放",  IF(  AND(  OR(  AG36="當日退伍"  ),OR(  AH36="退伍",AH36="退", AH36=""  ), $AP36 =""),"當日退伍",  IF(AND(  OR(AG36="退",AG36="退伍" ), OR(AH36="退",AH36="退伍" ), $AP36 =""),"退伍","全日勤"  )  )  )  )  )  )  )  )  )  )  ),"")</f>
        <v/>
      </c>
      <c r="AH77" s="66" t="str">
        <f>IF(   (ROW(BT36)-1)&lt;=暫1!$B$2,           IF(  AND(  OR(  AH36="x",AH36="補"  ), OR(  AI36 ="x",AI36="補",AI36="x榮18-22",AI36="x公18-22",AI36="x榮22-08"  ), $AP36 =""),"全日休",  IF(  AND(  OR(  AH36="x",AH36="病"  ), OR(  AI36 ="病"  ), $AP36 =""),"病(事)假",  IF(  AND(  OR(  AH36="x",AH36="補"  ), OR(  AI36 ="補"  ), $AP36 =""),"補休",  IF(  AND(  OR(  AH36="x",AH36="喪"  ), OR(  AI36 ="喪"  ), $AP36 =""),"喪假",  IF(  AND(  OR(  AH36="x",AH36="婚",AH36="產"  ), OR(  AI36 ="婚",AI36="產"  ), $AP36 =""),"婚(產)假",  IF(  AND(  OR(  AH36="x",AH36="公"  ), OR(  AI36 ="公"  ), $AP36 =""),"公假",  IF(  AND(  OR(  AH36="x",AH36="補",AH36="婚",AH36="公",AH36="病",AH36="事",AH36="x榮18-22"  ),OR(AI36=""), $AP36 =""  ),"18收",  IF(  AND(  OR(  AH36 ="榮14-18",AH36 ="榮10-18",AH36 ="榮06-18",AH36 ="病14-18"  ),OR(  AI36 ="x",AI36="補",AI36="婚",AI36="公",AI36="病",AI36="事",AI36="x"  ), $AP36 =""),"18放早走",  IF(  AND(  OR(  AH36 =""),OR(  AI36 ="x",AI36="補",AI36="婚",AI36="公",AI36="病",AI36="事",AI36="x榮*",AI36="榮",AI36="榮-22"  ), $AP36 =""),"18放",  IF(  AND(  OR(  AH36="當日退伍"  ),OR(  AI36="退伍",AI36="退", AI36=""  ), $AP36 =""),"當日退伍",  IF(AND(  OR(AH36="退",AH36="退伍" ), OR(AI36="退",AI36="退伍" ), $AP36 =""),"退伍","全日勤"  )  )  )  )  )  )  )  )  )  )  ),"")</f>
        <v/>
      </c>
      <c r="AI77" s="66" t="str">
        <f>IF(   (ROW(BU36)-1)&lt;=暫1!$B$2,           IF(  AND(  OR(  AI36="x",AI36="補"  ), OR(  AJ36 ="x",AJ36="補",AJ36="x榮18-22",AJ36="x公18-22",AJ36="x榮22-08"  ), $AP36 =""),"全日休",  IF(  AND(  OR(  AI36="x",AI36="病"  ), OR(  AJ36 ="病"  ), $AP36 =""),"病(事)假",  IF(  AND(  OR(  AI36="x",AI36="補"  ), OR(  AJ36 ="補"  ), $AP36 =""),"補休",  IF(  AND(  OR(  AI36="x",AI36="喪"  ), OR(  AJ36 ="喪"  ), $AP36 =""),"喪假",  IF(  AND(  OR(  AI36="x",AI36="婚",AI36="產"  ), OR(  AJ36 ="婚",AJ36="產"  ), $AP36 =""),"婚(產)假",  IF(  AND(  OR(  AI36="x",AI36="公"  ), OR(  AJ36 ="公"  ), $AP36 =""),"公假",  IF(  AND(  OR(  AI36="x",AI36="補",AI36="婚",AI36="公",AI36="病",AI36="事",AI36="x榮18-22"  ),OR(AJ36=""), $AP36 =""  ),"18收",  IF(  AND(  OR(  AI36 ="榮14-18",AI36 ="榮10-18",AI36 ="榮06-18",AI36 ="病14-18"  ),OR(  AJ36 ="x",AJ36="補",AJ36="婚",AJ36="公",AJ36="病",AJ36="事",AJ36="x"  ), $AP36 =""),"18放早走",  IF(  AND(  OR(  AI36 =""),OR(  AJ36 ="x",AJ36="補",AJ36="婚",AJ36="公",AJ36="病",AJ36="事",AJ36="x榮*",AJ36="榮",AJ36="榮-22"  ), $AP36 =""),"18放",  IF(  AND(  OR(  AI36="當日退伍"  ),OR(  AJ36="退伍",AJ36="退", AJ36=""  ), $AP36 =""),"當日退伍",  IF(AND(  OR(AI36="退",AI36="退伍" ), OR(AJ36="退",AJ36="退伍" ), $AP36 =""),"退伍","全日勤"  )  )  )  )  )  )  )  )  )  )  ),"")</f>
        <v/>
      </c>
      <c r="AJ77" s="66" t="str">
        <f>IF(   (ROW(BV36)-1)&lt;=暫1!$B$2,           IF(  AND(  OR(  AJ36="x",AJ36="補"  ), OR(  AK36 ="x",AK36="補",AK36="x榮18-22",AK36="x公18-22",AK36="x榮22-08"  ), $AP36 =""),"全日休",  IF(  AND(  OR(  AJ36="x",AJ36="病"  ), OR(  AK36 ="病"  ), $AP36 =""),"病(事)假",  IF(  AND(  OR(  AJ36="x",AJ36="補"  ), OR(  AK36 ="補"  ), $AP36 =""),"補休",  IF(  AND(  OR(  AJ36="x",AJ36="喪"  ), OR(  AK36 ="喪"  ), $AP36 =""),"喪假",  IF(  AND(  OR(  AJ36="x",AJ36="婚",AJ36="產"  ), OR(  AK36 ="婚",AK36="產"  ), $AP36 =""),"婚(產)假",  IF(  AND(  OR(  AJ36="x",AJ36="公"  ), OR(  AK36 ="公"  ), $AP36 =""),"公假",  IF(  AND(  OR(  AJ36="x",AJ36="補",AJ36="婚",AJ36="公",AJ36="病",AJ36="事",AJ36="x榮18-22"  ),OR(AK36=""), $AP36 =""  ),"18收",  IF(  AND(  OR(  AJ36 ="榮14-18",AJ36 ="榮10-18",AJ36 ="榮06-18",AJ36 ="病14-18"  ),OR(  AK36 ="x",AK36="補",AK36="婚",AK36="公",AK36="病",AK36="事",AK36="x"  ), $AP36 =""),"18放早走",  IF(  AND(  OR(  AJ36 =""),OR(  AK36 ="x",AK36="補",AK36="婚",AK36="公",AK36="病",AK36="事",AK36="x榮*",AK36="榮",AK36="榮-22"  ), $AP36 =""),"18放",  IF(  AND(  OR(  AJ36="當日退伍"  ),OR(  AK36="退伍",AK36="退", AK36=""  ), $AP36 =""),"當日退伍",  IF(AND(  OR(AJ36="退",AJ36="退伍" ), OR(AK36="退",AK36="退伍" ), $AP36 =""),"退伍","全日勤"  )  )  )  )  )  )  )  )  )  )  ),"")</f>
        <v/>
      </c>
      <c r="AO77" s="76"/>
      <c r="AP77" s="63"/>
      <c r="AU77" s="63"/>
      <c r="AY77" s="63"/>
      <c r="AZ77" s="63"/>
      <c r="BA77" s="63"/>
    </row>
    <row r="78" spans="1:55" ht="25.5" customHeight="1">
      <c r="A78" s="66">
        <f t="shared" ref="A78:B78" si="7">A38</f>
        <v>37</v>
      </c>
      <c r="B78" s="66" t="str">
        <f t="shared" si="7"/>
        <v/>
      </c>
      <c r="C78" s="66" t="str">
        <f>IF(   (ROW(AO38)-1)&lt;=暫1!$B$2,           IF(  AND(  OR(  C38="x",C38="補"  ), OR(  D38 ="x",D38="補",D38="x榮18-22",D38="x公18-22",D38="x榮22-08"  ), $AP38 =""),"全日休",  IF(  AND(  OR(  C38="x",C38="病"  ), OR(  D38 ="病"  ), $AP38 =""),"病(事)假",  IF(  AND(  OR(  C38="x",C38="補"  ), OR(  D38 ="補"  ), $AP38 =""),"補休",  IF(  AND(  OR(  C38="x",C38="喪"  ), OR(  D38 ="喪"  ), $AP38 =""),"喪假",  IF(  AND(  OR(  C38="x",C38="婚",C38="產"  ), OR(  D38 ="婚",D38="產"  ), $AP38 =""),"婚(產)假",  IF(  AND(  OR(  C38="x",C38="公"  ), OR(  D38 ="公"  ), $AP38 =""),"公假",  IF(  AND(  OR(  C38="x",C38="補",C38="婚",C38="公",C38="病",C38="事",C38="x榮18-22"  ),OR(D38=""), $AP38 =""  ),"18收",  IF(  AND(  OR(  C38 ="榮14-18",C38 ="榮10-18",C38 ="榮06-18",C38 ="病14-18"  ),OR(  D38 ="x",D38="補",D38="婚",D38="公",D38="病",D38="事",D38="x"  ), $AP38 =""),"18放早走",  IF(  AND(  OR(  C38 =""),OR(  D38 ="x",D38="補",D38="婚",D38="公",D38="病",D38="事",D38="x榮*",D38="榮",D38="榮-22"  ), $AP38 =""),"18放",  IF(  AND(  OR(  C38="當日退伍"  ),OR(  D38="退伍",D38="退", D38=""  ), $AP38 =""),"當日退伍",  IF(AND(  OR(C38="退",C38="退伍" ), OR(D38="退",D38="退伍" ), $AP38 =""),"退伍","全日勤"  )  )  )  )  )  )  )  )  )  )  ),"")</f>
        <v/>
      </c>
      <c r="D78" s="66" t="str">
        <f>IF(   (ROW(AP38)-1)&lt;=暫1!$B$2,           IF(  AND(  OR(  D38="x",D38="補"  ), OR(  E38 ="x",E38="補",E38="x榮18-22",E38="x公18-22",E38="x榮22-08"  ), $AP38 =""),"全日休",  IF(  AND(  OR(  D38="x",D38="病"  ), OR(  E38 ="病"  ), $AP38 =""),"病(事)假",  IF(  AND(  OR(  D38="x",D38="補"  ), OR(  E38 ="補"  ), $AP38 =""),"補休",  IF(  AND(  OR(  D38="x",D38="喪"  ), OR(  E38 ="喪"  ), $AP38 =""),"喪假",  IF(  AND(  OR(  D38="x",D38="婚",D38="產"  ), OR(  E38 ="婚",E38="產"  ), $AP38 =""),"婚(產)假",  IF(  AND(  OR(  D38="x",D38="公"  ), OR(  E38 ="公"  ), $AP38 =""),"公假",  IF(  AND(  OR(  D38="x",D38="補",D38="婚",D38="公",D38="病",D38="事",D38="x榮18-22"  ),OR(E38=""), $AP38 =""  ),"18收",  IF(  AND(  OR(  D38 ="榮14-18",D38 ="榮10-18",D38 ="榮06-18",D38 ="病14-18"  ),OR(  E38 ="x",E38="補",E38="婚",E38="公",E38="病",E38="事",E38="x"  ), $AP38 =""),"18放早走",  IF(  AND(  OR(  D38 =""),OR(  E38 ="x",E38="補",E38="婚",E38="公",E38="病",E38="事",E38="x榮*",E38="榮",E38="榮-22"  ), $AP38 =""),"18放",  IF(  AND(  OR(  D38="當日退伍"  ),OR(  E38="退伍",E38="退", E38=""  ), $AP38 =""),"當日退伍",  IF(AND(  OR(D38="退",D38="退伍" ), OR(E38="退",E38="退伍" ), $AP38 =""),"退伍","全日勤"  )  )  )  )  )  )  )  )  )  )  ),"")</f>
        <v/>
      </c>
      <c r="E78" s="66" t="str">
        <f>IF(   (ROW(AQ38)-1)&lt;=暫1!$B$2,           IF(  AND(  OR(  E38="x",E38="補"  ), OR(  F38 ="x",F38="補",F38="x榮18-22",F38="x公18-22",F38="x榮22-08"  ), $AP38 =""),"全日休",  IF(  AND(  OR(  E38="x",E38="病"  ), OR(  F38 ="病"  ), $AP38 =""),"病(事)假",  IF(  AND(  OR(  E38="x",E38="補"  ), OR(  F38 ="補"  ), $AP38 =""),"補休",  IF(  AND(  OR(  E38="x",E38="喪"  ), OR(  F38 ="喪"  ), $AP38 =""),"喪假",  IF(  AND(  OR(  E38="x",E38="婚",E38="產"  ), OR(  F38 ="婚",F38="產"  ), $AP38 =""),"婚(產)假",  IF(  AND(  OR(  E38="x",E38="公"  ), OR(  F38 ="公"  ), $AP38 =""),"公假",  IF(  AND(  OR(  E38="x",E38="補",E38="婚",E38="公",E38="病",E38="事",E38="x榮18-22"  ),OR(F38=""), $AP38 =""  ),"18收",  IF(  AND(  OR(  E38 ="榮14-18",E38 ="榮10-18",E38 ="榮06-18",E38 ="病14-18"  ),OR(  F38 ="x",F38="補",F38="婚",F38="公",F38="病",F38="事",F38="x"  ), $AP38 =""),"18放早走",  IF(  AND(  OR(  E38 =""),OR(  F38 ="x",F38="補",F38="婚",F38="公",F38="病",F38="事",F38="x榮*",F38="榮",F38="榮-22"  ), $AP38 =""),"18放",  IF(  AND(  OR(  E38="當日退伍"  ),OR(  F38="退伍",F38="退", F38=""  ), $AP38 =""),"當日退伍",  IF(AND(  OR(E38="退",E38="退伍" ), OR(F38="退",F38="退伍" ), $AP38 =""),"退伍","全日勤"  )  )  )  )  )  )  )  )  )  )  ),"")</f>
        <v/>
      </c>
      <c r="F78" s="66" t="str">
        <f>IF(   (ROW(AR38)-1)&lt;=暫1!$B$2,           IF(  AND(  OR(  F38="x",F38="補"  ), OR(  G38 ="x",G38="補",G38="x榮18-22",G38="x公18-22",G38="x榮22-08"  ), $AP38 =""),"全日休",  IF(  AND(  OR(  F38="x",F38="病"  ), OR(  G38 ="病"  ), $AP38 =""),"病(事)假",  IF(  AND(  OR(  F38="x",F38="補"  ), OR(  G38 ="補"  ), $AP38 =""),"補休",  IF(  AND(  OR(  F38="x",F38="喪"  ), OR(  G38 ="喪"  ), $AP38 =""),"喪假",  IF(  AND(  OR(  F38="x",F38="婚",F38="產"  ), OR(  G38 ="婚",G38="產"  ), $AP38 =""),"婚(產)假",  IF(  AND(  OR(  F38="x",F38="公"  ), OR(  G38 ="公"  ), $AP38 =""),"公假",  IF(  AND(  OR(  F38="x",F38="補",F38="婚",F38="公",F38="病",F38="事",F38="x榮18-22"  ),OR(G38=""), $AP38 =""  ),"18收",  IF(  AND(  OR(  F38 ="榮14-18",F38 ="榮10-18",F38 ="榮06-18",F38 ="病14-18"  ),OR(  G38 ="x",G38="補",G38="婚",G38="公",G38="病",G38="事",G38="x"  ), $AP38 =""),"18放早走",  IF(  AND(  OR(  F38 =""),OR(  G38 ="x",G38="補",G38="婚",G38="公",G38="病",G38="事",G38="x榮*",G38="榮",G38="榮-22"  ), $AP38 =""),"18放",  IF(  AND(  OR(  F38="當日退伍"  ),OR(  G38="退伍",G38="退", G38=""  ), $AP38 =""),"當日退伍",  IF(AND(  OR(F38="退",F38="退伍" ), OR(G38="退",G38="退伍" ), $AP38 =""),"退伍","全日勤"  )  )  )  )  )  )  )  )  )  )  ),"")</f>
        <v/>
      </c>
      <c r="G78" s="66" t="str">
        <f>IF(   (ROW(AS38)-1)&lt;=暫1!$B$2,           IF(  AND(  OR(  G38="x",G38="補"  ), OR(  H38 ="x",H38="補",H38="x榮18-22",H38="x公18-22",H38="x榮22-08"  ), $AP38 =""),"全日休",  IF(  AND(  OR(  G38="x",G38="病"  ), OR(  H38 ="病"  ), $AP38 =""),"病(事)假",  IF(  AND(  OR(  G38="x",G38="補"  ), OR(  H38 ="補"  ), $AP38 =""),"補休",  IF(  AND(  OR(  G38="x",G38="喪"  ), OR(  H38 ="喪"  ), $AP38 =""),"喪假",  IF(  AND(  OR(  G38="x",G38="婚",G38="產"  ), OR(  H38 ="婚",H38="產"  ), $AP38 =""),"婚(產)假",  IF(  AND(  OR(  G38="x",G38="公"  ), OR(  H38 ="公"  ), $AP38 =""),"公假",  IF(  AND(  OR(  G38="x",G38="補",G38="婚",G38="公",G38="病",G38="事",G38="x榮18-22"  ),OR(H38=""), $AP38 =""  ),"18收",  IF(  AND(  OR(  G38 ="榮14-18",G38 ="榮10-18",G38 ="榮06-18",G38 ="病14-18"  ),OR(  H38 ="x",H38="補",H38="婚",H38="公",H38="病",H38="事",H38="x"  ), $AP38 =""),"18放早走",  IF(  AND(  OR(  G38 =""),OR(  H38 ="x",H38="補",H38="婚",H38="公",H38="病",H38="事",H38="x榮*",H38="榮",H38="榮-22"  ), $AP38 =""),"18放",  IF(  AND(  OR(  G38="當日退伍"  ),OR(  H38="退伍",H38="退", H38=""  ), $AP38 =""),"當日退伍",  IF(AND(  OR(G38="退",G38="退伍" ), OR(H38="退",H38="退伍" ), $AP38 =""),"退伍","全日勤"  )  )  )  )  )  )  )  )  )  )  ),"")</f>
        <v/>
      </c>
      <c r="H78" s="66" t="str">
        <f>IF(   (ROW(AT38)-1)&lt;=暫1!$B$2,           IF(  AND(  OR(  H38="x",H38="補"  ), OR(  I38 ="x",I38="補",I38="x榮18-22",I38="x公18-22",I38="x榮22-08"  ), $AP38 =""),"全日休",  IF(  AND(  OR(  H38="x",H38="病"  ), OR(  I38 ="病"  ), $AP38 =""),"病(事)假",  IF(  AND(  OR(  H38="x",H38="補"  ), OR(  I38 ="補"  ), $AP38 =""),"補休",  IF(  AND(  OR(  H38="x",H38="喪"  ), OR(  I38 ="喪"  ), $AP38 =""),"喪假",  IF(  AND(  OR(  H38="x",H38="婚",H38="產"  ), OR(  I38 ="婚",I38="產"  ), $AP38 =""),"婚(產)假",  IF(  AND(  OR(  H38="x",H38="公"  ), OR(  I38 ="公"  ), $AP38 =""),"公假",  IF(  AND(  OR(  H38="x",H38="補",H38="婚",H38="公",H38="病",H38="事",H38="x榮18-22"  ),OR(I38=""), $AP38 =""  ),"18收",  IF(  AND(  OR(  H38 ="榮14-18",H38 ="榮10-18",H38 ="榮06-18",H38 ="病14-18"  ),OR(  I38 ="x",I38="補",I38="婚",I38="公",I38="病",I38="事",I38="x"  ), $AP38 =""),"18放早走",  IF(  AND(  OR(  H38 =""),OR(  I38 ="x",I38="補",I38="婚",I38="公",I38="病",I38="事",I38="x榮*",I38="榮",I38="榮-22"  ), $AP38 =""),"18放",  IF(  AND(  OR(  H38="當日退伍"  ),OR(  I38="退伍",I38="退", I38=""  ), $AP38 =""),"當日退伍",  IF(AND(  OR(H38="退",H38="退伍" ), OR(I38="退",I38="退伍" ), $AP38 =""),"退伍","全日勤"  )  )  )  )  )  )  )  )  )  )  ),"")</f>
        <v/>
      </c>
      <c r="I78" s="66" t="str">
        <f>IF(   (ROW(AU38)-1)&lt;=暫1!$B$2,           IF(  AND(  OR(  I38="x",I38="補"  ), OR(  J38 ="x",J38="補",J38="x榮18-22",J38="x公18-22",J38="x榮22-08"  ), $AP38 =""),"全日休",  IF(  AND(  OR(  I38="x",I38="病"  ), OR(  J38 ="病"  ), $AP38 =""),"病(事)假",  IF(  AND(  OR(  I38="x",I38="補"  ), OR(  J38 ="補"  ), $AP38 =""),"補休",  IF(  AND(  OR(  I38="x",I38="喪"  ), OR(  J38 ="喪"  ), $AP38 =""),"喪假",  IF(  AND(  OR(  I38="x",I38="婚",I38="產"  ), OR(  J38 ="婚",J38="產"  ), $AP38 =""),"婚(產)假",  IF(  AND(  OR(  I38="x",I38="公"  ), OR(  J38 ="公"  ), $AP38 =""),"公假",  IF(  AND(  OR(  I38="x",I38="補",I38="婚",I38="公",I38="病",I38="事",I38="x榮18-22"  ),OR(J38=""), $AP38 =""  ),"18收",  IF(  AND(  OR(  I38 ="榮14-18",I38 ="榮10-18",I38 ="榮06-18",I38 ="病14-18"  ),OR(  J38 ="x",J38="補",J38="婚",J38="公",J38="病",J38="事",J38="x"  ), $AP38 =""),"18放早走",  IF(  AND(  OR(  I38 =""),OR(  J38 ="x",J38="補",J38="婚",J38="公",J38="病",J38="事",J38="x榮*",J38="榮",J38="榮-22"  ), $AP38 =""),"18放",  IF(  AND(  OR(  I38="當日退伍"  ),OR(  J38="退伍",J38="退", J38=""  ), $AP38 =""),"當日退伍",  IF(AND(  OR(I38="退",I38="退伍" ), OR(J38="退",J38="退伍" ), $AP38 =""),"退伍","全日勤"  )  )  )  )  )  )  )  )  )  )  ),"")</f>
        <v/>
      </c>
      <c r="J78" s="66" t="str">
        <f>IF(   (ROW(AV38)-1)&lt;=暫1!$B$2,           IF(  AND(  OR(  J38="x",J38="補"  ), OR(  K38 ="x",K38="補",K38="x榮18-22",K38="x公18-22",K38="x榮22-08"  ), $AP38 =""),"全日休",  IF(  AND(  OR(  J38="x",J38="病"  ), OR(  K38 ="病"  ), $AP38 =""),"病(事)假",  IF(  AND(  OR(  J38="x",J38="補"  ), OR(  K38 ="補"  ), $AP38 =""),"補休",  IF(  AND(  OR(  J38="x",J38="喪"  ), OR(  K38 ="喪"  ), $AP38 =""),"喪假",  IF(  AND(  OR(  J38="x",J38="婚",J38="產"  ), OR(  K38 ="婚",K38="產"  ), $AP38 =""),"婚(產)假",  IF(  AND(  OR(  J38="x",J38="公"  ), OR(  K38 ="公"  ), $AP38 =""),"公假",  IF(  AND(  OR(  J38="x",J38="補",J38="婚",J38="公",J38="病",J38="事",J38="x榮18-22"  ),OR(K38=""), $AP38 =""  ),"18收",  IF(  AND(  OR(  J38 ="榮14-18",J38 ="榮10-18",J38 ="榮06-18",J38 ="病14-18"  ),OR(  K38 ="x",K38="補",K38="婚",K38="公",K38="病",K38="事",K38="x"  ), $AP38 =""),"18放早走",  IF(  AND(  OR(  J38 =""),OR(  K38 ="x",K38="補",K38="婚",K38="公",K38="病",K38="事",K38="x榮*",K38="榮",K38="榮-22"  ), $AP38 =""),"18放",  IF(  AND(  OR(  J38="當日退伍"  ),OR(  K38="退伍",K38="退", K38=""  ), $AP38 =""),"當日退伍",  IF(AND(  OR(J38="退",J38="退伍" ), OR(K38="退",K38="退伍" ), $AP38 =""),"退伍","全日勤"  )  )  )  )  )  )  )  )  )  )  ),"")</f>
        <v/>
      </c>
      <c r="K78" s="66" t="str">
        <f>IF(   (ROW(AW38)-1)&lt;=暫1!$B$2,           IF(  AND(  OR(  K38="x",K38="補"  ), OR(  L38 ="x",L38="補",L38="x榮18-22",L38="x公18-22",L38="x榮22-08"  ), $AP38 =""),"全日休",  IF(  AND(  OR(  K38="x",K38="病"  ), OR(  L38 ="病"  ), $AP38 =""),"病(事)假",  IF(  AND(  OR(  K38="x",K38="補"  ), OR(  L38 ="補"  ), $AP38 =""),"補休",  IF(  AND(  OR(  K38="x",K38="喪"  ), OR(  L38 ="喪"  ), $AP38 =""),"喪假",  IF(  AND(  OR(  K38="x",K38="婚",K38="產"  ), OR(  L38 ="婚",L38="產"  ), $AP38 =""),"婚(產)假",  IF(  AND(  OR(  K38="x",K38="公"  ), OR(  L38 ="公"  ), $AP38 =""),"公假",  IF(  AND(  OR(  K38="x",K38="補",K38="婚",K38="公",K38="病",K38="事",K38="x榮18-22"  ),OR(L38=""), $AP38 =""  ),"18收",  IF(  AND(  OR(  K38 ="榮14-18",K38 ="榮10-18",K38 ="榮06-18",K38 ="病14-18"  ),OR(  L38 ="x",L38="補",L38="婚",L38="公",L38="病",L38="事",L38="x"  ), $AP38 =""),"18放早走",  IF(  AND(  OR(  K38 =""),OR(  L38 ="x",L38="補",L38="婚",L38="公",L38="病",L38="事",L38="x榮*",L38="榮",L38="榮-22"  ), $AP38 =""),"18放",  IF(  AND(  OR(  K38="當日退伍"  ),OR(  L38="退伍",L38="退", L38=""  ), $AP38 =""),"當日退伍",  IF(AND(  OR(K38="退",K38="退伍" ), OR(L38="退",L38="退伍" ), $AP38 =""),"退伍","全日勤"  )  )  )  )  )  )  )  )  )  )  ),"")</f>
        <v/>
      </c>
      <c r="L78" s="66" t="str">
        <f>IF(   (ROW(AX38)-1)&lt;=暫1!$B$2,           IF(  AND(  OR(  L38="x",L38="補"  ), OR(  M38 ="x",M38="補",M38="x榮18-22",M38="x公18-22",M38="x榮22-08"  ), $AP38 =""),"全日休",  IF(  AND(  OR(  L38="x",L38="病"  ), OR(  M38 ="病"  ), $AP38 =""),"病(事)假",  IF(  AND(  OR(  L38="x",L38="補"  ), OR(  M38 ="補"  ), $AP38 =""),"補休",  IF(  AND(  OR(  L38="x",L38="喪"  ), OR(  M38 ="喪"  ), $AP38 =""),"喪假",  IF(  AND(  OR(  L38="x",L38="婚",L38="產"  ), OR(  M38 ="婚",M38="產"  ), $AP38 =""),"婚(產)假",  IF(  AND(  OR(  L38="x",L38="公"  ), OR(  M38 ="公"  ), $AP38 =""),"公假",  IF(  AND(  OR(  L38="x",L38="補",L38="婚",L38="公",L38="病",L38="事",L38="x榮18-22"  ),OR(M38=""), $AP38 =""  ),"18收",  IF(  AND(  OR(  L38 ="榮14-18",L38 ="榮10-18",L38 ="榮06-18",L38 ="病14-18"  ),OR(  M38 ="x",M38="補",M38="婚",M38="公",M38="病",M38="事",M38="x"  ), $AP38 =""),"18放早走",  IF(  AND(  OR(  L38 =""),OR(  M38 ="x",M38="補",M38="婚",M38="公",M38="病",M38="事",M38="x榮*",M38="榮",M38="榮-22"  ), $AP38 =""),"18放",  IF(  AND(  OR(  L38="當日退伍"  ),OR(  M38="退伍",M38="退", M38=""  ), $AP38 =""),"當日退伍",  IF(AND(  OR(L38="退",L38="退伍" ), OR(M38="退",M38="退伍" ), $AP38 =""),"退伍","全日勤"  )  )  )  )  )  )  )  )  )  )  ),"")</f>
        <v/>
      </c>
      <c r="M78" s="66" t="str">
        <f>IF(   (ROW(AY38)-1)&lt;=暫1!$B$2,           IF(  AND(  OR(  M38="x",M38="補"  ), OR(  N38 ="x",N38="補",N38="x榮18-22",N38="x公18-22",N38="x榮22-08"  ), $AP38 =""),"全日休",  IF(  AND(  OR(  M38="x",M38="病"  ), OR(  N38 ="病"  ), $AP38 =""),"病(事)假",  IF(  AND(  OR(  M38="x",M38="補"  ), OR(  N38 ="補"  ), $AP38 =""),"補休",  IF(  AND(  OR(  M38="x",M38="喪"  ), OR(  N38 ="喪"  ), $AP38 =""),"喪假",  IF(  AND(  OR(  M38="x",M38="婚",M38="產"  ), OR(  N38 ="婚",N38="產"  ), $AP38 =""),"婚(產)假",  IF(  AND(  OR(  M38="x",M38="公"  ), OR(  N38 ="公"  ), $AP38 =""),"公假",  IF(  AND(  OR(  M38="x",M38="補",M38="婚",M38="公",M38="病",M38="事",M38="x榮18-22"  ),OR(N38=""), $AP38 =""  ),"18收",  IF(  AND(  OR(  M38 ="榮14-18",M38 ="榮10-18",M38 ="榮06-18",M38 ="病14-18"  ),OR(  N38 ="x",N38="補",N38="婚",N38="公",N38="病",N38="事",N38="x"  ), $AP38 =""),"18放早走",  IF(  AND(  OR(  M38 =""),OR(  N38 ="x",N38="補",N38="婚",N38="公",N38="病",N38="事",N38="x榮*",N38="榮",N38="榮-22"  ), $AP38 =""),"18放",  IF(  AND(  OR(  M38="當日退伍"  ),OR(  N38="退伍",N38="退", N38=""  ), $AP38 =""),"當日退伍",  IF(AND(  OR(M38="退",M38="退伍" ), OR(N38="退",N38="退伍" ), $AP38 =""),"退伍","全日勤"  )  )  )  )  )  )  )  )  )  )  ),"")</f>
        <v/>
      </c>
      <c r="N78" s="66" t="str">
        <f>IF(   (ROW(AZ38)-1)&lt;=暫1!$B$2,           IF(  AND(  OR(  N38="x",N38="補"  ), OR(  O38 ="x",O38="補",O38="x榮18-22",O38="x公18-22",O38="x榮22-08"  ), $AP38 =""),"全日休",  IF(  AND(  OR(  N38="x",N38="病"  ), OR(  O38 ="病"  ), $AP38 =""),"病(事)假",  IF(  AND(  OR(  N38="x",N38="補"  ), OR(  O38 ="補"  ), $AP38 =""),"補休",  IF(  AND(  OR(  N38="x",N38="喪"  ), OR(  O38 ="喪"  ), $AP38 =""),"喪假",  IF(  AND(  OR(  N38="x",N38="婚",N38="產"  ), OR(  O38 ="婚",O38="產"  ), $AP38 =""),"婚(產)假",  IF(  AND(  OR(  N38="x",N38="公"  ), OR(  O38 ="公"  ), $AP38 =""),"公假",  IF(  AND(  OR(  N38="x",N38="補",N38="婚",N38="公",N38="病",N38="事",N38="x榮18-22"  ),OR(O38=""), $AP38 =""  ),"18收",  IF(  AND(  OR(  N38 ="榮14-18",N38 ="榮10-18",N38 ="榮06-18",N38 ="病14-18"  ),OR(  O38 ="x",O38="補",O38="婚",O38="公",O38="病",O38="事",O38="x"  ), $AP38 =""),"18放早走",  IF(  AND(  OR(  N38 =""),OR(  O38 ="x",O38="補",O38="婚",O38="公",O38="病",O38="事",O38="x榮*",O38="榮",O38="榮-22"  ), $AP38 =""),"18放",  IF(  AND(  OR(  N38="當日退伍"  ),OR(  O38="退伍",O38="退", O38=""  ), $AP38 =""),"當日退伍",  IF(AND(  OR(N38="退",N38="退伍" ), OR(O38="退",O38="退伍" ), $AP38 =""),"退伍","全日勤"  )  )  )  )  )  )  )  )  )  )  ),"")</f>
        <v/>
      </c>
      <c r="O78" s="66" t="str">
        <f>IF(   (ROW(BA38)-1)&lt;=暫1!$B$2,           IF(  AND(  OR(  O38="x",O38="補"  ), OR(  P38 ="x",P38="補",P38="x榮18-22",P38="x公18-22",P38="x榮22-08"  ), $AP38 =""),"全日休",  IF(  AND(  OR(  O38="x",O38="病"  ), OR(  P38 ="病"  ), $AP38 =""),"病(事)假",  IF(  AND(  OR(  O38="x",O38="補"  ), OR(  P38 ="補"  ), $AP38 =""),"補休",  IF(  AND(  OR(  O38="x",O38="喪"  ), OR(  P38 ="喪"  ), $AP38 =""),"喪假",  IF(  AND(  OR(  O38="x",O38="婚",O38="產"  ), OR(  P38 ="婚",P38="產"  ), $AP38 =""),"婚(產)假",  IF(  AND(  OR(  O38="x",O38="公"  ), OR(  P38 ="公"  ), $AP38 =""),"公假",  IF(  AND(  OR(  O38="x",O38="補",O38="婚",O38="公",O38="病",O38="事",O38="x榮18-22"  ),OR(P38=""), $AP38 =""  ),"18收",  IF(  AND(  OR(  O38 ="榮14-18",O38 ="榮10-18",O38 ="榮06-18",O38 ="病14-18"  ),OR(  P38 ="x",P38="補",P38="婚",P38="公",P38="病",P38="事",P38="x"  ), $AP38 =""),"18放早走",  IF(  AND(  OR(  O38 =""),OR(  P38 ="x",P38="補",P38="婚",P38="公",P38="病",P38="事",P38="x榮*",P38="榮",P38="榮-22"  ), $AP38 =""),"18放",  IF(  AND(  OR(  O38="當日退伍"  ),OR(  P38="退伍",P38="退", P38=""  ), $AP38 =""),"當日退伍",  IF(AND(  OR(O38="退",O38="退伍" ), OR(P38="退",P38="退伍" ), $AP38 =""),"退伍","全日勤"  )  )  )  )  )  )  )  )  )  )  ),"")</f>
        <v/>
      </c>
      <c r="P78" s="66" t="str">
        <f>IF(   (ROW(BB38)-1)&lt;=暫1!$B$2,           IF(  AND(  OR(  P38="x",P38="補"  ), OR(  Q38 ="x",Q38="補",Q38="x榮18-22",Q38="x公18-22",Q38="x榮22-08"  ), $AP38 =""),"全日休",  IF(  AND(  OR(  P38="x",P38="病"  ), OR(  Q38 ="病"  ), $AP38 =""),"病(事)假",  IF(  AND(  OR(  P38="x",P38="補"  ), OR(  Q38 ="補"  ), $AP38 =""),"補休",  IF(  AND(  OR(  P38="x",P38="喪"  ), OR(  Q38 ="喪"  ), $AP38 =""),"喪假",  IF(  AND(  OR(  P38="x",P38="婚",P38="產"  ), OR(  Q38 ="婚",Q38="產"  ), $AP38 =""),"婚(產)假",  IF(  AND(  OR(  P38="x",P38="公"  ), OR(  Q38 ="公"  ), $AP38 =""),"公假",  IF(  AND(  OR(  P38="x",P38="補",P38="婚",P38="公",P38="病",P38="事",P38="x榮18-22"  ),OR(Q38=""), $AP38 =""  ),"18收",  IF(  AND(  OR(  P38 ="榮14-18",P38 ="榮10-18",P38 ="榮06-18",P38 ="病14-18"  ),OR(  Q38 ="x",Q38="補",Q38="婚",Q38="公",Q38="病",Q38="事",Q38="x"  ), $AP38 =""),"18放早走",  IF(  AND(  OR(  P38 =""),OR(  Q38 ="x",Q38="補",Q38="婚",Q38="公",Q38="病",Q38="事",Q38="x榮*",Q38="榮",Q38="榮-22"  ), $AP38 =""),"18放",  IF(  AND(  OR(  P38="當日退伍"  ),OR(  Q38="退伍",Q38="退", Q38=""  ), $AP38 =""),"當日退伍",  IF(AND(  OR(P38="退",P38="退伍" ), OR(Q38="退",Q38="退伍" ), $AP38 =""),"退伍","全日勤"  )  )  )  )  )  )  )  )  )  )  ),"")</f>
        <v/>
      </c>
      <c r="Q78" s="66" t="str">
        <f>IF(   (ROW(BC38)-1)&lt;=暫1!$B$2,           IF(  AND(  OR(  Q38="x",Q38="補"  ), OR(  R38 ="x",R38="補",R38="x榮18-22",R38="x公18-22",R38="x榮22-08"  ), $AP38 =""),"全日休",  IF(  AND(  OR(  Q38="x",Q38="病"  ), OR(  R38 ="病"  ), $AP38 =""),"病(事)假",  IF(  AND(  OR(  Q38="x",Q38="補"  ), OR(  R38 ="補"  ), $AP38 =""),"補休",  IF(  AND(  OR(  Q38="x",Q38="喪"  ), OR(  R38 ="喪"  ), $AP38 =""),"喪假",  IF(  AND(  OR(  Q38="x",Q38="婚",Q38="產"  ), OR(  R38 ="婚",R38="產"  ), $AP38 =""),"婚(產)假",  IF(  AND(  OR(  Q38="x",Q38="公"  ), OR(  R38 ="公"  ), $AP38 =""),"公假",  IF(  AND(  OR(  Q38="x",Q38="補",Q38="婚",Q38="公",Q38="病",Q38="事",Q38="x榮18-22"  ),OR(R38=""), $AP38 =""  ),"18收",  IF(  AND(  OR(  Q38 ="榮14-18",Q38 ="榮10-18",Q38 ="榮06-18",Q38 ="病14-18"  ),OR(  R38 ="x",R38="補",R38="婚",R38="公",R38="病",R38="事",R38="x"  ), $AP38 =""),"18放早走",  IF(  AND(  OR(  Q38 =""),OR(  R38 ="x",R38="補",R38="婚",R38="公",R38="病",R38="事",R38="x榮*",R38="榮",R38="榮-22"  ), $AP38 =""),"18放",  IF(  AND(  OR(  Q38="當日退伍"  ),OR(  R38="退伍",R38="退", R38=""  ), $AP38 =""),"當日退伍",  IF(AND(  OR(Q38="退",Q38="退伍" ), OR(R38="退",R38="退伍" ), $AP38 =""),"退伍","全日勤"  )  )  )  )  )  )  )  )  )  )  ),"")</f>
        <v/>
      </c>
      <c r="R78" s="66" t="str">
        <f>IF(   (ROW(BD38)-1)&lt;=暫1!$B$2,           IF(  AND(  OR(  R38="x",R38="補"  ), OR(  S38 ="x",S38="補",S38="x榮18-22",S38="x公18-22",S38="x榮22-08"  ), $AP38 =""),"全日休",  IF(  AND(  OR(  R38="x",R38="病"  ), OR(  S38 ="病"  ), $AP38 =""),"病(事)假",  IF(  AND(  OR(  R38="x",R38="補"  ), OR(  S38 ="補"  ), $AP38 =""),"補休",  IF(  AND(  OR(  R38="x",R38="喪"  ), OR(  S38 ="喪"  ), $AP38 =""),"喪假",  IF(  AND(  OR(  R38="x",R38="婚",R38="產"  ), OR(  S38 ="婚",S38="產"  ), $AP38 =""),"婚(產)假",  IF(  AND(  OR(  R38="x",R38="公"  ), OR(  S38 ="公"  ), $AP38 =""),"公假",  IF(  AND(  OR(  R38="x",R38="補",R38="婚",R38="公",R38="病",R38="事",R38="x榮18-22"  ),OR(S38=""), $AP38 =""  ),"18收",  IF(  AND(  OR(  R38 ="榮14-18",R38 ="榮10-18",R38 ="榮06-18",R38 ="病14-18"  ),OR(  S38 ="x",S38="補",S38="婚",S38="公",S38="病",S38="事",S38="x"  ), $AP38 =""),"18放早走",  IF(  AND(  OR(  R38 =""),OR(  S38 ="x",S38="補",S38="婚",S38="公",S38="病",S38="事",S38="x榮*",S38="榮",S38="榮-22"  ), $AP38 =""),"18放",  IF(  AND(  OR(  R38="當日退伍"  ),OR(  S38="退伍",S38="退", S38=""  ), $AP38 =""),"當日退伍",  IF(AND(  OR(R38="退",R38="退伍" ), OR(S38="退",S38="退伍" ), $AP38 =""),"退伍","全日勤"  )  )  )  )  )  )  )  )  )  )  ),"")</f>
        <v/>
      </c>
      <c r="S78" s="66" t="str">
        <f>IF(   (ROW(BE38)-1)&lt;=暫1!$B$2,           IF(  AND(  OR(  S38="x",S38="補"  ), OR(  T38 ="x",T38="補",T38="x榮18-22",T38="x公18-22",T38="x榮22-08"  ), $AP38 =""),"全日休",  IF(  AND(  OR(  S38="x",S38="病"  ), OR(  T38 ="病"  ), $AP38 =""),"病(事)假",  IF(  AND(  OR(  S38="x",S38="補"  ), OR(  T38 ="補"  ), $AP38 =""),"補休",  IF(  AND(  OR(  S38="x",S38="喪"  ), OR(  T38 ="喪"  ), $AP38 =""),"喪假",  IF(  AND(  OR(  S38="x",S38="婚",S38="產"  ), OR(  T38 ="婚",T38="產"  ), $AP38 =""),"婚(產)假",  IF(  AND(  OR(  S38="x",S38="公"  ), OR(  T38 ="公"  ), $AP38 =""),"公假",  IF(  AND(  OR(  S38="x",S38="補",S38="婚",S38="公",S38="病",S38="事",S38="x榮18-22"  ),OR(T38=""), $AP38 =""  ),"18收",  IF(  AND(  OR(  S38 ="榮14-18",S38 ="榮10-18",S38 ="榮06-18",S38 ="病14-18"  ),OR(  T38 ="x",T38="補",T38="婚",T38="公",T38="病",T38="事",T38="x"  ), $AP38 =""),"18放早走",  IF(  AND(  OR(  S38 =""),OR(  T38 ="x",T38="補",T38="婚",T38="公",T38="病",T38="事",T38="x榮*",T38="榮",T38="榮-22"  ), $AP38 =""),"18放",  IF(  AND(  OR(  S38="當日退伍"  ),OR(  T38="退伍",T38="退", T38=""  ), $AP38 =""),"當日退伍",  IF(AND(  OR(S38="退",S38="退伍" ), OR(T38="退",T38="退伍" ), $AP38 =""),"退伍","全日勤"  )  )  )  )  )  )  )  )  )  )  ),"")</f>
        <v/>
      </c>
      <c r="T78" s="66" t="str">
        <f>IF(   (ROW(BF38)-1)&lt;=暫1!$B$2,           IF(  AND(  OR(  T38="x",T38="補"  ), OR(  U38 ="x",U38="補",U38="x榮18-22",U38="x公18-22",U38="x榮22-08"  ), $AP38 =""),"全日休",  IF(  AND(  OR(  T38="x",T38="病"  ), OR(  U38 ="病"  ), $AP38 =""),"病(事)假",  IF(  AND(  OR(  T38="x",T38="補"  ), OR(  U38 ="補"  ), $AP38 =""),"補休",  IF(  AND(  OR(  T38="x",T38="喪"  ), OR(  U38 ="喪"  ), $AP38 =""),"喪假",  IF(  AND(  OR(  T38="x",T38="婚",T38="產"  ), OR(  U38 ="婚",U38="產"  ), $AP38 =""),"婚(產)假",  IF(  AND(  OR(  T38="x",T38="公"  ), OR(  U38 ="公"  ), $AP38 =""),"公假",  IF(  AND(  OR(  T38="x",T38="補",T38="婚",T38="公",T38="病",T38="事",T38="x榮18-22"  ),OR(U38=""), $AP38 =""  ),"18收",  IF(  AND(  OR(  T38 ="榮14-18",T38 ="榮10-18",T38 ="榮06-18",T38 ="病14-18"  ),OR(  U38 ="x",U38="補",U38="婚",U38="公",U38="病",U38="事",U38="x"  ), $AP38 =""),"18放早走",  IF(  AND(  OR(  T38 =""),OR(  U38 ="x",U38="補",U38="婚",U38="公",U38="病",U38="事",U38="x榮*",U38="榮",U38="榮-22"  ), $AP38 =""),"18放",  IF(  AND(  OR(  T38="當日退伍"  ),OR(  U38="退伍",U38="退", U38=""  ), $AP38 =""),"當日退伍",  IF(AND(  OR(T38="退",T38="退伍" ), OR(U38="退",U38="退伍" ), $AP38 =""),"退伍","全日勤"  )  )  )  )  )  )  )  )  )  )  ),"")</f>
        <v/>
      </c>
      <c r="U78" s="66" t="str">
        <f>IF(   (ROW(BG38)-1)&lt;=暫1!$B$2,           IF(  AND(  OR(  U38="x",U38="補"  ), OR(  V38 ="x",V38="補",V38="x榮18-22",V38="x公18-22",V38="x榮22-08"  ), $AP38 =""),"全日休",  IF(  AND(  OR(  U38="x",U38="病"  ), OR(  V38 ="病"  ), $AP38 =""),"病(事)假",  IF(  AND(  OR(  U38="x",U38="補"  ), OR(  V38 ="補"  ), $AP38 =""),"補休",  IF(  AND(  OR(  U38="x",U38="喪"  ), OR(  V38 ="喪"  ), $AP38 =""),"喪假",  IF(  AND(  OR(  U38="x",U38="婚",U38="產"  ), OR(  V38 ="婚",V38="產"  ), $AP38 =""),"婚(產)假",  IF(  AND(  OR(  U38="x",U38="公"  ), OR(  V38 ="公"  ), $AP38 =""),"公假",  IF(  AND(  OR(  U38="x",U38="補",U38="婚",U38="公",U38="病",U38="事",U38="x榮18-22"  ),OR(V38=""), $AP38 =""  ),"18收",  IF(  AND(  OR(  U38 ="榮14-18",U38 ="榮10-18",U38 ="榮06-18",U38 ="病14-18"  ),OR(  V38 ="x",V38="補",V38="婚",V38="公",V38="病",V38="事",V38="x"  ), $AP38 =""),"18放早走",  IF(  AND(  OR(  U38 =""),OR(  V38 ="x",V38="補",V38="婚",V38="公",V38="病",V38="事",V38="x榮*",V38="榮",V38="榮-22"  ), $AP38 =""),"18放",  IF(  AND(  OR(  U38="當日退伍"  ),OR(  V38="退伍",V38="退", V38=""  ), $AP38 =""),"當日退伍",  IF(AND(  OR(U38="退",U38="退伍" ), OR(V38="退",V38="退伍" ), $AP38 =""),"退伍","全日勤"  )  )  )  )  )  )  )  )  )  )  ),"")</f>
        <v/>
      </c>
      <c r="V78" s="66" t="str">
        <f>IF(   (ROW(BH38)-1)&lt;=暫1!$B$2,           IF(  AND(  OR(  V38="x",V38="補"  ), OR(  W38 ="x",W38="補",W38="x榮18-22",W38="x公18-22",W38="x榮22-08"  ), $AP38 =""),"全日休",  IF(  AND(  OR(  V38="x",V38="病"  ), OR(  W38 ="病"  ), $AP38 =""),"病(事)假",  IF(  AND(  OR(  V38="x",V38="補"  ), OR(  W38 ="補"  ), $AP38 =""),"補休",  IF(  AND(  OR(  V38="x",V38="喪"  ), OR(  W38 ="喪"  ), $AP38 =""),"喪假",  IF(  AND(  OR(  V38="x",V38="婚",V38="產"  ), OR(  W38 ="婚",W38="產"  ), $AP38 =""),"婚(產)假",  IF(  AND(  OR(  V38="x",V38="公"  ), OR(  W38 ="公"  ), $AP38 =""),"公假",  IF(  AND(  OR(  V38="x",V38="補",V38="婚",V38="公",V38="病",V38="事",V38="x榮18-22"  ),OR(W38=""), $AP38 =""  ),"18收",  IF(  AND(  OR(  V38 ="榮14-18",V38 ="榮10-18",V38 ="榮06-18",V38 ="病14-18"  ),OR(  W38 ="x",W38="補",W38="婚",W38="公",W38="病",W38="事",W38="x"  ), $AP38 =""),"18放早走",  IF(  AND(  OR(  V38 =""),OR(  W38 ="x",W38="補",W38="婚",W38="公",W38="病",W38="事",W38="x榮*",W38="榮",W38="榮-22"  ), $AP38 =""),"18放",  IF(  AND(  OR(  V38="當日退伍"  ),OR(  W38="退伍",W38="退", W38=""  ), $AP38 =""),"當日退伍",  IF(AND(  OR(V38="退",V38="退伍" ), OR(W38="退",W38="退伍" ), $AP38 =""),"退伍","全日勤"  )  )  )  )  )  )  )  )  )  )  ),"")</f>
        <v/>
      </c>
      <c r="W78" s="66" t="str">
        <f>IF(   (ROW(BI38)-1)&lt;=暫1!$B$2,           IF(  AND(  OR(  W38="x",W38="補"  ), OR(  X38 ="x",X38="補",X38="x榮18-22",X38="x公18-22",X38="x榮22-08"  ), $AP38 =""),"全日休",  IF(  AND(  OR(  W38="x",W38="病"  ), OR(  X38 ="病"  ), $AP38 =""),"病(事)假",  IF(  AND(  OR(  W38="x",W38="補"  ), OR(  X38 ="補"  ), $AP38 =""),"補休",  IF(  AND(  OR(  W38="x",W38="喪"  ), OR(  X38 ="喪"  ), $AP38 =""),"喪假",  IF(  AND(  OR(  W38="x",W38="婚",W38="產"  ), OR(  X38 ="婚",X38="產"  ), $AP38 =""),"婚(產)假",  IF(  AND(  OR(  W38="x",W38="公"  ), OR(  X38 ="公"  ), $AP38 =""),"公假",  IF(  AND(  OR(  W38="x",W38="補",W38="婚",W38="公",W38="病",W38="事",W38="x榮18-22"  ),OR(X38=""), $AP38 =""  ),"18收",  IF(  AND(  OR(  W38 ="榮14-18",W38 ="榮10-18",W38 ="榮06-18",W38 ="病14-18"  ),OR(  X38 ="x",X38="補",X38="婚",X38="公",X38="病",X38="事",X38="x"  ), $AP38 =""),"18放早走",  IF(  AND(  OR(  W38 =""),OR(  X38 ="x",X38="補",X38="婚",X38="公",X38="病",X38="事",X38="x榮*",X38="榮",X38="榮-22"  ), $AP38 =""),"18放",  IF(  AND(  OR(  W38="當日退伍"  ),OR(  X38="退伍",X38="退", X38=""  ), $AP38 =""),"當日退伍",  IF(AND(  OR(W38="退",W38="退伍" ), OR(X38="退",X38="退伍" ), $AP38 =""),"退伍","全日勤"  )  )  )  )  )  )  )  )  )  )  ),"")</f>
        <v/>
      </c>
      <c r="X78" s="66" t="str">
        <f>IF(   (ROW(BJ38)-1)&lt;=暫1!$B$2,           IF(  AND(  OR(  X38="x",X38="補"  ), OR(  Y38 ="x",Y38="補",Y38="x榮18-22",Y38="x公18-22",Y38="x榮22-08"  ), $AP38 =""),"全日休",  IF(  AND(  OR(  X38="x",X38="病"  ), OR(  Y38 ="病"  ), $AP38 =""),"病(事)假",  IF(  AND(  OR(  X38="x",X38="補"  ), OR(  Y38 ="補"  ), $AP38 =""),"補休",  IF(  AND(  OR(  X38="x",X38="喪"  ), OR(  Y38 ="喪"  ), $AP38 =""),"喪假",  IF(  AND(  OR(  X38="x",X38="婚",X38="產"  ), OR(  Y38 ="婚",Y38="產"  ), $AP38 =""),"婚(產)假",  IF(  AND(  OR(  X38="x",X38="公"  ), OR(  Y38 ="公"  ), $AP38 =""),"公假",  IF(  AND(  OR(  X38="x",X38="補",X38="婚",X38="公",X38="病",X38="事",X38="x榮18-22"  ),OR(Y38=""), $AP38 =""  ),"18收",  IF(  AND(  OR(  X38 ="榮14-18",X38 ="榮10-18",X38 ="榮06-18",X38 ="病14-18"  ),OR(  Y38 ="x",Y38="補",Y38="婚",Y38="公",Y38="病",Y38="事",Y38="x"  ), $AP38 =""),"18放早走",  IF(  AND(  OR(  X38 =""),OR(  Y38 ="x",Y38="補",Y38="婚",Y38="公",Y38="病",Y38="事",Y38="x榮*",Y38="榮",Y38="榮-22"  ), $AP38 =""),"18放",  IF(  AND(  OR(  X38="當日退伍"  ),OR(  Y38="退伍",Y38="退", Y38=""  ), $AP38 =""),"當日退伍",  IF(AND(  OR(X38="退",X38="退伍" ), OR(Y38="退",Y38="退伍" ), $AP38 =""),"退伍","全日勤"  )  )  )  )  )  )  )  )  )  )  ),"")</f>
        <v/>
      </c>
      <c r="Y78" s="66" t="str">
        <f>IF(   (ROW(BK38)-1)&lt;=暫1!$B$2,           IF(  AND(  OR(  Y38="x",Y38="補"  ), OR(  Z38 ="x",Z38="補",Z38="x榮18-22",Z38="x公18-22",Z38="x榮22-08"  ), $AP38 =""),"全日休",  IF(  AND(  OR(  Y38="x",Y38="病"  ), OR(  Z38 ="病"  ), $AP38 =""),"病(事)假",  IF(  AND(  OR(  Y38="x",Y38="補"  ), OR(  Z38 ="補"  ), $AP38 =""),"補休",  IF(  AND(  OR(  Y38="x",Y38="喪"  ), OR(  Z38 ="喪"  ), $AP38 =""),"喪假",  IF(  AND(  OR(  Y38="x",Y38="婚",Y38="產"  ), OR(  Z38 ="婚",Z38="產"  ), $AP38 =""),"婚(產)假",  IF(  AND(  OR(  Y38="x",Y38="公"  ), OR(  Z38 ="公"  ), $AP38 =""),"公假",  IF(  AND(  OR(  Y38="x",Y38="補",Y38="婚",Y38="公",Y38="病",Y38="事",Y38="x榮18-22"  ),OR(Z38=""), $AP38 =""  ),"18收",  IF(  AND(  OR(  Y38 ="榮14-18",Y38 ="榮10-18",Y38 ="榮06-18",Y38 ="病14-18"  ),OR(  Z38 ="x",Z38="補",Z38="婚",Z38="公",Z38="病",Z38="事",Z38="x"  ), $AP38 =""),"18放早走",  IF(  AND(  OR(  Y38 =""),OR(  Z38 ="x",Z38="補",Z38="婚",Z38="公",Z38="病",Z38="事",Z38="x榮*",Z38="榮",Z38="榮-22"  ), $AP38 =""),"18放",  IF(  AND(  OR(  Y38="當日退伍"  ),OR(  Z38="退伍",Z38="退", Z38=""  ), $AP38 =""),"當日退伍",  IF(AND(  OR(Y38="退",Y38="退伍" ), OR(Z38="退",Z38="退伍" ), $AP38 =""),"退伍","全日勤"  )  )  )  )  )  )  )  )  )  )  ),"")</f>
        <v/>
      </c>
      <c r="Z78" s="66" t="str">
        <f>IF(   (ROW(BL38)-1)&lt;=暫1!$B$2,           IF(  AND(  OR(  Z38="x",Z38="補"  ), OR(  AA38 ="x",AA38="補",AA38="x榮18-22",AA38="x公18-22",AA38="x榮22-08"  ), $AP38 =""),"全日休",  IF(  AND(  OR(  Z38="x",Z38="病"  ), OR(  AA38 ="病"  ), $AP38 =""),"病(事)假",  IF(  AND(  OR(  Z38="x",Z38="補"  ), OR(  AA38 ="補"  ), $AP38 =""),"補休",  IF(  AND(  OR(  Z38="x",Z38="喪"  ), OR(  AA38 ="喪"  ), $AP38 =""),"喪假",  IF(  AND(  OR(  Z38="x",Z38="婚",Z38="產"  ), OR(  AA38 ="婚",AA38="產"  ), $AP38 =""),"婚(產)假",  IF(  AND(  OR(  Z38="x",Z38="公"  ), OR(  AA38 ="公"  ), $AP38 =""),"公假",  IF(  AND(  OR(  Z38="x",Z38="補",Z38="婚",Z38="公",Z38="病",Z38="事",Z38="x榮18-22"  ),OR(AA38=""), $AP38 =""  ),"18收",  IF(  AND(  OR(  Z38 ="榮14-18",Z38 ="榮10-18",Z38 ="榮06-18",Z38 ="病14-18"  ),OR(  AA38 ="x",AA38="補",AA38="婚",AA38="公",AA38="病",AA38="事",AA38="x"  ), $AP38 =""),"18放早走",  IF(  AND(  OR(  Z38 =""),OR(  AA38 ="x",AA38="補",AA38="婚",AA38="公",AA38="病",AA38="事",AA38="x榮*",AA38="榮",AA38="榮-22"  ), $AP38 =""),"18放",  IF(  AND(  OR(  Z38="當日退伍"  ),OR(  AA38="退伍",AA38="退", AA38=""  ), $AP38 =""),"當日退伍",  IF(AND(  OR(Z38="退",Z38="退伍" ), OR(AA38="退",AA38="退伍" ), $AP38 =""),"退伍","全日勤"  )  )  )  )  )  )  )  )  )  )  ),"")</f>
        <v/>
      </c>
      <c r="AA78" s="66" t="str">
        <f>IF(   (ROW(BM38)-1)&lt;=暫1!$B$2,           IF(  AND(  OR(  AA38="x",AA38="補"  ), OR(  AB38 ="x",AB38="補",AB38="x榮18-22",AB38="x公18-22",AB38="x榮22-08"  ), $AP38 =""),"全日休",  IF(  AND(  OR(  AA38="x",AA38="病"  ), OR(  AB38 ="病"  ), $AP38 =""),"病(事)假",  IF(  AND(  OR(  AA38="x",AA38="補"  ), OR(  AB38 ="補"  ), $AP38 =""),"補休",  IF(  AND(  OR(  AA38="x",AA38="喪"  ), OR(  AB38 ="喪"  ), $AP38 =""),"喪假",  IF(  AND(  OR(  AA38="x",AA38="婚",AA38="產"  ), OR(  AB38 ="婚",AB38="產"  ), $AP38 =""),"婚(產)假",  IF(  AND(  OR(  AA38="x",AA38="公"  ), OR(  AB38 ="公"  ), $AP38 =""),"公假",  IF(  AND(  OR(  AA38="x",AA38="補",AA38="婚",AA38="公",AA38="病",AA38="事",AA38="x榮18-22"  ),OR(AB38=""), $AP38 =""  ),"18收",  IF(  AND(  OR(  AA38 ="榮14-18",AA38 ="榮10-18",AA38 ="榮06-18",AA38 ="病14-18"  ),OR(  AB38 ="x",AB38="補",AB38="婚",AB38="公",AB38="病",AB38="事",AB38="x"  ), $AP38 =""),"18放早走",  IF(  AND(  OR(  AA38 =""),OR(  AB38 ="x",AB38="補",AB38="婚",AB38="公",AB38="病",AB38="事",AB38="x榮*",AB38="榮",AB38="榮-22"  ), $AP38 =""),"18放",  IF(  AND(  OR(  AA38="當日退伍"  ),OR(  AB38="退伍",AB38="退", AB38=""  ), $AP38 =""),"當日退伍",  IF(AND(  OR(AA38="退",AA38="退伍" ), OR(AB38="退",AB38="退伍" ), $AP38 =""),"退伍","全日勤"  )  )  )  )  )  )  )  )  )  )  ),"")</f>
        <v/>
      </c>
      <c r="AB78" s="66" t="str">
        <f>IF(   (ROW(BN38)-1)&lt;=暫1!$B$2,           IF(  AND(  OR(  AB38="x",AB38="補"  ), OR(  AC38 ="x",AC38="補",AC38="x榮18-22",AC38="x公18-22",AC38="x榮22-08"  ), $AP38 =""),"全日休",  IF(  AND(  OR(  AB38="x",AB38="病"  ), OR(  AC38 ="病"  ), $AP38 =""),"病(事)假",  IF(  AND(  OR(  AB38="x",AB38="補"  ), OR(  AC38 ="補"  ), $AP38 =""),"補休",  IF(  AND(  OR(  AB38="x",AB38="喪"  ), OR(  AC38 ="喪"  ), $AP38 =""),"喪假",  IF(  AND(  OR(  AB38="x",AB38="婚",AB38="產"  ), OR(  AC38 ="婚",AC38="產"  ), $AP38 =""),"婚(產)假",  IF(  AND(  OR(  AB38="x",AB38="公"  ), OR(  AC38 ="公"  ), $AP38 =""),"公假",  IF(  AND(  OR(  AB38="x",AB38="補",AB38="婚",AB38="公",AB38="病",AB38="事",AB38="x榮18-22"  ),OR(AC38=""), $AP38 =""  ),"18收",  IF(  AND(  OR(  AB38 ="榮14-18",AB38 ="榮10-18",AB38 ="榮06-18",AB38 ="病14-18"  ),OR(  AC38 ="x",AC38="補",AC38="婚",AC38="公",AC38="病",AC38="事",AC38="x"  ), $AP38 =""),"18放早走",  IF(  AND(  OR(  AB38 =""),OR(  AC38 ="x",AC38="補",AC38="婚",AC38="公",AC38="病",AC38="事",AC38="x榮*",AC38="榮",AC38="榮-22"  ), $AP38 =""),"18放",  IF(  AND(  OR(  AB38="當日退伍"  ),OR(  AC38="退伍",AC38="退", AC38=""  ), $AP38 =""),"當日退伍",  IF(AND(  OR(AB38="退",AB38="退伍" ), OR(AC38="退",AC38="退伍" ), $AP38 =""),"退伍","全日勤"  )  )  )  )  )  )  )  )  )  )  ),"")</f>
        <v/>
      </c>
      <c r="AC78" s="66" t="str">
        <f>IF(   (ROW(BO38)-1)&lt;=暫1!$B$2,           IF(  AND(  OR(  AC38="x",AC38="補"  ), OR(  AD38 ="x",AD38="補",AD38="x榮18-22",AD38="x公18-22",AD38="x榮22-08"  ), $AP38 =""),"全日休",  IF(  AND(  OR(  AC38="x",AC38="病"  ), OR(  AD38 ="病"  ), $AP38 =""),"病(事)假",  IF(  AND(  OR(  AC38="x",AC38="補"  ), OR(  AD38 ="補"  ), $AP38 =""),"補休",  IF(  AND(  OR(  AC38="x",AC38="喪"  ), OR(  AD38 ="喪"  ), $AP38 =""),"喪假",  IF(  AND(  OR(  AC38="x",AC38="婚",AC38="產"  ), OR(  AD38 ="婚",AD38="產"  ), $AP38 =""),"婚(產)假",  IF(  AND(  OR(  AC38="x",AC38="公"  ), OR(  AD38 ="公"  ), $AP38 =""),"公假",  IF(  AND(  OR(  AC38="x",AC38="補",AC38="婚",AC38="公",AC38="病",AC38="事",AC38="x榮18-22"  ),OR(AD38=""), $AP38 =""  ),"18收",  IF(  AND(  OR(  AC38 ="榮14-18",AC38 ="榮10-18",AC38 ="榮06-18",AC38 ="病14-18"  ),OR(  AD38 ="x",AD38="補",AD38="婚",AD38="公",AD38="病",AD38="事",AD38="x"  ), $AP38 =""),"18放早走",  IF(  AND(  OR(  AC38 =""),OR(  AD38 ="x",AD38="補",AD38="婚",AD38="公",AD38="病",AD38="事",AD38="x榮*",AD38="榮",AD38="榮-22"  ), $AP38 =""),"18放",  IF(  AND(  OR(  AC38="當日退伍"  ),OR(  AD38="退伍",AD38="退", AD38=""  ), $AP38 =""),"當日退伍",  IF(AND(  OR(AC38="退",AC38="退伍" ), OR(AD38="退",AD38="退伍" ), $AP38 =""),"退伍","全日勤"  )  )  )  )  )  )  )  )  )  )  ),"")</f>
        <v/>
      </c>
      <c r="AD78" s="66" t="str">
        <f>IF(   (ROW(BP38)-1)&lt;=暫1!$B$2,           IF(  AND(  OR(  AD38="x",AD38="補"  ), OR(  AE38 ="x",AE38="補",AE38="x榮18-22",AE38="x公18-22",AE38="x榮22-08"  ), $AP38 =""),"全日休",  IF(  AND(  OR(  AD38="x",AD38="病"  ), OR(  AE38 ="病"  ), $AP38 =""),"病(事)假",  IF(  AND(  OR(  AD38="x",AD38="補"  ), OR(  AE38 ="補"  ), $AP38 =""),"補休",  IF(  AND(  OR(  AD38="x",AD38="喪"  ), OR(  AE38 ="喪"  ), $AP38 =""),"喪假",  IF(  AND(  OR(  AD38="x",AD38="婚",AD38="產"  ), OR(  AE38 ="婚",AE38="產"  ), $AP38 =""),"婚(產)假",  IF(  AND(  OR(  AD38="x",AD38="公"  ), OR(  AE38 ="公"  ), $AP38 =""),"公假",  IF(  AND(  OR(  AD38="x",AD38="補",AD38="婚",AD38="公",AD38="病",AD38="事",AD38="x榮18-22"  ),OR(AE38=""), $AP38 =""  ),"18收",  IF(  AND(  OR(  AD38 ="榮14-18",AD38 ="榮10-18",AD38 ="榮06-18",AD38 ="病14-18"  ),OR(  AE38 ="x",AE38="補",AE38="婚",AE38="公",AE38="病",AE38="事",AE38="x"  ), $AP38 =""),"18放早走",  IF(  AND(  OR(  AD38 =""),OR(  AE38 ="x",AE38="補",AE38="婚",AE38="公",AE38="病",AE38="事",AE38="x榮*",AE38="榮",AE38="榮-22"  ), $AP38 =""),"18放",  IF(  AND(  OR(  AD38="當日退伍"  ),OR(  AE38="退伍",AE38="退", AE38=""  ), $AP38 =""),"當日退伍",  IF(AND(  OR(AD38="退",AD38="退伍" ), OR(AE38="退",AE38="退伍" ), $AP38 =""),"退伍","全日勤"  )  )  )  )  )  )  )  )  )  )  ),"")</f>
        <v/>
      </c>
      <c r="AE78" s="66" t="str">
        <f>IF(   (ROW(BQ38)-1)&lt;=暫1!$B$2,           IF(  AND(  OR(  AE38="x",AE38="補"  ), OR(  AF38 ="x",AF38="補",AF38="x榮18-22",AF38="x公18-22",AF38="x榮22-08"  ), $AP38 =""),"全日休",  IF(  AND(  OR(  AE38="x",AE38="病"  ), OR(  AF38 ="病"  ), $AP38 =""),"病(事)假",  IF(  AND(  OR(  AE38="x",AE38="補"  ), OR(  AF38 ="補"  ), $AP38 =""),"補休",  IF(  AND(  OR(  AE38="x",AE38="喪"  ), OR(  AF38 ="喪"  ), $AP38 =""),"喪假",  IF(  AND(  OR(  AE38="x",AE38="婚",AE38="產"  ), OR(  AF38 ="婚",AF38="產"  ), $AP38 =""),"婚(產)假",  IF(  AND(  OR(  AE38="x",AE38="公"  ), OR(  AF38 ="公"  ), $AP38 =""),"公假",  IF(  AND(  OR(  AE38="x",AE38="補",AE38="婚",AE38="公",AE38="病",AE38="事",AE38="x榮18-22"  ),OR(AF38=""), $AP38 =""  ),"18收",  IF(  AND(  OR(  AE38 ="榮14-18",AE38 ="榮10-18",AE38 ="榮06-18",AE38 ="病14-18"  ),OR(  AF38 ="x",AF38="補",AF38="婚",AF38="公",AF38="病",AF38="事",AF38="x"  ), $AP38 =""),"18放早走",  IF(  AND(  OR(  AE38 =""),OR(  AF38 ="x",AF38="補",AF38="婚",AF38="公",AF38="病",AF38="事",AF38="x榮*",AF38="榮",AF38="榮-22"  ), $AP38 =""),"18放",  IF(  AND(  OR(  AE38="當日退伍"  ),OR(  AF38="退伍",AF38="退", AF38=""  ), $AP38 =""),"當日退伍",  IF(AND(  OR(AE38="退",AE38="退伍" ), OR(AF38="退",AF38="退伍" ), $AP38 =""),"退伍","全日勤"  )  )  )  )  )  )  )  )  )  )  ),"")</f>
        <v/>
      </c>
      <c r="AF78" s="66" t="str">
        <f>IF(   (ROW(BR38)-1)&lt;=暫1!$B$2,           IF(  AND(  OR(  AF38="x",AF38="補"  ), OR(  AG38 ="x",AG38="補",AG38="x榮18-22",AG38="x公18-22",AG38="x榮22-08"  ), $AP38 =""),"全日休",  IF(  AND(  OR(  AF38="x",AF38="病"  ), OR(  AG38 ="病"  ), $AP38 =""),"病(事)假",  IF(  AND(  OR(  AF38="x",AF38="補"  ), OR(  AG38 ="補"  ), $AP38 =""),"補休",  IF(  AND(  OR(  AF38="x",AF38="喪"  ), OR(  AG38 ="喪"  ), $AP38 =""),"喪假",  IF(  AND(  OR(  AF38="x",AF38="婚",AF38="產"  ), OR(  AG38 ="婚",AG38="產"  ), $AP38 =""),"婚(產)假",  IF(  AND(  OR(  AF38="x",AF38="公"  ), OR(  AG38 ="公"  ), $AP38 =""),"公假",  IF(  AND(  OR(  AF38="x",AF38="補",AF38="婚",AF38="公",AF38="病",AF38="事",AF38="x榮18-22"  ),OR(AG38=""), $AP38 =""  ),"18收",  IF(  AND(  OR(  AF38 ="榮14-18",AF38 ="榮10-18",AF38 ="榮06-18",AF38 ="病14-18"  ),OR(  AG38 ="x",AG38="補",AG38="婚",AG38="公",AG38="病",AG38="事",AG38="x"  ), $AP38 =""),"18放早走",  IF(  AND(  OR(  AF38 =""),OR(  AG38 ="x",AG38="補",AG38="婚",AG38="公",AG38="病",AG38="事",AG38="x榮*",AG38="榮",AG38="榮-22"  ), $AP38 =""),"18放",  IF(  AND(  OR(  AF38="當日退伍"  ),OR(  AG38="退伍",AG38="退", AG38=""  ), $AP38 =""),"當日退伍",  IF(AND(  OR(AF38="退",AF38="退伍" ), OR(AG38="退",AG38="退伍" ), $AP38 =""),"退伍","全日勤"  )  )  )  )  )  )  )  )  )  )  ),"")</f>
        <v/>
      </c>
      <c r="AG78" s="66" t="str">
        <f>IF(   (ROW(BS38)-1)&lt;=暫1!$B$2,           IF(  AND(  OR(  AG38="x",AG38="補"  ), OR(  AH38 ="x",AH38="補",AH38="x榮18-22",AH38="x公18-22",AH38="x榮22-08"  ), $AP38 =""),"全日休",  IF(  AND(  OR(  AG38="x",AG38="病"  ), OR(  AH38 ="病"  ), $AP38 =""),"病(事)假",  IF(  AND(  OR(  AG38="x",AG38="補"  ), OR(  AH38 ="補"  ), $AP38 =""),"補休",  IF(  AND(  OR(  AG38="x",AG38="喪"  ), OR(  AH38 ="喪"  ), $AP38 =""),"喪假",  IF(  AND(  OR(  AG38="x",AG38="婚",AG38="產"  ), OR(  AH38 ="婚",AH38="產"  ), $AP38 =""),"婚(產)假",  IF(  AND(  OR(  AG38="x",AG38="公"  ), OR(  AH38 ="公"  ), $AP38 =""),"公假",  IF(  AND(  OR(  AG38="x",AG38="補",AG38="婚",AG38="公",AG38="病",AG38="事",AG38="x榮18-22"  ),OR(AH38=""), $AP38 =""  ),"18收",  IF(  AND(  OR(  AG38 ="榮14-18",AG38 ="榮10-18",AG38 ="榮06-18",AG38 ="病14-18"  ),OR(  AH38 ="x",AH38="補",AH38="婚",AH38="公",AH38="病",AH38="事",AH38="x"  ), $AP38 =""),"18放早走",  IF(  AND(  OR(  AG38 =""),OR(  AH38 ="x",AH38="補",AH38="婚",AH38="公",AH38="病",AH38="事",AH38="x榮*",AH38="榮",AH38="榮-22"  ), $AP38 =""),"18放",  IF(  AND(  OR(  AG38="當日退伍"  ),OR(  AH38="退伍",AH38="退", AH38=""  ), $AP38 =""),"當日退伍",  IF(AND(  OR(AG38="退",AG38="退伍" ), OR(AH38="退",AH38="退伍" ), $AP38 =""),"退伍","全日勤"  )  )  )  )  )  )  )  )  )  )  ),"")</f>
        <v/>
      </c>
      <c r="AH78" s="66" t="str">
        <f>IF(   (ROW(BT38)-1)&lt;=暫1!$B$2,           IF(  AND(  OR(  AH38="x",AH38="補"  ), OR(  AI38 ="x",AI38="補",AI38="x榮18-22",AI38="x公18-22",AI38="x榮22-08"  ), $AP38 =""),"全日休",  IF(  AND(  OR(  AH38="x",AH38="病"  ), OR(  AI38 ="病"  ), $AP38 =""),"病(事)假",  IF(  AND(  OR(  AH38="x",AH38="補"  ), OR(  AI38 ="補"  ), $AP38 =""),"補休",  IF(  AND(  OR(  AH38="x",AH38="喪"  ), OR(  AI38 ="喪"  ), $AP38 =""),"喪假",  IF(  AND(  OR(  AH38="x",AH38="婚",AH38="產"  ), OR(  AI38 ="婚",AI38="產"  ), $AP38 =""),"婚(產)假",  IF(  AND(  OR(  AH38="x",AH38="公"  ), OR(  AI38 ="公"  ), $AP38 =""),"公假",  IF(  AND(  OR(  AH38="x",AH38="補",AH38="婚",AH38="公",AH38="病",AH38="事",AH38="x榮18-22"  ),OR(AI38=""), $AP38 =""  ),"18收",  IF(  AND(  OR(  AH38 ="榮14-18",AH38 ="榮10-18",AH38 ="榮06-18",AH38 ="病14-18"  ),OR(  AI38 ="x",AI38="補",AI38="婚",AI38="公",AI38="病",AI38="事",AI38="x"  ), $AP38 =""),"18放早走",  IF(  AND(  OR(  AH38 =""),OR(  AI38 ="x",AI38="補",AI38="婚",AI38="公",AI38="病",AI38="事",AI38="x榮*",AI38="榮",AI38="榮-22"  ), $AP38 =""),"18放",  IF(  AND(  OR(  AH38="當日退伍"  ),OR(  AI38="退伍",AI38="退", AI38=""  ), $AP38 =""),"當日退伍",  IF(AND(  OR(AH38="退",AH38="退伍" ), OR(AI38="退",AI38="退伍" ), $AP38 =""),"退伍","全日勤"  )  )  )  )  )  )  )  )  )  )  ),"")</f>
        <v/>
      </c>
      <c r="AI78" s="66" t="str">
        <f>IF(   (ROW(BU38)-1)&lt;=暫1!$B$2,           IF(  AND(  OR(  AI38="x",AI38="補"  ), OR(  AJ38 ="x",AJ38="補",AJ38="x榮18-22",AJ38="x公18-22",AJ38="x榮22-08"  ), $AP38 =""),"全日休",  IF(  AND(  OR(  AI38="x",AI38="病"  ), OR(  AJ38 ="病"  ), $AP38 =""),"病(事)假",  IF(  AND(  OR(  AI38="x",AI38="補"  ), OR(  AJ38 ="補"  ), $AP38 =""),"補休",  IF(  AND(  OR(  AI38="x",AI38="喪"  ), OR(  AJ38 ="喪"  ), $AP38 =""),"喪假",  IF(  AND(  OR(  AI38="x",AI38="婚",AI38="產"  ), OR(  AJ38 ="婚",AJ38="產"  ), $AP38 =""),"婚(產)假",  IF(  AND(  OR(  AI38="x",AI38="公"  ), OR(  AJ38 ="公"  ), $AP38 =""),"公假",  IF(  AND(  OR(  AI38="x",AI38="補",AI38="婚",AI38="公",AI38="病",AI38="事",AI38="x榮18-22"  ),OR(AJ38=""), $AP38 =""  ),"18收",  IF(  AND(  OR(  AI38 ="榮14-18",AI38 ="榮10-18",AI38 ="榮06-18",AI38 ="病14-18"  ),OR(  AJ38 ="x",AJ38="補",AJ38="婚",AJ38="公",AJ38="病",AJ38="事",AJ38="x"  ), $AP38 =""),"18放早走",  IF(  AND(  OR(  AI38 =""),OR(  AJ38 ="x",AJ38="補",AJ38="婚",AJ38="公",AJ38="病",AJ38="事",AJ38="x榮*",AJ38="榮",AJ38="榮-22"  ), $AP38 =""),"18放",  IF(  AND(  OR(  AI38="當日退伍"  ),OR(  AJ38="退伍",AJ38="退", AJ38=""  ), $AP38 =""),"當日退伍",  IF(AND(  OR(AI38="退",AI38="退伍" ), OR(AJ38="退",AJ38="退伍" ), $AP38 =""),"退伍","全日勤"  )  )  )  )  )  )  )  )  )  )  ),"")</f>
        <v/>
      </c>
      <c r="AJ78" s="66" t="str">
        <f>IF(   (ROW(BV38)-1)&lt;=暫1!$B$2,           IF(  AND(  OR(  AJ38="x",AJ38="補"  ), OR(  AK38 ="x",AK38="補",AK38="x榮18-22",AK38="x公18-22",AK38="x榮22-08"  ), $AP38 =""),"全日休",  IF(  AND(  OR(  AJ38="x",AJ38="病"  ), OR(  AK38 ="病"  ), $AP38 =""),"病(事)假",  IF(  AND(  OR(  AJ38="x",AJ38="補"  ), OR(  AK38 ="補"  ), $AP38 =""),"補休",  IF(  AND(  OR(  AJ38="x",AJ38="喪"  ), OR(  AK38 ="喪"  ), $AP38 =""),"喪假",  IF(  AND(  OR(  AJ38="x",AJ38="婚",AJ38="產"  ), OR(  AK38 ="婚",AK38="產"  ), $AP38 =""),"婚(產)假",  IF(  AND(  OR(  AJ38="x",AJ38="公"  ), OR(  AK38 ="公"  ), $AP38 =""),"公假",  IF(  AND(  OR(  AJ38="x",AJ38="補",AJ38="婚",AJ38="公",AJ38="病",AJ38="事",AJ38="x榮18-22"  ),OR(AK38=""), $AP38 =""  ),"18收",  IF(  AND(  OR(  AJ38 ="榮14-18",AJ38 ="榮10-18",AJ38 ="榮06-18",AJ38 ="病14-18"  ),OR(  AK38 ="x",AK38="補",AK38="婚",AK38="公",AK38="病",AK38="事",AK38="x"  ), $AP38 =""),"18放早走",  IF(  AND(  OR(  AJ38 =""),OR(  AK38 ="x",AK38="補",AK38="婚",AK38="公",AK38="病",AK38="事",AK38="x榮*",AK38="榮",AK38="榮-22"  ), $AP38 =""),"18放",  IF(  AND(  OR(  AJ38="當日退伍"  ),OR(  AK38="退伍",AK38="退", AK38=""  ), $AP38 =""),"當日退伍",  IF(AND(  OR(AJ38="退",AJ38="退伍" ), OR(AK38="退",AK38="退伍" ), $AP38 =""),"退伍","全日勤"  )  )  )  )  )  )  )  )  )  )  ),"")</f>
        <v/>
      </c>
      <c r="AO78" s="76"/>
      <c r="AP78" s="63"/>
      <c r="AU78" s="63"/>
      <c r="AY78" s="63"/>
      <c r="AZ78" s="63"/>
      <c r="BA78" s="63"/>
    </row>
    <row r="79" spans="1:55" ht="25.5" customHeight="1">
      <c r="A79" s="301"/>
      <c r="B79" s="301"/>
      <c r="C79" s="301"/>
      <c r="D79" s="301"/>
      <c r="E79" s="301"/>
      <c r="F79" s="301"/>
      <c r="G79" s="301"/>
      <c r="H79" s="301"/>
      <c r="I79" s="301"/>
      <c r="J79" s="301"/>
      <c r="K79" s="301"/>
      <c r="L79" s="301"/>
      <c r="M79" s="301"/>
      <c r="N79" s="301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  <c r="AF79" s="301"/>
      <c r="AG79" s="301"/>
      <c r="AH79" s="301"/>
      <c r="AI79" s="301"/>
      <c r="AJ79" s="301"/>
      <c r="AO79" s="76"/>
      <c r="AP79" s="63"/>
      <c r="AU79" s="63"/>
      <c r="AY79" s="63"/>
      <c r="AZ79" s="63"/>
      <c r="BA79" s="63"/>
    </row>
    <row r="80" spans="1:55" s="289" customFormat="1" ht="25.5" customHeight="1">
      <c r="A80" s="301"/>
      <c r="B80" s="301"/>
      <c r="C80" s="301"/>
      <c r="D80" s="301"/>
      <c r="E80" s="301"/>
      <c r="F80" s="301"/>
      <c r="G80" s="301"/>
      <c r="H80" s="301"/>
      <c r="I80" s="301"/>
      <c r="J80" s="301"/>
      <c r="K80" s="301"/>
      <c r="L80" s="301"/>
      <c r="M80" s="301"/>
      <c r="N80" s="301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  <c r="AF80" s="301"/>
      <c r="AG80" s="301"/>
      <c r="AH80" s="301"/>
      <c r="AI80" s="301"/>
      <c r="AJ80" s="301"/>
      <c r="AO80" s="302"/>
      <c r="AV80" s="303"/>
      <c r="BB80" s="303"/>
      <c r="BC80" s="303"/>
    </row>
    <row r="81" spans="1:53" ht="25.5" customHeight="1">
      <c r="A81" s="301" t="s">
        <v>432</v>
      </c>
      <c r="B81" s="301"/>
      <c r="C81" s="301"/>
      <c r="D81" s="301"/>
      <c r="E81" s="301"/>
      <c r="F81" s="301"/>
      <c r="G81" s="301"/>
      <c r="H81" s="301"/>
      <c r="I81" s="301"/>
      <c r="J81" s="301"/>
      <c r="K81" s="301"/>
      <c r="L81" s="301"/>
      <c r="M81" s="301"/>
      <c r="N81" s="301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  <c r="AF81" s="301"/>
      <c r="AG81" s="301"/>
      <c r="AH81" s="301"/>
      <c r="AI81" s="301"/>
      <c r="AJ81" s="301"/>
      <c r="AO81" s="76"/>
      <c r="AP81" s="63"/>
      <c r="AU81" s="63"/>
      <c r="AY81" s="63"/>
      <c r="AZ81" s="63"/>
      <c r="BA81" s="63"/>
    </row>
    <row r="82" spans="1:53" ht="25.5" customHeight="1">
      <c r="A82" s="66" t="str">
        <f>A42</f>
        <v>番號</v>
      </c>
      <c r="B82" s="66" t="str">
        <f t="shared" ref="B82:AJ82" si="8">B42</f>
        <v xml:space="preserve"> 姓名</v>
      </c>
      <c r="C82" s="66">
        <f t="shared" si="8"/>
        <v>1</v>
      </c>
      <c r="D82" s="66">
        <f t="shared" si="8"/>
        <v>2</v>
      </c>
      <c r="E82" s="66">
        <f t="shared" si="8"/>
        <v>3</v>
      </c>
      <c r="F82" s="66">
        <f t="shared" si="8"/>
        <v>4</v>
      </c>
      <c r="G82" s="66">
        <f t="shared" si="8"/>
        <v>5</v>
      </c>
      <c r="H82" s="66">
        <f t="shared" si="8"/>
        <v>6</v>
      </c>
      <c r="I82" s="66">
        <f t="shared" si="8"/>
        <v>7</v>
      </c>
      <c r="J82" s="66">
        <f t="shared" si="8"/>
        <v>8</v>
      </c>
      <c r="K82" s="66">
        <f t="shared" si="8"/>
        <v>9</v>
      </c>
      <c r="L82" s="66">
        <f t="shared" si="8"/>
        <v>10</v>
      </c>
      <c r="M82" s="66">
        <f t="shared" si="8"/>
        <v>11</v>
      </c>
      <c r="N82" s="66">
        <f t="shared" si="8"/>
        <v>12</v>
      </c>
      <c r="O82" s="66">
        <f t="shared" si="8"/>
        <v>13</v>
      </c>
      <c r="P82" s="66">
        <f t="shared" si="8"/>
        <v>14</v>
      </c>
      <c r="Q82" s="66">
        <f t="shared" si="8"/>
        <v>15</v>
      </c>
      <c r="R82" s="66">
        <f t="shared" si="8"/>
        <v>16</v>
      </c>
      <c r="S82" s="66">
        <f t="shared" si="8"/>
        <v>17</v>
      </c>
      <c r="T82" s="66">
        <f t="shared" si="8"/>
        <v>18</v>
      </c>
      <c r="U82" s="66">
        <f t="shared" si="8"/>
        <v>19</v>
      </c>
      <c r="V82" s="66">
        <f t="shared" si="8"/>
        <v>20</v>
      </c>
      <c r="W82" s="66">
        <f t="shared" si="8"/>
        <v>21</v>
      </c>
      <c r="X82" s="66">
        <f t="shared" si="8"/>
        <v>22</v>
      </c>
      <c r="Y82" s="66">
        <f t="shared" si="8"/>
        <v>23</v>
      </c>
      <c r="Z82" s="66">
        <f t="shared" si="8"/>
        <v>24</v>
      </c>
      <c r="AA82" s="66">
        <f t="shared" si="8"/>
        <v>25</v>
      </c>
      <c r="AB82" s="66">
        <f t="shared" si="8"/>
        <v>26</v>
      </c>
      <c r="AC82" s="66">
        <f t="shared" si="8"/>
        <v>27</v>
      </c>
      <c r="AD82" s="66">
        <f t="shared" si="8"/>
        <v>28</v>
      </c>
      <c r="AE82" s="66">
        <f t="shared" si="8"/>
        <v>29</v>
      </c>
      <c r="AF82" s="66">
        <f t="shared" si="8"/>
        <v>30</v>
      </c>
      <c r="AG82" s="66">
        <f t="shared" si="8"/>
        <v>31</v>
      </c>
      <c r="AH82" s="66">
        <f t="shared" si="8"/>
        <v>32</v>
      </c>
      <c r="AI82" s="66">
        <f t="shared" si="8"/>
        <v>33</v>
      </c>
      <c r="AJ82" s="66">
        <f t="shared" si="8"/>
        <v>34</v>
      </c>
      <c r="AO82" s="76"/>
      <c r="AP82" s="63"/>
      <c r="AU82" s="63"/>
      <c r="AY82" s="63"/>
      <c r="AZ82" s="63"/>
      <c r="BA82" s="63"/>
    </row>
    <row r="83" spans="1:53" ht="25.5" customHeight="1">
      <c r="A83" s="66">
        <f t="shared" ref="A83:B98" si="9">A43</f>
        <v>1</v>
      </c>
      <c r="B83" s="66" t="str">
        <f t="shared" si="9"/>
        <v>葉家豪</v>
      </c>
      <c r="C83" s="66">
        <f>IF(  OR(  LEN(C82)=2,LEN(C82)=3  ),  CONCATENATE(  "",IF(  OR(  C43=$A$81,C43="17放"  ),$A83,"")  ),IF(  OR(  C43=$A$81,C43="17放"  ),$A83,"")  )</f>
        <v>1</v>
      </c>
      <c r="D83" s="66">
        <f t="shared" ref="D83:AJ83" si="10">IF(  OR(  LEN(D82)=2,LEN(D82)=3  ),  CONCATENATE(  "",IF(  OR(  D43=$A$81,D43="17放"  ),$A83,"")  ),IF(  OR(  D43=$A$81,D43="17放"  ),$A83,"")  )</f>
        <v>1</v>
      </c>
      <c r="E83" s="66">
        <f t="shared" si="10"/>
        <v>1</v>
      </c>
      <c r="F83" s="66">
        <f t="shared" si="10"/>
        <v>1</v>
      </c>
      <c r="G83" s="66">
        <f t="shared" si="10"/>
        <v>1</v>
      </c>
      <c r="H83" s="66">
        <f t="shared" si="10"/>
        <v>1</v>
      </c>
      <c r="I83" s="66">
        <f t="shared" si="10"/>
        <v>1</v>
      </c>
      <c r="J83" s="66">
        <f t="shared" si="10"/>
        <v>1</v>
      </c>
      <c r="K83" s="66">
        <f t="shared" si="10"/>
        <v>1</v>
      </c>
      <c r="L83" s="66" t="str">
        <f t="shared" si="10"/>
        <v>1</v>
      </c>
      <c r="M83" s="66" t="str">
        <f t="shared" si="10"/>
        <v>1</v>
      </c>
      <c r="N83" s="66" t="str">
        <f t="shared" si="10"/>
        <v>1</v>
      </c>
      <c r="O83" s="66" t="str">
        <f t="shared" si="10"/>
        <v>1</v>
      </c>
      <c r="P83" s="66" t="str">
        <f t="shared" si="10"/>
        <v>1</v>
      </c>
      <c r="Q83" s="66" t="str">
        <f t="shared" si="10"/>
        <v>1</v>
      </c>
      <c r="R83" s="66" t="str">
        <f t="shared" si="10"/>
        <v>1</v>
      </c>
      <c r="S83" s="66" t="str">
        <f t="shared" si="10"/>
        <v>1</v>
      </c>
      <c r="T83" s="66" t="str">
        <f t="shared" si="10"/>
        <v>1</v>
      </c>
      <c r="U83" s="66" t="str">
        <f t="shared" si="10"/>
        <v>1</v>
      </c>
      <c r="V83" s="66" t="str">
        <f t="shared" si="10"/>
        <v>1</v>
      </c>
      <c r="W83" s="66" t="str">
        <f t="shared" si="10"/>
        <v>1</v>
      </c>
      <c r="X83" s="66" t="str">
        <f t="shared" si="10"/>
        <v>1</v>
      </c>
      <c r="Y83" s="66" t="str">
        <f t="shared" si="10"/>
        <v>1</v>
      </c>
      <c r="Z83" s="66" t="str">
        <f t="shared" si="10"/>
        <v>1</v>
      </c>
      <c r="AA83" s="66" t="str">
        <f t="shared" si="10"/>
        <v>1</v>
      </c>
      <c r="AB83" s="66" t="str">
        <f t="shared" si="10"/>
        <v>1</v>
      </c>
      <c r="AC83" s="66" t="str">
        <f t="shared" si="10"/>
        <v>1</v>
      </c>
      <c r="AD83" s="66" t="str">
        <f t="shared" si="10"/>
        <v>1</v>
      </c>
      <c r="AE83" s="66" t="str">
        <f t="shared" si="10"/>
        <v>1</v>
      </c>
      <c r="AF83" s="66" t="str">
        <f t="shared" si="10"/>
        <v/>
      </c>
      <c r="AG83" s="66" t="str">
        <f t="shared" si="10"/>
        <v/>
      </c>
      <c r="AH83" s="66" t="str">
        <f t="shared" si="10"/>
        <v>1</v>
      </c>
      <c r="AI83" s="66" t="str">
        <f t="shared" si="10"/>
        <v>1</v>
      </c>
      <c r="AJ83" s="66" t="str">
        <f t="shared" si="10"/>
        <v>1</v>
      </c>
      <c r="AO83" s="76"/>
      <c r="AP83" s="63"/>
      <c r="AU83" s="63"/>
      <c r="AY83" s="63"/>
      <c r="AZ83" s="63"/>
      <c r="BA83" s="63"/>
    </row>
    <row r="84" spans="1:53" ht="25.5" customHeight="1">
      <c r="A84" s="66">
        <f t="shared" si="9"/>
        <v>2</v>
      </c>
      <c r="B84" s="66" t="str">
        <f t="shared" si="9"/>
        <v>鄭智謙</v>
      </c>
      <c r="C84" s="66">
        <f>IF(  OR(  LEN(C83)=2,LEN(C83)=3  ),  CONCATENATE(  ".",IF(  OR(  C44=$A$81,C44="17放"  ),$A84,"")  ),IF(  OR(  C44=$A$81,C44="17放"  ),$A84,"")  )</f>
        <v>2</v>
      </c>
      <c r="D84" s="66">
        <f t="shared" ref="D84:AJ84" si="11">IF(  OR(  LEN(D83)=2,LEN(D83)=3  ),  CONCATENATE(  ".",IF(  OR(  D44=$A$81,D44="17放"  ),$A84,"")  ),IF(  OR(  D44=$A$81,D44="17放"  ),$A84,"")  )</f>
        <v>2</v>
      </c>
      <c r="E84" s="66">
        <f t="shared" si="11"/>
        <v>2</v>
      </c>
      <c r="F84" s="66">
        <f t="shared" si="11"/>
        <v>2</v>
      </c>
      <c r="G84" s="66">
        <f t="shared" si="11"/>
        <v>2</v>
      </c>
      <c r="H84" s="66">
        <f t="shared" si="11"/>
        <v>2</v>
      </c>
      <c r="I84" s="66">
        <f t="shared" si="11"/>
        <v>2</v>
      </c>
      <c r="J84" s="66">
        <f t="shared" si="11"/>
        <v>2</v>
      </c>
      <c r="K84" s="66">
        <f t="shared" si="11"/>
        <v>2</v>
      </c>
      <c r="L84" s="66">
        <f t="shared" si="11"/>
        <v>2</v>
      </c>
      <c r="M84" s="66">
        <f t="shared" si="11"/>
        <v>2</v>
      </c>
      <c r="N84" s="66">
        <f t="shared" si="11"/>
        <v>2</v>
      </c>
      <c r="O84" s="66">
        <f t="shared" si="11"/>
        <v>2</v>
      </c>
      <c r="P84" s="66">
        <f t="shared" si="11"/>
        <v>2</v>
      </c>
      <c r="Q84" s="66">
        <f t="shared" si="11"/>
        <v>2</v>
      </c>
      <c r="R84" s="66">
        <f t="shared" si="11"/>
        <v>2</v>
      </c>
      <c r="S84" s="66">
        <f t="shared" si="11"/>
        <v>2</v>
      </c>
      <c r="T84" s="66">
        <f t="shared" si="11"/>
        <v>2</v>
      </c>
      <c r="U84" s="66">
        <f t="shared" si="11"/>
        <v>2</v>
      </c>
      <c r="V84" s="66">
        <f t="shared" si="11"/>
        <v>2</v>
      </c>
      <c r="W84" s="66">
        <f t="shared" si="11"/>
        <v>2</v>
      </c>
      <c r="X84" s="66">
        <f t="shared" si="11"/>
        <v>2</v>
      </c>
      <c r="Y84" s="66">
        <f t="shared" si="11"/>
        <v>2</v>
      </c>
      <c r="Z84" s="66">
        <f t="shared" si="11"/>
        <v>2</v>
      </c>
      <c r="AA84" s="66">
        <f t="shared" si="11"/>
        <v>2</v>
      </c>
      <c r="AB84" s="66">
        <f t="shared" si="11"/>
        <v>2</v>
      </c>
      <c r="AC84" s="66">
        <f t="shared" si="11"/>
        <v>2</v>
      </c>
      <c r="AD84" s="66">
        <f t="shared" si="11"/>
        <v>2</v>
      </c>
      <c r="AE84" s="66">
        <f t="shared" si="11"/>
        <v>2</v>
      </c>
      <c r="AF84" s="66">
        <f t="shared" si="11"/>
        <v>2</v>
      </c>
      <c r="AG84" s="66">
        <f t="shared" si="11"/>
        <v>2</v>
      </c>
      <c r="AH84" s="66">
        <f t="shared" si="11"/>
        <v>2</v>
      </c>
      <c r="AI84" s="66">
        <f t="shared" si="11"/>
        <v>2</v>
      </c>
      <c r="AJ84" s="66">
        <f t="shared" si="11"/>
        <v>2</v>
      </c>
      <c r="AO84" s="76"/>
      <c r="AP84" s="63"/>
      <c r="AU84" s="63"/>
      <c r="AY84" s="63"/>
      <c r="AZ84" s="63"/>
      <c r="BA84" s="63"/>
    </row>
    <row r="85" spans="1:53" ht="25.5" customHeight="1">
      <c r="A85" s="66">
        <f t="shared" si="9"/>
        <v>3</v>
      </c>
      <c r="B85" s="66" t="str">
        <f t="shared" si="9"/>
        <v>王敍安</v>
      </c>
      <c r="C85" s="66">
        <f t="shared" ref="C85:C118" si="12">IF(  OR(  LEN(C84)=2,LEN(C84)=3  ),  CONCATENATE(  ".",IF(  OR(  C45=$A$81,C45="17放"  ),$A85,"")  ),IF(  OR(  C45=$A$81,C45="17放"  ),$A85,"")  )</f>
        <v>3</v>
      </c>
      <c r="D85" s="66">
        <f t="shared" ref="D85:D118" si="13">IF(  OR(  LEN(D84)=2,LEN(D84)=3  ),  CONCATENATE(  ".",IF(  OR(  D45=$A$81,D45="17放"  ),$A85,"")  ),IF(  OR(  D45=$A$81,D45="17放"  ),$A85,"")  )</f>
        <v>3</v>
      </c>
      <c r="E85" s="66">
        <f t="shared" ref="E85:E118" si="14">IF(  OR(  LEN(E84)=2,LEN(E84)=3  ),  CONCATENATE(  ".",IF(  OR(  E45=$A$81,E45="17放"  ),$A85,"")  ),IF(  OR(  E45=$A$81,E45="17放"  ),$A85,"")  )</f>
        <v>3</v>
      </c>
      <c r="F85" s="66">
        <f t="shared" ref="F85:F118" si="15">IF(  OR(  LEN(F84)=2,LEN(F84)=3  ),  CONCATENATE(  ".",IF(  OR(  F45=$A$81,F45="17放"  ),$A85,"")  ),IF(  OR(  F45=$A$81,F45="17放"  ),$A85,"")  )</f>
        <v>3</v>
      </c>
      <c r="G85" s="66">
        <f t="shared" ref="G85:G118" si="16">IF(  OR(  LEN(G84)=2,LEN(G84)=3  ),  CONCATENATE(  ".",IF(  OR(  G45=$A$81,G45="17放"  ),$A85,"")  ),IF(  OR(  G45=$A$81,G45="17放"  ),$A85,"")  )</f>
        <v>3</v>
      </c>
      <c r="H85" s="66">
        <f t="shared" ref="H85:H118" si="17">IF(  OR(  LEN(H84)=2,LEN(H84)=3  ),  CONCATENATE(  ".",IF(  OR(  H45=$A$81,H45="17放"  ),$A85,"")  ),IF(  OR(  H45=$A$81,H45="17放"  ),$A85,"")  )</f>
        <v>3</v>
      </c>
      <c r="I85" s="66">
        <f t="shared" ref="I85:I118" si="18">IF(  OR(  LEN(I84)=2,LEN(I84)=3  ),  CONCATENATE(  ".",IF(  OR(  I45=$A$81,I45="17放"  ),$A85,"")  ),IF(  OR(  I45=$A$81,I45="17放"  ),$A85,"")  )</f>
        <v>3</v>
      </c>
      <c r="J85" s="66">
        <f t="shared" ref="J85:J118" si="19">IF(  OR(  LEN(J84)=2,LEN(J84)=3  ),  CONCATENATE(  ".",IF(  OR(  J45=$A$81,J45="17放"  ),$A85,"")  ),IF(  OR(  J45=$A$81,J45="17放"  ),$A85,"")  )</f>
        <v>3</v>
      </c>
      <c r="K85" s="66">
        <f t="shared" ref="K85:K118" si="20">IF(  OR(  LEN(K84)=2,LEN(K84)=3  ),  CONCATENATE(  ".",IF(  OR(  K45=$A$81,K45="17放"  ),$A85,"")  ),IF(  OR(  K45=$A$81,K45="17放"  ),$A85,"")  )</f>
        <v>3</v>
      </c>
      <c r="L85" s="66">
        <f t="shared" ref="L85:L118" si="21">IF(  OR(  LEN(L84)=2,LEN(L84)=3  ),  CONCATENATE(  ".",IF(  OR(  L45=$A$81,L45="17放"  ),$A85,"")  ),IF(  OR(  L45=$A$81,L45="17放"  ),$A85,"")  )</f>
        <v>3</v>
      </c>
      <c r="M85" s="66">
        <f t="shared" ref="M85:M118" si="22">IF(  OR(  LEN(M84)=2,LEN(M84)=3  ),  CONCATENATE(  ".",IF(  OR(  M45=$A$81,M45="17放"  ),$A85,"")  ),IF(  OR(  M45=$A$81,M45="17放"  ),$A85,"")  )</f>
        <v>3</v>
      </c>
      <c r="N85" s="66">
        <f t="shared" ref="N85:N118" si="23">IF(  OR(  LEN(N84)=2,LEN(N84)=3  ),  CONCATENATE(  ".",IF(  OR(  N45=$A$81,N45="17放"  ),$A85,"")  ),IF(  OR(  N45=$A$81,N45="17放"  ),$A85,"")  )</f>
        <v>3</v>
      </c>
      <c r="O85" s="66">
        <f t="shared" ref="O85:O118" si="24">IF(  OR(  LEN(O84)=2,LEN(O84)=3  ),  CONCATENATE(  ".",IF(  OR(  O45=$A$81,O45="17放"  ),$A85,"")  ),IF(  OR(  O45=$A$81,O45="17放"  ),$A85,"")  )</f>
        <v>3</v>
      </c>
      <c r="P85" s="66">
        <f t="shared" ref="P85:P118" si="25">IF(  OR(  LEN(P84)=2,LEN(P84)=3  ),  CONCATENATE(  ".",IF(  OR(  P45=$A$81,P45="17放"  ),$A85,"")  ),IF(  OR(  P45=$A$81,P45="17放"  ),$A85,"")  )</f>
        <v>3</v>
      </c>
      <c r="Q85" s="66">
        <f t="shared" ref="Q85:Q118" si="26">IF(  OR(  LEN(Q84)=2,LEN(Q84)=3  ),  CONCATENATE(  ".",IF(  OR(  Q45=$A$81,Q45="17放"  ),$A85,"")  ),IF(  OR(  Q45=$A$81,Q45="17放"  ),$A85,"")  )</f>
        <v>3</v>
      </c>
      <c r="R85" s="66">
        <f t="shared" ref="R85:R118" si="27">IF(  OR(  LEN(R84)=2,LEN(R84)=3  ),  CONCATENATE(  ".",IF(  OR(  R45=$A$81,R45="17放"  ),$A85,"")  ),IF(  OR(  R45=$A$81,R45="17放"  ),$A85,"")  )</f>
        <v>3</v>
      </c>
      <c r="S85" s="66">
        <f t="shared" ref="S85:S118" si="28">IF(  OR(  LEN(S84)=2,LEN(S84)=3  ),  CONCATENATE(  ".",IF(  OR(  S45=$A$81,S45="17放"  ),$A85,"")  ),IF(  OR(  S45=$A$81,S45="17放"  ),$A85,"")  )</f>
        <v>3</v>
      </c>
      <c r="T85" s="66">
        <f t="shared" ref="T85:T118" si="29">IF(  OR(  LEN(T84)=2,LEN(T84)=3  ),  CONCATENATE(  ".",IF(  OR(  T45=$A$81,T45="17放"  ),$A85,"")  ),IF(  OR(  T45=$A$81,T45="17放"  ),$A85,"")  )</f>
        <v>3</v>
      </c>
      <c r="U85" s="66">
        <f t="shared" ref="U85:U118" si="30">IF(  OR(  LEN(U84)=2,LEN(U84)=3  ),  CONCATENATE(  ".",IF(  OR(  U45=$A$81,U45="17放"  ),$A85,"")  ),IF(  OR(  U45=$A$81,U45="17放"  ),$A85,"")  )</f>
        <v>3</v>
      </c>
      <c r="V85" s="66">
        <f t="shared" ref="V85:V118" si="31">IF(  OR(  LEN(V84)=2,LEN(V84)=3  ),  CONCATENATE(  ".",IF(  OR(  V45=$A$81,V45="17放"  ),$A85,"")  ),IF(  OR(  V45=$A$81,V45="17放"  ),$A85,"")  )</f>
        <v>3</v>
      </c>
      <c r="W85" s="66">
        <f t="shared" ref="W85:W118" si="32">IF(  OR(  LEN(W84)=2,LEN(W84)=3  ),  CONCATENATE(  ".",IF(  OR(  W45=$A$81,W45="17放"  ),$A85,"")  ),IF(  OR(  W45=$A$81,W45="17放"  ),$A85,"")  )</f>
        <v>3</v>
      </c>
      <c r="X85" s="66">
        <f t="shared" ref="X85:X118" si="33">IF(  OR(  LEN(X84)=2,LEN(X84)=3  ),  CONCATENATE(  ".",IF(  OR(  X45=$A$81,X45="17放"  ),$A85,"")  ),IF(  OR(  X45=$A$81,X45="17放"  ),$A85,"")  )</f>
        <v>3</v>
      </c>
      <c r="Y85" s="66">
        <f t="shared" ref="Y85:Y118" si="34">IF(  OR(  LEN(Y84)=2,LEN(Y84)=3  ),  CONCATENATE(  ".",IF(  OR(  Y45=$A$81,Y45="17放"  ),$A85,"")  ),IF(  OR(  Y45=$A$81,Y45="17放"  ),$A85,"")  )</f>
        <v>3</v>
      </c>
      <c r="Z85" s="66">
        <f t="shared" ref="Z85:Z118" si="35">IF(  OR(  LEN(Z84)=2,LEN(Z84)=3  ),  CONCATENATE(  ".",IF(  OR(  Z45=$A$81,Z45="17放"  ),$A85,"")  ),IF(  OR(  Z45=$A$81,Z45="17放"  ),$A85,"")  )</f>
        <v>3</v>
      </c>
      <c r="AA85" s="66">
        <f t="shared" ref="AA85:AA118" si="36">IF(  OR(  LEN(AA84)=2,LEN(AA84)=3  ),  CONCATENATE(  ".",IF(  OR(  AA45=$A$81,AA45="17放"  ),$A85,"")  ),IF(  OR(  AA45=$A$81,AA45="17放"  ),$A85,"")  )</f>
        <v>3</v>
      </c>
      <c r="AB85" s="66">
        <f t="shared" ref="AB85:AB118" si="37">IF(  OR(  LEN(AB84)=2,LEN(AB84)=3  ),  CONCATENATE(  ".",IF(  OR(  AB45=$A$81,AB45="17放"  ),$A85,"")  ),IF(  OR(  AB45=$A$81,AB45="17放"  ),$A85,"")  )</f>
        <v>3</v>
      </c>
      <c r="AC85" s="66">
        <f t="shared" ref="AC85:AC118" si="38">IF(  OR(  LEN(AC84)=2,LEN(AC84)=3  ),  CONCATENATE(  ".",IF(  OR(  AC45=$A$81,AC45="17放"  ),$A85,"")  ),IF(  OR(  AC45=$A$81,AC45="17放"  ),$A85,"")  )</f>
        <v>3</v>
      </c>
      <c r="AD85" s="66">
        <f t="shared" ref="AD85:AD118" si="39">IF(  OR(  LEN(AD84)=2,LEN(AD84)=3  ),  CONCATENATE(  ".",IF(  OR(  AD45=$A$81,AD45="17放"  ),$A85,"")  ),IF(  OR(  AD45=$A$81,AD45="17放"  ),$A85,"")  )</f>
        <v>3</v>
      </c>
      <c r="AE85" s="66">
        <f t="shared" ref="AE85:AE118" si="40">IF(  OR(  LEN(AE84)=2,LEN(AE84)=3  ),  CONCATENATE(  ".",IF(  OR(  AE45=$A$81,AE45="17放"  ),$A85,"")  ),IF(  OR(  AE45=$A$81,AE45="17放"  ),$A85,"")  )</f>
        <v>3</v>
      </c>
      <c r="AF85" s="66" t="str">
        <f t="shared" ref="AF85:AF118" si="41">IF(  OR(  LEN(AF84)=2,LEN(AF84)=3  ),  CONCATENATE(  ".",IF(  OR(  AF45=$A$81,AF45="17放"  ),$A85,"")  ),IF(  OR(  AF45=$A$81,AF45="17放"  ),$A85,"")  )</f>
        <v/>
      </c>
      <c r="AG85" s="66" t="str">
        <f t="shared" ref="AG85:AG118" si="42">IF(  OR(  LEN(AG84)=2,LEN(AG84)=3  ),  CONCATENATE(  ".",IF(  OR(  AG45=$A$81,AG45="17放"  ),$A85,"")  ),IF(  OR(  AG45=$A$81,AG45="17放"  ),$A85,"")  )</f>
        <v/>
      </c>
      <c r="AH85" s="66">
        <f t="shared" ref="AH85:AH118" si="43">IF(  OR(  LEN(AH84)=2,LEN(AH84)=3  ),  CONCATENATE(  ".",IF(  OR(  AH45=$A$81,AH45="17放"  ),$A85,"")  ),IF(  OR(  AH45=$A$81,AH45="17放"  ),$A85,"")  )</f>
        <v>3</v>
      </c>
      <c r="AI85" s="66">
        <f t="shared" ref="AI85:AI118" si="44">IF(  OR(  LEN(AI84)=2,LEN(AI84)=3  ),  CONCATENATE(  ".",IF(  OR(  AI45=$A$81,AI45="17放"  ),$A85,"")  ),IF(  OR(  AI45=$A$81,AI45="17放"  ),$A85,"")  )</f>
        <v>3</v>
      </c>
      <c r="AJ85" s="66">
        <f t="shared" ref="AJ85:AJ118" si="45">IF(  OR(  LEN(AJ84)=2,LEN(AJ84)=3  ),  CONCATENATE(  ".",IF(  OR(  AJ45=$A$81,AJ45="17放"  ),$A85,"")  ),IF(  OR(  AJ45=$A$81,AJ45="17放"  ),$A85,"")  )</f>
        <v>3</v>
      </c>
      <c r="AO85" s="76"/>
      <c r="AP85" s="63"/>
      <c r="AU85" s="63"/>
      <c r="AY85" s="63"/>
      <c r="AZ85" s="63"/>
      <c r="BA85" s="63"/>
    </row>
    <row r="86" spans="1:53" ht="25.5" customHeight="1">
      <c r="A86" s="66">
        <f t="shared" si="9"/>
        <v>4</v>
      </c>
      <c r="B86" s="66" t="str">
        <f t="shared" si="9"/>
        <v>鄭凱文</v>
      </c>
      <c r="C86" s="66">
        <f t="shared" si="12"/>
        <v>4</v>
      </c>
      <c r="D86" s="66">
        <f t="shared" si="13"/>
        <v>4</v>
      </c>
      <c r="E86" s="66">
        <f t="shared" si="14"/>
        <v>4</v>
      </c>
      <c r="F86" s="66">
        <f t="shared" si="15"/>
        <v>4</v>
      </c>
      <c r="G86" s="66">
        <f t="shared" si="16"/>
        <v>4</v>
      </c>
      <c r="H86" s="66">
        <f t="shared" si="17"/>
        <v>4</v>
      </c>
      <c r="I86" s="66">
        <f t="shared" si="18"/>
        <v>4</v>
      </c>
      <c r="J86" s="66">
        <f t="shared" si="19"/>
        <v>4</v>
      </c>
      <c r="K86" s="66">
        <f t="shared" si="20"/>
        <v>4</v>
      </c>
      <c r="L86" s="66">
        <f t="shared" si="21"/>
        <v>4</v>
      </c>
      <c r="M86" s="66">
        <f t="shared" si="22"/>
        <v>4</v>
      </c>
      <c r="N86" s="66">
        <f t="shared" si="23"/>
        <v>4</v>
      </c>
      <c r="O86" s="66">
        <f t="shared" si="24"/>
        <v>4</v>
      </c>
      <c r="P86" s="66">
        <f t="shared" si="25"/>
        <v>4</v>
      </c>
      <c r="Q86" s="66">
        <f t="shared" si="26"/>
        <v>4</v>
      </c>
      <c r="R86" s="66">
        <f t="shared" si="27"/>
        <v>4</v>
      </c>
      <c r="S86" s="66">
        <f t="shared" si="28"/>
        <v>4</v>
      </c>
      <c r="T86" s="66">
        <f t="shared" si="29"/>
        <v>4</v>
      </c>
      <c r="U86" s="66">
        <f t="shared" si="30"/>
        <v>4</v>
      </c>
      <c r="V86" s="66">
        <f t="shared" si="31"/>
        <v>4</v>
      </c>
      <c r="W86" s="66">
        <f t="shared" si="32"/>
        <v>4</v>
      </c>
      <c r="X86" s="66">
        <f t="shared" si="33"/>
        <v>4</v>
      </c>
      <c r="Y86" s="66">
        <f t="shared" si="34"/>
        <v>4</v>
      </c>
      <c r="Z86" s="66">
        <f t="shared" si="35"/>
        <v>4</v>
      </c>
      <c r="AA86" s="66">
        <f t="shared" si="36"/>
        <v>4</v>
      </c>
      <c r="AB86" s="66">
        <f t="shared" si="37"/>
        <v>4</v>
      </c>
      <c r="AC86" s="66">
        <f t="shared" si="38"/>
        <v>4</v>
      </c>
      <c r="AD86" s="66">
        <f t="shared" si="39"/>
        <v>4</v>
      </c>
      <c r="AE86" s="66">
        <f t="shared" si="40"/>
        <v>4</v>
      </c>
      <c r="AF86" s="66">
        <f t="shared" si="41"/>
        <v>4</v>
      </c>
      <c r="AG86" s="66">
        <f t="shared" si="42"/>
        <v>4</v>
      </c>
      <c r="AH86" s="66">
        <f t="shared" si="43"/>
        <v>4</v>
      </c>
      <c r="AI86" s="66">
        <f t="shared" si="44"/>
        <v>4</v>
      </c>
      <c r="AJ86" s="66">
        <f t="shared" si="45"/>
        <v>4</v>
      </c>
      <c r="AO86" s="76"/>
      <c r="AP86" s="63"/>
      <c r="AU86" s="63"/>
      <c r="AY86" s="63"/>
      <c r="AZ86" s="63"/>
      <c r="BA86" s="63"/>
    </row>
    <row r="87" spans="1:53" ht="25.5" customHeight="1">
      <c r="A87" s="66">
        <f t="shared" si="9"/>
        <v>5</v>
      </c>
      <c r="B87" s="66" t="str">
        <f t="shared" si="9"/>
        <v>蔡政倫</v>
      </c>
      <c r="C87" s="66">
        <f t="shared" si="12"/>
        <v>5</v>
      </c>
      <c r="D87" s="66">
        <f t="shared" si="13"/>
        <v>5</v>
      </c>
      <c r="E87" s="66">
        <f t="shared" si="14"/>
        <v>5</v>
      </c>
      <c r="F87" s="66">
        <f t="shared" si="15"/>
        <v>5</v>
      </c>
      <c r="G87" s="66">
        <f t="shared" si="16"/>
        <v>5</v>
      </c>
      <c r="H87" s="66">
        <f t="shared" si="17"/>
        <v>5</v>
      </c>
      <c r="I87" s="66">
        <f t="shared" si="18"/>
        <v>5</v>
      </c>
      <c r="J87" s="66">
        <f t="shared" si="19"/>
        <v>5</v>
      </c>
      <c r="K87" s="66">
        <f t="shared" si="20"/>
        <v>5</v>
      </c>
      <c r="L87" s="66">
        <f t="shared" si="21"/>
        <v>5</v>
      </c>
      <c r="M87" s="66">
        <f t="shared" si="22"/>
        <v>5</v>
      </c>
      <c r="N87" s="66">
        <f t="shared" si="23"/>
        <v>5</v>
      </c>
      <c r="O87" s="66">
        <f t="shared" si="24"/>
        <v>5</v>
      </c>
      <c r="P87" s="66">
        <f t="shared" si="25"/>
        <v>5</v>
      </c>
      <c r="Q87" s="66">
        <f t="shared" si="26"/>
        <v>5</v>
      </c>
      <c r="R87" s="66">
        <f t="shared" si="27"/>
        <v>5</v>
      </c>
      <c r="S87" s="66">
        <f t="shared" si="28"/>
        <v>5</v>
      </c>
      <c r="T87" s="66">
        <f t="shared" si="29"/>
        <v>5</v>
      </c>
      <c r="U87" s="66">
        <f t="shared" si="30"/>
        <v>5</v>
      </c>
      <c r="V87" s="66">
        <f t="shared" si="31"/>
        <v>5</v>
      </c>
      <c r="W87" s="66">
        <f t="shared" si="32"/>
        <v>5</v>
      </c>
      <c r="X87" s="66">
        <f t="shared" si="33"/>
        <v>5</v>
      </c>
      <c r="Y87" s="66">
        <f t="shared" si="34"/>
        <v>5</v>
      </c>
      <c r="Z87" s="66">
        <f t="shared" si="35"/>
        <v>5</v>
      </c>
      <c r="AA87" s="66">
        <f t="shared" si="36"/>
        <v>5</v>
      </c>
      <c r="AB87" s="66">
        <f t="shared" si="37"/>
        <v>5</v>
      </c>
      <c r="AC87" s="66">
        <f t="shared" si="38"/>
        <v>5</v>
      </c>
      <c r="AD87" s="66">
        <f t="shared" si="39"/>
        <v>5</v>
      </c>
      <c r="AE87" s="66">
        <f t="shared" si="40"/>
        <v>5</v>
      </c>
      <c r="AF87" s="66">
        <f t="shared" si="41"/>
        <v>5</v>
      </c>
      <c r="AG87" s="66">
        <f t="shared" si="42"/>
        <v>5</v>
      </c>
      <c r="AH87" s="66">
        <f t="shared" si="43"/>
        <v>5</v>
      </c>
      <c r="AI87" s="66">
        <f t="shared" si="44"/>
        <v>5</v>
      </c>
      <c r="AJ87" s="66">
        <f t="shared" si="45"/>
        <v>5</v>
      </c>
      <c r="AO87" s="76"/>
      <c r="AP87" s="63"/>
      <c r="AU87" s="63"/>
      <c r="AY87" s="63"/>
      <c r="AZ87" s="63"/>
      <c r="BA87" s="63"/>
    </row>
    <row r="88" spans="1:53" ht="25.5" customHeight="1">
      <c r="A88" s="66">
        <f t="shared" si="9"/>
        <v>6</v>
      </c>
      <c r="B88" s="66" t="str">
        <f t="shared" si="9"/>
        <v>邱昱銘</v>
      </c>
      <c r="C88" s="66">
        <f t="shared" si="12"/>
        <v>6</v>
      </c>
      <c r="D88" s="66">
        <f t="shared" si="13"/>
        <v>6</v>
      </c>
      <c r="E88" s="66">
        <f t="shared" si="14"/>
        <v>6</v>
      </c>
      <c r="F88" s="66">
        <f t="shared" si="15"/>
        <v>6</v>
      </c>
      <c r="G88" s="66">
        <f t="shared" si="16"/>
        <v>6</v>
      </c>
      <c r="H88" s="66">
        <f t="shared" si="17"/>
        <v>6</v>
      </c>
      <c r="I88" s="66">
        <f t="shared" si="18"/>
        <v>6</v>
      </c>
      <c r="J88" s="66">
        <f t="shared" si="19"/>
        <v>6</v>
      </c>
      <c r="K88" s="66">
        <f t="shared" si="20"/>
        <v>6</v>
      </c>
      <c r="L88" s="66">
        <f t="shared" si="21"/>
        <v>6</v>
      </c>
      <c r="M88" s="66">
        <f t="shared" si="22"/>
        <v>6</v>
      </c>
      <c r="N88" s="66">
        <f t="shared" si="23"/>
        <v>6</v>
      </c>
      <c r="O88" s="66">
        <f t="shared" si="24"/>
        <v>6</v>
      </c>
      <c r="P88" s="66">
        <f t="shared" si="25"/>
        <v>6</v>
      </c>
      <c r="Q88" s="66">
        <f t="shared" si="26"/>
        <v>6</v>
      </c>
      <c r="R88" s="66">
        <f t="shared" si="27"/>
        <v>6</v>
      </c>
      <c r="S88" s="66">
        <f t="shared" si="28"/>
        <v>6</v>
      </c>
      <c r="T88" s="66">
        <f t="shared" si="29"/>
        <v>6</v>
      </c>
      <c r="U88" s="66">
        <f t="shared" si="30"/>
        <v>6</v>
      </c>
      <c r="V88" s="66">
        <f t="shared" si="31"/>
        <v>6</v>
      </c>
      <c r="W88" s="66">
        <f t="shared" si="32"/>
        <v>6</v>
      </c>
      <c r="X88" s="66">
        <f t="shared" si="33"/>
        <v>6</v>
      </c>
      <c r="Y88" s="66">
        <f t="shared" si="34"/>
        <v>6</v>
      </c>
      <c r="Z88" s="66">
        <f t="shared" si="35"/>
        <v>6</v>
      </c>
      <c r="AA88" s="66">
        <f t="shared" si="36"/>
        <v>6</v>
      </c>
      <c r="AB88" s="66">
        <f t="shared" si="37"/>
        <v>6</v>
      </c>
      <c r="AC88" s="66">
        <f t="shared" si="38"/>
        <v>6</v>
      </c>
      <c r="AD88" s="66">
        <f t="shared" si="39"/>
        <v>6</v>
      </c>
      <c r="AE88" s="66">
        <f t="shared" si="40"/>
        <v>6</v>
      </c>
      <c r="AF88" s="66">
        <f t="shared" si="41"/>
        <v>6</v>
      </c>
      <c r="AG88" s="66">
        <f t="shared" si="42"/>
        <v>6</v>
      </c>
      <c r="AH88" s="66">
        <f t="shared" si="43"/>
        <v>6</v>
      </c>
      <c r="AI88" s="66">
        <f t="shared" si="44"/>
        <v>6</v>
      </c>
      <c r="AJ88" s="66">
        <f t="shared" si="45"/>
        <v>6</v>
      </c>
      <c r="AO88" s="76"/>
      <c r="AP88" s="63"/>
      <c r="AU88" s="63"/>
      <c r="AY88" s="63"/>
      <c r="AZ88" s="63"/>
      <c r="BA88" s="63"/>
    </row>
    <row r="89" spans="1:53" ht="25.5" customHeight="1">
      <c r="A89" s="66">
        <f t="shared" si="9"/>
        <v>7</v>
      </c>
      <c r="B89" s="66" t="str">
        <f t="shared" si="9"/>
        <v>洪長昇</v>
      </c>
      <c r="C89" s="66">
        <f t="shared" si="12"/>
        <v>7</v>
      </c>
      <c r="D89" s="66">
        <f t="shared" si="13"/>
        <v>7</v>
      </c>
      <c r="E89" s="66">
        <f t="shared" si="14"/>
        <v>7</v>
      </c>
      <c r="F89" s="66">
        <f t="shared" si="15"/>
        <v>7</v>
      </c>
      <c r="G89" s="66">
        <f t="shared" si="16"/>
        <v>7</v>
      </c>
      <c r="H89" s="66">
        <f t="shared" si="17"/>
        <v>7</v>
      </c>
      <c r="I89" s="66">
        <f t="shared" si="18"/>
        <v>7</v>
      </c>
      <c r="J89" s="66">
        <f t="shared" si="19"/>
        <v>7</v>
      </c>
      <c r="K89" s="66">
        <f t="shared" si="20"/>
        <v>7</v>
      </c>
      <c r="L89" s="66">
        <f t="shared" si="21"/>
        <v>7</v>
      </c>
      <c r="M89" s="66">
        <f t="shared" si="22"/>
        <v>7</v>
      </c>
      <c r="N89" s="66">
        <f t="shared" si="23"/>
        <v>7</v>
      </c>
      <c r="O89" s="66">
        <f t="shared" si="24"/>
        <v>7</v>
      </c>
      <c r="P89" s="66">
        <f t="shared" si="25"/>
        <v>7</v>
      </c>
      <c r="Q89" s="66">
        <f t="shared" si="26"/>
        <v>7</v>
      </c>
      <c r="R89" s="66">
        <f t="shared" si="27"/>
        <v>7</v>
      </c>
      <c r="S89" s="66">
        <f t="shared" si="28"/>
        <v>7</v>
      </c>
      <c r="T89" s="66">
        <f t="shared" si="29"/>
        <v>7</v>
      </c>
      <c r="U89" s="66">
        <f t="shared" si="30"/>
        <v>7</v>
      </c>
      <c r="V89" s="66">
        <f t="shared" si="31"/>
        <v>7</v>
      </c>
      <c r="W89" s="66">
        <f t="shared" si="32"/>
        <v>7</v>
      </c>
      <c r="X89" s="66">
        <f t="shared" si="33"/>
        <v>7</v>
      </c>
      <c r="Y89" s="66">
        <f t="shared" si="34"/>
        <v>7</v>
      </c>
      <c r="Z89" s="66">
        <f t="shared" si="35"/>
        <v>7</v>
      </c>
      <c r="AA89" s="66">
        <f t="shared" si="36"/>
        <v>7</v>
      </c>
      <c r="AB89" s="66">
        <f t="shared" si="37"/>
        <v>7</v>
      </c>
      <c r="AC89" s="66">
        <f t="shared" si="38"/>
        <v>7</v>
      </c>
      <c r="AD89" s="66">
        <f t="shared" si="39"/>
        <v>7</v>
      </c>
      <c r="AE89" s="66">
        <f t="shared" si="40"/>
        <v>7</v>
      </c>
      <c r="AF89" s="66" t="str">
        <f t="shared" si="41"/>
        <v/>
      </c>
      <c r="AG89" s="66" t="str">
        <f t="shared" si="42"/>
        <v/>
      </c>
      <c r="AH89" s="66">
        <f t="shared" si="43"/>
        <v>7</v>
      </c>
      <c r="AI89" s="66">
        <f t="shared" si="44"/>
        <v>7</v>
      </c>
      <c r="AJ89" s="66">
        <f t="shared" si="45"/>
        <v>7</v>
      </c>
      <c r="AO89" s="76"/>
      <c r="AP89" s="63"/>
      <c r="AU89" s="63"/>
      <c r="AY89" s="63"/>
      <c r="AZ89" s="63"/>
      <c r="BA89" s="63"/>
    </row>
    <row r="90" spans="1:53" ht="25.5" customHeight="1">
      <c r="A90" s="66">
        <f t="shared" si="9"/>
        <v>8</v>
      </c>
      <c r="B90" s="66" t="str">
        <f t="shared" si="9"/>
        <v>許翊呈</v>
      </c>
      <c r="C90" s="66">
        <f t="shared" si="12"/>
        <v>8</v>
      </c>
      <c r="D90" s="66">
        <f t="shared" si="13"/>
        <v>8</v>
      </c>
      <c r="E90" s="66">
        <f t="shared" si="14"/>
        <v>8</v>
      </c>
      <c r="F90" s="66">
        <f t="shared" si="15"/>
        <v>8</v>
      </c>
      <c r="G90" s="66">
        <f t="shared" si="16"/>
        <v>8</v>
      </c>
      <c r="H90" s="66">
        <f t="shared" si="17"/>
        <v>8</v>
      </c>
      <c r="I90" s="66">
        <f t="shared" si="18"/>
        <v>8</v>
      </c>
      <c r="J90" s="66">
        <f t="shared" si="19"/>
        <v>8</v>
      </c>
      <c r="K90" s="66">
        <f t="shared" si="20"/>
        <v>8</v>
      </c>
      <c r="L90" s="66">
        <f t="shared" si="21"/>
        <v>8</v>
      </c>
      <c r="M90" s="66">
        <f t="shared" si="22"/>
        <v>8</v>
      </c>
      <c r="N90" s="66">
        <f t="shared" si="23"/>
        <v>8</v>
      </c>
      <c r="O90" s="66">
        <f t="shared" si="24"/>
        <v>8</v>
      </c>
      <c r="P90" s="66">
        <f t="shared" si="25"/>
        <v>8</v>
      </c>
      <c r="Q90" s="66">
        <f t="shared" si="26"/>
        <v>8</v>
      </c>
      <c r="R90" s="66">
        <f t="shared" si="27"/>
        <v>8</v>
      </c>
      <c r="S90" s="66">
        <f t="shared" si="28"/>
        <v>8</v>
      </c>
      <c r="T90" s="66">
        <f t="shared" si="29"/>
        <v>8</v>
      </c>
      <c r="U90" s="66">
        <f t="shared" si="30"/>
        <v>8</v>
      </c>
      <c r="V90" s="66">
        <f t="shared" si="31"/>
        <v>8</v>
      </c>
      <c r="W90" s="66">
        <f t="shared" si="32"/>
        <v>8</v>
      </c>
      <c r="X90" s="66">
        <f t="shared" si="33"/>
        <v>8</v>
      </c>
      <c r="Y90" s="66">
        <f t="shared" si="34"/>
        <v>8</v>
      </c>
      <c r="Z90" s="66">
        <f t="shared" si="35"/>
        <v>8</v>
      </c>
      <c r="AA90" s="66">
        <f t="shared" si="36"/>
        <v>8</v>
      </c>
      <c r="AB90" s="66">
        <f t="shared" si="37"/>
        <v>8</v>
      </c>
      <c r="AC90" s="66">
        <f t="shared" si="38"/>
        <v>8</v>
      </c>
      <c r="AD90" s="66">
        <f t="shared" si="39"/>
        <v>8</v>
      </c>
      <c r="AE90" s="66">
        <f t="shared" si="40"/>
        <v>8</v>
      </c>
      <c r="AF90" s="66" t="str">
        <f t="shared" si="41"/>
        <v/>
      </c>
      <c r="AG90" s="66" t="str">
        <f t="shared" si="42"/>
        <v/>
      </c>
      <c r="AH90" s="66">
        <f t="shared" si="43"/>
        <v>8</v>
      </c>
      <c r="AI90" s="66">
        <f t="shared" si="44"/>
        <v>8</v>
      </c>
      <c r="AJ90" s="66">
        <f t="shared" si="45"/>
        <v>8</v>
      </c>
      <c r="AO90" s="76"/>
      <c r="AP90" s="63"/>
      <c r="AU90" s="63"/>
      <c r="AY90" s="63"/>
      <c r="AZ90" s="63"/>
      <c r="BA90" s="63"/>
    </row>
    <row r="91" spans="1:53" ht="25.5" customHeight="1">
      <c r="A91" s="66">
        <f t="shared" si="9"/>
        <v>9</v>
      </c>
      <c r="B91" s="66" t="str">
        <f t="shared" si="9"/>
        <v>李政聰</v>
      </c>
      <c r="C91" s="66">
        <f t="shared" si="12"/>
        <v>9</v>
      </c>
      <c r="D91" s="66">
        <f t="shared" si="13"/>
        <v>9</v>
      </c>
      <c r="E91" s="66">
        <f t="shared" si="14"/>
        <v>9</v>
      </c>
      <c r="F91" s="66">
        <f t="shared" si="15"/>
        <v>9</v>
      </c>
      <c r="G91" s="66">
        <f t="shared" si="16"/>
        <v>9</v>
      </c>
      <c r="H91" s="66">
        <f t="shared" si="17"/>
        <v>9</v>
      </c>
      <c r="I91" s="66">
        <f t="shared" si="18"/>
        <v>9</v>
      </c>
      <c r="J91" s="66">
        <f t="shared" si="19"/>
        <v>9</v>
      </c>
      <c r="K91" s="66">
        <f t="shared" si="20"/>
        <v>9</v>
      </c>
      <c r="L91" s="66">
        <f t="shared" si="21"/>
        <v>9</v>
      </c>
      <c r="M91" s="66">
        <f t="shared" si="22"/>
        <v>9</v>
      </c>
      <c r="N91" s="66">
        <f t="shared" si="23"/>
        <v>9</v>
      </c>
      <c r="O91" s="66">
        <f t="shared" si="24"/>
        <v>9</v>
      </c>
      <c r="P91" s="66">
        <f t="shared" si="25"/>
        <v>9</v>
      </c>
      <c r="Q91" s="66">
        <f t="shared" si="26"/>
        <v>9</v>
      </c>
      <c r="R91" s="66">
        <f t="shared" si="27"/>
        <v>9</v>
      </c>
      <c r="S91" s="66">
        <f t="shared" si="28"/>
        <v>9</v>
      </c>
      <c r="T91" s="66">
        <f t="shared" si="29"/>
        <v>9</v>
      </c>
      <c r="U91" s="66">
        <f t="shared" si="30"/>
        <v>9</v>
      </c>
      <c r="V91" s="66">
        <f t="shared" si="31"/>
        <v>9</v>
      </c>
      <c r="W91" s="66">
        <f t="shared" si="32"/>
        <v>9</v>
      </c>
      <c r="X91" s="66">
        <f t="shared" si="33"/>
        <v>9</v>
      </c>
      <c r="Y91" s="66">
        <f t="shared" si="34"/>
        <v>9</v>
      </c>
      <c r="Z91" s="66">
        <f t="shared" si="35"/>
        <v>9</v>
      </c>
      <c r="AA91" s="66">
        <f t="shared" si="36"/>
        <v>9</v>
      </c>
      <c r="AB91" s="66">
        <f t="shared" si="37"/>
        <v>9</v>
      </c>
      <c r="AC91" s="66">
        <f t="shared" si="38"/>
        <v>9</v>
      </c>
      <c r="AD91" s="66">
        <f t="shared" si="39"/>
        <v>9</v>
      </c>
      <c r="AE91" s="66">
        <f t="shared" si="40"/>
        <v>9</v>
      </c>
      <c r="AF91" s="66">
        <f t="shared" si="41"/>
        <v>9</v>
      </c>
      <c r="AG91" s="66">
        <f t="shared" si="42"/>
        <v>9</v>
      </c>
      <c r="AH91" s="66">
        <f t="shared" si="43"/>
        <v>9</v>
      </c>
      <c r="AI91" s="66">
        <f t="shared" si="44"/>
        <v>9</v>
      </c>
      <c r="AJ91" s="66">
        <f t="shared" si="45"/>
        <v>9</v>
      </c>
      <c r="AO91" s="76"/>
      <c r="AP91" s="63"/>
      <c r="AU91" s="63"/>
      <c r="AY91" s="63"/>
      <c r="AZ91" s="63"/>
      <c r="BA91" s="63"/>
    </row>
    <row r="92" spans="1:53">
      <c r="A92" s="66">
        <f t="shared" si="9"/>
        <v>10</v>
      </c>
      <c r="B92" s="66" t="str">
        <f t="shared" si="9"/>
        <v>劉威志</v>
      </c>
      <c r="C92" s="66">
        <f t="shared" si="12"/>
        <v>10</v>
      </c>
      <c r="D92" s="66">
        <f t="shared" si="13"/>
        <v>10</v>
      </c>
      <c r="E92" s="66">
        <f t="shared" si="14"/>
        <v>10</v>
      </c>
      <c r="F92" s="66">
        <f t="shared" si="15"/>
        <v>10</v>
      </c>
      <c r="G92" s="66">
        <f t="shared" si="16"/>
        <v>10</v>
      </c>
      <c r="H92" s="66">
        <f t="shared" si="17"/>
        <v>10</v>
      </c>
      <c r="I92" s="66">
        <f t="shared" si="18"/>
        <v>10</v>
      </c>
      <c r="J92" s="66">
        <f t="shared" si="19"/>
        <v>10</v>
      </c>
      <c r="K92" s="66">
        <f t="shared" si="20"/>
        <v>10</v>
      </c>
      <c r="L92" s="66">
        <f t="shared" si="21"/>
        <v>10</v>
      </c>
      <c r="M92" s="66">
        <f t="shared" si="22"/>
        <v>10</v>
      </c>
      <c r="N92" s="66">
        <f t="shared" si="23"/>
        <v>10</v>
      </c>
      <c r="O92" s="66">
        <f t="shared" si="24"/>
        <v>10</v>
      </c>
      <c r="P92" s="66">
        <f t="shared" si="25"/>
        <v>10</v>
      </c>
      <c r="Q92" s="66">
        <f t="shared" si="26"/>
        <v>10</v>
      </c>
      <c r="R92" s="66">
        <f t="shared" si="27"/>
        <v>10</v>
      </c>
      <c r="S92" s="66">
        <f t="shared" si="28"/>
        <v>10</v>
      </c>
      <c r="T92" s="66">
        <f t="shared" si="29"/>
        <v>10</v>
      </c>
      <c r="U92" s="66">
        <f t="shared" si="30"/>
        <v>10</v>
      </c>
      <c r="V92" s="66">
        <f t="shared" si="31"/>
        <v>10</v>
      </c>
      <c r="W92" s="66">
        <f t="shared" si="32"/>
        <v>10</v>
      </c>
      <c r="X92" s="66">
        <f t="shared" si="33"/>
        <v>10</v>
      </c>
      <c r="Y92" s="66">
        <f t="shared" si="34"/>
        <v>10</v>
      </c>
      <c r="Z92" s="66">
        <f t="shared" si="35"/>
        <v>10</v>
      </c>
      <c r="AA92" s="66">
        <f t="shared" si="36"/>
        <v>10</v>
      </c>
      <c r="AB92" s="66">
        <f t="shared" si="37"/>
        <v>10</v>
      </c>
      <c r="AC92" s="66">
        <f t="shared" si="38"/>
        <v>10</v>
      </c>
      <c r="AD92" s="66">
        <f t="shared" si="39"/>
        <v>10</v>
      </c>
      <c r="AE92" s="66">
        <f t="shared" si="40"/>
        <v>10</v>
      </c>
      <c r="AF92" s="66" t="str">
        <f t="shared" si="41"/>
        <v/>
      </c>
      <c r="AG92" s="66" t="str">
        <f t="shared" si="42"/>
        <v/>
      </c>
      <c r="AH92" s="66">
        <f t="shared" si="43"/>
        <v>10</v>
      </c>
      <c r="AI92" s="66">
        <f t="shared" si="44"/>
        <v>10</v>
      </c>
      <c r="AJ92" s="66">
        <f t="shared" si="45"/>
        <v>10</v>
      </c>
      <c r="AO92" s="76"/>
      <c r="AP92" s="63"/>
      <c r="AU92" s="63"/>
      <c r="AY92" s="63"/>
      <c r="AZ92" s="63"/>
      <c r="BA92" s="63"/>
    </row>
    <row r="93" spans="1:53">
      <c r="A93" s="66">
        <f t="shared" si="9"/>
        <v>11</v>
      </c>
      <c r="B93" s="66" t="str">
        <f t="shared" si="9"/>
        <v>梁展碩</v>
      </c>
      <c r="C93" s="66" t="str">
        <f t="shared" si="12"/>
        <v>.11</v>
      </c>
      <c r="D93" s="66" t="str">
        <f t="shared" si="13"/>
        <v>.11</v>
      </c>
      <c r="E93" s="66" t="str">
        <f t="shared" si="14"/>
        <v>.11</v>
      </c>
      <c r="F93" s="66" t="str">
        <f t="shared" si="15"/>
        <v>.11</v>
      </c>
      <c r="G93" s="66" t="str">
        <f t="shared" si="16"/>
        <v>.11</v>
      </c>
      <c r="H93" s="66" t="str">
        <f t="shared" si="17"/>
        <v>.11</v>
      </c>
      <c r="I93" s="66" t="str">
        <f t="shared" si="18"/>
        <v>.11</v>
      </c>
      <c r="J93" s="66" t="str">
        <f t="shared" si="19"/>
        <v>.11</v>
      </c>
      <c r="K93" s="66" t="str">
        <f t="shared" si="20"/>
        <v>.11</v>
      </c>
      <c r="L93" s="66" t="str">
        <f t="shared" si="21"/>
        <v>.11</v>
      </c>
      <c r="M93" s="66" t="str">
        <f t="shared" si="22"/>
        <v>.11</v>
      </c>
      <c r="N93" s="66" t="str">
        <f t="shared" si="23"/>
        <v>.11</v>
      </c>
      <c r="O93" s="66" t="str">
        <f t="shared" si="24"/>
        <v>.11</v>
      </c>
      <c r="P93" s="66" t="str">
        <f t="shared" si="25"/>
        <v>.11</v>
      </c>
      <c r="Q93" s="66" t="str">
        <f t="shared" si="26"/>
        <v>.11</v>
      </c>
      <c r="R93" s="66" t="str">
        <f t="shared" si="27"/>
        <v>.11</v>
      </c>
      <c r="S93" s="66" t="str">
        <f t="shared" si="28"/>
        <v>.11</v>
      </c>
      <c r="T93" s="66" t="str">
        <f t="shared" si="29"/>
        <v>.11</v>
      </c>
      <c r="U93" s="66" t="str">
        <f t="shared" si="30"/>
        <v>.11</v>
      </c>
      <c r="V93" s="66" t="str">
        <f t="shared" si="31"/>
        <v>.11</v>
      </c>
      <c r="W93" s="66" t="str">
        <f t="shared" si="32"/>
        <v>.11</v>
      </c>
      <c r="X93" s="66" t="str">
        <f t="shared" si="33"/>
        <v>.11</v>
      </c>
      <c r="Y93" s="66" t="str">
        <f t="shared" si="34"/>
        <v>.11</v>
      </c>
      <c r="Z93" s="66" t="str">
        <f t="shared" si="35"/>
        <v>.11</v>
      </c>
      <c r="AA93" s="66" t="str">
        <f t="shared" si="36"/>
        <v>.11</v>
      </c>
      <c r="AB93" s="66" t="str">
        <f t="shared" si="37"/>
        <v>.11</v>
      </c>
      <c r="AC93" s="66" t="str">
        <f t="shared" si="38"/>
        <v>.11</v>
      </c>
      <c r="AD93" s="66" t="str">
        <f t="shared" si="39"/>
        <v>.11</v>
      </c>
      <c r="AE93" s="66" t="str">
        <f t="shared" si="40"/>
        <v>.11</v>
      </c>
      <c r="AF93" s="66">
        <f t="shared" si="41"/>
        <v>11</v>
      </c>
      <c r="AG93" s="66">
        <f t="shared" si="42"/>
        <v>11</v>
      </c>
      <c r="AH93" s="66" t="str">
        <f t="shared" si="43"/>
        <v>.11</v>
      </c>
      <c r="AI93" s="66" t="str">
        <f t="shared" si="44"/>
        <v>.11</v>
      </c>
      <c r="AJ93" s="66" t="str">
        <f t="shared" si="45"/>
        <v>.11</v>
      </c>
      <c r="AO93" s="76"/>
      <c r="AP93" s="63"/>
      <c r="AU93" s="63"/>
      <c r="AY93" s="63"/>
      <c r="AZ93" s="63"/>
      <c r="BA93" s="63"/>
    </row>
    <row r="94" spans="1:53">
      <c r="A94" s="66">
        <f t="shared" si="9"/>
        <v>12</v>
      </c>
      <c r="B94" s="66" t="str">
        <f t="shared" si="9"/>
        <v>何奕諠</v>
      </c>
      <c r="C94" s="66" t="str">
        <f t="shared" si="12"/>
        <v>.12</v>
      </c>
      <c r="D94" s="66" t="str">
        <f t="shared" si="13"/>
        <v>.12</v>
      </c>
      <c r="E94" s="66" t="str">
        <f t="shared" si="14"/>
        <v>.12</v>
      </c>
      <c r="F94" s="66" t="str">
        <f t="shared" si="15"/>
        <v>.12</v>
      </c>
      <c r="G94" s="66" t="str">
        <f t="shared" si="16"/>
        <v>.12</v>
      </c>
      <c r="H94" s="66" t="str">
        <f t="shared" si="17"/>
        <v>.12</v>
      </c>
      <c r="I94" s="66" t="str">
        <f t="shared" si="18"/>
        <v>.12</v>
      </c>
      <c r="J94" s="66" t="str">
        <f t="shared" si="19"/>
        <v>.12</v>
      </c>
      <c r="K94" s="66" t="str">
        <f t="shared" si="20"/>
        <v>.12</v>
      </c>
      <c r="L94" s="66" t="str">
        <f t="shared" si="21"/>
        <v>.12</v>
      </c>
      <c r="M94" s="66" t="str">
        <f t="shared" si="22"/>
        <v>.12</v>
      </c>
      <c r="N94" s="66" t="str">
        <f t="shared" si="23"/>
        <v>.12</v>
      </c>
      <c r="O94" s="66" t="str">
        <f t="shared" si="24"/>
        <v>.12</v>
      </c>
      <c r="P94" s="66" t="str">
        <f t="shared" si="25"/>
        <v>.12</v>
      </c>
      <c r="Q94" s="66" t="str">
        <f t="shared" si="26"/>
        <v>.12</v>
      </c>
      <c r="R94" s="66" t="str">
        <f t="shared" si="27"/>
        <v>.12</v>
      </c>
      <c r="S94" s="66" t="str">
        <f t="shared" si="28"/>
        <v>.12</v>
      </c>
      <c r="T94" s="66" t="str">
        <f t="shared" si="29"/>
        <v>.12</v>
      </c>
      <c r="U94" s="66" t="str">
        <f t="shared" si="30"/>
        <v>.12</v>
      </c>
      <c r="V94" s="66" t="str">
        <f t="shared" si="31"/>
        <v>.12</v>
      </c>
      <c r="W94" s="66" t="str">
        <f t="shared" si="32"/>
        <v>.12</v>
      </c>
      <c r="X94" s="66" t="str">
        <f t="shared" si="33"/>
        <v>.12</v>
      </c>
      <c r="Y94" s="66" t="str">
        <f t="shared" si="34"/>
        <v>.12</v>
      </c>
      <c r="Z94" s="66" t="str">
        <f t="shared" si="35"/>
        <v>.12</v>
      </c>
      <c r="AA94" s="66" t="str">
        <f t="shared" si="36"/>
        <v>.12</v>
      </c>
      <c r="AB94" s="66" t="str">
        <f t="shared" si="37"/>
        <v>.12</v>
      </c>
      <c r="AC94" s="66" t="str">
        <f t="shared" si="38"/>
        <v>.12</v>
      </c>
      <c r="AD94" s="66" t="str">
        <f t="shared" si="39"/>
        <v>.12</v>
      </c>
      <c r="AE94" s="66" t="str">
        <f t="shared" si="40"/>
        <v>.12</v>
      </c>
      <c r="AF94" s="66" t="str">
        <f t="shared" si="41"/>
        <v>.12</v>
      </c>
      <c r="AG94" s="66" t="str">
        <f t="shared" si="42"/>
        <v>.12</v>
      </c>
      <c r="AH94" s="66" t="str">
        <f t="shared" si="43"/>
        <v>.12</v>
      </c>
      <c r="AI94" s="66" t="str">
        <f t="shared" si="44"/>
        <v>.12</v>
      </c>
      <c r="AJ94" s="66" t="str">
        <f t="shared" si="45"/>
        <v>.12</v>
      </c>
      <c r="AO94" s="76"/>
      <c r="AP94" s="63"/>
      <c r="AU94" s="63"/>
      <c r="AY94" s="63"/>
      <c r="AZ94" s="63"/>
      <c r="BA94" s="63"/>
    </row>
    <row r="95" spans="1:53">
      <c r="A95" s="66">
        <f t="shared" si="9"/>
        <v>13</v>
      </c>
      <c r="B95" s="66" t="str">
        <f t="shared" si="9"/>
        <v>楊瑞麟</v>
      </c>
      <c r="C95" s="66" t="str">
        <f t="shared" si="12"/>
        <v>.13</v>
      </c>
      <c r="D95" s="66" t="str">
        <f t="shared" si="13"/>
        <v>.13</v>
      </c>
      <c r="E95" s="66" t="str">
        <f t="shared" si="14"/>
        <v>.13</v>
      </c>
      <c r="F95" s="66" t="str">
        <f t="shared" si="15"/>
        <v>.13</v>
      </c>
      <c r="G95" s="66" t="str">
        <f t="shared" si="16"/>
        <v>.13</v>
      </c>
      <c r="H95" s="66" t="str">
        <f t="shared" si="17"/>
        <v>.13</v>
      </c>
      <c r="I95" s="66" t="str">
        <f t="shared" si="18"/>
        <v>.13</v>
      </c>
      <c r="J95" s="66" t="str">
        <f t="shared" si="19"/>
        <v>.13</v>
      </c>
      <c r="K95" s="66" t="str">
        <f t="shared" si="20"/>
        <v>.13</v>
      </c>
      <c r="L95" s="66" t="str">
        <f t="shared" si="21"/>
        <v>.13</v>
      </c>
      <c r="M95" s="66" t="str">
        <f t="shared" si="22"/>
        <v>.13</v>
      </c>
      <c r="N95" s="66" t="str">
        <f t="shared" si="23"/>
        <v>.13</v>
      </c>
      <c r="O95" s="66" t="str">
        <f t="shared" si="24"/>
        <v>.13</v>
      </c>
      <c r="P95" s="66" t="str">
        <f t="shared" si="25"/>
        <v>.13</v>
      </c>
      <c r="Q95" s="66" t="str">
        <f t="shared" si="26"/>
        <v>.13</v>
      </c>
      <c r="R95" s="66" t="str">
        <f t="shared" si="27"/>
        <v>.13</v>
      </c>
      <c r="S95" s="66" t="str">
        <f t="shared" si="28"/>
        <v>.13</v>
      </c>
      <c r="T95" s="66" t="str">
        <f t="shared" si="29"/>
        <v>.13</v>
      </c>
      <c r="U95" s="66" t="str">
        <f t="shared" si="30"/>
        <v>.13</v>
      </c>
      <c r="V95" s="66" t="str">
        <f t="shared" si="31"/>
        <v>.13</v>
      </c>
      <c r="W95" s="66" t="str">
        <f t="shared" si="32"/>
        <v>.13</v>
      </c>
      <c r="X95" s="66" t="str">
        <f t="shared" si="33"/>
        <v>.13</v>
      </c>
      <c r="Y95" s="66" t="str">
        <f t="shared" si="34"/>
        <v>.13</v>
      </c>
      <c r="Z95" s="66" t="str">
        <f t="shared" si="35"/>
        <v>.13</v>
      </c>
      <c r="AA95" s="66" t="str">
        <f t="shared" si="36"/>
        <v>.13</v>
      </c>
      <c r="AB95" s="66" t="str">
        <f t="shared" si="37"/>
        <v>.13</v>
      </c>
      <c r="AC95" s="66" t="str">
        <f t="shared" si="38"/>
        <v>.13</v>
      </c>
      <c r="AD95" s="66" t="str">
        <f t="shared" si="39"/>
        <v>.13</v>
      </c>
      <c r="AE95" s="66" t="str">
        <f t="shared" si="40"/>
        <v>.13</v>
      </c>
      <c r="AF95" s="66" t="str">
        <f t="shared" si="41"/>
        <v>.</v>
      </c>
      <c r="AG95" s="66" t="str">
        <f t="shared" si="42"/>
        <v>.</v>
      </c>
      <c r="AH95" s="66" t="str">
        <f t="shared" si="43"/>
        <v>.13</v>
      </c>
      <c r="AI95" s="66" t="str">
        <f t="shared" si="44"/>
        <v>.13</v>
      </c>
      <c r="AJ95" s="66" t="str">
        <f t="shared" si="45"/>
        <v>.13</v>
      </c>
      <c r="AO95" s="76"/>
      <c r="AP95" s="63"/>
      <c r="AU95" s="63"/>
      <c r="AY95" s="63"/>
      <c r="AZ95" s="63"/>
      <c r="BA95" s="63"/>
    </row>
    <row r="96" spans="1:53">
      <c r="A96" s="66">
        <f t="shared" si="9"/>
        <v>14</v>
      </c>
      <c r="B96" s="66" t="str">
        <f t="shared" si="9"/>
        <v>鄭品豪</v>
      </c>
      <c r="C96" s="66" t="str">
        <f t="shared" si="12"/>
        <v>.14</v>
      </c>
      <c r="D96" s="66" t="str">
        <f t="shared" si="13"/>
        <v>.14</v>
      </c>
      <c r="E96" s="66" t="str">
        <f t="shared" si="14"/>
        <v>.14</v>
      </c>
      <c r="F96" s="66" t="str">
        <f t="shared" si="15"/>
        <v>.14</v>
      </c>
      <c r="G96" s="66" t="str">
        <f t="shared" si="16"/>
        <v>.14</v>
      </c>
      <c r="H96" s="66" t="str">
        <f t="shared" si="17"/>
        <v>.14</v>
      </c>
      <c r="I96" s="66" t="str">
        <f t="shared" si="18"/>
        <v>.14</v>
      </c>
      <c r="J96" s="66" t="str">
        <f t="shared" si="19"/>
        <v>.14</v>
      </c>
      <c r="K96" s="66" t="str">
        <f t="shared" si="20"/>
        <v>.14</v>
      </c>
      <c r="L96" s="66" t="str">
        <f t="shared" si="21"/>
        <v>.14</v>
      </c>
      <c r="M96" s="66" t="str">
        <f t="shared" si="22"/>
        <v>.14</v>
      </c>
      <c r="N96" s="66" t="str">
        <f t="shared" si="23"/>
        <v>.14</v>
      </c>
      <c r="O96" s="66" t="str">
        <f t="shared" si="24"/>
        <v>.14</v>
      </c>
      <c r="P96" s="66" t="str">
        <f t="shared" si="25"/>
        <v>.14</v>
      </c>
      <c r="Q96" s="66" t="str">
        <f t="shared" si="26"/>
        <v>.14</v>
      </c>
      <c r="R96" s="66" t="str">
        <f t="shared" si="27"/>
        <v>.14</v>
      </c>
      <c r="S96" s="66" t="str">
        <f t="shared" si="28"/>
        <v>.14</v>
      </c>
      <c r="T96" s="66" t="str">
        <f t="shared" si="29"/>
        <v>.14</v>
      </c>
      <c r="U96" s="66" t="str">
        <f t="shared" si="30"/>
        <v>.14</v>
      </c>
      <c r="V96" s="66" t="str">
        <f t="shared" si="31"/>
        <v>.14</v>
      </c>
      <c r="W96" s="66" t="str">
        <f t="shared" si="32"/>
        <v>.14</v>
      </c>
      <c r="X96" s="66" t="str">
        <f t="shared" si="33"/>
        <v>.14</v>
      </c>
      <c r="Y96" s="66" t="str">
        <f t="shared" si="34"/>
        <v>.14</v>
      </c>
      <c r="Z96" s="66" t="str">
        <f t="shared" si="35"/>
        <v>.14</v>
      </c>
      <c r="AA96" s="66" t="str">
        <f t="shared" si="36"/>
        <v>.14</v>
      </c>
      <c r="AB96" s="66" t="str">
        <f t="shared" si="37"/>
        <v>.14</v>
      </c>
      <c r="AC96" s="66" t="str">
        <f t="shared" si="38"/>
        <v>.14</v>
      </c>
      <c r="AD96" s="66" t="str">
        <f t="shared" si="39"/>
        <v>.14</v>
      </c>
      <c r="AE96" s="66" t="str">
        <f t="shared" si="40"/>
        <v>.14</v>
      </c>
      <c r="AF96" s="66">
        <f t="shared" si="41"/>
        <v>14</v>
      </c>
      <c r="AG96" s="66">
        <f t="shared" si="42"/>
        <v>14</v>
      </c>
      <c r="AH96" s="66" t="str">
        <f t="shared" si="43"/>
        <v>.14</v>
      </c>
      <c r="AI96" s="66" t="str">
        <f t="shared" si="44"/>
        <v>.14</v>
      </c>
      <c r="AJ96" s="66" t="str">
        <f t="shared" si="45"/>
        <v>.14</v>
      </c>
      <c r="AO96" s="76"/>
      <c r="AP96" s="63"/>
      <c r="AU96" s="63"/>
      <c r="AY96" s="63"/>
      <c r="AZ96" s="63"/>
      <c r="BA96" s="63"/>
    </row>
    <row r="97" spans="1:53">
      <c r="A97" s="66">
        <f t="shared" si="9"/>
        <v>15</v>
      </c>
      <c r="B97" s="66" t="str">
        <f t="shared" si="9"/>
        <v>林晉弘</v>
      </c>
      <c r="C97" s="66" t="str">
        <f t="shared" si="12"/>
        <v>.15</v>
      </c>
      <c r="D97" s="66" t="str">
        <f t="shared" si="13"/>
        <v>.15</v>
      </c>
      <c r="E97" s="66" t="str">
        <f t="shared" si="14"/>
        <v>.15</v>
      </c>
      <c r="F97" s="66" t="str">
        <f t="shared" si="15"/>
        <v>.15</v>
      </c>
      <c r="G97" s="66" t="str">
        <f t="shared" si="16"/>
        <v>.15</v>
      </c>
      <c r="H97" s="66" t="str">
        <f t="shared" si="17"/>
        <v>.15</v>
      </c>
      <c r="I97" s="66" t="str">
        <f t="shared" si="18"/>
        <v>.15</v>
      </c>
      <c r="J97" s="66" t="str">
        <f t="shared" si="19"/>
        <v>.15</v>
      </c>
      <c r="K97" s="66" t="str">
        <f t="shared" si="20"/>
        <v>.15</v>
      </c>
      <c r="L97" s="66" t="str">
        <f t="shared" si="21"/>
        <v>.15</v>
      </c>
      <c r="M97" s="66" t="str">
        <f t="shared" si="22"/>
        <v>.15</v>
      </c>
      <c r="N97" s="66" t="str">
        <f t="shared" si="23"/>
        <v>.15</v>
      </c>
      <c r="O97" s="66" t="str">
        <f t="shared" si="24"/>
        <v>.15</v>
      </c>
      <c r="P97" s="66" t="str">
        <f t="shared" si="25"/>
        <v>.15</v>
      </c>
      <c r="Q97" s="66" t="str">
        <f t="shared" si="26"/>
        <v>.15</v>
      </c>
      <c r="R97" s="66" t="str">
        <f t="shared" si="27"/>
        <v>.15</v>
      </c>
      <c r="S97" s="66" t="str">
        <f t="shared" si="28"/>
        <v>.15</v>
      </c>
      <c r="T97" s="66" t="str">
        <f t="shared" si="29"/>
        <v>.15</v>
      </c>
      <c r="U97" s="66" t="str">
        <f t="shared" si="30"/>
        <v>.15</v>
      </c>
      <c r="V97" s="66" t="str">
        <f t="shared" si="31"/>
        <v>.15</v>
      </c>
      <c r="W97" s="66" t="str">
        <f t="shared" si="32"/>
        <v>.15</v>
      </c>
      <c r="X97" s="66" t="str">
        <f t="shared" si="33"/>
        <v>.15</v>
      </c>
      <c r="Y97" s="66" t="str">
        <f t="shared" si="34"/>
        <v>.15</v>
      </c>
      <c r="Z97" s="66" t="str">
        <f t="shared" si="35"/>
        <v>.15</v>
      </c>
      <c r="AA97" s="66" t="str">
        <f t="shared" si="36"/>
        <v>.15</v>
      </c>
      <c r="AB97" s="66" t="str">
        <f t="shared" si="37"/>
        <v>.15</v>
      </c>
      <c r="AC97" s="66" t="str">
        <f t="shared" si="38"/>
        <v>.15</v>
      </c>
      <c r="AD97" s="66" t="str">
        <f t="shared" si="39"/>
        <v>.15</v>
      </c>
      <c r="AE97" s="66" t="str">
        <f t="shared" si="40"/>
        <v>.15</v>
      </c>
      <c r="AF97" s="66" t="str">
        <f t="shared" si="41"/>
        <v>.</v>
      </c>
      <c r="AG97" s="66" t="str">
        <f t="shared" si="42"/>
        <v>.</v>
      </c>
      <c r="AH97" s="66" t="str">
        <f t="shared" si="43"/>
        <v>.15</v>
      </c>
      <c r="AI97" s="66" t="str">
        <f t="shared" si="44"/>
        <v>.15</v>
      </c>
      <c r="AJ97" s="66" t="str">
        <f t="shared" si="45"/>
        <v>.15</v>
      </c>
      <c r="AO97" s="76"/>
      <c r="AP97" s="63"/>
      <c r="AU97" s="63"/>
      <c r="AY97" s="63"/>
      <c r="AZ97" s="63"/>
      <c r="BA97" s="63"/>
    </row>
    <row r="98" spans="1:53">
      <c r="A98" s="66">
        <f t="shared" si="9"/>
        <v>16</v>
      </c>
      <c r="B98" s="66" t="str">
        <f t="shared" si="9"/>
        <v>張恩齊</v>
      </c>
      <c r="C98" s="66" t="str">
        <f t="shared" si="12"/>
        <v>.16</v>
      </c>
      <c r="D98" s="66" t="str">
        <f t="shared" si="13"/>
        <v>.16</v>
      </c>
      <c r="E98" s="66" t="str">
        <f t="shared" si="14"/>
        <v>.16</v>
      </c>
      <c r="F98" s="66" t="str">
        <f t="shared" si="15"/>
        <v>.16</v>
      </c>
      <c r="G98" s="66" t="str">
        <f t="shared" si="16"/>
        <v>.16</v>
      </c>
      <c r="H98" s="66" t="str">
        <f t="shared" si="17"/>
        <v>.16</v>
      </c>
      <c r="I98" s="66" t="str">
        <f t="shared" si="18"/>
        <v>.16</v>
      </c>
      <c r="J98" s="66" t="str">
        <f t="shared" si="19"/>
        <v>.16</v>
      </c>
      <c r="K98" s="66" t="str">
        <f t="shared" si="20"/>
        <v>.16</v>
      </c>
      <c r="L98" s="66" t="str">
        <f t="shared" si="21"/>
        <v>.16</v>
      </c>
      <c r="M98" s="66" t="str">
        <f t="shared" si="22"/>
        <v>.16</v>
      </c>
      <c r="N98" s="66" t="str">
        <f t="shared" si="23"/>
        <v>.16</v>
      </c>
      <c r="O98" s="66" t="str">
        <f t="shared" si="24"/>
        <v>.16</v>
      </c>
      <c r="P98" s="66" t="str">
        <f t="shared" si="25"/>
        <v>.16</v>
      </c>
      <c r="Q98" s="66" t="str">
        <f t="shared" si="26"/>
        <v>.16</v>
      </c>
      <c r="R98" s="66" t="str">
        <f t="shared" si="27"/>
        <v>.16</v>
      </c>
      <c r="S98" s="66" t="str">
        <f t="shared" si="28"/>
        <v>.16</v>
      </c>
      <c r="T98" s="66" t="str">
        <f t="shared" si="29"/>
        <v>.16</v>
      </c>
      <c r="U98" s="66" t="str">
        <f t="shared" si="30"/>
        <v>.16</v>
      </c>
      <c r="V98" s="66" t="str">
        <f t="shared" si="31"/>
        <v>.16</v>
      </c>
      <c r="W98" s="66" t="str">
        <f t="shared" si="32"/>
        <v>.16</v>
      </c>
      <c r="X98" s="66" t="str">
        <f t="shared" si="33"/>
        <v>.16</v>
      </c>
      <c r="Y98" s="66" t="str">
        <f t="shared" si="34"/>
        <v>.16</v>
      </c>
      <c r="Z98" s="66" t="str">
        <f t="shared" si="35"/>
        <v>.16</v>
      </c>
      <c r="AA98" s="66" t="str">
        <f t="shared" si="36"/>
        <v>.16</v>
      </c>
      <c r="AB98" s="66" t="str">
        <f t="shared" si="37"/>
        <v>.16</v>
      </c>
      <c r="AC98" s="66" t="str">
        <f t="shared" si="38"/>
        <v>.16</v>
      </c>
      <c r="AD98" s="66" t="str">
        <f t="shared" si="39"/>
        <v>.16</v>
      </c>
      <c r="AE98" s="66" t="str">
        <f t="shared" si="40"/>
        <v>.16</v>
      </c>
      <c r="AF98" s="66">
        <f t="shared" si="41"/>
        <v>16</v>
      </c>
      <c r="AG98" s="66">
        <f t="shared" si="42"/>
        <v>16</v>
      </c>
      <c r="AH98" s="66" t="str">
        <f t="shared" si="43"/>
        <v>.16</v>
      </c>
      <c r="AI98" s="66" t="str">
        <f t="shared" si="44"/>
        <v>.16</v>
      </c>
      <c r="AJ98" s="66" t="str">
        <f t="shared" si="45"/>
        <v>.16</v>
      </c>
      <c r="AO98" s="76"/>
      <c r="AP98" s="63"/>
      <c r="AU98" s="63"/>
      <c r="AY98" s="63"/>
      <c r="AZ98" s="63"/>
      <c r="BA98" s="63"/>
    </row>
    <row r="99" spans="1:53">
      <c r="A99" s="66">
        <f t="shared" ref="A99:B114" si="46">A59</f>
        <v>17</v>
      </c>
      <c r="B99" s="66" t="str">
        <f t="shared" si="46"/>
        <v>周承澔</v>
      </c>
      <c r="C99" s="66" t="str">
        <f t="shared" si="12"/>
        <v>.17</v>
      </c>
      <c r="D99" s="66" t="str">
        <f t="shared" si="13"/>
        <v>.17</v>
      </c>
      <c r="E99" s="66" t="str">
        <f t="shared" si="14"/>
        <v>.17</v>
      </c>
      <c r="F99" s="66" t="str">
        <f t="shared" si="15"/>
        <v>.17</v>
      </c>
      <c r="G99" s="66" t="str">
        <f t="shared" si="16"/>
        <v>.17</v>
      </c>
      <c r="H99" s="66" t="str">
        <f t="shared" si="17"/>
        <v>.17</v>
      </c>
      <c r="I99" s="66" t="str">
        <f t="shared" si="18"/>
        <v>.17</v>
      </c>
      <c r="J99" s="66" t="str">
        <f t="shared" si="19"/>
        <v>.17</v>
      </c>
      <c r="K99" s="66" t="str">
        <f t="shared" si="20"/>
        <v>.17</v>
      </c>
      <c r="L99" s="66" t="str">
        <f t="shared" si="21"/>
        <v>.17</v>
      </c>
      <c r="M99" s="66" t="str">
        <f t="shared" si="22"/>
        <v>.17</v>
      </c>
      <c r="N99" s="66" t="str">
        <f t="shared" si="23"/>
        <v>.17</v>
      </c>
      <c r="O99" s="66" t="str">
        <f t="shared" si="24"/>
        <v>.17</v>
      </c>
      <c r="P99" s="66" t="str">
        <f t="shared" si="25"/>
        <v>.17</v>
      </c>
      <c r="Q99" s="66" t="str">
        <f t="shared" si="26"/>
        <v>.17</v>
      </c>
      <c r="R99" s="66" t="str">
        <f t="shared" si="27"/>
        <v>.17</v>
      </c>
      <c r="S99" s="66" t="str">
        <f t="shared" si="28"/>
        <v>.17</v>
      </c>
      <c r="T99" s="66" t="str">
        <f t="shared" si="29"/>
        <v>.17</v>
      </c>
      <c r="U99" s="66" t="str">
        <f t="shared" si="30"/>
        <v>.17</v>
      </c>
      <c r="V99" s="66" t="str">
        <f t="shared" si="31"/>
        <v>.17</v>
      </c>
      <c r="W99" s="66" t="str">
        <f t="shared" si="32"/>
        <v>.17</v>
      </c>
      <c r="X99" s="66" t="str">
        <f t="shared" si="33"/>
        <v>.17</v>
      </c>
      <c r="Y99" s="66" t="str">
        <f t="shared" si="34"/>
        <v>.17</v>
      </c>
      <c r="Z99" s="66" t="str">
        <f t="shared" si="35"/>
        <v>.17</v>
      </c>
      <c r="AA99" s="66" t="str">
        <f t="shared" si="36"/>
        <v>.17</v>
      </c>
      <c r="AB99" s="66" t="str">
        <f t="shared" si="37"/>
        <v>.17</v>
      </c>
      <c r="AC99" s="66" t="str">
        <f t="shared" si="38"/>
        <v>.17</v>
      </c>
      <c r="AD99" s="66" t="str">
        <f t="shared" si="39"/>
        <v>.17</v>
      </c>
      <c r="AE99" s="66" t="str">
        <f t="shared" si="40"/>
        <v>.17</v>
      </c>
      <c r="AF99" s="66" t="str">
        <f t="shared" si="41"/>
        <v>.17</v>
      </c>
      <c r="AG99" s="66" t="str">
        <f t="shared" si="42"/>
        <v>.17</v>
      </c>
      <c r="AH99" s="66" t="str">
        <f t="shared" si="43"/>
        <v>.17</v>
      </c>
      <c r="AI99" s="66" t="str">
        <f t="shared" si="44"/>
        <v>.17</v>
      </c>
      <c r="AJ99" s="66" t="str">
        <f t="shared" si="45"/>
        <v>.17</v>
      </c>
      <c r="AO99" s="76"/>
      <c r="AP99" s="63"/>
      <c r="AU99" s="63"/>
      <c r="AY99" s="63"/>
      <c r="AZ99" s="63"/>
      <c r="BA99" s="63"/>
    </row>
    <row r="100" spans="1:53">
      <c r="A100" s="66">
        <f t="shared" si="46"/>
        <v>18</v>
      </c>
      <c r="B100" s="66" t="str">
        <f t="shared" si="46"/>
        <v>蔡政倫</v>
      </c>
      <c r="C100" s="66" t="str">
        <f t="shared" si="12"/>
        <v>.18</v>
      </c>
      <c r="D100" s="66" t="str">
        <f t="shared" si="13"/>
        <v>.18</v>
      </c>
      <c r="E100" s="66" t="str">
        <f t="shared" si="14"/>
        <v>.18</v>
      </c>
      <c r="F100" s="66" t="str">
        <f t="shared" si="15"/>
        <v>.18</v>
      </c>
      <c r="G100" s="66" t="str">
        <f t="shared" si="16"/>
        <v>.18</v>
      </c>
      <c r="H100" s="66" t="str">
        <f t="shared" si="17"/>
        <v>.18</v>
      </c>
      <c r="I100" s="66" t="str">
        <f t="shared" si="18"/>
        <v>.18</v>
      </c>
      <c r="J100" s="66" t="str">
        <f t="shared" si="19"/>
        <v>.18</v>
      </c>
      <c r="K100" s="66" t="str">
        <f t="shared" si="20"/>
        <v>.18</v>
      </c>
      <c r="L100" s="66" t="str">
        <f t="shared" si="21"/>
        <v>.18</v>
      </c>
      <c r="M100" s="66" t="str">
        <f t="shared" si="22"/>
        <v>.18</v>
      </c>
      <c r="N100" s="66" t="str">
        <f t="shared" si="23"/>
        <v>.18</v>
      </c>
      <c r="O100" s="66" t="str">
        <f t="shared" si="24"/>
        <v>.18</v>
      </c>
      <c r="P100" s="66" t="str">
        <f t="shared" si="25"/>
        <v>.18</v>
      </c>
      <c r="Q100" s="66" t="str">
        <f t="shared" si="26"/>
        <v>.18</v>
      </c>
      <c r="R100" s="66" t="str">
        <f t="shared" si="27"/>
        <v>.18</v>
      </c>
      <c r="S100" s="66" t="str">
        <f t="shared" si="28"/>
        <v>.18</v>
      </c>
      <c r="T100" s="66" t="str">
        <f t="shared" si="29"/>
        <v>.18</v>
      </c>
      <c r="U100" s="66" t="str">
        <f t="shared" si="30"/>
        <v>.18</v>
      </c>
      <c r="V100" s="66" t="str">
        <f t="shared" si="31"/>
        <v>.18</v>
      </c>
      <c r="W100" s="66" t="str">
        <f t="shared" si="32"/>
        <v>.18</v>
      </c>
      <c r="X100" s="66" t="str">
        <f t="shared" si="33"/>
        <v>.18</v>
      </c>
      <c r="Y100" s="66" t="str">
        <f t="shared" si="34"/>
        <v>.18</v>
      </c>
      <c r="Z100" s="66" t="str">
        <f t="shared" si="35"/>
        <v>.18</v>
      </c>
      <c r="AA100" s="66" t="str">
        <f t="shared" si="36"/>
        <v>.18</v>
      </c>
      <c r="AB100" s="66" t="str">
        <f t="shared" si="37"/>
        <v>.18</v>
      </c>
      <c r="AC100" s="66" t="str">
        <f t="shared" si="38"/>
        <v>.18</v>
      </c>
      <c r="AD100" s="66" t="str">
        <f t="shared" si="39"/>
        <v>.18</v>
      </c>
      <c r="AE100" s="66" t="str">
        <f t="shared" si="40"/>
        <v>.18</v>
      </c>
      <c r="AF100" s="66" t="str">
        <f t="shared" si="41"/>
        <v>.18</v>
      </c>
      <c r="AG100" s="66" t="str">
        <f t="shared" si="42"/>
        <v>.18</v>
      </c>
      <c r="AH100" s="66" t="str">
        <f t="shared" si="43"/>
        <v>.18</v>
      </c>
      <c r="AI100" s="66" t="str">
        <f t="shared" si="44"/>
        <v>.18</v>
      </c>
      <c r="AJ100" s="66" t="str">
        <f t="shared" si="45"/>
        <v>.18</v>
      </c>
      <c r="AO100" s="76"/>
      <c r="AP100" s="63"/>
      <c r="AU100" s="63"/>
      <c r="AY100" s="63"/>
      <c r="AZ100" s="63"/>
      <c r="BA100" s="63"/>
    </row>
    <row r="101" spans="1:53">
      <c r="A101" s="66">
        <f t="shared" si="46"/>
        <v>19</v>
      </c>
      <c r="B101" s="66" t="str">
        <f t="shared" si="46"/>
        <v>蕭敬哲</v>
      </c>
      <c r="C101" s="66" t="str">
        <f t="shared" si="12"/>
        <v>.19</v>
      </c>
      <c r="D101" s="66" t="str">
        <f t="shared" si="13"/>
        <v>.19</v>
      </c>
      <c r="E101" s="66" t="str">
        <f t="shared" si="14"/>
        <v>.19</v>
      </c>
      <c r="F101" s="66" t="str">
        <f t="shared" si="15"/>
        <v>.19</v>
      </c>
      <c r="G101" s="66" t="str">
        <f t="shared" si="16"/>
        <v>.19</v>
      </c>
      <c r="H101" s="66" t="str">
        <f t="shared" si="17"/>
        <v>.19</v>
      </c>
      <c r="I101" s="66" t="str">
        <f t="shared" si="18"/>
        <v>.19</v>
      </c>
      <c r="J101" s="66" t="str">
        <f t="shared" si="19"/>
        <v>.19</v>
      </c>
      <c r="K101" s="66" t="str">
        <f t="shared" si="20"/>
        <v>.19</v>
      </c>
      <c r="L101" s="66" t="str">
        <f t="shared" si="21"/>
        <v>.19</v>
      </c>
      <c r="M101" s="66" t="str">
        <f t="shared" si="22"/>
        <v>.19</v>
      </c>
      <c r="N101" s="66" t="str">
        <f t="shared" si="23"/>
        <v>.19</v>
      </c>
      <c r="O101" s="66" t="str">
        <f t="shared" si="24"/>
        <v>.19</v>
      </c>
      <c r="P101" s="66" t="str">
        <f t="shared" si="25"/>
        <v>.19</v>
      </c>
      <c r="Q101" s="66" t="str">
        <f t="shared" si="26"/>
        <v>.19</v>
      </c>
      <c r="R101" s="66" t="str">
        <f t="shared" si="27"/>
        <v>.19</v>
      </c>
      <c r="S101" s="66" t="str">
        <f t="shared" si="28"/>
        <v>.19</v>
      </c>
      <c r="T101" s="66" t="str">
        <f t="shared" si="29"/>
        <v>.19</v>
      </c>
      <c r="U101" s="66" t="str">
        <f t="shared" si="30"/>
        <v>.19</v>
      </c>
      <c r="V101" s="66" t="str">
        <f t="shared" si="31"/>
        <v>.19</v>
      </c>
      <c r="W101" s="66" t="str">
        <f t="shared" si="32"/>
        <v>.19</v>
      </c>
      <c r="X101" s="66" t="str">
        <f t="shared" si="33"/>
        <v>.19</v>
      </c>
      <c r="Y101" s="66" t="str">
        <f t="shared" si="34"/>
        <v>.19</v>
      </c>
      <c r="Z101" s="66" t="str">
        <f t="shared" si="35"/>
        <v>.19</v>
      </c>
      <c r="AA101" s="66" t="str">
        <f t="shared" si="36"/>
        <v>.19</v>
      </c>
      <c r="AB101" s="66" t="str">
        <f t="shared" si="37"/>
        <v>.19</v>
      </c>
      <c r="AC101" s="66" t="str">
        <f t="shared" si="38"/>
        <v>.19</v>
      </c>
      <c r="AD101" s="66" t="str">
        <f t="shared" si="39"/>
        <v>.19</v>
      </c>
      <c r="AE101" s="66" t="str">
        <f t="shared" si="40"/>
        <v>.19</v>
      </c>
      <c r="AF101" s="66" t="str">
        <f t="shared" si="41"/>
        <v>.19</v>
      </c>
      <c r="AG101" s="66" t="str">
        <f t="shared" si="42"/>
        <v>.19</v>
      </c>
      <c r="AH101" s="66" t="str">
        <f t="shared" si="43"/>
        <v>.19</v>
      </c>
      <c r="AI101" s="66" t="str">
        <f t="shared" si="44"/>
        <v>.19</v>
      </c>
      <c r="AJ101" s="66" t="str">
        <f t="shared" si="45"/>
        <v>.19</v>
      </c>
      <c r="AO101" s="76"/>
      <c r="AP101" s="63"/>
      <c r="AU101" s="63"/>
      <c r="AY101" s="63"/>
      <c r="AZ101" s="63"/>
      <c r="BA101" s="63"/>
    </row>
    <row r="102" spans="1:53">
      <c r="A102" s="66">
        <f t="shared" si="46"/>
        <v>20</v>
      </c>
      <c r="B102" s="66" t="str">
        <f t="shared" si="46"/>
        <v>楊鈞翔</v>
      </c>
      <c r="C102" s="66" t="str">
        <f t="shared" si="12"/>
        <v>.</v>
      </c>
      <c r="D102" s="66" t="str">
        <f t="shared" si="13"/>
        <v>.</v>
      </c>
      <c r="E102" s="66" t="str">
        <f t="shared" si="14"/>
        <v>.</v>
      </c>
      <c r="F102" s="66" t="str">
        <f t="shared" si="15"/>
        <v>.20</v>
      </c>
      <c r="G102" s="66" t="str">
        <f t="shared" si="16"/>
        <v>.20</v>
      </c>
      <c r="H102" s="66" t="str">
        <f t="shared" si="17"/>
        <v>.20</v>
      </c>
      <c r="I102" s="66" t="str">
        <f t="shared" si="18"/>
        <v>.20</v>
      </c>
      <c r="J102" s="66" t="str">
        <f t="shared" si="19"/>
        <v>.</v>
      </c>
      <c r="K102" s="66" t="str">
        <f t="shared" si="20"/>
        <v>.</v>
      </c>
      <c r="L102" s="66" t="str">
        <f t="shared" si="21"/>
        <v>.</v>
      </c>
      <c r="M102" s="66" t="str">
        <f t="shared" si="22"/>
        <v>.</v>
      </c>
      <c r="N102" s="66" t="str">
        <f t="shared" si="23"/>
        <v>.20</v>
      </c>
      <c r="O102" s="66" t="str">
        <f t="shared" si="24"/>
        <v>.20</v>
      </c>
      <c r="P102" s="66" t="str">
        <f t="shared" si="25"/>
        <v>.20</v>
      </c>
      <c r="Q102" s="66" t="str">
        <f t="shared" si="26"/>
        <v>.</v>
      </c>
      <c r="R102" s="66" t="str">
        <f t="shared" si="27"/>
        <v>.</v>
      </c>
      <c r="S102" s="66" t="str">
        <f t="shared" si="28"/>
        <v>.</v>
      </c>
      <c r="T102" s="66" t="str">
        <f t="shared" si="29"/>
        <v>.20</v>
      </c>
      <c r="U102" s="66" t="str">
        <f t="shared" si="30"/>
        <v>.20</v>
      </c>
      <c r="V102" s="66" t="str">
        <f t="shared" si="31"/>
        <v>.20</v>
      </c>
      <c r="W102" s="66" t="str">
        <f t="shared" si="32"/>
        <v>.20</v>
      </c>
      <c r="X102" s="66" t="str">
        <f t="shared" si="33"/>
        <v>.</v>
      </c>
      <c r="Y102" s="66" t="str">
        <f t="shared" si="34"/>
        <v>.20</v>
      </c>
      <c r="Z102" s="66" t="str">
        <f t="shared" si="35"/>
        <v>.20</v>
      </c>
      <c r="AA102" s="66" t="str">
        <f t="shared" si="36"/>
        <v>.20</v>
      </c>
      <c r="AB102" s="66" t="str">
        <f t="shared" si="37"/>
        <v>.20</v>
      </c>
      <c r="AC102" s="66" t="str">
        <f t="shared" si="38"/>
        <v>.20</v>
      </c>
      <c r="AD102" s="66" t="str">
        <f t="shared" si="39"/>
        <v>.20</v>
      </c>
      <c r="AE102" s="66" t="str">
        <f t="shared" si="40"/>
        <v>.</v>
      </c>
      <c r="AF102" s="66" t="str">
        <f t="shared" si="41"/>
        <v>.</v>
      </c>
      <c r="AG102" s="66" t="str">
        <f t="shared" si="42"/>
        <v>.</v>
      </c>
      <c r="AH102" s="66" t="str">
        <f t="shared" si="43"/>
        <v>.20</v>
      </c>
      <c r="AI102" s="66" t="str">
        <f t="shared" si="44"/>
        <v>.20</v>
      </c>
      <c r="AJ102" s="66" t="str">
        <f t="shared" si="45"/>
        <v>.20</v>
      </c>
    </row>
    <row r="103" spans="1:53">
      <c r="A103" s="66">
        <f t="shared" si="46"/>
        <v>21</v>
      </c>
      <c r="B103" s="66" t="str">
        <f t="shared" si="46"/>
        <v>邱俊閎</v>
      </c>
      <c r="C103" s="66" t="str">
        <f t="shared" si="12"/>
        <v/>
      </c>
      <c r="D103" s="66" t="str">
        <f t="shared" si="13"/>
        <v/>
      </c>
      <c r="E103" s="66" t="str">
        <f t="shared" si="14"/>
        <v/>
      </c>
      <c r="F103" s="66" t="str">
        <f t="shared" si="15"/>
        <v>.</v>
      </c>
      <c r="G103" s="66" t="str">
        <f t="shared" si="16"/>
        <v>.21</v>
      </c>
      <c r="H103" s="66" t="str">
        <f t="shared" si="17"/>
        <v>.21</v>
      </c>
      <c r="I103" s="66" t="str">
        <f t="shared" si="18"/>
        <v>.21</v>
      </c>
      <c r="J103" s="66" t="str">
        <f t="shared" si="19"/>
        <v/>
      </c>
      <c r="K103" s="66" t="str">
        <f t="shared" si="20"/>
        <v/>
      </c>
      <c r="L103" s="66" t="str">
        <f t="shared" si="21"/>
        <v/>
      </c>
      <c r="M103" s="66" t="str">
        <f t="shared" si="22"/>
        <v/>
      </c>
      <c r="N103" s="66" t="str">
        <f t="shared" si="23"/>
        <v>.21</v>
      </c>
      <c r="O103" s="66" t="str">
        <f t="shared" si="24"/>
        <v>.21</v>
      </c>
      <c r="P103" s="66" t="str">
        <f t="shared" si="25"/>
        <v>.21</v>
      </c>
      <c r="Q103" s="66" t="str">
        <f t="shared" si="26"/>
        <v/>
      </c>
      <c r="R103" s="66" t="str">
        <f t="shared" si="27"/>
        <v/>
      </c>
      <c r="S103" s="66" t="str">
        <f t="shared" si="28"/>
        <v/>
      </c>
      <c r="T103" s="66" t="str">
        <f t="shared" si="29"/>
        <v>.21</v>
      </c>
      <c r="U103" s="66" t="str">
        <f t="shared" si="30"/>
        <v>.21</v>
      </c>
      <c r="V103" s="66" t="str">
        <f t="shared" si="31"/>
        <v>.21</v>
      </c>
      <c r="W103" s="66" t="str">
        <f t="shared" si="32"/>
        <v>.21</v>
      </c>
      <c r="X103" s="66" t="str">
        <f t="shared" si="33"/>
        <v/>
      </c>
      <c r="Y103" s="66" t="str">
        <f t="shared" si="34"/>
        <v>.</v>
      </c>
      <c r="Z103" s="66" t="str">
        <f t="shared" si="35"/>
        <v>.</v>
      </c>
      <c r="AA103" s="66" t="str">
        <f t="shared" si="36"/>
        <v>.21</v>
      </c>
      <c r="AB103" s="66" t="str">
        <f t="shared" si="37"/>
        <v>.21</v>
      </c>
      <c r="AC103" s="66" t="str">
        <f t="shared" si="38"/>
        <v>.21</v>
      </c>
      <c r="AD103" s="66" t="str">
        <f t="shared" si="39"/>
        <v>.21</v>
      </c>
      <c r="AE103" s="66" t="str">
        <f t="shared" si="40"/>
        <v/>
      </c>
      <c r="AF103" s="66" t="str">
        <f t="shared" si="41"/>
        <v/>
      </c>
      <c r="AG103" s="66" t="str">
        <f t="shared" si="42"/>
        <v/>
      </c>
      <c r="AH103" s="66" t="str">
        <f t="shared" si="43"/>
        <v>.21</v>
      </c>
      <c r="AI103" s="66" t="str">
        <f t="shared" si="44"/>
        <v>.21</v>
      </c>
      <c r="AJ103" s="66" t="str">
        <f t="shared" si="45"/>
        <v>.21</v>
      </c>
    </row>
    <row r="104" spans="1:53">
      <c r="A104" s="66">
        <f t="shared" si="46"/>
        <v>22</v>
      </c>
      <c r="B104" s="66" t="str">
        <f t="shared" si="46"/>
        <v>陳奕欣</v>
      </c>
      <c r="C104" s="66">
        <f t="shared" si="12"/>
        <v>22</v>
      </c>
      <c r="D104" s="66" t="str">
        <f t="shared" si="13"/>
        <v/>
      </c>
      <c r="E104" s="66" t="str">
        <f t="shared" si="14"/>
        <v/>
      </c>
      <c r="F104" s="66" t="str">
        <f t="shared" si="15"/>
        <v/>
      </c>
      <c r="G104" s="66" t="str">
        <f t="shared" si="16"/>
        <v>.22</v>
      </c>
      <c r="H104" s="66" t="str">
        <f t="shared" si="17"/>
        <v>.22</v>
      </c>
      <c r="I104" s="66" t="str">
        <f t="shared" si="18"/>
        <v>.</v>
      </c>
      <c r="J104" s="66" t="str">
        <f t="shared" si="19"/>
        <v/>
      </c>
      <c r="K104" s="66">
        <f t="shared" si="20"/>
        <v>22</v>
      </c>
      <c r="L104" s="66">
        <f t="shared" si="21"/>
        <v>22</v>
      </c>
      <c r="M104" s="66">
        <f t="shared" si="22"/>
        <v>22</v>
      </c>
      <c r="N104" s="66" t="str">
        <f t="shared" si="23"/>
        <v>.22</v>
      </c>
      <c r="O104" s="66" t="str">
        <f t="shared" si="24"/>
        <v>.22</v>
      </c>
      <c r="P104" s="66" t="str">
        <f t="shared" si="25"/>
        <v>.22</v>
      </c>
      <c r="Q104" s="66">
        <f t="shared" si="26"/>
        <v>22</v>
      </c>
      <c r="R104" s="66" t="str">
        <f t="shared" si="27"/>
        <v/>
      </c>
      <c r="S104" s="66" t="str">
        <f t="shared" si="28"/>
        <v/>
      </c>
      <c r="T104" s="66" t="str">
        <f t="shared" si="29"/>
        <v>.</v>
      </c>
      <c r="U104" s="66" t="str">
        <f t="shared" si="30"/>
        <v>.22</v>
      </c>
      <c r="V104" s="66" t="str">
        <f t="shared" si="31"/>
        <v>.22</v>
      </c>
      <c r="W104" s="66" t="str">
        <f t="shared" si="32"/>
        <v>.22</v>
      </c>
      <c r="X104" s="66" t="str">
        <f t="shared" si="33"/>
        <v/>
      </c>
      <c r="Y104" s="66" t="str">
        <f t="shared" si="34"/>
        <v/>
      </c>
      <c r="Z104" s="66" t="str">
        <f t="shared" si="35"/>
        <v/>
      </c>
      <c r="AA104" s="66" t="str">
        <f t="shared" si="36"/>
        <v>.</v>
      </c>
      <c r="AB104" s="66" t="str">
        <f t="shared" si="37"/>
        <v>.22</v>
      </c>
      <c r="AC104" s="66" t="str">
        <f t="shared" si="38"/>
        <v>.22</v>
      </c>
      <c r="AD104" s="66" t="str">
        <f t="shared" si="39"/>
        <v>.</v>
      </c>
      <c r="AE104" s="66" t="str">
        <f t="shared" si="40"/>
        <v/>
      </c>
      <c r="AF104" s="66" t="str">
        <f t="shared" si="41"/>
        <v/>
      </c>
      <c r="AG104" s="66">
        <f t="shared" si="42"/>
        <v>22</v>
      </c>
      <c r="AH104" s="66" t="str">
        <f t="shared" si="43"/>
        <v>.22</v>
      </c>
      <c r="AI104" s="66" t="str">
        <f t="shared" si="44"/>
        <v>.22</v>
      </c>
      <c r="AJ104" s="66" t="str">
        <f t="shared" si="45"/>
        <v>.22</v>
      </c>
    </row>
    <row r="105" spans="1:53">
      <c r="A105" s="66">
        <f t="shared" si="46"/>
        <v>23</v>
      </c>
      <c r="B105" s="66" t="str">
        <f t="shared" si="46"/>
        <v>阮成山</v>
      </c>
      <c r="C105" s="66" t="str">
        <f t="shared" si="12"/>
        <v>.</v>
      </c>
      <c r="D105" s="66" t="str">
        <f t="shared" si="13"/>
        <v/>
      </c>
      <c r="E105" s="66" t="str">
        <f t="shared" si="14"/>
        <v/>
      </c>
      <c r="F105" s="66" t="str">
        <f t="shared" si="15"/>
        <v/>
      </c>
      <c r="G105" s="66" t="str">
        <f t="shared" si="16"/>
        <v>.23</v>
      </c>
      <c r="H105" s="66" t="str">
        <f t="shared" si="17"/>
        <v>.23</v>
      </c>
      <c r="I105" s="66" t="str">
        <f t="shared" si="18"/>
        <v/>
      </c>
      <c r="J105" s="66" t="str">
        <f t="shared" si="19"/>
        <v/>
      </c>
      <c r="K105" s="66" t="str">
        <f t="shared" si="20"/>
        <v>.</v>
      </c>
      <c r="L105" s="66" t="str">
        <f t="shared" si="21"/>
        <v>.</v>
      </c>
      <c r="M105" s="66" t="str">
        <f t="shared" si="22"/>
        <v>.23</v>
      </c>
      <c r="N105" s="66" t="str">
        <f t="shared" si="23"/>
        <v>.23</v>
      </c>
      <c r="O105" s="66" t="str">
        <f t="shared" si="24"/>
        <v>.23</v>
      </c>
      <c r="P105" s="66" t="str">
        <f t="shared" si="25"/>
        <v>.23</v>
      </c>
      <c r="Q105" s="66" t="str">
        <f t="shared" si="26"/>
        <v>.</v>
      </c>
      <c r="R105" s="66" t="str">
        <f t="shared" si="27"/>
        <v/>
      </c>
      <c r="S105" s="66" t="str">
        <f t="shared" si="28"/>
        <v/>
      </c>
      <c r="T105" s="66">
        <f t="shared" si="29"/>
        <v>23</v>
      </c>
      <c r="U105" s="66" t="str">
        <f t="shared" si="30"/>
        <v>.23</v>
      </c>
      <c r="V105" s="66" t="str">
        <f t="shared" si="31"/>
        <v>.23</v>
      </c>
      <c r="W105" s="66" t="str">
        <f t="shared" si="32"/>
        <v>.23</v>
      </c>
      <c r="X105" s="66">
        <f t="shared" si="33"/>
        <v>23</v>
      </c>
      <c r="Y105" s="66">
        <f t="shared" si="34"/>
        <v>23</v>
      </c>
      <c r="Z105" s="66">
        <f t="shared" si="35"/>
        <v>23</v>
      </c>
      <c r="AA105" s="66">
        <f t="shared" si="36"/>
        <v>23</v>
      </c>
      <c r="AB105" s="66" t="str">
        <f t="shared" si="37"/>
        <v>.23</v>
      </c>
      <c r="AC105" s="66" t="str">
        <f t="shared" si="38"/>
        <v>.23</v>
      </c>
      <c r="AD105" s="66">
        <f t="shared" si="39"/>
        <v>23</v>
      </c>
      <c r="AE105" s="66">
        <f t="shared" si="40"/>
        <v>23</v>
      </c>
      <c r="AF105" s="66">
        <f t="shared" si="41"/>
        <v>23</v>
      </c>
      <c r="AG105" s="66" t="str">
        <f t="shared" si="42"/>
        <v>.</v>
      </c>
      <c r="AH105" s="66" t="str">
        <f t="shared" si="43"/>
        <v>.23</v>
      </c>
      <c r="AI105" s="66" t="str">
        <f t="shared" si="44"/>
        <v>.23</v>
      </c>
      <c r="AJ105" s="66" t="str">
        <f t="shared" si="45"/>
        <v>.23</v>
      </c>
    </row>
    <row r="106" spans="1:53">
      <c r="A106" s="66">
        <f t="shared" si="46"/>
        <v>24</v>
      </c>
      <c r="B106" s="66" t="str">
        <f t="shared" si="46"/>
        <v>黃品傑</v>
      </c>
      <c r="C106" s="66" t="str">
        <f t="shared" si="12"/>
        <v/>
      </c>
      <c r="D106" s="66" t="str">
        <f t="shared" si="13"/>
        <v/>
      </c>
      <c r="E106" s="66" t="str">
        <f t="shared" si="14"/>
        <v/>
      </c>
      <c r="F106" s="66">
        <f t="shared" si="15"/>
        <v>24</v>
      </c>
      <c r="G106" s="66" t="str">
        <f t="shared" si="16"/>
        <v>.24</v>
      </c>
      <c r="H106" s="66" t="str">
        <f t="shared" si="17"/>
        <v>.24</v>
      </c>
      <c r="I106" s="66">
        <f t="shared" si="18"/>
        <v>24</v>
      </c>
      <c r="J106" s="66">
        <f t="shared" si="19"/>
        <v>24</v>
      </c>
      <c r="K106" s="66">
        <f t="shared" si="20"/>
        <v>24</v>
      </c>
      <c r="L106" s="66">
        <f t="shared" si="21"/>
        <v>24</v>
      </c>
      <c r="M106" s="66" t="str">
        <f t="shared" si="22"/>
        <v>.24</v>
      </c>
      <c r="N106" s="66" t="str">
        <f t="shared" si="23"/>
        <v>.</v>
      </c>
      <c r="O106" s="66" t="str">
        <f t="shared" si="24"/>
        <v>.</v>
      </c>
      <c r="P106" s="66" t="str">
        <f t="shared" si="25"/>
        <v>.</v>
      </c>
      <c r="Q106" s="66" t="str">
        <f t="shared" si="26"/>
        <v/>
      </c>
      <c r="R106" s="66">
        <f t="shared" si="27"/>
        <v>24</v>
      </c>
      <c r="S106" s="66">
        <f t="shared" si="28"/>
        <v>24</v>
      </c>
      <c r="T106" s="66" t="str">
        <f t="shared" si="29"/>
        <v>.24</v>
      </c>
      <c r="U106" s="66" t="str">
        <f t="shared" si="30"/>
        <v>.24</v>
      </c>
      <c r="V106" s="66" t="str">
        <f t="shared" si="31"/>
        <v>.24</v>
      </c>
      <c r="W106" s="66" t="str">
        <f t="shared" si="32"/>
        <v>.</v>
      </c>
      <c r="X106" s="66" t="str">
        <f t="shared" si="33"/>
        <v>.</v>
      </c>
      <c r="Y106" s="66" t="str">
        <f t="shared" si="34"/>
        <v>.</v>
      </c>
      <c r="Z106" s="66" t="str">
        <f t="shared" si="35"/>
        <v>.24</v>
      </c>
      <c r="AA106" s="66" t="str">
        <f t="shared" si="36"/>
        <v>.24</v>
      </c>
      <c r="AB106" s="66" t="str">
        <f t="shared" si="37"/>
        <v>.24</v>
      </c>
      <c r="AC106" s="66" t="str">
        <f t="shared" si="38"/>
        <v>.24</v>
      </c>
      <c r="AD106" s="66" t="str">
        <f t="shared" si="39"/>
        <v>.24</v>
      </c>
      <c r="AE106" s="66" t="str">
        <f t="shared" si="40"/>
        <v>.</v>
      </c>
      <c r="AF106" s="66" t="str">
        <f t="shared" si="41"/>
        <v>.</v>
      </c>
      <c r="AG106" s="66" t="str">
        <f t="shared" si="42"/>
        <v/>
      </c>
      <c r="AH106" s="66" t="str">
        <f t="shared" si="43"/>
        <v>.24</v>
      </c>
      <c r="AI106" s="66" t="str">
        <f t="shared" si="44"/>
        <v>.24</v>
      </c>
      <c r="AJ106" s="66" t="str">
        <f t="shared" si="45"/>
        <v>.24</v>
      </c>
    </row>
    <row r="107" spans="1:53">
      <c r="A107" s="66">
        <f t="shared" si="46"/>
        <v>25</v>
      </c>
      <c r="B107" s="66" t="str">
        <f t="shared" si="46"/>
        <v>唐正瑋</v>
      </c>
      <c r="C107" s="66" t="str">
        <f t="shared" si="12"/>
        <v/>
      </c>
      <c r="D107" s="66" t="str">
        <f t="shared" si="13"/>
        <v/>
      </c>
      <c r="E107" s="66" t="str">
        <f t="shared" si="14"/>
        <v/>
      </c>
      <c r="F107" s="66" t="str">
        <f t="shared" si="15"/>
        <v>.</v>
      </c>
      <c r="G107" s="66" t="str">
        <f t="shared" si="16"/>
        <v>.25</v>
      </c>
      <c r="H107" s="66" t="str">
        <f t="shared" si="17"/>
        <v>.25</v>
      </c>
      <c r="I107" s="66" t="str">
        <f t="shared" si="18"/>
        <v>.25</v>
      </c>
      <c r="J107" s="66" t="str">
        <f t="shared" si="19"/>
        <v>.</v>
      </c>
      <c r="K107" s="66" t="str">
        <f t="shared" si="20"/>
        <v>.</v>
      </c>
      <c r="L107" s="66" t="str">
        <f t="shared" si="21"/>
        <v>.</v>
      </c>
      <c r="M107" s="66" t="str">
        <f t="shared" si="22"/>
        <v>.</v>
      </c>
      <c r="N107" s="66">
        <f t="shared" si="23"/>
        <v>25</v>
      </c>
      <c r="O107" s="66">
        <f t="shared" si="24"/>
        <v>25</v>
      </c>
      <c r="P107" s="66">
        <f t="shared" si="25"/>
        <v>25</v>
      </c>
      <c r="Q107" s="66">
        <f t="shared" si="26"/>
        <v>25</v>
      </c>
      <c r="R107" s="66" t="str">
        <f t="shared" si="27"/>
        <v>.25</v>
      </c>
      <c r="S107" s="66" t="str">
        <f t="shared" si="28"/>
        <v>.25</v>
      </c>
      <c r="T107" s="66" t="str">
        <f t="shared" si="29"/>
        <v>.25</v>
      </c>
      <c r="U107" s="66" t="str">
        <f t="shared" si="30"/>
        <v>.25</v>
      </c>
      <c r="V107" s="66" t="str">
        <f t="shared" si="31"/>
        <v>.25</v>
      </c>
      <c r="W107" s="66">
        <f t="shared" si="32"/>
        <v>25</v>
      </c>
      <c r="X107" s="66" t="str">
        <f t="shared" si="33"/>
        <v/>
      </c>
      <c r="Y107" s="66" t="str">
        <f t="shared" si="34"/>
        <v/>
      </c>
      <c r="Z107" s="66" t="str">
        <f t="shared" si="35"/>
        <v>.</v>
      </c>
      <c r="AA107" s="66" t="str">
        <f t="shared" si="36"/>
        <v>.</v>
      </c>
      <c r="AB107" s="66" t="str">
        <f t="shared" si="37"/>
        <v>.25</v>
      </c>
      <c r="AC107" s="66" t="str">
        <f t="shared" si="38"/>
        <v>.25</v>
      </c>
      <c r="AD107" s="66" t="str">
        <f t="shared" si="39"/>
        <v>.25</v>
      </c>
      <c r="AE107" s="66" t="str">
        <f t="shared" si="40"/>
        <v/>
      </c>
      <c r="AF107" s="66" t="str">
        <f t="shared" si="41"/>
        <v/>
      </c>
      <c r="AG107" s="66" t="str">
        <f t="shared" si="42"/>
        <v/>
      </c>
      <c r="AH107" s="66" t="str">
        <f t="shared" si="43"/>
        <v>.25</v>
      </c>
      <c r="AI107" s="66" t="str">
        <f t="shared" si="44"/>
        <v>.25</v>
      </c>
      <c r="AJ107" s="66" t="str">
        <f t="shared" si="45"/>
        <v>.25</v>
      </c>
    </row>
    <row r="108" spans="1:53">
      <c r="A108" s="66">
        <f t="shared" si="46"/>
        <v>26</v>
      </c>
      <c r="B108" s="66" t="str">
        <f t="shared" si="46"/>
        <v>曾慶鈞</v>
      </c>
      <c r="C108" s="66">
        <f t="shared" si="12"/>
        <v>26</v>
      </c>
      <c r="D108" s="66">
        <f t="shared" si="13"/>
        <v>26</v>
      </c>
      <c r="E108" s="66">
        <f t="shared" si="14"/>
        <v>26</v>
      </c>
      <c r="F108" s="66">
        <f t="shared" si="15"/>
        <v>26</v>
      </c>
      <c r="G108" s="66" t="str">
        <f t="shared" si="16"/>
        <v>.26</v>
      </c>
      <c r="H108" s="66" t="str">
        <f t="shared" si="17"/>
        <v>.26</v>
      </c>
      <c r="I108" s="66" t="str">
        <f t="shared" si="18"/>
        <v>.26</v>
      </c>
      <c r="J108" s="66">
        <f t="shared" si="19"/>
        <v>26</v>
      </c>
      <c r="K108" s="66">
        <f t="shared" si="20"/>
        <v>26</v>
      </c>
      <c r="L108" s="66" t="str">
        <f t="shared" si="21"/>
        <v/>
      </c>
      <c r="M108" s="66" t="str">
        <f t="shared" si="22"/>
        <v/>
      </c>
      <c r="N108" s="66" t="str">
        <f t="shared" si="23"/>
        <v>.</v>
      </c>
      <c r="O108" s="66" t="str">
        <f t="shared" si="24"/>
        <v>.</v>
      </c>
      <c r="P108" s="66" t="str">
        <f t="shared" si="25"/>
        <v>.26</v>
      </c>
      <c r="Q108" s="66" t="str">
        <f t="shared" si="26"/>
        <v>.26</v>
      </c>
      <c r="R108" s="66" t="str">
        <f t="shared" si="27"/>
        <v>.</v>
      </c>
      <c r="S108" s="66" t="str">
        <f t="shared" si="28"/>
        <v>.</v>
      </c>
      <c r="T108" s="66" t="str">
        <f t="shared" si="29"/>
        <v>.</v>
      </c>
      <c r="U108" s="66" t="str">
        <f t="shared" si="30"/>
        <v>.</v>
      </c>
      <c r="V108" s="66" t="str">
        <f t="shared" si="31"/>
        <v>.</v>
      </c>
      <c r="W108" s="66" t="str">
        <f t="shared" si="32"/>
        <v>.26</v>
      </c>
      <c r="X108" s="66">
        <f t="shared" si="33"/>
        <v>26</v>
      </c>
      <c r="Y108" s="66">
        <f t="shared" si="34"/>
        <v>26</v>
      </c>
      <c r="Z108" s="66">
        <f t="shared" si="35"/>
        <v>26</v>
      </c>
      <c r="AA108" s="66" t="str">
        <f t="shared" si="36"/>
        <v/>
      </c>
      <c r="AB108" s="66" t="str">
        <f t="shared" si="37"/>
        <v>.</v>
      </c>
      <c r="AC108" s="66" t="str">
        <f t="shared" si="38"/>
        <v>.</v>
      </c>
      <c r="AD108" s="66" t="str">
        <f t="shared" si="39"/>
        <v>.</v>
      </c>
      <c r="AE108" s="66" t="str">
        <f t="shared" si="40"/>
        <v/>
      </c>
      <c r="AF108" s="66">
        <f t="shared" si="41"/>
        <v>26</v>
      </c>
      <c r="AG108" s="66">
        <f t="shared" si="42"/>
        <v>26</v>
      </c>
      <c r="AH108" s="66" t="str">
        <f t="shared" si="43"/>
        <v>.26</v>
      </c>
      <c r="AI108" s="66" t="str">
        <f t="shared" si="44"/>
        <v>.26</v>
      </c>
      <c r="AJ108" s="66" t="str">
        <f t="shared" si="45"/>
        <v>.26</v>
      </c>
    </row>
    <row r="109" spans="1:53">
      <c r="A109" s="66">
        <f t="shared" si="46"/>
        <v>27</v>
      </c>
      <c r="B109" s="66" t="str">
        <f t="shared" si="46"/>
        <v>游瀚翔</v>
      </c>
      <c r="C109" s="66" t="str">
        <f t="shared" si="12"/>
        <v>.</v>
      </c>
      <c r="D109" s="66" t="str">
        <f t="shared" si="13"/>
        <v>.27</v>
      </c>
      <c r="E109" s="66" t="str">
        <f t="shared" si="14"/>
        <v>.27</v>
      </c>
      <c r="F109" s="66" t="str">
        <f t="shared" si="15"/>
        <v>.27</v>
      </c>
      <c r="G109" s="66" t="str">
        <f t="shared" si="16"/>
        <v>.27</v>
      </c>
      <c r="H109" s="66" t="str">
        <f t="shared" si="17"/>
        <v>.27</v>
      </c>
      <c r="I109" s="66" t="str">
        <f t="shared" si="18"/>
        <v>.</v>
      </c>
      <c r="J109" s="66" t="str">
        <f t="shared" si="19"/>
        <v>.</v>
      </c>
      <c r="K109" s="66" t="str">
        <f t="shared" si="20"/>
        <v>.</v>
      </c>
      <c r="L109" s="66">
        <f t="shared" si="21"/>
        <v>27</v>
      </c>
      <c r="M109" s="66">
        <f t="shared" si="22"/>
        <v>27</v>
      </c>
      <c r="N109" s="66">
        <f t="shared" si="23"/>
        <v>27</v>
      </c>
      <c r="O109" s="66">
        <f t="shared" si="24"/>
        <v>27</v>
      </c>
      <c r="P109" s="66" t="str">
        <f t="shared" si="25"/>
        <v>.27</v>
      </c>
      <c r="Q109" s="66" t="str">
        <f t="shared" si="26"/>
        <v>.</v>
      </c>
      <c r="R109" s="66" t="str">
        <f t="shared" si="27"/>
        <v/>
      </c>
      <c r="S109" s="66">
        <f t="shared" si="28"/>
        <v>27</v>
      </c>
      <c r="T109" s="66">
        <f t="shared" si="29"/>
        <v>27</v>
      </c>
      <c r="U109" s="66">
        <f t="shared" si="30"/>
        <v>27</v>
      </c>
      <c r="V109" s="66">
        <f t="shared" si="31"/>
        <v>27</v>
      </c>
      <c r="W109" s="66" t="str">
        <f t="shared" si="32"/>
        <v>.27</v>
      </c>
      <c r="X109" s="66" t="str">
        <f t="shared" si="33"/>
        <v>.</v>
      </c>
      <c r="Y109" s="66" t="str">
        <f t="shared" si="34"/>
        <v>.</v>
      </c>
      <c r="Z109" s="66" t="str">
        <f t="shared" si="35"/>
        <v>.</v>
      </c>
      <c r="AA109" s="66">
        <f t="shared" si="36"/>
        <v>27</v>
      </c>
      <c r="AB109" s="66">
        <f t="shared" si="37"/>
        <v>27</v>
      </c>
      <c r="AC109" s="66">
        <f t="shared" si="38"/>
        <v>27</v>
      </c>
      <c r="AD109" s="66">
        <f t="shared" si="39"/>
        <v>27</v>
      </c>
      <c r="AE109" s="66" t="str">
        <f t="shared" si="40"/>
        <v/>
      </c>
      <c r="AF109" s="66" t="str">
        <f t="shared" si="41"/>
        <v>.</v>
      </c>
      <c r="AG109" s="66" t="str">
        <f t="shared" si="42"/>
        <v>.</v>
      </c>
      <c r="AH109" s="66" t="str">
        <f t="shared" si="43"/>
        <v>.27</v>
      </c>
      <c r="AI109" s="66" t="str">
        <f t="shared" si="44"/>
        <v>.27</v>
      </c>
      <c r="AJ109" s="66" t="str">
        <f t="shared" si="45"/>
        <v>.27</v>
      </c>
    </row>
    <row r="110" spans="1:53">
      <c r="A110" s="66">
        <f t="shared" si="46"/>
        <v>28</v>
      </c>
      <c r="B110" s="66" t="str">
        <f t="shared" si="46"/>
        <v>高仲廷</v>
      </c>
      <c r="C110" s="66">
        <f t="shared" si="12"/>
        <v>28</v>
      </c>
      <c r="D110" s="66" t="str">
        <f t="shared" si="13"/>
        <v>.</v>
      </c>
      <c r="E110" s="66" t="str">
        <f t="shared" si="14"/>
        <v>.</v>
      </c>
      <c r="F110" s="66" t="str">
        <f t="shared" si="15"/>
        <v>.</v>
      </c>
      <c r="G110" s="66" t="str">
        <f t="shared" si="16"/>
        <v>.28</v>
      </c>
      <c r="H110" s="66" t="str">
        <f t="shared" si="17"/>
        <v>.28</v>
      </c>
      <c r="I110" s="66">
        <f t="shared" si="18"/>
        <v>28</v>
      </c>
      <c r="J110" s="66">
        <f t="shared" si="19"/>
        <v>28</v>
      </c>
      <c r="K110" s="66" t="str">
        <f t="shared" si="20"/>
        <v/>
      </c>
      <c r="L110" s="66" t="str">
        <f t="shared" si="21"/>
        <v>.</v>
      </c>
      <c r="M110" s="66" t="str">
        <f t="shared" si="22"/>
        <v>.</v>
      </c>
      <c r="N110" s="66" t="str">
        <f t="shared" si="23"/>
        <v>.</v>
      </c>
      <c r="O110" s="66" t="str">
        <f t="shared" si="24"/>
        <v>.28</v>
      </c>
      <c r="P110" s="66" t="str">
        <f t="shared" si="25"/>
        <v>.28</v>
      </c>
      <c r="Q110" s="66">
        <f t="shared" si="26"/>
        <v>28</v>
      </c>
      <c r="R110" s="66">
        <f t="shared" si="27"/>
        <v>28</v>
      </c>
      <c r="S110" s="66" t="str">
        <f t="shared" si="28"/>
        <v>.</v>
      </c>
      <c r="T110" s="66" t="str">
        <f t="shared" si="29"/>
        <v>.</v>
      </c>
      <c r="U110" s="66" t="str">
        <f t="shared" si="30"/>
        <v>.</v>
      </c>
      <c r="V110" s="66" t="str">
        <f t="shared" si="31"/>
        <v>.28</v>
      </c>
      <c r="W110" s="66" t="str">
        <f t="shared" si="32"/>
        <v>.28</v>
      </c>
      <c r="X110" s="66" t="str">
        <f t="shared" si="33"/>
        <v/>
      </c>
      <c r="Y110" s="66" t="str">
        <f t="shared" si="34"/>
        <v/>
      </c>
      <c r="Z110" s="66" t="str">
        <f t="shared" si="35"/>
        <v/>
      </c>
      <c r="AA110" s="66" t="str">
        <f t="shared" si="36"/>
        <v>.</v>
      </c>
      <c r="AB110" s="66" t="str">
        <f t="shared" si="37"/>
        <v>.28</v>
      </c>
      <c r="AC110" s="66" t="str">
        <f t="shared" si="38"/>
        <v>.28</v>
      </c>
      <c r="AD110" s="66" t="str">
        <f t="shared" si="39"/>
        <v>.28</v>
      </c>
      <c r="AE110" s="66">
        <f t="shared" si="40"/>
        <v>28</v>
      </c>
      <c r="AF110" s="66" t="str">
        <f t="shared" si="41"/>
        <v/>
      </c>
      <c r="AG110" s="66" t="str">
        <f t="shared" si="42"/>
        <v/>
      </c>
      <c r="AH110" s="66" t="str">
        <f t="shared" si="43"/>
        <v>.28</v>
      </c>
      <c r="AI110" s="66" t="str">
        <f t="shared" si="44"/>
        <v>.28</v>
      </c>
      <c r="AJ110" s="66" t="str">
        <f t="shared" si="45"/>
        <v>.28</v>
      </c>
    </row>
    <row r="111" spans="1:53">
      <c r="A111" s="66">
        <f t="shared" si="46"/>
        <v>29</v>
      </c>
      <c r="B111" s="66" t="str">
        <f t="shared" si="46"/>
        <v>陳羲</v>
      </c>
      <c r="C111" s="66" t="str">
        <f t="shared" si="12"/>
        <v>.29</v>
      </c>
      <c r="D111" s="66">
        <f t="shared" si="13"/>
        <v>29</v>
      </c>
      <c r="E111" s="66">
        <f t="shared" si="14"/>
        <v>29</v>
      </c>
      <c r="F111" s="66" t="str">
        <f t="shared" si="15"/>
        <v/>
      </c>
      <c r="G111" s="66" t="str">
        <f t="shared" si="16"/>
        <v>.</v>
      </c>
      <c r="H111" s="66" t="str">
        <f t="shared" si="17"/>
        <v>.29</v>
      </c>
      <c r="I111" s="66" t="str">
        <f t="shared" si="18"/>
        <v>.</v>
      </c>
      <c r="J111" s="66" t="str">
        <f t="shared" si="19"/>
        <v>.29</v>
      </c>
      <c r="K111" s="66">
        <f t="shared" si="20"/>
        <v>29</v>
      </c>
      <c r="L111" s="66">
        <f t="shared" si="21"/>
        <v>29</v>
      </c>
      <c r="M111" s="66" t="str">
        <f t="shared" si="22"/>
        <v/>
      </c>
      <c r="N111" s="66" t="str">
        <f t="shared" si="23"/>
        <v/>
      </c>
      <c r="O111" s="66" t="str">
        <f t="shared" si="24"/>
        <v>.</v>
      </c>
      <c r="P111" s="66" t="str">
        <f t="shared" si="25"/>
        <v>.</v>
      </c>
      <c r="Q111" s="66" t="str">
        <f t="shared" si="26"/>
        <v>.29</v>
      </c>
      <c r="R111" s="66" t="str">
        <f t="shared" si="27"/>
        <v>.29</v>
      </c>
      <c r="S111" s="66">
        <f t="shared" si="28"/>
        <v>29</v>
      </c>
      <c r="T111" s="66" t="str">
        <f t="shared" si="29"/>
        <v/>
      </c>
      <c r="U111" s="66" t="str">
        <f t="shared" si="30"/>
        <v/>
      </c>
      <c r="V111" s="66" t="str">
        <f t="shared" si="31"/>
        <v>.29</v>
      </c>
      <c r="W111" s="66" t="str">
        <f t="shared" si="32"/>
        <v>.</v>
      </c>
      <c r="X111" s="66">
        <f t="shared" si="33"/>
        <v>29</v>
      </c>
      <c r="Y111" s="66">
        <f t="shared" si="34"/>
        <v>29</v>
      </c>
      <c r="Z111" s="66">
        <f t="shared" si="35"/>
        <v>29</v>
      </c>
      <c r="AA111" s="66" t="str">
        <f t="shared" si="36"/>
        <v/>
      </c>
      <c r="AB111" s="66" t="str">
        <f t="shared" si="37"/>
        <v>.</v>
      </c>
      <c r="AC111" s="66" t="str">
        <f t="shared" si="38"/>
        <v>.</v>
      </c>
      <c r="AD111" s="66" t="str">
        <f t="shared" si="39"/>
        <v>.</v>
      </c>
      <c r="AE111" s="66" t="str">
        <f t="shared" si="40"/>
        <v>.29</v>
      </c>
      <c r="AF111" s="66">
        <f t="shared" si="41"/>
        <v>29</v>
      </c>
      <c r="AG111" s="66">
        <f t="shared" si="42"/>
        <v>29</v>
      </c>
      <c r="AH111" s="66" t="str">
        <f t="shared" si="43"/>
        <v>.29</v>
      </c>
      <c r="AI111" s="66" t="str">
        <f t="shared" si="44"/>
        <v>.29</v>
      </c>
      <c r="AJ111" s="66" t="str">
        <f t="shared" si="45"/>
        <v>.29</v>
      </c>
    </row>
    <row r="112" spans="1:53">
      <c r="A112" s="66">
        <f t="shared" si="46"/>
        <v>30</v>
      </c>
      <c r="B112" s="66" t="str">
        <f t="shared" si="46"/>
        <v>謝昕融</v>
      </c>
      <c r="C112" s="66" t="str">
        <f t="shared" si="12"/>
        <v>.</v>
      </c>
      <c r="D112" s="66" t="str">
        <f t="shared" si="13"/>
        <v>.</v>
      </c>
      <c r="E112" s="66" t="str">
        <f t="shared" si="14"/>
        <v>.30</v>
      </c>
      <c r="F112" s="66">
        <f t="shared" si="15"/>
        <v>30</v>
      </c>
      <c r="G112" s="66">
        <f t="shared" si="16"/>
        <v>30</v>
      </c>
      <c r="H112" s="66" t="str">
        <f t="shared" si="17"/>
        <v>.30</v>
      </c>
      <c r="I112" s="66" t="str">
        <f t="shared" si="18"/>
        <v/>
      </c>
      <c r="J112" s="66" t="str">
        <f t="shared" si="19"/>
        <v>.</v>
      </c>
      <c r="K112" s="66" t="str">
        <f t="shared" si="20"/>
        <v>.</v>
      </c>
      <c r="L112" s="66" t="str">
        <f t="shared" si="21"/>
        <v>.</v>
      </c>
      <c r="M112" s="66" t="str">
        <f t="shared" si="22"/>
        <v/>
      </c>
      <c r="N112" s="66" t="str">
        <f t="shared" si="23"/>
        <v/>
      </c>
      <c r="O112" s="66">
        <f t="shared" si="24"/>
        <v>30</v>
      </c>
      <c r="P112" s="66">
        <f t="shared" si="25"/>
        <v>30</v>
      </c>
      <c r="Q112" s="66" t="str">
        <f t="shared" si="26"/>
        <v>.30</v>
      </c>
      <c r="R112" s="66" t="str">
        <f t="shared" si="27"/>
        <v>.30</v>
      </c>
      <c r="S112" s="66" t="str">
        <f t="shared" si="28"/>
        <v>.</v>
      </c>
      <c r="T112" s="66" t="str">
        <f t="shared" si="29"/>
        <v/>
      </c>
      <c r="U112" s="66" t="str">
        <f t="shared" si="30"/>
        <v/>
      </c>
      <c r="V112" s="66" t="str">
        <f t="shared" si="31"/>
        <v>.30</v>
      </c>
      <c r="W112" s="66">
        <f t="shared" si="32"/>
        <v>30</v>
      </c>
      <c r="X112" s="66" t="str">
        <f t="shared" si="33"/>
        <v>.30</v>
      </c>
      <c r="Y112" s="66" t="str">
        <f t="shared" si="34"/>
        <v>.</v>
      </c>
      <c r="Z112" s="66" t="str">
        <f t="shared" si="35"/>
        <v>.</v>
      </c>
      <c r="AA112" s="66" t="str">
        <f t="shared" si="36"/>
        <v/>
      </c>
      <c r="AB112" s="66" t="str">
        <f t="shared" si="37"/>
        <v/>
      </c>
      <c r="AC112" s="66">
        <f t="shared" si="38"/>
        <v>30</v>
      </c>
      <c r="AD112" s="66">
        <f t="shared" si="39"/>
        <v>30</v>
      </c>
      <c r="AE112" s="66" t="str">
        <f t="shared" si="40"/>
        <v>.30</v>
      </c>
      <c r="AF112" s="66" t="str">
        <f t="shared" si="41"/>
        <v>.</v>
      </c>
      <c r="AG112" s="66" t="str">
        <f t="shared" si="42"/>
        <v>.</v>
      </c>
      <c r="AH112" s="66" t="str">
        <f t="shared" si="43"/>
        <v>.30</v>
      </c>
      <c r="AI112" s="66" t="str">
        <f t="shared" si="44"/>
        <v>.30</v>
      </c>
      <c r="AJ112" s="66" t="str">
        <f t="shared" si="45"/>
        <v>.30</v>
      </c>
    </row>
    <row r="113" spans="1:55">
      <c r="A113" s="66">
        <f t="shared" si="46"/>
        <v>31</v>
      </c>
      <c r="B113" s="66" t="str">
        <f t="shared" si="46"/>
        <v>許峰銘</v>
      </c>
      <c r="C113" s="66">
        <f t="shared" si="12"/>
        <v>31</v>
      </c>
      <c r="D113" s="66">
        <f t="shared" si="13"/>
        <v>31</v>
      </c>
      <c r="E113" s="66" t="str">
        <f t="shared" si="14"/>
        <v>.</v>
      </c>
      <c r="F113" s="66" t="str">
        <f t="shared" si="15"/>
        <v>.</v>
      </c>
      <c r="G113" s="66" t="str">
        <f t="shared" si="16"/>
        <v>.</v>
      </c>
      <c r="H113" s="66" t="str">
        <f t="shared" si="17"/>
        <v>.</v>
      </c>
      <c r="I113" s="66">
        <f t="shared" si="18"/>
        <v>31</v>
      </c>
      <c r="J113" s="66">
        <f t="shared" si="19"/>
        <v>31</v>
      </c>
      <c r="K113" s="66">
        <f t="shared" si="20"/>
        <v>31</v>
      </c>
      <c r="L113" s="66">
        <f t="shared" si="21"/>
        <v>31</v>
      </c>
      <c r="M113" s="66" t="str">
        <f t="shared" si="22"/>
        <v/>
      </c>
      <c r="N113" s="66" t="str">
        <f t="shared" si="23"/>
        <v/>
      </c>
      <c r="O113" s="66" t="str">
        <f t="shared" si="24"/>
        <v>.</v>
      </c>
      <c r="P113" s="66" t="str">
        <f t="shared" si="25"/>
        <v>.31</v>
      </c>
      <c r="Q113" s="66" t="str">
        <f t="shared" si="26"/>
        <v>.31</v>
      </c>
      <c r="R113" s="66" t="str">
        <f t="shared" si="27"/>
        <v>.</v>
      </c>
      <c r="S113" s="66" t="str">
        <f t="shared" si="28"/>
        <v/>
      </c>
      <c r="T113" s="66" t="str">
        <f t="shared" si="29"/>
        <v/>
      </c>
      <c r="U113" s="66">
        <f t="shared" si="30"/>
        <v>31</v>
      </c>
      <c r="V113" s="66" t="str">
        <f t="shared" si="31"/>
        <v>.31</v>
      </c>
      <c r="W113" s="66" t="str">
        <f t="shared" si="32"/>
        <v>.31</v>
      </c>
      <c r="X113" s="66" t="str">
        <f t="shared" si="33"/>
        <v>.</v>
      </c>
      <c r="Y113" s="66" t="str">
        <f t="shared" si="34"/>
        <v/>
      </c>
      <c r="Z113" s="66" t="str">
        <f t="shared" si="35"/>
        <v/>
      </c>
      <c r="AA113" s="66" t="str">
        <f t="shared" si="36"/>
        <v/>
      </c>
      <c r="AB113" s="66">
        <f t="shared" si="37"/>
        <v>31</v>
      </c>
      <c r="AC113" s="66" t="str">
        <f t="shared" si="38"/>
        <v>.31</v>
      </c>
      <c r="AD113" s="66" t="str">
        <f t="shared" si="39"/>
        <v>.31</v>
      </c>
      <c r="AE113" s="66" t="str">
        <f t="shared" si="40"/>
        <v>.</v>
      </c>
      <c r="AF113" s="66" t="str">
        <f t="shared" si="41"/>
        <v/>
      </c>
      <c r="AG113" s="66" t="str">
        <f t="shared" si="42"/>
        <v/>
      </c>
      <c r="AH113" s="66" t="str">
        <f t="shared" si="43"/>
        <v>.31</v>
      </c>
      <c r="AI113" s="66" t="str">
        <f t="shared" si="44"/>
        <v>.31</v>
      </c>
      <c r="AJ113" s="66" t="str">
        <f t="shared" si="45"/>
        <v>.31</v>
      </c>
    </row>
    <row r="114" spans="1:55">
      <c r="A114" s="66">
        <f t="shared" si="46"/>
        <v>32</v>
      </c>
      <c r="B114" s="66" t="str">
        <f t="shared" si="46"/>
        <v>莊博竣</v>
      </c>
      <c r="C114" s="66" t="str">
        <f t="shared" si="12"/>
        <v>.</v>
      </c>
      <c r="D114" s="66" t="str">
        <f t="shared" si="13"/>
        <v>.</v>
      </c>
      <c r="E114" s="66" t="str">
        <f t="shared" si="14"/>
        <v/>
      </c>
      <c r="F114" s="66" t="str">
        <f t="shared" si="15"/>
        <v/>
      </c>
      <c r="G114" s="66" t="str">
        <f t="shared" si="16"/>
        <v/>
      </c>
      <c r="H114" s="66" t="str">
        <f t="shared" si="17"/>
        <v/>
      </c>
      <c r="I114" s="66" t="str">
        <f t="shared" si="18"/>
        <v>.</v>
      </c>
      <c r="J114" s="66" t="str">
        <f t="shared" si="19"/>
        <v>.</v>
      </c>
      <c r="K114" s="66" t="str">
        <f t="shared" si="20"/>
        <v>.</v>
      </c>
      <c r="L114" s="66" t="str">
        <f t="shared" si="21"/>
        <v>.</v>
      </c>
      <c r="M114" s="66" t="str">
        <f t="shared" si="22"/>
        <v/>
      </c>
      <c r="N114" s="66" t="str">
        <f t="shared" si="23"/>
        <v/>
      </c>
      <c r="O114" s="66" t="str">
        <f t="shared" si="24"/>
        <v/>
      </c>
      <c r="P114" s="66" t="str">
        <f t="shared" si="25"/>
        <v>.</v>
      </c>
      <c r="Q114" s="66" t="str">
        <f t="shared" si="26"/>
        <v>.</v>
      </c>
      <c r="R114" s="66" t="str">
        <f t="shared" si="27"/>
        <v/>
      </c>
      <c r="S114" s="66" t="str">
        <f t="shared" si="28"/>
        <v/>
      </c>
      <c r="T114" s="66" t="str">
        <f t="shared" si="29"/>
        <v/>
      </c>
      <c r="U114" s="66" t="str">
        <f t="shared" si="30"/>
        <v>.</v>
      </c>
      <c r="V114" s="66" t="str">
        <f t="shared" si="31"/>
        <v>.</v>
      </c>
      <c r="W114" s="66" t="str">
        <f t="shared" si="32"/>
        <v>.</v>
      </c>
      <c r="X114" s="66" t="str">
        <f t="shared" si="33"/>
        <v/>
      </c>
      <c r="Y114" s="66" t="str">
        <f t="shared" si="34"/>
        <v/>
      </c>
      <c r="Z114" s="66" t="str">
        <f t="shared" si="35"/>
        <v/>
      </c>
      <c r="AA114" s="66" t="str">
        <f t="shared" si="36"/>
        <v/>
      </c>
      <c r="AB114" s="66" t="str">
        <f t="shared" si="37"/>
        <v>.</v>
      </c>
      <c r="AC114" s="66" t="str">
        <f t="shared" si="38"/>
        <v>.</v>
      </c>
      <c r="AD114" s="66" t="str">
        <f t="shared" si="39"/>
        <v>.</v>
      </c>
      <c r="AE114" s="66" t="str">
        <f t="shared" si="40"/>
        <v/>
      </c>
      <c r="AF114" s="66" t="str">
        <f t="shared" si="41"/>
        <v/>
      </c>
      <c r="AG114" s="66" t="str">
        <f t="shared" si="42"/>
        <v/>
      </c>
      <c r="AH114" s="66" t="str">
        <f t="shared" si="43"/>
        <v>.32</v>
      </c>
      <c r="AI114" s="66" t="str">
        <f t="shared" si="44"/>
        <v>.32</v>
      </c>
      <c r="AJ114" s="66" t="str">
        <f t="shared" si="45"/>
        <v>.32</v>
      </c>
    </row>
    <row r="115" spans="1:55">
      <c r="A115" s="66">
        <f t="shared" ref="A115:B118" si="47">A75</f>
        <v>33</v>
      </c>
      <c r="B115" s="66" t="str">
        <f t="shared" si="47"/>
        <v/>
      </c>
      <c r="C115" s="66" t="str">
        <f t="shared" si="12"/>
        <v/>
      </c>
      <c r="D115" s="66" t="str">
        <f t="shared" si="13"/>
        <v/>
      </c>
      <c r="E115" s="66" t="str">
        <f t="shared" si="14"/>
        <v/>
      </c>
      <c r="F115" s="66" t="str">
        <f t="shared" si="15"/>
        <v/>
      </c>
      <c r="G115" s="66" t="str">
        <f t="shared" si="16"/>
        <v/>
      </c>
      <c r="H115" s="66" t="str">
        <f t="shared" si="17"/>
        <v/>
      </c>
      <c r="I115" s="66" t="str">
        <f t="shared" si="18"/>
        <v/>
      </c>
      <c r="J115" s="66" t="str">
        <f t="shared" si="19"/>
        <v/>
      </c>
      <c r="K115" s="66" t="str">
        <f t="shared" si="20"/>
        <v/>
      </c>
      <c r="L115" s="66" t="str">
        <f t="shared" si="21"/>
        <v/>
      </c>
      <c r="M115" s="66" t="str">
        <f t="shared" si="22"/>
        <v/>
      </c>
      <c r="N115" s="66" t="str">
        <f t="shared" si="23"/>
        <v/>
      </c>
      <c r="O115" s="66" t="str">
        <f t="shared" si="24"/>
        <v/>
      </c>
      <c r="P115" s="66" t="str">
        <f t="shared" si="25"/>
        <v/>
      </c>
      <c r="Q115" s="66" t="str">
        <f t="shared" si="26"/>
        <v/>
      </c>
      <c r="R115" s="66" t="str">
        <f t="shared" si="27"/>
        <v/>
      </c>
      <c r="S115" s="66" t="str">
        <f t="shared" si="28"/>
        <v/>
      </c>
      <c r="T115" s="66" t="str">
        <f t="shared" si="29"/>
        <v/>
      </c>
      <c r="U115" s="66" t="str">
        <f t="shared" si="30"/>
        <v/>
      </c>
      <c r="V115" s="66" t="str">
        <f t="shared" si="31"/>
        <v/>
      </c>
      <c r="W115" s="66" t="str">
        <f t="shared" si="32"/>
        <v/>
      </c>
      <c r="X115" s="66" t="str">
        <f t="shared" si="33"/>
        <v/>
      </c>
      <c r="Y115" s="66" t="str">
        <f t="shared" si="34"/>
        <v/>
      </c>
      <c r="Z115" s="66" t="str">
        <f t="shared" si="35"/>
        <v/>
      </c>
      <c r="AA115" s="66" t="str">
        <f t="shared" si="36"/>
        <v/>
      </c>
      <c r="AB115" s="66" t="str">
        <f t="shared" si="37"/>
        <v/>
      </c>
      <c r="AC115" s="66" t="str">
        <f t="shared" si="38"/>
        <v/>
      </c>
      <c r="AD115" s="66" t="str">
        <f t="shared" si="39"/>
        <v/>
      </c>
      <c r="AE115" s="66" t="str">
        <f t="shared" si="40"/>
        <v/>
      </c>
      <c r="AF115" s="66" t="str">
        <f t="shared" si="41"/>
        <v/>
      </c>
      <c r="AG115" s="66" t="str">
        <f t="shared" si="42"/>
        <v/>
      </c>
      <c r="AH115" s="66" t="str">
        <f t="shared" si="43"/>
        <v>.</v>
      </c>
      <c r="AI115" s="66" t="str">
        <f t="shared" si="44"/>
        <v>.</v>
      </c>
      <c r="AJ115" s="66" t="str">
        <f t="shared" si="45"/>
        <v>.</v>
      </c>
    </row>
    <row r="116" spans="1:55">
      <c r="A116" s="66">
        <f t="shared" si="47"/>
        <v>34</v>
      </c>
      <c r="B116" s="66" t="str">
        <f t="shared" si="47"/>
        <v/>
      </c>
      <c r="C116" s="66" t="str">
        <f t="shared" si="12"/>
        <v/>
      </c>
      <c r="D116" s="66" t="str">
        <f t="shared" si="13"/>
        <v/>
      </c>
      <c r="E116" s="66" t="str">
        <f t="shared" si="14"/>
        <v/>
      </c>
      <c r="F116" s="66" t="str">
        <f t="shared" si="15"/>
        <v/>
      </c>
      <c r="G116" s="66" t="str">
        <f t="shared" si="16"/>
        <v/>
      </c>
      <c r="H116" s="66" t="str">
        <f t="shared" si="17"/>
        <v/>
      </c>
      <c r="I116" s="66" t="str">
        <f t="shared" si="18"/>
        <v/>
      </c>
      <c r="J116" s="66" t="str">
        <f t="shared" si="19"/>
        <v/>
      </c>
      <c r="K116" s="66" t="str">
        <f t="shared" si="20"/>
        <v/>
      </c>
      <c r="L116" s="66" t="str">
        <f t="shared" si="21"/>
        <v/>
      </c>
      <c r="M116" s="66" t="str">
        <f t="shared" si="22"/>
        <v/>
      </c>
      <c r="N116" s="66" t="str">
        <f t="shared" si="23"/>
        <v/>
      </c>
      <c r="O116" s="66" t="str">
        <f t="shared" si="24"/>
        <v/>
      </c>
      <c r="P116" s="66" t="str">
        <f t="shared" si="25"/>
        <v/>
      </c>
      <c r="Q116" s="66" t="str">
        <f t="shared" si="26"/>
        <v/>
      </c>
      <c r="R116" s="66" t="str">
        <f t="shared" si="27"/>
        <v/>
      </c>
      <c r="S116" s="66" t="str">
        <f t="shared" si="28"/>
        <v/>
      </c>
      <c r="T116" s="66" t="str">
        <f t="shared" si="29"/>
        <v/>
      </c>
      <c r="U116" s="66" t="str">
        <f t="shared" si="30"/>
        <v/>
      </c>
      <c r="V116" s="66" t="str">
        <f t="shared" si="31"/>
        <v/>
      </c>
      <c r="W116" s="66" t="str">
        <f t="shared" si="32"/>
        <v/>
      </c>
      <c r="X116" s="66" t="str">
        <f t="shared" si="33"/>
        <v/>
      </c>
      <c r="Y116" s="66" t="str">
        <f t="shared" si="34"/>
        <v/>
      </c>
      <c r="Z116" s="66" t="str">
        <f t="shared" si="35"/>
        <v/>
      </c>
      <c r="AA116" s="66" t="str">
        <f t="shared" si="36"/>
        <v/>
      </c>
      <c r="AB116" s="66" t="str">
        <f t="shared" si="37"/>
        <v/>
      </c>
      <c r="AC116" s="66" t="str">
        <f t="shared" si="38"/>
        <v/>
      </c>
      <c r="AD116" s="66" t="str">
        <f t="shared" si="39"/>
        <v/>
      </c>
      <c r="AE116" s="66" t="str">
        <f t="shared" si="40"/>
        <v/>
      </c>
      <c r="AF116" s="66" t="str">
        <f t="shared" si="41"/>
        <v/>
      </c>
      <c r="AG116" s="66" t="str">
        <f t="shared" si="42"/>
        <v/>
      </c>
      <c r="AH116" s="66" t="str">
        <f t="shared" si="43"/>
        <v/>
      </c>
      <c r="AI116" s="66" t="str">
        <f t="shared" si="44"/>
        <v/>
      </c>
      <c r="AJ116" s="66" t="str">
        <f t="shared" si="45"/>
        <v/>
      </c>
    </row>
    <row r="117" spans="1:55">
      <c r="A117" s="66">
        <f t="shared" si="47"/>
        <v>35</v>
      </c>
      <c r="B117" s="66" t="str">
        <f t="shared" si="47"/>
        <v/>
      </c>
      <c r="C117" s="66" t="str">
        <f t="shared" si="12"/>
        <v/>
      </c>
      <c r="D117" s="66" t="str">
        <f t="shared" si="13"/>
        <v/>
      </c>
      <c r="E117" s="66" t="str">
        <f t="shared" si="14"/>
        <v/>
      </c>
      <c r="F117" s="66" t="str">
        <f t="shared" si="15"/>
        <v/>
      </c>
      <c r="G117" s="66" t="str">
        <f t="shared" si="16"/>
        <v/>
      </c>
      <c r="H117" s="66" t="str">
        <f t="shared" si="17"/>
        <v/>
      </c>
      <c r="I117" s="66" t="str">
        <f t="shared" si="18"/>
        <v/>
      </c>
      <c r="J117" s="66" t="str">
        <f t="shared" si="19"/>
        <v/>
      </c>
      <c r="K117" s="66" t="str">
        <f t="shared" si="20"/>
        <v/>
      </c>
      <c r="L117" s="66" t="str">
        <f t="shared" si="21"/>
        <v/>
      </c>
      <c r="M117" s="66" t="str">
        <f t="shared" si="22"/>
        <v/>
      </c>
      <c r="N117" s="66" t="str">
        <f t="shared" si="23"/>
        <v/>
      </c>
      <c r="O117" s="66" t="str">
        <f t="shared" si="24"/>
        <v/>
      </c>
      <c r="P117" s="66" t="str">
        <f t="shared" si="25"/>
        <v/>
      </c>
      <c r="Q117" s="66" t="str">
        <f t="shared" si="26"/>
        <v/>
      </c>
      <c r="R117" s="66" t="str">
        <f t="shared" si="27"/>
        <v/>
      </c>
      <c r="S117" s="66" t="str">
        <f t="shared" si="28"/>
        <v/>
      </c>
      <c r="T117" s="66" t="str">
        <f t="shared" si="29"/>
        <v/>
      </c>
      <c r="U117" s="66" t="str">
        <f t="shared" si="30"/>
        <v/>
      </c>
      <c r="V117" s="66" t="str">
        <f t="shared" si="31"/>
        <v/>
      </c>
      <c r="W117" s="66" t="str">
        <f t="shared" si="32"/>
        <v/>
      </c>
      <c r="X117" s="66" t="str">
        <f t="shared" si="33"/>
        <v/>
      </c>
      <c r="Y117" s="66" t="str">
        <f t="shared" si="34"/>
        <v/>
      </c>
      <c r="Z117" s="66" t="str">
        <f t="shared" si="35"/>
        <v/>
      </c>
      <c r="AA117" s="66" t="str">
        <f t="shared" si="36"/>
        <v/>
      </c>
      <c r="AB117" s="66" t="str">
        <f t="shared" si="37"/>
        <v/>
      </c>
      <c r="AC117" s="66" t="str">
        <f t="shared" si="38"/>
        <v/>
      </c>
      <c r="AD117" s="66" t="str">
        <f t="shared" si="39"/>
        <v/>
      </c>
      <c r="AE117" s="66" t="str">
        <f t="shared" si="40"/>
        <v/>
      </c>
      <c r="AF117" s="66" t="str">
        <f t="shared" si="41"/>
        <v/>
      </c>
      <c r="AG117" s="66" t="str">
        <f t="shared" si="42"/>
        <v/>
      </c>
      <c r="AH117" s="66" t="str">
        <f t="shared" si="43"/>
        <v/>
      </c>
      <c r="AI117" s="66" t="str">
        <f t="shared" si="44"/>
        <v/>
      </c>
      <c r="AJ117" s="66" t="str">
        <f t="shared" si="45"/>
        <v/>
      </c>
    </row>
    <row r="118" spans="1:55">
      <c r="A118" s="66">
        <f t="shared" si="47"/>
        <v>37</v>
      </c>
      <c r="B118" s="66" t="str">
        <f t="shared" si="47"/>
        <v/>
      </c>
      <c r="C118" s="66" t="str">
        <f t="shared" si="12"/>
        <v/>
      </c>
      <c r="D118" s="66" t="str">
        <f t="shared" si="13"/>
        <v/>
      </c>
      <c r="E118" s="66" t="str">
        <f t="shared" si="14"/>
        <v/>
      </c>
      <c r="F118" s="66" t="str">
        <f t="shared" si="15"/>
        <v/>
      </c>
      <c r="G118" s="66" t="str">
        <f t="shared" si="16"/>
        <v/>
      </c>
      <c r="H118" s="66" t="str">
        <f t="shared" si="17"/>
        <v/>
      </c>
      <c r="I118" s="66" t="str">
        <f t="shared" si="18"/>
        <v/>
      </c>
      <c r="J118" s="66" t="str">
        <f t="shared" si="19"/>
        <v/>
      </c>
      <c r="K118" s="66" t="str">
        <f t="shared" si="20"/>
        <v/>
      </c>
      <c r="L118" s="66" t="str">
        <f t="shared" si="21"/>
        <v/>
      </c>
      <c r="M118" s="66" t="str">
        <f t="shared" si="22"/>
        <v/>
      </c>
      <c r="N118" s="66" t="str">
        <f t="shared" si="23"/>
        <v/>
      </c>
      <c r="O118" s="66" t="str">
        <f t="shared" si="24"/>
        <v/>
      </c>
      <c r="P118" s="66" t="str">
        <f t="shared" si="25"/>
        <v/>
      </c>
      <c r="Q118" s="66" t="str">
        <f t="shared" si="26"/>
        <v/>
      </c>
      <c r="R118" s="66" t="str">
        <f t="shared" si="27"/>
        <v/>
      </c>
      <c r="S118" s="66" t="str">
        <f t="shared" si="28"/>
        <v/>
      </c>
      <c r="T118" s="66" t="str">
        <f t="shared" si="29"/>
        <v/>
      </c>
      <c r="U118" s="66" t="str">
        <f t="shared" si="30"/>
        <v/>
      </c>
      <c r="V118" s="66" t="str">
        <f t="shared" si="31"/>
        <v/>
      </c>
      <c r="W118" s="66" t="str">
        <f t="shared" si="32"/>
        <v/>
      </c>
      <c r="X118" s="66" t="str">
        <f t="shared" si="33"/>
        <v/>
      </c>
      <c r="Y118" s="66" t="str">
        <f t="shared" si="34"/>
        <v/>
      </c>
      <c r="Z118" s="66" t="str">
        <f t="shared" si="35"/>
        <v/>
      </c>
      <c r="AA118" s="66" t="str">
        <f t="shared" si="36"/>
        <v/>
      </c>
      <c r="AB118" s="66" t="str">
        <f t="shared" si="37"/>
        <v/>
      </c>
      <c r="AC118" s="66" t="str">
        <f t="shared" si="38"/>
        <v/>
      </c>
      <c r="AD118" s="66" t="str">
        <f t="shared" si="39"/>
        <v/>
      </c>
      <c r="AE118" s="66" t="str">
        <f t="shared" si="40"/>
        <v/>
      </c>
      <c r="AF118" s="66" t="str">
        <f t="shared" si="41"/>
        <v/>
      </c>
      <c r="AG118" s="66" t="str">
        <f t="shared" si="42"/>
        <v/>
      </c>
      <c r="AH118" s="66" t="str">
        <f t="shared" si="43"/>
        <v/>
      </c>
      <c r="AI118" s="66" t="str">
        <f t="shared" si="44"/>
        <v/>
      </c>
      <c r="AJ118" s="66" t="str">
        <f t="shared" si="45"/>
        <v/>
      </c>
    </row>
    <row r="119" spans="1:55">
      <c r="A119" s="66"/>
      <c r="B119" s="66"/>
      <c r="C119" s="66" t="str">
        <f>IFERROR(  LEFT(  CONCATENATE(C83,C84,C85,C86,C87,C88,C89,C90,C91,C92,C93,C94,C95,C96,C97,C98,C99,C100,C101,C102,C103,C104,C105,C106,C107,C108,C109,C110,C111,C112,C113,C114,C115,C116,C117,C118),LEN(  CONCATENATE(C83,C84,C85,C86,C87,C88,C89,C90,C91,C92,C93,C94,C95,C96,C97,C98,C99,C100,C101,C102,C103,C104,C105,C106,C107,C108,C109,C110,C111,C112,C113,C114,C115,C116,C117,C118)  )-1),"")</f>
        <v>12345678910.11.12.13.14.15.16.17.18.19.22.26.28.29.31</v>
      </c>
      <c r="D119" s="66" t="str">
        <f t="shared" ref="D119:AJ119" si="48">IFERROR(  LEFT(  CONCATENATE(D83,D84,D85,D86,D87,D88,D89,D90,D91,D92,D93,D94,D95,D96,D97,D98,D99,D100,D101,D102,D103,D104,D105,D106,D107,D108,D109,D110,D111,D112,D113,D114,D115,D116,D117,D118),LEN(  CONCATENATE(D83,D84,D85,D86,D87,D88,D89,D90,D91,D92,D93,D94,D95,D96,D97,D98,D99,D100,D101,D102,D103,D104,D105,D106,D107,D108,D109,D110,D111,D112,D113,D114,D115,D116,D117,D118)  )-1),"")</f>
        <v>12345678910.11.12.13.14.15.16.17.18.19.26.27.29.31</v>
      </c>
      <c r="E119" s="66" t="str">
        <f t="shared" si="48"/>
        <v>12345678910.11.12.13.14.15.16.17.18.19.26.27.29.30</v>
      </c>
      <c r="F119" s="66" t="str">
        <f t="shared" si="48"/>
        <v>12345678910.11.12.13.14.15.16.17.18.19.20.24.26.27.30</v>
      </c>
      <c r="G119" s="66" t="str">
        <f t="shared" si="48"/>
        <v>12345678910.11.12.13.14.15.16.17.18.19.20.21.22.23.24.25.26.27.28.30</v>
      </c>
      <c r="H119" s="66" t="str">
        <f t="shared" si="48"/>
        <v>12345678910.11.12.13.14.15.16.17.18.19.20.21.22.23.24.25.26.27.28.29.30</v>
      </c>
      <c r="I119" s="66" t="str">
        <f t="shared" si="48"/>
        <v>12345678910.11.12.13.14.15.16.17.18.19.20.21.24.25.26.28.31</v>
      </c>
      <c r="J119" s="66" t="str">
        <f t="shared" si="48"/>
        <v>12345678910.11.12.13.14.15.16.17.18.19.24.26.28.29.31</v>
      </c>
      <c r="K119" s="66" t="str">
        <f t="shared" si="48"/>
        <v>12345678910.11.12.13.14.15.16.17.18.19.22.24.26.29.31</v>
      </c>
      <c r="L119" s="66" t="str">
        <f t="shared" si="48"/>
        <v>12345678910.11.12.13.14.15.16.17.18.19.22.24.27.29.31</v>
      </c>
      <c r="M119" s="66" t="str">
        <f t="shared" si="48"/>
        <v>12345678910.11.12.13.14.15.16.17.18.19.22.23.24.27</v>
      </c>
      <c r="N119" s="66" t="str">
        <f t="shared" si="48"/>
        <v>12345678910.11.12.13.14.15.16.17.18.19.20.21.22.23.25.27</v>
      </c>
      <c r="O119" s="66" t="str">
        <f t="shared" si="48"/>
        <v>12345678910.11.12.13.14.15.16.17.18.19.20.21.22.23.25.27.28.30</v>
      </c>
      <c r="P119" s="66" t="str">
        <f t="shared" si="48"/>
        <v>12345678910.11.12.13.14.15.16.17.18.19.20.21.22.23.25.26.27.28.30.31</v>
      </c>
      <c r="Q119" s="66" t="str">
        <f t="shared" si="48"/>
        <v>12345678910.11.12.13.14.15.16.17.18.19.22.25.26.28.29.30.31</v>
      </c>
      <c r="R119" s="66" t="str">
        <f t="shared" si="48"/>
        <v>12345678910.11.12.13.14.15.16.17.18.19.24.25.28.29.30</v>
      </c>
      <c r="S119" s="66" t="str">
        <f t="shared" si="48"/>
        <v>12345678910.11.12.13.14.15.16.17.18.19.24.25.27.29</v>
      </c>
      <c r="T119" s="66" t="str">
        <f t="shared" si="48"/>
        <v>12345678910.11.12.13.14.15.16.17.18.19.20.21.23.24.25.27</v>
      </c>
      <c r="U119" s="66" t="str">
        <f t="shared" si="48"/>
        <v>12345678910.11.12.13.14.15.16.17.18.19.20.21.22.23.24.25.27.31</v>
      </c>
      <c r="V119" s="66" t="str">
        <f t="shared" si="48"/>
        <v>12345678910.11.12.13.14.15.16.17.18.19.20.21.22.23.24.25.27.28.29.30.31</v>
      </c>
      <c r="W119" s="66" t="str">
        <f t="shared" si="48"/>
        <v>12345678910.11.12.13.14.15.16.17.18.19.20.21.22.23.25.26.27.28.30.31</v>
      </c>
      <c r="X119" s="66" t="str">
        <f t="shared" si="48"/>
        <v>12345678910.11.12.13.14.15.16.17.18.19.23.26.29.30</v>
      </c>
      <c r="Y119" s="66" t="str">
        <f t="shared" si="48"/>
        <v>12345678910.11.12.13.14.15.16.17.18.19.20.23.26.29</v>
      </c>
      <c r="Z119" s="66" t="str">
        <f t="shared" si="48"/>
        <v>12345678910.11.12.13.14.15.16.17.18.19.20.23.24.26.29</v>
      </c>
      <c r="AA119" s="66" t="str">
        <f t="shared" si="48"/>
        <v>12345678910.11.12.13.14.15.16.17.18.19.20.21.23.24.27</v>
      </c>
      <c r="AB119" s="66" t="str">
        <f t="shared" si="48"/>
        <v>12345678910.11.12.13.14.15.16.17.18.19.20.21.22.23.24.25.27.28.31</v>
      </c>
      <c r="AC119" s="66" t="str">
        <f t="shared" si="48"/>
        <v>12345678910.11.12.13.14.15.16.17.18.19.20.21.22.23.24.25.27.28.30.31</v>
      </c>
      <c r="AD119" s="66" t="str">
        <f t="shared" si="48"/>
        <v>12345678910.11.12.13.14.15.16.17.18.19.20.21.23.24.25.27.28.30.31</v>
      </c>
      <c r="AE119" s="66" t="str">
        <f t="shared" si="48"/>
        <v>12345678910.11.12.13.14.15.16.17.18.19.23.28.29.30</v>
      </c>
      <c r="AF119" s="66" t="str">
        <f t="shared" si="48"/>
        <v>2456911.12.14.16.17.18.19.23.26.29</v>
      </c>
      <c r="AG119" s="66" t="str">
        <f t="shared" si="48"/>
        <v>2456911.12.14.16.17.18.19.22.26.29</v>
      </c>
      <c r="AH119" s="66" t="str">
        <f t="shared" si="48"/>
        <v>12345678910.11.12.13.14.15.16.17.18.19.20.21.22.23.24.25.26.27.28.29.30.31.32</v>
      </c>
      <c r="AI119" s="66" t="str">
        <f t="shared" si="48"/>
        <v>12345678910.11.12.13.14.15.16.17.18.19.20.21.22.23.24.25.26.27.28.29.30.31.32</v>
      </c>
      <c r="AJ119" s="66" t="str">
        <f t="shared" si="48"/>
        <v>12345678910.11.12.13.14.15.16.17.18.19.20.21.22.23.24.25.26.27.28.29.30.31.32</v>
      </c>
    </row>
    <row r="120" spans="1:55" s="289" customFormat="1">
      <c r="AP120" s="303"/>
      <c r="AU120" s="303"/>
      <c r="AV120" s="303"/>
      <c r="AY120" s="303"/>
      <c r="AZ120" s="303"/>
      <c r="BA120" s="303"/>
      <c r="BB120" s="303"/>
      <c r="BC120" s="303"/>
    </row>
    <row r="121" spans="1:55">
      <c r="A121" s="289" t="s">
        <v>268</v>
      </c>
    </row>
    <row r="122" spans="1:55">
      <c r="A122" s="66" t="str">
        <f>A82</f>
        <v>番號</v>
      </c>
      <c r="B122" s="66" t="str">
        <f t="shared" ref="B122:AJ122" si="49">B82</f>
        <v xml:space="preserve"> 姓名</v>
      </c>
      <c r="C122" s="66">
        <f t="shared" si="49"/>
        <v>1</v>
      </c>
      <c r="D122" s="66">
        <f t="shared" si="49"/>
        <v>2</v>
      </c>
      <c r="E122" s="66">
        <f t="shared" si="49"/>
        <v>3</v>
      </c>
      <c r="F122" s="66">
        <f t="shared" si="49"/>
        <v>4</v>
      </c>
      <c r="G122" s="66">
        <f t="shared" si="49"/>
        <v>5</v>
      </c>
      <c r="H122" s="66">
        <f t="shared" si="49"/>
        <v>6</v>
      </c>
      <c r="I122" s="66">
        <f t="shared" si="49"/>
        <v>7</v>
      </c>
      <c r="J122" s="66">
        <f t="shared" si="49"/>
        <v>8</v>
      </c>
      <c r="K122" s="66">
        <f t="shared" si="49"/>
        <v>9</v>
      </c>
      <c r="L122" s="66">
        <f t="shared" si="49"/>
        <v>10</v>
      </c>
      <c r="M122" s="66">
        <f t="shared" si="49"/>
        <v>11</v>
      </c>
      <c r="N122" s="66">
        <f t="shared" si="49"/>
        <v>12</v>
      </c>
      <c r="O122" s="66">
        <f t="shared" si="49"/>
        <v>13</v>
      </c>
      <c r="P122" s="66">
        <f t="shared" si="49"/>
        <v>14</v>
      </c>
      <c r="Q122" s="66">
        <f t="shared" si="49"/>
        <v>15</v>
      </c>
      <c r="R122" s="66">
        <f t="shared" si="49"/>
        <v>16</v>
      </c>
      <c r="S122" s="66">
        <f t="shared" si="49"/>
        <v>17</v>
      </c>
      <c r="T122" s="66">
        <f t="shared" si="49"/>
        <v>18</v>
      </c>
      <c r="U122" s="66">
        <f t="shared" si="49"/>
        <v>19</v>
      </c>
      <c r="V122" s="66">
        <f t="shared" si="49"/>
        <v>20</v>
      </c>
      <c r="W122" s="66">
        <f t="shared" si="49"/>
        <v>21</v>
      </c>
      <c r="X122" s="66">
        <f t="shared" si="49"/>
        <v>22</v>
      </c>
      <c r="Y122" s="66">
        <f t="shared" si="49"/>
        <v>23</v>
      </c>
      <c r="Z122" s="66">
        <f t="shared" si="49"/>
        <v>24</v>
      </c>
      <c r="AA122" s="66">
        <f t="shared" si="49"/>
        <v>25</v>
      </c>
      <c r="AB122" s="66">
        <f t="shared" si="49"/>
        <v>26</v>
      </c>
      <c r="AC122" s="66">
        <f t="shared" si="49"/>
        <v>27</v>
      </c>
      <c r="AD122" s="66">
        <f t="shared" si="49"/>
        <v>28</v>
      </c>
      <c r="AE122" s="66">
        <f t="shared" si="49"/>
        <v>29</v>
      </c>
      <c r="AF122" s="66">
        <f t="shared" si="49"/>
        <v>30</v>
      </c>
      <c r="AG122" s="66">
        <f t="shared" si="49"/>
        <v>31</v>
      </c>
      <c r="AH122" s="66">
        <f t="shared" si="49"/>
        <v>32</v>
      </c>
      <c r="AI122" s="66">
        <f t="shared" si="49"/>
        <v>33</v>
      </c>
      <c r="AJ122" s="66">
        <f t="shared" si="49"/>
        <v>34</v>
      </c>
    </row>
    <row r="123" spans="1:55">
      <c r="A123" s="66">
        <f t="shared" ref="A123:B138" si="50">A83</f>
        <v>1</v>
      </c>
      <c r="B123" s="66" t="str">
        <f t="shared" si="50"/>
        <v>葉家豪</v>
      </c>
      <c r="C123" s="66" t="str">
        <f>IF(  OR(  LEN(C122)=2,LEN(C122)=3  ),  CONCATENATE(  "",IF(C43=$A$121,$A123,"")  ),IF(C43=$A$121,$A123,"")  )</f>
        <v/>
      </c>
      <c r="D123" s="66" t="str">
        <f t="shared" ref="D123:AJ123" si="51">IF(  OR(  LEN(D122)=2,LEN(D122)=3  ),  CONCATENATE(  "",IF(D43=$A$121,$A123,"")  ),IF(D43=$A$121,$A123,"")  )</f>
        <v/>
      </c>
      <c r="E123" s="66" t="str">
        <f t="shared" si="51"/>
        <v/>
      </c>
      <c r="F123" s="66" t="str">
        <f t="shared" si="51"/>
        <v/>
      </c>
      <c r="G123" s="66" t="str">
        <f t="shared" si="51"/>
        <v/>
      </c>
      <c r="H123" s="66" t="str">
        <f t="shared" si="51"/>
        <v/>
      </c>
      <c r="I123" s="66" t="str">
        <f t="shared" si="51"/>
        <v/>
      </c>
      <c r="J123" s="66" t="str">
        <f t="shared" si="51"/>
        <v/>
      </c>
      <c r="K123" s="66" t="str">
        <f t="shared" si="51"/>
        <v/>
      </c>
      <c r="L123" s="66" t="str">
        <f t="shared" si="51"/>
        <v/>
      </c>
      <c r="M123" s="66" t="str">
        <f t="shared" si="51"/>
        <v/>
      </c>
      <c r="N123" s="66" t="str">
        <f t="shared" si="51"/>
        <v/>
      </c>
      <c r="O123" s="66" t="str">
        <f t="shared" si="51"/>
        <v/>
      </c>
      <c r="P123" s="66" t="str">
        <f t="shared" si="51"/>
        <v/>
      </c>
      <c r="Q123" s="66" t="str">
        <f t="shared" si="51"/>
        <v/>
      </c>
      <c r="R123" s="66" t="str">
        <f t="shared" si="51"/>
        <v/>
      </c>
      <c r="S123" s="66" t="str">
        <f t="shared" si="51"/>
        <v/>
      </c>
      <c r="T123" s="66" t="str">
        <f t="shared" si="51"/>
        <v/>
      </c>
      <c r="U123" s="66" t="str">
        <f t="shared" si="51"/>
        <v/>
      </c>
      <c r="V123" s="66" t="str">
        <f t="shared" si="51"/>
        <v/>
      </c>
      <c r="W123" s="66" t="str">
        <f t="shared" si="51"/>
        <v/>
      </c>
      <c r="X123" s="66" t="str">
        <f t="shared" si="51"/>
        <v/>
      </c>
      <c r="Y123" s="66" t="str">
        <f t="shared" si="51"/>
        <v/>
      </c>
      <c r="Z123" s="66" t="str">
        <f t="shared" si="51"/>
        <v/>
      </c>
      <c r="AA123" s="66" t="str">
        <f t="shared" si="51"/>
        <v/>
      </c>
      <c r="AB123" s="66" t="str">
        <f t="shared" si="51"/>
        <v/>
      </c>
      <c r="AC123" s="66" t="str">
        <f t="shared" si="51"/>
        <v/>
      </c>
      <c r="AD123" s="66" t="str">
        <f t="shared" si="51"/>
        <v/>
      </c>
      <c r="AE123" s="66" t="str">
        <f t="shared" si="51"/>
        <v/>
      </c>
      <c r="AF123" s="66" t="str">
        <f t="shared" si="51"/>
        <v/>
      </c>
      <c r="AG123" s="66" t="str">
        <f t="shared" si="51"/>
        <v>1</v>
      </c>
      <c r="AH123" s="66" t="str">
        <f t="shared" si="51"/>
        <v/>
      </c>
      <c r="AI123" s="66" t="str">
        <f t="shared" si="51"/>
        <v/>
      </c>
      <c r="AJ123" s="66" t="str">
        <f t="shared" si="51"/>
        <v/>
      </c>
    </row>
    <row r="124" spans="1:55">
      <c r="A124" s="66">
        <f t="shared" si="50"/>
        <v>2</v>
      </c>
      <c r="B124" s="66" t="str">
        <f t="shared" si="50"/>
        <v>鄭智謙</v>
      </c>
      <c r="C124" s="66" t="str">
        <f t="shared" ref="C124" si="52">IF(  OR(  LEN(C123)=2,LEN(C123)=3  ),  CONCATENATE(  ".",IF(C44=$A$121,$A124,"")  ),IF(C44=$A$121,$A124,"")  )</f>
        <v/>
      </c>
      <c r="D124" s="66" t="str">
        <f t="shared" ref="D124:AJ124" si="53">IF(  OR(  LEN(D123)=2,LEN(D123)=3  ),  CONCATENATE(  ".",IF(D44=$A$121,$A124,"")  ),IF(D44=$A$121,$A124,"")  )</f>
        <v/>
      </c>
      <c r="E124" s="66" t="str">
        <f t="shared" si="53"/>
        <v/>
      </c>
      <c r="F124" s="66" t="str">
        <f t="shared" si="53"/>
        <v/>
      </c>
      <c r="G124" s="66" t="str">
        <f t="shared" si="53"/>
        <v/>
      </c>
      <c r="H124" s="66" t="str">
        <f t="shared" si="53"/>
        <v/>
      </c>
      <c r="I124" s="66" t="str">
        <f t="shared" si="53"/>
        <v/>
      </c>
      <c r="J124" s="66" t="str">
        <f t="shared" si="53"/>
        <v/>
      </c>
      <c r="K124" s="66" t="str">
        <f t="shared" si="53"/>
        <v/>
      </c>
      <c r="L124" s="66" t="str">
        <f t="shared" si="53"/>
        <v/>
      </c>
      <c r="M124" s="66" t="str">
        <f t="shared" si="53"/>
        <v/>
      </c>
      <c r="N124" s="66" t="str">
        <f t="shared" si="53"/>
        <v/>
      </c>
      <c r="O124" s="66" t="str">
        <f t="shared" si="53"/>
        <v/>
      </c>
      <c r="P124" s="66" t="str">
        <f t="shared" si="53"/>
        <v/>
      </c>
      <c r="Q124" s="66" t="str">
        <f t="shared" si="53"/>
        <v/>
      </c>
      <c r="R124" s="66" t="str">
        <f t="shared" si="53"/>
        <v/>
      </c>
      <c r="S124" s="66" t="str">
        <f t="shared" si="53"/>
        <v/>
      </c>
      <c r="T124" s="66" t="str">
        <f t="shared" si="53"/>
        <v/>
      </c>
      <c r="U124" s="66" t="str">
        <f t="shared" si="53"/>
        <v/>
      </c>
      <c r="V124" s="66" t="str">
        <f t="shared" si="53"/>
        <v/>
      </c>
      <c r="W124" s="66" t="str">
        <f t="shared" si="53"/>
        <v/>
      </c>
      <c r="X124" s="66" t="str">
        <f t="shared" si="53"/>
        <v/>
      </c>
      <c r="Y124" s="66" t="str">
        <f t="shared" si="53"/>
        <v/>
      </c>
      <c r="Z124" s="66" t="str">
        <f t="shared" si="53"/>
        <v/>
      </c>
      <c r="AA124" s="66" t="str">
        <f t="shared" si="53"/>
        <v/>
      </c>
      <c r="AB124" s="66" t="str">
        <f t="shared" si="53"/>
        <v/>
      </c>
      <c r="AC124" s="66" t="str">
        <f t="shared" si="53"/>
        <v/>
      </c>
      <c r="AD124" s="66" t="str">
        <f t="shared" si="53"/>
        <v/>
      </c>
      <c r="AE124" s="66" t="str">
        <f t="shared" si="53"/>
        <v/>
      </c>
      <c r="AF124" s="66" t="str">
        <f t="shared" si="53"/>
        <v/>
      </c>
      <c r="AG124" s="66" t="str">
        <f t="shared" si="53"/>
        <v/>
      </c>
      <c r="AH124" s="66" t="str">
        <f t="shared" si="53"/>
        <v/>
      </c>
      <c r="AI124" s="66" t="str">
        <f t="shared" si="53"/>
        <v/>
      </c>
      <c r="AJ124" s="66" t="str">
        <f t="shared" si="53"/>
        <v/>
      </c>
    </row>
    <row r="125" spans="1:55">
      <c r="A125" s="66">
        <f t="shared" si="50"/>
        <v>3</v>
      </c>
      <c r="B125" s="66" t="str">
        <f t="shared" si="50"/>
        <v>王敍安</v>
      </c>
      <c r="C125" s="66" t="str">
        <f t="shared" ref="C125:AJ132" si="54">IF(  OR(  LEN(C124)=2,LEN(C124)=3  ),  CONCATENATE(  ".",IF(C45=$A$121,$A125,"")  ),IF(C45=$A$121,$A125,"")  )</f>
        <v/>
      </c>
      <c r="D125" s="66" t="str">
        <f t="shared" si="54"/>
        <v/>
      </c>
      <c r="E125" s="66" t="str">
        <f t="shared" si="54"/>
        <v/>
      </c>
      <c r="F125" s="66" t="str">
        <f t="shared" si="54"/>
        <v/>
      </c>
      <c r="G125" s="66" t="str">
        <f t="shared" si="54"/>
        <v/>
      </c>
      <c r="H125" s="66" t="str">
        <f t="shared" si="54"/>
        <v/>
      </c>
      <c r="I125" s="66" t="str">
        <f t="shared" si="54"/>
        <v/>
      </c>
      <c r="J125" s="66" t="str">
        <f t="shared" si="54"/>
        <v/>
      </c>
      <c r="K125" s="66" t="str">
        <f t="shared" si="54"/>
        <v/>
      </c>
      <c r="L125" s="66" t="str">
        <f t="shared" si="54"/>
        <v/>
      </c>
      <c r="M125" s="66" t="str">
        <f t="shared" si="54"/>
        <v/>
      </c>
      <c r="N125" s="66" t="str">
        <f t="shared" si="54"/>
        <v/>
      </c>
      <c r="O125" s="66" t="str">
        <f t="shared" si="54"/>
        <v/>
      </c>
      <c r="P125" s="66" t="str">
        <f t="shared" si="54"/>
        <v/>
      </c>
      <c r="Q125" s="66" t="str">
        <f t="shared" si="54"/>
        <v/>
      </c>
      <c r="R125" s="66" t="str">
        <f t="shared" si="54"/>
        <v/>
      </c>
      <c r="S125" s="66" t="str">
        <f t="shared" si="54"/>
        <v/>
      </c>
      <c r="T125" s="66" t="str">
        <f t="shared" si="54"/>
        <v/>
      </c>
      <c r="U125" s="66" t="str">
        <f t="shared" si="54"/>
        <v/>
      </c>
      <c r="V125" s="66" t="str">
        <f t="shared" si="54"/>
        <v/>
      </c>
      <c r="W125" s="66" t="str">
        <f t="shared" si="54"/>
        <v/>
      </c>
      <c r="X125" s="66" t="str">
        <f t="shared" si="54"/>
        <v/>
      </c>
      <c r="Y125" s="66" t="str">
        <f t="shared" si="54"/>
        <v/>
      </c>
      <c r="Z125" s="66" t="str">
        <f t="shared" si="54"/>
        <v/>
      </c>
      <c r="AA125" s="66" t="str">
        <f t="shared" si="54"/>
        <v/>
      </c>
      <c r="AB125" s="66" t="str">
        <f t="shared" si="54"/>
        <v/>
      </c>
      <c r="AC125" s="66" t="str">
        <f t="shared" si="54"/>
        <v/>
      </c>
      <c r="AD125" s="66" t="str">
        <f t="shared" si="54"/>
        <v/>
      </c>
      <c r="AE125" s="66" t="str">
        <f t="shared" si="54"/>
        <v/>
      </c>
      <c r="AF125" s="66" t="str">
        <f t="shared" si="54"/>
        <v/>
      </c>
      <c r="AG125" s="66">
        <f t="shared" si="54"/>
        <v>3</v>
      </c>
      <c r="AH125" s="66" t="str">
        <f t="shared" si="54"/>
        <v/>
      </c>
      <c r="AI125" s="66" t="str">
        <f t="shared" si="54"/>
        <v/>
      </c>
      <c r="AJ125" s="66" t="str">
        <f t="shared" si="54"/>
        <v/>
      </c>
    </row>
    <row r="126" spans="1:55">
      <c r="A126" s="66">
        <f t="shared" si="50"/>
        <v>4</v>
      </c>
      <c r="B126" s="66" t="str">
        <f t="shared" si="50"/>
        <v>鄭凱文</v>
      </c>
      <c r="C126" s="66" t="str">
        <f t="shared" si="54"/>
        <v/>
      </c>
      <c r="D126" s="66" t="str">
        <f t="shared" si="54"/>
        <v/>
      </c>
      <c r="E126" s="66" t="str">
        <f t="shared" si="54"/>
        <v/>
      </c>
      <c r="F126" s="66" t="str">
        <f t="shared" si="54"/>
        <v/>
      </c>
      <c r="G126" s="66" t="str">
        <f t="shared" si="54"/>
        <v/>
      </c>
      <c r="H126" s="66" t="str">
        <f t="shared" si="54"/>
        <v/>
      </c>
      <c r="I126" s="66" t="str">
        <f t="shared" si="54"/>
        <v/>
      </c>
      <c r="J126" s="66" t="str">
        <f t="shared" si="54"/>
        <v/>
      </c>
      <c r="K126" s="66" t="str">
        <f t="shared" si="54"/>
        <v/>
      </c>
      <c r="L126" s="66" t="str">
        <f t="shared" si="54"/>
        <v/>
      </c>
      <c r="M126" s="66" t="str">
        <f t="shared" si="54"/>
        <v/>
      </c>
      <c r="N126" s="66" t="str">
        <f t="shared" si="54"/>
        <v/>
      </c>
      <c r="O126" s="66" t="str">
        <f t="shared" si="54"/>
        <v/>
      </c>
      <c r="P126" s="66" t="str">
        <f t="shared" si="54"/>
        <v/>
      </c>
      <c r="Q126" s="66" t="str">
        <f t="shared" si="54"/>
        <v/>
      </c>
      <c r="R126" s="66" t="str">
        <f t="shared" si="54"/>
        <v/>
      </c>
      <c r="S126" s="66" t="str">
        <f t="shared" si="54"/>
        <v/>
      </c>
      <c r="T126" s="66" t="str">
        <f t="shared" si="54"/>
        <v/>
      </c>
      <c r="U126" s="66" t="str">
        <f t="shared" si="54"/>
        <v/>
      </c>
      <c r="V126" s="66" t="str">
        <f t="shared" si="54"/>
        <v/>
      </c>
      <c r="W126" s="66" t="str">
        <f t="shared" si="54"/>
        <v/>
      </c>
      <c r="X126" s="66" t="str">
        <f t="shared" si="54"/>
        <v/>
      </c>
      <c r="Y126" s="66" t="str">
        <f t="shared" si="54"/>
        <v/>
      </c>
      <c r="Z126" s="66" t="str">
        <f t="shared" si="54"/>
        <v/>
      </c>
      <c r="AA126" s="66" t="str">
        <f t="shared" si="54"/>
        <v/>
      </c>
      <c r="AB126" s="66" t="str">
        <f t="shared" si="54"/>
        <v/>
      </c>
      <c r="AC126" s="66" t="str">
        <f t="shared" si="54"/>
        <v/>
      </c>
      <c r="AD126" s="66" t="str">
        <f t="shared" si="54"/>
        <v/>
      </c>
      <c r="AE126" s="66" t="str">
        <f t="shared" si="54"/>
        <v/>
      </c>
      <c r="AF126" s="66" t="str">
        <f t="shared" si="54"/>
        <v/>
      </c>
      <c r="AG126" s="66" t="str">
        <f t="shared" si="54"/>
        <v/>
      </c>
      <c r="AH126" s="66" t="str">
        <f t="shared" si="54"/>
        <v/>
      </c>
      <c r="AI126" s="66" t="str">
        <f t="shared" si="54"/>
        <v/>
      </c>
      <c r="AJ126" s="66" t="str">
        <f t="shared" si="54"/>
        <v/>
      </c>
    </row>
    <row r="127" spans="1:55">
      <c r="A127" s="66">
        <f t="shared" si="50"/>
        <v>5</v>
      </c>
      <c r="B127" s="66" t="str">
        <f t="shared" si="50"/>
        <v>蔡政倫</v>
      </c>
      <c r="C127" s="66" t="str">
        <f t="shared" si="54"/>
        <v/>
      </c>
      <c r="D127" s="66" t="str">
        <f t="shared" si="54"/>
        <v/>
      </c>
      <c r="E127" s="66" t="str">
        <f t="shared" si="54"/>
        <v/>
      </c>
      <c r="F127" s="66" t="str">
        <f t="shared" si="54"/>
        <v/>
      </c>
      <c r="G127" s="66" t="str">
        <f t="shared" si="54"/>
        <v/>
      </c>
      <c r="H127" s="66" t="str">
        <f t="shared" si="54"/>
        <v/>
      </c>
      <c r="I127" s="66" t="str">
        <f t="shared" si="54"/>
        <v/>
      </c>
      <c r="J127" s="66" t="str">
        <f t="shared" si="54"/>
        <v/>
      </c>
      <c r="K127" s="66" t="str">
        <f t="shared" si="54"/>
        <v/>
      </c>
      <c r="L127" s="66" t="str">
        <f t="shared" si="54"/>
        <v/>
      </c>
      <c r="M127" s="66" t="str">
        <f t="shared" si="54"/>
        <v/>
      </c>
      <c r="N127" s="66" t="str">
        <f t="shared" si="54"/>
        <v/>
      </c>
      <c r="O127" s="66" t="str">
        <f t="shared" si="54"/>
        <v/>
      </c>
      <c r="P127" s="66" t="str">
        <f t="shared" si="54"/>
        <v/>
      </c>
      <c r="Q127" s="66" t="str">
        <f t="shared" si="54"/>
        <v/>
      </c>
      <c r="R127" s="66" t="str">
        <f t="shared" si="54"/>
        <v/>
      </c>
      <c r="S127" s="66" t="str">
        <f t="shared" si="54"/>
        <v/>
      </c>
      <c r="T127" s="66" t="str">
        <f t="shared" si="54"/>
        <v/>
      </c>
      <c r="U127" s="66" t="str">
        <f t="shared" si="54"/>
        <v/>
      </c>
      <c r="V127" s="66" t="str">
        <f t="shared" si="54"/>
        <v/>
      </c>
      <c r="W127" s="66" t="str">
        <f t="shared" si="54"/>
        <v/>
      </c>
      <c r="X127" s="66" t="str">
        <f t="shared" si="54"/>
        <v/>
      </c>
      <c r="Y127" s="66" t="str">
        <f t="shared" si="54"/>
        <v/>
      </c>
      <c r="Z127" s="66" t="str">
        <f t="shared" si="54"/>
        <v/>
      </c>
      <c r="AA127" s="66" t="str">
        <f t="shared" si="54"/>
        <v/>
      </c>
      <c r="AB127" s="66" t="str">
        <f t="shared" si="54"/>
        <v/>
      </c>
      <c r="AC127" s="66" t="str">
        <f t="shared" si="54"/>
        <v/>
      </c>
      <c r="AD127" s="66" t="str">
        <f t="shared" si="54"/>
        <v/>
      </c>
      <c r="AE127" s="66" t="str">
        <f t="shared" si="54"/>
        <v/>
      </c>
      <c r="AF127" s="66" t="str">
        <f t="shared" si="54"/>
        <v/>
      </c>
      <c r="AG127" s="66" t="str">
        <f t="shared" si="54"/>
        <v/>
      </c>
      <c r="AH127" s="66" t="str">
        <f t="shared" si="54"/>
        <v/>
      </c>
      <c r="AI127" s="66" t="str">
        <f t="shared" si="54"/>
        <v/>
      </c>
      <c r="AJ127" s="66" t="str">
        <f t="shared" si="54"/>
        <v/>
      </c>
    </row>
    <row r="128" spans="1:55">
      <c r="A128" s="66">
        <f t="shared" si="50"/>
        <v>6</v>
      </c>
      <c r="B128" s="66" t="str">
        <f t="shared" si="50"/>
        <v>邱昱銘</v>
      </c>
      <c r="C128" s="66" t="str">
        <f t="shared" si="54"/>
        <v/>
      </c>
      <c r="D128" s="66" t="str">
        <f t="shared" si="54"/>
        <v/>
      </c>
      <c r="E128" s="66" t="str">
        <f t="shared" si="54"/>
        <v/>
      </c>
      <c r="F128" s="66" t="str">
        <f t="shared" si="54"/>
        <v/>
      </c>
      <c r="G128" s="66" t="str">
        <f t="shared" si="54"/>
        <v/>
      </c>
      <c r="H128" s="66" t="str">
        <f t="shared" si="54"/>
        <v/>
      </c>
      <c r="I128" s="66" t="str">
        <f t="shared" si="54"/>
        <v/>
      </c>
      <c r="J128" s="66" t="str">
        <f t="shared" si="54"/>
        <v/>
      </c>
      <c r="K128" s="66" t="str">
        <f t="shared" si="54"/>
        <v/>
      </c>
      <c r="L128" s="66" t="str">
        <f t="shared" si="54"/>
        <v/>
      </c>
      <c r="M128" s="66" t="str">
        <f t="shared" si="54"/>
        <v/>
      </c>
      <c r="N128" s="66" t="str">
        <f t="shared" si="54"/>
        <v/>
      </c>
      <c r="O128" s="66" t="str">
        <f t="shared" si="54"/>
        <v/>
      </c>
      <c r="P128" s="66" t="str">
        <f t="shared" si="54"/>
        <v/>
      </c>
      <c r="Q128" s="66" t="str">
        <f t="shared" si="54"/>
        <v/>
      </c>
      <c r="R128" s="66" t="str">
        <f t="shared" si="54"/>
        <v/>
      </c>
      <c r="S128" s="66" t="str">
        <f t="shared" si="54"/>
        <v/>
      </c>
      <c r="T128" s="66" t="str">
        <f t="shared" si="54"/>
        <v/>
      </c>
      <c r="U128" s="66" t="str">
        <f t="shared" si="54"/>
        <v/>
      </c>
      <c r="V128" s="66" t="str">
        <f t="shared" si="54"/>
        <v/>
      </c>
      <c r="W128" s="66" t="str">
        <f t="shared" si="54"/>
        <v/>
      </c>
      <c r="X128" s="66" t="str">
        <f t="shared" si="54"/>
        <v/>
      </c>
      <c r="Y128" s="66" t="str">
        <f t="shared" si="54"/>
        <v/>
      </c>
      <c r="Z128" s="66" t="str">
        <f t="shared" si="54"/>
        <v/>
      </c>
      <c r="AA128" s="66" t="str">
        <f t="shared" si="54"/>
        <v/>
      </c>
      <c r="AB128" s="66" t="str">
        <f t="shared" si="54"/>
        <v/>
      </c>
      <c r="AC128" s="66" t="str">
        <f t="shared" si="54"/>
        <v/>
      </c>
      <c r="AD128" s="66" t="str">
        <f t="shared" si="54"/>
        <v/>
      </c>
      <c r="AE128" s="66" t="str">
        <f t="shared" si="54"/>
        <v/>
      </c>
      <c r="AF128" s="66" t="str">
        <f t="shared" si="54"/>
        <v/>
      </c>
      <c r="AG128" s="66" t="str">
        <f t="shared" si="54"/>
        <v/>
      </c>
      <c r="AH128" s="66" t="str">
        <f t="shared" si="54"/>
        <v/>
      </c>
      <c r="AI128" s="66" t="str">
        <f t="shared" si="54"/>
        <v/>
      </c>
      <c r="AJ128" s="66" t="str">
        <f t="shared" si="54"/>
        <v/>
      </c>
    </row>
    <row r="129" spans="1:36">
      <c r="A129" s="66">
        <f t="shared" si="50"/>
        <v>7</v>
      </c>
      <c r="B129" s="66" t="str">
        <f t="shared" si="50"/>
        <v>洪長昇</v>
      </c>
      <c r="C129" s="66" t="str">
        <f t="shared" si="54"/>
        <v/>
      </c>
      <c r="D129" s="66" t="str">
        <f t="shared" si="54"/>
        <v/>
      </c>
      <c r="E129" s="66" t="str">
        <f t="shared" si="54"/>
        <v/>
      </c>
      <c r="F129" s="66" t="str">
        <f t="shared" si="54"/>
        <v/>
      </c>
      <c r="G129" s="66" t="str">
        <f t="shared" si="54"/>
        <v/>
      </c>
      <c r="H129" s="66" t="str">
        <f t="shared" si="54"/>
        <v/>
      </c>
      <c r="I129" s="66" t="str">
        <f t="shared" si="54"/>
        <v/>
      </c>
      <c r="J129" s="66" t="str">
        <f t="shared" si="54"/>
        <v/>
      </c>
      <c r="K129" s="66" t="str">
        <f t="shared" si="54"/>
        <v/>
      </c>
      <c r="L129" s="66" t="str">
        <f t="shared" si="54"/>
        <v/>
      </c>
      <c r="M129" s="66" t="str">
        <f t="shared" si="54"/>
        <v/>
      </c>
      <c r="N129" s="66" t="str">
        <f t="shared" si="54"/>
        <v/>
      </c>
      <c r="O129" s="66" t="str">
        <f t="shared" si="54"/>
        <v/>
      </c>
      <c r="P129" s="66" t="str">
        <f t="shared" si="54"/>
        <v/>
      </c>
      <c r="Q129" s="66" t="str">
        <f t="shared" si="54"/>
        <v/>
      </c>
      <c r="R129" s="66" t="str">
        <f t="shared" si="54"/>
        <v/>
      </c>
      <c r="S129" s="66" t="str">
        <f t="shared" si="54"/>
        <v/>
      </c>
      <c r="T129" s="66" t="str">
        <f t="shared" si="54"/>
        <v/>
      </c>
      <c r="U129" s="66" t="str">
        <f t="shared" si="54"/>
        <v/>
      </c>
      <c r="V129" s="66" t="str">
        <f t="shared" si="54"/>
        <v/>
      </c>
      <c r="W129" s="66" t="str">
        <f t="shared" si="54"/>
        <v/>
      </c>
      <c r="X129" s="66" t="str">
        <f t="shared" si="54"/>
        <v/>
      </c>
      <c r="Y129" s="66" t="str">
        <f t="shared" si="54"/>
        <v/>
      </c>
      <c r="Z129" s="66" t="str">
        <f t="shared" si="54"/>
        <v/>
      </c>
      <c r="AA129" s="66" t="str">
        <f t="shared" si="54"/>
        <v/>
      </c>
      <c r="AB129" s="66" t="str">
        <f t="shared" si="54"/>
        <v/>
      </c>
      <c r="AC129" s="66" t="str">
        <f t="shared" si="54"/>
        <v/>
      </c>
      <c r="AD129" s="66" t="str">
        <f t="shared" si="54"/>
        <v/>
      </c>
      <c r="AE129" s="66" t="str">
        <f t="shared" si="54"/>
        <v/>
      </c>
      <c r="AF129" s="66" t="str">
        <f t="shared" si="54"/>
        <v/>
      </c>
      <c r="AG129" s="66">
        <f t="shared" si="54"/>
        <v>7</v>
      </c>
      <c r="AH129" s="66" t="str">
        <f t="shared" si="54"/>
        <v/>
      </c>
      <c r="AI129" s="66" t="str">
        <f t="shared" si="54"/>
        <v/>
      </c>
      <c r="AJ129" s="66" t="str">
        <f t="shared" si="54"/>
        <v/>
      </c>
    </row>
    <row r="130" spans="1:36">
      <c r="A130" s="66">
        <f t="shared" si="50"/>
        <v>8</v>
      </c>
      <c r="B130" s="66" t="str">
        <f t="shared" si="50"/>
        <v>許翊呈</v>
      </c>
      <c r="C130" s="66" t="str">
        <f t="shared" si="54"/>
        <v/>
      </c>
      <c r="D130" s="66" t="str">
        <f t="shared" si="54"/>
        <v/>
      </c>
      <c r="E130" s="66" t="str">
        <f t="shared" si="54"/>
        <v/>
      </c>
      <c r="F130" s="66" t="str">
        <f t="shared" si="54"/>
        <v/>
      </c>
      <c r="G130" s="66" t="str">
        <f t="shared" si="54"/>
        <v/>
      </c>
      <c r="H130" s="66" t="str">
        <f t="shared" si="54"/>
        <v/>
      </c>
      <c r="I130" s="66" t="str">
        <f t="shared" si="54"/>
        <v/>
      </c>
      <c r="J130" s="66" t="str">
        <f t="shared" si="54"/>
        <v/>
      </c>
      <c r="K130" s="66" t="str">
        <f t="shared" si="54"/>
        <v/>
      </c>
      <c r="L130" s="66" t="str">
        <f t="shared" si="54"/>
        <v/>
      </c>
      <c r="M130" s="66" t="str">
        <f t="shared" si="54"/>
        <v/>
      </c>
      <c r="N130" s="66" t="str">
        <f t="shared" si="54"/>
        <v/>
      </c>
      <c r="O130" s="66" t="str">
        <f t="shared" si="54"/>
        <v/>
      </c>
      <c r="P130" s="66" t="str">
        <f t="shared" si="54"/>
        <v/>
      </c>
      <c r="Q130" s="66" t="str">
        <f t="shared" si="54"/>
        <v/>
      </c>
      <c r="R130" s="66" t="str">
        <f t="shared" si="54"/>
        <v/>
      </c>
      <c r="S130" s="66" t="str">
        <f t="shared" si="54"/>
        <v/>
      </c>
      <c r="T130" s="66" t="str">
        <f t="shared" si="54"/>
        <v/>
      </c>
      <c r="U130" s="66" t="str">
        <f t="shared" si="54"/>
        <v/>
      </c>
      <c r="V130" s="66" t="str">
        <f t="shared" si="54"/>
        <v/>
      </c>
      <c r="W130" s="66" t="str">
        <f t="shared" si="54"/>
        <v/>
      </c>
      <c r="X130" s="66" t="str">
        <f t="shared" si="54"/>
        <v/>
      </c>
      <c r="Y130" s="66" t="str">
        <f t="shared" si="54"/>
        <v/>
      </c>
      <c r="Z130" s="66" t="str">
        <f t="shared" si="54"/>
        <v/>
      </c>
      <c r="AA130" s="66" t="str">
        <f t="shared" si="54"/>
        <v/>
      </c>
      <c r="AB130" s="66" t="str">
        <f t="shared" si="54"/>
        <v/>
      </c>
      <c r="AC130" s="66" t="str">
        <f t="shared" si="54"/>
        <v/>
      </c>
      <c r="AD130" s="66" t="str">
        <f t="shared" si="54"/>
        <v/>
      </c>
      <c r="AE130" s="66" t="str">
        <f t="shared" si="54"/>
        <v/>
      </c>
      <c r="AF130" s="66" t="str">
        <f t="shared" si="54"/>
        <v/>
      </c>
      <c r="AG130" s="66">
        <f t="shared" si="54"/>
        <v>8</v>
      </c>
      <c r="AH130" s="66" t="str">
        <f t="shared" si="54"/>
        <v/>
      </c>
      <c r="AI130" s="66" t="str">
        <f t="shared" si="54"/>
        <v/>
      </c>
      <c r="AJ130" s="66" t="str">
        <f t="shared" si="54"/>
        <v/>
      </c>
    </row>
    <row r="131" spans="1:36">
      <c r="A131" s="66">
        <f t="shared" si="50"/>
        <v>9</v>
      </c>
      <c r="B131" s="66" t="str">
        <f t="shared" si="50"/>
        <v>李政聰</v>
      </c>
      <c r="C131" s="66" t="str">
        <f t="shared" si="54"/>
        <v/>
      </c>
      <c r="D131" s="66" t="str">
        <f t="shared" si="54"/>
        <v/>
      </c>
      <c r="E131" s="66" t="str">
        <f t="shared" si="54"/>
        <v/>
      </c>
      <c r="F131" s="66" t="str">
        <f t="shared" si="54"/>
        <v/>
      </c>
      <c r="G131" s="66" t="str">
        <f t="shared" si="54"/>
        <v/>
      </c>
      <c r="H131" s="66" t="str">
        <f t="shared" si="54"/>
        <v/>
      </c>
      <c r="I131" s="66" t="str">
        <f t="shared" si="54"/>
        <v/>
      </c>
      <c r="J131" s="66" t="str">
        <f t="shared" si="54"/>
        <v/>
      </c>
      <c r="K131" s="66" t="str">
        <f t="shared" si="54"/>
        <v/>
      </c>
      <c r="L131" s="66" t="str">
        <f t="shared" si="54"/>
        <v/>
      </c>
      <c r="M131" s="66" t="str">
        <f t="shared" si="54"/>
        <v/>
      </c>
      <c r="N131" s="66" t="str">
        <f t="shared" si="54"/>
        <v/>
      </c>
      <c r="O131" s="66" t="str">
        <f t="shared" si="54"/>
        <v/>
      </c>
      <c r="P131" s="66" t="str">
        <f t="shared" si="54"/>
        <v/>
      </c>
      <c r="Q131" s="66" t="str">
        <f t="shared" si="54"/>
        <v/>
      </c>
      <c r="R131" s="66" t="str">
        <f t="shared" si="54"/>
        <v/>
      </c>
      <c r="S131" s="66" t="str">
        <f t="shared" si="54"/>
        <v/>
      </c>
      <c r="T131" s="66" t="str">
        <f t="shared" si="54"/>
        <v/>
      </c>
      <c r="U131" s="66" t="str">
        <f t="shared" si="54"/>
        <v/>
      </c>
      <c r="V131" s="66" t="str">
        <f t="shared" si="54"/>
        <v/>
      </c>
      <c r="W131" s="66" t="str">
        <f t="shared" si="54"/>
        <v/>
      </c>
      <c r="X131" s="66" t="str">
        <f t="shared" si="54"/>
        <v/>
      </c>
      <c r="Y131" s="66" t="str">
        <f t="shared" si="54"/>
        <v/>
      </c>
      <c r="Z131" s="66" t="str">
        <f t="shared" si="54"/>
        <v/>
      </c>
      <c r="AA131" s="66" t="str">
        <f t="shared" si="54"/>
        <v/>
      </c>
      <c r="AB131" s="66" t="str">
        <f t="shared" si="54"/>
        <v/>
      </c>
      <c r="AC131" s="66" t="str">
        <f t="shared" si="54"/>
        <v/>
      </c>
      <c r="AD131" s="66" t="str">
        <f t="shared" si="54"/>
        <v/>
      </c>
      <c r="AE131" s="66" t="str">
        <f t="shared" si="54"/>
        <v/>
      </c>
      <c r="AF131" s="66" t="str">
        <f t="shared" si="54"/>
        <v/>
      </c>
      <c r="AG131" s="66" t="str">
        <f t="shared" si="54"/>
        <v/>
      </c>
      <c r="AH131" s="66" t="str">
        <f t="shared" si="54"/>
        <v/>
      </c>
      <c r="AI131" s="66" t="str">
        <f t="shared" si="54"/>
        <v/>
      </c>
      <c r="AJ131" s="66" t="str">
        <f t="shared" si="54"/>
        <v/>
      </c>
    </row>
    <row r="132" spans="1:36">
      <c r="A132" s="66">
        <f t="shared" si="50"/>
        <v>10</v>
      </c>
      <c r="B132" s="66" t="str">
        <f t="shared" si="50"/>
        <v>劉威志</v>
      </c>
      <c r="C132" s="66" t="str">
        <f t="shared" si="54"/>
        <v/>
      </c>
      <c r="D132" s="66" t="str">
        <f t="shared" si="54"/>
        <v/>
      </c>
      <c r="E132" s="66" t="str">
        <f t="shared" si="54"/>
        <v/>
      </c>
      <c r="F132" s="66" t="str">
        <f t="shared" si="54"/>
        <v/>
      </c>
      <c r="G132" s="66" t="str">
        <f t="shared" si="54"/>
        <v/>
      </c>
      <c r="H132" s="66" t="str">
        <f t="shared" si="54"/>
        <v/>
      </c>
      <c r="I132" s="66" t="str">
        <f t="shared" si="54"/>
        <v/>
      </c>
      <c r="J132" s="66" t="str">
        <f t="shared" si="54"/>
        <v/>
      </c>
      <c r="K132" s="66" t="str">
        <f t="shared" si="54"/>
        <v/>
      </c>
      <c r="L132" s="66" t="str">
        <f t="shared" si="54"/>
        <v/>
      </c>
      <c r="M132" s="66" t="str">
        <f t="shared" si="54"/>
        <v/>
      </c>
      <c r="N132" s="66" t="str">
        <f t="shared" si="54"/>
        <v/>
      </c>
      <c r="O132" s="66" t="str">
        <f t="shared" si="54"/>
        <v/>
      </c>
      <c r="P132" s="66" t="str">
        <f t="shared" si="54"/>
        <v/>
      </c>
      <c r="Q132" s="66" t="str">
        <f t="shared" si="54"/>
        <v/>
      </c>
      <c r="R132" s="66" t="str">
        <f t="shared" si="54"/>
        <v/>
      </c>
      <c r="S132" s="66" t="str">
        <f t="shared" si="54"/>
        <v/>
      </c>
      <c r="T132" s="66" t="str">
        <f t="shared" ref="T132:AJ132" si="55">IF(  OR(  LEN(T131)=2,LEN(T131)=3  ),  CONCATENATE(  ".",IF(T52=$A$121,$A132,"")  ),IF(T52=$A$121,$A132,"")  )</f>
        <v/>
      </c>
      <c r="U132" s="66" t="str">
        <f t="shared" si="55"/>
        <v/>
      </c>
      <c r="V132" s="66" t="str">
        <f t="shared" si="55"/>
        <v/>
      </c>
      <c r="W132" s="66" t="str">
        <f t="shared" si="55"/>
        <v/>
      </c>
      <c r="X132" s="66" t="str">
        <f t="shared" si="55"/>
        <v/>
      </c>
      <c r="Y132" s="66" t="str">
        <f t="shared" si="55"/>
        <v/>
      </c>
      <c r="Z132" s="66" t="str">
        <f t="shared" si="55"/>
        <v/>
      </c>
      <c r="AA132" s="66" t="str">
        <f t="shared" si="55"/>
        <v/>
      </c>
      <c r="AB132" s="66" t="str">
        <f t="shared" si="55"/>
        <v/>
      </c>
      <c r="AC132" s="66" t="str">
        <f t="shared" si="55"/>
        <v/>
      </c>
      <c r="AD132" s="66" t="str">
        <f t="shared" si="55"/>
        <v/>
      </c>
      <c r="AE132" s="66" t="str">
        <f t="shared" si="55"/>
        <v/>
      </c>
      <c r="AF132" s="66" t="str">
        <f t="shared" si="55"/>
        <v/>
      </c>
      <c r="AG132" s="66">
        <f t="shared" si="55"/>
        <v>10</v>
      </c>
      <c r="AH132" s="66" t="str">
        <f t="shared" si="55"/>
        <v/>
      </c>
      <c r="AI132" s="66" t="str">
        <f t="shared" si="55"/>
        <v/>
      </c>
      <c r="AJ132" s="66" t="str">
        <f t="shared" si="55"/>
        <v/>
      </c>
    </row>
    <row r="133" spans="1:36">
      <c r="A133" s="66">
        <f t="shared" si="50"/>
        <v>11</v>
      </c>
      <c r="B133" s="66" t="str">
        <f t="shared" si="50"/>
        <v>梁展碩</v>
      </c>
      <c r="C133" s="66" t="str">
        <f t="shared" ref="C133:AJ140" si="56">IF(  OR(  LEN(C132)=2,LEN(C132)=3  ),  CONCATENATE(  ".",IF(C53=$A$121,$A133,"")  ),IF(C53=$A$121,$A133,"")  )</f>
        <v/>
      </c>
      <c r="D133" s="66" t="str">
        <f t="shared" si="56"/>
        <v/>
      </c>
      <c r="E133" s="66" t="str">
        <f t="shared" si="56"/>
        <v/>
      </c>
      <c r="F133" s="66" t="str">
        <f t="shared" si="56"/>
        <v/>
      </c>
      <c r="G133" s="66" t="str">
        <f t="shared" si="56"/>
        <v/>
      </c>
      <c r="H133" s="66" t="str">
        <f t="shared" si="56"/>
        <v/>
      </c>
      <c r="I133" s="66" t="str">
        <f t="shared" si="56"/>
        <v/>
      </c>
      <c r="J133" s="66" t="str">
        <f t="shared" si="56"/>
        <v/>
      </c>
      <c r="K133" s="66" t="str">
        <f t="shared" si="56"/>
        <v/>
      </c>
      <c r="L133" s="66" t="str">
        <f t="shared" si="56"/>
        <v/>
      </c>
      <c r="M133" s="66" t="str">
        <f t="shared" si="56"/>
        <v/>
      </c>
      <c r="N133" s="66" t="str">
        <f t="shared" si="56"/>
        <v/>
      </c>
      <c r="O133" s="66" t="str">
        <f t="shared" si="56"/>
        <v/>
      </c>
      <c r="P133" s="66" t="str">
        <f t="shared" si="56"/>
        <v/>
      </c>
      <c r="Q133" s="66" t="str">
        <f t="shared" si="56"/>
        <v/>
      </c>
      <c r="R133" s="66" t="str">
        <f t="shared" si="56"/>
        <v/>
      </c>
      <c r="S133" s="66" t="str">
        <f t="shared" si="56"/>
        <v/>
      </c>
      <c r="T133" s="66" t="str">
        <f t="shared" si="56"/>
        <v/>
      </c>
      <c r="U133" s="66" t="str">
        <f t="shared" si="56"/>
        <v/>
      </c>
      <c r="V133" s="66" t="str">
        <f t="shared" si="56"/>
        <v/>
      </c>
      <c r="W133" s="66" t="str">
        <f t="shared" si="56"/>
        <v/>
      </c>
      <c r="X133" s="66" t="str">
        <f t="shared" si="56"/>
        <v/>
      </c>
      <c r="Y133" s="66" t="str">
        <f t="shared" si="56"/>
        <v/>
      </c>
      <c r="Z133" s="66" t="str">
        <f t="shared" si="56"/>
        <v/>
      </c>
      <c r="AA133" s="66" t="str">
        <f t="shared" si="56"/>
        <v/>
      </c>
      <c r="AB133" s="66" t="str">
        <f t="shared" si="56"/>
        <v/>
      </c>
      <c r="AC133" s="66" t="str">
        <f t="shared" si="56"/>
        <v/>
      </c>
      <c r="AD133" s="66" t="str">
        <f t="shared" si="56"/>
        <v/>
      </c>
      <c r="AE133" s="66" t="str">
        <f t="shared" si="56"/>
        <v/>
      </c>
      <c r="AF133" s="66" t="str">
        <f t="shared" si="56"/>
        <v/>
      </c>
      <c r="AG133" s="66" t="str">
        <f t="shared" si="56"/>
        <v>.</v>
      </c>
      <c r="AH133" s="66" t="str">
        <f t="shared" si="56"/>
        <v/>
      </c>
      <c r="AI133" s="66" t="str">
        <f t="shared" si="56"/>
        <v/>
      </c>
      <c r="AJ133" s="66" t="str">
        <f t="shared" si="56"/>
        <v/>
      </c>
    </row>
    <row r="134" spans="1:36">
      <c r="A134" s="66">
        <f t="shared" si="50"/>
        <v>12</v>
      </c>
      <c r="B134" s="66" t="str">
        <f t="shared" si="50"/>
        <v>何奕諠</v>
      </c>
      <c r="C134" s="66" t="str">
        <f t="shared" si="56"/>
        <v/>
      </c>
      <c r="D134" s="66" t="str">
        <f t="shared" si="56"/>
        <v/>
      </c>
      <c r="E134" s="66" t="str">
        <f t="shared" si="56"/>
        <v/>
      </c>
      <c r="F134" s="66" t="str">
        <f t="shared" si="56"/>
        <v/>
      </c>
      <c r="G134" s="66" t="str">
        <f t="shared" si="56"/>
        <v/>
      </c>
      <c r="H134" s="66" t="str">
        <f t="shared" si="56"/>
        <v/>
      </c>
      <c r="I134" s="66" t="str">
        <f t="shared" si="56"/>
        <v/>
      </c>
      <c r="J134" s="66" t="str">
        <f t="shared" si="56"/>
        <v/>
      </c>
      <c r="K134" s="66" t="str">
        <f t="shared" si="56"/>
        <v/>
      </c>
      <c r="L134" s="66" t="str">
        <f t="shared" si="56"/>
        <v/>
      </c>
      <c r="M134" s="66" t="str">
        <f t="shared" si="56"/>
        <v/>
      </c>
      <c r="N134" s="66" t="str">
        <f t="shared" si="56"/>
        <v/>
      </c>
      <c r="O134" s="66" t="str">
        <f t="shared" si="56"/>
        <v/>
      </c>
      <c r="P134" s="66" t="str">
        <f t="shared" si="56"/>
        <v/>
      </c>
      <c r="Q134" s="66" t="str">
        <f t="shared" si="56"/>
        <v/>
      </c>
      <c r="R134" s="66" t="str">
        <f t="shared" si="56"/>
        <v/>
      </c>
      <c r="S134" s="66" t="str">
        <f t="shared" si="56"/>
        <v/>
      </c>
      <c r="T134" s="66" t="str">
        <f t="shared" si="56"/>
        <v/>
      </c>
      <c r="U134" s="66" t="str">
        <f t="shared" si="56"/>
        <v/>
      </c>
      <c r="V134" s="66" t="str">
        <f t="shared" si="56"/>
        <v/>
      </c>
      <c r="W134" s="66" t="str">
        <f t="shared" si="56"/>
        <v/>
      </c>
      <c r="X134" s="66" t="str">
        <f t="shared" si="56"/>
        <v/>
      </c>
      <c r="Y134" s="66" t="str">
        <f t="shared" si="56"/>
        <v/>
      </c>
      <c r="Z134" s="66" t="str">
        <f t="shared" si="56"/>
        <v/>
      </c>
      <c r="AA134" s="66" t="str">
        <f t="shared" si="56"/>
        <v/>
      </c>
      <c r="AB134" s="66" t="str">
        <f t="shared" si="56"/>
        <v/>
      </c>
      <c r="AC134" s="66" t="str">
        <f t="shared" si="56"/>
        <v/>
      </c>
      <c r="AD134" s="66" t="str">
        <f t="shared" si="56"/>
        <v/>
      </c>
      <c r="AE134" s="66" t="str">
        <f t="shared" si="56"/>
        <v/>
      </c>
      <c r="AF134" s="66" t="str">
        <f t="shared" si="56"/>
        <v/>
      </c>
      <c r="AG134" s="66" t="str">
        <f t="shared" si="56"/>
        <v/>
      </c>
      <c r="AH134" s="66" t="str">
        <f t="shared" si="56"/>
        <v/>
      </c>
      <c r="AI134" s="66" t="str">
        <f t="shared" si="56"/>
        <v/>
      </c>
      <c r="AJ134" s="66" t="str">
        <f t="shared" si="56"/>
        <v/>
      </c>
    </row>
    <row r="135" spans="1:36">
      <c r="A135" s="66">
        <f t="shared" si="50"/>
        <v>13</v>
      </c>
      <c r="B135" s="66" t="str">
        <f t="shared" si="50"/>
        <v>楊瑞麟</v>
      </c>
      <c r="C135" s="66" t="str">
        <f t="shared" si="56"/>
        <v/>
      </c>
      <c r="D135" s="66" t="str">
        <f t="shared" si="56"/>
        <v/>
      </c>
      <c r="E135" s="66" t="str">
        <f t="shared" si="56"/>
        <v/>
      </c>
      <c r="F135" s="66" t="str">
        <f t="shared" si="56"/>
        <v/>
      </c>
      <c r="G135" s="66" t="str">
        <f t="shared" si="56"/>
        <v/>
      </c>
      <c r="H135" s="66" t="str">
        <f t="shared" si="56"/>
        <v/>
      </c>
      <c r="I135" s="66" t="str">
        <f t="shared" si="56"/>
        <v/>
      </c>
      <c r="J135" s="66" t="str">
        <f t="shared" si="56"/>
        <v/>
      </c>
      <c r="K135" s="66" t="str">
        <f t="shared" si="56"/>
        <v/>
      </c>
      <c r="L135" s="66" t="str">
        <f t="shared" si="56"/>
        <v/>
      </c>
      <c r="M135" s="66" t="str">
        <f t="shared" si="56"/>
        <v/>
      </c>
      <c r="N135" s="66" t="str">
        <f t="shared" si="56"/>
        <v/>
      </c>
      <c r="O135" s="66" t="str">
        <f t="shared" si="56"/>
        <v/>
      </c>
      <c r="P135" s="66" t="str">
        <f t="shared" si="56"/>
        <v/>
      </c>
      <c r="Q135" s="66" t="str">
        <f t="shared" si="56"/>
        <v/>
      </c>
      <c r="R135" s="66" t="str">
        <f t="shared" si="56"/>
        <v/>
      </c>
      <c r="S135" s="66" t="str">
        <f t="shared" si="56"/>
        <v/>
      </c>
      <c r="T135" s="66" t="str">
        <f t="shared" si="56"/>
        <v/>
      </c>
      <c r="U135" s="66" t="str">
        <f t="shared" si="56"/>
        <v/>
      </c>
      <c r="V135" s="66" t="str">
        <f t="shared" si="56"/>
        <v/>
      </c>
      <c r="W135" s="66" t="str">
        <f t="shared" si="56"/>
        <v/>
      </c>
      <c r="X135" s="66" t="str">
        <f t="shared" si="56"/>
        <v/>
      </c>
      <c r="Y135" s="66" t="str">
        <f t="shared" si="56"/>
        <v/>
      </c>
      <c r="Z135" s="66" t="str">
        <f t="shared" si="56"/>
        <v/>
      </c>
      <c r="AA135" s="66" t="str">
        <f t="shared" si="56"/>
        <v/>
      </c>
      <c r="AB135" s="66" t="str">
        <f t="shared" si="56"/>
        <v/>
      </c>
      <c r="AC135" s="66" t="str">
        <f t="shared" si="56"/>
        <v/>
      </c>
      <c r="AD135" s="66" t="str">
        <f t="shared" si="56"/>
        <v/>
      </c>
      <c r="AE135" s="66" t="str">
        <f t="shared" si="56"/>
        <v/>
      </c>
      <c r="AF135" s="66" t="str">
        <f t="shared" si="56"/>
        <v/>
      </c>
      <c r="AG135" s="66">
        <f t="shared" si="56"/>
        <v>13</v>
      </c>
      <c r="AH135" s="66" t="str">
        <f t="shared" si="56"/>
        <v/>
      </c>
      <c r="AI135" s="66" t="str">
        <f t="shared" si="56"/>
        <v/>
      </c>
      <c r="AJ135" s="66" t="str">
        <f t="shared" si="56"/>
        <v/>
      </c>
    </row>
    <row r="136" spans="1:36">
      <c r="A136" s="66">
        <f t="shared" si="50"/>
        <v>14</v>
      </c>
      <c r="B136" s="66" t="str">
        <f t="shared" si="50"/>
        <v>鄭品豪</v>
      </c>
      <c r="C136" s="66" t="str">
        <f t="shared" si="56"/>
        <v/>
      </c>
      <c r="D136" s="66" t="str">
        <f t="shared" si="56"/>
        <v/>
      </c>
      <c r="E136" s="66" t="str">
        <f t="shared" si="56"/>
        <v/>
      </c>
      <c r="F136" s="66" t="str">
        <f t="shared" si="56"/>
        <v/>
      </c>
      <c r="G136" s="66" t="str">
        <f t="shared" si="56"/>
        <v/>
      </c>
      <c r="H136" s="66" t="str">
        <f t="shared" si="56"/>
        <v/>
      </c>
      <c r="I136" s="66" t="str">
        <f t="shared" si="56"/>
        <v/>
      </c>
      <c r="J136" s="66" t="str">
        <f t="shared" si="56"/>
        <v/>
      </c>
      <c r="K136" s="66" t="str">
        <f t="shared" si="56"/>
        <v/>
      </c>
      <c r="L136" s="66" t="str">
        <f t="shared" si="56"/>
        <v/>
      </c>
      <c r="M136" s="66" t="str">
        <f t="shared" si="56"/>
        <v/>
      </c>
      <c r="N136" s="66" t="str">
        <f t="shared" si="56"/>
        <v/>
      </c>
      <c r="O136" s="66" t="str">
        <f t="shared" si="56"/>
        <v/>
      </c>
      <c r="P136" s="66" t="str">
        <f t="shared" si="56"/>
        <v/>
      </c>
      <c r="Q136" s="66" t="str">
        <f t="shared" si="56"/>
        <v/>
      </c>
      <c r="R136" s="66" t="str">
        <f t="shared" si="56"/>
        <v/>
      </c>
      <c r="S136" s="66" t="str">
        <f t="shared" si="56"/>
        <v/>
      </c>
      <c r="T136" s="66" t="str">
        <f t="shared" si="56"/>
        <v/>
      </c>
      <c r="U136" s="66" t="str">
        <f t="shared" si="56"/>
        <v/>
      </c>
      <c r="V136" s="66" t="str">
        <f t="shared" si="56"/>
        <v/>
      </c>
      <c r="W136" s="66" t="str">
        <f t="shared" si="56"/>
        <v/>
      </c>
      <c r="X136" s="66" t="str">
        <f t="shared" si="56"/>
        <v/>
      </c>
      <c r="Y136" s="66" t="str">
        <f t="shared" si="56"/>
        <v/>
      </c>
      <c r="Z136" s="66" t="str">
        <f t="shared" si="56"/>
        <v/>
      </c>
      <c r="AA136" s="66" t="str">
        <f t="shared" si="56"/>
        <v/>
      </c>
      <c r="AB136" s="66" t="str">
        <f t="shared" si="56"/>
        <v/>
      </c>
      <c r="AC136" s="66" t="str">
        <f t="shared" si="56"/>
        <v/>
      </c>
      <c r="AD136" s="66" t="str">
        <f t="shared" si="56"/>
        <v/>
      </c>
      <c r="AE136" s="66" t="str">
        <f t="shared" si="56"/>
        <v/>
      </c>
      <c r="AF136" s="66" t="str">
        <f t="shared" si="56"/>
        <v/>
      </c>
      <c r="AG136" s="66" t="str">
        <f t="shared" si="56"/>
        <v>.</v>
      </c>
      <c r="AH136" s="66" t="str">
        <f t="shared" si="56"/>
        <v/>
      </c>
      <c r="AI136" s="66" t="str">
        <f t="shared" si="56"/>
        <v/>
      </c>
      <c r="AJ136" s="66" t="str">
        <f t="shared" si="56"/>
        <v/>
      </c>
    </row>
    <row r="137" spans="1:36">
      <c r="A137" s="66">
        <f t="shared" si="50"/>
        <v>15</v>
      </c>
      <c r="B137" s="66" t="str">
        <f t="shared" si="50"/>
        <v>林晉弘</v>
      </c>
      <c r="C137" s="66" t="str">
        <f t="shared" si="56"/>
        <v/>
      </c>
      <c r="D137" s="66" t="str">
        <f t="shared" si="56"/>
        <v/>
      </c>
      <c r="E137" s="66" t="str">
        <f t="shared" si="56"/>
        <v/>
      </c>
      <c r="F137" s="66" t="str">
        <f t="shared" si="56"/>
        <v/>
      </c>
      <c r="G137" s="66" t="str">
        <f t="shared" si="56"/>
        <v/>
      </c>
      <c r="H137" s="66" t="str">
        <f t="shared" si="56"/>
        <v/>
      </c>
      <c r="I137" s="66" t="str">
        <f t="shared" si="56"/>
        <v/>
      </c>
      <c r="J137" s="66" t="str">
        <f t="shared" si="56"/>
        <v/>
      </c>
      <c r="K137" s="66" t="str">
        <f t="shared" si="56"/>
        <v/>
      </c>
      <c r="L137" s="66" t="str">
        <f t="shared" si="56"/>
        <v/>
      </c>
      <c r="M137" s="66" t="str">
        <f t="shared" si="56"/>
        <v/>
      </c>
      <c r="N137" s="66" t="str">
        <f t="shared" si="56"/>
        <v/>
      </c>
      <c r="O137" s="66" t="str">
        <f t="shared" si="56"/>
        <v/>
      </c>
      <c r="P137" s="66" t="str">
        <f t="shared" si="56"/>
        <v/>
      </c>
      <c r="Q137" s="66" t="str">
        <f t="shared" si="56"/>
        <v/>
      </c>
      <c r="R137" s="66" t="str">
        <f t="shared" si="56"/>
        <v/>
      </c>
      <c r="S137" s="66" t="str">
        <f t="shared" si="56"/>
        <v/>
      </c>
      <c r="T137" s="66" t="str">
        <f t="shared" si="56"/>
        <v/>
      </c>
      <c r="U137" s="66" t="str">
        <f t="shared" si="56"/>
        <v/>
      </c>
      <c r="V137" s="66" t="str">
        <f t="shared" si="56"/>
        <v/>
      </c>
      <c r="W137" s="66" t="str">
        <f t="shared" si="56"/>
        <v/>
      </c>
      <c r="X137" s="66" t="str">
        <f t="shared" si="56"/>
        <v/>
      </c>
      <c r="Y137" s="66" t="str">
        <f t="shared" si="56"/>
        <v/>
      </c>
      <c r="Z137" s="66" t="str">
        <f t="shared" si="56"/>
        <v/>
      </c>
      <c r="AA137" s="66" t="str">
        <f t="shared" si="56"/>
        <v/>
      </c>
      <c r="AB137" s="66" t="str">
        <f t="shared" si="56"/>
        <v/>
      </c>
      <c r="AC137" s="66" t="str">
        <f t="shared" si="56"/>
        <v/>
      </c>
      <c r="AD137" s="66" t="str">
        <f t="shared" si="56"/>
        <v/>
      </c>
      <c r="AE137" s="66" t="str">
        <f t="shared" si="56"/>
        <v/>
      </c>
      <c r="AF137" s="66" t="str">
        <f t="shared" si="56"/>
        <v/>
      </c>
      <c r="AG137" s="66">
        <f t="shared" si="56"/>
        <v>15</v>
      </c>
      <c r="AH137" s="66" t="str">
        <f t="shared" si="56"/>
        <v/>
      </c>
      <c r="AI137" s="66" t="str">
        <f t="shared" si="56"/>
        <v/>
      </c>
      <c r="AJ137" s="66" t="str">
        <f t="shared" si="56"/>
        <v/>
      </c>
    </row>
    <row r="138" spans="1:36">
      <c r="A138" s="66">
        <f t="shared" si="50"/>
        <v>16</v>
      </c>
      <c r="B138" s="66" t="str">
        <f t="shared" si="50"/>
        <v>張恩齊</v>
      </c>
      <c r="C138" s="66" t="str">
        <f t="shared" si="56"/>
        <v/>
      </c>
      <c r="D138" s="66" t="str">
        <f t="shared" si="56"/>
        <v/>
      </c>
      <c r="E138" s="66" t="str">
        <f t="shared" si="56"/>
        <v/>
      </c>
      <c r="F138" s="66" t="str">
        <f t="shared" si="56"/>
        <v/>
      </c>
      <c r="G138" s="66" t="str">
        <f t="shared" si="56"/>
        <v/>
      </c>
      <c r="H138" s="66" t="str">
        <f t="shared" si="56"/>
        <v/>
      </c>
      <c r="I138" s="66" t="str">
        <f t="shared" si="56"/>
        <v/>
      </c>
      <c r="J138" s="66" t="str">
        <f t="shared" si="56"/>
        <v/>
      </c>
      <c r="K138" s="66" t="str">
        <f t="shared" si="56"/>
        <v/>
      </c>
      <c r="L138" s="66" t="str">
        <f t="shared" si="56"/>
        <v/>
      </c>
      <c r="M138" s="66" t="str">
        <f t="shared" si="56"/>
        <v/>
      </c>
      <c r="N138" s="66" t="str">
        <f t="shared" si="56"/>
        <v/>
      </c>
      <c r="O138" s="66" t="str">
        <f t="shared" si="56"/>
        <v/>
      </c>
      <c r="P138" s="66" t="str">
        <f t="shared" si="56"/>
        <v/>
      </c>
      <c r="Q138" s="66" t="str">
        <f t="shared" si="56"/>
        <v/>
      </c>
      <c r="R138" s="66" t="str">
        <f t="shared" si="56"/>
        <v/>
      </c>
      <c r="S138" s="66" t="str">
        <f t="shared" si="56"/>
        <v/>
      </c>
      <c r="T138" s="66" t="str">
        <f t="shared" si="56"/>
        <v/>
      </c>
      <c r="U138" s="66" t="str">
        <f t="shared" si="56"/>
        <v/>
      </c>
      <c r="V138" s="66" t="str">
        <f t="shared" si="56"/>
        <v/>
      </c>
      <c r="W138" s="66" t="str">
        <f t="shared" si="56"/>
        <v/>
      </c>
      <c r="X138" s="66" t="str">
        <f t="shared" si="56"/>
        <v/>
      </c>
      <c r="Y138" s="66" t="str">
        <f t="shared" si="56"/>
        <v/>
      </c>
      <c r="Z138" s="66" t="str">
        <f t="shared" si="56"/>
        <v/>
      </c>
      <c r="AA138" s="66" t="str">
        <f t="shared" si="56"/>
        <v/>
      </c>
      <c r="AB138" s="66" t="str">
        <f t="shared" si="56"/>
        <v/>
      </c>
      <c r="AC138" s="66" t="str">
        <f t="shared" si="56"/>
        <v/>
      </c>
      <c r="AD138" s="66" t="str">
        <f t="shared" si="56"/>
        <v/>
      </c>
      <c r="AE138" s="66" t="str">
        <f t="shared" si="56"/>
        <v/>
      </c>
      <c r="AF138" s="66" t="str">
        <f t="shared" si="56"/>
        <v/>
      </c>
      <c r="AG138" s="66" t="str">
        <f t="shared" si="56"/>
        <v>.</v>
      </c>
      <c r="AH138" s="66" t="str">
        <f t="shared" si="56"/>
        <v/>
      </c>
      <c r="AI138" s="66" t="str">
        <f t="shared" si="56"/>
        <v/>
      </c>
      <c r="AJ138" s="66" t="str">
        <f t="shared" si="56"/>
        <v/>
      </c>
    </row>
    <row r="139" spans="1:36">
      <c r="A139" s="66">
        <f t="shared" ref="A139:B154" si="57">A99</f>
        <v>17</v>
      </c>
      <c r="B139" s="66" t="str">
        <f t="shared" si="57"/>
        <v>周承澔</v>
      </c>
      <c r="C139" s="66" t="str">
        <f t="shared" si="56"/>
        <v/>
      </c>
      <c r="D139" s="66" t="str">
        <f t="shared" si="56"/>
        <v/>
      </c>
      <c r="E139" s="66" t="str">
        <f t="shared" si="56"/>
        <v/>
      </c>
      <c r="F139" s="66" t="str">
        <f t="shared" si="56"/>
        <v/>
      </c>
      <c r="G139" s="66" t="str">
        <f t="shared" si="56"/>
        <v/>
      </c>
      <c r="H139" s="66" t="str">
        <f t="shared" si="56"/>
        <v/>
      </c>
      <c r="I139" s="66" t="str">
        <f t="shared" si="56"/>
        <v/>
      </c>
      <c r="J139" s="66" t="str">
        <f t="shared" si="56"/>
        <v/>
      </c>
      <c r="K139" s="66" t="str">
        <f t="shared" si="56"/>
        <v/>
      </c>
      <c r="L139" s="66" t="str">
        <f t="shared" si="56"/>
        <v/>
      </c>
      <c r="M139" s="66" t="str">
        <f t="shared" si="56"/>
        <v/>
      </c>
      <c r="N139" s="66" t="str">
        <f t="shared" si="56"/>
        <v/>
      </c>
      <c r="O139" s="66" t="str">
        <f t="shared" si="56"/>
        <v/>
      </c>
      <c r="P139" s="66" t="str">
        <f t="shared" si="56"/>
        <v/>
      </c>
      <c r="Q139" s="66" t="str">
        <f t="shared" si="56"/>
        <v/>
      </c>
      <c r="R139" s="66" t="str">
        <f t="shared" si="56"/>
        <v/>
      </c>
      <c r="S139" s="66" t="str">
        <f t="shared" si="56"/>
        <v/>
      </c>
      <c r="T139" s="66" t="str">
        <f t="shared" si="56"/>
        <v/>
      </c>
      <c r="U139" s="66" t="str">
        <f t="shared" si="56"/>
        <v/>
      </c>
      <c r="V139" s="66" t="str">
        <f t="shared" si="56"/>
        <v/>
      </c>
      <c r="W139" s="66" t="str">
        <f t="shared" si="56"/>
        <v/>
      </c>
      <c r="X139" s="66" t="str">
        <f t="shared" si="56"/>
        <v/>
      </c>
      <c r="Y139" s="66" t="str">
        <f t="shared" si="56"/>
        <v/>
      </c>
      <c r="Z139" s="66" t="str">
        <f t="shared" si="56"/>
        <v/>
      </c>
      <c r="AA139" s="66" t="str">
        <f t="shared" si="56"/>
        <v/>
      </c>
      <c r="AB139" s="66" t="str">
        <f t="shared" si="56"/>
        <v/>
      </c>
      <c r="AC139" s="66" t="str">
        <f t="shared" si="56"/>
        <v/>
      </c>
      <c r="AD139" s="66" t="str">
        <f t="shared" si="56"/>
        <v/>
      </c>
      <c r="AE139" s="66" t="str">
        <f t="shared" si="56"/>
        <v/>
      </c>
      <c r="AF139" s="66" t="str">
        <f t="shared" si="56"/>
        <v/>
      </c>
      <c r="AG139" s="66" t="str">
        <f t="shared" si="56"/>
        <v/>
      </c>
      <c r="AH139" s="66" t="str">
        <f t="shared" si="56"/>
        <v/>
      </c>
      <c r="AI139" s="66" t="str">
        <f t="shared" si="56"/>
        <v/>
      </c>
      <c r="AJ139" s="66" t="str">
        <f t="shared" si="56"/>
        <v/>
      </c>
    </row>
    <row r="140" spans="1:36">
      <c r="A140" s="66">
        <f t="shared" si="57"/>
        <v>18</v>
      </c>
      <c r="B140" s="66" t="str">
        <f t="shared" si="57"/>
        <v>蔡政倫</v>
      </c>
      <c r="C140" s="66" t="str">
        <f t="shared" si="56"/>
        <v/>
      </c>
      <c r="D140" s="66" t="str">
        <f t="shared" si="56"/>
        <v/>
      </c>
      <c r="E140" s="66" t="str">
        <f t="shared" si="56"/>
        <v/>
      </c>
      <c r="F140" s="66" t="str">
        <f t="shared" si="56"/>
        <v/>
      </c>
      <c r="G140" s="66" t="str">
        <f t="shared" si="56"/>
        <v/>
      </c>
      <c r="H140" s="66" t="str">
        <f t="shared" si="56"/>
        <v/>
      </c>
      <c r="I140" s="66" t="str">
        <f t="shared" si="56"/>
        <v/>
      </c>
      <c r="J140" s="66" t="str">
        <f t="shared" si="56"/>
        <v/>
      </c>
      <c r="K140" s="66" t="str">
        <f t="shared" si="56"/>
        <v/>
      </c>
      <c r="L140" s="66" t="str">
        <f t="shared" si="56"/>
        <v/>
      </c>
      <c r="M140" s="66" t="str">
        <f t="shared" si="56"/>
        <v/>
      </c>
      <c r="N140" s="66" t="str">
        <f t="shared" si="56"/>
        <v/>
      </c>
      <c r="O140" s="66" t="str">
        <f t="shared" si="56"/>
        <v/>
      </c>
      <c r="P140" s="66" t="str">
        <f t="shared" si="56"/>
        <v/>
      </c>
      <c r="Q140" s="66" t="str">
        <f t="shared" si="56"/>
        <v/>
      </c>
      <c r="R140" s="66" t="str">
        <f t="shared" si="56"/>
        <v/>
      </c>
      <c r="S140" s="66" t="str">
        <f t="shared" si="56"/>
        <v/>
      </c>
      <c r="T140" s="66" t="str">
        <f t="shared" ref="T140:AJ140" si="58">IF(  OR(  LEN(T139)=2,LEN(T139)=3  ),  CONCATENATE(  ".",IF(T60=$A$121,$A140,"")  ),IF(T60=$A$121,$A140,"")  )</f>
        <v/>
      </c>
      <c r="U140" s="66" t="str">
        <f t="shared" si="58"/>
        <v/>
      </c>
      <c r="V140" s="66" t="str">
        <f t="shared" si="58"/>
        <v/>
      </c>
      <c r="W140" s="66" t="str">
        <f t="shared" si="58"/>
        <v/>
      </c>
      <c r="X140" s="66" t="str">
        <f t="shared" si="58"/>
        <v/>
      </c>
      <c r="Y140" s="66" t="str">
        <f t="shared" si="58"/>
        <v/>
      </c>
      <c r="Z140" s="66" t="str">
        <f t="shared" si="58"/>
        <v/>
      </c>
      <c r="AA140" s="66" t="str">
        <f t="shared" si="58"/>
        <v/>
      </c>
      <c r="AB140" s="66" t="str">
        <f t="shared" si="58"/>
        <v/>
      </c>
      <c r="AC140" s="66" t="str">
        <f t="shared" si="58"/>
        <v/>
      </c>
      <c r="AD140" s="66" t="str">
        <f t="shared" si="58"/>
        <v/>
      </c>
      <c r="AE140" s="66" t="str">
        <f t="shared" si="58"/>
        <v/>
      </c>
      <c r="AF140" s="66" t="str">
        <f t="shared" si="58"/>
        <v/>
      </c>
      <c r="AG140" s="66" t="str">
        <f t="shared" si="58"/>
        <v/>
      </c>
      <c r="AH140" s="66" t="str">
        <f t="shared" si="58"/>
        <v/>
      </c>
      <c r="AI140" s="66" t="str">
        <f t="shared" si="58"/>
        <v/>
      </c>
      <c r="AJ140" s="66" t="str">
        <f t="shared" si="58"/>
        <v/>
      </c>
    </row>
    <row r="141" spans="1:36">
      <c r="A141" s="66">
        <f t="shared" si="57"/>
        <v>19</v>
      </c>
      <c r="B141" s="66" t="str">
        <f t="shared" si="57"/>
        <v>蕭敬哲</v>
      </c>
      <c r="C141" s="66" t="str">
        <f t="shared" ref="C141:AJ148" si="59">IF(  OR(  LEN(C140)=2,LEN(C140)=3  ),  CONCATENATE(  ".",IF(C61=$A$121,$A141,"")  ),IF(C61=$A$121,$A141,"")  )</f>
        <v/>
      </c>
      <c r="D141" s="66" t="str">
        <f t="shared" si="59"/>
        <v/>
      </c>
      <c r="E141" s="66" t="str">
        <f t="shared" si="59"/>
        <v/>
      </c>
      <c r="F141" s="66" t="str">
        <f t="shared" si="59"/>
        <v/>
      </c>
      <c r="G141" s="66" t="str">
        <f t="shared" si="59"/>
        <v/>
      </c>
      <c r="H141" s="66" t="str">
        <f t="shared" si="59"/>
        <v/>
      </c>
      <c r="I141" s="66" t="str">
        <f t="shared" si="59"/>
        <v/>
      </c>
      <c r="J141" s="66" t="str">
        <f t="shared" si="59"/>
        <v/>
      </c>
      <c r="K141" s="66" t="str">
        <f t="shared" si="59"/>
        <v/>
      </c>
      <c r="L141" s="66" t="str">
        <f t="shared" si="59"/>
        <v/>
      </c>
      <c r="M141" s="66" t="str">
        <f t="shared" si="59"/>
        <v/>
      </c>
      <c r="N141" s="66" t="str">
        <f t="shared" si="59"/>
        <v/>
      </c>
      <c r="O141" s="66" t="str">
        <f t="shared" si="59"/>
        <v/>
      </c>
      <c r="P141" s="66" t="str">
        <f t="shared" si="59"/>
        <v/>
      </c>
      <c r="Q141" s="66" t="str">
        <f t="shared" si="59"/>
        <v/>
      </c>
      <c r="R141" s="66" t="str">
        <f t="shared" si="59"/>
        <v/>
      </c>
      <c r="S141" s="66" t="str">
        <f t="shared" si="59"/>
        <v/>
      </c>
      <c r="T141" s="66" t="str">
        <f t="shared" si="59"/>
        <v/>
      </c>
      <c r="U141" s="66" t="str">
        <f t="shared" si="59"/>
        <v/>
      </c>
      <c r="V141" s="66" t="str">
        <f t="shared" si="59"/>
        <v/>
      </c>
      <c r="W141" s="66" t="str">
        <f t="shared" si="59"/>
        <v/>
      </c>
      <c r="X141" s="66" t="str">
        <f t="shared" si="59"/>
        <v/>
      </c>
      <c r="Y141" s="66" t="str">
        <f t="shared" si="59"/>
        <v/>
      </c>
      <c r="Z141" s="66" t="str">
        <f t="shared" si="59"/>
        <v/>
      </c>
      <c r="AA141" s="66" t="str">
        <f t="shared" si="59"/>
        <v/>
      </c>
      <c r="AB141" s="66" t="str">
        <f t="shared" si="59"/>
        <v/>
      </c>
      <c r="AC141" s="66" t="str">
        <f t="shared" si="59"/>
        <v/>
      </c>
      <c r="AD141" s="66" t="str">
        <f t="shared" si="59"/>
        <v/>
      </c>
      <c r="AE141" s="66" t="str">
        <f t="shared" si="59"/>
        <v/>
      </c>
      <c r="AF141" s="66" t="str">
        <f t="shared" si="59"/>
        <v/>
      </c>
      <c r="AG141" s="66" t="str">
        <f t="shared" si="59"/>
        <v/>
      </c>
      <c r="AH141" s="66" t="str">
        <f t="shared" si="59"/>
        <v/>
      </c>
      <c r="AI141" s="66" t="str">
        <f t="shared" si="59"/>
        <v/>
      </c>
      <c r="AJ141" s="66" t="str">
        <f t="shared" si="59"/>
        <v/>
      </c>
    </row>
    <row r="142" spans="1:36">
      <c r="A142" s="66">
        <f t="shared" si="57"/>
        <v>20</v>
      </c>
      <c r="B142" s="66" t="str">
        <f t="shared" si="57"/>
        <v>楊鈞翔</v>
      </c>
      <c r="C142" s="66" t="str">
        <f t="shared" si="59"/>
        <v/>
      </c>
      <c r="D142" s="66" t="str">
        <f t="shared" si="59"/>
        <v/>
      </c>
      <c r="E142" s="66">
        <f t="shared" si="59"/>
        <v>20</v>
      </c>
      <c r="F142" s="66" t="str">
        <f t="shared" si="59"/>
        <v/>
      </c>
      <c r="G142" s="66" t="str">
        <f t="shared" si="59"/>
        <v/>
      </c>
      <c r="H142" s="66" t="str">
        <f t="shared" si="59"/>
        <v/>
      </c>
      <c r="I142" s="66" t="str">
        <f t="shared" si="59"/>
        <v/>
      </c>
      <c r="J142" s="66" t="str">
        <f t="shared" si="59"/>
        <v/>
      </c>
      <c r="K142" s="66" t="str">
        <f t="shared" si="59"/>
        <v/>
      </c>
      <c r="L142" s="66" t="str">
        <f t="shared" si="59"/>
        <v/>
      </c>
      <c r="M142" s="66">
        <f t="shared" si="59"/>
        <v>20</v>
      </c>
      <c r="N142" s="66" t="str">
        <f t="shared" si="59"/>
        <v/>
      </c>
      <c r="O142" s="66" t="str">
        <f t="shared" si="59"/>
        <v/>
      </c>
      <c r="P142" s="66" t="str">
        <f t="shared" si="59"/>
        <v/>
      </c>
      <c r="Q142" s="66" t="str">
        <f t="shared" si="59"/>
        <v/>
      </c>
      <c r="R142" s="66" t="str">
        <f t="shared" si="59"/>
        <v/>
      </c>
      <c r="S142" s="66">
        <f t="shared" si="59"/>
        <v>20</v>
      </c>
      <c r="T142" s="66" t="str">
        <f t="shared" si="59"/>
        <v/>
      </c>
      <c r="U142" s="66" t="str">
        <f t="shared" si="59"/>
        <v/>
      </c>
      <c r="V142" s="66" t="str">
        <f t="shared" si="59"/>
        <v/>
      </c>
      <c r="W142" s="66" t="str">
        <f t="shared" si="59"/>
        <v/>
      </c>
      <c r="X142" s="66" t="str">
        <f t="shared" si="59"/>
        <v/>
      </c>
      <c r="Y142" s="66" t="str">
        <f t="shared" si="59"/>
        <v/>
      </c>
      <c r="Z142" s="66" t="str">
        <f t="shared" si="59"/>
        <v/>
      </c>
      <c r="AA142" s="66" t="str">
        <f t="shared" si="59"/>
        <v/>
      </c>
      <c r="AB142" s="66" t="str">
        <f t="shared" si="59"/>
        <v/>
      </c>
      <c r="AC142" s="66" t="str">
        <f t="shared" si="59"/>
        <v/>
      </c>
      <c r="AD142" s="66" t="str">
        <f t="shared" si="59"/>
        <v/>
      </c>
      <c r="AE142" s="66" t="str">
        <f t="shared" si="59"/>
        <v/>
      </c>
      <c r="AF142" s="66" t="str">
        <f t="shared" si="59"/>
        <v/>
      </c>
      <c r="AG142" s="66">
        <f t="shared" si="59"/>
        <v>20</v>
      </c>
      <c r="AH142" s="66" t="str">
        <f t="shared" si="59"/>
        <v/>
      </c>
      <c r="AI142" s="66" t="str">
        <f t="shared" si="59"/>
        <v/>
      </c>
      <c r="AJ142" s="66" t="str">
        <f t="shared" si="59"/>
        <v/>
      </c>
    </row>
    <row r="143" spans="1:36">
      <c r="A143" s="66">
        <f t="shared" si="57"/>
        <v>21</v>
      </c>
      <c r="B143" s="66" t="str">
        <f t="shared" si="57"/>
        <v>邱俊閎</v>
      </c>
      <c r="C143" s="66" t="str">
        <f t="shared" si="59"/>
        <v/>
      </c>
      <c r="D143" s="66" t="str">
        <f t="shared" si="59"/>
        <v/>
      </c>
      <c r="E143" s="66" t="str">
        <f t="shared" si="59"/>
        <v>.</v>
      </c>
      <c r="F143" s="66">
        <f t="shared" si="59"/>
        <v>21</v>
      </c>
      <c r="G143" s="66" t="str">
        <f t="shared" si="59"/>
        <v/>
      </c>
      <c r="H143" s="66" t="str">
        <f t="shared" si="59"/>
        <v/>
      </c>
      <c r="I143" s="66" t="str">
        <f t="shared" si="59"/>
        <v/>
      </c>
      <c r="J143" s="66" t="str">
        <f t="shared" si="59"/>
        <v/>
      </c>
      <c r="K143" s="66" t="str">
        <f t="shared" si="59"/>
        <v/>
      </c>
      <c r="L143" s="66" t="str">
        <f t="shared" si="59"/>
        <v/>
      </c>
      <c r="M143" s="66" t="str">
        <f t="shared" si="59"/>
        <v>.21</v>
      </c>
      <c r="N143" s="66" t="str">
        <f t="shared" si="59"/>
        <v/>
      </c>
      <c r="O143" s="66" t="str">
        <f t="shared" si="59"/>
        <v/>
      </c>
      <c r="P143" s="66" t="str">
        <f t="shared" si="59"/>
        <v/>
      </c>
      <c r="Q143" s="66" t="str">
        <f t="shared" si="59"/>
        <v/>
      </c>
      <c r="R143" s="66" t="str">
        <f t="shared" si="59"/>
        <v/>
      </c>
      <c r="S143" s="66" t="str">
        <f t="shared" si="59"/>
        <v>.21</v>
      </c>
      <c r="T143" s="66" t="str">
        <f t="shared" si="59"/>
        <v/>
      </c>
      <c r="U143" s="66" t="str">
        <f t="shared" si="59"/>
        <v/>
      </c>
      <c r="V143" s="66" t="str">
        <f t="shared" si="59"/>
        <v/>
      </c>
      <c r="W143" s="66" t="str">
        <f t="shared" si="59"/>
        <v/>
      </c>
      <c r="X143" s="66" t="str">
        <f t="shared" si="59"/>
        <v/>
      </c>
      <c r="Y143" s="66" t="str">
        <f t="shared" si="59"/>
        <v/>
      </c>
      <c r="Z143" s="66">
        <f t="shared" si="59"/>
        <v>21</v>
      </c>
      <c r="AA143" s="66" t="str">
        <f t="shared" si="59"/>
        <v/>
      </c>
      <c r="AB143" s="66" t="str">
        <f t="shared" si="59"/>
        <v/>
      </c>
      <c r="AC143" s="66" t="str">
        <f t="shared" si="59"/>
        <v/>
      </c>
      <c r="AD143" s="66" t="str">
        <f t="shared" si="59"/>
        <v/>
      </c>
      <c r="AE143" s="66" t="str">
        <f t="shared" si="59"/>
        <v/>
      </c>
      <c r="AF143" s="66" t="str">
        <f t="shared" si="59"/>
        <v/>
      </c>
      <c r="AG143" s="66" t="str">
        <f t="shared" si="59"/>
        <v>.21</v>
      </c>
      <c r="AH143" s="66" t="str">
        <f t="shared" si="59"/>
        <v/>
      </c>
      <c r="AI143" s="66" t="str">
        <f t="shared" si="59"/>
        <v/>
      </c>
      <c r="AJ143" s="66" t="str">
        <f t="shared" si="59"/>
        <v/>
      </c>
    </row>
    <row r="144" spans="1:36">
      <c r="A144" s="66">
        <f t="shared" si="57"/>
        <v>22</v>
      </c>
      <c r="B144" s="66" t="str">
        <f t="shared" si="57"/>
        <v>陳奕欣</v>
      </c>
      <c r="C144" s="66" t="str">
        <f t="shared" si="59"/>
        <v/>
      </c>
      <c r="D144" s="66" t="str">
        <f t="shared" si="59"/>
        <v/>
      </c>
      <c r="E144" s="66" t="str">
        <f t="shared" si="59"/>
        <v/>
      </c>
      <c r="F144" s="66" t="str">
        <f t="shared" si="59"/>
        <v>.22</v>
      </c>
      <c r="G144" s="66" t="str">
        <f t="shared" si="59"/>
        <v/>
      </c>
      <c r="H144" s="66" t="str">
        <f t="shared" si="59"/>
        <v/>
      </c>
      <c r="I144" s="66" t="str">
        <f t="shared" si="59"/>
        <v/>
      </c>
      <c r="J144" s="66">
        <f t="shared" si="59"/>
        <v>22</v>
      </c>
      <c r="K144" s="66" t="str">
        <f t="shared" si="59"/>
        <v/>
      </c>
      <c r="L144" s="66" t="str">
        <f t="shared" si="59"/>
        <v/>
      </c>
      <c r="M144" s="66" t="str">
        <f t="shared" si="59"/>
        <v>.</v>
      </c>
      <c r="N144" s="66" t="str">
        <f t="shared" si="59"/>
        <v/>
      </c>
      <c r="O144" s="66" t="str">
        <f t="shared" si="59"/>
        <v/>
      </c>
      <c r="P144" s="66" t="str">
        <f t="shared" si="59"/>
        <v/>
      </c>
      <c r="Q144" s="66" t="str">
        <f t="shared" si="59"/>
        <v/>
      </c>
      <c r="R144" s="66" t="str">
        <f t="shared" si="59"/>
        <v/>
      </c>
      <c r="S144" s="66" t="str">
        <f t="shared" si="59"/>
        <v>.</v>
      </c>
      <c r="T144" s="66">
        <f t="shared" si="59"/>
        <v>22</v>
      </c>
      <c r="U144" s="66" t="str">
        <f t="shared" si="59"/>
        <v/>
      </c>
      <c r="V144" s="66" t="str">
        <f t="shared" si="59"/>
        <v/>
      </c>
      <c r="W144" s="66" t="str">
        <f t="shared" si="59"/>
        <v/>
      </c>
      <c r="X144" s="66" t="str">
        <f t="shared" si="59"/>
        <v/>
      </c>
      <c r="Y144" s="66" t="str">
        <f t="shared" si="59"/>
        <v/>
      </c>
      <c r="Z144" s="66" t="str">
        <f t="shared" si="59"/>
        <v>.</v>
      </c>
      <c r="AA144" s="66">
        <f t="shared" si="59"/>
        <v>22</v>
      </c>
      <c r="AB144" s="66" t="str">
        <f t="shared" si="59"/>
        <v/>
      </c>
      <c r="AC144" s="66" t="str">
        <f t="shared" si="59"/>
        <v/>
      </c>
      <c r="AD144" s="66" t="str">
        <f t="shared" si="59"/>
        <v/>
      </c>
      <c r="AE144" s="66" t="str">
        <f t="shared" si="59"/>
        <v/>
      </c>
      <c r="AF144" s="66">
        <f t="shared" si="59"/>
        <v>22</v>
      </c>
      <c r="AG144" s="66" t="str">
        <f t="shared" si="59"/>
        <v>.</v>
      </c>
      <c r="AH144" s="66" t="str">
        <f t="shared" si="59"/>
        <v/>
      </c>
      <c r="AI144" s="66" t="str">
        <f t="shared" si="59"/>
        <v/>
      </c>
      <c r="AJ144" s="66" t="str">
        <f t="shared" si="59"/>
        <v/>
      </c>
    </row>
    <row r="145" spans="1:55">
      <c r="A145" s="66">
        <f t="shared" si="57"/>
        <v>23</v>
      </c>
      <c r="B145" s="66" t="str">
        <f t="shared" si="57"/>
        <v>阮成山</v>
      </c>
      <c r="C145" s="66" t="str">
        <f t="shared" si="59"/>
        <v/>
      </c>
      <c r="D145" s="66" t="str">
        <f t="shared" si="59"/>
        <v/>
      </c>
      <c r="E145" s="66" t="str">
        <f t="shared" si="59"/>
        <v/>
      </c>
      <c r="F145" s="66" t="str">
        <f t="shared" si="59"/>
        <v>.23</v>
      </c>
      <c r="G145" s="66" t="str">
        <f t="shared" si="59"/>
        <v/>
      </c>
      <c r="H145" s="66" t="str">
        <f t="shared" si="59"/>
        <v/>
      </c>
      <c r="I145" s="66" t="str">
        <f t="shared" si="59"/>
        <v/>
      </c>
      <c r="J145" s="66" t="str">
        <f t="shared" si="59"/>
        <v>.</v>
      </c>
      <c r="K145" s="66" t="str">
        <f t="shared" si="59"/>
        <v/>
      </c>
      <c r="L145" s="66">
        <f t="shared" si="59"/>
        <v>23</v>
      </c>
      <c r="M145" s="66" t="str">
        <f t="shared" si="59"/>
        <v/>
      </c>
      <c r="N145" s="66" t="str">
        <f t="shared" si="59"/>
        <v/>
      </c>
      <c r="O145" s="66" t="str">
        <f t="shared" si="59"/>
        <v/>
      </c>
      <c r="P145" s="66" t="str">
        <f t="shared" si="59"/>
        <v/>
      </c>
      <c r="Q145" s="66" t="str">
        <f t="shared" si="59"/>
        <v/>
      </c>
      <c r="R145" s="66" t="str">
        <f t="shared" si="59"/>
        <v/>
      </c>
      <c r="S145" s="66">
        <f t="shared" si="59"/>
        <v>23</v>
      </c>
      <c r="T145" s="66" t="str">
        <f t="shared" si="59"/>
        <v>.</v>
      </c>
      <c r="U145" s="66" t="str">
        <f t="shared" si="59"/>
        <v/>
      </c>
      <c r="V145" s="66" t="str">
        <f t="shared" si="59"/>
        <v/>
      </c>
      <c r="W145" s="66" t="str">
        <f t="shared" si="59"/>
        <v/>
      </c>
      <c r="X145" s="66" t="str">
        <f t="shared" si="59"/>
        <v/>
      </c>
      <c r="Y145" s="66" t="str">
        <f t="shared" si="59"/>
        <v/>
      </c>
      <c r="Z145" s="66" t="str">
        <f t="shared" si="59"/>
        <v/>
      </c>
      <c r="AA145" s="66" t="str">
        <f t="shared" si="59"/>
        <v>.</v>
      </c>
      <c r="AB145" s="66" t="str">
        <f t="shared" si="59"/>
        <v/>
      </c>
      <c r="AC145" s="66" t="str">
        <f t="shared" si="59"/>
        <v/>
      </c>
      <c r="AD145" s="66" t="str">
        <f t="shared" si="59"/>
        <v/>
      </c>
      <c r="AE145" s="66" t="str">
        <f t="shared" si="59"/>
        <v/>
      </c>
      <c r="AF145" s="66" t="str">
        <f t="shared" si="59"/>
        <v>.</v>
      </c>
      <c r="AG145" s="66">
        <f t="shared" si="59"/>
        <v>23</v>
      </c>
      <c r="AH145" s="66" t="str">
        <f t="shared" si="59"/>
        <v/>
      </c>
      <c r="AI145" s="66" t="str">
        <f t="shared" si="59"/>
        <v/>
      </c>
      <c r="AJ145" s="66" t="str">
        <f t="shared" si="59"/>
        <v/>
      </c>
    </row>
    <row r="146" spans="1:55">
      <c r="A146" s="66">
        <f t="shared" si="57"/>
        <v>24</v>
      </c>
      <c r="B146" s="66" t="str">
        <f t="shared" si="57"/>
        <v>黃品傑</v>
      </c>
      <c r="C146" s="66" t="str">
        <f t="shared" si="59"/>
        <v/>
      </c>
      <c r="D146" s="66" t="str">
        <f t="shared" si="59"/>
        <v/>
      </c>
      <c r="E146" s="66">
        <f t="shared" si="59"/>
        <v>24</v>
      </c>
      <c r="F146" s="66" t="str">
        <f t="shared" si="59"/>
        <v>.</v>
      </c>
      <c r="G146" s="66" t="str">
        <f t="shared" si="59"/>
        <v/>
      </c>
      <c r="H146" s="66" t="str">
        <f t="shared" si="59"/>
        <v/>
      </c>
      <c r="I146" s="66" t="str">
        <f t="shared" si="59"/>
        <v/>
      </c>
      <c r="J146" s="66" t="str">
        <f t="shared" si="59"/>
        <v/>
      </c>
      <c r="K146" s="66" t="str">
        <f t="shared" si="59"/>
        <v/>
      </c>
      <c r="L146" s="66" t="str">
        <f t="shared" si="59"/>
        <v>.</v>
      </c>
      <c r="M146" s="66" t="str">
        <f t="shared" si="59"/>
        <v/>
      </c>
      <c r="N146" s="66" t="str">
        <f t="shared" si="59"/>
        <v/>
      </c>
      <c r="O146" s="66" t="str">
        <f t="shared" si="59"/>
        <v/>
      </c>
      <c r="P146" s="66" t="str">
        <f t="shared" si="59"/>
        <v/>
      </c>
      <c r="Q146" s="66">
        <f t="shared" si="59"/>
        <v>24</v>
      </c>
      <c r="R146" s="66" t="str">
        <f t="shared" si="59"/>
        <v/>
      </c>
      <c r="S146" s="66" t="str">
        <f t="shared" si="59"/>
        <v>.</v>
      </c>
      <c r="T146" s="66" t="str">
        <f t="shared" si="59"/>
        <v/>
      </c>
      <c r="U146" s="66" t="str">
        <f t="shared" si="59"/>
        <v/>
      </c>
      <c r="V146" s="66" t="str">
        <f t="shared" si="59"/>
        <v/>
      </c>
      <c r="W146" s="66" t="str">
        <f t="shared" si="59"/>
        <v/>
      </c>
      <c r="X146" s="66" t="str">
        <f t="shared" si="59"/>
        <v/>
      </c>
      <c r="Y146" s="66">
        <f t="shared" si="59"/>
        <v>24</v>
      </c>
      <c r="Z146" s="66" t="str">
        <f t="shared" si="59"/>
        <v/>
      </c>
      <c r="AA146" s="66" t="str">
        <f t="shared" si="59"/>
        <v/>
      </c>
      <c r="AB146" s="66" t="str">
        <f t="shared" si="59"/>
        <v/>
      </c>
      <c r="AC146" s="66" t="str">
        <f t="shared" si="59"/>
        <v/>
      </c>
      <c r="AD146" s="66" t="str">
        <f t="shared" si="59"/>
        <v/>
      </c>
      <c r="AE146" s="66" t="str">
        <f t="shared" si="59"/>
        <v/>
      </c>
      <c r="AF146" s="66" t="str">
        <f t="shared" si="59"/>
        <v/>
      </c>
      <c r="AG146" s="66" t="str">
        <f t="shared" si="59"/>
        <v>.24</v>
      </c>
      <c r="AH146" s="66" t="str">
        <f t="shared" si="59"/>
        <v/>
      </c>
      <c r="AI146" s="66" t="str">
        <f t="shared" si="59"/>
        <v/>
      </c>
      <c r="AJ146" s="66" t="str">
        <f t="shared" si="59"/>
        <v/>
      </c>
    </row>
    <row r="147" spans="1:55">
      <c r="A147" s="66">
        <f t="shared" si="57"/>
        <v>25</v>
      </c>
      <c r="B147" s="66" t="str">
        <f t="shared" si="57"/>
        <v>唐正瑋</v>
      </c>
      <c r="C147" s="66" t="str">
        <f t="shared" si="59"/>
        <v/>
      </c>
      <c r="D147" s="66" t="str">
        <f t="shared" si="59"/>
        <v/>
      </c>
      <c r="E147" s="66" t="str">
        <f t="shared" si="59"/>
        <v>.</v>
      </c>
      <c r="F147" s="66">
        <f t="shared" si="59"/>
        <v>25</v>
      </c>
      <c r="G147" s="66" t="str">
        <f t="shared" si="59"/>
        <v/>
      </c>
      <c r="H147" s="66" t="str">
        <f t="shared" si="59"/>
        <v/>
      </c>
      <c r="I147" s="66" t="str">
        <f t="shared" si="59"/>
        <v/>
      </c>
      <c r="J147" s="66" t="str">
        <f t="shared" si="59"/>
        <v/>
      </c>
      <c r="K147" s="66" t="str">
        <f t="shared" si="59"/>
        <v/>
      </c>
      <c r="L147" s="66" t="str">
        <f t="shared" si="59"/>
        <v/>
      </c>
      <c r="M147" s="66">
        <f t="shared" si="59"/>
        <v>25</v>
      </c>
      <c r="N147" s="66" t="str">
        <f t="shared" si="59"/>
        <v/>
      </c>
      <c r="O147" s="66" t="str">
        <f t="shared" si="59"/>
        <v/>
      </c>
      <c r="P147" s="66" t="str">
        <f t="shared" si="59"/>
        <v/>
      </c>
      <c r="Q147" s="66" t="str">
        <f t="shared" si="59"/>
        <v>.</v>
      </c>
      <c r="R147" s="66" t="str">
        <f t="shared" si="59"/>
        <v/>
      </c>
      <c r="S147" s="66" t="str">
        <f t="shared" si="59"/>
        <v/>
      </c>
      <c r="T147" s="66" t="str">
        <f t="shared" si="59"/>
        <v/>
      </c>
      <c r="U147" s="66" t="str">
        <f t="shared" si="59"/>
        <v/>
      </c>
      <c r="V147" s="66" t="str">
        <f t="shared" si="59"/>
        <v/>
      </c>
      <c r="W147" s="66" t="str">
        <f t="shared" si="59"/>
        <v/>
      </c>
      <c r="X147" s="66" t="str">
        <f t="shared" si="59"/>
        <v/>
      </c>
      <c r="Y147" s="66" t="str">
        <f t="shared" si="59"/>
        <v>.</v>
      </c>
      <c r="Z147" s="66" t="str">
        <f t="shared" si="59"/>
        <v/>
      </c>
      <c r="AA147" s="66">
        <f t="shared" si="59"/>
        <v>25</v>
      </c>
      <c r="AB147" s="66" t="str">
        <f t="shared" si="59"/>
        <v/>
      </c>
      <c r="AC147" s="66" t="str">
        <f t="shared" si="59"/>
        <v/>
      </c>
      <c r="AD147" s="66" t="str">
        <f t="shared" si="59"/>
        <v/>
      </c>
      <c r="AE147" s="66" t="str">
        <f t="shared" si="59"/>
        <v/>
      </c>
      <c r="AF147" s="66" t="str">
        <f t="shared" si="59"/>
        <v/>
      </c>
      <c r="AG147" s="66" t="str">
        <f t="shared" si="59"/>
        <v>.25</v>
      </c>
      <c r="AH147" s="66" t="str">
        <f t="shared" si="59"/>
        <v/>
      </c>
      <c r="AI147" s="66" t="str">
        <f t="shared" si="59"/>
        <v/>
      </c>
      <c r="AJ147" s="66" t="str">
        <f t="shared" si="59"/>
        <v/>
      </c>
    </row>
    <row r="148" spans="1:55">
      <c r="A148" s="66">
        <f t="shared" si="57"/>
        <v>26</v>
      </c>
      <c r="B148" s="66" t="str">
        <f t="shared" si="57"/>
        <v>曾慶鈞</v>
      </c>
      <c r="C148" s="66" t="str">
        <f t="shared" si="59"/>
        <v/>
      </c>
      <c r="D148" s="66" t="str">
        <f t="shared" si="59"/>
        <v/>
      </c>
      <c r="E148" s="66" t="str">
        <f t="shared" si="59"/>
        <v/>
      </c>
      <c r="F148" s="66" t="str">
        <f t="shared" si="59"/>
        <v>.</v>
      </c>
      <c r="G148" s="66" t="str">
        <f t="shared" si="59"/>
        <v/>
      </c>
      <c r="H148" s="66" t="str">
        <f t="shared" si="59"/>
        <v/>
      </c>
      <c r="I148" s="66" t="str">
        <f t="shared" si="59"/>
        <v/>
      </c>
      <c r="J148" s="66" t="str">
        <f t="shared" si="59"/>
        <v/>
      </c>
      <c r="K148" s="66" t="str">
        <f t="shared" si="59"/>
        <v/>
      </c>
      <c r="L148" s="66" t="str">
        <f t="shared" si="59"/>
        <v/>
      </c>
      <c r="M148" s="66" t="str">
        <f t="shared" si="59"/>
        <v>.</v>
      </c>
      <c r="N148" s="66" t="str">
        <f t="shared" si="59"/>
        <v/>
      </c>
      <c r="O148" s="66">
        <f t="shared" si="59"/>
        <v>26</v>
      </c>
      <c r="P148" s="66" t="str">
        <f t="shared" si="59"/>
        <v/>
      </c>
      <c r="Q148" s="66" t="str">
        <f t="shared" si="59"/>
        <v/>
      </c>
      <c r="R148" s="66" t="str">
        <f t="shared" si="59"/>
        <v/>
      </c>
      <c r="S148" s="66" t="str">
        <f t="shared" si="59"/>
        <v/>
      </c>
      <c r="T148" s="66" t="str">
        <f t="shared" ref="T148:AJ148" si="60">IF(  OR(  LEN(T147)=2,LEN(T147)=3  ),  CONCATENATE(  ".",IF(T68=$A$121,$A148,"")  ),IF(T68=$A$121,$A148,"")  )</f>
        <v/>
      </c>
      <c r="U148" s="66" t="str">
        <f t="shared" si="60"/>
        <v/>
      </c>
      <c r="V148" s="66">
        <f t="shared" si="60"/>
        <v>26</v>
      </c>
      <c r="W148" s="66" t="str">
        <f t="shared" si="60"/>
        <v/>
      </c>
      <c r="X148" s="66" t="str">
        <f t="shared" si="60"/>
        <v/>
      </c>
      <c r="Y148" s="66" t="str">
        <f t="shared" si="60"/>
        <v/>
      </c>
      <c r="Z148" s="66" t="str">
        <f t="shared" si="60"/>
        <v/>
      </c>
      <c r="AA148" s="66" t="str">
        <f t="shared" si="60"/>
        <v>.</v>
      </c>
      <c r="AB148" s="66" t="str">
        <f t="shared" si="60"/>
        <v/>
      </c>
      <c r="AC148" s="66" t="str">
        <f t="shared" si="60"/>
        <v/>
      </c>
      <c r="AD148" s="66" t="str">
        <f t="shared" si="60"/>
        <v/>
      </c>
      <c r="AE148" s="66">
        <f t="shared" si="60"/>
        <v>26</v>
      </c>
      <c r="AF148" s="66" t="str">
        <f t="shared" si="60"/>
        <v/>
      </c>
      <c r="AG148" s="66" t="str">
        <f t="shared" si="60"/>
        <v>.</v>
      </c>
      <c r="AH148" s="66" t="str">
        <f t="shared" si="60"/>
        <v/>
      </c>
      <c r="AI148" s="66" t="str">
        <f t="shared" si="60"/>
        <v/>
      </c>
      <c r="AJ148" s="66" t="str">
        <f t="shared" si="60"/>
        <v/>
      </c>
    </row>
    <row r="149" spans="1:55">
      <c r="A149" s="66">
        <f t="shared" si="57"/>
        <v>27</v>
      </c>
      <c r="B149" s="66" t="str">
        <f t="shared" si="57"/>
        <v>游瀚翔</v>
      </c>
      <c r="C149" s="66" t="str">
        <f t="shared" ref="C149:AJ156" si="61">IF(  OR(  LEN(C148)=2,LEN(C148)=3  ),  CONCATENATE(  ".",IF(C69=$A$121,$A149,"")  ),IF(C69=$A$121,$A149,"")  )</f>
        <v/>
      </c>
      <c r="D149" s="66" t="str">
        <f t="shared" si="61"/>
        <v/>
      </c>
      <c r="E149" s="66" t="str">
        <f t="shared" si="61"/>
        <v/>
      </c>
      <c r="F149" s="66" t="str">
        <f t="shared" si="61"/>
        <v/>
      </c>
      <c r="G149" s="66" t="str">
        <f t="shared" si="61"/>
        <v/>
      </c>
      <c r="H149" s="66" t="str">
        <f t="shared" si="61"/>
        <v/>
      </c>
      <c r="I149" s="66" t="str">
        <f t="shared" si="61"/>
        <v/>
      </c>
      <c r="J149" s="66" t="str">
        <f t="shared" si="61"/>
        <v/>
      </c>
      <c r="K149" s="66" t="str">
        <f t="shared" si="61"/>
        <v/>
      </c>
      <c r="L149" s="66" t="str">
        <f t="shared" si="61"/>
        <v/>
      </c>
      <c r="M149" s="66" t="str">
        <f t="shared" si="61"/>
        <v/>
      </c>
      <c r="N149" s="66" t="str">
        <f t="shared" si="61"/>
        <v/>
      </c>
      <c r="O149" s="66" t="str">
        <f t="shared" si="61"/>
        <v>.</v>
      </c>
      <c r="P149" s="66" t="str">
        <f t="shared" si="61"/>
        <v/>
      </c>
      <c r="Q149" s="66" t="str">
        <f t="shared" si="61"/>
        <v/>
      </c>
      <c r="R149" s="66" t="str">
        <f t="shared" si="61"/>
        <v/>
      </c>
      <c r="S149" s="66" t="str">
        <f t="shared" si="61"/>
        <v/>
      </c>
      <c r="T149" s="66" t="str">
        <f t="shared" si="61"/>
        <v/>
      </c>
      <c r="U149" s="66" t="str">
        <f t="shared" si="61"/>
        <v/>
      </c>
      <c r="V149" s="66" t="str">
        <f t="shared" si="61"/>
        <v>.</v>
      </c>
      <c r="W149" s="66" t="str">
        <f t="shared" si="61"/>
        <v/>
      </c>
      <c r="X149" s="66" t="str">
        <f t="shared" si="61"/>
        <v/>
      </c>
      <c r="Y149" s="66" t="str">
        <f t="shared" si="61"/>
        <v/>
      </c>
      <c r="Z149" s="66">
        <f t="shared" si="61"/>
        <v>27</v>
      </c>
      <c r="AA149" s="66" t="str">
        <f t="shared" si="61"/>
        <v/>
      </c>
      <c r="AB149" s="66" t="str">
        <f t="shared" si="61"/>
        <v/>
      </c>
      <c r="AC149" s="66" t="str">
        <f t="shared" si="61"/>
        <v/>
      </c>
      <c r="AD149" s="66" t="str">
        <f t="shared" si="61"/>
        <v/>
      </c>
      <c r="AE149" s="66" t="str">
        <f t="shared" si="61"/>
        <v>.</v>
      </c>
      <c r="AF149" s="66" t="str">
        <f t="shared" si="61"/>
        <v/>
      </c>
      <c r="AG149" s="66">
        <f t="shared" si="61"/>
        <v>27</v>
      </c>
      <c r="AH149" s="66" t="str">
        <f t="shared" si="61"/>
        <v/>
      </c>
      <c r="AI149" s="66" t="str">
        <f t="shared" si="61"/>
        <v/>
      </c>
      <c r="AJ149" s="66" t="str">
        <f t="shared" si="61"/>
        <v/>
      </c>
    </row>
    <row r="150" spans="1:55">
      <c r="A150" s="66">
        <f t="shared" si="57"/>
        <v>28</v>
      </c>
      <c r="B150" s="66" t="str">
        <f t="shared" si="57"/>
        <v>高仲廷</v>
      </c>
      <c r="C150" s="66" t="str">
        <f t="shared" si="61"/>
        <v/>
      </c>
      <c r="D150" s="66" t="str">
        <f t="shared" si="61"/>
        <v/>
      </c>
      <c r="E150" s="66" t="str">
        <f t="shared" si="61"/>
        <v/>
      </c>
      <c r="F150" s="66">
        <f t="shared" si="61"/>
        <v>28</v>
      </c>
      <c r="G150" s="66" t="str">
        <f t="shared" si="61"/>
        <v/>
      </c>
      <c r="H150" s="66" t="str">
        <f t="shared" si="61"/>
        <v/>
      </c>
      <c r="I150" s="66" t="str">
        <f t="shared" si="61"/>
        <v/>
      </c>
      <c r="J150" s="66" t="str">
        <f t="shared" si="61"/>
        <v/>
      </c>
      <c r="K150" s="66" t="str">
        <f t="shared" si="61"/>
        <v/>
      </c>
      <c r="L150" s="66" t="str">
        <f t="shared" si="61"/>
        <v/>
      </c>
      <c r="M150" s="66" t="str">
        <f t="shared" si="61"/>
        <v/>
      </c>
      <c r="N150" s="66">
        <f t="shared" si="61"/>
        <v>28</v>
      </c>
      <c r="O150" s="66" t="str">
        <f t="shared" si="61"/>
        <v/>
      </c>
      <c r="P150" s="66" t="str">
        <f t="shared" si="61"/>
        <v/>
      </c>
      <c r="Q150" s="66" t="str">
        <f t="shared" si="61"/>
        <v/>
      </c>
      <c r="R150" s="66" t="str">
        <f t="shared" si="61"/>
        <v/>
      </c>
      <c r="S150" s="66" t="str">
        <f t="shared" si="61"/>
        <v/>
      </c>
      <c r="T150" s="66" t="str">
        <f t="shared" si="61"/>
        <v/>
      </c>
      <c r="U150" s="66">
        <f t="shared" si="61"/>
        <v>28</v>
      </c>
      <c r="V150" s="66" t="str">
        <f t="shared" si="61"/>
        <v/>
      </c>
      <c r="W150" s="66" t="str">
        <f t="shared" si="61"/>
        <v/>
      </c>
      <c r="X150" s="66" t="str">
        <f t="shared" si="61"/>
        <v/>
      </c>
      <c r="Y150" s="66" t="str">
        <f t="shared" si="61"/>
        <v/>
      </c>
      <c r="Z150" s="66" t="str">
        <f t="shared" si="61"/>
        <v>.</v>
      </c>
      <c r="AA150" s="66">
        <f t="shared" si="61"/>
        <v>28</v>
      </c>
      <c r="AB150" s="66" t="str">
        <f t="shared" si="61"/>
        <v/>
      </c>
      <c r="AC150" s="66" t="str">
        <f t="shared" si="61"/>
        <v/>
      </c>
      <c r="AD150" s="66" t="str">
        <f t="shared" si="61"/>
        <v/>
      </c>
      <c r="AE150" s="66" t="str">
        <f t="shared" si="61"/>
        <v/>
      </c>
      <c r="AF150" s="66" t="str">
        <f t="shared" si="61"/>
        <v/>
      </c>
      <c r="AG150" s="66" t="str">
        <f t="shared" si="61"/>
        <v>.28</v>
      </c>
      <c r="AH150" s="66" t="str">
        <f t="shared" si="61"/>
        <v/>
      </c>
      <c r="AI150" s="66" t="str">
        <f t="shared" si="61"/>
        <v/>
      </c>
      <c r="AJ150" s="66" t="str">
        <f t="shared" si="61"/>
        <v/>
      </c>
    </row>
    <row r="151" spans="1:55">
      <c r="A151" s="66">
        <f t="shared" si="57"/>
        <v>29</v>
      </c>
      <c r="B151" s="66" t="str">
        <f t="shared" si="57"/>
        <v>陳羲</v>
      </c>
      <c r="C151" s="66" t="str">
        <f t="shared" si="61"/>
        <v/>
      </c>
      <c r="D151" s="66" t="str">
        <f t="shared" si="61"/>
        <v/>
      </c>
      <c r="E151" s="66" t="str">
        <f t="shared" si="61"/>
        <v/>
      </c>
      <c r="F151" s="66" t="str">
        <f t="shared" si="61"/>
        <v>.</v>
      </c>
      <c r="G151" s="66">
        <f t="shared" si="61"/>
        <v>29</v>
      </c>
      <c r="H151" s="66" t="str">
        <f t="shared" si="61"/>
        <v/>
      </c>
      <c r="I151" s="66">
        <f t="shared" si="61"/>
        <v>29</v>
      </c>
      <c r="J151" s="66" t="str">
        <f t="shared" si="61"/>
        <v/>
      </c>
      <c r="K151" s="66" t="str">
        <f t="shared" si="61"/>
        <v/>
      </c>
      <c r="L151" s="66" t="str">
        <f t="shared" si="61"/>
        <v/>
      </c>
      <c r="M151" s="66" t="str">
        <f t="shared" si="61"/>
        <v/>
      </c>
      <c r="N151" s="66" t="str">
        <f t="shared" si="61"/>
        <v>.</v>
      </c>
      <c r="O151" s="66" t="str">
        <f t="shared" si="61"/>
        <v/>
      </c>
      <c r="P151" s="66">
        <f t="shared" si="61"/>
        <v>29</v>
      </c>
      <c r="Q151" s="66" t="str">
        <f t="shared" si="61"/>
        <v/>
      </c>
      <c r="R151" s="66" t="str">
        <f t="shared" si="61"/>
        <v/>
      </c>
      <c r="S151" s="66" t="str">
        <f t="shared" si="61"/>
        <v/>
      </c>
      <c r="T151" s="66" t="str">
        <f t="shared" si="61"/>
        <v/>
      </c>
      <c r="U151" s="66" t="str">
        <f t="shared" si="61"/>
        <v>.29</v>
      </c>
      <c r="V151" s="66" t="str">
        <f t="shared" si="61"/>
        <v/>
      </c>
      <c r="W151" s="66">
        <f t="shared" si="61"/>
        <v>29</v>
      </c>
      <c r="X151" s="66" t="str">
        <f t="shared" si="61"/>
        <v/>
      </c>
      <c r="Y151" s="66" t="str">
        <f t="shared" si="61"/>
        <v/>
      </c>
      <c r="Z151" s="66" t="str">
        <f t="shared" si="61"/>
        <v/>
      </c>
      <c r="AA151" s="66" t="str">
        <f t="shared" si="61"/>
        <v>.</v>
      </c>
      <c r="AB151" s="66">
        <f t="shared" si="61"/>
        <v>29</v>
      </c>
      <c r="AC151" s="66" t="str">
        <f t="shared" si="61"/>
        <v/>
      </c>
      <c r="AD151" s="66">
        <f t="shared" si="61"/>
        <v>29</v>
      </c>
      <c r="AE151" s="66" t="str">
        <f t="shared" si="61"/>
        <v/>
      </c>
      <c r="AF151" s="66" t="str">
        <f t="shared" si="61"/>
        <v/>
      </c>
      <c r="AG151" s="66" t="str">
        <f t="shared" si="61"/>
        <v>.</v>
      </c>
      <c r="AH151" s="66" t="str">
        <f t="shared" si="61"/>
        <v/>
      </c>
      <c r="AI151" s="66" t="str">
        <f t="shared" si="61"/>
        <v/>
      </c>
      <c r="AJ151" s="66" t="str">
        <f t="shared" si="61"/>
        <v/>
      </c>
    </row>
    <row r="152" spans="1:55">
      <c r="A152" s="66">
        <f t="shared" si="57"/>
        <v>30</v>
      </c>
      <c r="B152" s="66" t="str">
        <f t="shared" si="57"/>
        <v>謝昕融</v>
      </c>
      <c r="C152" s="66" t="str">
        <f t="shared" si="61"/>
        <v/>
      </c>
      <c r="D152" s="66">
        <f t="shared" si="61"/>
        <v>30</v>
      </c>
      <c r="E152" s="66" t="str">
        <f t="shared" si="61"/>
        <v/>
      </c>
      <c r="F152" s="66" t="str">
        <f t="shared" si="61"/>
        <v/>
      </c>
      <c r="G152" s="66" t="str">
        <f t="shared" si="61"/>
        <v>.</v>
      </c>
      <c r="H152" s="66" t="str">
        <f t="shared" si="61"/>
        <v/>
      </c>
      <c r="I152" s="66" t="str">
        <f t="shared" si="61"/>
        <v>.</v>
      </c>
      <c r="J152" s="66" t="str">
        <f t="shared" si="61"/>
        <v/>
      </c>
      <c r="K152" s="66" t="str">
        <f t="shared" si="61"/>
        <v/>
      </c>
      <c r="L152" s="66" t="str">
        <f t="shared" si="61"/>
        <v/>
      </c>
      <c r="M152" s="66" t="str">
        <f t="shared" si="61"/>
        <v/>
      </c>
      <c r="N152" s="66">
        <f t="shared" si="61"/>
        <v>30</v>
      </c>
      <c r="O152" s="66" t="str">
        <f t="shared" si="61"/>
        <v/>
      </c>
      <c r="P152" s="66" t="str">
        <f t="shared" si="61"/>
        <v>.</v>
      </c>
      <c r="Q152" s="66" t="str">
        <f t="shared" si="61"/>
        <v/>
      </c>
      <c r="R152" s="66" t="str">
        <f t="shared" si="61"/>
        <v/>
      </c>
      <c r="S152" s="66" t="str">
        <f t="shared" si="61"/>
        <v/>
      </c>
      <c r="T152" s="66" t="str">
        <f t="shared" si="61"/>
        <v/>
      </c>
      <c r="U152" s="66" t="str">
        <f t="shared" si="61"/>
        <v>.30</v>
      </c>
      <c r="V152" s="66" t="str">
        <f t="shared" si="61"/>
        <v/>
      </c>
      <c r="W152" s="66" t="str">
        <f t="shared" si="61"/>
        <v>.</v>
      </c>
      <c r="X152" s="66" t="str">
        <f t="shared" si="61"/>
        <v/>
      </c>
      <c r="Y152" s="66" t="str">
        <f t="shared" si="61"/>
        <v/>
      </c>
      <c r="Z152" s="66" t="str">
        <f t="shared" si="61"/>
        <v/>
      </c>
      <c r="AA152" s="66" t="str">
        <f t="shared" si="61"/>
        <v/>
      </c>
      <c r="AB152" s="66" t="str">
        <f t="shared" si="61"/>
        <v>.30</v>
      </c>
      <c r="AC152" s="66" t="str">
        <f t="shared" si="61"/>
        <v/>
      </c>
      <c r="AD152" s="66" t="str">
        <f t="shared" si="61"/>
        <v>.</v>
      </c>
      <c r="AE152" s="66" t="str">
        <f t="shared" si="61"/>
        <v/>
      </c>
      <c r="AF152" s="66" t="str">
        <f t="shared" si="61"/>
        <v/>
      </c>
      <c r="AG152" s="66">
        <f t="shared" si="61"/>
        <v>30</v>
      </c>
      <c r="AH152" s="66" t="str">
        <f t="shared" si="61"/>
        <v/>
      </c>
      <c r="AI152" s="66" t="str">
        <f t="shared" si="61"/>
        <v/>
      </c>
      <c r="AJ152" s="66" t="str">
        <f t="shared" si="61"/>
        <v/>
      </c>
    </row>
    <row r="153" spans="1:55">
      <c r="A153" s="66">
        <f t="shared" si="57"/>
        <v>31</v>
      </c>
      <c r="B153" s="66" t="str">
        <f t="shared" si="57"/>
        <v>許峰銘</v>
      </c>
      <c r="C153" s="66" t="str">
        <f t="shared" si="61"/>
        <v/>
      </c>
      <c r="D153" s="66" t="str">
        <f t="shared" si="61"/>
        <v>.</v>
      </c>
      <c r="E153" s="66" t="str">
        <f t="shared" si="61"/>
        <v/>
      </c>
      <c r="F153" s="66" t="str">
        <f t="shared" si="61"/>
        <v/>
      </c>
      <c r="G153" s="66" t="str">
        <f t="shared" si="61"/>
        <v/>
      </c>
      <c r="H153" s="66">
        <f t="shared" si="61"/>
        <v>31</v>
      </c>
      <c r="I153" s="66" t="str">
        <f t="shared" si="61"/>
        <v/>
      </c>
      <c r="J153" s="66" t="str">
        <f t="shared" si="61"/>
        <v/>
      </c>
      <c r="K153" s="66" t="str">
        <f t="shared" si="61"/>
        <v/>
      </c>
      <c r="L153" s="66" t="str">
        <f t="shared" si="61"/>
        <v/>
      </c>
      <c r="M153" s="66" t="str">
        <f t="shared" si="61"/>
        <v/>
      </c>
      <c r="N153" s="66" t="str">
        <f t="shared" si="61"/>
        <v>.</v>
      </c>
      <c r="O153" s="66">
        <f t="shared" si="61"/>
        <v>31</v>
      </c>
      <c r="P153" s="66" t="str">
        <f t="shared" si="61"/>
        <v/>
      </c>
      <c r="Q153" s="66" t="str">
        <f t="shared" si="61"/>
        <v/>
      </c>
      <c r="R153" s="66" t="str">
        <f t="shared" si="61"/>
        <v/>
      </c>
      <c r="S153" s="66" t="str">
        <f t="shared" si="61"/>
        <v/>
      </c>
      <c r="T153" s="66">
        <f t="shared" si="61"/>
        <v>31</v>
      </c>
      <c r="U153" s="66" t="str">
        <f t="shared" si="61"/>
        <v>.</v>
      </c>
      <c r="V153" s="66" t="str">
        <f t="shared" si="61"/>
        <v/>
      </c>
      <c r="W153" s="66" t="str">
        <f t="shared" si="61"/>
        <v/>
      </c>
      <c r="X153" s="66" t="str">
        <f t="shared" si="61"/>
        <v/>
      </c>
      <c r="Y153" s="66" t="str">
        <f t="shared" si="61"/>
        <v/>
      </c>
      <c r="Z153" s="66" t="str">
        <f t="shared" si="61"/>
        <v/>
      </c>
      <c r="AA153" s="66">
        <f t="shared" si="61"/>
        <v>31</v>
      </c>
      <c r="AB153" s="66" t="str">
        <f t="shared" si="61"/>
        <v>.</v>
      </c>
      <c r="AC153" s="66" t="str">
        <f t="shared" si="61"/>
        <v/>
      </c>
      <c r="AD153" s="66" t="str">
        <f t="shared" si="61"/>
        <v/>
      </c>
      <c r="AE153" s="66" t="str">
        <f t="shared" si="61"/>
        <v/>
      </c>
      <c r="AF153" s="66" t="str">
        <f t="shared" si="61"/>
        <v/>
      </c>
      <c r="AG153" s="66" t="str">
        <f t="shared" si="61"/>
        <v>.31</v>
      </c>
      <c r="AH153" s="66" t="str">
        <f t="shared" si="61"/>
        <v/>
      </c>
      <c r="AI153" s="66" t="str">
        <f t="shared" si="61"/>
        <v/>
      </c>
      <c r="AJ153" s="66" t="str">
        <f t="shared" si="61"/>
        <v/>
      </c>
    </row>
    <row r="154" spans="1:55">
      <c r="A154" s="66">
        <f t="shared" si="57"/>
        <v>32</v>
      </c>
      <c r="B154" s="66" t="str">
        <f t="shared" si="57"/>
        <v>莊博竣</v>
      </c>
      <c r="C154" s="66" t="str">
        <f t="shared" si="61"/>
        <v/>
      </c>
      <c r="D154" s="66" t="str">
        <f t="shared" si="61"/>
        <v/>
      </c>
      <c r="E154" s="66" t="str">
        <f t="shared" si="61"/>
        <v/>
      </c>
      <c r="F154" s="66" t="str">
        <f t="shared" si="61"/>
        <v/>
      </c>
      <c r="G154" s="66" t="str">
        <f t="shared" si="61"/>
        <v/>
      </c>
      <c r="H154" s="66" t="str">
        <f t="shared" si="61"/>
        <v>.</v>
      </c>
      <c r="I154" s="66" t="str">
        <f t="shared" si="61"/>
        <v/>
      </c>
      <c r="J154" s="66" t="str">
        <f t="shared" si="61"/>
        <v/>
      </c>
      <c r="K154" s="66" t="str">
        <f t="shared" si="61"/>
        <v/>
      </c>
      <c r="L154" s="66" t="str">
        <f t="shared" si="61"/>
        <v/>
      </c>
      <c r="M154" s="66" t="str">
        <f t="shared" si="61"/>
        <v/>
      </c>
      <c r="N154" s="66" t="str">
        <f t="shared" si="61"/>
        <v/>
      </c>
      <c r="O154" s="66" t="str">
        <f t="shared" si="61"/>
        <v>.</v>
      </c>
      <c r="P154" s="66" t="str">
        <f t="shared" si="61"/>
        <v/>
      </c>
      <c r="Q154" s="66" t="str">
        <f t="shared" si="61"/>
        <v/>
      </c>
      <c r="R154" s="66" t="str">
        <f t="shared" si="61"/>
        <v/>
      </c>
      <c r="S154" s="66" t="str">
        <f t="shared" si="61"/>
        <v/>
      </c>
      <c r="T154" s="66" t="str">
        <f t="shared" si="61"/>
        <v>.</v>
      </c>
      <c r="U154" s="66" t="str">
        <f t="shared" si="61"/>
        <v/>
      </c>
      <c r="V154" s="66" t="str">
        <f t="shared" si="61"/>
        <v/>
      </c>
      <c r="W154" s="66" t="str">
        <f t="shared" si="61"/>
        <v/>
      </c>
      <c r="X154" s="66" t="str">
        <f t="shared" si="61"/>
        <v/>
      </c>
      <c r="Y154" s="66" t="str">
        <f t="shared" si="61"/>
        <v/>
      </c>
      <c r="Z154" s="66" t="str">
        <f t="shared" si="61"/>
        <v/>
      </c>
      <c r="AA154" s="66" t="str">
        <f t="shared" si="61"/>
        <v>.</v>
      </c>
      <c r="AB154" s="66" t="str">
        <f t="shared" si="61"/>
        <v/>
      </c>
      <c r="AC154" s="66" t="str">
        <f t="shared" si="61"/>
        <v/>
      </c>
      <c r="AD154" s="66" t="str">
        <f t="shared" si="61"/>
        <v/>
      </c>
      <c r="AE154" s="66" t="str">
        <f t="shared" si="61"/>
        <v/>
      </c>
      <c r="AF154" s="66" t="str">
        <f t="shared" si="61"/>
        <v/>
      </c>
      <c r="AG154" s="66" t="str">
        <f t="shared" si="61"/>
        <v>.32</v>
      </c>
      <c r="AH154" s="66" t="str">
        <f t="shared" si="61"/>
        <v/>
      </c>
      <c r="AI154" s="66" t="str">
        <f t="shared" si="61"/>
        <v/>
      </c>
      <c r="AJ154" s="66" t="str">
        <f t="shared" si="61"/>
        <v/>
      </c>
    </row>
    <row r="155" spans="1:55">
      <c r="A155" s="66">
        <f t="shared" ref="A155:B158" si="62">A115</f>
        <v>33</v>
      </c>
      <c r="B155" s="66" t="str">
        <f t="shared" si="62"/>
        <v/>
      </c>
      <c r="C155" s="66" t="str">
        <f t="shared" si="61"/>
        <v/>
      </c>
      <c r="D155" s="66" t="str">
        <f t="shared" si="61"/>
        <v/>
      </c>
      <c r="E155" s="66" t="str">
        <f t="shared" si="61"/>
        <v/>
      </c>
      <c r="F155" s="66" t="str">
        <f t="shared" si="61"/>
        <v/>
      </c>
      <c r="G155" s="66" t="str">
        <f t="shared" si="61"/>
        <v/>
      </c>
      <c r="H155" s="66" t="str">
        <f t="shared" si="61"/>
        <v/>
      </c>
      <c r="I155" s="66" t="str">
        <f t="shared" si="61"/>
        <v/>
      </c>
      <c r="J155" s="66" t="str">
        <f t="shared" si="61"/>
        <v/>
      </c>
      <c r="K155" s="66" t="str">
        <f t="shared" si="61"/>
        <v/>
      </c>
      <c r="L155" s="66" t="str">
        <f t="shared" si="61"/>
        <v/>
      </c>
      <c r="M155" s="66" t="str">
        <f t="shared" si="61"/>
        <v/>
      </c>
      <c r="N155" s="66" t="str">
        <f t="shared" si="61"/>
        <v/>
      </c>
      <c r="O155" s="66" t="str">
        <f t="shared" si="61"/>
        <v/>
      </c>
      <c r="P155" s="66" t="str">
        <f t="shared" si="61"/>
        <v/>
      </c>
      <c r="Q155" s="66" t="str">
        <f t="shared" si="61"/>
        <v/>
      </c>
      <c r="R155" s="66" t="str">
        <f t="shared" si="61"/>
        <v/>
      </c>
      <c r="S155" s="66" t="str">
        <f t="shared" si="61"/>
        <v/>
      </c>
      <c r="T155" s="66" t="str">
        <f t="shared" si="61"/>
        <v/>
      </c>
      <c r="U155" s="66" t="str">
        <f t="shared" si="61"/>
        <v/>
      </c>
      <c r="V155" s="66" t="str">
        <f t="shared" si="61"/>
        <v/>
      </c>
      <c r="W155" s="66" t="str">
        <f t="shared" si="61"/>
        <v/>
      </c>
      <c r="X155" s="66" t="str">
        <f t="shared" si="61"/>
        <v/>
      </c>
      <c r="Y155" s="66" t="str">
        <f t="shared" si="61"/>
        <v/>
      </c>
      <c r="Z155" s="66" t="str">
        <f t="shared" si="61"/>
        <v/>
      </c>
      <c r="AA155" s="66" t="str">
        <f t="shared" si="61"/>
        <v/>
      </c>
      <c r="AB155" s="66" t="str">
        <f t="shared" si="61"/>
        <v/>
      </c>
      <c r="AC155" s="66" t="str">
        <f t="shared" si="61"/>
        <v/>
      </c>
      <c r="AD155" s="66" t="str">
        <f t="shared" si="61"/>
        <v/>
      </c>
      <c r="AE155" s="66" t="str">
        <f t="shared" si="61"/>
        <v/>
      </c>
      <c r="AF155" s="66" t="str">
        <f t="shared" si="61"/>
        <v/>
      </c>
      <c r="AG155" s="66" t="str">
        <f t="shared" si="61"/>
        <v>.</v>
      </c>
      <c r="AH155" s="66" t="str">
        <f t="shared" si="61"/>
        <v/>
      </c>
      <c r="AI155" s="66" t="str">
        <f t="shared" si="61"/>
        <v/>
      </c>
      <c r="AJ155" s="66" t="str">
        <f t="shared" si="61"/>
        <v/>
      </c>
    </row>
    <row r="156" spans="1:55">
      <c r="A156" s="66">
        <f t="shared" si="62"/>
        <v>34</v>
      </c>
      <c r="B156" s="66" t="str">
        <f t="shared" si="62"/>
        <v/>
      </c>
      <c r="C156" s="66" t="str">
        <f t="shared" si="61"/>
        <v/>
      </c>
      <c r="D156" s="66" t="str">
        <f t="shared" si="61"/>
        <v/>
      </c>
      <c r="E156" s="66" t="str">
        <f t="shared" si="61"/>
        <v/>
      </c>
      <c r="F156" s="66" t="str">
        <f t="shared" si="61"/>
        <v/>
      </c>
      <c r="G156" s="66" t="str">
        <f t="shared" si="61"/>
        <v/>
      </c>
      <c r="H156" s="66" t="str">
        <f t="shared" si="61"/>
        <v/>
      </c>
      <c r="I156" s="66" t="str">
        <f t="shared" si="61"/>
        <v/>
      </c>
      <c r="J156" s="66" t="str">
        <f t="shared" si="61"/>
        <v/>
      </c>
      <c r="K156" s="66" t="str">
        <f t="shared" si="61"/>
        <v/>
      </c>
      <c r="L156" s="66" t="str">
        <f t="shared" si="61"/>
        <v/>
      </c>
      <c r="M156" s="66" t="str">
        <f t="shared" si="61"/>
        <v/>
      </c>
      <c r="N156" s="66" t="str">
        <f t="shared" si="61"/>
        <v/>
      </c>
      <c r="O156" s="66" t="str">
        <f t="shared" si="61"/>
        <v/>
      </c>
      <c r="P156" s="66" t="str">
        <f t="shared" si="61"/>
        <v/>
      </c>
      <c r="Q156" s="66" t="str">
        <f t="shared" si="61"/>
        <v/>
      </c>
      <c r="R156" s="66" t="str">
        <f t="shared" si="61"/>
        <v/>
      </c>
      <c r="S156" s="66" t="str">
        <f t="shared" si="61"/>
        <v/>
      </c>
      <c r="T156" s="66" t="str">
        <f t="shared" ref="T156:AJ156" si="63">IF(  OR(  LEN(T155)=2,LEN(T155)=3  ),  CONCATENATE(  ".",IF(T76=$A$121,$A156,"")  ),IF(T76=$A$121,$A156,"")  )</f>
        <v/>
      </c>
      <c r="U156" s="66" t="str">
        <f t="shared" si="63"/>
        <v/>
      </c>
      <c r="V156" s="66" t="str">
        <f t="shared" si="63"/>
        <v/>
      </c>
      <c r="W156" s="66" t="str">
        <f t="shared" si="63"/>
        <v/>
      </c>
      <c r="X156" s="66" t="str">
        <f t="shared" si="63"/>
        <v/>
      </c>
      <c r="Y156" s="66" t="str">
        <f t="shared" si="63"/>
        <v/>
      </c>
      <c r="Z156" s="66" t="str">
        <f t="shared" si="63"/>
        <v/>
      </c>
      <c r="AA156" s="66" t="str">
        <f t="shared" si="63"/>
        <v/>
      </c>
      <c r="AB156" s="66" t="str">
        <f t="shared" si="63"/>
        <v/>
      </c>
      <c r="AC156" s="66" t="str">
        <f t="shared" si="63"/>
        <v/>
      </c>
      <c r="AD156" s="66" t="str">
        <f t="shared" si="63"/>
        <v/>
      </c>
      <c r="AE156" s="66" t="str">
        <f t="shared" si="63"/>
        <v/>
      </c>
      <c r="AF156" s="66" t="str">
        <f t="shared" si="63"/>
        <v/>
      </c>
      <c r="AG156" s="66" t="str">
        <f t="shared" si="63"/>
        <v/>
      </c>
      <c r="AH156" s="66" t="str">
        <f t="shared" si="63"/>
        <v/>
      </c>
      <c r="AI156" s="66" t="str">
        <f t="shared" si="63"/>
        <v/>
      </c>
      <c r="AJ156" s="66" t="str">
        <f t="shared" si="63"/>
        <v/>
      </c>
    </row>
    <row r="157" spans="1:55">
      <c r="A157" s="66">
        <f t="shared" si="62"/>
        <v>35</v>
      </c>
      <c r="B157" s="66" t="str">
        <f t="shared" si="62"/>
        <v/>
      </c>
      <c r="C157" s="66" t="str">
        <f t="shared" ref="C157:AJ158" si="64">IF(  OR(  LEN(C156)=2,LEN(C156)=3  ),  CONCATENATE(  ".",IF(C77=$A$121,$A157,"")  ),IF(C77=$A$121,$A157,"")  )</f>
        <v/>
      </c>
      <c r="D157" s="66" t="str">
        <f t="shared" si="64"/>
        <v/>
      </c>
      <c r="E157" s="66" t="str">
        <f t="shared" si="64"/>
        <v/>
      </c>
      <c r="F157" s="66" t="str">
        <f t="shared" si="64"/>
        <v/>
      </c>
      <c r="G157" s="66" t="str">
        <f t="shared" si="64"/>
        <v/>
      </c>
      <c r="H157" s="66" t="str">
        <f t="shared" si="64"/>
        <v/>
      </c>
      <c r="I157" s="66" t="str">
        <f t="shared" si="64"/>
        <v/>
      </c>
      <c r="J157" s="66" t="str">
        <f t="shared" si="64"/>
        <v/>
      </c>
      <c r="K157" s="66" t="str">
        <f t="shared" si="64"/>
        <v/>
      </c>
      <c r="L157" s="66" t="str">
        <f t="shared" si="64"/>
        <v/>
      </c>
      <c r="M157" s="66" t="str">
        <f t="shared" si="64"/>
        <v/>
      </c>
      <c r="N157" s="66" t="str">
        <f t="shared" si="64"/>
        <v/>
      </c>
      <c r="O157" s="66" t="str">
        <f t="shared" si="64"/>
        <v/>
      </c>
      <c r="P157" s="66" t="str">
        <f t="shared" si="64"/>
        <v/>
      </c>
      <c r="Q157" s="66" t="str">
        <f t="shared" si="64"/>
        <v/>
      </c>
      <c r="R157" s="66" t="str">
        <f t="shared" si="64"/>
        <v/>
      </c>
      <c r="S157" s="66" t="str">
        <f t="shared" si="64"/>
        <v/>
      </c>
      <c r="T157" s="66" t="str">
        <f t="shared" si="64"/>
        <v/>
      </c>
      <c r="U157" s="66" t="str">
        <f t="shared" si="64"/>
        <v/>
      </c>
      <c r="V157" s="66" t="str">
        <f t="shared" si="64"/>
        <v/>
      </c>
      <c r="W157" s="66" t="str">
        <f t="shared" si="64"/>
        <v/>
      </c>
      <c r="X157" s="66" t="str">
        <f t="shared" si="64"/>
        <v/>
      </c>
      <c r="Y157" s="66" t="str">
        <f t="shared" si="64"/>
        <v/>
      </c>
      <c r="Z157" s="66" t="str">
        <f t="shared" si="64"/>
        <v/>
      </c>
      <c r="AA157" s="66" t="str">
        <f t="shared" si="64"/>
        <v/>
      </c>
      <c r="AB157" s="66" t="str">
        <f t="shared" si="64"/>
        <v/>
      </c>
      <c r="AC157" s="66" t="str">
        <f t="shared" si="64"/>
        <v/>
      </c>
      <c r="AD157" s="66" t="str">
        <f t="shared" si="64"/>
        <v/>
      </c>
      <c r="AE157" s="66" t="str">
        <f t="shared" si="64"/>
        <v/>
      </c>
      <c r="AF157" s="66" t="str">
        <f t="shared" si="64"/>
        <v/>
      </c>
      <c r="AG157" s="66" t="str">
        <f t="shared" si="64"/>
        <v/>
      </c>
      <c r="AH157" s="66" t="str">
        <f t="shared" si="64"/>
        <v/>
      </c>
      <c r="AI157" s="66" t="str">
        <f t="shared" si="64"/>
        <v/>
      </c>
      <c r="AJ157" s="66" t="str">
        <f t="shared" si="64"/>
        <v/>
      </c>
    </row>
    <row r="158" spans="1:55">
      <c r="A158" s="66">
        <f t="shared" si="62"/>
        <v>37</v>
      </c>
      <c r="B158" s="66" t="str">
        <f t="shared" si="62"/>
        <v/>
      </c>
      <c r="C158" s="66" t="str">
        <f t="shared" si="64"/>
        <v/>
      </c>
      <c r="D158" s="66" t="str">
        <f t="shared" si="64"/>
        <v/>
      </c>
      <c r="E158" s="66" t="str">
        <f t="shared" si="64"/>
        <v/>
      </c>
      <c r="F158" s="66" t="str">
        <f t="shared" si="64"/>
        <v/>
      </c>
      <c r="G158" s="66" t="str">
        <f t="shared" si="64"/>
        <v/>
      </c>
      <c r="H158" s="66" t="str">
        <f t="shared" si="64"/>
        <v/>
      </c>
      <c r="I158" s="66" t="str">
        <f t="shared" si="64"/>
        <v/>
      </c>
      <c r="J158" s="66" t="str">
        <f t="shared" si="64"/>
        <v/>
      </c>
      <c r="K158" s="66" t="str">
        <f t="shared" si="64"/>
        <v/>
      </c>
      <c r="L158" s="66" t="str">
        <f t="shared" si="64"/>
        <v/>
      </c>
      <c r="M158" s="66" t="str">
        <f t="shared" si="64"/>
        <v/>
      </c>
      <c r="N158" s="66" t="str">
        <f t="shared" si="64"/>
        <v/>
      </c>
      <c r="O158" s="66" t="str">
        <f t="shared" si="64"/>
        <v/>
      </c>
      <c r="P158" s="66" t="str">
        <f t="shared" si="64"/>
        <v/>
      </c>
      <c r="Q158" s="66" t="str">
        <f t="shared" si="64"/>
        <v/>
      </c>
      <c r="R158" s="66" t="str">
        <f t="shared" si="64"/>
        <v/>
      </c>
      <c r="S158" s="66" t="str">
        <f t="shared" si="64"/>
        <v/>
      </c>
      <c r="T158" s="66" t="str">
        <f t="shared" si="64"/>
        <v/>
      </c>
      <c r="U158" s="66" t="str">
        <f t="shared" si="64"/>
        <v/>
      </c>
      <c r="V158" s="66" t="str">
        <f t="shared" si="64"/>
        <v/>
      </c>
      <c r="W158" s="66" t="str">
        <f t="shared" si="64"/>
        <v/>
      </c>
      <c r="X158" s="66" t="str">
        <f t="shared" si="64"/>
        <v/>
      </c>
      <c r="Y158" s="66" t="str">
        <f t="shared" si="64"/>
        <v/>
      </c>
      <c r="Z158" s="66" t="str">
        <f t="shared" si="64"/>
        <v/>
      </c>
      <c r="AA158" s="66" t="str">
        <f t="shared" si="64"/>
        <v/>
      </c>
      <c r="AB158" s="66" t="str">
        <f t="shared" si="64"/>
        <v/>
      </c>
      <c r="AC158" s="66" t="str">
        <f t="shared" si="64"/>
        <v/>
      </c>
      <c r="AD158" s="66" t="str">
        <f t="shared" si="64"/>
        <v/>
      </c>
      <c r="AE158" s="66" t="str">
        <f t="shared" si="64"/>
        <v/>
      </c>
      <c r="AF158" s="66" t="str">
        <f t="shared" si="64"/>
        <v/>
      </c>
      <c r="AG158" s="66" t="str">
        <f t="shared" si="64"/>
        <v/>
      </c>
      <c r="AH158" s="66" t="str">
        <f t="shared" si="64"/>
        <v/>
      </c>
      <c r="AI158" s="66" t="str">
        <f t="shared" si="64"/>
        <v/>
      </c>
      <c r="AJ158" s="66" t="str">
        <f t="shared" si="64"/>
        <v/>
      </c>
    </row>
    <row r="159" spans="1:55">
      <c r="A159" s="66"/>
      <c r="B159" s="66"/>
      <c r="C159" s="66" t="str">
        <f>IFERROR(  LEFT(  CONCATENATE(C123,C124,C125,C126,C127,C128,C129,C130,C131,C132,C133,C134,C135,C136,C137,C138,C139,C140,C141,C142,C143,C144,C145,C146,C147,C148,C149,C150,C151,C152,C153,C154,C155,C156,C157,C158),LEN(  CONCATENATE(C123,C124,C125,C126,C127,C128,C129,C130,C131,C132,C133,C134,C135,C136,C137,C138,C139,C140,C141,C142,C143,C144,C145,C146,C147,C148,C149,C150,C151,C152,C153,C154,C155,C156,C157,C158)  )-1),"")</f>
        <v/>
      </c>
      <c r="D159" s="66" t="str">
        <f t="shared" ref="D159:AJ159" si="65">IFERROR(  LEFT(  CONCATENATE(D123,D124,D125,D126,D127,D128,D129,D130,D131,D132,D133,D134,D135,D136,D137,D138,D139,D140,D141,D142,D143,D144,D145,D146,D147,D148,D149,D150,D151,D152,D153,D154,D155,D156,D157,D158),LEN(  CONCATENATE(D123,D124,D125,D126,D127,D128,D129,D130,D131,D132,D133,D134,D135,D136,D137,D138,D139,D140,D141,D142,D143,D144,D145,D146,D147,D148,D149,D150,D151,D152,D153,D154,D155,D156,D157,D158)  )-1),"")</f>
        <v>30</v>
      </c>
      <c r="E159" s="66" t="str">
        <f t="shared" si="65"/>
        <v>20.24</v>
      </c>
      <c r="F159" s="66" t="str">
        <f t="shared" si="65"/>
        <v>21.22.23.25.28</v>
      </c>
      <c r="G159" s="66" t="str">
        <f t="shared" si="65"/>
        <v>29</v>
      </c>
      <c r="H159" s="66" t="str">
        <f t="shared" si="65"/>
        <v>31</v>
      </c>
      <c r="I159" s="66" t="str">
        <f t="shared" si="65"/>
        <v>29</v>
      </c>
      <c r="J159" s="66" t="str">
        <f t="shared" si="65"/>
        <v>22</v>
      </c>
      <c r="K159" s="66" t="str">
        <f t="shared" si="65"/>
        <v/>
      </c>
      <c r="L159" s="66" t="str">
        <f t="shared" si="65"/>
        <v>23</v>
      </c>
      <c r="M159" s="66" t="str">
        <f t="shared" si="65"/>
        <v>20.21.25</v>
      </c>
      <c r="N159" s="66" t="str">
        <f t="shared" si="65"/>
        <v>28.30</v>
      </c>
      <c r="O159" s="66" t="str">
        <f t="shared" si="65"/>
        <v>26.31</v>
      </c>
      <c r="P159" s="66" t="str">
        <f t="shared" si="65"/>
        <v>29</v>
      </c>
      <c r="Q159" s="66" t="str">
        <f t="shared" si="65"/>
        <v>24</v>
      </c>
      <c r="R159" s="66" t="str">
        <f t="shared" si="65"/>
        <v/>
      </c>
      <c r="S159" s="66" t="str">
        <f t="shared" si="65"/>
        <v>20.21.23</v>
      </c>
      <c r="T159" s="66" t="str">
        <f t="shared" si="65"/>
        <v>22.31</v>
      </c>
      <c r="U159" s="66" t="str">
        <f t="shared" si="65"/>
        <v>28.29.30</v>
      </c>
      <c r="V159" s="66" t="str">
        <f t="shared" si="65"/>
        <v>26</v>
      </c>
      <c r="W159" s="66" t="str">
        <f t="shared" si="65"/>
        <v>29</v>
      </c>
      <c r="X159" s="66" t="str">
        <f t="shared" si="65"/>
        <v/>
      </c>
      <c r="Y159" s="66" t="str">
        <f t="shared" si="65"/>
        <v>24</v>
      </c>
      <c r="Z159" s="66" t="str">
        <f t="shared" si="65"/>
        <v>21.27</v>
      </c>
      <c r="AA159" s="66" t="str">
        <f t="shared" si="65"/>
        <v>22.25.28.31</v>
      </c>
      <c r="AB159" s="66" t="str">
        <f t="shared" si="65"/>
        <v>29.30</v>
      </c>
      <c r="AC159" s="66" t="str">
        <f t="shared" si="65"/>
        <v/>
      </c>
      <c r="AD159" s="66" t="str">
        <f t="shared" si="65"/>
        <v>29</v>
      </c>
      <c r="AE159" s="66" t="str">
        <f t="shared" si="65"/>
        <v>26</v>
      </c>
      <c r="AF159" s="66" t="str">
        <f t="shared" si="65"/>
        <v>22</v>
      </c>
      <c r="AG159" s="66" t="str">
        <f t="shared" si="65"/>
        <v>137810.13.15.20.21.23.24.25.27.28.30.31.32</v>
      </c>
      <c r="AH159" s="66" t="str">
        <f t="shared" si="65"/>
        <v/>
      </c>
      <c r="AI159" s="66" t="str">
        <f t="shared" si="65"/>
        <v/>
      </c>
      <c r="AJ159" s="66" t="str">
        <f t="shared" si="65"/>
        <v/>
      </c>
    </row>
    <row r="160" spans="1:55" s="289" customFormat="1">
      <c r="AP160" s="303"/>
      <c r="AU160" s="303"/>
      <c r="AV160" s="303"/>
      <c r="AY160" s="303"/>
      <c r="AZ160" s="303"/>
      <c r="BA160" s="303"/>
      <c r="BB160" s="303"/>
      <c r="BC160" s="303"/>
    </row>
    <row r="161" spans="1:36">
      <c r="A161" s="289" t="s">
        <v>267</v>
      </c>
    </row>
    <row r="162" spans="1:36">
      <c r="A162" s="66" t="str">
        <f>A122</f>
        <v>番號</v>
      </c>
      <c r="B162" s="66" t="str">
        <f t="shared" ref="B162:AJ162" si="66">B122</f>
        <v xml:space="preserve"> 姓名</v>
      </c>
      <c r="C162" s="66">
        <f t="shared" si="66"/>
        <v>1</v>
      </c>
      <c r="D162" s="66">
        <f t="shared" si="66"/>
        <v>2</v>
      </c>
      <c r="E162" s="66">
        <f t="shared" si="66"/>
        <v>3</v>
      </c>
      <c r="F162" s="66">
        <f t="shared" si="66"/>
        <v>4</v>
      </c>
      <c r="G162" s="66">
        <f t="shared" si="66"/>
        <v>5</v>
      </c>
      <c r="H162" s="66">
        <f t="shared" si="66"/>
        <v>6</v>
      </c>
      <c r="I162" s="66">
        <f t="shared" si="66"/>
        <v>7</v>
      </c>
      <c r="J162" s="66">
        <f t="shared" si="66"/>
        <v>8</v>
      </c>
      <c r="K162" s="66">
        <f t="shared" si="66"/>
        <v>9</v>
      </c>
      <c r="L162" s="66">
        <f t="shared" si="66"/>
        <v>10</v>
      </c>
      <c r="M162" s="66">
        <f t="shared" si="66"/>
        <v>11</v>
      </c>
      <c r="N162" s="66">
        <f t="shared" si="66"/>
        <v>12</v>
      </c>
      <c r="O162" s="66">
        <f t="shared" si="66"/>
        <v>13</v>
      </c>
      <c r="P162" s="66">
        <f t="shared" si="66"/>
        <v>14</v>
      </c>
      <c r="Q162" s="66">
        <f t="shared" si="66"/>
        <v>15</v>
      </c>
      <c r="R162" s="66">
        <f t="shared" si="66"/>
        <v>16</v>
      </c>
      <c r="S162" s="66">
        <f t="shared" si="66"/>
        <v>17</v>
      </c>
      <c r="T162" s="66">
        <f t="shared" si="66"/>
        <v>18</v>
      </c>
      <c r="U162" s="66">
        <f t="shared" si="66"/>
        <v>19</v>
      </c>
      <c r="V162" s="66">
        <f t="shared" si="66"/>
        <v>20</v>
      </c>
      <c r="W162" s="66">
        <f t="shared" si="66"/>
        <v>21</v>
      </c>
      <c r="X162" s="66">
        <f t="shared" si="66"/>
        <v>22</v>
      </c>
      <c r="Y162" s="66">
        <f t="shared" si="66"/>
        <v>23</v>
      </c>
      <c r="Z162" s="66">
        <f t="shared" si="66"/>
        <v>24</v>
      </c>
      <c r="AA162" s="66">
        <f t="shared" si="66"/>
        <v>25</v>
      </c>
      <c r="AB162" s="66">
        <f t="shared" si="66"/>
        <v>26</v>
      </c>
      <c r="AC162" s="66">
        <f t="shared" si="66"/>
        <v>27</v>
      </c>
      <c r="AD162" s="66">
        <f t="shared" si="66"/>
        <v>28</v>
      </c>
      <c r="AE162" s="66">
        <f t="shared" si="66"/>
        <v>29</v>
      </c>
      <c r="AF162" s="66">
        <f t="shared" si="66"/>
        <v>30</v>
      </c>
      <c r="AG162" s="66">
        <f t="shared" si="66"/>
        <v>31</v>
      </c>
      <c r="AH162" s="66">
        <f t="shared" si="66"/>
        <v>32</v>
      </c>
      <c r="AI162" s="66">
        <f t="shared" si="66"/>
        <v>33</v>
      </c>
      <c r="AJ162" s="66">
        <f t="shared" si="66"/>
        <v>34</v>
      </c>
    </row>
    <row r="163" spans="1:36">
      <c r="A163" s="66">
        <f t="shared" ref="A163:B178" si="67">A123</f>
        <v>1</v>
      </c>
      <c r="B163" s="66" t="str">
        <f t="shared" si="67"/>
        <v>葉家豪</v>
      </c>
      <c r="C163" s="66" t="str">
        <f>IF(  OR(  LEN(C162)=2,LEN(C162)=3  ),  CONCATENATE(  "",IF(C43=$A$161,$A163,"")  ),IF(C43=$A$161,$A163,"")  )</f>
        <v/>
      </c>
      <c r="D163" s="66" t="str">
        <f t="shared" ref="D163:AJ163" si="68">IF(  OR(  LEN(D162)=2,LEN(D162)=3  ),  CONCATENATE(  "",IF(D43=$A$161,$A163,"")  ),IF(D43=$A$161,$A163,"")  )</f>
        <v/>
      </c>
      <c r="E163" s="66" t="str">
        <f t="shared" si="68"/>
        <v/>
      </c>
      <c r="F163" s="66" t="str">
        <f t="shared" si="68"/>
        <v/>
      </c>
      <c r="G163" s="66" t="str">
        <f t="shared" si="68"/>
        <v/>
      </c>
      <c r="H163" s="66" t="str">
        <f t="shared" si="68"/>
        <v/>
      </c>
      <c r="I163" s="66" t="str">
        <f t="shared" si="68"/>
        <v/>
      </c>
      <c r="J163" s="66" t="str">
        <f t="shared" si="68"/>
        <v/>
      </c>
      <c r="K163" s="66" t="str">
        <f t="shared" si="68"/>
        <v/>
      </c>
      <c r="L163" s="66" t="str">
        <f t="shared" si="68"/>
        <v/>
      </c>
      <c r="M163" s="66" t="str">
        <f t="shared" si="68"/>
        <v/>
      </c>
      <c r="N163" s="66" t="str">
        <f t="shared" si="68"/>
        <v/>
      </c>
      <c r="O163" s="66" t="str">
        <f t="shared" si="68"/>
        <v/>
      </c>
      <c r="P163" s="66" t="str">
        <f t="shared" si="68"/>
        <v/>
      </c>
      <c r="Q163" s="66" t="str">
        <f t="shared" si="68"/>
        <v/>
      </c>
      <c r="R163" s="66" t="str">
        <f t="shared" si="68"/>
        <v/>
      </c>
      <c r="S163" s="66" t="str">
        <f t="shared" si="68"/>
        <v/>
      </c>
      <c r="T163" s="66" t="str">
        <f t="shared" si="68"/>
        <v/>
      </c>
      <c r="U163" s="66" t="str">
        <f t="shared" si="68"/>
        <v/>
      </c>
      <c r="V163" s="66" t="str">
        <f t="shared" si="68"/>
        <v/>
      </c>
      <c r="W163" s="66" t="str">
        <f t="shared" si="68"/>
        <v/>
      </c>
      <c r="X163" s="66" t="str">
        <f t="shared" si="68"/>
        <v/>
      </c>
      <c r="Y163" s="66" t="str">
        <f t="shared" si="68"/>
        <v/>
      </c>
      <c r="Z163" s="66" t="str">
        <f t="shared" si="68"/>
        <v/>
      </c>
      <c r="AA163" s="66" t="str">
        <f t="shared" si="68"/>
        <v/>
      </c>
      <c r="AB163" s="66" t="str">
        <f t="shared" si="68"/>
        <v/>
      </c>
      <c r="AC163" s="66" t="str">
        <f t="shared" si="68"/>
        <v/>
      </c>
      <c r="AD163" s="66" t="str">
        <f t="shared" si="68"/>
        <v/>
      </c>
      <c r="AE163" s="66" t="str">
        <f t="shared" si="68"/>
        <v/>
      </c>
      <c r="AF163" s="66" t="str">
        <f t="shared" si="68"/>
        <v>1</v>
      </c>
      <c r="AG163" s="66" t="str">
        <f t="shared" si="68"/>
        <v/>
      </c>
      <c r="AH163" s="66" t="str">
        <f t="shared" si="68"/>
        <v/>
      </c>
      <c r="AI163" s="66" t="str">
        <f t="shared" si="68"/>
        <v/>
      </c>
      <c r="AJ163" s="66" t="str">
        <f t="shared" si="68"/>
        <v/>
      </c>
    </row>
    <row r="164" spans="1:36">
      <c r="A164" s="66">
        <f t="shared" si="67"/>
        <v>2</v>
      </c>
      <c r="B164" s="66" t="str">
        <f t="shared" si="67"/>
        <v>鄭智謙</v>
      </c>
      <c r="C164" s="66" t="str">
        <f t="shared" ref="C164" si="69">IF(  OR(  LEN(C163)=2,LEN(C163)=3  ),  CONCATENATE(  ".",IF(C44=$A$161,$A164,"")  ),IF(C44=$A$161,$A164,"")  )</f>
        <v/>
      </c>
      <c r="D164" s="66" t="str">
        <f t="shared" ref="D164:AJ164" si="70">IF(  OR(  LEN(D163)=2,LEN(D163)=3  ),  CONCATENATE(  ".",IF(D44=$A$161,$A164,"")  ),IF(D44=$A$161,$A164,"")  )</f>
        <v/>
      </c>
      <c r="E164" s="66" t="str">
        <f t="shared" si="70"/>
        <v/>
      </c>
      <c r="F164" s="66" t="str">
        <f t="shared" si="70"/>
        <v/>
      </c>
      <c r="G164" s="66" t="str">
        <f t="shared" si="70"/>
        <v/>
      </c>
      <c r="H164" s="66" t="str">
        <f t="shared" si="70"/>
        <v/>
      </c>
      <c r="I164" s="66" t="str">
        <f t="shared" si="70"/>
        <v/>
      </c>
      <c r="J164" s="66" t="str">
        <f t="shared" si="70"/>
        <v/>
      </c>
      <c r="K164" s="66" t="str">
        <f t="shared" si="70"/>
        <v/>
      </c>
      <c r="L164" s="66" t="str">
        <f t="shared" si="70"/>
        <v/>
      </c>
      <c r="M164" s="66" t="str">
        <f t="shared" si="70"/>
        <v/>
      </c>
      <c r="N164" s="66" t="str">
        <f t="shared" si="70"/>
        <v/>
      </c>
      <c r="O164" s="66" t="str">
        <f t="shared" si="70"/>
        <v/>
      </c>
      <c r="P164" s="66" t="str">
        <f t="shared" si="70"/>
        <v/>
      </c>
      <c r="Q164" s="66" t="str">
        <f t="shared" si="70"/>
        <v/>
      </c>
      <c r="R164" s="66" t="str">
        <f t="shared" si="70"/>
        <v/>
      </c>
      <c r="S164" s="66" t="str">
        <f t="shared" si="70"/>
        <v/>
      </c>
      <c r="T164" s="66" t="str">
        <f t="shared" si="70"/>
        <v/>
      </c>
      <c r="U164" s="66" t="str">
        <f t="shared" si="70"/>
        <v/>
      </c>
      <c r="V164" s="66" t="str">
        <f t="shared" si="70"/>
        <v/>
      </c>
      <c r="W164" s="66" t="str">
        <f t="shared" si="70"/>
        <v/>
      </c>
      <c r="X164" s="66" t="str">
        <f t="shared" si="70"/>
        <v/>
      </c>
      <c r="Y164" s="66" t="str">
        <f t="shared" si="70"/>
        <v/>
      </c>
      <c r="Z164" s="66" t="str">
        <f t="shared" si="70"/>
        <v/>
      </c>
      <c r="AA164" s="66" t="str">
        <f t="shared" si="70"/>
        <v/>
      </c>
      <c r="AB164" s="66" t="str">
        <f t="shared" si="70"/>
        <v/>
      </c>
      <c r="AC164" s="66" t="str">
        <f t="shared" si="70"/>
        <v/>
      </c>
      <c r="AD164" s="66" t="str">
        <f t="shared" si="70"/>
        <v/>
      </c>
      <c r="AE164" s="66" t="str">
        <f t="shared" si="70"/>
        <v/>
      </c>
      <c r="AF164" s="66" t="str">
        <f t="shared" si="70"/>
        <v/>
      </c>
      <c r="AG164" s="66" t="str">
        <f t="shared" si="70"/>
        <v/>
      </c>
      <c r="AH164" s="66" t="str">
        <f t="shared" si="70"/>
        <v/>
      </c>
      <c r="AI164" s="66" t="str">
        <f t="shared" si="70"/>
        <v/>
      </c>
      <c r="AJ164" s="66" t="str">
        <f t="shared" si="70"/>
        <v/>
      </c>
    </row>
    <row r="165" spans="1:36">
      <c r="A165" s="66">
        <f t="shared" si="67"/>
        <v>3</v>
      </c>
      <c r="B165" s="66" t="str">
        <f t="shared" si="67"/>
        <v>王敍安</v>
      </c>
      <c r="C165" s="66" t="str">
        <f t="shared" ref="C165:AJ172" si="71">IF(  OR(  LEN(C164)=2,LEN(C164)=3  ),  CONCATENATE(  ".",IF(C45=$A$161,$A165,"")  ),IF(C45=$A$161,$A165,"")  )</f>
        <v/>
      </c>
      <c r="D165" s="66" t="str">
        <f t="shared" si="71"/>
        <v/>
      </c>
      <c r="E165" s="66" t="str">
        <f t="shared" si="71"/>
        <v/>
      </c>
      <c r="F165" s="66" t="str">
        <f t="shared" si="71"/>
        <v/>
      </c>
      <c r="G165" s="66" t="str">
        <f t="shared" si="71"/>
        <v/>
      </c>
      <c r="H165" s="66" t="str">
        <f t="shared" si="71"/>
        <v/>
      </c>
      <c r="I165" s="66" t="str">
        <f t="shared" si="71"/>
        <v/>
      </c>
      <c r="J165" s="66" t="str">
        <f t="shared" si="71"/>
        <v/>
      </c>
      <c r="K165" s="66" t="str">
        <f t="shared" si="71"/>
        <v/>
      </c>
      <c r="L165" s="66" t="str">
        <f t="shared" si="71"/>
        <v/>
      </c>
      <c r="M165" s="66" t="str">
        <f t="shared" si="71"/>
        <v/>
      </c>
      <c r="N165" s="66" t="str">
        <f t="shared" si="71"/>
        <v/>
      </c>
      <c r="O165" s="66" t="str">
        <f t="shared" si="71"/>
        <v/>
      </c>
      <c r="P165" s="66" t="str">
        <f t="shared" si="71"/>
        <v/>
      </c>
      <c r="Q165" s="66" t="str">
        <f t="shared" si="71"/>
        <v/>
      </c>
      <c r="R165" s="66" t="str">
        <f t="shared" si="71"/>
        <v/>
      </c>
      <c r="S165" s="66" t="str">
        <f t="shared" si="71"/>
        <v/>
      </c>
      <c r="T165" s="66" t="str">
        <f t="shared" si="71"/>
        <v/>
      </c>
      <c r="U165" s="66" t="str">
        <f t="shared" si="71"/>
        <v/>
      </c>
      <c r="V165" s="66" t="str">
        <f t="shared" si="71"/>
        <v/>
      </c>
      <c r="W165" s="66" t="str">
        <f t="shared" si="71"/>
        <v/>
      </c>
      <c r="X165" s="66" t="str">
        <f t="shared" si="71"/>
        <v/>
      </c>
      <c r="Y165" s="66" t="str">
        <f t="shared" si="71"/>
        <v/>
      </c>
      <c r="Z165" s="66" t="str">
        <f t="shared" si="71"/>
        <v/>
      </c>
      <c r="AA165" s="66" t="str">
        <f t="shared" si="71"/>
        <v/>
      </c>
      <c r="AB165" s="66" t="str">
        <f t="shared" si="71"/>
        <v/>
      </c>
      <c r="AC165" s="66" t="str">
        <f t="shared" si="71"/>
        <v/>
      </c>
      <c r="AD165" s="66" t="str">
        <f t="shared" si="71"/>
        <v/>
      </c>
      <c r="AE165" s="66" t="str">
        <f t="shared" si="71"/>
        <v/>
      </c>
      <c r="AF165" s="66">
        <f t="shared" si="71"/>
        <v>3</v>
      </c>
      <c r="AG165" s="66" t="str">
        <f t="shared" si="71"/>
        <v/>
      </c>
      <c r="AH165" s="66" t="str">
        <f t="shared" si="71"/>
        <v/>
      </c>
      <c r="AI165" s="66" t="str">
        <f t="shared" si="71"/>
        <v/>
      </c>
      <c r="AJ165" s="66" t="str">
        <f t="shared" si="71"/>
        <v/>
      </c>
    </row>
    <row r="166" spans="1:36">
      <c r="A166" s="66">
        <f t="shared" si="67"/>
        <v>4</v>
      </c>
      <c r="B166" s="66" t="str">
        <f t="shared" si="67"/>
        <v>鄭凱文</v>
      </c>
      <c r="C166" s="66" t="str">
        <f t="shared" si="71"/>
        <v/>
      </c>
      <c r="D166" s="66" t="str">
        <f t="shared" si="71"/>
        <v/>
      </c>
      <c r="E166" s="66" t="str">
        <f t="shared" si="71"/>
        <v/>
      </c>
      <c r="F166" s="66" t="str">
        <f t="shared" si="71"/>
        <v/>
      </c>
      <c r="G166" s="66" t="str">
        <f t="shared" si="71"/>
        <v/>
      </c>
      <c r="H166" s="66" t="str">
        <f t="shared" si="71"/>
        <v/>
      </c>
      <c r="I166" s="66" t="str">
        <f t="shared" si="71"/>
        <v/>
      </c>
      <c r="J166" s="66" t="str">
        <f t="shared" si="71"/>
        <v/>
      </c>
      <c r="K166" s="66" t="str">
        <f t="shared" si="71"/>
        <v/>
      </c>
      <c r="L166" s="66" t="str">
        <f t="shared" si="71"/>
        <v/>
      </c>
      <c r="M166" s="66" t="str">
        <f t="shared" si="71"/>
        <v/>
      </c>
      <c r="N166" s="66" t="str">
        <f t="shared" si="71"/>
        <v/>
      </c>
      <c r="O166" s="66" t="str">
        <f t="shared" si="71"/>
        <v/>
      </c>
      <c r="P166" s="66" t="str">
        <f t="shared" si="71"/>
        <v/>
      </c>
      <c r="Q166" s="66" t="str">
        <f t="shared" si="71"/>
        <v/>
      </c>
      <c r="R166" s="66" t="str">
        <f t="shared" si="71"/>
        <v/>
      </c>
      <c r="S166" s="66" t="str">
        <f t="shared" si="71"/>
        <v/>
      </c>
      <c r="T166" s="66" t="str">
        <f t="shared" si="71"/>
        <v/>
      </c>
      <c r="U166" s="66" t="str">
        <f t="shared" si="71"/>
        <v/>
      </c>
      <c r="V166" s="66" t="str">
        <f t="shared" si="71"/>
        <v/>
      </c>
      <c r="W166" s="66" t="str">
        <f t="shared" si="71"/>
        <v/>
      </c>
      <c r="X166" s="66" t="str">
        <f t="shared" si="71"/>
        <v/>
      </c>
      <c r="Y166" s="66" t="str">
        <f t="shared" si="71"/>
        <v/>
      </c>
      <c r="Z166" s="66" t="str">
        <f t="shared" si="71"/>
        <v/>
      </c>
      <c r="AA166" s="66" t="str">
        <f t="shared" si="71"/>
        <v/>
      </c>
      <c r="AB166" s="66" t="str">
        <f t="shared" si="71"/>
        <v/>
      </c>
      <c r="AC166" s="66" t="str">
        <f t="shared" si="71"/>
        <v/>
      </c>
      <c r="AD166" s="66" t="str">
        <f t="shared" si="71"/>
        <v/>
      </c>
      <c r="AE166" s="66" t="str">
        <f t="shared" si="71"/>
        <v/>
      </c>
      <c r="AF166" s="66" t="str">
        <f t="shared" si="71"/>
        <v/>
      </c>
      <c r="AG166" s="66" t="str">
        <f t="shared" si="71"/>
        <v/>
      </c>
      <c r="AH166" s="66" t="str">
        <f t="shared" si="71"/>
        <v/>
      </c>
      <c r="AI166" s="66" t="str">
        <f t="shared" si="71"/>
        <v/>
      </c>
      <c r="AJ166" s="66" t="str">
        <f t="shared" si="71"/>
        <v/>
      </c>
    </row>
    <row r="167" spans="1:36">
      <c r="A167" s="66">
        <f t="shared" si="67"/>
        <v>5</v>
      </c>
      <c r="B167" s="66" t="str">
        <f t="shared" si="67"/>
        <v>蔡政倫</v>
      </c>
      <c r="C167" s="66" t="str">
        <f t="shared" si="71"/>
        <v/>
      </c>
      <c r="D167" s="66" t="str">
        <f t="shared" si="71"/>
        <v/>
      </c>
      <c r="E167" s="66" t="str">
        <f t="shared" si="71"/>
        <v/>
      </c>
      <c r="F167" s="66" t="str">
        <f t="shared" si="71"/>
        <v/>
      </c>
      <c r="G167" s="66" t="str">
        <f t="shared" si="71"/>
        <v/>
      </c>
      <c r="H167" s="66" t="str">
        <f t="shared" si="71"/>
        <v/>
      </c>
      <c r="I167" s="66" t="str">
        <f t="shared" si="71"/>
        <v/>
      </c>
      <c r="J167" s="66" t="str">
        <f t="shared" si="71"/>
        <v/>
      </c>
      <c r="K167" s="66" t="str">
        <f t="shared" si="71"/>
        <v/>
      </c>
      <c r="L167" s="66" t="str">
        <f t="shared" si="71"/>
        <v/>
      </c>
      <c r="M167" s="66" t="str">
        <f t="shared" si="71"/>
        <v/>
      </c>
      <c r="N167" s="66" t="str">
        <f t="shared" si="71"/>
        <v/>
      </c>
      <c r="O167" s="66" t="str">
        <f t="shared" si="71"/>
        <v/>
      </c>
      <c r="P167" s="66" t="str">
        <f t="shared" si="71"/>
        <v/>
      </c>
      <c r="Q167" s="66" t="str">
        <f t="shared" si="71"/>
        <v/>
      </c>
      <c r="R167" s="66" t="str">
        <f t="shared" si="71"/>
        <v/>
      </c>
      <c r="S167" s="66" t="str">
        <f t="shared" si="71"/>
        <v/>
      </c>
      <c r="T167" s="66" t="str">
        <f t="shared" si="71"/>
        <v/>
      </c>
      <c r="U167" s="66" t="str">
        <f t="shared" si="71"/>
        <v/>
      </c>
      <c r="V167" s="66" t="str">
        <f t="shared" si="71"/>
        <v/>
      </c>
      <c r="W167" s="66" t="str">
        <f t="shared" si="71"/>
        <v/>
      </c>
      <c r="X167" s="66" t="str">
        <f t="shared" si="71"/>
        <v/>
      </c>
      <c r="Y167" s="66" t="str">
        <f t="shared" si="71"/>
        <v/>
      </c>
      <c r="Z167" s="66" t="str">
        <f t="shared" si="71"/>
        <v/>
      </c>
      <c r="AA167" s="66" t="str">
        <f t="shared" si="71"/>
        <v/>
      </c>
      <c r="AB167" s="66" t="str">
        <f t="shared" si="71"/>
        <v/>
      </c>
      <c r="AC167" s="66" t="str">
        <f t="shared" si="71"/>
        <v/>
      </c>
      <c r="AD167" s="66" t="str">
        <f t="shared" si="71"/>
        <v/>
      </c>
      <c r="AE167" s="66" t="str">
        <f t="shared" si="71"/>
        <v/>
      </c>
      <c r="AF167" s="66" t="str">
        <f t="shared" si="71"/>
        <v/>
      </c>
      <c r="AG167" s="66" t="str">
        <f t="shared" si="71"/>
        <v/>
      </c>
      <c r="AH167" s="66" t="str">
        <f t="shared" si="71"/>
        <v/>
      </c>
      <c r="AI167" s="66" t="str">
        <f t="shared" si="71"/>
        <v/>
      </c>
      <c r="AJ167" s="66" t="str">
        <f t="shared" si="71"/>
        <v/>
      </c>
    </row>
    <row r="168" spans="1:36">
      <c r="A168" s="66">
        <f t="shared" si="67"/>
        <v>6</v>
      </c>
      <c r="B168" s="66" t="str">
        <f t="shared" si="67"/>
        <v>邱昱銘</v>
      </c>
      <c r="C168" s="66" t="str">
        <f t="shared" si="71"/>
        <v/>
      </c>
      <c r="D168" s="66" t="str">
        <f t="shared" si="71"/>
        <v/>
      </c>
      <c r="E168" s="66" t="str">
        <f t="shared" si="71"/>
        <v/>
      </c>
      <c r="F168" s="66" t="str">
        <f t="shared" si="71"/>
        <v/>
      </c>
      <c r="G168" s="66" t="str">
        <f t="shared" si="71"/>
        <v/>
      </c>
      <c r="H168" s="66" t="str">
        <f t="shared" si="71"/>
        <v/>
      </c>
      <c r="I168" s="66" t="str">
        <f t="shared" si="71"/>
        <v/>
      </c>
      <c r="J168" s="66" t="str">
        <f t="shared" si="71"/>
        <v/>
      </c>
      <c r="K168" s="66" t="str">
        <f t="shared" si="71"/>
        <v/>
      </c>
      <c r="L168" s="66" t="str">
        <f t="shared" si="71"/>
        <v/>
      </c>
      <c r="M168" s="66" t="str">
        <f t="shared" si="71"/>
        <v/>
      </c>
      <c r="N168" s="66" t="str">
        <f t="shared" si="71"/>
        <v/>
      </c>
      <c r="O168" s="66" t="str">
        <f t="shared" si="71"/>
        <v/>
      </c>
      <c r="P168" s="66" t="str">
        <f t="shared" si="71"/>
        <v/>
      </c>
      <c r="Q168" s="66" t="str">
        <f t="shared" si="71"/>
        <v/>
      </c>
      <c r="R168" s="66" t="str">
        <f t="shared" si="71"/>
        <v/>
      </c>
      <c r="S168" s="66" t="str">
        <f t="shared" si="71"/>
        <v/>
      </c>
      <c r="T168" s="66" t="str">
        <f t="shared" si="71"/>
        <v/>
      </c>
      <c r="U168" s="66" t="str">
        <f t="shared" si="71"/>
        <v/>
      </c>
      <c r="V168" s="66" t="str">
        <f t="shared" si="71"/>
        <v/>
      </c>
      <c r="W168" s="66" t="str">
        <f t="shared" si="71"/>
        <v/>
      </c>
      <c r="X168" s="66" t="str">
        <f t="shared" si="71"/>
        <v/>
      </c>
      <c r="Y168" s="66" t="str">
        <f t="shared" si="71"/>
        <v/>
      </c>
      <c r="Z168" s="66" t="str">
        <f t="shared" si="71"/>
        <v/>
      </c>
      <c r="AA168" s="66" t="str">
        <f t="shared" si="71"/>
        <v/>
      </c>
      <c r="AB168" s="66" t="str">
        <f t="shared" si="71"/>
        <v/>
      </c>
      <c r="AC168" s="66" t="str">
        <f t="shared" si="71"/>
        <v/>
      </c>
      <c r="AD168" s="66" t="str">
        <f t="shared" si="71"/>
        <v/>
      </c>
      <c r="AE168" s="66" t="str">
        <f t="shared" si="71"/>
        <v/>
      </c>
      <c r="AF168" s="66" t="str">
        <f t="shared" si="71"/>
        <v/>
      </c>
      <c r="AG168" s="66" t="str">
        <f t="shared" si="71"/>
        <v/>
      </c>
      <c r="AH168" s="66" t="str">
        <f t="shared" si="71"/>
        <v/>
      </c>
      <c r="AI168" s="66" t="str">
        <f t="shared" si="71"/>
        <v/>
      </c>
      <c r="AJ168" s="66" t="str">
        <f t="shared" si="71"/>
        <v/>
      </c>
    </row>
    <row r="169" spans="1:36">
      <c r="A169" s="66">
        <f t="shared" si="67"/>
        <v>7</v>
      </c>
      <c r="B169" s="66" t="str">
        <f t="shared" si="67"/>
        <v>洪長昇</v>
      </c>
      <c r="C169" s="66" t="str">
        <f t="shared" si="71"/>
        <v/>
      </c>
      <c r="D169" s="66" t="str">
        <f t="shared" si="71"/>
        <v/>
      </c>
      <c r="E169" s="66" t="str">
        <f t="shared" si="71"/>
        <v/>
      </c>
      <c r="F169" s="66" t="str">
        <f t="shared" si="71"/>
        <v/>
      </c>
      <c r="G169" s="66" t="str">
        <f t="shared" si="71"/>
        <v/>
      </c>
      <c r="H169" s="66" t="str">
        <f t="shared" si="71"/>
        <v/>
      </c>
      <c r="I169" s="66" t="str">
        <f t="shared" si="71"/>
        <v/>
      </c>
      <c r="J169" s="66" t="str">
        <f t="shared" si="71"/>
        <v/>
      </c>
      <c r="K169" s="66" t="str">
        <f t="shared" si="71"/>
        <v/>
      </c>
      <c r="L169" s="66" t="str">
        <f t="shared" si="71"/>
        <v/>
      </c>
      <c r="M169" s="66" t="str">
        <f t="shared" si="71"/>
        <v/>
      </c>
      <c r="N169" s="66" t="str">
        <f t="shared" si="71"/>
        <v/>
      </c>
      <c r="O169" s="66" t="str">
        <f t="shared" si="71"/>
        <v/>
      </c>
      <c r="P169" s="66" t="str">
        <f t="shared" si="71"/>
        <v/>
      </c>
      <c r="Q169" s="66" t="str">
        <f t="shared" si="71"/>
        <v/>
      </c>
      <c r="R169" s="66" t="str">
        <f t="shared" si="71"/>
        <v/>
      </c>
      <c r="S169" s="66" t="str">
        <f t="shared" si="71"/>
        <v/>
      </c>
      <c r="T169" s="66" t="str">
        <f t="shared" si="71"/>
        <v/>
      </c>
      <c r="U169" s="66" t="str">
        <f t="shared" si="71"/>
        <v/>
      </c>
      <c r="V169" s="66" t="str">
        <f t="shared" si="71"/>
        <v/>
      </c>
      <c r="W169" s="66" t="str">
        <f t="shared" si="71"/>
        <v/>
      </c>
      <c r="X169" s="66" t="str">
        <f t="shared" si="71"/>
        <v/>
      </c>
      <c r="Y169" s="66" t="str">
        <f t="shared" si="71"/>
        <v/>
      </c>
      <c r="Z169" s="66" t="str">
        <f t="shared" si="71"/>
        <v/>
      </c>
      <c r="AA169" s="66" t="str">
        <f t="shared" si="71"/>
        <v/>
      </c>
      <c r="AB169" s="66" t="str">
        <f t="shared" si="71"/>
        <v/>
      </c>
      <c r="AC169" s="66" t="str">
        <f t="shared" si="71"/>
        <v/>
      </c>
      <c r="AD169" s="66" t="str">
        <f t="shared" si="71"/>
        <v/>
      </c>
      <c r="AE169" s="66" t="str">
        <f t="shared" si="71"/>
        <v/>
      </c>
      <c r="AF169" s="66">
        <f t="shared" si="71"/>
        <v>7</v>
      </c>
      <c r="AG169" s="66" t="str">
        <f t="shared" si="71"/>
        <v/>
      </c>
      <c r="AH169" s="66" t="str">
        <f t="shared" si="71"/>
        <v/>
      </c>
      <c r="AI169" s="66" t="str">
        <f t="shared" si="71"/>
        <v/>
      </c>
      <c r="AJ169" s="66" t="str">
        <f t="shared" si="71"/>
        <v/>
      </c>
    </row>
    <row r="170" spans="1:36">
      <c r="A170" s="66">
        <f t="shared" si="67"/>
        <v>8</v>
      </c>
      <c r="B170" s="66" t="str">
        <f t="shared" si="67"/>
        <v>許翊呈</v>
      </c>
      <c r="C170" s="66" t="str">
        <f t="shared" si="71"/>
        <v/>
      </c>
      <c r="D170" s="66" t="str">
        <f t="shared" si="71"/>
        <v/>
      </c>
      <c r="E170" s="66" t="str">
        <f t="shared" si="71"/>
        <v/>
      </c>
      <c r="F170" s="66" t="str">
        <f t="shared" si="71"/>
        <v/>
      </c>
      <c r="G170" s="66" t="str">
        <f t="shared" si="71"/>
        <v/>
      </c>
      <c r="H170" s="66" t="str">
        <f t="shared" si="71"/>
        <v/>
      </c>
      <c r="I170" s="66" t="str">
        <f t="shared" si="71"/>
        <v/>
      </c>
      <c r="J170" s="66" t="str">
        <f t="shared" si="71"/>
        <v/>
      </c>
      <c r="K170" s="66" t="str">
        <f t="shared" si="71"/>
        <v/>
      </c>
      <c r="L170" s="66" t="str">
        <f t="shared" si="71"/>
        <v/>
      </c>
      <c r="M170" s="66" t="str">
        <f t="shared" si="71"/>
        <v/>
      </c>
      <c r="N170" s="66" t="str">
        <f t="shared" si="71"/>
        <v/>
      </c>
      <c r="O170" s="66" t="str">
        <f t="shared" si="71"/>
        <v/>
      </c>
      <c r="P170" s="66" t="str">
        <f t="shared" si="71"/>
        <v/>
      </c>
      <c r="Q170" s="66" t="str">
        <f t="shared" si="71"/>
        <v/>
      </c>
      <c r="R170" s="66" t="str">
        <f t="shared" si="71"/>
        <v/>
      </c>
      <c r="S170" s="66" t="str">
        <f t="shared" si="71"/>
        <v/>
      </c>
      <c r="T170" s="66" t="str">
        <f t="shared" si="71"/>
        <v/>
      </c>
      <c r="U170" s="66" t="str">
        <f t="shared" si="71"/>
        <v/>
      </c>
      <c r="V170" s="66" t="str">
        <f t="shared" si="71"/>
        <v/>
      </c>
      <c r="W170" s="66" t="str">
        <f t="shared" si="71"/>
        <v/>
      </c>
      <c r="X170" s="66" t="str">
        <f t="shared" si="71"/>
        <v/>
      </c>
      <c r="Y170" s="66" t="str">
        <f t="shared" si="71"/>
        <v/>
      </c>
      <c r="Z170" s="66" t="str">
        <f t="shared" si="71"/>
        <v/>
      </c>
      <c r="AA170" s="66" t="str">
        <f t="shared" si="71"/>
        <v/>
      </c>
      <c r="AB170" s="66" t="str">
        <f t="shared" si="71"/>
        <v/>
      </c>
      <c r="AC170" s="66" t="str">
        <f t="shared" si="71"/>
        <v/>
      </c>
      <c r="AD170" s="66" t="str">
        <f t="shared" si="71"/>
        <v/>
      </c>
      <c r="AE170" s="66" t="str">
        <f t="shared" si="71"/>
        <v/>
      </c>
      <c r="AF170" s="66">
        <f t="shared" si="71"/>
        <v>8</v>
      </c>
      <c r="AG170" s="66" t="str">
        <f t="shared" si="71"/>
        <v/>
      </c>
      <c r="AH170" s="66" t="str">
        <f t="shared" si="71"/>
        <v/>
      </c>
      <c r="AI170" s="66" t="str">
        <f t="shared" si="71"/>
        <v/>
      </c>
      <c r="AJ170" s="66" t="str">
        <f t="shared" si="71"/>
        <v/>
      </c>
    </row>
    <row r="171" spans="1:36">
      <c r="A171" s="66">
        <f t="shared" si="67"/>
        <v>9</v>
      </c>
      <c r="B171" s="66" t="str">
        <f t="shared" si="67"/>
        <v>李政聰</v>
      </c>
      <c r="C171" s="66" t="str">
        <f t="shared" si="71"/>
        <v/>
      </c>
      <c r="D171" s="66" t="str">
        <f t="shared" si="71"/>
        <v/>
      </c>
      <c r="E171" s="66" t="str">
        <f t="shared" si="71"/>
        <v/>
      </c>
      <c r="F171" s="66" t="str">
        <f t="shared" si="71"/>
        <v/>
      </c>
      <c r="G171" s="66" t="str">
        <f t="shared" si="71"/>
        <v/>
      </c>
      <c r="H171" s="66" t="str">
        <f t="shared" si="71"/>
        <v/>
      </c>
      <c r="I171" s="66" t="str">
        <f t="shared" si="71"/>
        <v/>
      </c>
      <c r="J171" s="66" t="str">
        <f t="shared" si="71"/>
        <v/>
      </c>
      <c r="K171" s="66" t="str">
        <f t="shared" si="71"/>
        <v/>
      </c>
      <c r="L171" s="66" t="str">
        <f t="shared" si="71"/>
        <v/>
      </c>
      <c r="M171" s="66" t="str">
        <f t="shared" si="71"/>
        <v/>
      </c>
      <c r="N171" s="66" t="str">
        <f t="shared" si="71"/>
        <v/>
      </c>
      <c r="O171" s="66" t="str">
        <f t="shared" si="71"/>
        <v/>
      </c>
      <c r="P171" s="66" t="str">
        <f t="shared" si="71"/>
        <v/>
      </c>
      <c r="Q171" s="66" t="str">
        <f t="shared" si="71"/>
        <v/>
      </c>
      <c r="R171" s="66" t="str">
        <f t="shared" si="71"/>
        <v/>
      </c>
      <c r="S171" s="66" t="str">
        <f t="shared" si="71"/>
        <v/>
      </c>
      <c r="T171" s="66" t="str">
        <f t="shared" si="71"/>
        <v/>
      </c>
      <c r="U171" s="66" t="str">
        <f t="shared" si="71"/>
        <v/>
      </c>
      <c r="V171" s="66" t="str">
        <f t="shared" si="71"/>
        <v/>
      </c>
      <c r="W171" s="66" t="str">
        <f t="shared" si="71"/>
        <v/>
      </c>
      <c r="X171" s="66" t="str">
        <f t="shared" si="71"/>
        <v/>
      </c>
      <c r="Y171" s="66" t="str">
        <f t="shared" si="71"/>
        <v/>
      </c>
      <c r="Z171" s="66" t="str">
        <f t="shared" si="71"/>
        <v/>
      </c>
      <c r="AA171" s="66" t="str">
        <f t="shared" si="71"/>
        <v/>
      </c>
      <c r="AB171" s="66" t="str">
        <f t="shared" si="71"/>
        <v/>
      </c>
      <c r="AC171" s="66" t="str">
        <f t="shared" si="71"/>
        <v/>
      </c>
      <c r="AD171" s="66" t="str">
        <f t="shared" si="71"/>
        <v/>
      </c>
      <c r="AE171" s="66" t="str">
        <f t="shared" si="71"/>
        <v/>
      </c>
      <c r="AF171" s="66" t="str">
        <f t="shared" si="71"/>
        <v/>
      </c>
      <c r="AG171" s="66" t="str">
        <f t="shared" si="71"/>
        <v/>
      </c>
      <c r="AH171" s="66" t="str">
        <f t="shared" si="71"/>
        <v/>
      </c>
      <c r="AI171" s="66" t="str">
        <f t="shared" si="71"/>
        <v/>
      </c>
      <c r="AJ171" s="66" t="str">
        <f t="shared" si="71"/>
        <v/>
      </c>
    </row>
    <row r="172" spans="1:36">
      <c r="A172" s="66">
        <f t="shared" si="67"/>
        <v>10</v>
      </c>
      <c r="B172" s="66" t="str">
        <f t="shared" si="67"/>
        <v>劉威志</v>
      </c>
      <c r="C172" s="66" t="str">
        <f t="shared" si="71"/>
        <v/>
      </c>
      <c r="D172" s="66" t="str">
        <f t="shared" si="71"/>
        <v/>
      </c>
      <c r="E172" s="66" t="str">
        <f t="shared" si="71"/>
        <v/>
      </c>
      <c r="F172" s="66" t="str">
        <f t="shared" si="71"/>
        <v/>
      </c>
      <c r="G172" s="66" t="str">
        <f t="shared" si="71"/>
        <v/>
      </c>
      <c r="H172" s="66" t="str">
        <f t="shared" si="71"/>
        <v/>
      </c>
      <c r="I172" s="66" t="str">
        <f t="shared" si="71"/>
        <v/>
      </c>
      <c r="J172" s="66" t="str">
        <f t="shared" si="71"/>
        <v/>
      </c>
      <c r="K172" s="66" t="str">
        <f t="shared" si="71"/>
        <v/>
      </c>
      <c r="L172" s="66" t="str">
        <f t="shared" si="71"/>
        <v/>
      </c>
      <c r="M172" s="66" t="str">
        <f t="shared" si="71"/>
        <v/>
      </c>
      <c r="N172" s="66" t="str">
        <f t="shared" si="71"/>
        <v/>
      </c>
      <c r="O172" s="66" t="str">
        <f t="shared" si="71"/>
        <v/>
      </c>
      <c r="P172" s="66" t="str">
        <f t="shared" si="71"/>
        <v/>
      </c>
      <c r="Q172" s="66" t="str">
        <f t="shared" si="71"/>
        <v/>
      </c>
      <c r="R172" s="66" t="str">
        <f t="shared" si="71"/>
        <v/>
      </c>
      <c r="S172" s="66" t="str">
        <f t="shared" si="71"/>
        <v/>
      </c>
      <c r="T172" s="66" t="str">
        <f t="shared" ref="T172:AJ172" si="72">IF(  OR(  LEN(T171)=2,LEN(T171)=3  ),  CONCATENATE(  ".",IF(T52=$A$161,$A172,"")  ),IF(T52=$A$161,$A172,"")  )</f>
        <v/>
      </c>
      <c r="U172" s="66" t="str">
        <f t="shared" si="72"/>
        <v/>
      </c>
      <c r="V172" s="66" t="str">
        <f t="shared" si="72"/>
        <v/>
      </c>
      <c r="W172" s="66" t="str">
        <f t="shared" si="72"/>
        <v/>
      </c>
      <c r="X172" s="66" t="str">
        <f t="shared" si="72"/>
        <v/>
      </c>
      <c r="Y172" s="66" t="str">
        <f t="shared" si="72"/>
        <v/>
      </c>
      <c r="Z172" s="66" t="str">
        <f t="shared" si="72"/>
        <v/>
      </c>
      <c r="AA172" s="66" t="str">
        <f t="shared" si="72"/>
        <v/>
      </c>
      <c r="AB172" s="66" t="str">
        <f t="shared" si="72"/>
        <v/>
      </c>
      <c r="AC172" s="66" t="str">
        <f t="shared" si="72"/>
        <v/>
      </c>
      <c r="AD172" s="66" t="str">
        <f t="shared" si="72"/>
        <v/>
      </c>
      <c r="AE172" s="66" t="str">
        <f t="shared" si="72"/>
        <v/>
      </c>
      <c r="AF172" s="66">
        <f t="shared" si="72"/>
        <v>10</v>
      </c>
      <c r="AG172" s="66" t="str">
        <f t="shared" si="72"/>
        <v/>
      </c>
      <c r="AH172" s="66" t="str">
        <f t="shared" si="72"/>
        <v/>
      </c>
      <c r="AI172" s="66" t="str">
        <f t="shared" si="72"/>
        <v/>
      </c>
      <c r="AJ172" s="66" t="str">
        <f t="shared" si="72"/>
        <v/>
      </c>
    </row>
    <row r="173" spans="1:36">
      <c r="A173" s="66">
        <f t="shared" si="67"/>
        <v>11</v>
      </c>
      <c r="B173" s="66" t="str">
        <f t="shared" si="67"/>
        <v>梁展碩</v>
      </c>
      <c r="C173" s="66" t="str">
        <f t="shared" ref="C173:AJ180" si="73">IF(  OR(  LEN(C172)=2,LEN(C172)=3  ),  CONCATENATE(  ".",IF(C53=$A$161,$A173,"")  ),IF(C53=$A$161,$A173,"")  )</f>
        <v/>
      </c>
      <c r="D173" s="66" t="str">
        <f t="shared" si="73"/>
        <v/>
      </c>
      <c r="E173" s="66" t="str">
        <f t="shared" si="73"/>
        <v/>
      </c>
      <c r="F173" s="66" t="str">
        <f t="shared" si="73"/>
        <v/>
      </c>
      <c r="G173" s="66" t="str">
        <f t="shared" si="73"/>
        <v/>
      </c>
      <c r="H173" s="66" t="str">
        <f t="shared" si="73"/>
        <v/>
      </c>
      <c r="I173" s="66" t="str">
        <f t="shared" si="73"/>
        <v/>
      </c>
      <c r="J173" s="66" t="str">
        <f t="shared" si="73"/>
        <v/>
      </c>
      <c r="K173" s="66" t="str">
        <f t="shared" si="73"/>
        <v/>
      </c>
      <c r="L173" s="66" t="str">
        <f t="shared" si="73"/>
        <v/>
      </c>
      <c r="M173" s="66" t="str">
        <f t="shared" si="73"/>
        <v/>
      </c>
      <c r="N173" s="66" t="str">
        <f t="shared" si="73"/>
        <v/>
      </c>
      <c r="O173" s="66" t="str">
        <f t="shared" si="73"/>
        <v/>
      </c>
      <c r="P173" s="66" t="str">
        <f t="shared" si="73"/>
        <v/>
      </c>
      <c r="Q173" s="66" t="str">
        <f t="shared" si="73"/>
        <v/>
      </c>
      <c r="R173" s="66" t="str">
        <f t="shared" si="73"/>
        <v/>
      </c>
      <c r="S173" s="66" t="str">
        <f t="shared" si="73"/>
        <v/>
      </c>
      <c r="T173" s="66" t="str">
        <f t="shared" si="73"/>
        <v/>
      </c>
      <c r="U173" s="66" t="str">
        <f t="shared" si="73"/>
        <v/>
      </c>
      <c r="V173" s="66" t="str">
        <f t="shared" si="73"/>
        <v/>
      </c>
      <c r="W173" s="66" t="str">
        <f t="shared" si="73"/>
        <v/>
      </c>
      <c r="X173" s="66" t="str">
        <f t="shared" si="73"/>
        <v/>
      </c>
      <c r="Y173" s="66" t="str">
        <f t="shared" si="73"/>
        <v/>
      </c>
      <c r="Z173" s="66" t="str">
        <f t="shared" si="73"/>
        <v/>
      </c>
      <c r="AA173" s="66" t="str">
        <f t="shared" si="73"/>
        <v/>
      </c>
      <c r="AB173" s="66" t="str">
        <f t="shared" si="73"/>
        <v/>
      </c>
      <c r="AC173" s="66" t="str">
        <f t="shared" si="73"/>
        <v/>
      </c>
      <c r="AD173" s="66" t="str">
        <f t="shared" si="73"/>
        <v/>
      </c>
      <c r="AE173" s="66" t="str">
        <f t="shared" si="73"/>
        <v/>
      </c>
      <c r="AF173" s="66" t="str">
        <f t="shared" si="73"/>
        <v>.</v>
      </c>
      <c r="AG173" s="66" t="str">
        <f t="shared" si="73"/>
        <v/>
      </c>
      <c r="AH173" s="66" t="str">
        <f t="shared" si="73"/>
        <v/>
      </c>
      <c r="AI173" s="66" t="str">
        <f t="shared" si="73"/>
        <v/>
      </c>
      <c r="AJ173" s="66" t="str">
        <f t="shared" si="73"/>
        <v/>
      </c>
    </row>
    <row r="174" spans="1:36">
      <c r="A174" s="66">
        <f t="shared" si="67"/>
        <v>12</v>
      </c>
      <c r="B174" s="66" t="str">
        <f t="shared" si="67"/>
        <v>何奕諠</v>
      </c>
      <c r="C174" s="66" t="str">
        <f t="shared" si="73"/>
        <v/>
      </c>
      <c r="D174" s="66" t="str">
        <f t="shared" si="73"/>
        <v/>
      </c>
      <c r="E174" s="66" t="str">
        <f t="shared" si="73"/>
        <v/>
      </c>
      <c r="F174" s="66" t="str">
        <f t="shared" si="73"/>
        <v/>
      </c>
      <c r="G174" s="66" t="str">
        <f t="shared" si="73"/>
        <v/>
      </c>
      <c r="H174" s="66" t="str">
        <f t="shared" si="73"/>
        <v/>
      </c>
      <c r="I174" s="66" t="str">
        <f t="shared" si="73"/>
        <v/>
      </c>
      <c r="J174" s="66" t="str">
        <f t="shared" si="73"/>
        <v/>
      </c>
      <c r="K174" s="66" t="str">
        <f t="shared" si="73"/>
        <v/>
      </c>
      <c r="L174" s="66" t="str">
        <f t="shared" si="73"/>
        <v/>
      </c>
      <c r="M174" s="66" t="str">
        <f t="shared" si="73"/>
        <v/>
      </c>
      <c r="N174" s="66" t="str">
        <f t="shared" si="73"/>
        <v/>
      </c>
      <c r="O174" s="66" t="str">
        <f t="shared" si="73"/>
        <v/>
      </c>
      <c r="P174" s="66" t="str">
        <f t="shared" si="73"/>
        <v/>
      </c>
      <c r="Q174" s="66" t="str">
        <f t="shared" si="73"/>
        <v/>
      </c>
      <c r="R174" s="66" t="str">
        <f t="shared" si="73"/>
        <v/>
      </c>
      <c r="S174" s="66" t="str">
        <f t="shared" si="73"/>
        <v/>
      </c>
      <c r="T174" s="66" t="str">
        <f t="shared" si="73"/>
        <v/>
      </c>
      <c r="U174" s="66" t="str">
        <f t="shared" si="73"/>
        <v/>
      </c>
      <c r="V174" s="66" t="str">
        <f t="shared" si="73"/>
        <v/>
      </c>
      <c r="W174" s="66" t="str">
        <f t="shared" si="73"/>
        <v/>
      </c>
      <c r="X174" s="66" t="str">
        <f t="shared" si="73"/>
        <v/>
      </c>
      <c r="Y174" s="66" t="str">
        <f t="shared" si="73"/>
        <v/>
      </c>
      <c r="Z174" s="66" t="str">
        <f t="shared" si="73"/>
        <v/>
      </c>
      <c r="AA174" s="66" t="str">
        <f t="shared" si="73"/>
        <v/>
      </c>
      <c r="AB174" s="66" t="str">
        <f t="shared" si="73"/>
        <v/>
      </c>
      <c r="AC174" s="66" t="str">
        <f t="shared" si="73"/>
        <v/>
      </c>
      <c r="AD174" s="66" t="str">
        <f t="shared" si="73"/>
        <v/>
      </c>
      <c r="AE174" s="66" t="str">
        <f t="shared" si="73"/>
        <v/>
      </c>
      <c r="AF174" s="66" t="str">
        <f t="shared" si="73"/>
        <v/>
      </c>
      <c r="AG174" s="66" t="str">
        <f t="shared" si="73"/>
        <v/>
      </c>
      <c r="AH174" s="66" t="str">
        <f t="shared" si="73"/>
        <v/>
      </c>
      <c r="AI174" s="66" t="str">
        <f t="shared" si="73"/>
        <v/>
      </c>
      <c r="AJ174" s="66" t="str">
        <f t="shared" si="73"/>
        <v/>
      </c>
    </row>
    <row r="175" spans="1:36">
      <c r="A175" s="66">
        <f t="shared" si="67"/>
        <v>13</v>
      </c>
      <c r="B175" s="66" t="str">
        <f t="shared" si="67"/>
        <v>楊瑞麟</v>
      </c>
      <c r="C175" s="66" t="str">
        <f t="shared" si="73"/>
        <v/>
      </c>
      <c r="D175" s="66" t="str">
        <f t="shared" si="73"/>
        <v/>
      </c>
      <c r="E175" s="66" t="str">
        <f t="shared" si="73"/>
        <v/>
      </c>
      <c r="F175" s="66" t="str">
        <f t="shared" si="73"/>
        <v/>
      </c>
      <c r="G175" s="66" t="str">
        <f t="shared" si="73"/>
        <v/>
      </c>
      <c r="H175" s="66" t="str">
        <f t="shared" si="73"/>
        <v/>
      </c>
      <c r="I175" s="66" t="str">
        <f t="shared" si="73"/>
        <v/>
      </c>
      <c r="J175" s="66" t="str">
        <f t="shared" si="73"/>
        <v/>
      </c>
      <c r="K175" s="66" t="str">
        <f t="shared" si="73"/>
        <v/>
      </c>
      <c r="L175" s="66" t="str">
        <f t="shared" si="73"/>
        <v/>
      </c>
      <c r="M175" s="66" t="str">
        <f t="shared" si="73"/>
        <v/>
      </c>
      <c r="N175" s="66" t="str">
        <f t="shared" si="73"/>
        <v/>
      </c>
      <c r="O175" s="66" t="str">
        <f t="shared" si="73"/>
        <v/>
      </c>
      <c r="P175" s="66" t="str">
        <f t="shared" si="73"/>
        <v/>
      </c>
      <c r="Q175" s="66" t="str">
        <f t="shared" si="73"/>
        <v/>
      </c>
      <c r="R175" s="66" t="str">
        <f t="shared" si="73"/>
        <v/>
      </c>
      <c r="S175" s="66" t="str">
        <f t="shared" si="73"/>
        <v/>
      </c>
      <c r="T175" s="66" t="str">
        <f t="shared" si="73"/>
        <v/>
      </c>
      <c r="U175" s="66" t="str">
        <f t="shared" si="73"/>
        <v/>
      </c>
      <c r="V175" s="66" t="str">
        <f t="shared" si="73"/>
        <v/>
      </c>
      <c r="W175" s="66" t="str">
        <f t="shared" si="73"/>
        <v/>
      </c>
      <c r="X175" s="66" t="str">
        <f t="shared" si="73"/>
        <v/>
      </c>
      <c r="Y175" s="66" t="str">
        <f t="shared" si="73"/>
        <v/>
      </c>
      <c r="Z175" s="66" t="str">
        <f t="shared" si="73"/>
        <v/>
      </c>
      <c r="AA175" s="66" t="str">
        <f t="shared" si="73"/>
        <v/>
      </c>
      <c r="AB175" s="66" t="str">
        <f t="shared" si="73"/>
        <v/>
      </c>
      <c r="AC175" s="66" t="str">
        <f t="shared" si="73"/>
        <v/>
      </c>
      <c r="AD175" s="66" t="str">
        <f t="shared" si="73"/>
        <v/>
      </c>
      <c r="AE175" s="66" t="str">
        <f t="shared" si="73"/>
        <v/>
      </c>
      <c r="AF175" s="66">
        <f t="shared" si="73"/>
        <v>13</v>
      </c>
      <c r="AG175" s="66" t="str">
        <f t="shared" si="73"/>
        <v/>
      </c>
      <c r="AH175" s="66" t="str">
        <f t="shared" si="73"/>
        <v/>
      </c>
      <c r="AI175" s="66" t="str">
        <f t="shared" si="73"/>
        <v/>
      </c>
      <c r="AJ175" s="66" t="str">
        <f t="shared" si="73"/>
        <v/>
      </c>
    </row>
    <row r="176" spans="1:36">
      <c r="A176" s="66">
        <f t="shared" si="67"/>
        <v>14</v>
      </c>
      <c r="B176" s="66" t="str">
        <f t="shared" si="67"/>
        <v>鄭品豪</v>
      </c>
      <c r="C176" s="66" t="str">
        <f t="shared" si="73"/>
        <v/>
      </c>
      <c r="D176" s="66" t="str">
        <f t="shared" si="73"/>
        <v/>
      </c>
      <c r="E176" s="66" t="str">
        <f t="shared" si="73"/>
        <v/>
      </c>
      <c r="F176" s="66" t="str">
        <f t="shared" si="73"/>
        <v/>
      </c>
      <c r="G176" s="66" t="str">
        <f t="shared" si="73"/>
        <v/>
      </c>
      <c r="H176" s="66" t="str">
        <f t="shared" si="73"/>
        <v/>
      </c>
      <c r="I176" s="66" t="str">
        <f t="shared" si="73"/>
        <v/>
      </c>
      <c r="J176" s="66" t="str">
        <f t="shared" si="73"/>
        <v/>
      </c>
      <c r="K176" s="66" t="str">
        <f t="shared" si="73"/>
        <v/>
      </c>
      <c r="L176" s="66" t="str">
        <f t="shared" si="73"/>
        <v/>
      </c>
      <c r="M176" s="66" t="str">
        <f t="shared" si="73"/>
        <v/>
      </c>
      <c r="N176" s="66" t="str">
        <f t="shared" si="73"/>
        <v/>
      </c>
      <c r="O176" s="66" t="str">
        <f t="shared" si="73"/>
        <v/>
      </c>
      <c r="P176" s="66" t="str">
        <f t="shared" si="73"/>
        <v/>
      </c>
      <c r="Q176" s="66" t="str">
        <f t="shared" si="73"/>
        <v/>
      </c>
      <c r="R176" s="66" t="str">
        <f t="shared" si="73"/>
        <v/>
      </c>
      <c r="S176" s="66" t="str">
        <f t="shared" si="73"/>
        <v/>
      </c>
      <c r="T176" s="66" t="str">
        <f t="shared" si="73"/>
        <v/>
      </c>
      <c r="U176" s="66" t="str">
        <f t="shared" si="73"/>
        <v/>
      </c>
      <c r="V176" s="66" t="str">
        <f t="shared" si="73"/>
        <v/>
      </c>
      <c r="W176" s="66" t="str">
        <f t="shared" si="73"/>
        <v/>
      </c>
      <c r="X176" s="66" t="str">
        <f t="shared" si="73"/>
        <v/>
      </c>
      <c r="Y176" s="66" t="str">
        <f t="shared" si="73"/>
        <v/>
      </c>
      <c r="Z176" s="66" t="str">
        <f t="shared" si="73"/>
        <v/>
      </c>
      <c r="AA176" s="66" t="str">
        <f t="shared" si="73"/>
        <v/>
      </c>
      <c r="AB176" s="66" t="str">
        <f t="shared" si="73"/>
        <v/>
      </c>
      <c r="AC176" s="66" t="str">
        <f t="shared" si="73"/>
        <v/>
      </c>
      <c r="AD176" s="66" t="str">
        <f t="shared" si="73"/>
        <v/>
      </c>
      <c r="AE176" s="66" t="str">
        <f t="shared" si="73"/>
        <v/>
      </c>
      <c r="AF176" s="66" t="str">
        <f t="shared" si="73"/>
        <v>.</v>
      </c>
      <c r="AG176" s="66" t="str">
        <f t="shared" si="73"/>
        <v/>
      </c>
      <c r="AH176" s="66" t="str">
        <f t="shared" si="73"/>
        <v/>
      </c>
      <c r="AI176" s="66" t="str">
        <f t="shared" si="73"/>
        <v/>
      </c>
      <c r="AJ176" s="66" t="str">
        <f t="shared" si="73"/>
        <v/>
      </c>
    </row>
    <row r="177" spans="1:36">
      <c r="A177" s="66">
        <f t="shared" si="67"/>
        <v>15</v>
      </c>
      <c r="B177" s="66" t="str">
        <f t="shared" si="67"/>
        <v>林晉弘</v>
      </c>
      <c r="C177" s="66" t="str">
        <f t="shared" si="73"/>
        <v/>
      </c>
      <c r="D177" s="66" t="str">
        <f t="shared" si="73"/>
        <v/>
      </c>
      <c r="E177" s="66" t="str">
        <f t="shared" si="73"/>
        <v/>
      </c>
      <c r="F177" s="66" t="str">
        <f t="shared" si="73"/>
        <v/>
      </c>
      <c r="G177" s="66" t="str">
        <f t="shared" si="73"/>
        <v/>
      </c>
      <c r="H177" s="66" t="str">
        <f t="shared" si="73"/>
        <v/>
      </c>
      <c r="I177" s="66" t="str">
        <f t="shared" si="73"/>
        <v/>
      </c>
      <c r="J177" s="66" t="str">
        <f t="shared" si="73"/>
        <v/>
      </c>
      <c r="K177" s="66" t="str">
        <f t="shared" si="73"/>
        <v/>
      </c>
      <c r="L177" s="66" t="str">
        <f t="shared" si="73"/>
        <v/>
      </c>
      <c r="M177" s="66" t="str">
        <f t="shared" si="73"/>
        <v/>
      </c>
      <c r="N177" s="66" t="str">
        <f t="shared" si="73"/>
        <v/>
      </c>
      <c r="O177" s="66" t="str">
        <f t="shared" si="73"/>
        <v/>
      </c>
      <c r="P177" s="66" t="str">
        <f t="shared" si="73"/>
        <v/>
      </c>
      <c r="Q177" s="66" t="str">
        <f t="shared" si="73"/>
        <v/>
      </c>
      <c r="R177" s="66" t="str">
        <f t="shared" si="73"/>
        <v/>
      </c>
      <c r="S177" s="66" t="str">
        <f t="shared" si="73"/>
        <v/>
      </c>
      <c r="T177" s="66" t="str">
        <f t="shared" si="73"/>
        <v/>
      </c>
      <c r="U177" s="66" t="str">
        <f t="shared" si="73"/>
        <v/>
      </c>
      <c r="V177" s="66" t="str">
        <f t="shared" si="73"/>
        <v/>
      </c>
      <c r="W177" s="66" t="str">
        <f t="shared" si="73"/>
        <v/>
      </c>
      <c r="X177" s="66" t="str">
        <f t="shared" si="73"/>
        <v/>
      </c>
      <c r="Y177" s="66" t="str">
        <f t="shared" si="73"/>
        <v/>
      </c>
      <c r="Z177" s="66" t="str">
        <f t="shared" si="73"/>
        <v/>
      </c>
      <c r="AA177" s="66" t="str">
        <f t="shared" si="73"/>
        <v/>
      </c>
      <c r="AB177" s="66" t="str">
        <f t="shared" si="73"/>
        <v/>
      </c>
      <c r="AC177" s="66" t="str">
        <f t="shared" si="73"/>
        <v/>
      </c>
      <c r="AD177" s="66" t="str">
        <f t="shared" si="73"/>
        <v/>
      </c>
      <c r="AE177" s="66" t="str">
        <f t="shared" si="73"/>
        <v/>
      </c>
      <c r="AF177" s="66">
        <f t="shared" si="73"/>
        <v>15</v>
      </c>
      <c r="AG177" s="66" t="str">
        <f t="shared" si="73"/>
        <v/>
      </c>
      <c r="AH177" s="66" t="str">
        <f t="shared" si="73"/>
        <v/>
      </c>
      <c r="AI177" s="66" t="str">
        <f t="shared" si="73"/>
        <v/>
      </c>
      <c r="AJ177" s="66" t="str">
        <f t="shared" si="73"/>
        <v/>
      </c>
    </row>
    <row r="178" spans="1:36">
      <c r="A178" s="66">
        <f t="shared" si="67"/>
        <v>16</v>
      </c>
      <c r="B178" s="66" t="str">
        <f t="shared" si="67"/>
        <v>張恩齊</v>
      </c>
      <c r="C178" s="66" t="str">
        <f t="shared" si="73"/>
        <v/>
      </c>
      <c r="D178" s="66" t="str">
        <f t="shared" si="73"/>
        <v/>
      </c>
      <c r="E178" s="66" t="str">
        <f t="shared" si="73"/>
        <v/>
      </c>
      <c r="F178" s="66" t="str">
        <f t="shared" si="73"/>
        <v/>
      </c>
      <c r="G178" s="66" t="str">
        <f t="shared" si="73"/>
        <v/>
      </c>
      <c r="H178" s="66" t="str">
        <f t="shared" si="73"/>
        <v/>
      </c>
      <c r="I178" s="66" t="str">
        <f t="shared" si="73"/>
        <v/>
      </c>
      <c r="J178" s="66" t="str">
        <f t="shared" si="73"/>
        <v/>
      </c>
      <c r="K178" s="66" t="str">
        <f t="shared" si="73"/>
        <v/>
      </c>
      <c r="L178" s="66" t="str">
        <f t="shared" si="73"/>
        <v/>
      </c>
      <c r="M178" s="66" t="str">
        <f t="shared" si="73"/>
        <v/>
      </c>
      <c r="N178" s="66" t="str">
        <f t="shared" si="73"/>
        <v/>
      </c>
      <c r="O178" s="66" t="str">
        <f t="shared" si="73"/>
        <v/>
      </c>
      <c r="P178" s="66" t="str">
        <f t="shared" si="73"/>
        <v/>
      </c>
      <c r="Q178" s="66" t="str">
        <f t="shared" si="73"/>
        <v/>
      </c>
      <c r="R178" s="66" t="str">
        <f t="shared" si="73"/>
        <v/>
      </c>
      <c r="S178" s="66" t="str">
        <f t="shared" si="73"/>
        <v/>
      </c>
      <c r="T178" s="66" t="str">
        <f t="shared" si="73"/>
        <v/>
      </c>
      <c r="U178" s="66" t="str">
        <f t="shared" si="73"/>
        <v/>
      </c>
      <c r="V178" s="66" t="str">
        <f t="shared" si="73"/>
        <v/>
      </c>
      <c r="W178" s="66" t="str">
        <f t="shared" si="73"/>
        <v/>
      </c>
      <c r="X178" s="66" t="str">
        <f t="shared" si="73"/>
        <v/>
      </c>
      <c r="Y178" s="66" t="str">
        <f t="shared" si="73"/>
        <v/>
      </c>
      <c r="Z178" s="66" t="str">
        <f t="shared" si="73"/>
        <v/>
      </c>
      <c r="AA178" s="66" t="str">
        <f t="shared" si="73"/>
        <v/>
      </c>
      <c r="AB178" s="66" t="str">
        <f t="shared" si="73"/>
        <v/>
      </c>
      <c r="AC178" s="66" t="str">
        <f t="shared" si="73"/>
        <v/>
      </c>
      <c r="AD178" s="66" t="str">
        <f t="shared" si="73"/>
        <v/>
      </c>
      <c r="AE178" s="66" t="str">
        <f t="shared" si="73"/>
        <v/>
      </c>
      <c r="AF178" s="66" t="str">
        <f t="shared" si="73"/>
        <v>.</v>
      </c>
      <c r="AG178" s="66" t="str">
        <f t="shared" si="73"/>
        <v/>
      </c>
      <c r="AH178" s="66" t="str">
        <f t="shared" si="73"/>
        <v/>
      </c>
      <c r="AI178" s="66" t="str">
        <f t="shared" si="73"/>
        <v/>
      </c>
      <c r="AJ178" s="66" t="str">
        <f t="shared" si="73"/>
        <v/>
      </c>
    </row>
    <row r="179" spans="1:36">
      <c r="A179" s="66">
        <f t="shared" ref="A179:B194" si="74">A139</f>
        <v>17</v>
      </c>
      <c r="B179" s="66" t="str">
        <f t="shared" si="74"/>
        <v>周承澔</v>
      </c>
      <c r="C179" s="66" t="str">
        <f t="shared" si="73"/>
        <v/>
      </c>
      <c r="D179" s="66" t="str">
        <f t="shared" si="73"/>
        <v/>
      </c>
      <c r="E179" s="66" t="str">
        <f t="shared" si="73"/>
        <v/>
      </c>
      <c r="F179" s="66" t="str">
        <f t="shared" si="73"/>
        <v/>
      </c>
      <c r="G179" s="66" t="str">
        <f t="shared" si="73"/>
        <v/>
      </c>
      <c r="H179" s="66" t="str">
        <f t="shared" si="73"/>
        <v/>
      </c>
      <c r="I179" s="66" t="str">
        <f t="shared" si="73"/>
        <v/>
      </c>
      <c r="J179" s="66" t="str">
        <f t="shared" si="73"/>
        <v/>
      </c>
      <c r="K179" s="66" t="str">
        <f t="shared" si="73"/>
        <v/>
      </c>
      <c r="L179" s="66" t="str">
        <f t="shared" si="73"/>
        <v/>
      </c>
      <c r="M179" s="66" t="str">
        <f t="shared" si="73"/>
        <v/>
      </c>
      <c r="N179" s="66" t="str">
        <f t="shared" si="73"/>
        <v/>
      </c>
      <c r="O179" s="66" t="str">
        <f t="shared" si="73"/>
        <v/>
      </c>
      <c r="P179" s="66" t="str">
        <f t="shared" si="73"/>
        <v/>
      </c>
      <c r="Q179" s="66" t="str">
        <f t="shared" si="73"/>
        <v/>
      </c>
      <c r="R179" s="66" t="str">
        <f t="shared" si="73"/>
        <v/>
      </c>
      <c r="S179" s="66" t="str">
        <f t="shared" si="73"/>
        <v/>
      </c>
      <c r="T179" s="66" t="str">
        <f t="shared" si="73"/>
        <v/>
      </c>
      <c r="U179" s="66" t="str">
        <f t="shared" si="73"/>
        <v/>
      </c>
      <c r="V179" s="66" t="str">
        <f t="shared" si="73"/>
        <v/>
      </c>
      <c r="W179" s="66" t="str">
        <f t="shared" si="73"/>
        <v/>
      </c>
      <c r="X179" s="66" t="str">
        <f t="shared" si="73"/>
        <v/>
      </c>
      <c r="Y179" s="66" t="str">
        <f t="shared" si="73"/>
        <v/>
      </c>
      <c r="Z179" s="66" t="str">
        <f t="shared" si="73"/>
        <v/>
      </c>
      <c r="AA179" s="66" t="str">
        <f t="shared" si="73"/>
        <v/>
      </c>
      <c r="AB179" s="66" t="str">
        <f t="shared" si="73"/>
        <v/>
      </c>
      <c r="AC179" s="66" t="str">
        <f t="shared" si="73"/>
        <v/>
      </c>
      <c r="AD179" s="66" t="str">
        <f t="shared" si="73"/>
        <v/>
      </c>
      <c r="AE179" s="66" t="str">
        <f t="shared" si="73"/>
        <v/>
      </c>
      <c r="AF179" s="66" t="str">
        <f t="shared" si="73"/>
        <v/>
      </c>
      <c r="AG179" s="66" t="str">
        <f t="shared" si="73"/>
        <v/>
      </c>
      <c r="AH179" s="66" t="str">
        <f t="shared" si="73"/>
        <v/>
      </c>
      <c r="AI179" s="66" t="str">
        <f t="shared" si="73"/>
        <v/>
      </c>
      <c r="AJ179" s="66" t="str">
        <f t="shared" si="73"/>
        <v/>
      </c>
    </row>
    <row r="180" spans="1:36">
      <c r="A180" s="66">
        <f t="shared" si="74"/>
        <v>18</v>
      </c>
      <c r="B180" s="66" t="str">
        <f t="shared" si="74"/>
        <v>蔡政倫</v>
      </c>
      <c r="C180" s="66" t="str">
        <f t="shared" si="73"/>
        <v/>
      </c>
      <c r="D180" s="66" t="str">
        <f t="shared" si="73"/>
        <v/>
      </c>
      <c r="E180" s="66" t="str">
        <f t="shared" si="73"/>
        <v/>
      </c>
      <c r="F180" s="66" t="str">
        <f t="shared" si="73"/>
        <v/>
      </c>
      <c r="G180" s="66" t="str">
        <f t="shared" si="73"/>
        <v/>
      </c>
      <c r="H180" s="66" t="str">
        <f t="shared" si="73"/>
        <v/>
      </c>
      <c r="I180" s="66" t="str">
        <f t="shared" si="73"/>
        <v/>
      </c>
      <c r="J180" s="66" t="str">
        <f t="shared" si="73"/>
        <v/>
      </c>
      <c r="K180" s="66" t="str">
        <f t="shared" si="73"/>
        <v/>
      </c>
      <c r="L180" s="66" t="str">
        <f t="shared" si="73"/>
        <v/>
      </c>
      <c r="M180" s="66" t="str">
        <f t="shared" si="73"/>
        <v/>
      </c>
      <c r="N180" s="66" t="str">
        <f t="shared" si="73"/>
        <v/>
      </c>
      <c r="O180" s="66" t="str">
        <f t="shared" si="73"/>
        <v/>
      </c>
      <c r="P180" s="66" t="str">
        <f t="shared" si="73"/>
        <v/>
      </c>
      <c r="Q180" s="66" t="str">
        <f t="shared" si="73"/>
        <v/>
      </c>
      <c r="R180" s="66" t="str">
        <f t="shared" si="73"/>
        <v/>
      </c>
      <c r="S180" s="66" t="str">
        <f t="shared" si="73"/>
        <v/>
      </c>
      <c r="T180" s="66" t="str">
        <f t="shared" ref="T180:AJ180" si="75">IF(  OR(  LEN(T179)=2,LEN(T179)=3  ),  CONCATENATE(  ".",IF(T60=$A$161,$A180,"")  ),IF(T60=$A$161,$A180,"")  )</f>
        <v/>
      </c>
      <c r="U180" s="66" t="str">
        <f t="shared" si="75"/>
        <v/>
      </c>
      <c r="V180" s="66" t="str">
        <f t="shared" si="75"/>
        <v/>
      </c>
      <c r="W180" s="66" t="str">
        <f t="shared" si="75"/>
        <v/>
      </c>
      <c r="X180" s="66" t="str">
        <f t="shared" si="75"/>
        <v/>
      </c>
      <c r="Y180" s="66" t="str">
        <f t="shared" si="75"/>
        <v/>
      </c>
      <c r="Z180" s="66" t="str">
        <f t="shared" si="75"/>
        <v/>
      </c>
      <c r="AA180" s="66" t="str">
        <f t="shared" si="75"/>
        <v/>
      </c>
      <c r="AB180" s="66" t="str">
        <f t="shared" si="75"/>
        <v/>
      </c>
      <c r="AC180" s="66" t="str">
        <f t="shared" si="75"/>
        <v/>
      </c>
      <c r="AD180" s="66" t="str">
        <f t="shared" si="75"/>
        <v/>
      </c>
      <c r="AE180" s="66" t="str">
        <f t="shared" si="75"/>
        <v/>
      </c>
      <c r="AF180" s="66" t="str">
        <f t="shared" si="75"/>
        <v/>
      </c>
      <c r="AG180" s="66" t="str">
        <f t="shared" si="75"/>
        <v/>
      </c>
      <c r="AH180" s="66" t="str">
        <f t="shared" si="75"/>
        <v/>
      </c>
      <c r="AI180" s="66" t="str">
        <f t="shared" si="75"/>
        <v/>
      </c>
      <c r="AJ180" s="66" t="str">
        <f t="shared" si="75"/>
        <v/>
      </c>
    </row>
    <row r="181" spans="1:36">
      <c r="A181" s="66">
        <f t="shared" si="74"/>
        <v>19</v>
      </c>
      <c r="B181" s="66" t="str">
        <f t="shared" si="74"/>
        <v>蕭敬哲</v>
      </c>
      <c r="C181" s="66" t="str">
        <f t="shared" ref="C181:AJ188" si="76">IF(  OR(  LEN(C180)=2,LEN(C180)=3  ),  CONCATENATE(  ".",IF(C61=$A$161,$A181,"")  ),IF(C61=$A$161,$A181,"")  )</f>
        <v/>
      </c>
      <c r="D181" s="66" t="str">
        <f t="shared" si="76"/>
        <v/>
      </c>
      <c r="E181" s="66" t="str">
        <f t="shared" si="76"/>
        <v/>
      </c>
      <c r="F181" s="66" t="str">
        <f t="shared" si="76"/>
        <v/>
      </c>
      <c r="G181" s="66" t="str">
        <f t="shared" si="76"/>
        <v/>
      </c>
      <c r="H181" s="66" t="str">
        <f t="shared" si="76"/>
        <v/>
      </c>
      <c r="I181" s="66" t="str">
        <f t="shared" si="76"/>
        <v/>
      </c>
      <c r="J181" s="66" t="str">
        <f t="shared" si="76"/>
        <v/>
      </c>
      <c r="K181" s="66" t="str">
        <f t="shared" si="76"/>
        <v/>
      </c>
      <c r="L181" s="66" t="str">
        <f t="shared" si="76"/>
        <v/>
      </c>
      <c r="M181" s="66" t="str">
        <f t="shared" si="76"/>
        <v/>
      </c>
      <c r="N181" s="66" t="str">
        <f t="shared" si="76"/>
        <v/>
      </c>
      <c r="O181" s="66" t="str">
        <f t="shared" si="76"/>
        <v/>
      </c>
      <c r="P181" s="66" t="str">
        <f t="shared" si="76"/>
        <v/>
      </c>
      <c r="Q181" s="66" t="str">
        <f t="shared" si="76"/>
        <v/>
      </c>
      <c r="R181" s="66" t="str">
        <f t="shared" si="76"/>
        <v/>
      </c>
      <c r="S181" s="66" t="str">
        <f t="shared" si="76"/>
        <v/>
      </c>
      <c r="T181" s="66" t="str">
        <f t="shared" si="76"/>
        <v/>
      </c>
      <c r="U181" s="66" t="str">
        <f t="shared" si="76"/>
        <v/>
      </c>
      <c r="V181" s="66" t="str">
        <f t="shared" si="76"/>
        <v/>
      </c>
      <c r="W181" s="66" t="str">
        <f t="shared" si="76"/>
        <v/>
      </c>
      <c r="X181" s="66" t="str">
        <f t="shared" si="76"/>
        <v/>
      </c>
      <c r="Y181" s="66" t="str">
        <f t="shared" si="76"/>
        <v/>
      </c>
      <c r="Z181" s="66" t="str">
        <f t="shared" si="76"/>
        <v/>
      </c>
      <c r="AA181" s="66" t="str">
        <f t="shared" si="76"/>
        <v/>
      </c>
      <c r="AB181" s="66" t="str">
        <f t="shared" si="76"/>
        <v/>
      </c>
      <c r="AC181" s="66" t="str">
        <f t="shared" si="76"/>
        <v/>
      </c>
      <c r="AD181" s="66" t="str">
        <f t="shared" si="76"/>
        <v/>
      </c>
      <c r="AE181" s="66" t="str">
        <f t="shared" si="76"/>
        <v/>
      </c>
      <c r="AF181" s="66" t="str">
        <f t="shared" si="76"/>
        <v/>
      </c>
      <c r="AG181" s="66" t="str">
        <f t="shared" si="76"/>
        <v/>
      </c>
      <c r="AH181" s="66" t="str">
        <f t="shared" si="76"/>
        <v/>
      </c>
      <c r="AI181" s="66" t="str">
        <f t="shared" si="76"/>
        <v/>
      </c>
      <c r="AJ181" s="66" t="str">
        <f t="shared" si="76"/>
        <v/>
      </c>
    </row>
    <row r="182" spans="1:36">
      <c r="A182" s="66">
        <f t="shared" si="74"/>
        <v>20</v>
      </c>
      <c r="B182" s="66" t="str">
        <f t="shared" si="74"/>
        <v>楊鈞翔</v>
      </c>
      <c r="C182" s="66">
        <f t="shared" si="76"/>
        <v>20</v>
      </c>
      <c r="D182" s="66" t="str">
        <f t="shared" si="76"/>
        <v/>
      </c>
      <c r="E182" s="66" t="str">
        <f t="shared" si="76"/>
        <v/>
      </c>
      <c r="F182" s="66" t="str">
        <f t="shared" si="76"/>
        <v/>
      </c>
      <c r="G182" s="66" t="str">
        <f t="shared" si="76"/>
        <v/>
      </c>
      <c r="H182" s="66" t="str">
        <f t="shared" si="76"/>
        <v/>
      </c>
      <c r="I182" s="66" t="str">
        <f t="shared" si="76"/>
        <v/>
      </c>
      <c r="J182" s="66">
        <f t="shared" si="76"/>
        <v>20</v>
      </c>
      <c r="K182" s="66" t="str">
        <f t="shared" si="76"/>
        <v/>
      </c>
      <c r="L182" s="66" t="str">
        <f t="shared" si="76"/>
        <v/>
      </c>
      <c r="M182" s="66" t="str">
        <f t="shared" si="76"/>
        <v/>
      </c>
      <c r="N182" s="66" t="str">
        <f t="shared" si="76"/>
        <v/>
      </c>
      <c r="O182" s="66" t="str">
        <f t="shared" si="76"/>
        <v/>
      </c>
      <c r="P182" s="66" t="str">
        <f t="shared" si="76"/>
        <v/>
      </c>
      <c r="Q182" s="66">
        <f t="shared" si="76"/>
        <v>20</v>
      </c>
      <c r="R182" s="66" t="str">
        <f t="shared" si="76"/>
        <v/>
      </c>
      <c r="S182" s="66" t="str">
        <f t="shared" si="76"/>
        <v/>
      </c>
      <c r="T182" s="66" t="str">
        <f t="shared" si="76"/>
        <v/>
      </c>
      <c r="U182" s="66" t="str">
        <f t="shared" si="76"/>
        <v/>
      </c>
      <c r="V182" s="66" t="str">
        <f t="shared" si="76"/>
        <v/>
      </c>
      <c r="W182" s="66" t="str">
        <f t="shared" si="76"/>
        <v/>
      </c>
      <c r="X182" s="66">
        <f t="shared" si="76"/>
        <v>20</v>
      </c>
      <c r="Y182" s="66" t="str">
        <f t="shared" si="76"/>
        <v/>
      </c>
      <c r="Z182" s="66" t="str">
        <f t="shared" si="76"/>
        <v/>
      </c>
      <c r="AA182" s="66" t="str">
        <f t="shared" si="76"/>
        <v/>
      </c>
      <c r="AB182" s="66" t="str">
        <f t="shared" si="76"/>
        <v/>
      </c>
      <c r="AC182" s="66" t="str">
        <f t="shared" si="76"/>
        <v/>
      </c>
      <c r="AD182" s="66" t="str">
        <f t="shared" si="76"/>
        <v/>
      </c>
      <c r="AE182" s="66">
        <f t="shared" si="76"/>
        <v>20</v>
      </c>
      <c r="AF182" s="66" t="str">
        <f t="shared" si="76"/>
        <v/>
      </c>
      <c r="AG182" s="66" t="str">
        <f t="shared" si="76"/>
        <v/>
      </c>
      <c r="AH182" s="66" t="str">
        <f t="shared" si="76"/>
        <v/>
      </c>
      <c r="AI182" s="66" t="str">
        <f t="shared" si="76"/>
        <v/>
      </c>
      <c r="AJ182" s="66" t="str">
        <f t="shared" si="76"/>
        <v/>
      </c>
    </row>
    <row r="183" spans="1:36">
      <c r="A183" s="66">
        <f t="shared" si="74"/>
        <v>21</v>
      </c>
      <c r="B183" s="66" t="str">
        <f t="shared" si="74"/>
        <v>邱俊閎</v>
      </c>
      <c r="C183" s="66" t="str">
        <f t="shared" si="76"/>
        <v>.21</v>
      </c>
      <c r="D183" s="66" t="str">
        <f t="shared" si="76"/>
        <v/>
      </c>
      <c r="E183" s="66" t="str">
        <f t="shared" si="76"/>
        <v/>
      </c>
      <c r="F183" s="66" t="str">
        <f t="shared" si="76"/>
        <v/>
      </c>
      <c r="G183" s="66" t="str">
        <f t="shared" si="76"/>
        <v/>
      </c>
      <c r="H183" s="66" t="str">
        <f t="shared" si="76"/>
        <v/>
      </c>
      <c r="I183" s="66" t="str">
        <f t="shared" si="76"/>
        <v/>
      </c>
      <c r="J183" s="66" t="str">
        <f t="shared" si="76"/>
        <v>.21</v>
      </c>
      <c r="K183" s="66" t="str">
        <f t="shared" si="76"/>
        <v/>
      </c>
      <c r="L183" s="66" t="str">
        <f t="shared" si="76"/>
        <v/>
      </c>
      <c r="M183" s="66" t="str">
        <f t="shared" si="76"/>
        <v/>
      </c>
      <c r="N183" s="66" t="str">
        <f t="shared" si="76"/>
        <v/>
      </c>
      <c r="O183" s="66" t="str">
        <f t="shared" si="76"/>
        <v/>
      </c>
      <c r="P183" s="66" t="str">
        <f t="shared" si="76"/>
        <v/>
      </c>
      <c r="Q183" s="66" t="str">
        <f t="shared" si="76"/>
        <v>.21</v>
      </c>
      <c r="R183" s="66" t="str">
        <f t="shared" si="76"/>
        <v/>
      </c>
      <c r="S183" s="66" t="str">
        <f t="shared" si="76"/>
        <v/>
      </c>
      <c r="T183" s="66" t="str">
        <f t="shared" si="76"/>
        <v/>
      </c>
      <c r="U183" s="66" t="str">
        <f t="shared" si="76"/>
        <v/>
      </c>
      <c r="V183" s="66" t="str">
        <f t="shared" si="76"/>
        <v/>
      </c>
      <c r="W183" s="66" t="str">
        <f t="shared" si="76"/>
        <v/>
      </c>
      <c r="X183" s="66" t="str">
        <f t="shared" si="76"/>
        <v>.21</v>
      </c>
      <c r="Y183" s="66" t="str">
        <f t="shared" si="76"/>
        <v/>
      </c>
      <c r="Z183" s="66" t="str">
        <f t="shared" si="76"/>
        <v/>
      </c>
      <c r="AA183" s="66" t="str">
        <f t="shared" si="76"/>
        <v/>
      </c>
      <c r="AB183" s="66" t="str">
        <f t="shared" si="76"/>
        <v/>
      </c>
      <c r="AC183" s="66" t="str">
        <f t="shared" si="76"/>
        <v/>
      </c>
      <c r="AD183" s="66" t="str">
        <f t="shared" si="76"/>
        <v/>
      </c>
      <c r="AE183" s="66" t="str">
        <f t="shared" si="76"/>
        <v>.21</v>
      </c>
      <c r="AF183" s="66" t="str">
        <f t="shared" si="76"/>
        <v/>
      </c>
      <c r="AG183" s="66" t="str">
        <f t="shared" si="76"/>
        <v/>
      </c>
      <c r="AH183" s="66" t="str">
        <f t="shared" si="76"/>
        <v/>
      </c>
      <c r="AI183" s="66" t="str">
        <f t="shared" si="76"/>
        <v/>
      </c>
      <c r="AJ183" s="66" t="str">
        <f t="shared" si="76"/>
        <v/>
      </c>
    </row>
    <row r="184" spans="1:36">
      <c r="A184" s="66">
        <f t="shared" si="74"/>
        <v>22</v>
      </c>
      <c r="B184" s="66" t="str">
        <f t="shared" si="74"/>
        <v>陳奕欣</v>
      </c>
      <c r="C184" s="66" t="str">
        <f t="shared" si="76"/>
        <v>.</v>
      </c>
      <c r="D184" s="66">
        <f t="shared" si="76"/>
        <v>22</v>
      </c>
      <c r="E184" s="66" t="str">
        <f t="shared" si="76"/>
        <v/>
      </c>
      <c r="F184" s="66" t="str">
        <f t="shared" si="76"/>
        <v/>
      </c>
      <c r="G184" s="66" t="str">
        <f t="shared" si="76"/>
        <v/>
      </c>
      <c r="H184" s="66" t="str">
        <f t="shared" si="76"/>
        <v/>
      </c>
      <c r="I184" s="66">
        <f t="shared" si="76"/>
        <v>22</v>
      </c>
      <c r="J184" s="66" t="str">
        <f t="shared" si="76"/>
        <v>.</v>
      </c>
      <c r="K184" s="66" t="str">
        <f t="shared" si="76"/>
        <v/>
      </c>
      <c r="L184" s="66" t="str">
        <f t="shared" si="76"/>
        <v/>
      </c>
      <c r="M184" s="66" t="str">
        <f t="shared" si="76"/>
        <v/>
      </c>
      <c r="N184" s="66" t="str">
        <f t="shared" si="76"/>
        <v/>
      </c>
      <c r="O184" s="66" t="str">
        <f t="shared" si="76"/>
        <v/>
      </c>
      <c r="P184" s="66" t="str">
        <f t="shared" si="76"/>
        <v/>
      </c>
      <c r="Q184" s="66" t="str">
        <f t="shared" si="76"/>
        <v>.</v>
      </c>
      <c r="R184" s="66" t="str">
        <f t="shared" si="76"/>
        <v/>
      </c>
      <c r="S184" s="66" t="str">
        <f t="shared" si="76"/>
        <v/>
      </c>
      <c r="T184" s="66" t="str">
        <f t="shared" si="76"/>
        <v/>
      </c>
      <c r="U184" s="66" t="str">
        <f t="shared" si="76"/>
        <v/>
      </c>
      <c r="V184" s="66" t="str">
        <f t="shared" si="76"/>
        <v/>
      </c>
      <c r="W184" s="66" t="str">
        <f t="shared" si="76"/>
        <v/>
      </c>
      <c r="X184" s="66" t="str">
        <f t="shared" si="76"/>
        <v>.22</v>
      </c>
      <c r="Y184" s="66" t="str">
        <f t="shared" si="76"/>
        <v/>
      </c>
      <c r="Z184" s="66" t="str">
        <f t="shared" si="76"/>
        <v/>
      </c>
      <c r="AA184" s="66" t="str">
        <f t="shared" si="76"/>
        <v/>
      </c>
      <c r="AB184" s="66" t="str">
        <f t="shared" si="76"/>
        <v/>
      </c>
      <c r="AC184" s="66" t="str">
        <f t="shared" si="76"/>
        <v/>
      </c>
      <c r="AD184" s="66">
        <f t="shared" si="76"/>
        <v>22</v>
      </c>
      <c r="AE184" s="66" t="str">
        <f t="shared" si="76"/>
        <v>.</v>
      </c>
      <c r="AF184" s="66" t="str">
        <f t="shared" si="76"/>
        <v/>
      </c>
      <c r="AG184" s="66" t="str">
        <f t="shared" si="76"/>
        <v/>
      </c>
      <c r="AH184" s="66" t="str">
        <f t="shared" si="76"/>
        <v/>
      </c>
      <c r="AI184" s="66" t="str">
        <f t="shared" si="76"/>
        <v/>
      </c>
      <c r="AJ184" s="66" t="str">
        <f t="shared" si="76"/>
        <v/>
      </c>
    </row>
    <row r="185" spans="1:36">
      <c r="A185" s="66">
        <f t="shared" si="74"/>
        <v>23</v>
      </c>
      <c r="B185" s="66" t="str">
        <f t="shared" si="74"/>
        <v>阮成山</v>
      </c>
      <c r="C185" s="66" t="str">
        <f t="shared" si="76"/>
        <v/>
      </c>
      <c r="D185" s="66" t="str">
        <f t="shared" si="76"/>
        <v>.</v>
      </c>
      <c r="E185" s="66" t="str">
        <f t="shared" si="76"/>
        <v/>
      </c>
      <c r="F185" s="66" t="str">
        <f t="shared" si="76"/>
        <v/>
      </c>
      <c r="G185" s="66" t="str">
        <f t="shared" si="76"/>
        <v/>
      </c>
      <c r="H185" s="66" t="str">
        <f t="shared" si="76"/>
        <v/>
      </c>
      <c r="I185" s="66" t="str">
        <f t="shared" si="76"/>
        <v>.23</v>
      </c>
      <c r="J185" s="66" t="str">
        <f t="shared" si="76"/>
        <v/>
      </c>
      <c r="K185" s="66" t="str">
        <f t="shared" si="76"/>
        <v/>
      </c>
      <c r="L185" s="66" t="str">
        <f t="shared" si="76"/>
        <v/>
      </c>
      <c r="M185" s="66" t="str">
        <f t="shared" si="76"/>
        <v/>
      </c>
      <c r="N185" s="66" t="str">
        <f t="shared" si="76"/>
        <v/>
      </c>
      <c r="O185" s="66" t="str">
        <f t="shared" si="76"/>
        <v/>
      </c>
      <c r="P185" s="66" t="str">
        <f t="shared" si="76"/>
        <v/>
      </c>
      <c r="Q185" s="66">
        <f t="shared" si="76"/>
        <v>23</v>
      </c>
      <c r="R185" s="66" t="str">
        <f t="shared" si="76"/>
        <v/>
      </c>
      <c r="S185" s="66" t="str">
        <f t="shared" si="76"/>
        <v/>
      </c>
      <c r="T185" s="66" t="str">
        <f t="shared" si="76"/>
        <v/>
      </c>
      <c r="U185" s="66" t="str">
        <f t="shared" si="76"/>
        <v/>
      </c>
      <c r="V185" s="66" t="str">
        <f t="shared" si="76"/>
        <v/>
      </c>
      <c r="W185" s="66" t="str">
        <f t="shared" si="76"/>
        <v/>
      </c>
      <c r="X185" s="66" t="str">
        <f t="shared" si="76"/>
        <v>.</v>
      </c>
      <c r="Y185" s="66" t="str">
        <f t="shared" si="76"/>
        <v/>
      </c>
      <c r="Z185" s="66" t="str">
        <f t="shared" si="76"/>
        <v/>
      </c>
      <c r="AA185" s="66" t="str">
        <f t="shared" si="76"/>
        <v/>
      </c>
      <c r="AB185" s="66" t="str">
        <f t="shared" si="76"/>
        <v/>
      </c>
      <c r="AC185" s="66" t="str">
        <f t="shared" si="76"/>
        <v/>
      </c>
      <c r="AD185" s="66" t="str">
        <f t="shared" si="76"/>
        <v>.</v>
      </c>
      <c r="AE185" s="66" t="str">
        <f t="shared" si="76"/>
        <v/>
      </c>
      <c r="AF185" s="66" t="str">
        <f t="shared" si="76"/>
        <v/>
      </c>
      <c r="AG185" s="66" t="str">
        <f t="shared" si="76"/>
        <v/>
      </c>
      <c r="AH185" s="66" t="str">
        <f t="shared" si="76"/>
        <v/>
      </c>
      <c r="AI185" s="66" t="str">
        <f t="shared" si="76"/>
        <v/>
      </c>
      <c r="AJ185" s="66" t="str">
        <f t="shared" si="76"/>
        <v/>
      </c>
    </row>
    <row r="186" spans="1:36">
      <c r="A186" s="66">
        <f t="shared" si="74"/>
        <v>24</v>
      </c>
      <c r="B186" s="66" t="str">
        <f t="shared" si="74"/>
        <v>黃品傑</v>
      </c>
      <c r="C186" s="66" t="str">
        <f t="shared" si="76"/>
        <v/>
      </c>
      <c r="D186" s="66" t="str">
        <f t="shared" si="76"/>
        <v/>
      </c>
      <c r="E186" s="66" t="str">
        <f t="shared" si="76"/>
        <v/>
      </c>
      <c r="F186" s="66" t="str">
        <f t="shared" si="76"/>
        <v/>
      </c>
      <c r="G186" s="66" t="str">
        <f t="shared" si="76"/>
        <v/>
      </c>
      <c r="H186" s="66" t="str">
        <f t="shared" si="76"/>
        <v/>
      </c>
      <c r="I186" s="66" t="str">
        <f t="shared" si="76"/>
        <v>.</v>
      </c>
      <c r="J186" s="66" t="str">
        <f t="shared" si="76"/>
        <v/>
      </c>
      <c r="K186" s="66" t="str">
        <f t="shared" si="76"/>
        <v/>
      </c>
      <c r="L186" s="66" t="str">
        <f t="shared" si="76"/>
        <v/>
      </c>
      <c r="M186" s="66" t="str">
        <f t="shared" si="76"/>
        <v/>
      </c>
      <c r="N186" s="66">
        <f t="shared" si="76"/>
        <v>24</v>
      </c>
      <c r="O186" s="66" t="str">
        <f t="shared" si="76"/>
        <v/>
      </c>
      <c r="P186" s="66" t="str">
        <f t="shared" si="76"/>
        <v/>
      </c>
      <c r="Q186" s="66" t="str">
        <f t="shared" si="76"/>
        <v>.</v>
      </c>
      <c r="R186" s="66" t="str">
        <f t="shared" si="76"/>
        <v/>
      </c>
      <c r="S186" s="66" t="str">
        <f t="shared" si="76"/>
        <v/>
      </c>
      <c r="T186" s="66" t="str">
        <f t="shared" si="76"/>
        <v/>
      </c>
      <c r="U186" s="66" t="str">
        <f t="shared" si="76"/>
        <v/>
      </c>
      <c r="V186" s="66" t="str">
        <f t="shared" si="76"/>
        <v/>
      </c>
      <c r="W186" s="66">
        <f t="shared" si="76"/>
        <v>24</v>
      </c>
      <c r="X186" s="66" t="str">
        <f t="shared" si="76"/>
        <v/>
      </c>
      <c r="Y186" s="66" t="str">
        <f t="shared" si="76"/>
        <v/>
      </c>
      <c r="Z186" s="66" t="str">
        <f t="shared" si="76"/>
        <v/>
      </c>
      <c r="AA186" s="66" t="str">
        <f t="shared" si="76"/>
        <v/>
      </c>
      <c r="AB186" s="66" t="str">
        <f t="shared" si="76"/>
        <v/>
      </c>
      <c r="AC186" s="66" t="str">
        <f t="shared" si="76"/>
        <v/>
      </c>
      <c r="AD186" s="66" t="str">
        <f t="shared" si="76"/>
        <v/>
      </c>
      <c r="AE186" s="66">
        <f t="shared" si="76"/>
        <v>24</v>
      </c>
      <c r="AF186" s="66" t="str">
        <f t="shared" si="76"/>
        <v/>
      </c>
      <c r="AG186" s="66" t="str">
        <f t="shared" si="76"/>
        <v/>
      </c>
      <c r="AH186" s="66" t="str">
        <f t="shared" si="76"/>
        <v/>
      </c>
      <c r="AI186" s="66" t="str">
        <f t="shared" si="76"/>
        <v/>
      </c>
      <c r="AJ186" s="66" t="str">
        <f t="shared" si="76"/>
        <v/>
      </c>
    </row>
    <row r="187" spans="1:36">
      <c r="A187" s="66">
        <f t="shared" si="74"/>
        <v>25</v>
      </c>
      <c r="B187" s="66" t="str">
        <f t="shared" si="74"/>
        <v>唐正瑋</v>
      </c>
      <c r="C187" s="66">
        <f t="shared" si="76"/>
        <v>25</v>
      </c>
      <c r="D187" s="66" t="str">
        <f t="shared" si="76"/>
        <v/>
      </c>
      <c r="E187" s="66" t="str">
        <f t="shared" si="76"/>
        <v/>
      </c>
      <c r="F187" s="66" t="str">
        <f t="shared" si="76"/>
        <v/>
      </c>
      <c r="G187" s="66" t="str">
        <f t="shared" si="76"/>
        <v/>
      </c>
      <c r="H187" s="66" t="str">
        <f t="shared" si="76"/>
        <v/>
      </c>
      <c r="I187" s="66" t="str">
        <f t="shared" si="76"/>
        <v/>
      </c>
      <c r="J187" s="66">
        <f t="shared" si="76"/>
        <v>25</v>
      </c>
      <c r="K187" s="66" t="str">
        <f t="shared" si="76"/>
        <v/>
      </c>
      <c r="L187" s="66" t="str">
        <f t="shared" si="76"/>
        <v/>
      </c>
      <c r="M187" s="66" t="str">
        <f t="shared" si="76"/>
        <v/>
      </c>
      <c r="N187" s="66" t="str">
        <f t="shared" si="76"/>
        <v>.</v>
      </c>
      <c r="O187" s="66" t="str">
        <f t="shared" si="76"/>
        <v/>
      </c>
      <c r="P187" s="66" t="str">
        <f t="shared" si="76"/>
        <v/>
      </c>
      <c r="Q187" s="66" t="str">
        <f t="shared" si="76"/>
        <v/>
      </c>
      <c r="R187" s="66" t="str">
        <f t="shared" si="76"/>
        <v/>
      </c>
      <c r="S187" s="66" t="str">
        <f t="shared" si="76"/>
        <v/>
      </c>
      <c r="T187" s="66" t="str">
        <f t="shared" si="76"/>
        <v/>
      </c>
      <c r="U187" s="66" t="str">
        <f t="shared" si="76"/>
        <v/>
      </c>
      <c r="V187" s="66" t="str">
        <f t="shared" si="76"/>
        <v/>
      </c>
      <c r="W187" s="66" t="str">
        <f t="shared" si="76"/>
        <v>.</v>
      </c>
      <c r="X187" s="66">
        <f t="shared" si="76"/>
        <v>25</v>
      </c>
      <c r="Y187" s="66" t="str">
        <f t="shared" si="76"/>
        <v/>
      </c>
      <c r="Z187" s="66" t="str">
        <f t="shared" si="76"/>
        <v/>
      </c>
      <c r="AA187" s="66" t="str">
        <f t="shared" si="76"/>
        <v/>
      </c>
      <c r="AB187" s="66" t="str">
        <f t="shared" si="76"/>
        <v/>
      </c>
      <c r="AC187" s="66" t="str">
        <f t="shared" si="76"/>
        <v/>
      </c>
      <c r="AD187" s="66" t="str">
        <f t="shared" si="76"/>
        <v/>
      </c>
      <c r="AE187" s="66" t="str">
        <f t="shared" si="76"/>
        <v>.25</v>
      </c>
      <c r="AF187" s="66" t="str">
        <f t="shared" si="76"/>
        <v/>
      </c>
      <c r="AG187" s="66" t="str">
        <f t="shared" si="76"/>
        <v/>
      </c>
      <c r="AH187" s="66" t="str">
        <f t="shared" si="76"/>
        <v/>
      </c>
      <c r="AI187" s="66" t="str">
        <f t="shared" si="76"/>
        <v/>
      </c>
      <c r="AJ187" s="66" t="str">
        <f t="shared" si="76"/>
        <v/>
      </c>
    </row>
    <row r="188" spans="1:36">
      <c r="A188" s="66">
        <f t="shared" si="74"/>
        <v>26</v>
      </c>
      <c r="B188" s="66" t="str">
        <f t="shared" si="74"/>
        <v>曾慶鈞</v>
      </c>
      <c r="C188" s="66" t="str">
        <f t="shared" si="76"/>
        <v>.</v>
      </c>
      <c r="D188" s="66" t="str">
        <f t="shared" si="76"/>
        <v/>
      </c>
      <c r="E188" s="66" t="str">
        <f t="shared" si="76"/>
        <v/>
      </c>
      <c r="F188" s="66" t="str">
        <f t="shared" si="76"/>
        <v/>
      </c>
      <c r="G188" s="66" t="str">
        <f t="shared" si="76"/>
        <v/>
      </c>
      <c r="H188" s="66" t="str">
        <f t="shared" si="76"/>
        <v/>
      </c>
      <c r="I188" s="66" t="str">
        <f t="shared" si="76"/>
        <v/>
      </c>
      <c r="J188" s="66" t="str">
        <f t="shared" si="76"/>
        <v>.</v>
      </c>
      <c r="K188" s="66" t="str">
        <f t="shared" si="76"/>
        <v/>
      </c>
      <c r="L188" s="66">
        <f t="shared" si="76"/>
        <v>26</v>
      </c>
      <c r="M188" s="66" t="str">
        <f t="shared" si="76"/>
        <v/>
      </c>
      <c r="N188" s="66" t="str">
        <f t="shared" si="76"/>
        <v/>
      </c>
      <c r="O188" s="66" t="str">
        <f t="shared" si="76"/>
        <v/>
      </c>
      <c r="P188" s="66" t="str">
        <f t="shared" si="76"/>
        <v/>
      </c>
      <c r="Q188" s="66" t="str">
        <f t="shared" si="76"/>
        <v/>
      </c>
      <c r="R188" s="66">
        <f t="shared" si="76"/>
        <v>26</v>
      </c>
      <c r="S188" s="66" t="str">
        <f t="shared" si="76"/>
        <v/>
      </c>
      <c r="T188" s="66" t="str">
        <f t="shared" ref="T188:AJ188" si="77">IF(  OR(  LEN(T187)=2,LEN(T187)=3  ),  CONCATENATE(  ".",IF(T68=$A$161,$A188,"")  ),IF(T68=$A$161,$A188,"")  )</f>
        <v/>
      </c>
      <c r="U188" s="66" t="str">
        <f t="shared" si="77"/>
        <v/>
      </c>
      <c r="V188" s="66" t="str">
        <f t="shared" si="77"/>
        <v/>
      </c>
      <c r="W188" s="66" t="str">
        <f t="shared" si="77"/>
        <v/>
      </c>
      <c r="X188" s="66" t="str">
        <f t="shared" si="77"/>
        <v>.</v>
      </c>
      <c r="Y188" s="66" t="str">
        <f t="shared" si="77"/>
        <v/>
      </c>
      <c r="Z188" s="66" t="str">
        <f t="shared" si="77"/>
        <v/>
      </c>
      <c r="AA188" s="66">
        <f t="shared" si="77"/>
        <v>26</v>
      </c>
      <c r="AB188" s="66" t="str">
        <f t="shared" si="77"/>
        <v/>
      </c>
      <c r="AC188" s="66" t="str">
        <f t="shared" si="77"/>
        <v/>
      </c>
      <c r="AD188" s="66" t="str">
        <f t="shared" si="77"/>
        <v/>
      </c>
      <c r="AE188" s="66" t="str">
        <f t="shared" si="77"/>
        <v>.</v>
      </c>
      <c r="AF188" s="66" t="str">
        <f t="shared" si="77"/>
        <v/>
      </c>
      <c r="AG188" s="66" t="str">
        <f t="shared" si="77"/>
        <v/>
      </c>
      <c r="AH188" s="66" t="str">
        <f t="shared" si="77"/>
        <v/>
      </c>
      <c r="AI188" s="66" t="str">
        <f t="shared" si="77"/>
        <v/>
      </c>
      <c r="AJ188" s="66" t="str">
        <f t="shared" si="77"/>
        <v/>
      </c>
    </row>
    <row r="189" spans="1:36">
      <c r="A189" s="66">
        <f t="shared" si="74"/>
        <v>27</v>
      </c>
      <c r="B189" s="66" t="str">
        <f t="shared" si="74"/>
        <v>游瀚翔</v>
      </c>
      <c r="C189" s="66">
        <f t="shared" ref="C189:AJ196" si="78">IF(  OR(  LEN(C188)=2,LEN(C188)=3  ),  CONCATENATE(  ".",IF(C69=$A$161,$A189,"")  ),IF(C69=$A$161,$A189,"")  )</f>
        <v>27</v>
      </c>
      <c r="D189" s="66" t="str">
        <f t="shared" si="78"/>
        <v/>
      </c>
      <c r="E189" s="66" t="str">
        <f t="shared" si="78"/>
        <v/>
      </c>
      <c r="F189" s="66" t="str">
        <f t="shared" si="78"/>
        <v/>
      </c>
      <c r="G189" s="66" t="str">
        <f t="shared" si="78"/>
        <v/>
      </c>
      <c r="H189" s="66" t="str">
        <f t="shared" si="78"/>
        <v/>
      </c>
      <c r="I189" s="66">
        <f t="shared" si="78"/>
        <v>27</v>
      </c>
      <c r="J189" s="66" t="str">
        <f t="shared" si="78"/>
        <v/>
      </c>
      <c r="K189" s="66" t="str">
        <f t="shared" si="78"/>
        <v/>
      </c>
      <c r="L189" s="66" t="str">
        <f t="shared" si="78"/>
        <v>.</v>
      </c>
      <c r="M189" s="66" t="str">
        <f t="shared" si="78"/>
        <v/>
      </c>
      <c r="N189" s="66" t="str">
        <f t="shared" si="78"/>
        <v/>
      </c>
      <c r="O189" s="66" t="str">
        <f t="shared" si="78"/>
        <v/>
      </c>
      <c r="P189" s="66" t="str">
        <f t="shared" si="78"/>
        <v/>
      </c>
      <c r="Q189" s="66">
        <f t="shared" si="78"/>
        <v>27</v>
      </c>
      <c r="R189" s="66" t="str">
        <f t="shared" si="78"/>
        <v>.</v>
      </c>
      <c r="S189" s="66" t="str">
        <f t="shared" si="78"/>
        <v/>
      </c>
      <c r="T189" s="66" t="str">
        <f t="shared" si="78"/>
        <v/>
      </c>
      <c r="U189" s="66" t="str">
        <f t="shared" si="78"/>
        <v/>
      </c>
      <c r="V189" s="66" t="str">
        <f t="shared" si="78"/>
        <v/>
      </c>
      <c r="W189" s="66" t="str">
        <f t="shared" si="78"/>
        <v/>
      </c>
      <c r="X189" s="66">
        <f t="shared" si="78"/>
        <v>27</v>
      </c>
      <c r="Y189" s="66" t="str">
        <f t="shared" si="78"/>
        <v/>
      </c>
      <c r="Z189" s="66" t="str">
        <f t="shared" si="78"/>
        <v/>
      </c>
      <c r="AA189" s="66" t="str">
        <f t="shared" si="78"/>
        <v>.</v>
      </c>
      <c r="AB189" s="66" t="str">
        <f t="shared" si="78"/>
        <v/>
      </c>
      <c r="AC189" s="66" t="str">
        <f t="shared" si="78"/>
        <v/>
      </c>
      <c r="AD189" s="66" t="str">
        <f t="shared" si="78"/>
        <v/>
      </c>
      <c r="AE189" s="66">
        <f t="shared" si="78"/>
        <v>27</v>
      </c>
      <c r="AF189" s="66" t="str">
        <f t="shared" si="78"/>
        <v/>
      </c>
      <c r="AG189" s="66" t="str">
        <f t="shared" si="78"/>
        <v/>
      </c>
      <c r="AH189" s="66" t="str">
        <f t="shared" si="78"/>
        <v/>
      </c>
      <c r="AI189" s="66" t="str">
        <f t="shared" si="78"/>
        <v/>
      </c>
      <c r="AJ189" s="66" t="str">
        <f t="shared" si="78"/>
        <v/>
      </c>
    </row>
    <row r="190" spans="1:36">
      <c r="A190" s="66">
        <f t="shared" si="74"/>
        <v>28</v>
      </c>
      <c r="B190" s="66" t="str">
        <f t="shared" si="74"/>
        <v>高仲廷</v>
      </c>
      <c r="C190" s="66" t="str">
        <f t="shared" si="78"/>
        <v>.</v>
      </c>
      <c r="D190" s="66">
        <f t="shared" si="78"/>
        <v>28</v>
      </c>
      <c r="E190" s="66" t="str">
        <f t="shared" si="78"/>
        <v/>
      </c>
      <c r="F190" s="66" t="str">
        <f t="shared" si="78"/>
        <v/>
      </c>
      <c r="G190" s="66" t="str">
        <f t="shared" si="78"/>
        <v/>
      </c>
      <c r="H190" s="66" t="str">
        <f t="shared" si="78"/>
        <v/>
      </c>
      <c r="I190" s="66" t="str">
        <f t="shared" si="78"/>
        <v>.</v>
      </c>
      <c r="J190" s="66" t="str">
        <f t="shared" si="78"/>
        <v/>
      </c>
      <c r="K190" s="66">
        <f t="shared" si="78"/>
        <v>28</v>
      </c>
      <c r="L190" s="66" t="str">
        <f t="shared" si="78"/>
        <v/>
      </c>
      <c r="M190" s="66" t="str">
        <f t="shared" si="78"/>
        <v/>
      </c>
      <c r="N190" s="66" t="str">
        <f t="shared" si="78"/>
        <v/>
      </c>
      <c r="O190" s="66" t="str">
        <f t="shared" si="78"/>
        <v/>
      </c>
      <c r="P190" s="66" t="str">
        <f t="shared" si="78"/>
        <v/>
      </c>
      <c r="Q190" s="66" t="str">
        <f t="shared" si="78"/>
        <v>.</v>
      </c>
      <c r="R190" s="66" t="str">
        <f t="shared" si="78"/>
        <v/>
      </c>
      <c r="S190" s="66">
        <f t="shared" si="78"/>
        <v>28</v>
      </c>
      <c r="T190" s="66" t="str">
        <f t="shared" si="78"/>
        <v/>
      </c>
      <c r="U190" s="66" t="str">
        <f t="shared" si="78"/>
        <v/>
      </c>
      <c r="V190" s="66" t="str">
        <f t="shared" si="78"/>
        <v/>
      </c>
      <c r="W190" s="66" t="str">
        <f t="shared" si="78"/>
        <v/>
      </c>
      <c r="X190" s="66" t="str">
        <f t="shared" si="78"/>
        <v>.</v>
      </c>
      <c r="Y190" s="66" t="str">
        <f t="shared" si="78"/>
        <v/>
      </c>
      <c r="Z190" s="66" t="str">
        <f t="shared" si="78"/>
        <v/>
      </c>
      <c r="AA190" s="66" t="str">
        <f t="shared" si="78"/>
        <v/>
      </c>
      <c r="AB190" s="66" t="str">
        <f t="shared" si="78"/>
        <v/>
      </c>
      <c r="AC190" s="66" t="str">
        <f t="shared" si="78"/>
        <v/>
      </c>
      <c r="AD190" s="66" t="str">
        <f t="shared" si="78"/>
        <v/>
      </c>
      <c r="AE190" s="66" t="str">
        <f t="shared" si="78"/>
        <v>.</v>
      </c>
      <c r="AF190" s="66">
        <f t="shared" si="78"/>
        <v>28</v>
      </c>
      <c r="AG190" s="66" t="str">
        <f t="shared" si="78"/>
        <v/>
      </c>
      <c r="AH190" s="66" t="str">
        <f t="shared" si="78"/>
        <v/>
      </c>
      <c r="AI190" s="66" t="str">
        <f t="shared" si="78"/>
        <v/>
      </c>
      <c r="AJ190" s="66" t="str">
        <f t="shared" si="78"/>
        <v/>
      </c>
    </row>
    <row r="191" spans="1:36">
      <c r="A191" s="66">
        <f t="shared" si="74"/>
        <v>29</v>
      </c>
      <c r="B191" s="66" t="str">
        <f t="shared" si="74"/>
        <v>陳羲</v>
      </c>
      <c r="C191" s="66" t="str">
        <f t="shared" si="78"/>
        <v/>
      </c>
      <c r="D191" s="66" t="str">
        <f t="shared" si="78"/>
        <v>.</v>
      </c>
      <c r="E191" s="66" t="str">
        <f t="shared" si="78"/>
        <v/>
      </c>
      <c r="F191" s="66">
        <f t="shared" si="78"/>
        <v>29</v>
      </c>
      <c r="G191" s="66" t="str">
        <f t="shared" si="78"/>
        <v/>
      </c>
      <c r="H191" s="66" t="str">
        <f t="shared" si="78"/>
        <v/>
      </c>
      <c r="I191" s="66" t="str">
        <f t="shared" si="78"/>
        <v/>
      </c>
      <c r="J191" s="66" t="str">
        <f t="shared" si="78"/>
        <v/>
      </c>
      <c r="K191" s="66" t="str">
        <f t="shared" si="78"/>
        <v>.</v>
      </c>
      <c r="L191" s="66" t="str">
        <f t="shared" si="78"/>
        <v/>
      </c>
      <c r="M191" s="66">
        <f t="shared" si="78"/>
        <v>29</v>
      </c>
      <c r="N191" s="66" t="str">
        <f t="shared" si="78"/>
        <v/>
      </c>
      <c r="O191" s="66" t="str">
        <f t="shared" si="78"/>
        <v/>
      </c>
      <c r="P191" s="66" t="str">
        <f t="shared" si="78"/>
        <v/>
      </c>
      <c r="Q191" s="66" t="str">
        <f t="shared" si="78"/>
        <v/>
      </c>
      <c r="R191" s="66" t="str">
        <f t="shared" si="78"/>
        <v/>
      </c>
      <c r="S191" s="66" t="str">
        <f t="shared" si="78"/>
        <v>.</v>
      </c>
      <c r="T191" s="66">
        <f t="shared" si="78"/>
        <v>29</v>
      </c>
      <c r="U191" s="66" t="str">
        <f t="shared" si="78"/>
        <v/>
      </c>
      <c r="V191" s="66" t="str">
        <f t="shared" si="78"/>
        <v/>
      </c>
      <c r="W191" s="66" t="str">
        <f t="shared" si="78"/>
        <v/>
      </c>
      <c r="X191" s="66" t="str">
        <f t="shared" si="78"/>
        <v/>
      </c>
      <c r="Y191" s="66" t="str">
        <f t="shared" si="78"/>
        <v/>
      </c>
      <c r="Z191" s="66" t="str">
        <f t="shared" si="78"/>
        <v/>
      </c>
      <c r="AA191" s="66">
        <f t="shared" si="78"/>
        <v>29</v>
      </c>
      <c r="AB191" s="66" t="str">
        <f t="shared" si="78"/>
        <v/>
      </c>
      <c r="AC191" s="66">
        <f t="shared" si="78"/>
        <v>29</v>
      </c>
      <c r="AD191" s="66" t="str">
        <f t="shared" si="78"/>
        <v/>
      </c>
      <c r="AE191" s="66" t="str">
        <f t="shared" si="78"/>
        <v/>
      </c>
      <c r="AF191" s="66" t="str">
        <f t="shared" si="78"/>
        <v>.</v>
      </c>
      <c r="AG191" s="66" t="str">
        <f t="shared" si="78"/>
        <v/>
      </c>
      <c r="AH191" s="66" t="str">
        <f t="shared" si="78"/>
        <v/>
      </c>
      <c r="AI191" s="66" t="str">
        <f t="shared" si="78"/>
        <v/>
      </c>
      <c r="AJ191" s="66" t="str">
        <f t="shared" si="78"/>
        <v/>
      </c>
    </row>
    <row r="192" spans="1:36">
      <c r="A192" s="66">
        <f t="shared" si="74"/>
        <v>30</v>
      </c>
      <c r="B192" s="66" t="str">
        <f t="shared" si="74"/>
        <v>謝昕融</v>
      </c>
      <c r="C192" s="66" t="str">
        <f t="shared" si="78"/>
        <v/>
      </c>
      <c r="D192" s="66" t="str">
        <f t="shared" si="78"/>
        <v/>
      </c>
      <c r="E192" s="66" t="str">
        <f t="shared" si="78"/>
        <v/>
      </c>
      <c r="F192" s="66" t="str">
        <f t="shared" si="78"/>
        <v>.</v>
      </c>
      <c r="G192" s="66" t="str">
        <f t="shared" si="78"/>
        <v/>
      </c>
      <c r="H192" s="66" t="str">
        <f t="shared" si="78"/>
        <v/>
      </c>
      <c r="I192" s="66">
        <f t="shared" si="78"/>
        <v>30</v>
      </c>
      <c r="J192" s="66" t="str">
        <f t="shared" si="78"/>
        <v/>
      </c>
      <c r="K192" s="66" t="str">
        <f t="shared" si="78"/>
        <v/>
      </c>
      <c r="L192" s="66" t="str">
        <f t="shared" si="78"/>
        <v/>
      </c>
      <c r="M192" s="66" t="str">
        <f t="shared" si="78"/>
        <v>.</v>
      </c>
      <c r="N192" s="66" t="str">
        <f t="shared" si="78"/>
        <v/>
      </c>
      <c r="O192" s="66" t="str">
        <f t="shared" si="78"/>
        <v/>
      </c>
      <c r="P192" s="66" t="str">
        <f t="shared" si="78"/>
        <v/>
      </c>
      <c r="Q192" s="66" t="str">
        <f t="shared" si="78"/>
        <v/>
      </c>
      <c r="R192" s="66" t="str">
        <f t="shared" si="78"/>
        <v/>
      </c>
      <c r="S192" s="66">
        <f t="shared" si="78"/>
        <v>30</v>
      </c>
      <c r="T192" s="66" t="str">
        <f t="shared" si="78"/>
        <v>.</v>
      </c>
      <c r="U192" s="66" t="str">
        <f t="shared" si="78"/>
        <v/>
      </c>
      <c r="V192" s="66" t="str">
        <f t="shared" si="78"/>
        <v/>
      </c>
      <c r="W192" s="66" t="str">
        <f t="shared" si="78"/>
        <v/>
      </c>
      <c r="X192" s="66" t="str">
        <f t="shared" si="78"/>
        <v/>
      </c>
      <c r="Y192" s="66">
        <f t="shared" si="78"/>
        <v>30</v>
      </c>
      <c r="Z192" s="66" t="str">
        <f t="shared" si="78"/>
        <v/>
      </c>
      <c r="AA192" s="66" t="str">
        <f t="shared" si="78"/>
        <v>.</v>
      </c>
      <c r="AB192" s="66" t="str">
        <f t="shared" si="78"/>
        <v/>
      </c>
      <c r="AC192" s="66" t="str">
        <f t="shared" si="78"/>
        <v>.</v>
      </c>
      <c r="AD192" s="66" t="str">
        <f t="shared" si="78"/>
        <v/>
      </c>
      <c r="AE192" s="66" t="str">
        <f t="shared" si="78"/>
        <v/>
      </c>
      <c r="AF192" s="66">
        <f t="shared" si="78"/>
        <v>30</v>
      </c>
      <c r="AG192" s="66" t="str">
        <f t="shared" si="78"/>
        <v/>
      </c>
      <c r="AH192" s="66" t="str">
        <f t="shared" si="78"/>
        <v/>
      </c>
      <c r="AI192" s="66" t="str">
        <f t="shared" si="78"/>
        <v/>
      </c>
      <c r="AJ192" s="66" t="str">
        <f t="shared" si="78"/>
        <v/>
      </c>
    </row>
    <row r="193" spans="1:55">
      <c r="A193" s="66">
        <f t="shared" si="74"/>
        <v>31</v>
      </c>
      <c r="B193" s="66" t="str">
        <f t="shared" si="74"/>
        <v>許峰銘</v>
      </c>
      <c r="C193" s="66" t="str">
        <f t="shared" si="78"/>
        <v/>
      </c>
      <c r="D193" s="66" t="str">
        <f t="shared" si="78"/>
        <v/>
      </c>
      <c r="E193" s="66" t="str">
        <f t="shared" si="78"/>
        <v/>
      </c>
      <c r="F193" s="66" t="str">
        <f t="shared" si="78"/>
        <v/>
      </c>
      <c r="G193" s="66" t="str">
        <f t="shared" si="78"/>
        <v/>
      </c>
      <c r="H193" s="66" t="str">
        <f t="shared" si="78"/>
        <v/>
      </c>
      <c r="I193" s="66" t="str">
        <f t="shared" si="78"/>
        <v>.</v>
      </c>
      <c r="J193" s="66" t="str">
        <f t="shared" si="78"/>
        <v/>
      </c>
      <c r="K193" s="66" t="str">
        <f t="shared" si="78"/>
        <v/>
      </c>
      <c r="L193" s="66" t="str">
        <f t="shared" si="78"/>
        <v/>
      </c>
      <c r="M193" s="66">
        <f t="shared" si="78"/>
        <v>31</v>
      </c>
      <c r="N193" s="66" t="str">
        <f t="shared" si="78"/>
        <v/>
      </c>
      <c r="O193" s="66" t="str">
        <f t="shared" si="78"/>
        <v/>
      </c>
      <c r="P193" s="66" t="str">
        <f t="shared" si="78"/>
        <v/>
      </c>
      <c r="Q193" s="66" t="str">
        <f t="shared" si="78"/>
        <v/>
      </c>
      <c r="R193" s="66">
        <f t="shared" si="78"/>
        <v>31</v>
      </c>
      <c r="S193" s="66" t="str">
        <f t="shared" si="78"/>
        <v>.</v>
      </c>
      <c r="T193" s="66" t="str">
        <f t="shared" si="78"/>
        <v/>
      </c>
      <c r="U193" s="66" t="str">
        <f t="shared" si="78"/>
        <v/>
      </c>
      <c r="V193" s="66" t="str">
        <f t="shared" si="78"/>
        <v/>
      </c>
      <c r="W193" s="66" t="str">
        <f t="shared" si="78"/>
        <v/>
      </c>
      <c r="X193" s="66">
        <f t="shared" si="78"/>
        <v>31</v>
      </c>
      <c r="Y193" s="66" t="str">
        <f t="shared" si="78"/>
        <v>.</v>
      </c>
      <c r="Z193" s="66" t="str">
        <f t="shared" si="78"/>
        <v/>
      </c>
      <c r="AA193" s="66" t="str">
        <f t="shared" si="78"/>
        <v/>
      </c>
      <c r="AB193" s="66" t="str">
        <f t="shared" si="78"/>
        <v/>
      </c>
      <c r="AC193" s="66" t="str">
        <f t="shared" si="78"/>
        <v/>
      </c>
      <c r="AD193" s="66" t="str">
        <f t="shared" si="78"/>
        <v/>
      </c>
      <c r="AE193" s="66">
        <f t="shared" si="78"/>
        <v>31</v>
      </c>
      <c r="AF193" s="66" t="str">
        <f t="shared" si="78"/>
        <v>.</v>
      </c>
      <c r="AG193" s="66" t="str">
        <f t="shared" si="78"/>
        <v/>
      </c>
      <c r="AH193" s="66" t="str">
        <f t="shared" si="78"/>
        <v/>
      </c>
      <c r="AI193" s="66" t="str">
        <f t="shared" si="78"/>
        <v/>
      </c>
      <c r="AJ193" s="66" t="str">
        <f t="shared" si="78"/>
        <v/>
      </c>
    </row>
    <row r="194" spans="1:55">
      <c r="A194" s="66">
        <f t="shared" si="74"/>
        <v>32</v>
      </c>
      <c r="B194" s="66" t="str">
        <f t="shared" si="74"/>
        <v>莊博竣</v>
      </c>
      <c r="C194" s="66" t="str">
        <f t="shared" si="78"/>
        <v/>
      </c>
      <c r="D194" s="66" t="str">
        <f t="shared" si="78"/>
        <v/>
      </c>
      <c r="E194" s="66" t="str">
        <f t="shared" si="78"/>
        <v/>
      </c>
      <c r="F194" s="66" t="str">
        <f t="shared" si="78"/>
        <v/>
      </c>
      <c r="G194" s="66" t="str">
        <f t="shared" si="78"/>
        <v/>
      </c>
      <c r="H194" s="66" t="str">
        <f t="shared" si="78"/>
        <v/>
      </c>
      <c r="I194" s="66" t="str">
        <f t="shared" si="78"/>
        <v/>
      </c>
      <c r="J194" s="66" t="str">
        <f t="shared" si="78"/>
        <v/>
      </c>
      <c r="K194" s="66" t="str">
        <f t="shared" si="78"/>
        <v/>
      </c>
      <c r="L194" s="66" t="str">
        <f t="shared" si="78"/>
        <v/>
      </c>
      <c r="M194" s="66" t="str">
        <f t="shared" si="78"/>
        <v>.</v>
      </c>
      <c r="N194" s="66" t="str">
        <f t="shared" si="78"/>
        <v/>
      </c>
      <c r="O194" s="66" t="str">
        <f t="shared" si="78"/>
        <v/>
      </c>
      <c r="P194" s="66" t="str">
        <f t="shared" si="78"/>
        <v/>
      </c>
      <c r="Q194" s="66" t="str">
        <f t="shared" si="78"/>
        <v/>
      </c>
      <c r="R194" s="66" t="str">
        <f t="shared" si="78"/>
        <v>.</v>
      </c>
      <c r="S194" s="66" t="str">
        <f t="shared" si="78"/>
        <v/>
      </c>
      <c r="T194" s="66" t="str">
        <f t="shared" si="78"/>
        <v/>
      </c>
      <c r="U194" s="66" t="str">
        <f t="shared" si="78"/>
        <v/>
      </c>
      <c r="V194" s="66" t="str">
        <f t="shared" si="78"/>
        <v/>
      </c>
      <c r="W194" s="66" t="str">
        <f t="shared" si="78"/>
        <v/>
      </c>
      <c r="X194" s="66" t="str">
        <f t="shared" si="78"/>
        <v>.</v>
      </c>
      <c r="Y194" s="66" t="str">
        <f t="shared" si="78"/>
        <v/>
      </c>
      <c r="Z194" s="66" t="str">
        <f t="shared" si="78"/>
        <v/>
      </c>
      <c r="AA194" s="66" t="str">
        <f t="shared" si="78"/>
        <v/>
      </c>
      <c r="AB194" s="66" t="str">
        <f t="shared" si="78"/>
        <v/>
      </c>
      <c r="AC194" s="66" t="str">
        <f t="shared" si="78"/>
        <v/>
      </c>
      <c r="AD194" s="66" t="str">
        <f t="shared" si="78"/>
        <v/>
      </c>
      <c r="AE194" s="66" t="str">
        <f t="shared" si="78"/>
        <v>.</v>
      </c>
      <c r="AF194" s="66" t="str">
        <f t="shared" si="78"/>
        <v/>
      </c>
      <c r="AG194" s="66" t="str">
        <f t="shared" si="78"/>
        <v/>
      </c>
      <c r="AH194" s="66" t="str">
        <f t="shared" si="78"/>
        <v/>
      </c>
      <c r="AI194" s="66" t="str">
        <f t="shared" si="78"/>
        <v/>
      </c>
      <c r="AJ194" s="66" t="str">
        <f t="shared" si="78"/>
        <v/>
      </c>
    </row>
    <row r="195" spans="1:55">
      <c r="A195" s="66">
        <f t="shared" ref="A195:B198" si="79">A155</f>
        <v>33</v>
      </c>
      <c r="B195" s="66" t="str">
        <f t="shared" si="79"/>
        <v/>
      </c>
      <c r="C195" s="66" t="str">
        <f t="shared" si="78"/>
        <v/>
      </c>
      <c r="D195" s="66" t="str">
        <f t="shared" si="78"/>
        <v/>
      </c>
      <c r="E195" s="66" t="str">
        <f t="shared" si="78"/>
        <v/>
      </c>
      <c r="F195" s="66" t="str">
        <f t="shared" si="78"/>
        <v/>
      </c>
      <c r="G195" s="66" t="str">
        <f t="shared" si="78"/>
        <v/>
      </c>
      <c r="H195" s="66" t="str">
        <f t="shared" si="78"/>
        <v/>
      </c>
      <c r="I195" s="66" t="str">
        <f t="shared" si="78"/>
        <v/>
      </c>
      <c r="J195" s="66" t="str">
        <f t="shared" si="78"/>
        <v/>
      </c>
      <c r="K195" s="66" t="str">
        <f t="shared" si="78"/>
        <v/>
      </c>
      <c r="L195" s="66" t="str">
        <f t="shared" si="78"/>
        <v/>
      </c>
      <c r="M195" s="66" t="str">
        <f t="shared" si="78"/>
        <v/>
      </c>
      <c r="N195" s="66" t="str">
        <f t="shared" si="78"/>
        <v/>
      </c>
      <c r="O195" s="66" t="str">
        <f t="shared" si="78"/>
        <v/>
      </c>
      <c r="P195" s="66" t="str">
        <f t="shared" si="78"/>
        <v/>
      </c>
      <c r="Q195" s="66" t="str">
        <f t="shared" si="78"/>
        <v/>
      </c>
      <c r="R195" s="66" t="str">
        <f t="shared" si="78"/>
        <v/>
      </c>
      <c r="S195" s="66" t="str">
        <f t="shared" si="78"/>
        <v/>
      </c>
      <c r="T195" s="66" t="str">
        <f t="shared" si="78"/>
        <v/>
      </c>
      <c r="U195" s="66" t="str">
        <f t="shared" si="78"/>
        <v/>
      </c>
      <c r="V195" s="66" t="str">
        <f t="shared" si="78"/>
        <v/>
      </c>
      <c r="W195" s="66" t="str">
        <f t="shared" si="78"/>
        <v/>
      </c>
      <c r="X195" s="66" t="str">
        <f t="shared" si="78"/>
        <v/>
      </c>
      <c r="Y195" s="66" t="str">
        <f t="shared" si="78"/>
        <v/>
      </c>
      <c r="Z195" s="66" t="str">
        <f t="shared" si="78"/>
        <v/>
      </c>
      <c r="AA195" s="66" t="str">
        <f t="shared" si="78"/>
        <v/>
      </c>
      <c r="AB195" s="66" t="str">
        <f t="shared" si="78"/>
        <v/>
      </c>
      <c r="AC195" s="66" t="str">
        <f t="shared" si="78"/>
        <v/>
      </c>
      <c r="AD195" s="66" t="str">
        <f t="shared" si="78"/>
        <v/>
      </c>
      <c r="AE195" s="66" t="str">
        <f t="shared" si="78"/>
        <v/>
      </c>
      <c r="AF195" s="66" t="str">
        <f t="shared" si="78"/>
        <v/>
      </c>
      <c r="AG195" s="66" t="str">
        <f t="shared" si="78"/>
        <v/>
      </c>
      <c r="AH195" s="66" t="str">
        <f t="shared" si="78"/>
        <v/>
      </c>
      <c r="AI195" s="66" t="str">
        <f t="shared" si="78"/>
        <v/>
      </c>
      <c r="AJ195" s="66" t="str">
        <f t="shared" si="78"/>
        <v/>
      </c>
    </row>
    <row r="196" spans="1:55">
      <c r="A196" s="66">
        <f t="shared" si="79"/>
        <v>34</v>
      </c>
      <c r="B196" s="66" t="str">
        <f t="shared" si="79"/>
        <v/>
      </c>
      <c r="C196" s="66" t="str">
        <f t="shared" si="78"/>
        <v/>
      </c>
      <c r="D196" s="66" t="str">
        <f t="shared" si="78"/>
        <v/>
      </c>
      <c r="E196" s="66" t="str">
        <f t="shared" si="78"/>
        <v/>
      </c>
      <c r="F196" s="66" t="str">
        <f t="shared" si="78"/>
        <v/>
      </c>
      <c r="G196" s="66" t="str">
        <f t="shared" si="78"/>
        <v/>
      </c>
      <c r="H196" s="66" t="str">
        <f t="shared" si="78"/>
        <v/>
      </c>
      <c r="I196" s="66" t="str">
        <f t="shared" si="78"/>
        <v/>
      </c>
      <c r="J196" s="66" t="str">
        <f t="shared" si="78"/>
        <v/>
      </c>
      <c r="K196" s="66" t="str">
        <f t="shared" si="78"/>
        <v/>
      </c>
      <c r="L196" s="66" t="str">
        <f t="shared" si="78"/>
        <v/>
      </c>
      <c r="M196" s="66" t="str">
        <f t="shared" si="78"/>
        <v/>
      </c>
      <c r="N196" s="66" t="str">
        <f t="shared" si="78"/>
        <v/>
      </c>
      <c r="O196" s="66" t="str">
        <f t="shared" si="78"/>
        <v/>
      </c>
      <c r="P196" s="66" t="str">
        <f t="shared" si="78"/>
        <v/>
      </c>
      <c r="Q196" s="66" t="str">
        <f t="shared" si="78"/>
        <v/>
      </c>
      <c r="R196" s="66" t="str">
        <f t="shared" si="78"/>
        <v/>
      </c>
      <c r="S196" s="66" t="str">
        <f t="shared" si="78"/>
        <v/>
      </c>
      <c r="T196" s="66" t="str">
        <f t="shared" ref="T196:AJ196" si="80">IF(  OR(  LEN(T195)=2,LEN(T195)=3  ),  CONCATENATE(  ".",IF(T76=$A$161,$A196,"")  ),IF(T76=$A$161,$A196,"")  )</f>
        <v/>
      </c>
      <c r="U196" s="66" t="str">
        <f t="shared" si="80"/>
        <v/>
      </c>
      <c r="V196" s="66" t="str">
        <f t="shared" si="80"/>
        <v/>
      </c>
      <c r="W196" s="66" t="str">
        <f t="shared" si="80"/>
        <v/>
      </c>
      <c r="X196" s="66" t="str">
        <f t="shared" si="80"/>
        <v/>
      </c>
      <c r="Y196" s="66" t="str">
        <f t="shared" si="80"/>
        <v/>
      </c>
      <c r="Z196" s="66" t="str">
        <f t="shared" si="80"/>
        <v/>
      </c>
      <c r="AA196" s="66" t="str">
        <f t="shared" si="80"/>
        <v/>
      </c>
      <c r="AB196" s="66" t="str">
        <f t="shared" si="80"/>
        <v/>
      </c>
      <c r="AC196" s="66" t="str">
        <f t="shared" si="80"/>
        <v/>
      </c>
      <c r="AD196" s="66" t="str">
        <f t="shared" si="80"/>
        <v/>
      </c>
      <c r="AE196" s="66" t="str">
        <f t="shared" si="80"/>
        <v/>
      </c>
      <c r="AF196" s="66" t="str">
        <f t="shared" si="80"/>
        <v/>
      </c>
      <c r="AG196" s="66" t="str">
        <f t="shared" si="80"/>
        <v/>
      </c>
      <c r="AH196" s="66" t="str">
        <f t="shared" si="80"/>
        <v/>
      </c>
      <c r="AI196" s="66" t="str">
        <f t="shared" si="80"/>
        <v/>
      </c>
      <c r="AJ196" s="66" t="str">
        <f t="shared" si="80"/>
        <v/>
      </c>
    </row>
    <row r="197" spans="1:55">
      <c r="A197" s="66">
        <f t="shared" si="79"/>
        <v>35</v>
      </c>
      <c r="B197" s="66" t="str">
        <f t="shared" si="79"/>
        <v/>
      </c>
      <c r="C197" s="66" t="str">
        <f t="shared" ref="C197:AJ198" si="81">IF(  OR(  LEN(C196)=2,LEN(C196)=3  ),  CONCATENATE(  ".",IF(C77=$A$161,$A197,"")  ),IF(C77=$A$161,$A197,"")  )</f>
        <v/>
      </c>
      <c r="D197" s="66" t="str">
        <f t="shared" si="81"/>
        <v/>
      </c>
      <c r="E197" s="66" t="str">
        <f t="shared" si="81"/>
        <v/>
      </c>
      <c r="F197" s="66" t="str">
        <f t="shared" si="81"/>
        <v/>
      </c>
      <c r="G197" s="66" t="str">
        <f t="shared" si="81"/>
        <v/>
      </c>
      <c r="H197" s="66" t="str">
        <f t="shared" si="81"/>
        <v/>
      </c>
      <c r="I197" s="66" t="str">
        <f t="shared" si="81"/>
        <v/>
      </c>
      <c r="J197" s="66" t="str">
        <f t="shared" si="81"/>
        <v/>
      </c>
      <c r="K197" s="66" t="str">
        <f t="shared" si="81"/>
        <v/>
      </c>
      <c r="L197" s="66" t="str">
        <f t="shared" si="81"/>
        <v/>
      </c>
      <c r="M197" s="66" t="str">
        <f t="shared" si="81"/>
        <v/>
      </c>
      <c r="N197" s="66" t="str">
        <f t="shared" si="81"/>
        <v/>
      </c>
      <c r="O197" s="66" t="str">
        <f t="shared" si="81"/>
        <v/>
      </c>
      <c r="P197" s="66" t="str">
        <f t="shared" si="81"/>
        <v/>
      </c>
      <c r="Q197" s="66" t="str">
        <f t="shared" si="81"/>
        <v/>
      </c>
      <c r="R197" s="66" t="str">
        <f t="shared" si="81"/>
        <v/>
      </c>
      <c r="S197" s="66" t="str">
        <f t="shared" si="81"/>
        <v/>
      </c>
      <c r="T197" s="66" t="str">
        <f t="shared" si="81"/>
        <v/>
      </c>
      <c r="U197" s="66" t="str">
        <f t="shared" si="81"/>
        <v/>
      </c>
      <c r="V197" s="66" t="str">
        <f t="shared" si="81"/>
        <v/>
      </c>
      <c r="W197" s="66" t="str">
        <f t="shared" si="81"/>
        <v/>
      </c>
      <c r="X197" s="66" t="str">
        <f t="shared" si="81"/>
        <v/>
      </c>
      <c r="Y197" s="66" t="str">
        <f t="shared" si="81"/>
        <v/>
      </c>
      <c r="Z197" s="66" t="str">
        <f t="shared" si="81"/>
        <v/>
      </c>
      <c r="AA197" s="66" t="str">
        <f t="shared" si="81"/>
        <v/>
      </c>
      <c r="AB197" s="66" t="str">
        <f t="shared" si="81"/>
        <v/>
      </c>
      <c r="AC197" s="66" t="str">
        <f t="shared" si="81"/>
        <v/>
      </c>
      <c r="AD197" s="66" t="str">
        <f t="shared" si="81"/>
        <v/>
      </c>
      <c r="AE197" s="66" t="str">
        <f t="shared" si="81"/>
        <v/>
      </c>
      <c r="AF197" s="66" t="str">
        <f t="shared" si="81"/>
        <v/>
      </c>
      <c r="AG197" s="66" t="str">
        <f t="shared" si="81"/>
        <v/>
      </c>
      <c r="AH197" s="66" t="str">
        <f t="shared" si="81"/>
        <v/>
      </c>
      <c r="AI197" s="66" t="str">
        <f t="shared" si="81"/>
        <v/>
      </c>
      <c r="AJ197" s="66" t="str">
        <f t="shared" si="81"/>
        <v/>
      </c>
    </row>
    <row r="198" spans="1:55">
      <c r="A198" s="66">
        <f t="shared" si="79"/>
        <v>37</v>
      </c>
      <c r="B198" s="66" t="str">
        <f t="shared" si="79"/>
        <v/>
      </c>
      <c r="C198" s="66" t="str">
        <f t="shared" si="81"/>
        <v/>
      </c>
      <c r="D198" s="66" t="str">
        <f t="shared" si="81"/>
        <v/>
      </c>
      <c r="E198" s="66" t="str">
        <f t="shared" si="81"/>
        <v/>
      </c>
      <c r="F198" s="66" t="str">
        <f t="shared" si="81"/>
        <v/>
      </c>
      <c r="G198" s="66" t="str">
        <f t="shared" si="81"/>
        <v/>
      </c>
      <c r="H198" s="66" t="str">
        <f t="shared" si="81"/>
        <v/>
      </c>
      <c r="I198" s="66" t="str">
        <f t="shared" si="81"/>
        <v/>
      </c>
      <c r="J198" s="66" t="str">
        <f t="shared" si="81"/>
        <v/>
      </c>
      <c r="K198" s="66" t="str">
        <f t="shared" si="81"/>
        <v/>
      </c>
      <c r="L198" s="66" t="str">
        <f t="shared" si="81"/>
        <v/>
      </c>
      <c r="M198" s="66" t="str">
        <f t="shared" si="81"/>
        <v/>
      </c>
      <c r="N198" s="66" t="str">
        <f t="shared" si="81"/>
        <v/>
      </c>
      <c r="O198" s="66" t="str">
        <f t="shared" si="81"/>
        <v/>
      </c>
      <c r="P198" s="66" t="str">
        <f t="shared" si="81"/>
        <v/>
      </c>
      <c r="Q198" s="66" t="str">
        <f t="shared" si="81"/>
        <v/>
      </c>
      <c r="R198" s="66" t="str">
        <f t="shared" si="81"/>
        <v/>
      </c>
      <c r="S198" s="66" t="str">
        <f t="shared" si="81"/>
        <v/>
      </c>
      <c r="T198" s="66" t="str">
        <f t="shared" si="81"/>
        <v/>
      </c>
      <c r="U198" s="66" t="str">
        <f t="shared" si="81"/>
        <v/>
      </c>
      <c r="V198" s="66" t="str">
        <f t="shared" si="81"/>
        <v/>
      </c>
      <c r="W198" s="66" t="str">
        <f t="shared" si="81"/>
        <v/>
      </c>
      <c r="X198" s="66" t="str">
        <f t="shared" si="81"/>
        <v/>
      </c>
      <c r="Y198" s="66" t="str">
        <f t="shared" si="81"/>
        <v/>
      </c>
      <c r="Z198" s="66" t="str">
        <f t="shared" si="81"/>
        <v/>
      </c>
      <c r="AA198" s="66" t="str">
        <f t="shared" si="81"/>
        <v/>
      </c>
      <c r="AB198" s="66" t="str">
        <f t="shared" si="81"/>
        <v/>
      </c>
      <c r="AC198" s="66" t="str">
        <f t="shared" si="81"/>
        <v/>
      </c>
      <c r="AD198" s="66" t="str">
        <f t="shared" si="81"/>
        <v/>
      </c>
      <c r="AE198" s="66" t="str">
        <f t="shared" si="81"/>
        <v/>
      </c>
      <c r="AF198" s="66" t="str">
        <f t="shared" si="81"/>
        <v/>
      </c>
      <c r="AG198" s="66" t="str">
        <f t="shared" si="81"/>
        <v/>
      </c>
      <c r="AH198" s="66" t="str">
        <f t="shared" si="81"/>
        <v/>
      </c>
      <c r="AI198" s="66" t="str">
        <f t="shared" si="81"/>
        <v/>
      </c>
      <c r="AJ198" s="66" t="str">
        <f t="shared" si="81"/>
        <v/>
      </c>
    </row>
    <row r="199" spans="1:55">
      <c r="A199" s="66"/>
      <c r="B199" s="66"/>
      <c r="C199" s="66" t="str">
        <f>IFERROR(  LEFT(  CONCATENATE(C163,C164,C165,C166,C167,C168,C169,C170,C171,C172,C173,C174,C175,C176,C177,C178,C179,C180,C181,C182,C183,C184,C185,C186,C187,C188,C189,C190,C191,C192,C193,C194,C195,C196,C197,C198),LEN(  CONCATENATE(C163,C164,C165,C166,C167,C168,C169,C170,C171,C172,C173,C174,C175,C176,C177,C178,C179,C180,C181,C182,C183,C184,C185,C186,C187,C188,C189,C190,C191,C192,C193,C194,C195,C196,C197,C198)  )-1),"")</f>
        <v>20.21.25.27</v>
      </c>
      <c r="D199" s="66" t="str">
        <f t="shared" ref="D199:AJ199" si="82">IFERROR(  LEFT(  CONCATENATE(D163,D164,D165,D166,D167,D168,D169,D170,D171,D172,D173,D174,D175,D176,D177,D178,D179,D180,D181,D182,D183,D184,D185,D186,D187,D188,D189,D190,D191,D192,D193,D194,D195,D196,D197,D198),LEN(  CONCATENATE(D163,D164,D165,D166,D167,D168,D169,D170,D171,D172,D173,D174,D175,D176,D177,D178,D179,D180,D181,D182,D183,D184,D185,D186,D187,D188,D189,D190,D191,D192,D193,D194,D195,D196,D197,D198)  )-1),"")</f>
        <v>22.28</v>
      </c>
      <c r="E199" s="66" t="str">
        <f t="shared" si="82"/>
        <v/>
      </c>
      <c r="F199" s="66" t="str">
        <f t="shared" si="82"/>
        <v>29</v>
      </c>
      <c r="G199" s="66" t="str">
        <f t="shared" si="82"/>
        <v/>
      </c>
      <c r="H199" s="66" t="str">
        <f t="shared" si="82"/>
        <v/>
      </c>
      <c r="I199" s="66" t="str">
        <f t="shared" si="82"/>
        <v>22.23.27.30</v>
      </c>
      <c r="J199" s="66" t="str">
        <f t="shared" si="82"/>
        <v>20.21.25</v>
      </c>
      <c r="K199" s="66" t="str">
        <f t="shared" si="82"/>
        <v>28</v>
      </c>
      <c r="L199" s="66" t="str">
        <f t="shared" si="82"/>
        <v>26</v>
      </c>
      <c r="M199" s="66" t="str">
        <f t="shared" si="82"/>
        <v>29.31</v>
      </c>
      <c r="N199" s="66" t="str">
        <f t="shared" si="82"/>
        <v>24</v>
      </c>
      <c r="O199" s="66" t="str">
        <f t="shared" si="82"/>
        <v/>
      </c>
      <c r="P199" s="66" t="str">
        <f t="shared" si="82"/>
        <v/>
      </c>
      <c r="Q199" s="66" t="str">
        <f t="shared" si="82"/>
        <v>20.21.23.27</v>
      </c>
      <c r="R199" s="66" t="str">
        <f t="shared" si="82"/>
        <v>26.31</v>
      </c>
      <c r="S199" s="66" t="str">
        <f t="shared" si="82"/>
        <v>28.30</v>
      </c>
      <c r="T199" s="66" t="str">
        <f t="shared" si="82"/>
        <v>29</v>
      </c>
      <c r="U199" s="66" t="str">
        <f t="shared" si="82"/>
        <v/>
      </c>
      <c r="V199" s="66" t="str">
        <f t="shared" si="82"/>
        <v/>
      </c>
      <c r="W199" s="66" t="str">
        <f t="shared" si="82"/>
        <v>24</v>
      </c>
      <c r="X199" s="66" t="str">
        <f t="shared" si="82"/>
        <v>20.21.22.25.27.31</v>
      </c>
      <c r="Y199" s="66" t="str">
        <f t="shared" si="82"/>
        <v>30</v>
      </c>
      <c r="Z199" s="66" t="str">
        <f t="shared" si="82"/>
        <v/>
      </c>
      <c r="AA199" s="66" t="str">
        <f t="shared" si="82"/>
        <v>26.29</v>
      </c>
      <c r="AB199" s="66" t="str">
        <f t="shared" si="82"/>
        <v/>
      </c>
      <c r="AC199" s="66" t="str">
        <f t="shared" si="82"/>
        <v>29</v>
      </c>
      <c r="AD199" s="66" t="str">
        <f t="shared" si="82"/>
        <v>22</v>
      </c>
      <c r="AE199" s="66" t="str">
        <f t="shared" si="82"/>
        <v>20.21.24.25.27.31</v>
      </c>
      <c r="AF199" s="66" t="str">
        <f t="shared" si="82"/>
        <v>137810.13.15.28.30</v>
      </c>
      <c r="AG199" s="66" t="str">
        <f t="shared" si="82"/>
        <v/>
      </c>
      <c r="AH199" s="66" t="str">
        <f t="shared" si="82"/>
        <v/>
      </c>
      <c r="AI199" s="66" t="str">
        <f t="shared" si="82"/>
        <v/>
      </c>
      <c r="AJ199" s="66" t="str">
        <f t="shared" si="82"/>
        <v/>
      </c>
    </row>
    <row r="200" spans="1:55" s="289" customFormat="1">
      <c r="AP200" s="303"/>
      <c r="AU200" s="303"/>
      <c r="AV200" s="303"/>
      <c r="AY200" s="303"/>
      <c r="AZ200" s="303"/>
      <c r="BA200" s="303"/>
      <c r="BB200" s="303"/>
      <c r="BC200" s="303"/>
    </row>
    <row r="201" spans="1:55">
      <c r="A201" s="289" t="s">
        <v>266</v>
      </c>
    </row>
    <row r="202" spans="1:55">
      <c r="A202" s="66" t="str">
        <f>A162</f>
        <v>番號</v>
      </c>
      <c r="B202" s="66" t="str">
        <f t="shared" ref="B202:AJ202" si="83">B162</f>
        <v xml:space="preserve"> 姓名</v>
      </c>
      <c r="C202" s="66">
        <f t="shared" si="83"/>
        <v>1</v>
      </c>
      <c r="D202" s="66">
        <f t="shared" si="83"/>
        <v>2</v>
      </c>
      <c r="E202" s="66">
        <f t="shared" si="83"/>
        <v>3</v>
      </c>
      <c r="F202" s="66">
        <f t="shared" si="83"/>
        <v>4</v>
      </c>
      <c r="G202" s="66">
        <f t="shared" si="83"/>
        <v>5</v>
      </c>
      <c r="H202" s="66">
        <f t="shared" si="83"/>
        <v>6</v>
      </c>
      <c r="I202" s="66">
        <f t="shared" si="83"/>
        <v>7</v>
      </c>
      <c r="J202" s="66">
        <f t="shared" si="83"/>
        <v>8</v>
      </c>
      <c r="K202" s="66">
        <f t="shared" si="83"/>
        <v>9</v>
      </c>
      <c r="L202" s="66">
        <f t="shared" si="83"/>
        <v>10</v>
      </c>
      <c r="M202" s="66">
        <f t="shared" si="83"/>
        <v>11</v>
      </c>
      <c r="N202" s="66">
        <f t="shared" si="83"/>
        <v>12</v>
      </c>
      <c r="O202" s="66">
        <f t="shared" si="83"/>
        <v>13</v>
      </c>
      <c r="P202" s="66">
        <f t="shared" si="83"/>
        <v>14</v>
      </c>
      <c r="Q202" s="66">
        <f t="shared" si="83"/>
        <v>15</v>
      </c>
      <c r="R202" s="66">
        <f t="shared" si="83"/>
        <v>16</v>
      </c>
      <c r="S202" s="66">
        <f t="shared" si="83"/>
        <v>17</v>
      </c>
      <c r="T202" s="66">
        <f t="shared" si="83"/>
        <v>18</v>
      </c>
      <c r="U202" s="66">
        <f t="shared" si="83"/>
        <v>19</v>
      </c>
      <c r="V202" s="66">
        <f t="shared" si="83"/>
        <v>20</v>
      </c>
      <c r="W202" s="66">
        <f t="shared" si="83"/>
        <v>21</v>
      </c>
      <c r="X202" s="66">
        <f t="shared" si="83"/>
        <v>22</v>
      </c>
      <c r="Y202" s="66">
        <f t="shared" si="83"/>
        <v>23</v>
      </c>
      <c r="Z202" s="66">
        <f t="shared" si="83"/>
        <v>24</v>
      </c>
      <c r="AA202" s="66">
        <f t="shared" si="83"/>
        <v>25</v>
      </c>
      <c r="AB202" s="66">
        <f t="shared" si="83"/>
        <v>26</v>
      </c>
      <c r="AC202" s="66">
        <f t="shared" si="83"/>
        <v>27</v>
      </c>
      <c r="AD202" s="66">
        <f t="shared" si="83"/>
        <v>28</v>
      </c>
      <c r="AE202" s="66">
        <f t="shared" si="83"/>
        <v>29</v>
      </c>
      <c r="AF202" s="66">
        <f t="shared" si="83"/>
        <v>30</v>
      </c>
      <c r="AG202" s="66">
        <f t="shared" si="83"/>
        <v>31</v>
      </c>
      <c r="AH202" s="66">
        <f t="shared" si="83"/>
        <v>32</v>
      </c>
      <c r="AI202" s="66">
        <f t="shared" si="83"/>
        <v>33</v>
      </c>
      <c r="AJ202" s="66">
        <f t="shared" si="83"/>
        <v>34</v>
      </c>
    </row>
    <row r="203" spans="1:55">
      <c r="A203" s="66">
        <f t="shared" ref="A203:B218" si="84">A163</f>
        <v>1</v>
      </c>
      <c r="B203" s="66" t="str">
        <f t="shared" si="84"/>
        <v>葉家豪</v>
      </c>
      <c r="C203" s="66" t="str">
        <f>IF(  OR(  LEN(C202)=2,LEN(C202)=3  ),  CONCATENATE(  "",IF(C43=$A$201,$A203,"")  ),IF(C43=$A$201,$A203,"")  )</f>
        <v/>
      </c>
      <c r="D203" s="66" t="str">
        <f t="shared" ref="D203:AJ203" si="85">IF(  OR(  LEN(D202)=2,LEN(D202)=3  ),  CONCATENATE(  "",IF(D43=$A$201,$A203,"")  ),IF(D43=$A$201,$A203,"")  )</f>
        <v/>
      </c>
      <c r="E203" s="66" t="str">
        <f t="shared" si="85"/>
        <v/>
      </c>
      <c r="F203" s="66" t="str">
        <f t="shared" si="85"/>
        <v/>
      </c>
      <c r="G203" s="66" t="str">
        <f t="shared" si="85"/>
        <v/>
      </c>
      <c r="H203" s="66" t="str">
        <f t="shared" si="85"/>
        <v/>
      </c>
      <c r="I203" s="66" t="str">
        <f t="shared" si="85"/>
        <v/>
      </c>
      <c r="J203" s="66" t="str">
        <f t="shared" si="85"/>
        <v/>
      </c>
      <c r="K203" s="66" t="str">
        <f t="shared" si="85"/>
        <v/>
      </c>
      <c r="L203" s="66" t="str">
        <f t="shared" si="85"/>
        <v/>
      </c>
      <c r="M203" s="66" t="str">
        <f t="shared" si="85"/>
        <v/>
      </c>
      <c r="N203" s="66" t="str">
        <f t="shared" si="85"/>
        <v/>
      </c>
      <c r="O203" s="66" t="str">
        <f t="shared" si="85"/>
        <v/>
      </c>
      <c r="P203" s="66" t="str">
        <f t="shared" si="85"/>
        <v/>
      </c>
      <c r="Q203" s="66" t="str">
        <f t="shared" si="85"/>
        <v/>
      </c>
      <c r="R203" s="66" t="str">
        <f t="shared" si="85"/>
        <v/>
      </c>
      <c r="S203" s="66" t="str">
        <f t="shared" si="85"/>
        <v/>
      </c>
      <c r="T203" s="66" t="str">
        <f t="shared" si="85"/>
        <v/>
      </c>
      <c r="U203" s="66" t="str">
        <f t="shared" si="85"/>
        <v/>
      </c>
      <c r="V203" s="66" t="str">
        <f t="shared" si="85"/>
        <v/>
      </c>
      <c r="W203" s="66" t="str">
        <f t="shared" si="85"/>
        <v/>
      </c>
      <c r="X203" s="66" t="str">
        <f t="shared" si="85"/>
        <v/>
      </c>
      <c r="Y203" s="66" t="str">
        <f t="shared" si="85"/>
        <v/>
      </c>
      <c r="Z203" s="66" t="str">
        <f t="shared" si="85"/>
        <v/>
      </c>
      <c r="AA203" s="66" t="str">
        <f t="shared" si="85"/>
        <v/>
      </c>
      <c r="AB203" s="66" t="str">
        <f t="shared" si="85"/>
        <v/>
      </c>
      <c r="AC203" s="66" t="str">
        <f t="shared" si="85"/>
        <v/>
      </c>
      <c r="AD203" s="66" t="str">
        <f t="shared" si="85"/>
        <v/>
      </c>
      <c r="AE203" s="66" t="str">
        <f t="shared" si="85"/>
        <v/>
      </c>
      <c r="AF203" s="66" t="str">
        <f t="shared" si="85"/>
        <v/>
      </c>
      <c r="AG203" s="66" t="str">
        <f t="shared" si="85"/>
        <v/>
      </c>
      <c r="AH203" s="66" t="str">
        <f t="shared" si="85"/>
        <v/>
      </c>
      <c r="AI203" s="66" t="str">
        <f t="shared" si="85"/>
        <v/>
      </c>
      <c r="AJ203" s="66" t="str">
        <f t="shared" si="85"/>
        <v/>
      </c>
    </row>
    <row r="204" spans="1:55">
      <c r="A204" s="66">
        <f t="shared" si="84"/>
        <v>2</v>
      </c>
      <c r="B204" s="66" t="str">
        <f t="shared" si="84"/>
        <v>鄭智謙</v>
      </c>
      <c r="C204" s="66" t="str">
        <f t="shared" ref="C204" si="86">IF(  OR(  LEN(C203)=2,LEN(C203)=3  ),  CONCATENATE(  ".",IF(C44=$A$201,$A204,"")  ),IF(C44=$A$201,$A204,"")  )</f>
        <v/>
      </c>
      <c r="D204" s="66" t="str">
        <f t="shared" ref="D204:AJ204" si="87">IF(  OR(  LEN(D203)=2,LEN(D203)=3  ),  CONCATENATE(  ".",IF(D44=$A$201,$A204,"")  ),IF(D44=$A$201,$A204,"")  )</f>
        <v/>
      </c>
      <c r="E204" s="66" t="str">
        <f t="shared" si="87"/>
        <v/>
      </c>
      <c r="F204" s="66" t="str">
        <f t="shared" si="87"/>
        <v/>
      </c>
      <c r="G204" s="66" t="str">
        <f t="shared" si="87"/>
        <v/>
      </c>
      <c r="H204" s="66" t="str">
        <f t="shared" si="87"/>
        <v/>
      </c>
      <c r="I204" s="66" t="str">
        <f t="shared" si="87"/>
        <v/>
      </c>
      <c r="J204" s="66" t="str">
        <f t="shared" si="87"/>
        <v/>
      </c>
      <c r="K204" s="66" t="str">
        <f t="shared" si="87"/>
        <v/>
      </c>
      <c r="L204" s="66" t="str">
        <f t="shared" si="87"/>
        <v/>
      </c>
      <c r="M204" s="66" t="str">
        <f t="shared" si="87"/>
        <v/>
      </c>
      <c r="N204" s="66" t="str">
        <f t="shared" si="87"/>
        <v/>
      </c>
      <c r="O204" s="66" t="str">
        <f t="shared" si="87"/>
        <v/>
      </c>
      <c r="P204" s="66" t="str">
        <f t="shared" si="87"/>
        <v/>
      </c>
      <c r="Q204" s="66" t="str">
        <f t="shared" si="87"/>
        <v/>
      </c>
      <c r="R204" s="66" t="str">
        <f t="shared" si="87"/>
        <v/>
      </c>
      <c r="S204" s="66" t="str">
        <f t="shared" si="87"/>
        <v/>
      </c>
      <c r="T204" s="66" t="str">
        <f t="shared" si="87"/>
        <v/>
      </c>
      <c r="U204" s="66" t="str">
        <f t="shared" si="87"/>
        <v/>
      </c>
      <c r="V204" s="66" t="str">
        <f t="shared" si="87"/>
        <v/>
      </c>
      <c r="W204" s="66" t="str">
        <f t="shared" si="87"/>
        <v/>
      </c>
      <c r="X204" s="66" t="str">
        <f t="shared" si="87"/>
        <v/>
      </c>
      <c r="Y204" s="66" t="str">
        <f t="shared" si="87"/>
        <v/>
      </c>
      <c r="Z204" s="66" t="str">
        <f t="shared" si="87"/>
        <v/>
      </c>
      <c r="AA204" s="66" t="str">
        <f t="shared" si="87"/>
        <v/>
      </c>
      <c r="AB204" s="66" t="str">
        <f t="shared" si="87"/>
        <v/>
      </c>
      <c r="AC204" s="66" t="str">
        <f t="shared" si="87"/>
        <v/>
      </c>
      <c r="AD204" s="66" t="str">
        <f t="shared" si="87"/>
        <v/>
      </c>
      <c r="AE204" s="66" t="str">
        <f t="shared" si="87"/>
        <v/>
      </c>
      <c r="AF204" s="66" t="str">
        <f t="shared" si="87"/>
        <v/>
      </c>
      <c r="AG204" s="66" t="str">
        <f t="shared" si="87"/>
        <v/>
      </c>
      <c r="AH204" s="66" t="str">
        <f t="shared" si="87"/>
        <v/>
      </c>
      <c r="AI204" s="66" t="str">
        <f t="shared" si="87"/>
        <v/>
      </c>
      <c r="AJ204" s="66" t="str">
        <f t="shared" si="87"/>
        <v/>
      </c>
    </row>
    <row r="205" spans="1:55">
      <c r="A205" s="66">
        <f t="shared" si="84"/>
        <v>3</v>
      </c>
      <c r="B205" s="66" t="str">
        <f t="shared" si="84"/>
        <v>王敍安</v>
      </c>
      <c r="C205" s="66" t="str">
        <f t="shared" ref="C205:AJ212" si="88">IF(  OR(  LEN(C204)=2,LEN(C204)=3  ),  CONCATENATE(  ".",IF(C45=$A$201,$A205,"")  ),IF(C45=$A$201,$A205,"")  )</f>
        <v/>
      </c>
      <c r="D205" s="66" t="str">
        <f t="shared" si="88"/>
        <v/>
      </c>
      <c r="E205" s="66" t="str">
        <f t="shared" si="88"/>
        <v/>
      </c>
      <c r="F205" s="66" t="str">
        <f t="shared" si="88"/>
        <v/>
      </c>
      <c r="G205" s="66" t="str">
        <f t="shared" si="88"/>
        <v/>
      </c>
      <c r="H205" s="66" t="str">
        <f t="shared" si="88"/>
        <v/>
      </c>
      <c r="I205" s="66" t="str">
        <f t="shared" si="88"/>
        <v/>
      </c>
      <c r="J205" s="66" t="str">
        <f t="shared" si="88"/>
        <v/>
      </c>
      <c r="K205" s="66" t="str">
        <f t="shared" si="88"/>
        <v/>
      </c>
      <c r="L205" s="66" t="str">
        <f t="shared" si="88"/>
        <v/>
      </c>
      <c r="M205" s="66" t="str">
        <f t="shared" si="88"/>
        <v/>
      </c>
      <c r="N205" s="66" t="str">
        <f t="shared" si="88"/>
        <v/>
      </c>
      <c r="O205" s="66" t="str">
        <f t="shared" si="88"/>
        <v/>
      </c>
      <c r="P205" s="66" t="str">
        <f t="shared" si="88"/>
        <v/>
      </c>
      <c r="Q205" s="66" t="str">
        <f t="shared" si="88"/>
        <v/>
      </c>
      <c r="R205" s="66" t="str">
        <f t="shared" si="88"/>
        <v/>
      </c>
      <c r="S205" s="66" t="str">
        <f t="shared" si="88"/>
        <v/>
      </c>
      <c r="T205" s="66" t="str">
        <f t="shared" si="88"/>
        <v/>
      </c>
      <c r="U205" s="66" t="str">
        <f t="shared" si="88"/>
        <v/>
      </c>
      <c r="V205" s="66" t="str">
        <f t="shared" si="88"/>
        <v/>
      </c>
      <c r="W205" s="66" t="str">
        <f t="shared" si="88"/>
        <v/>
      </c>
      <c r="X205" s="66" t="str">
        <f t="shared" si="88"/>
        <v/>
      </c>
      <c r="Y205" s="66" t="str">
        <f t="shared" si="88"/>
        <v/>
      </c>
      <c r="Z205" s="66" t="str">
        <f t="shared" si="88"/>
        <v/>
      </c>
      <c r="AA205" s="66" t="str">
        <f t="shared" si="88"/>
        <v/>
      </c>
      <c r="AB205" s="66" t="str">
        <f t="shared" si="88"/>
        <v/>
      </c>
      <c r="AC205" s="66" t="str">
        <f t="shared" si="88"/>
        <v/>
      </c>
      <c r="AD205" s="66" t="str">
        <f t="shared" si="88"/>
        <v/>
      </c>
      <c r="AE205" s="66" t="str">
        <f t="shared" si="88"/>
        <v/>
      </c>
      <c r="AF205" s="66" t="str">
        <f t="shared" si="88"/>
        <v/>
      </c>
      <c r="AG205" s="66" t="str">
        <f t="shared" si="88"/>
        <v/>
      </c>
      <c r="AH205" s="66" t="str">
        <f t="shared" si="88"/>
        <v/>
      </c>
      <c r="AI205" s="66" t="str">
        <f t="shared" si="88"/>
        <v/>
      </c>
      <c r="AJ205" s="66" t="str">
        <f t="shared" si="88"/>
        <v/>
      </c>
    </row>
    <row r="206" spans="1:55">
      <c r="A206" s="66">
        <f t="shared" si="84"/>
        <v>4</v>
      </c>
      <c r="B206" s="66" t="str">
        <f t="shared" si="84"/>
        <v>鄭凱文</v>
      </c>
      <c r="C206" s="66" t="str">
        <f t="shared" si="88"/>
        <v/>
      </c>
      <c r="D206" s="66" t="str">
        <f t="shared" si="88"/>
        <v/>
      </c>
      <c r="E206" s="66" t="str">
        <f t="shared" si="88"/>
        <v/>
      </c>
      <c r="F206" s="66" t="str">
        <f t="shared" si="88"/>
        <v/>
      </c>
      <c r="G206" s="66" t="str">
        <f t="shared" si="88"/>
        <v/>
      </c>
      <c r="H206" s="66" t="str">
        <f t="shared" si="88"/>
        <v/>
      </c>
      <c r="I206" s="66" t="str">
        <f t="shared" si="88"/>
        <v/>
      </c>
      <c r="J206" s="66" t="str">
        <f t="shared" si="88"/>
        <v/>
      </c>
      <c r="K206" s="66" t="str">
        <f t="shared" si="88"/>
        <v/>
      </c>
      <c r="L206" s="66" t="str">
        <f t="shared" si="88"/>
        <v/>
      </c>
      <c r="M206" s="66" t="str">
        <f t="shared" si="88"/>
        <v/>
      </c>
      <c r="N206" s="66" t="str">
        <f t="shared" si="88"/>
        <v/>
      </c>
      <c r="O206" s="66" t="str">
        <f t="shared" si="88"/>
        <v/>
      </c>
      <c r="P206" s="66" t="str">
        <f t="shared" si="88"/>
        <v/>
      </c>
      <c r="Q206" s="66" t="str">
        <f t="shared" si="88"/>
        <v/>
      </c>
      <c r="R206" s="66" t="str">
        <f t="shared" si="88"/>
        <v/>
      </c>
      <c r="S206" s="66" t="str">
        <f t="shared" si="88"/>
        <v/>
      </c>
      <c r="T206" s="66" t="str">
        <f t="shared" si="88"/>
        <v/>
      </c>
      <c r="U206" s="66" t="str">
        <f t="shared" si="88"/>
        <v/>
      </c>
      <c r="V206" s="66" t="str">
        <f t="shared" si="88"/>
        <v/>
      </c>
      <c r="W206" s="66" t="str">
        <f t="shared" si="88"/>
        <v/>
      </c>
      <c r="X206" s="66" t="str">
        <f t="shared" si="88"/>
        <v/>
      </c>
      <c r="Y206" s="66" t="str">
        <f t="shared" si="88"/>
        <v/>
      </c>
      <c r="Z206" s="66" t="str">
        <f t="shared" si="88"/>
        <v/>
      </c>
      <c r="AA206" s="66" t="str">
        <f t="shared" si="88"/>
        <v/>
      </c>
      <c r="AB206" s="66" t="str">
        <f t="shared" si="88"/>
        <v/>
      </c>
      <c r="AC206" s="66" t="str">
        <f t="shared" si="88"/>
        <v/>
      </c>
      <c r="AD206" s="66" t="str">
        <f t="shared" si="88"/>
        <v/>
      </c>
      <c r="AE206" s="66" t="str">
        <f t="shared" si="88"/>
        <v/>
      </c>
      <c r="AF206" s="66" t="str">
        <f t="shared" si="88"/>
        <v/>
      </c>
      <c r="AG206" s="66" t="str">
        <f t="shared" si="88"/>
        <v/>
      </c>
      <c r="AH206" s="66" t="str">
        <f t="shared" si="88"/>
        <v/>
      </c>
      <c r="AI206" s="66" t="str">
        <f t="shared" si="88"/>
        <v/>
      </c>
      <c r="AJ206" s="66" t="str">
        <f t="shared" si="88"/>
        <v/>
      </c>
    </row>
    <row r="207" spans="1:55">
      <c r="A207" s="66">
        <f t="shared" si="84"/>
        <v>5</v>
      </c>
      <c r="B207" s="66" t="str">
        <f t="shared" si="84"/>
        <v>蔡政倫</v>
      </c>
      <c r="C207" s="66" t="str">
        <f t="shared" si="88"/>
        <v/>
      </c>
      <c r="D207" s="66" t="str">
        <f t="shared" si="88"/>
        <v/>
      </c>
      <c r="E207" s="66" t="str">
        <f t="shared" si="88"/>
        <v/>
      </c>
      <c r="F207" s="66" t="str">
        <f t="shared" si="88"/>
        <v/>
      </c>
      <c r="G207" s="66" t="str">
        <f t="shared" si="88"/>
        <v/>
      </c>
      <c r="H207" s="66" t="str">
        <f t="shared" si="88"/>
        <v/>
      </c>
      <c r="I207" s="66" t="str">
        <f t="shared" si="88"/>
        <v/>
      </c>
      <c r="J207" s="66" t="str">
        <f t="shared" si="88"/>
        <v/>
      </c>
      <c r="K207" s="66" t="str">
        <f t="shared" si="88"/>
        <v/>
      </c>
      <c r="L207" s="66" t="str">
        <f t="shared" si="88"/>
        <v/>
      </c>
      <c r="M207" s="66" t="str">
        <f t="shared" si="88"/>
        <v/>
      </c>
      <c r="N207" s="66" t="str">
        <f t="shared" si="88"/>
        <v/>
      </c>
      <c r="O207" s="66" t="str">
        <f t="shared" si="88"/>
        <v/>
      </c>
      <c r="P207" s="66" t="str">
        <f t="shared" si="88"/>
        <v/>
      </c>
      <c r="Q207" s="66" t="str">
        <f t="shared" si="88"/>
        <v/>
      </c>
      <c r="R207" s="66" t="str">
        <f t="shared" si="88"/>
        <v/>
      </c>
      <c r="S207" s="66" t="str">
        <f t="shared" si="88"/>
        <v/>
      </c>
      <c r="T207" s="66" t="str">
        <f t="shared" si="88"/>
        <v/>
      </c>
      <c r="U207" s="66" t="str">
        <f t="shared" si="88"/>
        <v/>
      </c>
      <c r="V207" s="66" t="str">
        <f t="shared" si="88"/>
        <v/>
      </c>
      <c r="W207" s="66" t="str">
        <f t="shared" si="88"/>
        <v/>
      </c>
      <c r="X207" s="66" t="str">
        <f t="shared" si="88"/>
        <v/>
      </c>
      <c r="Y207" s="66" t="str">
        <f t="shared" si="88"/>
        <v/>
      </c>
      <c r="Z207" s="66" t="str">
        <f t="shared" si="88"/>
        <v/>
      </c>
      <c r="AA207" s="66" t="str">
        <f t="shared" si="88"/>
        <v/>
      </c>
      <c r="AB207" s="66" t="str">
        <f t="shared" si="88"/>
        <v/>
      </c>
      <c r="AC207" s="66" t="str">
        <f t="shared" si="88"/>
        <v/>
      </c>
      <c r="AD207" s="66" t="str">
        <f t="shared" si="88"/>
        <v/>
      </c>
      <c r="AE207" s="66" t="str">
        <f t="shared" si="88"/>
        <v/>
      </c>
      <c r="AF207" s="66" t="str">
        <f t="shared" si="88"/>
        <v/>
      </c>
      <c r="AG207" s="66" t="str">
        <f t="shared" si="88"/>
        <v/>
      </c>
      <c r="AH207" s="66" t="str">
        <f t="shared" si="88"/>
        <v/>
      </c>
      <c r="AI207" s="66" t="str">
        <f t="shared" si="88"/>
        <v/>
      </c>
      <c r="AJ207" s="66" t="str">
        <f t="shared" si="88"/>
        <v/>
      </c>
    </row>
    <row r="208" spans="1:55">
      <c r="A208" s="66">
        <f t="shared" si="84"/>
        <v>6</v>
      </c>
      <c r="B208" s="66" t="str">
        <f t="shared" si="84"/>
        <v>邱昱銘</v>
      </c>
      <c r="C208" s="66" t="str">
        <f t="shared" si="88"/>
        <v/>
      </c>
      <c r="D208" s="66" t="str">
        <f t="shared" si="88"/>
        <v/>
      </c>
      <c r="E208" s="66" t="str">
        <f t="shared" si="88"/>
        <v/>
      </c>
      <c r="F208" s="66" t="str">
        <f t="shared" si="88"/>
        <v/>
      </c>
      <c r="G208" s="66" t="str">
        <f t="shared" si="88"/>
        <v/>
      </c>
      <c r="H208" s="66" t="str">
        <f t="shared" si="88"/>
        <v/>
      </c>
      <c r="I208" s="66" t="str">
        <f t="shared" si="88"/>
        <v/>
      </c>
      <c r="J208" s="66" t="str">
        <f t="shared" si="88"/>
        <v/>
      </c>
      <c r="K208" s="66" t="str">
        <f t="shared" si="88"/>
        <v/>
      </c>
      <c r="L208" s="66" t="str">
        <f t="shared" si="88"/>
        <v/>
      </c>
      <c r="M208" s="66" t="str">
        <f t="shared" si="88"/>
        <v/>
      </c>
      <c r="N208" s="66" t="str">
        <f t="shared" si="88"/>
        <v/>
      </c>
      <c r="O208" s="66" t="str">
        <f t="shared" si="88"/>
        <v/>
      </c>
      <c r="P208" s="66" t="str">
        <f t="shared" si="88"/>
        <v/>
      </c>
      <c r="Q208" s="66" t="str">
        <f t="shared" si="88"/>
        <v/>
      </c>
      <c r="R208" s="66" t="str">
        <f t="shared" si="88"/>
        <v/>
      </c>
      <c r="S208" s="66" t="str">
        <f t="shared" si="88"/>
        <v/>
      </c>
      <c r="T208" s="66" t="str">
        <f t="shared" si="88"/>
        <v/>
      </c>
      <c r="U208" s="66" t="str">
        <f t="shared" si="88"/>
        <v/>
      </c>
      <c r="V208" s="66" t="str">
        <f t="shared" si="88"/>
        <v/>
      </c>
      <c r="W208" s="66" t="str">
        <f t="shared" si="88"/>
        <v/>
      </c>
      <c r="X208" s="66" t="str">
        <f t="shared" si="88"/>
        <v/>
      </c>
      <c r="Y208" s="66" t="str">
        <f t="shared" si="88"/>
        <v/>
      </c>
      <c r="Z208" s="66" t="str">
        <f t="shared" si="88"/>
        <v/>
      </c>
      <c r="AA208" s="66" t="str">
        <f t="shared" si="88"/>
        <v/>
      </c>
      <c r="AB208" s="66" t="str">
        <f t="shared" si="88"/>
        <v/>
      </c>
      <c r="AC208" s="66" t="str">
        <f t="shared" si="88"/>
        <v/>
      </c>
      <c r="AD208" s="66" t="str">
        <f t="shared" si="88"/>
        <v/>
      </c>
      <c r="AE208" s="66" t="str">
        <f t="shared" si="88"/>
        <v/>
      </c>
      <c r="AF208" s="66" t="str">
        <f t="shared" si="88"/>
        <v/>
      </c>
      <c r="AG208" s="66" t="str">
        <f t="shared" si="88"/>
        <v/>
      </c>
      <c r="AH208" s="66" t="str">
        <f t="shared" si="88"/>
        <v/>
      </c>
      <c r="AI208" s="66" t="str">
        <f t="shared" si="88"/>
        <v/>
      </c>
      <c r="AJ208" s="66" t="str">
        <f t="shared" si="88"/>
        <v/>
      </c>
    </row>
    <row r="209" spans="1:36">
      <c r="A209" s="66">
        <f t="shared" si="84"/>
        <v>7</v>
      </c>
      <c r="B209" s="66" t="str">
        <f t="shared" si="84"/>
        <v>洪長昇</v>
      </c>
      <c r="C209" s="66" t="str">
        <f t="shared" si="88"/>
        <v/>
      </c>
      <c r="D209" s="66" t="str">
        <f t="shared" si="88"/>
        <v/>
      </c>
      <c r="E209" s="66" t="str">
        <f t="shared" si="88"/>
        <v/>
      </c>
      <c r="F209" s="66" t="str">
        <f t="shared" si="88"/>
        <v/>
      </c>
      <c r="G209" s="66" t="str">
        <f t="shared" si="88"/>
        <v/>
      </c>
      <c r="H209" s="66" t="str">
        <f t="shared" si="88"/>
        <v/>
      </c>
      <c r="I209" s="66" t="str">
        <f t="shared" si="88"/>
        <v/>
      </c>
      <c r="J209" s="66" t="str">
        <f t="shared" si="88"/>
        <v/>
      </c>
      <c r="K209" s="66" t="str">
        <f t="shared" si="88"/>
        <v/>
      </c>
      <c r="L209" s="66" t="str">
        <f t="shared" si="88"/>
        <v/>
      </c>
      <c r="M209" s="66" t="str">
        <f t="shared" si="88"/>
        <v/>
      </c>
      <c r="N209" s="66" t="str">
        <f t="shared" si="88"/>
        <v/>
      </c>
      <c r="O209" s="66" t="str">
        <f t="shared" si="88"/>
        <v/>
      </c>
      <c r="P209" s="66" t="str">
        <f t="shared" si="88"/>
        <v/>
      </c>
      <c r="Q209" s="66" t="str">
        <f t="shared" si="88"/>
        <v/>
      </c>
      <c r="R209" s="66" t="str">
        <f t="shared" si="88"/>
        <v/>
      </c>
      <c r="S209" s="66" t="str">
        <f t="shared" si="88"/>
        <v/>
      </c>
      <c r="T209" s="66" t="str">
        <f t="shared" si="88"/>
        <v/>
      </c>
      <c r="U209" s="66" t="str">
        <f t="shared" si="88"/>
        <v/>
      </c>
      <c r="V209" s="66" t="str">
        <f t="shared" si="88"/>
        <v/>
      </c>
      <c r="W209" s="66" t="str">
        <f t="shared" si="88"/>
        <v/>
      </c>
      <c r="X209" s="66" t="str">
        <f t="shared" si="88"/>
        <v/>
      </c>
      <c r="Y209" s="66" t="str">
        <f t="shared" si="88"/>
        <v/>
      </c>
      <c r="Z209" s="66" t="str">
        <f t="shared" si="88"/>
        <v/>
      </c>
      <c r="AA209" s="66" t="str">
        <f t="shared" si="88"/>
        <v/>
      </c>
      <c r="AB209" s="66" t="str">
        <f t="shared" si="88"/>
        <v/>
      </c>
      <c r="AC209" s="66" t="str">
        <f t="shared" si="88"/>
        <v/>
      </c>
      <c r="AD209" s="66" t="str">
        <f t="shared" si="88"/>
        <v/>
      </c>
      <c r="AE209" s="66" t="str">
        <f t="shared" si="88"/>
        <v/>
      </c>
      <c r="AF209" s="66" t="str">
        <f t="shared" si="88"/>
        <v/>
      </c>
      <c r="AG209" s="66" t="str">
        <f t="shared" si="88"/>
        <v/>
      </c>
      <c r="AH209" s="66" t="str">
        <f t="shared" si="88"/>
        <v/>
      </c>
      <c r="AI209" s="66" t="str">
        <f t="shared" si="88"/>
        <v/>
      </c>
      <c r="AJ209" s="66" t="str">
        <f t="shared" si="88"/>
        <v/>
      </c>
    </row>
    <row r="210" spans="1:36">
      <c r="A210" s="66">
        <f t="shared" si="84"/>
        <v>8</v>
      </c>
      <c r="B210" s="66" t="str">
        <f t="shared" si="84"/>
        <v>許翊呈</v>
      </c>
      <c r="C210" s="66" t="str">
        <f t="shared" si="88"/>
        <v/>
      </c>
      <c r="D210" s="66" t="str">
        <f t="shared" si="88"/>
        <v/>
      </c>
      <c r="E210" s="66" t="str">
        <f t="shared" si="88"/>
        <v/>
      </c>
      <c r="F210" s="66" t="str">
        <f t="shared" si="88"/>
        <v/>
      </c>
      <c r="G210" s="66" t="str">
        <f t="shared" si="88"/>
        <v/>
      </c>
      <c r="H210" s="66" t="str">
        <f t="shared" si="88"/>
        <v/>
      </c>
      <c r="I210" s="66" t="str">
        <f t="shared" si="88"/>
        <v/>
      </c>
      <c r="J210" s="66" t="str">
        <f t="shared" si="88"/>
        <v/>
      </c>
      <c r="K210" s="66" t="str">
        <f t="shared" si="88"/>
        <v/>
      </c>
      <c r="L210" s="66" t="str">
        <f t="shared" si="88"/>
        <v/>
      </c>
      <c r="M210" s="66" t="str">
        <f t="shared" si="88"/>
        <v/>
      </c>
      <c r="N210" s="66" t="str">
        <f t="shared" si="88"/>
        <v/>
      </c>
      <c r="O210" s="66" t="str">
        <f t="shared" si="88"/>
        <v/>
      </c>
      <c r="P210" s="66" t="str">
        <f t="shared" si="88"/>
        <v/>
      </c>
      <c r="Q210" s="66" t="str">
        <f t="shared" si="88"/>
        <v/>
      </c>
      <c r="R210" s="66" t="str">
        <f t="shared" si="88"/>
        <v/>
      </c>
      <c r="S210" s="66" t="str">
        <f t="shared" si="88"/>
        <v/>
      </c>
      <c r="T210" s="66" t="str">
        <f t="shared" si="88"/>
        <v/>
      </c>
      <c r="U210" s="66" t="str">
        <f t="shared" si="88"/>
        <v/>
      </c>
      <c r="V210" s="66" t="str">
        <f t="shared" si="88"/>
        <v/>
      </c>
      <c r="W210" s="66" t="str">
        <f t="shared" si="88"/>
        <v/>
      </c>
      <c r="X210" s="66" t="str">
        <f t="shared" si="88"/>
        <v/>
      </c>
      <c r="Y210" s="66" t="str">
        <f t="shared" si="88"/>
        <v/>
      </c>
      <c r="Z210" s="66" t="str">
        <f t="shared" si="88"/>
        <v/>
      </c>
      <c r="AA210" s="66" t="str">
        <f t="shared" si="88"/>
        <v/>
      </c>
      <c r="AB210" s="66" t="str">
        <f t="shared" si="88"/>
        <v/>
      </c>
      <c r="AC210" s="66" t="str">
        <f t="shared" si="88"/>
        <v/>
      </c>
      <c r="AD210" s="66" t="str">
        <f t="shared" si="88"/>
        <v/>
      </c>
      <c r="AE210" s="66" t="str">
        <f t="shared" si="88"/>
        <v/>
      </c>
      <c r="AF210" s="66" t="str">
        <f t="shared" si="88"/>
        <v/>
      </c>
      <c r="AG210" s="66" t="str">
        <f t="shared" si="88"/>
        <v/>
      </c>
      <c r="AH210" s="66" t="str">
        <f t="shared" si="88"/>
        <v/>
      </c>
      <c r="AI210" s="66" t="str">
        <f t="shared" si="88"/>
        <v/>
      </c>
      <c r="AJ210" s="66" t="str">
        <f t="shared" si="88"/>
        <v/>
      </c>
    </row>
    <row r="211" spans="1:36">
      <c r="A211" s="66">
        <f t="shared" si="84"/>
        <v>9</v>
      </c>
      <c r="B211" s="66" t="str">
        <f t="shared" si="84"/>
        <v>李政聰</v>
      </c>
      <c r="C211" s="66" t="str">
        <f t="shared" si="88"/>
        <v/>
      </c>
      <c r="D211" s="66" t="str">
        <f t="shared" si="88"/>
        <v/>
      </c>
      <c r="E211" s="66" t="str">
        <f t="shared" si="88"/>
        <v/>
      </c>
      <c r="F211" s="66" t="str">
        <f t="shared" si="88"/>
        <v/>
      </c>
      <c r="G211" s="66" t="str">
        <f t="shared" si="88"/>
        <v/>
      </c>
      <c r="H211" s="66" t="str">
        <f t="shared" si="88"/>
        <v/>
      </c>
      <c r="I211" s="66" t="str">
        <f t="shared" si="88"/>
        <v/>
      </c>
      <c r="J211" s="66" t="str">
        <f t="shared" si="88"/>
        <v/>
      </c>
      <c r="K211" s="66" t="str">
        <f t="shared" si="88"/>
        <v/>
      </c>
      <c r="L211" s="66" t="str">
        <f t="shared" si="88"/>
        <v/>
      </c>
      <c r="M211" s="66" t="str">
        <f t="shared" si="88"/>
        <v/>
      </c>
      <c r="N211" s="66" t="str">
        <f t="shared" si="88"/>
        <v/>
      </c>
      <c r="O211" s="66" t="str">
        <f t="shared" si="88"/>
        <v/>
      </c>
      <c r="P211" s="66" t="str">
        <f t="shared" si="88"/>
        <v/>
      </c>
      <c r="Q211" s="66" t="str">
        <f t="shared" si="88"/>
        <v/>
      </c>
      <c r="R211" s="66" t="str">
        <f t="shared" si="88"/>
        <v/>
      </c>
      <c r="S211" s="66" t="str">
        <f t="shared" si="88"/>
        <v/>
      </c>
      <c r="T211" s="66" t="str">
        <f t="shared" si="88"/>
        <v/>
      </c>
      <c r="U211" s="66" t="str">
        <f t="shared" si="88"/>
        <v/>
      </c>
      <c r="V211" s="66" t="str">
        <f t="shared" si="88"/>
        <v/>
      </c>
      <c r="W211" s="66" t="str">
        <f t="shared" si="88"/>
        <v/>
      </c>
      <c r="X211" s="66" t="str">
        <f t="shared" si="88"/>
        <v/>
      </c>
      <c r="Y211" s="66" t="str">
        <f t="shared" si="88"/>
        <v/>
      </c>
      <c r="Z211" s="66" t="str">
        <f t="shared" si="88"/>
        <v/>
      </c>
      <c r="AA211" s="66" t="str">
        <f t="shared" si="88"/>
        <v/>
      </c>
      <c r="AB211" s="66" t="str">
        <f t="shared" si="88"/>
        <v/>
      </c>
      <c r="AC211" s="66" t="str">
        <f t="shared" si="88"/>
        <v/>
      </c>
      <c r="AD211" s="66" t="str">
        <f t="shared" si="88"/>
        <v/>
      </c>
      <c r="AE211" s="66" t="str">
        <f t="shared" si="88"/>
        <v/>
      </c>
      <c r="AF211" s="66" t="str">
        <f t="shared" si="88"/>
        <v/>
      </c>
      <c r="AG211" s="66" t="str">
        <f t="shared" si="88"/>
        <v/>
      </c>
      <c r="AH211" s="66" t="str">
        <f t="shared" si="88"/>
        <v/>
      </c>
      <c r="AI211" s="66" t="str">
        <f t="shared" si="88"/>
        <v/>
      </c>
      <c r="AJ211" s="66" t="str">
        <f t="shared" si="88"/>
        <v/>
      </c>
    </row>
    <row r="212" spans="1:36">
      <c r="A212" s="66">
        <f t="shared" si="84"/>
        <v>10</v>
      </c>
      <c r="B212" s="66" t="str">
        <f t="shared" si="84"/>
        <v>劉威志</v>
      </c>
      <c r="C212" s="66" t="str">
        <f t="shared" si="88"/>
        <v/>
      </c>
      <c r="D212" s="66" t="str">
        <f t="shared" si="88"/>
        <v/>
      </c>
      <c r="E212" s="66" t="str">
        <f t="shared" si="88"/>
        <v/>
      </c>
      <c r="F212" s="66" t="str">
        <f t="shared" si="88"/>
        <v/>
      </c>
      <c r="G212" s="66" t="str">
        <f t="shared" si="88"/>
        <v/>
      </c>
      <c r="H212" s="66" t="str">
        <f t="shared" si="88"/>
        <v/>
      </c>
      <c r="I212" s="66" t="str">
        <f t="shared" si="88"/>
        <v/>
      </c>
      <c r="J212" s="66" t="str">
        <f t="shared" si="88"/>
        <v/>
      </c>
      <c r="K212" s="66" t="str">
        <f t="shared" si="88"/>
        <v/>
      </c>
      <c r="L212" s="66" t="str">
        <f t="shared" si="88"/>
        <v/>
      </c>
      <c r="M212" s="66" t="str">
        <f t="shared" si="88"/>
        <v/>
      </c>
      <c r="N212" s="66" t="str">
        <f t="shared" si="88"/>
        <v/>
      </c>
      <c r="O212" s="66" t="str">
        <f t="shared" si="88"/>
        <v/>
      </c>
      <c r="P212" s="66" t="str">
        <f t="shared" si="88"/>
        <v/>
      </c>
      <c r="Q212" s="66" t="str">
        <f t="shared" si="88"/>
        <v/>
      </c>
      <c r="R212" s="66" t="str">
        <f t="shared" si="88"/>
        <v/>
      </c>
      <c r="S212" s="66" t="str">
        <f t="shared" si="88"/>
        <v/>
      </c>
      <c r="T212" s="66" t="str">
        <f t="shared" ref="T212:AJ212" si="89">IF(  OR(  LEN(T211)=2,LEN(T211)=3  ),  CONCATENATE(  ".",IF(T52=$A$201,$A212,"")  ),IF(T52=$A$201,$A212,"")  )</f>
        <v/>
      </c>
      <c r="U212" s="66" t="str">
        <f t="shared" si="89"/>
        <v/>
      </c>
      <c r="V212" s="66" t="str">
        <f t="shared" si="89"/>
        <v/>
      </c>
      <c r="W212" s="66" t="str">
        <f t="shared" si="89"/>
        <v/>
      </c>
      <c r="X212" s="66" t="str">
        <f t="shared" si="89"/>
        <v/>
      </c>
      <c r="Y212" s="66" t="str">
        <f t="shared" si="89"/>
        <v/>
      </c>
      <c r="Z212" s="66" t="str">
        <f t="shared" si="89"/>
        <v/>
      </c>
      <c r="AA212" s="66" t="str">
        <f t="shared" si="89"/>
        <v/>
      </c>
      <c r="AB212" s="66" t="str">
        <f t="shared" si="89"/>
        <v/>
      </c>
      <c r="AC212" s="66" t="str">
        <f t="shared" si="89"/>
        <v/>
      </c>
      <c r="AD212" s="66" t="str">
        <f t="shared" si="89"/>
        <v/>
      </c>
      <c r="AE212" s="66" t="str">
        <f t="shared" si="89"/>
        <v/>
      </c>
      <c r="AF212" s="66" t="str">
        <f t="shared" si="89"/>
        <v/>
      </c>
      <c r="AG212" s="66" t="str">
        <f t="shared" si="89"/>
        <v/>
      </c>
      <c r="AH212" s="66" t="str">
        <f t="shared" si="89"/>
        <v/>
      </c>
      <c r="AI212" s="66" t="str">
        <f t="shared" si="89"/>
        <v/>
      </c>
      <c r="AJ212" s="66" t="str">
        <f t="shared" si="89"/>
        <v/>
      </c>
    </row>
    <row r="213" spans="1:36">
      <c r="A213" s="66">
        <f t="shared" si="84"/>
        <v>11</v>
      </c>
      <c r="B213" s="66" t="str">
        <f t="shared" si="84"/>
        <v>梁展碩</v>
      </c>
      <c r="C213" s="66" t="str">
        <f t="shared" ref="C213:AJ220" si="90">IF(  OR(  LEN(C212)=2,LEN(C212)=3  ),  CONCATENATE(  ".",IF(C53=$A$201,$A213,"")  ),IF(C53=$A$201,$A213,"")  )</f>
        <v/>
      </c>
      <c r="D213" s="66" t="str">
        <f t="shared" si="90"/>
        <v/>
      </c>
      <c r="E213" s="66" t="str">
        <f t="shared" si="90"/>
        <v/>
      </c>
      <c r="F213" s="66" t="str">
        <f t="shared" si="90"/>
        <v/>
      </c>
      <c r="G213" s="66" t="str">
        <f t="shared" si="90"/>
        <v/>
      </c>
      <c r="H213" s="66" t="str">
        <f t="shared" si="90"/>
        <v/>
      </c>
      <c r="I213" s="66" t="str">
        <f t="shared" si="90"/>
        <v/>
      </c>
      <c r="J213" s="66" t="str">
        <f t="shared" si="90"/>
        <v/>
      </c>
      <c r="K213" s="66" t="str">
        <f t="shared" si="90"/>
        <v/>
      </c>
      <c r="L213" s="66" t="str">
        <f t="shared" si="90"/>
        <v/>
      </c>
      <c r="M213" s="66" t="str">
        <f t="shared" si="90"/>
        <v/>
      </c>
      <c r="N213" s="66" t="str">
        <f t="shared" si="90"/>
        <v/>
      </c>
      <c r="O213" s="66" t="str">
        <f t="shared" si="90"/>
        <v/>
      </c>
      <c r="P213" s="66" t="str">
        <f t="shared" si="90"/>
        <v/>
      </c>
      <c r="Q213" s="66" t="str">
        <f t="shared" si="90"/>
        <v/>
      </c>
      <c r="R213" s="66" t="str">
        <f t="shared" si="90"/>
        <v/>
      </c>
      <c r="S213" s="66" t="str">
        <f t="shared" si="90"/>
        <v/>
      </c>
      <c r="T213" s="66" t="str">
        <f t="shared" si="90"/>
        <v/>
      </c>
      <c r="U213" s="66" t="str">
        <f t="shared" si="90"/>
        <v/>
      </c>
      <c r="V213" s="66" t="str">
        <f t="shared" si="90"/>
        <v/>
      </c>
      <c r="W213" s="66" t="str">
        <f t="shared" si="90"/>
        <v/>
      </c>
      <c r="X213" s="66" t="str">
        <f t="shared" si="90"/>
        <v/>
      </c>
      <c r="Y213" s="66" t="str">
        <f t="shared" si="90"/>
        <v/>
      </c>
      <c r="Z213" s="66" t="str">
        <f t="shared" si="90"/>
        <v/>
      </c>
      <c r="AA213" s="66" t="str">
        <f t="shared" si="90"/>
        <v/>
      </c>
      <c r="AB213" s="66" t="str">
        <f t="shared" si="90"/>
        <v/>
      </c>
      <c r="AC213" s="66" t="str">
        <f t="shared" si="90"/>
        <v/>
      </c>
      <c r="AD213" s="66" t="str">
        <f t="shared" si="90"/>
        <v/>
      </c>
      <c r="AE213" s="66" t="str">
        <f t="shared" si="90"/>
        <v/>
      </c>
      <c r="AF213" s="66" t="str">
        <f t="shared" si="90"/>
        <v/>
      </c>
      <c r="AG213" s="66" t="str">
        <f t="shared" si="90"/>
        <v/>
      </c>
      <c r="AH213" s="66" t="str">
        <f t="shared" si="90"/>
        <v/>
      </c>
      <c r="AI213" s="66" t="str">
        <f t="shared" si="90"/>
        <v/>
      </c>
      <c r="AJ213" s="66" t="str">
        <f t="shared" si="90"/>
        <v/>
      </c>
    </row>
    <row r="214" spans="1:36">
      <c r="A214" s="66">
        <f t="shared" si="84"/>
        <v>12</v>
      </c>
      <c r="B214" s="66" t="str">
        <f t="shared" si="84"/>
        <v>何奕諠</v>
      </c>
      <c r="C214" s="66" t="str">
        <f t="shared" si="90"/>
        <v/>
      </c>
      <c r="D214" s="66" t="str">
        <f t="shared" si="90"/>
        <v/>
      </c>
      <c r="E214" s="66" t="str">
        <f t="shared" si="90"/>
        <v/>
      </c>
      <c r="F214" s="66" t="str">
        <f t="shared" si="90"/>
        <v/>
      </c>
      <c r="G214" s="66" t="str">
        <f t="shared" si="90"/>
        <v/>
      </c>
      <c r="H214" s="66" t="str">
        <f t="shared" si="90"/>
        <v/>
      </c>
      <c r="I214" s="66" t="str">
        <f t="shared" si="90"/>
        <v/>
      </c>
      <c r="J214" s="66" t="str">
        <f t="shared" si="90"/>
        <v/>
      </c>
      <c r="K214" s="66" t="str">
        <f t="shared" si="90"/>
        <v/>
      </c>
      <c r="L214" s="66" t="str">
        <f t="shared" si="90"/>
        <v/>
      </c>
      <c r="M214" s="66" t="str">
        <f t="shared" si="90"/>
        <v/>
      </c>
      <c r="N214" s="66" t="str">
        <f t="shared" si="90"/>
        <v/>
      </c>
      <c r="O214" s="66" t="str">
        <f t="shared" si="90"/>
        <v/>
      </c>
      <c r="P214" s="66" t="str">
        <f t="shared" si="90"/>
        <v/>
      </c>
      <c r="Q214" s="66" t="str">
        <f t="shared" si="90"/>
        <v/>
      </c>
      <c r="R214" s="66" t="str">
        <f t="shared" si="90"/>
        <v/>
      </c>
      <c r="S214" s="66" t="str">
        <f t="shared" si="90"/>
        <v/>
      </c>
      <c r="T214" s="66" t="str">
        <f t="shared" si="90"/>
        <v/>
      </c>
      <c r="U214" s="66" t="str">
        <f t="shared" si="90"/>
        <v/>
      </c>
      <c r="V214" s="66" t="str">
        <f t="shared" si="90"/>
        <v/>
      </c>
      <c r="W214" s="66" t="str">
        <f t="shared" si="90"/>
        <v/>
      </c>
      <c r="X214" s="66" t="str">
        <f t="shared" si="90"/>
        <v/>
      </c>
      <c r="Y214" s="66" t="str">
        <f t="shared" si="90"/>
        <v/>
      </c>
      <c r="Z214" s="66" t="str">
        <f t="shared" si="90"/>
        <v/>
      </c>
      <c r="AA214" s="66" t="str">
        <f t="shared" si="90"/>
        <v/>
      </c>
      <c r="AB214" s="66" t="str">
        <f t="shared" si="90"/>
        <v/>
      </c>
      <c r="AC214" s="66" t="str">
        <f t="shared" si="90"/>
        <v/>
      </c>
      <c r="AD214" s="66" t="str">
        <f t="shared" si="90"/>
        <v/>
      </c>
      <c r="AE214" s="66" t="str">
        <f t="shared" si="90"/>
        <v/>
      </c>
      <c r="AF214" s="66" t="str">
        <f t="shared" si="90"/>
        <v/>
      </c>
      <c r="AG214" s="66" t="str">
        <f t="shared" si="90"/>
        <v/>
      </c>
      <c r="AH214" s="66" t="str">
        <f t="shared" si="90"/>
        <v/>
      </c>
      <c r="AI214" s="66" t="str">
        <f t="shared" si="90"/>
        <v/>
      </c>
      <c r="AJ214" s="66" t="str">
        <f t="shared" si="90"/>
        <v/>
      </c>
    </row>
    <row r="215" spans="1:36">
      <c r="A215" s="66">
        <f t="shared" si="84"/>
        <v>13</v>
      </c>
      <c r="B215" s="66" t="str">
        <f t="shared" si="84"/>
        <v>楊瑞麟</v>
      </c>
      <c r="C215" s="66" t="str">
        <f t="shared" si="90"/>
        <v/>
      </c>
      <c r="D215" s="66" t="str">
        <f t="shared" si="90"/>
        <v/>
      </c>
      <c r="E215" s="66" t="str">
        <f t="shared" si="90"/>
        <v/>
      </c>
      <c r="F215" s="66" t="str">
        <f t="shared" si="90"/>
        <v/>
      </c>
      <c r="G215" s="66" t="str">
        <f t="shared" si="90"/>
        <v/>
      </c>
      <c r="H215" s="66" t="str">
        <f t="shared" si="90"/>
        <v/>
      </c>
      <c r="I215" s="66" t="str">
        <f t="shared" si="90"/>
        <v/>
      </c>
      <c r="J215" s="66" t="str">
        <f t="shared" si="90"/>
        <v/>
      </c>
      <c r="K215" s="66" t="str">
        <f t="shared" si="90"/>
        <v/>
      </c>
      <c r="L215" s="66" t="str">
        <f t="shared" si="90"/>
        <v/>
      </c>
      <c r="M215" s="66" t="str">
        <f t="shared" si="90"/>
        <v/>
      </c>
      <c r="N215" s="66" t="str">
        <f t="shared" si="90"/>
        <v/>
      </c>
      <c r="O215" s="66" t="str">
        <f t="shared" si="90"/>
        <v/>
      </c>
      <c r="P215" s="66" t="str">
        <f t="shared" si="90"/>
        <v/>
      </c>
      <c r="Q215" s="66" t="str">
        <f t="shared" si="90"/>
        <v/>
      </c>
      <c r="R215" s="66" t="str">
        <f t="shared" si="90"/>
        <v/>
      </c>
      <c r="S215" s="66" t="str">
        <f t="shared" si="90"/>
        <v/>
      </c>
      <c r="T215" s="66" t="str">
        <f t="shared" si="90"/>
        <v/>
      </c>
      <c r="U215" s="66" t="str">
        <f t="shared" si="90"/>
        <v/>
      </c>
      <c r="V215" s="66" t="str">
        <f t="shared" si="90"/>
        <v/>
      </c>
      <c r="W215" s="66" t="str">
        <f t="shared" si="90"/>
        <v/>
      </c>
      <c r="X215" s="66" t="str">
        <f t="shared" si="90"/>
        <v/>
      </c>
      <c r="Y215" s="66" t="str">
        <f t="shared" si="90"/>
        <v/>
      </c>
      <c r="Z215" s="66" t="str">
        <f t="shared" si="90"/>
        <v/>
      </c>
      <c r="AA215" s="66" t="str">
        <f t="shared" si="90"/>
        <v/>
      </c>
      <c r="AB215" s="66" t="str">
        <f t="shared" si="90"/>
        <v/>
      </c>
      <c r="AC215" s="66" t="str">
        <f t="shared" si="90"/>
        <v/>
      </c>
      <c r="AD215" s="66" t="str">
        <f t="shared" si="90"/>
        <v/>
      </c>
      <c r="AE215" s="66" t="str">
        <f t="shared" si="90"/>
        <v/>
      </c>
      <c r="AF215" s="66" t="str">
        <f t="shared" si="90"/>
        <v/>
      </c>
      <c r="AG215" s="66" t="str">
        <f t="shared" si="90"/>
        <v/>
      </c>
      <c r="AH215" s="66" t="str">
        <f t="shared" si="90"/>
        <v/>
      </c>
      <c r="AI215" s="66" t="str">
        <f t="shared" si="90"/>
        <v/>
      </c>
      <c r="AJ215" s="66" t="str">
        <f t="shared" si="90"/>
        <v/>
      </c>
    </row>
    <row r="216" spans="1:36">
      <c r="A216" s="66">
        <f t="shared" si="84"/>
        <v>14</v>
      </c>
      <c r="B216" s="66" t="str">
        <f t="shared" si="84"/>
        <v>鄭品豪</v>
      </c>
      <c r="C216" s="66" t="str">
        <f t="shared" si="90"/>
        <v/>
      </c>
      <c r="D216" s="66" t="str">
        <f t="shared" si="90"/>
        <v/>
      </c>
      <c r="E216" s="66" t="str">
        <f t="shared" si="90"/>
        <v/>
      </c>
      <c r="F216" s="66" t="str">
        <f t="shared" si="90"/>
        <v/>
      </c>
      <c r="G216" s="66" t="str">
        <f t="shared" si="90"/>
        <v/>
      </c>
      <c r="H216" s="66" t="str">
        <f t="shared" si="90"/>
        <v/>
      </c>
      <c r="I216" s="66" t="str">
        <f t="shared" si="90"/>
        <v/>
      </c>
      <c r="J216" s="66" t="str">
        <f t="shared" si="90"/>
        <v/>
      </c>
      <c r="K216" s="66" t="str">
        <f t="shared" si="90"/>
        <v/>
      </c>
      <c r="L216" s="66" t="str">
        <f t="shared" si="90"/>
        <v/>
      </c>
      <c r="M216" s="66" t="str">
        <f t="shared" si="90"/>
        <v/>
      </c>
      <c r="N216" s="66" t="str">
        <f t="shared" si="90"/>
        <v/>
      </c>
      <c r="O216" s="66" t="str">
        <f t="shared" si="90"/>
        <v/>
      </c>
      <c r="P216" s="66" t="str">
        <f t="shared" si="90"/>
        <v/>
      </c>
      <c r="Q216" s="66" t="str">
        <f t="shared" si="90"/>
        <v/>
      </c>
      <c r="R216" s="66" t="str">
        <f t="shared" si="90"/>
        <v/>
      </c>
      <c r="S216" s="66" t="str">
        <f t="shared" si="90"/>
        <v/>
      </c>
      <c r="T216" s="66" t="str">
        <f t="shared" si="90"/>
        <v/>
      </c>
      <c r="U216" s="66" t="str">
        <f t="shared" si="90"/>
        <v/>
      </c>
      <c r="V216" s="66" t="str">
        <f t="shared" si="90"/>
        <v/>
      </c>
      <c r="W216" s="66" t="str">
        <f t="shared" si="90"/>
        <v/>
      </c>
      <c r="X216" s="66" t="str">
        <f t="shared" si="90"/>
        <v/>
      </c>
      <c r="Y216" s="66" t="str">
        <f t="shared" si="90"/>
        <v/>
      </c>
      <c r="Z216" s="66" t="str">
        <f t="shared" si="90"/>
        <v/>
      </c>
      <c r="AA216" s="66" t="str">
        <f t="shared" si="90"/>
        <v/>
      </c>
      <c r="AB216" s="66" t="str">
        <f t="shared" si="90"/>
        <v/>
      </c>
      <c r="AC216" s="66" t="str">
        <f t="shared" si="90"/>
        <v/>
      </c>
      <c r="AD216" s="66" t="str">
        <f t="shared" si="90"/>
        <v/>
      </c>
      <c r="AE216" s="66" t="str">
        <f t="shared" si="90"/>
        <v/>
      </c>
      <c r="AF216" s="66" t="str">
        <f t="shared" si="90"/>
        <v/>
      </c>
      <c r="AG216" s="66" t="str">
        <f t="shared" si="90"/>
        <v/>
      </c>
      <c r="AH216" s="66" t="str">
        <f t="shared" si="90"/>
        <v/>
      </c>
      <c r="AI216" s="66" t="str">
        <f t="shared" si="90"/>
        <v/>
      </c>
      <c r="AJ216" s="66" t="str">
        <f t="shared" si="90"/>
        <v/>
      </c>
    </row>
    <row r="217" spans="1:36">
      <c r="A217" s="66">
        <f t="shared" si="84"/>
        <v>15</v>
      </c>
      <c r="B217" s="66" t="str">
        <f t="shared" si="84"/>
        <v>林晉弘</v>
      </c>
      <c r="C217" s="66" t="str">
        <f t="shared" si="90"/>
        <v/>
      </c>
      <c r="D217" s="66" t="str">
        <f t="shared" si="90"/>
        <v/>
      </c>
      <c r="E217" s="66" t="str">
        <f t="shared" si="90"/>
        <v/>
      </c>
      <c r="F217" s="66" t="str">
        <f t="shared" si="90"/>
        <v/>
      </c>
      <c r="G217" s="66" t="str">
        <f t="shared" si="90"/>
        <v/>
      </c>
      <c r="H217" s="66" t="str">
        <f t="shared" si="90"/>
        <v/>
      </c>
      <c r="I217" s="66" t="str">
        <f t="shared" si="90"/>
        <v/>
      </c>
      <c r="J217" s="66" t="str">
        <f t="shared" si="90"/>
        <v/>
      </c>
      <c r="K217" s="66" t="str">
        <f t="shared" si="90"/>
        <v/>
      </c>
      <c r="L217" s="66" t="str">
        <f t="shared" si="90"/>
        <v/>
      </c>
      <c r="M217" s="66" t="str">
        <f t="shared" si="90"/>
        <v/>
      </c>
      <c r="N217" s="66" t="str">
        <f t="shared" si="90"/>
        <v/>
      </c>
      <c r="O217" s="66" t="str">
        <f t="shared" si="90"/>
        <v/>
      </c>
      <c r="P217" s="66" t="str">
        <f t="shared" si="90"/>
        <v/>
      </c>
      <c r="Q217" s="66" t="str">
        <f t="shared" si="90"/>
        <v/>
      </c>
      <c r="R217" s="66" t="str">
        <f t="shared" si="90"/>
        <v/>
      </c>
      <c r="S217" s="66" t="str">
        <f t="shared" si="90"/>
        <v/>
      </c>
      <c r="T217" s="66" t="str">
        <f t="shared" si="90"/>
        <v/>
      </c>
      <c r="U217" s="66" t="str">
        <f t="shared" si="90"/>
        <v/>
      </c>
      <c r="V217" s="66" t="str">
        <f t="shared" si="90"/>
        <v/>
      </c>
      <c r="W217" s="66" t="str">
        <f t="shared" si="90"/>
        <v/>
      </c>
      <c r="X217" s="66" t="str">
        <f t="shared" si="90"/>
        <v/>
      </c>
      <c r="Y217" s="66" t="str">
        <f t="shared" si="90"/>
        <v/>
      </c>
      <c r="Z217" s="66" t="str">
        <f t="shared" si="90"/>
        <v/>
      </c>
      <c r="AA217" s="66" t="str">
        <f t="shared" si="90"/>
        <v/>
      </c>
      <c r="AB217" s="66" t="str">
        <f t="shared" si="90"/>
        <v/>
      </c>
      <c r="AC217" s="66" t="str">
        <f t="shared" si="90"/>
        <v/>
      </c>
      <c r="AD217" s="66" t="str">
        <f t="shared" si="90"/>
        <v/>
      </c>
      <c r="AE217" s="66" t="str">
        <f t="shared" si="90"/>
        <v/>
      </c>
      <c r="AF217" s="66" t="str">
        <f t="shared" si="90"/>
        <v/>
      </c>
      <c r="AG217" s="66" t="str">
        <f t="shared" si="90"/>
        <v/>
      </c>
      <c r="AH217" s="66" t="str">
        <f t="shared" si="90"/>
        <v/>
      </c>
      <c r="AI217" s="66" t="str">
        <f t="shared" si="90"/>
        <v/>
      </c>
      <c r="AJ217" s="66" t="str">
        <f t="shared" si="90"/>
        <v/>
      </c>
    </row>
    <row r="218" spans="1:36">
      <c r="A218" s="66">
        <f t="shared" si="84"/>
        <v>16</v>
      </c>
      <c r="B218" s="66" t="str">
        <f t="shared" si="84"/>
        <v>張恩齊</v>
      </c>
      <c r="C218" s="66" t="str">
        <f t="shared" si="90"/>
        <v/>
      </c>
      <c r="D218" s="66" t="str">
        <f t="shared" si="90"/>
        <v/>
      </c>
      <c r="E218" s="66" t="str">
        <f t="shared" si="90"/>
        <v/>
      </c>
      <c r="F218" s="66" t="str">
        <f t="shared" si="90"/>
        <v/>
      </c>
      <c r="G218" s="66" t="str">
        <f t="shared" si="90"/>
        <v/>
      </c>
      <c r="H218" s="66" t="str">
        <f t="shared" si="90"/>
        <v/>
      </c>
      <c r="I218" s="66" t="str">
        <f t="shared" si="90"/>
        <v/>
      </c>
      <c r="J218" s="66" t="str">
        <f t="shared" si="90"/>
        <v/>
      </c>
      <c r="K218" s="66" t="str">
        <f t="shared" si="90"/>
        <v/>
      </c>
      <c r="L218" s="66" t="str">
        <f t="shared" si="90"/>
        <v/>
      </c>
      <c r="M218" s="66" t="str">
        <f t="shared" si="90"/>
        <v/>
      </c>
      <c r="N218" s="66" t="str">
        <f t="shared" si="90"/>
        <v/>
      </c>
      <c r="O218" s="66" t="str">
        <f t="shared" si="90"/>
        <v/>
      </c>
      <c r="P218" s="66" t="str">
        <f t="shared" si="90"/>
        <v/>
      </c>
      <c r="Q218" s="66" t="str">
        <f t="shared" si="90"/>
        <v/>
      </c>
      <c r="R218" s="66" t="str">
        <f t="shared" si="90"/>
        <v/>
      </c>
      <c r="S218" s="66" t="str">
        <f t="shared" si="90"/>
        <v/>
      </c>
      <c r="T218" s="66" t="str">
        <f t="shared" si="90"/>
        <v/>
      </c>
      <c r="U218" s="66" t="str">
        <f t="shared" si="90"/>
        <v/>
      </c>
      <c r="V218" s="66" t="str">
        <f t="shared" si="90"/>
        <v/>
      </c>
      <c r="W218" s="66" t="str">
        <f t="shared" si="90"/>
        <v/>
      </c>
      <c r="X218" s="66" t="str">
        <f t="shared" si="90"/>
        <v/>
      </c>
      <c r="Y218" s="66" t="str">
        <f t="shared" si="90"/>
        <v/>
      </c>
      <c r="Z218" s="66" t="str">
        <f t="shared" si="90"/>
        <v/>
      </c>
      <c r="AA218" s="66" t="str">
        <f t="shared" si="90"/>
        <v/>
      </c>
      <c r="AB218" s="66" t="str">
        <f t="shared" si="90"/>
        <v/>
      </c>
      <c r="AC218" s="66" t="str">
        <f t="shared" si="90"/>
        <v/>
      </c>
      <c r="AD218" s="66" t="str">
        <f t="shared" si="90"/>
        <v/>
      </c>
      <c r="AE218" s="66" t="str">
        <f t="shared" si="90"/>
        <v/>
      </c>
      <c r="AF218" s="66" t="str">
        <f t="shared" si="90"/>
        <v/>
      </c>
      <c r="AG218" s="66" t="str">
        <f t="shared" si="90"/>
        <v/>
      </c>
      <c r="AH218" s="66" t="str">
        <f t="shared" si="90"/>
        <v/>
      </c>
      <c r="AI218" s="66" t="str">
        <f t="shared" si="90"/>
        <v/>
      </c>
      <c r="AJ218" s="66" t="str">
        <f t="shared" si="90"/>
        <v/>
      </c>
    </row>
    <row r="219" spans="1:36">
      <c r="A219" s="66">
        <f t="shared" ref="A219:B234" si="91">A179</f>
        <v>17</v>
      </c>
      <c r="B219" s="66" t="str">
        <f t="shared" si="91"/>
        <v>周承澔</v>
      </c>
      <c r="C219" s="66" t="str">
        <f t="shared" si="90"/>
        <v/>
      </c>
      <c r="D219" s="66" t="str">
        <f t="shared" si="90"/>
        <v/>
      </c>
      <c r="E219" s="66" t="str">
        <f t="shared" si="90"/>
        <v/>
      </c>
      <c r="F219" s="66" t="str">
        <f t="shared" si="90"/>
        <v/>
      </c>
      <c r="G219" s="66" t="str">
        <f t="shared" si="90"/>
        <v/>
      </c>
      <c r="H219" s="66" t="str">
        <f t="shared" si="90"/>
        <v/>
      </c>
      <c r="I219" s="66" t="str">
        <f t="shared" si="90"/>
        <v/>
      </c>
      <c r="J219" s="66" t="str">
        <f t="shared" si="90"/>
        <v/>
      </c>
      <c r="K219" s="66" t="str">
        <f t="shared" si="90"/>
        <v/>
      </c>
      <c r="L219" s="66" t="str">
        <f t="shared" si="90"/>
        <v/>
      </c>
      <c r="M219" s="66" t="str">
        <f t="shared" si="90"/>
        <v/>
      </c>
      <c r="N219" s="66" t="str">
        <f t="shared" si="90"/>
        <v/>
      </c>
      <c r="O219" s="66" t="str">
        <f t="shared" si="90"/>
        <v/>
      </c>
      <c r="P219" s="66" t="str">
        <f t="shared" si="90"/>
        <v/>
      </c>
      <c r="Q219" s="66" t="str">
        <f t="shared" si="90"/>
        <v/>
      </c>
      <c r="R219" s="66" t="str">
        <f t="shared" si="90"/>
        <v/>
      </c>
      <c r="S219" s="66" t="str">
        <f t="shared" si="90"/>
        <v/>
      </c>
      <c r="T219" s="66" t="str">
        <f t="shared" si="90"/>
        <v/>
      </c>
      <c r="U219" s="66" t="str">
        <f t="shared" si="90"/>
        <v/>
      </c>
      <c r="V219" s="66" t="str">
        <f t="shared" si="90"/>
        <v/>
      </c>
      <c r="W219" s="66" t="str">
        <f t="shared" si="90"/>
        <v/>
      </c>
      <c r="X219" s="66" t="str">
        <f t="shared" si="90"/>
        <v/>
      </c>
      <c r="Y219" s="66" t="str">
        <f t="shared" si="90"/>
        <v/>
      </c>
      <c r="Z219" s="66" t="str">
        <f t="shared" si="90"/>
        <v/>
      </c>
      <c r="AA219" s="66" t="str">
        <f t="shared" si="90"/>
        <v/>
      </c>
      <c r="AB219" s="66" t="str">
        <f t="shared" si="90"/>
        <v/>
      </c>
      <c r="AC219" s="66" t="str">
        <f t="shared" si="90"/>
        <v/>
      </c>
      <c r="AD219" s="66" t="str">
        <f t="shared" si="90"/>
        <v/>
      </c>
      <c r="AE219" s="66" t="str">
        <f t="shared" si="90"/>
        <v/>
      </c>
      <c r="AF219" s="66" t="str">
        <f t="shared" si="90"/>
        <v/>
      </c>
      <c r="AG219" s="66" t="str">
        <f t="shared" si="90"/>
        <v/>
      </c>
      <c r="AH219" s="66" t="str">
        <f t="shared" si="90"/>
        <v/>
      </c>
      <c r="AI219" s="66" t="str">
        <f t="shared" si="90"/>
        <v/>
      </c>
      <c r="AJ219" s="66" t="str">
        <f t="shared" si="90"/>
        <v/>
      </c>
    </row>
    <row r="220" spans="1:36">
      <c r="A220" s="66">
        <f t="shared" si="91"/>
        <v>18</v>
      </c>
      <c r="B220" s="66" t="str">
        <f t="shared" si="91"/>
        <v>蔡政倫</v>
      </c>
      <c r="C220" s="66" t="str">
        <f t="shared" si="90"/>
        <v/>
      </c>
      <c r="D220" s="66" t="str">
        <f t="shared" si="90"/>
        <v/>
      </c>
      <c r="E220" s="66" t="str">
        <f t="shared" si="90"/>
        <v/>
      </c>
      <c r="F220" s="66" t="str">
        <f t="shared" si="90"/>
        <v/>
      </c>
      <c r="G220" s="66" t="str">
        <f t="shared" si="90"/>
        <v/>
      </c>
      <c r="H220" s="66" t="str">
        <f t="shared" si="90"/>
        <v/>
      </c>
      <c r="I220" s="66" t="str">
        <f t="shared" si="90"/>
        <v/>
      </c>
      <c r="J220" s="66" t="str">
        <f t="shared" si="90"/>
        <v/>
      </c>
      <c r="K220" s="66" t="str">
        <f t="shared" si="90"/>
        <v/>
      </c>
      <c r="L220" s="66" t="str">
        <f t="shared" si="90"/>
        <v/>
      </c>
      <c r="M220" s="66" t="str">
        <f t="shared" si="90"/>
        <v/>
      </c>
      <c r="N220" s="66" t="str">
        <f t="shared" si="90"/>
        <v/>
      </c>
      <c r="O220" s="66" t="str">
        <f t="shared" si="90"/>
        <v/>
      </c>
      <c r="P220" s="66" t="str">
        <f t="shared" si="90"/>
        <v/>
      </c>
      <c r="Q220" s="66" t="str">
        <f t="shared" si="90"/>
        <v/>
      </c>
      <c r="R220" s="66" t="str">
        <f t="shared" si="90"/>
        <v/>
      </c>
      <c r="S220" s="66" t="str">
        <f t="shared" si="90"/>
        <v/>
      </c>
      <c r="T220" s="66" t="str">
        <f t="shared" ref="T220:AJ220" si="92">IF(  OR(  LEN(T219)=2,LEN(T219)=3  ),  CONCATENATE(  ".",IF(T60=$A$201,$A220,"")  ),IF(T60=$A$201,$A220,"")  )</f>
        <v/>
      </c>
      <c r="U220" s="66" t="str">
        <f t="shared" si="92"/>
        <v/>
      </c>
      <c r="V220" s="66" t="str">
        <f t="shared" si="92"/>
        <v/>
      </c>
      <c r="W220" s="66" t="str">
        <f t="shared" si="92"/>
        <v/>
      </c>
      <c r="X220" s="66" t="str">
        <f t="shared" si="92"/>
        <v/>
      </c>
      <c r="Y220" s="66" t="str">
        <f t="shared" si="92"/>
        <v/>
      </c>
      <c r="Z220" s="66" t="str">
        <f t="shared" si="92"/>
        <v/>
      </c>
      <c r="AA220" s="66" t="str">
        <f t="shared" si="92"/>
        <v/>
      </c>
      <c r="AB220" s="66" t="str">
        <f t="shared" si="92"/>
        <v/>
      </c>
      <c r="AC220" s="66" t="str">
        <f t="shared" si="92"/>
        <v/>
      </c>
      <c r="AD220" s="66" t="str">
        <f t="shared" si="92"/>
        <v/>
      </c>
      <c r="AE220" s="66" t="str">
        <f t="shared" si="92"/>
        <v/>
      </c>
      <c r="AF220" s="66" t="str">
        <f t="shared" si="92"/>
        <v/>
      </c>
      <c r="AG220" s="66" t="str">
        <f t="shared" si="92"/>
        <v/>
      </c>
      <c r="AH220" s="66" t="str">
        <f t="shared" si="92"/>
        <v/>
      </c>
      <c r="AI220" s="66" t="str">
        <f t="shared" si="92"/>
        <v/>
      </c>
      <c r="AJ220" s="66" t="str">
        <f t="shared" si="92"/>
        <v/>
      </c>
    </row>
    <row r="221" spans="1:36">
      <c r="A221" s="66">
        <f t="shared" si="91"/>
        <v>19</v>
      </c>
      <c r="B221" s="66" t="str">
        <f t="shared" si="91"/>
        <v>蕭敬哲</v>
      </c>
      <c r="C221" s="66" t="str">
        <f t="shared" ref="C221:AJ228" si="93">IF(  OR(  LEN(C220)=2,LEN(C220)=3  ),  CONCATENATE(  ".",IF(C61=$A$201,$A221,"")  ),IF(C61=$A$201,$A221,"")  )</f>
        <v/>
      </c>
      <c r="D221" s="66" t="str">
        <f t="shared" si="93"/>
        <v/>
      </c>
      <c r="E221" s="66" t="str">
        <f t="shared" si="93"/>
        <v/>
      </c>
      <c r="F221" s="66" t="str">
        <f t="shared" si="93"/>
        <v/>
      </c>
      <c r="G221" s="66" t="str">
        <f t="shared" si="93"/>
        <v/>
      </c>
      <c r="H221" s="66" t="str">
        <f t="shared" si="93"/>
        <v/>
      </c>
      <c r="I221" s="66" t="str">
        <f t="shared" si="93"/>
        <v/>
      </c>
      <c r="J221" s="66" t="str">
        <f t="shared" si="93"/>
        <v/>
      </c>
      <c r="K221" s="66" t="str">
        <f t="shared" si="93"/>
        <v/>
      </c>
      <c r="L221" s="66" t="str">
        <f t="shared" si="93"/>
        <v/>
      </c>
      <c r="M221" s="66" t="str">
        <f t="shared" si="93"/>
        <v/>
      </c>
      <c r="N221" s="66" t="str">
        <f t="shared" si="93"/>
        <v/>
      </c>
      <c r="O221" s="66" t="str">
        <f t="shared" si="93"/>
        <v/>
      </c>
      <c r="P221" s="66" t="str">
        <f t="shared" si="93"/>
        <v/>
      </c>
      <c r="Q221" s="66" t="str">
        <f t="shared" si="93"/>
        <v/>
      </c>
      <c r="R221" s="66" t="str">
        <f t="shared" si="93"/>
        <v/>
      </c>
      <c r="S221" s="66" t="str">
        <f t="shared" si="93"/>
        <v/>
      </c>
      <c r="T221" s="66" t="str">
        <f t="shared" si="93"/>
        <v/>
      </c>
      <c r="U221" s="66" t="str">
        <f t="shared" si="93"/>
        <v/>
      </c>
      <c r="V221" s="66" t="str">
        <f t="shared" si="93"/>
        <v/>
      </c>
      <c r="W221" s="66" t="str">
        <f t="shared" si="93"/>
        <v/>
      </c>
      <c r="X221" s="66" t="str">
        <f t="shared" si="93"/>
        <v/>
      </c>
      <c r="Y221" s="66" t="str">
        <f t="shared" si="93"/>
        <v/>
      </c>
      <c r="Z221" s="66" t="str">
        <f t="shared" si="93"/>
        <v/>
      </c>
      <c r="AA221" s="66" t="str">
        <f t="shared" si="93"/>
        <v/>
      </c>
      <c r="AB221" s="66" t="str">
        <f t="shared" si="93"/>
        <v/>
      </c>
      <c r="AC221" s="66" t="str">
        <f t="shared" si="93"/>
        <v/>
      </c>
      <c r="AD221" s="66" t="str">
        <f t="shared" si="93"/>
        <v/>
      </c>
      <c r="AE221" s="66" t="str">
        <f t="shared" si="93"/>
        <v/>
      </c>
      <c r="AF221" s="66" t="str">
        <f t="shared" si="93"/>
        <v/>
      </c>
      <c r="AG221" s="66" t="str">
        <f t="shared" si="93"/>
        <v/>
      </c>
      <c r="AH221" s="66" t="str">
        <f t="shared" si="93"/>
        <v/>
      </c>
      <c r="AI221" s="66" t="str">
        <f t="shared" si="93"/>
        <v/>
      </c>
      <c r="AJ221" s="66" t="str">
        <f t="shared" si="93"/>
        <v/>
      </c>
    </row>
    <row r="222" spans="1:36">
      <c r="A222" s="66">
        <f t="shared" si="91"/>
        <v>20</v>
      </c>
      <c r="B222" s="66" t="str">
        <f t="shared" si="91"/>
        <v>楊鈞翔</v>
      </c>
      <c r="C222" s="66" t="str">
        <f t="shared" si="93"/>
        <v/>
      </c>
      <c r="D222" s="66" t="str">
        <f t="shared" si="93"/>
        <v/>
      </c>
      <c r="E222" s="66" t="str">
        <f t="shared" si="93"/>
        <v/>
      </c>
      <c r="F222" s="66" t="str">
        <f t="shared" si="93"/>
        <v/>
      </c>
      <c r="G222" s="66" t="str">
        <f t="shared" si="93"/>
        <v/>
      </c>
      <c r="H222" s="66" t="str">
        <f t="shared" si="93"/>
        <v/>
      </c>
      <c r="I222" s="66" t="str">
        <f t="shared" si="93"/>
        <v/>
      </c>
      <c r="J222" s="66" t="str">
        <f t="shared" si="93"/>
        <v/>
      </c>
      <c r="K222" s="66" t="str">
        <f t="shared" si="93"/>
        <v/>
      </c>
      <c r="L222" s="66" t="str">
        <f t="shared" si="93"/>
        <v/>
      </c>
      <c r="M222" s="66" t="str">
        <f t="shared" si="93"/>
        <v/>
      </c>
      <c r="N222" s="66" t="str">
        <f t="shared" si="93"/>
        <v/>
      </c>
      <c r="O222" s="66" t="str">
        <f t="shared" si="93"/>
        <v/>
      </c>
      <c r="P222" s="66" t="str">
        <f t="shared" si="93"/>
        <v/>
      </c>
      <c r="Q222" s="66" t="str">
        <f t="shared" si="93"/>
        <v/>
      </c>
      <c r="R222" s="66" t="str">
        <f t="shared" si="93"/>
        <v/>
      </c>
      <c r="S222" s="66" t="str">
        <f t="shared" si="93"/>
        <v/>
      </c>
      <c r="T222" s="66" t="str">
        <f t="shared" si="93"/>
        <v/>
      </c>
      <c r="U222" s="66" t="str">
        <f t="shared" si="93"/>
        <v/>
      </c>
      <c r="V222" s="66" t="str">
        <f t="shared" si="93"/>
        <v/>
      </c>
      <c r="W222" s="66" t="str">
        <f t="shared" si="93"/>
        <v/>
      </c>
      <c r="X222" s="66" t="str">
        <f t="shared" si="93"/>
        <v/>
      </c>
      <c r="Y222" s="66" t="str">
        <f t="shared" si="93"/>
        <v/>
      </c>
      <c r="Z222" s="66" t="str">
        <f t="shared" si="93"/>
        <v/>
      </c>
      <c r="AA222" s="66" t="str">
        <f t="shared" si="93"/>
        <v/>
      </c>
      <c r="AB222" s="66" t="str">
        <f t="shared" si="93"/>
        <v/>
      </c>
      <c r="AC222" s="66" t="str">
        <f t="shared" si="93"/>
        <v/>
      </c>
      <c r="AD222" s="66" t="str">
        <f t="shared" si="93"/>
        <v/>
      </c>
      <c r="AE222" s="66" t="str">
        <f t="shared" si="93"/>
        <v/>
      </c>
      <c r="AF222" s="66" t="str">
        <f t="shared" si="93"/>
        <v/>
      </c>
      <c r="AG222" s="66" t="str">
        <f t="shared" si="93"/>
        <v/>
      </c>
      <c r="AH222" s="66" t="str">
        <f t="shared" si="93"/>
        <v/>
      </c>
      <c r="AI222" s="66" t="str">
        <f t="shared" si="93"/>
        <v/>
      </c>
      <c r="AJ222" s="66" t="str">
        <f t="shared" si="93"/>
        <v/>
      </c>
    </row>
    <row r="223" spans="1:36">
      <c r="A223" s="66">
        <f t="shared" si="91"/>
        <v>21</v>
      </c>
      <c r="B223" s="66" t="str">
        <f t="shared" si="91"/>
        <v>邱俊閎</v>
      </c>
      <c r="C223" s="66" t="str">
        <f t="shared" si="93"/>
        <v/>
      </c>
      <c r="D223" s="66" t="str">
        <f t="shared" si="93"/>
        <v/>
      </c>
      <c r="E223" s="66" t="str">
        <f t="shared" si="93"/>
        <v/>
      </c>
      <c r="F223" s="66" t="str">
        <f t="shared" si="93"/>
        <v/>
      </c>
      <c r="G223" s="66" t="str">
        <f t="shared" si="93"/>
        <v/>
      </c>
      <c r="H223" s="66" t="str">
        <f t="shared" si="93"/>
        <v/>
      </c>
      <c r="I223" s="66" t="str">
        <f t="shared" si="93"/>
        <v/>
      </c>
      <c r="J223" s="66" t="str">
        <f t="shared" si="93"/>
        <v/>
      </c>
      <c r="K223" s="66" t="str">
        <f t="shared" si="93"/>
        <v/>
      </c>
      <c r="L223" s="66" t="str">
        <f t="shared" si="93"/>
        <v/>
      </c>
      <c r="M223" s="66" t="str">
        <f t="shared" si="93"/>
        <v/>
      </c>
      <c r="N223" s="66" t="str">
        <f t="shared" si="93"/>
        <v/>
      </c>
      <c r="O223" s="66" t="str">
        <f t="shared" si="93"/>
        <v/>
      </c>
      <c r="P223" s="66" t="str">
        <f t="shared" si="93"/>
        <v/>
      </c>
      <c r="Q223" s="66" t="str">
        <f t="shared" si="93"/>
        <v/>
      </c>
      <c r="R223" s="66" t="str">
        <f t="shared" si="93"/>
        <v/>
      </c>
      <c r="S223" s="66" t="str">
        <f t="shared" si="93"/>
        <v/>
      </c>
      <c r="T223" s="66" t="str">
        <f t="shared" si="93"/>
        <v/>
      </c>
      <c r="U223" s="66" t="str">
        <f t="shared" si="93"/>
        <v/>
      </c>
      <c r="V223" s="66" t="str">
        <f t="shared" si="93"/>
        <v/>
      </c>
      <c r="W223" s="66" t="str">
        <f t="shared" si="93"/>
        <v/>
      </c>
      <c r="X223" s="66" t="str">
        <f t="shared" si="93"/>
        <v/>
      </c>
      <c r="Y223" s="66" t="str">
        <f t="shared" si="93"/>
        <v/>
      </c>
      <c r="Z223" s="66" t="str">
        <f t="shared" si="93"/>
        <v/>
      </c>
      <c r="AA223" s="66" t="str">
        <f t="shared" si="93"/>
        <v/>
      </c>
      <c r="AB223" s="66" t="str">
        <f t="shared" si="93"/>
        <v/>
      </c>
      <c r="AC223" s="66" t="str">
        <f t="shared" si="93"/>
        <v/>
      </c>
      <c r="AD223" s="66" t="str">
        <f t="shared" si="93"/>
        <v/>
      </c>
      <c r="AE223" s="66" t="str">
        <f t="shared" si="93"/>
        <v/>
      </c>
      <c r="AF223" s="66" t="str">
        <f t="shared" si="93"/>
        <v/>
      </c>
      <c r="AG223" s="66" t="str">
        <f t="shared" si="93"/>
        <v/>
      </c>
      <c r="AH223" s="66" t="str">
        <f t="shared" si="93"/>
        <v/>
      </c>
      <c r="AI223" s="66" t="str">
        <f t="shared" si="93"/>
        <v/>
      </c>
      <c r="AJ223" s="66" t="str">
        <f t="shared" si="93"/>
        <v/>
      </c>
    </row>
    <row r="224" spans="1:36">
      <c r="A224" s="66">
        <f t="shared" si="91"/>
        <v>22</v>
      </c>
      <c r="B224" s="66" t="str">
        <f t="shared" si="91"/>
        <v>陳奕欣</v>
      </c>
      <c r="C224" s="66" t="str">
        <f t="shared" si="93"/>
        <v/>
      </c>
      <c r="D224" s="66" t="str">
        <f t="shared" si="93"/>
        <v/>
      </c>
      <c r="E224" s="66" t="str">
        <f t="shared" si="93"/>
        <v/>
      </c>
      <c r="F224" s="66" t="str">
        <f t="shared" si="93"/>
        <v/>
      </c>
      <c r="G224" s="66" t="str">
        <f t="shared" si="93"/>
        <v/>
      </c>
      <c r="H224" s="66" t="str">
        <f t="shared" si="93"/>
        <v/>
      </c>
      <c r="I224" s="66" t="str">
        <f t="shared" si="93"/>
        <v/>
      </c>
      <c r="J224" s="66" t="str">
        <f t="shared" si="93"/>
        <v/>
      </c>
      <c r="K224" s="66" t="str">
        <f t="shared" si="93"/>
        <v/>
      </c>
      <c r="L224" s="66" t="str">
        <f t="shared" si="93"/>
        <v/>
      </c>
      <c r="M224" s="66" t="str">
        <f t="shared" si="93"/>
        <v/>
      </c>
      <c r="N224" s="66" t="str">
        <f t="shared" si="93"/>
        <v/>
      </c>
      <c r="O224" s="66" t="str">
        <f t="shared" si="93"/>
        <v/>
      </c>
      <c r="P224" s="66" t="str">
        <f t="shared" si="93"/>
        <v/>
      </c>
      <c r="Q224" s="66" t="str">
        <f t="shared" si="93"/>
        <v/>
      </c>
      <c r="R224" s="66" t="str">
        <f t="shared" si="93"/>
        <v/>
      </c>
      <c r="S224" s="66" t="str">
        <f t="shared" si="93"/>
        <v/>
      </c>
      <c r="T224" s="66" t="str">
        <f t="shared" si="93"/>
        <v/>
      </c>
      <c r="U224" s="66" t="str">
        <f t="shared" si="93"/>
        <v/>
      </c>
      <c r="V224" s="66" t="str">
        <f t="shared" si="93"/>
        <v/>
      </c>
      <c r="W224" s="66" t="str">
        <f t="shared" si="93"/>
        <v/>
      </c>
      <c r="X224" s="66" t="str">
        <f t="shared" si="93"/>
        <v/>
      </c>
      <c r="Y224" s="66" t="str">
        <f t="shared" si="93"/>
        <v/>
      </c>
      <c r="Z224" s="66" t="str">
        <f t="shared" si="93"/>
        <v/>
      </c>
      <c r="AA224" s="66" t="str">
        <f t="shared" si="93"/>
        <v/>
      </c>
      <c r="AB224" s="66" t="str">
        <f t="shared" si="93"/>
        <v/>
      </c>
      <c r="AC224" s="66" t="str">
        <f t="shared" si="93"/>
        <v/>
      </c>
      <c r="AD224" s="66" t="str">
        <f t="shared" si="93"/>
        <v/>
      </c>
      <c r="AE224" s="66" t="str">
        <f t="shared" si="93"/>
        <v/>
      </c>
      <c r="AF224" s="66" t="str">
        <f t="shared" si="93"/>
        <v/>
      </c>
      <c r="AG224" s="66" t="str">
        <f t="shared" si="93"/>
        <v/>
      </c>
      <c r="AH224" s="66" t="str">
        <f t="shared" si="93"/>
        <v/>
      </c>
      <c r="AI224" s="66" t="str">
        <f t="shared" si="93"/>
        <v/>
      </c>
      <c r="AJ224" s="66" t="str">
        <f t="shared" si="93"/>
        <v/>
      </c>
    </row>
    <row r="225" spans="1:55">
      <c r="A225" s="66">
        <f t="shared" si="91"/>
        <v>23</v>
      </c>
      <c r="B225" s="66" t="str">
        <f t="shared" si="91"/>
        <v>阮成山</v>
      </c>
      <c r="C225" s="66" t="str">
        <f t="shared" si="93"/>
        <v/>
      </c>
      <c r="D225" s="66" t="str">
        <f t="shared" si="93"/>
        <v/>
      </c>
      <c r="E225" s="66" t="str">
        <f t="shared" si="93"/>
        <v/>
      </c>
      <c r="F225" s="66" t="str">
        <f t="shared" si="93"/>
        <v/>
      </c>
      <c r="G225" s="66" t="str">
        <f t="shared" si="93"/>
        <v/>
      </c>
      <c r="H225" s="66" t="str">
        <f t="shared" si="93"/>
        <v/>
      </c>
      <c r="I225" s="66" t="str">
        <f t="shared" si="93"/>
        <v/>
      </c>
      <c r="J225" s="66" t="str">
        <f t="shared" si="93"/>
        <v/>
      </c>
      <c r="K225" s="66" t="str">
        <f t="shared" si="93"/>
        <v/>
      </c>
      <c r="L225" s="66" t="str">
        <f t="shared" si="93"/>
        <v/>
      </c>
      <c r="M225" s="66" t="str">
        <f t="shared" si="93"/>
        <v/>
      </c>
      <c r="N225" s="66" t="str">
        <f t="shared" si="93"/>
        <v/>
      </c>
      <c r="O225" s="66" t="str">
        <f t="shared" si="93"/>
        <v/>
      </c>
      <c r="P225" s="66" t="str">
        <f t="shared" si="93"/>
        <v/>
      </c>
      <c r="Q225" s="66" t="str">
        <f t="shared" si="93"/>
        <v/>
      </c>
      <c r="R225" s="66" t="str">
        <f t="shared" si="93"/>
        <v/>
      </c>
      <c r="S225" s="66" t="str">
        <f t="shared" si="93"/>
        <v/>
      </c>
      <c r="T225" s="66" t="str">
        <f t="shared" si="93"/>
        <v/>
      </c>
      <c r="U225" s="66" t="str">
        <f t="shared" si="93"/>
        <v/>
      </c>
      <c r="V225" s="66" t="str">
        <f t="shared" si="93"/>
        <v/>
      </c>
      <c r="W225" s="66" t="str">
        <f t="shared" si="93"/>
        <v/>
      </c>
      <c r="X225" s="66" t="str">
        <f t="shared" si="93"/>
        <v/>
      </c>
      <c r="Y225" s="66" t="str">
        <f t="shared" si="93"/>
        <v/>
      </c>
      <c r="Z225" s="66" t="str">
        <f t="shared" si="93"/>
        <v/>
      </c>
      <c r="AA225" s="66" t="str">
        <f t="shared" si="93"/>
        <v/>
      </c>
      <c r="AB225" s="66" t="str">
        <f t="shared" si="93"/>
        <v/>
      </c>
      <c r="AC225" s="66" t="str">
        <f t="shared" si="93"/>
        <v/>
      </c>
      <c r="AD225" s="66" t="str">
        <f t="shared" si="93"/>
        <v/>
      </c>
      <c r="AE225" s="66" t="str">
        <f t="shared" si="93"/>
        <v/>
      </c>
      <c r="AF225" s="66" t="str">
        <f t="shared" si="93"/>
        <v/>
      </c>
      <c r="AG225" s="66" t="str">
        <f t="shared" si="93"/>
        <v/>
      </c>
      <c r="AH225" s="66" t="str">
        <f t="shared" si="93"/>
        <v/>
      </c>
      <c r="AI225" s="66" t="str">
        <f t="shared" si="93"/>
        <v/>
      </c>
      <c r="AJ225" s="66" t="str">
        <f t="shared" si="93"/>
        <v/>
      </c>
    </row>
    <row r="226" spans="1:55">
      <c r="A226" s="66">
        <f t="shared" si="91"/>
        <v>24</v>
      </c>
      <c r="B226" s="66" t="str">
        <f t="shared" si="91"/>
        <v>黃品傑</v>
      </c>
      <c r="C226" s="66" t="str">
        <f t="shared" si="93"/>
        <v/>
      </c>
      <c r="D226" s="66" t="str">
        <f t="shared" si="93"/>
        <v/>
      </c>
      <c r="E226" s="66" t="str">
        <f t="shared" si="93"/>
        <v/>
      </c>
      <c r="F226" s="66" t="str">
        <f t="shared" si="93"/>
        <v/>
      </c>
      <c r="G226" s="66" t="str">
        <f t="shared" si="93"/>
        <v/>
      </c>
      <c r="H226" s="66" t="str">
        <f t="shared" si="93"/>
        <v/>
      </c>
      <c r="I226" s="66" t="str">
        <f t="shared" si="93"/>
        <v/>
      </c>
      <c r="J226" s="66" t="str">
        <f t="shared" si="93"/>
        <v/>
      </c>
      <c r="K226" s="66" t="str">
        <f t="shared" si="93"/>
        <v/>
      </c>
      <c r="L226" s="66" t="str">
        <f t="shared" si="93"/>
        <v/>
      </c>
      <c r="M226" s="66" t="str">
        <f t="shared" si="93"/>
        <v/>
      </c>
      <c r="N226" s="66" t="str">
        <f t="shared" si="93"/>
        <v/>
      </c>
      <c r="O226" s="66" t="str">
        <f t="shared" si="93"/>
        <v/>
      </c>
      <c r="P226" s="66" t="str">
        <f t="shared" si="93"/>
        <v/>
      </c>
      <c r="Q226" s="66" t="str">
        <f t="shared" si="93"/>
        <v/>
      </c>
      <c r="R226" s="66" t="str">
        <f t="shared" si="93"/>
        <v/>
      </c>
      <c r="S226" s="66" t="str">
        <f t="shared" si="93"/>
        <v/>
      </c>
      <c r="T226" s="66" t="str">
        <f t="shared" si="93"/>
        <v/>
      </c>
      <c r="U226" s="66" t="str">
        <f t="shared" si="93"/>
        <v/>
      </c>
      <c r="V226" s="66" t="str">
        <f t="shared" si="93"/>
        <v/>
      </c>
      <c r="W226" s="66" t="str">
        <f t="shared" si="93"/>
        <v/>
      </c>
      <c r="X226" s="66" t="str">
        <f t="shared" si="93"/>
        <v/>
      </c>
      <c r="Y226" s="66" t="str">
        <f t="shared" si="93"/>
        <v/>
      </c>
      <c r="Z226" s="66" t="str">
        <f t="shared" si="93"/>
        <v/>
      </c>
      <c r="AA226" s="66" t="str">
        <f t="shared" si="93"/>
        <v/>
      </c>
      <c r="AB226" s="66" t="str">
        <f t="shared" si="93"/>
        <v/>
      </c>
      <c r="AC226" s="66" t="str">
        <f t="shared" si="93"/>
        <v/>
      </c>
      <c r="AD226" s="66" t="str">
        <f t="shared" si="93"/>
        <v/>
      </c>
      <c r="AE226" s="66" t="str">
        <f t="shared" si="93"/>
        <v/>
      </c>
      <c r="AF226" s="66" t="str">
        <f t="shared" si="93"/>
        <v/>
      </c>
      <c r="AG226" s="66" t="str">
        <f t="shared" si="93"/>
        <v/>
      </c>
      <c r="AH226" s="66" t="str">
        <f t="shared" si="93"/>
        <v/>
      </c>
      <c r="AI226" s="66" t="str">
        <f t="shared" si="93"/>
        <v/>
      </c>
      <c r="AJ226" s="66" t="str">
        <f t="shared" si="93"/>
        <v/>
      </c>
    </row>
    <row r="227" spans="1:55">
      <c r="A227" s="66">
        <f t="shared" si="91"/>
        <v>25</v>
      </c>
      <c r="B227" s="66" t="str">
        <f t="shared" si="91"/>
        <v>唐正瑋</v>
      </c>
      <c r="C227" s="66" t="str">
        <f t="shared" si="93"/>
        <v/>
      </c>
      <c r="D227" s="66" t="str">
        <f t="shared" si="93"/>
        <v/>
      </c>
      <c r="E227" s="66" t="str">
        <f t="shared" si="93"/>
        <v/>
      </c>
      <c r="F227" s="66" t="str">
        <f t="shared" si="93"/>
        <v/>
      </c>
      <c r="G227" s="66" t="str">
        <f t="shared" si="93"/>
        <v/>
      </c>
      <c r="H227" s="66" t="str">
        <f t="shared" si="93"/>
        <v/>
      </c>
      <c r="I227" s="66" t="str">
        <f t="shared" si="93"/>
        <v/>
      </c>
      <c r="J227" s="66" t="str">
        <f t="shared" si="93"/>
        <v/>
      </c>
      <c r="K227" s="66" t="str">
        <f t="shared" si="93"/>
        <v/>
      </c>
      <c r="L227" s="66" t="str">
        <f t="shared" si="93"/>
        <v/>
      </c>
      <c r="M227" s="66" t="str">
        <f t="shared" si="93"/>
        <v/>
      </c>
      <c r="N227" s="66" t="str">
        <f t="shared" si="93"/>
        <v/>
      </c>
      <c r="O227" s="66" t="str">
        <f t="shared" si="93"/>
        <v/>
      </c>
      <c r="P227" s="66" t="str">
        <f t="shared" si="93"/>
        <v/>
      </c>
      <c r="Q227" s="66" t="str">
        <f t="shared" si="93"/>
        <v/>
      </c>
      <c r="R227" s="66" t="str">
        <f t="shared" si="93"/>
        <v/>
      </c>
      <c r="S227" s="66" t="str">
        <f t="shared" si="93"/>
        <v/>
      </c>
      <c r="T227" s="66" t="str">
        <f t="shared" si="93"/>
        <v/>
      </c>
      <c r="U227" s="66" t="str">
        <f t="shared" si="93"/>
        <v/>
      </c>
      <c r="V227" s="66" t="str">
        <f t="shared" si="93"/>
        <v/>
      </c>
      <c r="W227" s="66" t="str">
        <f t="shared" si="93"/>
        <v/>
      </c>
      <c r="X227" s="66" t="str">
        <f t="shared" si="93"/>
        <v/>
      </c>
      <c r="Y227" s="66" t="str">
        <f t="shared" si="93"/>
        <v/>
      </c>
      <c r="Z227" s="66" t="str">
        <f t="shared" si="93"/>
        <v/>
      </c>
      <c r="AA227" s="66" t="str">
        <f t="shared" si="93"/>
        <v/>
      </c>
      <c r="AB227" s="66" t="str">
        <f t="shared" si="93"/>
        <v/>
      </c>
      <c r="AC227" s="66" t="str">
        <f t="shared" si="93"/>
        <v/>
      </c>
      <c r="AD227" s="66" t="str">
        <f t="shared" si="93"/>
        <v/>
      </c>
      <c r="AE227" s="66" t="str">
        <f t="shared" si="93"/>
        <v/>
      </c>
      <c r="AF227" s="66" t="str">
        <f t="shared" si="93"/>
        <v/>
      </c>
      <c r="AG227" s="66" t="str">
        <f t="shared" si="93"/>
        <v/>
      </c>
      <c r="AH227" s="66" t="str">
        <f t="shared" si="93"/>
        <v/>
      </c>
      <c r="AI227" s="66" t="str">
        <f t="shared" si="93"/>
        <v/>
      </c>
      <c r="AJ227" s="66" t="str">
        <f t="shared" si="93"/>
        <v/>
      </c>
    </row>
    <row r="228" spans="1:55">
      <c r="A228" s="66">
        <f t="shared" si="91"/>
        <v>26</v>
      </c>
      <c r="B228" s="66" t="str">
        <f t="shared" si="91"/>
        <v>曾慶鈞</v>
      </c>
      <c r="C228" s="66" t="str">
        <f t="shared" si="93"/>
        <v/>
      </c>
      <c r="D228" s="66" t="str">
        <f t="shared" si="93"/>
        <v/>
      </c>
      <c r="E228" s="66" t="str">
        <f t="shared" si="93"/>
        <v/>
      </c>
      <c r="F228" s="66" t="str">
        <f t="shared" si="93"/>
        <v/>
      </c>
      <c r="G228" s="66" t="str">
        <f t="shared" si="93"/>
        <v/>
      </c>
      <c r="H228" s="66" t="str">
        <f t="shared" si="93"/>
        <v/>
      </c>
      <c r="I228" s="66" t="str">
        <f t="shared" si="93"/>
        <v/>
      </c>
      <c r="J228" s="66" t="str">
        <f t="shared" si="93"/>
        <v/>
      </c>
      <c r="K228" s="66" t="str">
        <f t="shared" si="93"/>
        <v/>
      </c>
      <c r="L228" s="66" t="str">
        <f t="shared" si="93"/>
        <v/>
      </c>
      <c r="M228" s="66" t="str">
        <f t="shared" si="93"/>
        <v/>
      </c>
      <c r="N228" s="66" t="str">
        <f t="shared" si="93"/>
        <v/>
      </c>
      <c r="O228" s="66" t="str">
        <f t="shared" si="93"/>
        <v/>
      </c>
      <c r="P228" s="66" t="str">
        <f t="shared" si="93"/>
        <v/>
      </c>
      <c r="Q228" s="66" t="str">
        <f t="shared" si="93"/>
        <v/>
      </c>
      <c r="R228" s="66" t="str">
        <f t="shared" si="93"/>
        <v/>
      </c>
      <c r="S228" s="66" t="str">
        <f t="shared" si="93"/>
        <v/>
      </c>
      <c r="T228" s="66" t="str">
        <f t="shared" ref="T228:AJ228" si="94">IF(  OR(  LEN(T227)=2,LEN(T227)=3  ),  CONCATENATE(  ".",IF(T68=$A$201,$A228,"")  ),IF(T68=$A$201,$A228,"")  )</f>
        <v/>
      </c>
      <c r="U228" s="66" t="str">
        <f t="shared" si="94"/>
        <v/>
      </c>
      <c r="V228" s="66" t="str">
        <f t="shared" si="94"/>
        <v/>
      </c>
      <c r="W228" s="66" t="str">
        <f t="shared" si="94"/>
        <v/>
      </c>
      <c r="X228" s="66" t="str">
        <f t="shared" si="94"/>
        <v/>
      </c>
      <c r="Y228" s="66" t="str">
        <f t="shared" si="94"/>
        <v/>
      </c>
      <c r="Z228" s="66" t="str">
        <f t="shared" si="94"/>
        <v/>
      </c>
      <c r="AA228" s="66" t="str">
        <f t="shared" si="94"/>
        <v/>
      </c>
      <c r="AB228" s="66" t="str">
        <f t="shared" si="94"/>
        <v/>
      </c>
      <c r="AC228" s="66" t="str">
        <f t="shared" si="94"/>
        <v/>
      </c>
      <c r="AD228" s="66" t="str">
        <f t="shared" si="94"/>
        <v/>
      </c>
      <c r="AE228" s="66" t="str">
        <f t="shared" si="94"/>
        <v/>
      </c>
      <c r="AF228" s="66" t="str">
        <f t="shared" si="94"/>
        <v/>
      </c>
      <c r="AG228" s="66" t="str">
        <f t="shared" si="94"/>
        <v/>
      </c>
      <c r="AH228" s="66" t="str">
        <f t="shared" si="94"/>
        <v/>
      </c>
      <c r="AI228" s="66" t="str">
        <f t="shared" si="94"/>
        <v/>
      </c>
      <c r="AJ228" s="66" t="str">
        <f t="shared" si="94"/>
        <v/>
      </c>
    </row>
    <row r="229" spans="1:55">
      <c r="A229" s="66">
        <f t="shared" si="91"/>
        <v>27</v>
      </c>
      <c r="B229" s="66" t="str">
        <f t="shared" si="91"/>
        <v>游瀚翔</v>
      </c>
      <c r="C229" s="66" t="str">
        <f t="shared" ref="C229:AJ236" si="95">IF(  OR(  LEN(C228)=2,LEN(C228)=3  ),  CONCATENATE(  ".",IF(C69=$A$201,$A229,"")  ),IF(C69=$A$201,$A229,"")  )</f>
        <v/>
      </c>
      <c r="D229" s="66" t="str">
        <f t="shared" si="95"/>
        <v/>
      </c>
      <c r="E229" s="66" t="str">
        <f t="shared" si="95"/>
        <v/>
      </c>
      <c r="F229" s="66" t="str">
        <f t="shared" si="95"/>
        <v/>
      </c>
      <c r="G229" s="66" t="str">
        <f t="shared" si="95"/>
        <v/>
      </c>
      <c r="H229" s="66" t="str">
        <f t="shared" si="95"/>
        <v/>
      </c>
      <c r="I229" s="66" t="str">
        <f t="shared" si="95"/>
        <v/>
      </c>
      <c r="J229" s="66" t="str">
        <f t="shared" si="95"/>
        <v/>
      </c>
      <c r="K229" s="66" t="str">
        <f t="shared" si="95"/>
        <v/>
      </c>
      <c r="L229" s="66" t="str">
        <f t="shared" si="95"/>
        <v/>
      </c>
      <c r="M229" s="66" t="str">
        <f t="shared" si="95"/>
        <v/>
      </c>
      <c r="N229" s="66" t="str">
        <f t="shared" si="95"/>
        <v/>
      </c>
      <c r="O229" s="66" t="str">
        <f t="shared" si="95"/>
        <v/>
      </c>
      <c r="P229" s="66" t="str">
        <f t="shared" si="95"/>
        <v/>
      </c>
      <c r="Q229" s="66" t="str">
        <f t="shared" si="95"/>
        <v/>
      </c>
      <c r="R229" s="66" t="str">
        <f t="shared" si="95"/>
        <v/>
      </c>
      <c r="S229" s="66" t="str">
        <f t="shared" si="95"/>
        <v/>
      </c>
      <c r="T229" s="66" t="str">
        <f t="shared" si="95"/>
        <v/>
      </c>
      <c r="U229" s="66" t="str">
        <f t="shared" si="95"/>
        <v/>
      </c>
      <c r="V229" s="66" t="str">
        <f t="shared" si="95"/>
        <v/>
      </c>
      <c r="W229" s="66" t="str">
        <f t="shared" si="95"/>
        <v/>
      </c>
      <c r="X229" s="66" t="str">
        <f t="shared" si="95"/>
        <v/>
      </c>
      <c r="Y229" s="66" t="str">
        <f t="shared" si="95"/>
        <v/>
      </c>
      <c r="Z229" s="66" t="str">
        <f t="shared" si="95"/>
        <v/>
      </c>
      <c r="AA229" s="66" t="str">
        <f t="shared" si="95"/>
        <v/>
      </c>
      <c r="AB229" s="66" t="str">
        <f t="shared" si="95"/>
        <v/>
      </c>
      <c r="AC229" s="66" t="str">
        <f t="shared" si="95"/>
        <v/>
      </c>
      <c r="AD229" s="66" t="str">
        <f t="shared" si="95"/>
        <v/>
      </c>
      <c r="AE229" s="66" t="str">
        <f t="shared" si="95"/>
        <v/>
      </c>
      <c r="AF229" s="66" t="str">
        <f t="shared" si="95"/>
        <v/>
      </c>
      <c r="AG229" s="66" t="str">
        <f t="shared" si="95"/>
        <v/>
      </c>
      <c r="AH229" s="66" t="str">
        <f t="shared" si="95"/>
        <v/>
      </c>
      <c r="AI229" s="66" t="str">
        <f t="shared" si="95"/>
        <v/>
      </c>
      <c r="AJ229" s="66" t="str">
        <f t="shared" si="95"/>
        <v/>
      </c>
    </row>
    <row r="230" spans="1:55">
      <c r="A230" s="66">
        <f t="shared" si="91"/>
        <v>28</v>
      </c>
      <c r="B230" s="66" t="str">
        <f t="shared" si="91"/>
        <v>高仲廷</v>
      </c>
      <c r="C230" s="66" t="str">
        <f t="shared" si="95"/>
        <v/>
      </c>
      <c r="D230" s="66" t="str">
        <f t="shared" si="95"/>
        <v/>
      </c>
      <c r="E230" s="66" t="str">
        <f t="shared" si="95"/>
        <v/>
      </c>
      <c r="F230" s="66" t="str">
        <f t="shared" si="95"/>
        <v/>
      </c>
      <c r="G230" s="66" t="str">
        <f t="shared" si="95"/>
        <v/>
      </c>
      <c r="H230" s="66" t="str">
        <f t="shared" si="95"/>
        <v/>
      </c>
      <c r="I230" s="66" t="str">
        <f t="shared" si="95"/>
        <v/>
      </c>
      <c r="J230" s="66" t="str">
        <f t="shared" si="95"/>
        <v/>
      </c>
      <c r="K230" s="66" t="str">
        <f t="shared" si="95"/>
        <v/>
      </c>
      <c r="L230" s="66" t="str">
        <f t="shared" si="95"/>
        <v/>
      </c>
      <c r="M230" s="66" t="str">
        <f t="shared" si="95"/>
        <v/>
      </c>
      <c r="N230" s="66" t="str">
        <f t="shared" si="95"/>
        <v/>
      </c>
      <c r="O230" s="66" t="str">
        <f t="shared" si="95"/>
        <v/>
      </c>
      <c r="P230" s="66" t="str">
        <f t="shared" si="95"/>
        <v/>
      </c>
      <c r="Q230" s="66" t="str">
        <f t="shared" si="95"/>
        <v/>
      </c>
      <c r="R230" s="66" t="str">
        <f t="shared" si="95"/>
        <v/>
      </c>
      <c r="S230" s="66" t="str">
        <f t="shared" si="95"/>
        <v/>
      </c>
      <c r="T230" s="66" t="str">
        <f t="shared" si="95"/>
        <v/>
      </c>
      <c r="U230" s="66" t="str">
        <f t="shared" si="95"/>
        <v/>
      </c>
      <c r="V230" s="66" t="str">
        <f t="shared" si="95"/>
        <v/>
      </c>
      <c r="W230" s="66" t="str">
        <f t="shared" si="95"/>
        <v/>
      </c>
      <c r="X230" s="66" t="str">
        <f t="shared" si="95"/>
        <v/>
      </c>
      <c r="Y230" s="66" t="str">
        <f t="shared" si="95"/>
        <v/>
      </c>
      <c r="Z230" s="66" t="str">
        <f t="shared" si="95"/>
        <v/>
      </c>
      <c r="AA230" s="66" t="str">
        <f t="shared" si="95"/>
        <v/>
      </c>
      <c r="AB230" s="66" t="str">
        <f t="shared" si="95"/>
        <v/>
      </c>
      <c r="AC230" s="66" t="str">
        <f t="shared" si="95"/>
        <v/>
      </c>
      <c r="AD230" s="66" t="str">
        <f t="shared" si="95"/>
        <v/>
      </c>
      <c r="AE230" s="66" t="str">
        <f t="shared" si="95"/>
        <v/>
      </c>
      <c r="AF230" s="66" t="str">
        <f t="shared" si="95"/>
        <v/>
      </c>
      <c r="AG230" s="66" t="str">
        <f t="shared" si="95"/>
        <v/>
      </c>
      <c r="AH230" s="66" t="str">
        <f t="shared" si="95"/>
        <v/>
      </c>
      <c r="AI230" s="66" t="str">
        <f t="shared" si="95"/>
        <v/>
      </c>
      <c r="AJ230" s="66" t="str">
        <f t="shared" si="95"/>
        <v/>
      </c>
    </row>
    <row r="231" spans="1:55">
      <c r="A231" s="66">
        <f t="shared" si="91"/>
        <v>29</v>
      </c>
      <c r="B231" s="66" t="str">
        <f t="shared" si="91"/>
        <v>陳羲</v>
      </c>
      <c r="C231" s="66" t="str">
        <f t="shared" si="95"/>
        <v/>
      </c>
      <c r="D231" s="66" t="str">
        <f t="shared" si="95"/>
        <v/>
      </c>
      <c r="E231" s="66" t="str">
        <f t="shared" si="95"/>
        <v/>
      </c>
      <c r="F231" s="66" t="str">
        <f t="shared" si="95"/>
        <v/>
      </c>
      <c r="G231" s="66" t="str">
        <f t="shared" si="95"/>
        <v/>
      </c>
      <c r="H231" s="66" t="str">
        <f t="shared" si="95"/>
        <v/>
      </c>
      <c r="I231" s="66" t="str">
        <f t="shared" si="95"/>
        <v/>
      </c>
      <c r="J231" s="66" t="str">
        <f t="shared" si="95"/>
        <v/>
      </c>
      <c r="K231" s="66" t="str">
        <f t="shared" si="95"/>
        <v/>
      </c>
      <c r="L231" s="66" t="str">
        <f t="shared" si="95"/>
        <v/>
      </c>
      <c r="M231" s="66" t="str">
        <f t="shared" si="95"/>
        <v/>
      </c>
      <c r="N231" s="66" t="str">
        <f t="shared" si="95"/>
        <v/>
      </c>
      <c r="O231" s="66" t="str">
        <f t="shared" si="95"/>
        <v/>
      </c>
      <c r="P231" s="66" t="str">
        <f t="shared" si="95"/>
        <v/>
      </c>
      <c r="Q231" s="66" t="str">
        <f t="shared" si="95"/>
        <v/>
      </c>
      <c r="R231" s="66" t="str">
        <f t="shared" si="95"/>
        <v/>
      </c>
      <c r="S231" s="66" t="str">
        <f t="shared" si="95"/>
        <v/>
      </c>
      <c r="T231" s="66" t="str">
        <f t="shared" si="95"/>
        <v/>
      </c>
      <c r="U231" s="66" t="str">
        <f t="shared" si="95"/>
        <v/>
      </c>
      <c r="V231" s="66" t="str">
        <f t="shared" si="95"/>
        <v/>
      </c>
      <c r="W231" s="66" t="str">
        <f t="shared" si="95"/>
        <v/>
      </c>
      <c r="X231" s="66" t="str">
        <f t="shared" si="95"/>
        <v/>
      </c>
      <c r="Y231" s="66" t="str">
        <f t="shared" si="95"/>
        <v/>
      </c>
      <c r="Z231" s="66" t="str">
        <f t="shared" si="95"/>
        <v/>
      </c>
      <c r="AA231" s="66" t="str">
        <f t="shared" si="95"/>
        <v/>
      </c>
      <c r="AB231" s="66" t="str">
        <f t="shared" si="95"/>
        <v/>
      </c>
      <c r="AC231" s="66" t="str">
        <f t="shared" si="95"/>
        <v/>
      </c>
      <c r="AD231" s="66" t="str">
        <f t="shared" si="95"/>
        <v/>
      </c>
      <c r="AE231" s="66" t="str">
        <f t="shared" si="95"/>
        <v/>
      </c>
      <c r="AF231" s="66" t="str">
        <f t="shared" si="95"/>
        <v/>
      </c>
      <c r="AG231" s="66" t="str">
        <f t="shared" si="95"/>
        <v/>
      </c>
      <c r="AH231" s="66" t="str">
        <f t="shared" si="95"/>
        <v/>
      </c>
      <c r="AI231" s="66" t="str">
        <f t="shared" si="95"/>
        <v/>
      </c>
      <c r="AJ231" s="66" t="str">
        <f t="shared" si="95"/>
        <v/>
      </c>
    </row>
    <row r="232" spans="1:55">
      <c r="A232" s="66">
        <f t="shared" si="91"/>
        <v>30</v>
      </c>
      <c r="B232" s="66" t="str">
        <f t="shared" si="91"/>
        <v>謝昕融</v>
      </c>
      <c r="C232" s="66" t="str">
        <f t="shared" si="95"/>
        <v/>
      </c>
      <c r="D232" s="66" t="str">
        <f t="shared" si="95"/>
        <v/>
      </c>
      <c r="E232" s="66" t="str">
        <f t="shared" si="95"/>
        <v/>
      </c>
      <c r="F232" s="66" t="str">
        <f t="shared" si="95"/>
        <v/>
      </c>
      <c r="G232" s="66" t="str">
        <f t="shared" si="95"/>
        <v/>
      </c>
      <c r="H232" s="66" t="str">
        <f t="shared" si="95"/>
        <v/>
      </c>
      <c r="I232" s="66" t="str">
        <f t="shared" si="95"/>
        <v/>
      </c>
      <c r="J232" s="66" t="str">
        <f t="shared" si="95"/>
        <v/>
      </c>
      <c r="K232" s="66" t="str">
        <f t="shared" si="95"/>
        <v/>
      </c>
      <c r="L232" s="66" t="str">
        <f t="shared" si="95"/>
        <v/>
      </c>
      <c r="M232" s="66" t="str">
        <f t="shared" si="95"/>
        <v/>
      </c>
      <c r="N232" s="66" t="str">
        <f t="shared" si="95"/>
        <v/>
      </c>
      <c r="O232" s="66" t="str">
        <f t="shared" si="95"/>
        <v/>
      </c>
      <c r="P232" s="66" t="str">
        <f t="shared" si="95"/>
        <v/>
      </c>
      <c r="Q232" s="66" t="str">
        <f t="shared" si="95"/>
        <v/>
      </c>
      <c r="R232" s="66" t="str">
        <f t="shared" si="95"/>
        <v/>
      </c>
      <c r="S232" s="66" t="str">
        <f t="shared" si="95"/>
        <v/>
      </c>
      <c r="T232" s="66" t="str">
        <f t="shared" si="95"/>
        <v/>
      </c>
      <c r="U232" s="66" t="str">
        <f t="shared" si="95"/>
        <v/>
      </c>
      <c r="V232" s="66" t="str">
        <f t="shared" si="95"/>
        <v/>
      </c>
      <c r="W232" s="66" t="str">
        <f t="shared" si="95"/>
        <v/>
      </c>
      <c r="X232" s="66" t="str">
        <f t="shared" si="95"/>
        <v/>
      </c>
      <c r="Y232" s="66" t="str">
        <f t="shared" si="95"/>
        <v/>
      </c>
      <c r="Z232" s="66" t="str">
        <f t="shared" si="95"/>
        <v/>
      </c>
      <c r="AA232" s="66" t="str">
        <f t="shared" si="95"/>
        <v/>
      </c>
      <c r="AB232" s="66" t="str">
        <f t="shared" si="95"/>
        <v/>
      </c>
      <c r="AC232" s="66" t="str">
        <f t="shared" si="95"/>
        <v/>
      </c>
      <c r="AD232" s="66" t="str">
        <f t="shared" si="95"/>
        <v/>
      </c>
      <c r="AE232" s="66" t="str">
        <f t="shared" si="95"/>
        <v/>
      </c>
      <c r="AF232" s="66" t="str">
        <f t="shared" si="95"/>
        <v/>
      </c>
      <c r="AG232" s="66" t="str">
        <f t="shared" si="95"/>
        <v/>
      </c>
      <c r="AH232" s="66" t="str">
        <f t="shared" si="95"/>
        <v/>
      </c>
      <c r="AI232" s="66" t="str">
        <f t="shared" si="95"/>
        <v/>
      </c>
      <c r="AJ232" s="66" t="str">
        <f t="shared" si="95"/>
        <v/>
      </c>
    </row>
    <row r="233" spans="1:55">
      <c r="A233" s="66">
        <f t="shared" si="91"/>
        <v>31</v>
      </c>
      <c r="B233" s="66" t="str">
        <f t="shared" si="91"/>
        <v>許峰銘</v>
      </c>
      <c r="C233" s="66" t="str">
        <f t="shared" si="95"/>
        <v/>
      </c>
      <c r="D233" s="66" t="str">
        <f t="shared" si="95"/>
        <v/>
      </c>
      <c r="E233" s="66" t="str">
        <f t="shared" si="95"/>
        <v/>
      </c>
      <c r="F233" s="66" t="str">
        <f t="shared" si="95"/>
        <v/>
      </c>
      <c r="G233" s="66" t="str">
        <f t="shared" si="95"/>
        <v/>
      </c>
      <c r="H233" s="66" t="str">
        <f t="shared" si="95"/>
        <v/>
      </c>
      <c r="I233" s="66" t="str">
        <f t="shared" si="95"/>
        <v/>
      </c>
      <c r="J233" s="66" t="str">
        <f t="shared" si="95"/>
        <v/>
      </c>
      <c r="K233" s="66" t="str">
        <f t="shared" si="95"/>
        <v/>
      </c>
      <c r="L233" s="66" t="str">
        <f t="shared" si="95"/>
        <v/>
      </c>
      <c r="M233" s="66" t="str">
        <f t="shared" si="95"/>
        <v/>
      </c>
      <c r="N233" s="66" t="str">
        <f t="shared" si="95"/>
        <v/>
      </c>
      <c r="O233" s="66" t="str">
        <f t="shared" si="95"/>
        <v/>
      </c>
      <c r="P233" s="66" t="str">
        <f t="shared" si="95"/>
        <v/>
      </c>
      <c r="Q233" s="66" t="str">
        <f t="shared" si="95"/>
        <v/>
      </c>
      <c r="R233" s="66" t="str">
        <f t="shared" si="95"/>
        <v/>
      </c>
      <c r="S233" s="66" t="str">
        <f t="shared" si="95"/>
        <v/>
      </c>
      <c r="T233" s="66" t="str">
        <f t="shared" si="95"/>
        <v/>
      </c>
      <c r="U233" s="66" t="str">
        <f t="shared" si="95"/>
        <v/>
      </c>
      <c r="V233" s="66" t="str">
        <f t="shared" si="95"/>
        <v/>
      </c>
      <c r="W233" s="66" t="str">
        <f t="shared" si="95"/>
        <v/>
      </c>
      <c r="X233" s="66" t="str">
        <f t="shared" si="95"/>
        <v/>
      </c>
      <c r="Y233" s="66" t="str">
        <f t="shared" si="95"/>
        <v/>
      </c>
      <c r="Z233" s="66" t="str">
        <f t="shared" si="95"/>
        <v/>
      </c>
      <c r="AA233" s="66" t="str">
        <f t="shared" si="95"/>
        <v/>
      </c>
      <c r="AB233" s="66" t="str">
        <f t="shared" si="95"/>
        <v/>
      </c>
      <c r="AC233" s="66" t="str">
        <f t="shared" si="95"/>
        <v/>
      </c>
      <c r="AD233" s="66" t="str">
        <f t="shared" si="95"/>
        <v/>
      </c>
      <c r="AE233" s="66" t="str">
        <f t="shared" si="95"/>
        <v/>
      </c>
      <c r="AF233" s="66" t="str">
        <f t="shared" si="95"/>
        <v/>
      </c>
      <c r="AG233" s="66" t="str">
        <f t="shared" si="95"/>
        <v/>
      </c>
      <c r="AH233" s="66" t="str">
        <f t="shared" si="95"/>
        <v/>
      </c>
      <c r="AI233" s="66" t="str">
        <f t="shared" si="95"/>
        <v/>
      </c>
      <c r="AJ233" s="66" t="str">
        <f t="shared" si="95"/>
        <v/>
      </c>
    </row>
    <row r="234" spans="1:55">
      <c r="A234" s="66">
        <f t="shared" si="91"/>
        <v>32</v>
      </c>
      <c r="B234" s="66" t="str">
        <f t="shared" si="91"/>
        <v>莊博竣</v>
      </c>
      <c r="C234" s="66" t="str">
        <f t="shared" si="95"/>
        <v/>
      </c>
      <c r="D234" s="66" t="str">
        <f t="shared" si="95"/>
        <v/>
      </c>
      <c r="E234" s="66" t="str">
        <f t="shared" si="95"/>
        <v/>
      </c>
      <c r="F234" s="66" t="str">
        <f t="shared" si="95"/>
        <v/>
      </c>
      <c r="G234" s="66" t="str">
        <f t="shared" si="95"/>
        <v/>
      </c>
      <c r="H234" s="66" t="str">
        <f t="shared" si="95"/>
        <v/>
      </c>
      <c r="I234" s="66" t="str">
        <f t="shared" si="95"/>
        <v/>
      </c>
      <c r="J234" s="66" t="str">
        <f t="shared" si="95"/>
        <v/>
      </c>
      <c r="K234" s="66" t="str">
        <f t="shared" si="95"/>
        <v/>
      </c>
      <c r="L234" s="66" t="str">
        <f t="shared" si="95"/>
        <v/>
      </c>
      <c r="M234" s="66" t="str">
        <f t="shared" si="95"/>
        <v/>
      </c>
      <c r="N234" s="66" t="str">
        <f t="shared" si="95"/>
        <v/>
      </c>
      <c r="O234" s="66" t="str">
        <f t="shared" si="95"/>
        <v/>
      </c>
      <c r="P234" s="66" t="str">
        <f t="shared" si="95"/>
        <v/>
      </c>
      <c r="Q234" s="66" t="str">
        <f t="shared" si="95"/>
        <v/>
      </c>
      <c r="R234" s="66" t="str">
        <f t="shared" si="95"/>
        <v/>
      </c>
      <c r="S234" s="66" t="str">
        <f t="shared" si="95"/>
        <v/>
      </c>
      <c r="T234" s="66" t="str">
        <f t="shared" si="95"/>
        <v/>
      </c>
      <c r="U234" s="66" t="str">
        <f t="shared" si="95"/>
        <v/>
      </c>
      <c r="V234" s="66" t="str">
        <f t="shared" si="95"/>
        <v/>
      </c>
      <c r="W234" s="66" t="str">
        <f t="shared" si="95"/>
        <v/>
      </c>
      <c r="X234" s="66" t="str">
        <f t="shared" si="95"/>
        <v/>
      </c>
      <c r="Y234" s="66" t="str">
        <f t="shared" si="95"/>
        <v/>
      </c>
      <c r="Z234" s="66" t="str">
        <f t="shared" si="95"/>
        <v/>
      </c>
      <c r="AA234" s="66" t="str">
        <f t="shared" si="95"/>
        <v/>
      </c>
      <c r="AB234" s="66" t="str">
        <f t="shared" si="95"/>
        <v/>
      </c>
      <c r="AC234" s="66" t="str">
        <f t="shared" si="95"/>
        <v/>
      </c>
      <c r="AD234" s="66" t="str">
        <f t="shared" si="95"/>
        <v/>
      </c>
      <c r="AE234" s="66" t="str">
        <f t="shared" si="95"/>
        <v/>
      </c>
      <c r="AF234" s="66" t="str">
        <f t="shared" si="95"/>
        <v/>
      </c>
      <c r="AG234" s="66" t="str">
        <f t="shared" si="95"/>
        <v/>
      </c>
      <c r="AH234" s="66" t="str">
        <f t="shared" si="95"/>
        <v/>
      </c>
      <c r="AI234" s="66" t="str">
        <f t="shared" si="95"/>
        <v/>
      </c>
      <c r="AJ234" s="66" t="str">
        <f t="shared" si="95"/>
        <v/>
      </c>
    </row>
    <row r="235" spans="1:55">
      <c r="A235" s="66">
        <f t="shared" ref="A235:B238" si="96">A195</f>
        <v>33</v>
      </c>
      <c r="B235" s="66" t="str">
        <f t="shared" si="96"/>
        <v/>
      </c>
      <c r="C235" s="66" t="str">
        <f t="shared" si="95"/>
        <v/>
      </c>
      <c r="D235" s="66" t="str">
        <f t="shared" si="95"/>
        <v/>
      </c>
      <c r="E235" s="66" t="str">
        <f t="shared" si="95"/>
        <v/>
      </c>
      <c r="F235" s="66" t="str">
        <f t="shared" si="95"/>
        <v/>
      </c>
      <c r="G235" s="66" t="str">
        <f t="shared" si="95"/>
        <v/>
      </c>
      <c r="H235" s="66" t="str">
        <f t="shared" si="95"/>
        <v/>
      </c>
      <c r="I235" s="66" t="str">
        <f t="shared" si="95"/>
        <v/>
      </c>
      <c r="J235" s="66" t="str">
        <f t="shared" si="95"/>
        <v/>
      </c>
      <c r="K235" s="66" t="str">
        <f t="shared" si="95"/>
        <v/>
      </c>
      <c r="L235" s="66" t="str">
        <f t="shared" si="95"/>
        <v/>
      </c>
      <c r="M235" s="66" t="str">
        <f t="shared" si="95"/>
        <v/>
      </c>
      <c r="N235" s="66" t="str">
        <f t="shared" si="95"/>
        <v/>
      </c>
      <c r="O235" s="66" t="str">
        <f t="shared" si="95"/>
        <v/>
      </c>
      <c r="P235" s="66" t="str">
        <f t="shared" si="95"/>
        <v/>
      </c>
      <c r="Q235" s="66" t="str">
        <f t="shared" si="95"/>
        <v/>
      </c>
      <c r="R235" s="66" t="str">
        <f t="shared" si="95"/>
        <v/>
      </c>
      <c r="S235" s="66" t="str">
        <f t="shared" si="95"/>
        <v/>
      </c>
      <c r="T235" s="66" t="str">
        <f t="shared" si="95"/>
        <v/>
      </c>
      <c r="U235" s="66" t="str">
        <f t="shared" si="95"/>
        <v/>
      </c>
      <c r="V235" s="66" t="str">
        <f t="shared" si="95"/>
        <v/>
      </c>
      <c r="W235" s="66" t="str">
        <f t="shared" si="95"/>
        <v/>
      </c>
      <c r="X235" s="66" t="str">
        <f t="shared" si="95"/>
        <v/>
      </c>
      <c r="Y235" s="66" t="str">
        <f t="shared" si="95"/>
        <v/>
      </c>
      <c r="Z235" s="66" t="str">
        <f t="shared" si="95"/>
        <v/>
      </c>
      <c r="AA235" s="66" t="str">
        <f t="shared" si="95"/>
        <v/>
      </c>
      <c r="AB235" s="66" t="str">
        <f t="shared" si="95"/>
        <v/>
      </c>
      <c r="AC235" s="66" t="str">
        <f t="shared" si="95"/>
        <v/>
      </c>
      <c r="AD235" s="66" t="str">
        <f t="shared" si="95"/>
        <v/>
      </c>
      <c r="AE235" s="66" t="str">
        <f t="shared" si="95"/>
        <v/>
      </c>
      <c r="AF235" s="66" t="str">
        <f t="shared" si="95"/>
        <v/>
      </c>
      <c r="AG235" s="66" t="str">
        <f t="shared" si="95"/>
        <v/>
      </c>
      <c r="AH235" s="66" t="str">
        <f t="shared" si="95"/>
        <v/>
      </c>
      <c r="AI235" s="66" t="str">
        <f t="shared" si="95"/>
        <v/>
      </c>
      <c r="AJ235" s="66" t="str">
        <f t="shared" si="95"/>
        <v/>
      </c>
    </row>
    <row r="236" spans="1:55">
      <c r="A236" s="66">
        <f t="shared" si="96"/>
        <v>34</v>
      </c>
      <c r="B236" s="66" t="str">
        <f t="shared" si="96"/>
        <v/>
      </c>
      <c r="C236" s="66" t="str">
        <f t="shared" si="95"/>
        <v/>
      </c>
      <c r="D236" s="66" t="str">
        <f t="shared" si="95"/>
        <v/>
      </c>
      <c r="E236" s="66" t="str">
        <f t="shared" si="95"/>
        <v/>
      </c>
      <c r="F236" s="66" t="str">
        <f t="shared" si="95"/>
        <v/>
      </c>
      <c r="G236" s="66" t="str">
        <f t="shared" si="95"/>
        <v/>
      </c>
      <c r="H236" s="66" t="str">
        <f t="shared" si="95"/>
        <v/>
      </c>
      <c r="I236" s="66" t="str">
        <f t="shared" si="95"/>
        <v/>
      </c>
      <c r="J236" s="66" t="str">
        <f t="shared" si="95"/>
        <v/>
      </c>
      <c r="K236" s="66" t="str">
        <f t="shared" si="95"/>
        <v/>
      </c>
      <c r="L236" s="66" t="str">
        <f t="shared" si="95"/>
        <v/>
      </c>
      <c r="M236" s="66" t="str">
        <f t="shared" si="95"/>
        <v/>
      </c>
      <c r="N236" s="66" t="str">
        <f t="shared" si="95"/>
        <v/>
      </c>
      <c r="O236" s="66" t="str">
        <f t="shared" si="95"/>
        <v/>
      </c>
      <c r="P236" s="66" t="str">
        <f t="shared" si="95"/>
        <v/>
      </c>
      <c r="Q236" s="66" t="str">
        <f t="shared" si="95"/>
        <v/>
      </c>
      <c r="R236" s="66" t="str">
        <f t="shared" si="95"/>
        <v/>
      </c>
      <c r="S236" s="66" t="str">
        <f t="shared" si="95"/>
        <v/>
      </c>
      <c r="T236" s="66" t="str">
        <f t="shared" ref="T236:AJ236" si="97">IF(  OR(  LEN(T235)=2,LEN(T235)=3  ),  CONCATENATE(  ".",IF(T76=$A$201,$A236,"")  ),IF(T76=$A$201,$A236,"")  )</f>
        <v/>
      </c>
      <c r="U236" s="66" t="str">
        <f t="shared" si="97"/>
        <v/>
      </c>
      <c r="V236" s="66" t="str">
        <f t="shared" si="97"/>
        <v/>
      </c>
      <c r="W236" s="66" t="str">
        <f t="shared" si="97"/>
        <v/>
      </c>
      <c r="X236" s="66" t="str">
        <f t="shared" si="97"/>
        <v/>
      </c>
      <c r="Y236" s="66" t="str">
        <f t="shared" si="97"/>
        <v/>
      </c>
      <c r="Z236" s="66" t="str">
        <f t="shared" si="97"/>
        <v/>
      </c>
      <c r="AA236" s="66" t="str">
        <f t="shared" si="97"/>
        <v/>
      </c>
      <c r="AB236" s="66" t="str">
        <f t="shared" si="97"/>
        <v/>
      </c>
      <c r="AC236" s="66" t="str">
        <f t="shared" si="97"/>
        <v/>
      </c>
      <c r="AD236" s="66" t="str">
        <f t="shared" si="97"/>
        <v/>
      </c>
      <c r="AE236" s="66" t="str">
        <f t="shared" si="97"/>
        <v/>
      </c>
      <c r="AF236" s="66" t="str">
        <f t="shared" si="97"/>
        <v/>
      </c>
      <c r="AG236" s="66" t="str">
        <f t="shared" si="97"/>
        <v/>
      </c>
      <c r="AH236" s="66" t="str">
        <f t="shared" si="97"/>
        <v/>
      </c>
      <c r="AI236" s="66" t="str">
        <f t="shared" si="97"/>
        <v/>
      </c>
      <c r="AJ236" s="66" t="str">
        <f t="shared" si="97"/>
        <v/>
      </c>
    </row>
    <row r="237" spans="1:55">
      <c r="A237" s="66">
        <f t="shared" si="96"/>
        <v>35</v>
      </c>
      <c r="B237" s="66" t="str">
        <f t="shared" si="96"/>
        <v/>
      </c>
      <c r="C237" s="66" t="str">
        <f t="shared" ref="C237:AJ238" si="98">IF(  OR(  LEN(C236)=2,LEN(C236)=3  ),  CONCATENATE(  ".",IF(C77=$A$201,$A237,"")  ),IF(C77=$A$201,$A237,"")  )</f>
        <v/>
      </c>
      <c r="D237" s="66" t="str">
        <f t="shared" si="98"/>
        <v/>
      </c>
      <c r="E237" s="66" t="str">
        <f t="shared" si="98"/>
        <v/>
      </c>
      <c r="F237" s="66" t="str">
        <f t="shared" si="98"/>
        <v/>
      </c>
      <c r="G237" s="66" t="str">
        <f t="shared" si="98"/>
        <v/>
      </c>
      <c r="H237" s="66" t="str">
        <f t="shared" si="98"/>
        <v/>
      </c>
      <c r="I237" s="66" t="str">
        <f t="shared" si="98"/>
        <v/>
      </c>
      <c r="J237" s="66" t="str">
        <f t="shared" si="98"/>
        <v/>
      </c>
      <c r="K237" s="66" t="str">
        <f t="shared" si="98"/>
        <v/>
      </c>
      <c r="L237" s="66" t="str">
        <f t="shared" si="98"/>
        <v/>
      </c>
      <c r="M237" s="66" t="str">
        <f t="shared" si="98"/>
        <v/>
      </c>
      <c r="N237" s="66" t="str">
        <f t="shared" si="98"/>
        <v/>
      </c>
      <c r="O237" s="66" t="str">
        <f t="shared" si="98"/>
        <v/>
      </c>
      <c r="P237" s="66" t="str">
        <f t="shared" si="98"/>
        <v/>
      </c>
      <c r="Q237" s="66" t="str">
        <f t="shared" si="98"/>
        <v/>
      </c>
      <c r="R237" s="66" t="str">
        <f t="shared" si="98"/>
        <v/>
      </c>
      <c r="S237" s="66" t="str">
        <f t="shared" si="98"/>
        <v/>
      </c>
      <c r="T237" s="66" t="str">
        <f t="shared" si="98"/>
        <v/>
      </c>
      <c r="U237" s="66" t="str">
        <f t="shared" si="98"/>
        <v/>
      </c>
      <c r="V237" s="66" t="str">
        <f t="shared" si="98"/>
        <v/>
      </c>
      <c r="W237" s="66" t="str">
        <f t="shared" si="98"/>
        <v/>
      </c>
      <c r="X237" s="66" t="str">
        <f t="shared" si="98"/>
        <v/>
      </c>
      <c r="Y237" s="66" t="str">
        <f t="shared" si="98"/>
        <v/>
      </c>
      <c r="Z237" s="66" t="str">
        <f t="shared" si="98"/>
        <v/>
      </c>
      <c r="AA237" s="66" t="str">
        <f t="shared" si="98"/>
        <v/>
      </c>
      <c r="AB237" s="66" t="str">
        <f t="shared" si="98"/>
        <v/>
      </c>
      <c r="AC237" s="66" t="str">
        <f t="shared" si="98"/>
        <v/>
      </c>
      <c r="AD237" s="66" t="str">
        <f t="shared" si="98"/>
        <v/>
      </c>
      <c r="AE237" s="66" t="str">
        <f t="shared" si="98"/>
        <v/>
      </c>
      <c r="AF237" s="66" t="str">
        <f t="shared" si="98"/>
        <v/>
      </c>
      <c r="AG237" s="66" t="str">
        <f t="shared" si="98"/>
        <v/>
      </c>
      <c r="AH237" s="66" t="str">
        <f t="shared" si="98"/>
        <v/>
      </c>
      <c r="AI237" s="66" t="str">
        <f t="shared" si="98"/>
        <v/>
      </c>
      <c r="AJ237" s="66" t="str">
        <f t="shared" si="98"/>
        <v/>
      </c>
    </row>
    <row r="238" spans="1:55">
      <c r="A238" s="66">
        <f t="shared" si="96"/>
        <v>37</v>
      </c>
      <c r="B238" s="66" t="str">
        <f t="shared" si="96"/>
        <v/>
      </c>
      <c r="C238" s="66" t="str">
        <f t="shared" si="98"/>
        <v/>
      </c>
      <c r="D238" s="66" t="str">
        <f t="shared" si="98"/>
        <v/>
      </c>
      <c r="E238" s="66" t="str">
        <f t="shared" si="98"/>
        <v/>
      </c>
      <c r="F238" s="66" t="str">
        <f t="shared" si="98"/>
        <v/>
      </c>
      <c r="G238" s="66" t="str">
        <f t="shared" si="98"/>
        <v/>
      </c>
      <c r="H238" s="66" t="str">
        <f t="shared" si="98"/>
        <v/>
      </c>
      <c r="I238" s="66" t="str">
        <f t="shared" si="98"/>
        <v/>
      </c>
      <c r="J238" s="66" t="str">
        <f t="shared" si="98"/>
        <v/>
      </c>
      <c r="K238" s="66" t="str">
        <f t="shared" si="98"/>
        <v/>
      </c>
      <c r="L238" s="66" t="str">
        <f t="shared" si="98"/>
        <v/>
      </c>
      <c r="M238" s="66" t="str">
        <f t="shared" si="98"/>
        <v/>
      </c>
      <c r="N238" s="66" t="str">
        <f t="shared" si="98"/>
        <v/>
      </c>
      <c r="O238" s="66" t="str">
        <f t="shared" si="98"/>
        <v/>
      </c>
      <c r="P238" s="66" t="str">
        <f t="shared" si="98"/>
        <v/>
      </c>
      <c r="Q238" s="66" t="str">
        <f t="shared" si="98"/>
        <v/>
      </c>
      <c r="R238" s="66" t="str">
        <f t="shared" si="98"/>
        <v/>
      </c>
      <c r="S238" s="66" t="str">
        <f t="shared" si="98"/>
        <v/>
      </c>
      <c r="T238" s="66" t="str">
        <f t="shared" si="98"/>
        <v/>
      </c>
      <c r="U238" s="66" t="str">
        <f t="shared" si="98"/>
        <v/>
      </c>
      <c r="V238" s="66" t="str">
        <f t="shared" si="98"/>
        <v/>
      </c>
      <c r="W238" s="66" t="str">
        <f t="shared" si="98"/>
        <v/>
      </c>
      <c r="X238" s="66" t="str">
        <f t="shared" si="98"/>
        <v/>
      </c>
      <c r="Y238" s="66" t="str">
        <f t="shared" si="98"/>
        <v/>
      </c>
      <c r="Z238" s="66" t="str">
        <f t="shared" si="98"/>
        <v/>
      </c>
      <c r="AA238" s="66" t="str">
        <f t="shared" si="98"/>
        <v/>
      </c>
      <c r="AB238" s="66" t="str">
        <f t="shared" si="98"/>
        <v/>
      </c>
      <c r="AC238" s="66" t="str">
        <f t="shared" si="98"/>
        <v/>
      </c>
      <c r="AD238" s="66" t="str">
        <f t="shared" si="98"/>
        <v/>
      </c>
      <c r="AE238" s="66" t="str">
        <f t="shared" si="98"/>
        <v/>
      </c>
      <c r="AF238" s="66" t="str">
        <f t="shared" si="98"/>
        <v/>
      </c>
      <c r="AG238" s="66" t="str">
        <f t="shared" si="98"/>
        <v/>
      </c>
      <c r="AH238" s="66" t="str">
        <f t="shared" si="98"/>
        <v/>
      </c>
      <c r="AI238" s="66" t="str">
        <f t="shared" si="98"/>
        <v/>
      </c>
      <c r="AJ238" s="66" t="str">
        <f t="shared" si="98"/>
        <v/>
      </c>
    </row>
    <row r="239" spans="1:55">
      <c r="A239" s="66"/>
      <c r="B239" s="66"/>
      <c r="C239" s="66" t="str">
        <f>IFERROR(  LEFT(  CONCATENATE(C203,C204,C205,C206,C207,C208,C209,C210,C211,C212,C213,C214,C215,C216,C217,C218,C219,C220,C221,C222,C223,C224,C225,C226,C227,C228,C229,C230,C231,C232,C233,C234,C235,C236,C237,C238),LEN(  CONCATENATE(C203,C204,C205,C206,C207,C208,C209,C210,C211,C212,C213,C214,C215,C216,C217,C218,C219,C220,C221,C222,C223,C224,C225,C226,C227,C228,C229,C230,C231,C232,C233,C234,C235,C236,C237,C238)  )-1),"")</f>
        <v/>
      </c>
      <c r="D239" s="66" t="str">
        <f t="shared" ref="D239:AJ239" si="99">IFERROR(  LEFT(  CONCATENATE(D203,D204,D205,D206,D207,D208,D209,D210,D211,D212,D213,D214,D215,D216,D217,D218,D219,D220,D221,D222,D223,D224,D225,D226,D227,D228,D229,D230,D231,D232,D233,D234,D235,D236,D237,D238),LEN(  CONCATENATE(D203,D204,D205,D206,D207,D208,D209,D210,D211,D212,D213,D214,D215,D216,D217,D218,D219,D220,D221,D222,D223,D224,D225,D226,D227,D228,D229,D230,D231,D232,D233,D234,D235,D236,D237,D238)  )-1),"")</f>
        <v/>
      </c>
      <c r="E239" s="66" t="str">
        <f t="shared" si="99"/>
        <v/>
      </c>
      <c r="F239" s="66" t="str">
        <f t="shared" si="99"/>
        <v/>
      </c>
      <c r="G239" s="66" t="str">
        <f t="shared" si="99"/>
        <v/>
      </c>
      <c r="H239" s="66" t="str">
        <f t="shared" si="99"/>
        <v/>
      </c>
      <c r="I239" s="66" t="str">
        <f t="shared" si="99"/>
        <v/>
      </c>
      <c r="J239" s="66" t="str">
        <f t="shared" si="99"/>
        <v/>
      </c>
      <c r="K239" s="66" t="str">
        <f t="shared" si="99"/>
        <v/>
      </c>
      <c r="L239" s="66" t="str">
        <f t="shared" si="99"/>
        <v/>
      </c>
      <c r="M239" s="66" t="str">
        <f t="shared" si="99"/>
        <v/>
      </c>
      <c r="N239" s="66" t="str">
        <f t="shared" si="99"/>
        <v/>
      </c>
      <c r="O239" s="66" t="str">
        <f t="shared" si="99"/>
        <v/>
      </c>
      <c r="P239" s="66" t="str">
        <f t="shared" si="99"/>
        <v/>
      </c>
      <c r="Q239" s="66" t="str">
        <f t="shared" si="99"/>
        <v/>
      </c>
      <c r="R239" s="66" t="str">
        <f t="shared" si="99"/>
        <v/>
      </c>
      <c r="S239" s="66" t="str">
        <f t="shared" si="99"/>
        <v/>
      </c>
      <c r="T239" s="66" t="str">
        <f t="shared" si="99"/>
        <v/>
      </c>
      <c r="U239" s="66" t="str">
        <f t="shared" si="99"/>
        <v/>
      </c>
      <c r="V239" s="66" t="str">
        <f t="shared" si="99"/>
        <v/>
      </c>
      <c r="W239" s="66" t="str">
        <f t="shared" si="99"/>
        <v/>
      </c>
      <c r="X239" s="66" t="str">
        <f t="shared" si="99"/>
        <v/>
      </c>
      <c r="Y239" s="66" t="str">
        <f t="shared" si="99"/>
        <v/>
      </c>
      <c r="Z239" s="66" t="str">
        <f t="shared" si="99"/>
        <v/>
      </c>
      <c r="AA239" s="66" t="str">
        <f t="shared" si="99"/>
        <v/>
      </c>
      <c r="AB239" s="66" t="str">
        <f t="shared" si="99"/>
        <v/>
      </c>
      <c r="AC239" s="66" t="str">
        <f t="shared" si="99"/>
        <v/>
      </c>
      <c r="AD239" s="66" t="str">
        <f t="shared" si="99"/>
        <v/>
      </c>
      <c r="AE239" s="66" t="str">
        <f t="shared" si="99"/>
        <v/>
      </c>
      <c r="AF239" s="66" t="str">
        <f t="shared" si="99"/>
        <v/>
      </c>
      <c r="AG239" s="66" t="str">
        <f t="shared" si="99"/>
        <v/>
      </c>
      <c r="AH239" s="66" t="str">
        <f t="shared" si="99"/>
        <v/>
      </c>
      <c r="AI239" s="66" t="str">
        <f t="shared" si="99"/>
        <v/>
      </c>
      <c r="AJ239" s="66" t="str">
        <f t="shared" si="99"/>
        <v/>
      </c>
    </row>
    <row r="240" spans="1:55" s="289" customFormat="1">
      <c r="AP240" s="303"/>
      <c r="AU240" s="303"/>
      <c r="AV240" s="303"/>
      <c r="AY240" s="303"/>
      <c r="AZ240" s="303"/>
      <c r="BA240" s="303"/>
      <c r="BB240" s="303"/>
      <c r="BC240" s="303"/>
    </row>
    <row r="241" spans="1:36">
      <c r="A241" s="289" t="s">
        <v>265</v>
      </c>
    </row>
    <row r="242" spans="1:36">
      <c r="A242" s="66" t="str">
        <f>A202</f>
        <v>番號</v>
      </c>
      <c r="B242" s="66" t="str">
        <f t="shared" ref="B242:AJ242" si="100">B202</f>
        <v xml:space="preserve"> 姓名</v>
      </c>
      <c r="C242" s="66">
        <f t="shared" si="100"/>
        <v>1</v>
      </c>
      <c r="D242" s="66">
        <f t="shared" si="100"/>
        <v>2</v>
      </c>
      <c r="E242" s="66">
        <f t="shared" si="100"/>
        <v>3</v>
      </c>
      <c r="F242" s="66">
        <f t="shared" si="100"/>
        <v>4</v>
      </c>
      <c r="G242" s="66">
        <f t="shared" si="100"/>
        <v>5</v>
      </c>
      <c r="H242" s="66">
        <f t="shared" si="100"/>
        <v>6</v>
      </c>
      <c r="I242" s="66">
        <f t="shared" si="100"/>
        <v>7</v>
      </c>
      <c r="J242" s="66">
        <f t="shared" si="100"/>
        <v>8</v>
      </c>
      <c r="K242" s="66">
        <f t="shared" si="100"/>
        <v>9</v>
      </c>
      <c r="L242" s="66">
        <f t="shared" si="100"/>
        <v>10</v>
      </c>
      <c r="M242" s="66">
        <f t="shared" si="100"/>
        <v>11</v>
      </c>
      <c r="N242" s="66">
        <f t="shared" si="100"/>
        <v>12</v>
      </c>
      <c r="O242" s="66">
        <f t="shared" si="100"/>
        <v>13</v>
      </c>
      <c r="P242" s="66">
        <f t="shared" si="100"/>
        <v>14</v>
      </c>
      <c r="Q242" s="66">
        <f t="shared" si="100"/>
        <v>15</v>
      </c>
      <c r="R242" s="66">
        <f t="shared" si="100"/>
        <v>16</v>
      </c>
      <c r="S242" s="66">
        <f t="shared" si="100"/>
        <v>17</v>
      </c>
      <c r="T242" s="66">
        <f t="shared" si="100"/>
        <v>18</v>
      </c>
      <c r="U242" s="66">
        <f t="shared" si="100"/>
        <v>19</v>
      </c>
      <c r="V242" s="66">
        <f t="shared" si="100"/>
        <v>20</v>
      </c>
      <c r="W242" s="66">
        <f t="shared" si="100"/>
        <v>21</v>
      </c>
      <c r="X242" s="66">
        <f t="shared" si="100"/>
        <v>22</v>
      </c>
      <c r="Y242" s="66">
        <f t="shared" si="100"/>
        <v>23</v>
      </c>
      <c r="Z242" s="66">
        <f t="shared" si="100"/>
        <v>24</v>
      </c>
      <c r="AA242" s="66">
        <f t="shared" si="100"/>
        <v>25</v>
      </c>
      <c r="AB242" s="66">
        <f t="shared" si="100"/>
        <v>26</v>
      </c>
      <c r="AC242" s="66">
        <f t="shared" si="100"/>
        <v>27</v>
      </c>
      <c r="AD242" s="66">
        <f t="shared" si="100"/>
        <v>28</v>
      </c>
      <c r="AE242" s="66">
        <f t="shared" si="100"/>
        <v>29</v>
      </c>
      <c r="AF242" s="66">
        <f t="shared" si="100"/>
        <v>30</v>
      </c>
      <c r="AG242" s="66">
        <f t="shared" si="100"/>
        <v>31</v>
      </c>
      <c r="AH242" s="66">
        <f t="shared" si="100"/>
        <v>32</v>
      </c>
      <c r="AI242" s="66">
        <f t="shared" si="100"/>
        <v>33</v>
      </c>
      <c r="AJ242" s="66">
        <f t="shared" si="100"/>
        <v>34</v>
      </c>
    </row>
    <row r="243" spans="1:36">
      <c r="A243" s="66">
        <f t="shared" ref="A243:B258" si="101">A203</f>
        <v>1</v>
      </c>
      <c r="B243" s="66" t="str">
        <f t="shared" si="101"/>
        <v>葉家豪</v>
      </c>
      <c r="C243" s="66" t="str">
        <f>IF(  OR(  LEN(C242)=2,LEN(C242)=3  ),  CONCATENATE(  "",IF(C43=$A$241,$A243,"")  ),IF(C43=$A$241,$A243,"")  )</f>
        <v/>
      </c>
      <c r="D243" s="66" t="str">
        <f t="shared" ref="D243:AJ243" si="102">IF(  OR(  LEN(D242)=2,LEN(D242)=3  ),  CONCATENATE(  "",IF(D43=$A$241,$A243,"")  ),IF(D43=$A$241,$A243,"")  )</f>
        <v/>
      </c>
      <c r="E243" s="66" t="str">
        <f t="shared" si="102"/>
        <v/>
      </c>
      <c r="F243" s="66" t="str">
        <f t="shared" si="102"/>
        <v/>
      </c>
      <c r="G243" s="66" t="str">
        <f t="shared" si="102"/>
        <v/>
      </c>
      <c r="H243" s="66" t="str">
        <f t="shared" si="102"/>
        <v/>
      </c>
      <c r="I243" s="66" t="str">
        <f t="shared" si="102"/>
        <v/>
      </c>
      <c r="J243" s="66" t="str">
        <f t="shared" si="102"/>
        <v/>
      </c>
      <c r="K243" s="66" t="str">
        <f t="shared" si="102"/>
        <v/>
      </c>
      <c r="L243" s="66" t="str">
        <f t="shared" si="102"/>
        <v/>
      </c>
      <c r="M243" s="66" t="str">
        <f t="shared" si="102"/>
        <v/>
      </c>
      <c r="N243" s="66" t="str">
        <f t="shared" si="102"/>
        <v/>
      </c>
      <c r="O243" s="66" t="str">
        <f t="shared" si="102"/>
        <v/>
      </c>
      <c r="P243" s="66" t="str">
        <f t="shared" si="102"/>
        <v/>
      </c>
      <c r="Q243" s="66" t="str">
        <f t="shared" si="102"/>
        <v/>
      </c>
      <c r="R243" s="66" t="str">
        <f t="shared" si="102"/>
        <v/>
      </c>
      <c r="S243" s="66" t="str">
        <f t="shared" si="102"/>
        <v/>
      </c>
      <c r="T243" s="66" t="str">
        <f t="shared" si="102"/>
        <v/>
      </c>
      <c r="U243" s="66" t="str">
        <f t="shared" si="102"/>
        <v/>
      </c>
      <c r="V243" s="66" t="str">
        <f t="shared" si="102"/>
        <v/>
      </c>
      <c r="W243" s="66" t="str">
        <f t="shared" si="102"/>
        <v/>
      </c>
      <c r="X243" s="66" t="str">
        <f t="shared" si="102"/>
        <v/>
      </c>
      <c r="Y243" s="66" t="str">
        <f t="shared" si="102"/>
        <v/>
      </c>
      <c r="Z243" s="66" t="str">
        <f t="shared" si="102"/>
        <v/>
      </c>
      <c r="AA243" s="66" t="str">
        <f t="shared" si="102"/>
        <v/>
      </c>
      <c r="AB243" s="66" t="str">
        <f t="shared" si="102"/>
        <v/>
      </c>
      <c r="AC243" s="66" t="str">
        <f t="shared" si="102"/>
        <v/>
      </c>
      <c r="AD243" s="66" t="str">
        <f t="shared" si="102"/>
        <v/>
      </c>
      <c r="AE243" s="66" t="str">
        <f t="shared" si="102"/>
        <v/>
      </c>
      <c r="AF243" s="66" t="str">
        <f t="shared" si="102"/>
        <v/>
      </c>
      <c r="AG243" s="66" t="str">
        <f t="shared" si="102"/>
        <v/>
      </c>
      <c r="AH243" s="66" t="str">
        <f t="shared" si="102"/>
        <v/>
      </c>
      <c r="AI243" s="66" t="str">
        <f t="shared" si="102"/>
        <v/>
      </c>
      <c r="AJ243" s="66" t="str">
        <f t="shared" si="102"/>
        <v/>
      </c>
    </row>
    <row r="244" spans="1:36">
      <c r="A244" s="66">
        <f t="shared" si="101"/>
        <v>2</v>
      </c>
      <c r="B244" s="66" t="str">
        <f t="shared" si="101"/>
        <v>鄭智謙</v>
      </c>
      <c r="C244" s="66" t="str">
        <f>IF(  OR(  LEN(C243)=2,LEN(C243)=3  ),  CONCATENATE(  ".",IF(C44=$A$241,$A244,"")  ),IF(C44=$A$241,$A244,"")  )</f>
        <v/>
      </c>
      <c r="D244" s="66" t="str">
        <f t="shared" ref="D244:AJ244" si="103">IF(  OR(  LEN(D243)=2,LEN(D243)=3  ),  CONCATENATE(  ".",IF(D44=$A$241,$A244,"")  ),IF(D44=$A$241,$A244,"")  )</f>
        <v/>
      </c>
      <c r="E244" s="66" t="str">
        <f t="shared" si="103"/>
        <v/>
      </c>
      <c r="F244" s="66" t="str">
        <f t="shared" si="103"/>
        <v/>
      </c>
      <c r="G244" s="66" t="str">
        <f t="shared" si="103"/>
        <v/>
      </c>
      <c r="H244" s="66" t="str">
        <f t="shared" si="103"/>
        <v/>
      </c>
      <c r="I244" s="66" t="str">
        <f t="shared" si="103"/>
        <v/>
      </c>
      <c r="J244" s="66" t="str">
        <f t="shared" si="103"/>
        <v/>
      </c>
      <c r="K244" s="66" t="str">
        <f t="shared" si="103"/>
        <v/>
      </c>
      <c r="L244" s="66" t="str">
        <f t="shared" si="103"/>
        <v/>
      </c>
      <c r="M244" s="66" t="str">
        <f t="shared" si="103"/>
        <v/>
      </c>
      <c r="N244" s="66" t="str">
        <f t="shared" si="103"/>
        <v/>
      </c>
      <c r="O244" s="66" t="str">
        <f t="shared" si="103"/>
        <v/>
      </c>
      <c r="P244" s="66" t="str">
        <f t="shared" si="103"/>
        <v/>
      </c>
      <c r="Q244" s="66" t="str">
        <f t="shared" si="103"/>
        <v/>
      </c>
      <c r="R244" s="66" t="str">
        <f t="shared" si="103"/>
        <v/>
      </c>
      <c r="S244" s="66" t="str">
        <f t="shared" si="103"/>
        <v/>
      </c>
      <c r="T244" s="66" t="str">
        <f t="shared" si="103"/>
        <v/>
      </c>
      <c r="U244" s="66" t="str">
        <f t="shared" si="103"/>
        <v/>
      </c>
      <c r="V244" s="66" t="str">
        <f t="shared" si="103"/>
        <v/>
      </c>
      <c r="W244" s="66" t="str">
        <f t="shared" si="103"/>
        <v/>
      </c>
      <c r="X244" s="66" t="str">
        <f t="shared" si="103"/>
        <v/>
      </c>
      <c r="Y244" s="66" t="str">
        <f t="shared" si="103"/>
        <v/>
      </c>
      <c r="Z244" s="66" t="str">
        <f t="shared" si="103"/>
        <v/>
      </c>
      <c r="AA244" s="66" t="str">
        <f t="shared" si="103"/>
        <v/>
      </c>
      <c r="AB244" s="66" t="str">
        <f t="shared" si="103"/>
        <v/>
      </c>
      <c r="AC244" s="66" t="str">
        <f t="shared" si="103"/>
        <v/>
      </c>
      <c r="AD244" s="66" t="str">
        <f t="shared" si="103"/>
        <v/>
      </c>
      <c r="AE244" s="66" t="str">
        <f t="shared" si="103"/>
        <v/>
      </c>
      <c r="AF244" s="66" t="str">
        <f t="shared" si="103"/>
        <v/>
      </c>
      <c r="AG244" s="66" t="str">
        <f t="shared" si="103"/>
        <v/>
      </c>
      <c r="AH244" s="66" t="str">
        <f t="shared" si="103"/>
        <v/>
      </c>
      <c r="AI244" s="66" t="str">
        <f t="shared" si="103"/>
        <v/>
      </c>
      <c r="AJ244" s="66" t="str">
        <f t="shared" si="103"/>
        <v/>
      </c>
    </row>
    <row r="245" spans="1:36">
      <c r="A245" s="66">
        <f t="shared" si="101"/>
        <v>3</v>
      </c>
      <c r="B245" s="66" t="str">
        <f t="shared" si="101"/>
        <v>王敍安</v>
      </c>
      <c r="C245" s="66" t="str">
        <f t="shared" ref="C245:C278" si="104">IF(  OR(  LEN(C244)=2,LEN(C244)=3  ),  CONCATENATE(  ".",IF(C45=$A$241,$A245,"")  ),IF(C45=$A$241,$A245,"")  )</f>
        <v/>
      </c>
      <c r="D245" s="66" t="str">
        <f t="shared" ref="D245:D278" si="105">IF(  OR(  LEN(D244)=2,LEN(D244)=3  ),  CONCATENATE(  ".",IF(D45=$A$241,$A245,"")  ),IF(D45=$A$241,$A245,"")  )</f>
        <v/>
      </c>
      <c r="E245" s="66" t="str">
        <f t="shared" ref="E245:E278" si="106">IF(  OR(  LEN(E244)=2,LEN(E244)=3  ),  CONCATENATE(  ".",IF(E45=$A$241,$A245,"")  ),IF(E45=$A$241,$A245,"")  )</f>
        <v/>
      </c>
      <c r="F245" s="66" t="str">
        <f t="shared" ref="F245:F278" si="107">IF(  OR(  LEN(F244)=2,LEN(F244)=3  ),  CONCATENATE(  ".",IF(F45=$A$241,$A245,"")  ),IF(F45=$A$241,$A245,"")  )</f>
        <v/>
      </c>
      <c r="G245" s="66" t="str">
        <f t="shared" ref="G245:G278" si="108">IF(  OR(  LEN(G244)=2,LEN(G244)=3  ),  CONCATENATE(  ".",IF(G45=$A$241,$A245,"")  ),IF(G45=$A$241,$A245,"")  )</f>
        <v/>
      </c>
      <c r="H245" s="66" t="str">
        <f t="shared" ref="H245:H278" si="109">IF(  OR(  LEN(H244)=2,LEN(H244)=3  ),  CONCATENATE(  ".",IF(H45=$A$241,$A245,"")  ),IF(H45=$A$241,$A245,"")  )</f>
        <v/>
      </c>
      <c r="I245" s="66" t="str">
        <f t="shared" ref="I245:I278" si="110">IF(  OR(  LEN(I244)=2,LEN(I244)=3  ),  CONCATENATE(  ".",IF(I45=$A$241,$A245,"")  ),IF(I45=$A$241,$A245,"")  )</f>
        <v/>
      </c>
      <c r="J245" s="66" t="str">
        <f t="shared" ref="J245:J278" si="111">IF(  OR(  LEN(J244)=2,LEN(J244)=3  ),  CONCATENATE(  ".",IF(J45=$A$241,$A245,"")  ),IF(J45=$A$241,$A245,"")  )</f>
        <v/>
      </c>
      <c r="K245" s="66" t="str">
        <f t="shared" ref="K245:K278" si="112">IF(  OR(  LEN(K244)=2,LEN(K244)=3  ),  CONCATENATE(  ".",IF(K45=$A$241,$A245,"")  ),IF(K45=$A$241,$A245,"")  )</f>
        <v/>
      </c>
      <c r="L245" s="66" t="str">
        <f t="shared" ref="L245:L278" si="113">IF(  OR(  LEN(L244)=2,LEN(L244)=3  ),  CONCATENATE(  ".",IF(L45=$A$241,$A245,"")  ),IF(L45=$A$241,$A245,"")  )</f>
        <v/>
      </c>
      <c r="M245" s="66" t="str">
        <f t="shared" ref="M245:M278" si="114">IF(  OR(  LEN(M244)=2,LEN(M244)=3  ),  CONCATENATE(  ".",IF(M45=$A$241,$A245,"")  ),IF(M45=$A$241,$A245,"")  )</f>
        <v/>
      </c>
      <c r="N245" s="66" t="str">
        <f t="shared" ref="N245:N278" si="115">IF(  OR(  LEN(N244)=2,LEN(N244)=3  ),  CONCATENATE(  ".",IF(N45=$A$241,$A245,"")  ),IF(N45=$A$241,$A245,"")  )</f>
        <v/>
      </c>
      <c r="O245" s="66" t="str">
        <f t="shared" ref="O245:O278" si="116">IF(  OR(  LEN(O244)=2,LEN(O244)=3  ),  CONCATENATE(  ".",IF(O45=$A$241,$A245,"")  ),IF(O45=$A$241,$A245,"")  )</f>
        <v/>
      </c>
      <c r="P245" s="66" t="str">
        <f t="shared" ref="P245:P278" si="117">IF(  OR(  LEN(P244)=2,LEN(P244)=3  ),  CONCATENATE(  ".",IF(P45=$A$241,$A245,"")  ),IF(P45=$A$241,$A245,"")  )</f>
        <v/>
      </c>
      <c r="Q245" s="66" t="str">
        <f t="shared" ref="Q245:Q278" si="118">IF(  OR(  LEN(Q244)=2,LEN(Q244)=3  ),  CONCATENATE(  ".",IF(Q45=$A$241,$A245,"")  ),IF(Q45=$A$241,$A245,"")  )</f>
        <v/>
      </c>
      <c r="R245" s="66" t="str">
        <f t="shared" ref="R245:R278" si="119">IF(  OR(  LEN(R244)=2,LEN(R244)=3  ),  CONCATENATE(  ".",IF(R45=$A$241,$A245,"")  ),IF(R45=$A$241,$A245,"")  )</f>
        <v/>
      </c>
      <c r="S245" s="66" t="str">
        <f t="shared" ref="S245:S278" si="120">IF(  OR(  LEN(S244)=2,LEN(S244)=3  ),  CONCATENATE(  ".",IF(S45=$A$241,$A245,"")  ),IF(S45=$A$241,$A245,"")  )</f>
        <v/>
      </c>
      <c r="T245" s="66" t="str">
        <f t="shared" ref="T245:T278" si="121">IF(  OR(  LEN(T244)=2,LEN(T244)=3  ),  CONCATENATE(  ".",IF(T45=$A$241,$A245,"")  ),IF(T45=$A$241,$A245,"")  )</f>
        <v/>
      </c>
      <c r="U245" s="66" t="str">
        <f t="shared" ref="U245:U278" si="122">IF(  OR(  LEN(U244)=2,LEN(U244)=3  ),  CONCATENATE(  ".",IF(U45=$A$241,$A245,"")  ),IF(U45=$A$241,$A245,"")  )</f>
        <v/>
      </c>
      <c r="V245" s="66" t="str">
        <f t="shared" ref="V245:V278" si="123">IF(  OR(  LEN(V244)=2,LEN(V244)=3  ),  CONCATENATE(  ".",IF(V45=$A$241,$A245,"")  ),IF(V45=$A$241,$A245,"")  )</f>
        <v/>
      </c>
      <c r="W245" s="66" t="str">
        <f t="shared" ref="W245:W278" si="124">IF(  OR(  LEN(W244)=2,LEN(W244)=3  ),  CONCATENATE(  ".",IF(W45=$A$241,$A245,"")  ),IF(W45=$A$241,$A245,"")  )</f>
        <v/>
      </c>
      <c r="X245" s="66" t="str">
        <f t="shared" ref="X245:X278" si="125">IF(  OR(  LEN(X244)=2,LEN(X244)=3  ),  CONCATENATE(  ".",IF(X45=$A$241,$A245,"")  ),IF(X45=$A$241,$A245,"")  )</f>
        <v/>
      </c>
      <c r="Y245" s="66" t="str">
        <f t="shared" ref="Y245:Y278" si="126">IF(  OR(  LEN(Y244)=2,LEN(Y244)=3  ),  CONCATENATE(  ".",IF(Y45=$A$241,$A245,"")  ),IF(Y45=$A$241,$A245,"")  )</f>
        <v/>
      </c>
      <c r="Z245" s="66" t="str">
        <f t="shared" ref="Z245:Z278" si="127">IF(  OR(  LEN(Z244)=2,LEN(Z244)=3  ),  CONCATENATE(  ".",IF(Z45=$A$241,$A245,"")  ),IF(Z45=$A$241,$A245,"")  )</f>
        <v/>
      </c>
      <c r="AA245" s="66" t="str">
        <f t="shared" ref="AA245:AA278" si="128">IF(  OR(  LEN(AA244)=2,LEN(AA244)=3  ),  CONCATENATE(  ".",IF(AA45=$A$241,$A245,"")  ),IF(AA45=$A$241,$A245,"")  )</f>
        <v/>
      </c>
      <c r="AB245" s="66" t="str">
        <f t="shared" ref="AB245:AB278" si="129">IF(  OR(  LEN(AB244)=2,LEN(AB244)=3  ),  CONCATENATE(  ".",IF(AB45=$A$241,$A245,"")  ),IF(AB45=$A$241,$A245,"")  )</f>
        <v/>
      </c>
      <c r="AC245" s="66" t="str">
        <f t="shared" ref="AC245:AC278" si="130">IF(  OR(  LEN(AC244)=2,LEN(AC244)=3  ),  CONCATENATE(  ".",IF(AC45=$A$241,$A245,"")  ),IF(AC45=$A$241,$A245,"")  )</f>
        <v/>
      </c>
      <c r="AD245" s="66" t="str">
        <f t="shared" ref="AD245:AD278" si="131">IF(  OR(  LEN(AD244)=2,LEN(AD244)=3  ),  CONCATENATE(  ".",IF(AD45=$A$241,$A245,"")  ),IF(AD45=$A$241,$A245,"")  )</f>
        <v/>
      </c>
      <c r="AE245" s="66" t="str">
        <f t="shared" ref="AE245:AE278" si="132">IF(  OR(  LEN(AE244)=2,LEN(AE244)=3  ),  CONCATENATE(  ".",IF(AE45=$A$241,$A245,"")  ),IF(AE45=$A$241,$A245,"")  )</f>
        <v/>
      </c>
      <c r="AF245" s="66" t="str">
        <f t="shared" ref="AF245:AF278" si="133">IF(  OR(  LEN(AF244)=2,LEN(AF244)=3  ),  CONCATENATE(  ".",IF(AF45=$A$241,$A245,"")  ),IF(AF45=$A$241,$A245,"")  )</f>
        <v/>
      </c>
      <c r="AG245" s="66" t="str">
        <f t="shared" ref="AG245:AG278" si="134">IF(  OR(  LEN(AG244)=2,LEN(AG244)=3  ),  CONCATENATE(  ".",IF(AG45=$A$241,$A245,"")  ),IF(AG45=$A$241,$A245,"")  )</f>
        <v/>
      </c>
      <c r="AH245" s="66" t="str">
        <f t="shared" ref="AH245:AH278" si="135">IF(  OR(  LEN(AH244)=2,LEN(AH244)=3  ),  CONCATENATE(  ".",IF(AH45=$A$241,$A245,"")  ),IF(AH45=$A$241,$A245,"")  )</f>
        <v/>
      </c>
      <c r="AI245" s="66" t="str">
        <f t="shared" ref="AI245:AI278" si="136">IF(  OR(  LEN(AI244)=2,LEN(AI244)=3  ),  CONCATENATE(  ".",IF(AI45=$A$241,$A245,"")  ),IF(AI45=$A$241,$A245,"")  )</f>
        <v/>
      </c>
      <c r="AJ245" s="66" t="str">
        <f t="shared" ref="AJ245:AJ278" si="137">IF(  OR(  LEN(AJ244)=2,LEN(AJ244)=3  ),  CONCATENATE(  ".",IF(AJ45=$A$241,$A245,"")  ),IF(AJ45=$A$241,$A245,"")  )</f>
        <v/>
      </c>
    </row>
    <row r="246" spans="1:36">
      <c r="A246" s="66">
        <f t="shared" si="101"/>
        <v>4</v>
      </c>
      <c r="B246" s="66" t="str">
        <f t="shared" si="101"/>
        <v>鄭凱文</v>
      </c>
      <c r="C246" s="66" t="str">
        <f t="shared" si="104"/>
        <v/>
      </c>
      <c r="D246" s="66" t="str">
        <f t="shared" si="105"/>
        <v/>
      </c>
      <c r="E246" s="66" t="str">
        <f t="shared" si="106"/>
        <v/>
      </c>
      <c r="F246" s="66" t="str">
        <f t="shared" si="107"/>
        <v/>
      </c>
      <c r="G246" s="66" t="str">
        <f t="shared" si="108"/>
        <v/>
      </c>
      <c r="H246" s="66" t="str">
        <f t="shared" si="109"/>
        <v/>
      </c>
      <c r="I246" s="66" t="str">
        <f t="shared" si="110"/>
        <v/>
      </c>
      <c r="J246" s="66" t="str">
        <f t="shared" si="111"/>
        <v/>
      </c>
      <c r="K246" s="66" t="str">
        <f t="shared" si="112"/>
        <v/>
      </c>
      <c r="L246" s="66" t="str">
        <f t="shared" si="113"/>
        <v/>
      </c>
      <c r="M246" s="66" t="str">
        <f t="shared" si="114"/>
        <v/>
      </c>
      <c r="N246" s="66" t="str">
        <f t="shared" si="115"/>
        <v/>
      </c>
      <c r="O246" s="66" t="str">
        <f t="shared" si="116"/>
        <v/>
      </c>
      <c r="P246" s="66" t="str">
        <f t="shared" si="117"/>
        <v/>
      </c>
      <c r="Q246" s="66" t="str">
        <f t="shared" si="118"/>
        <v/>
      </c>
      <c r="R246" s="66" t="str">
        <f t="shared" si="119"/>
        <v/>
      </c>
      <c r="S246" s="66" t="str">
        <f t="shared" si="120"/>
        <v/>
      </c>
      <c r="T246" s="66" t="str">
        <f t="shared" si="121"/>
        <v/>
      </c>
      <c r="U246" s="66" t="str">
        <f t="shared" si="122"/>
        <v/>
      </c>
      <c r="V246" s="66" t="str">
        <f t="shared" si="123"/>
        <v/>
      </c>
      <c r="W246" s="66" t="str">
        <f t="shared" si="124"/>
        <v/>
      </c>
      <c r="X246" s="66" t="str">
        <f t="shared" si="125"/>
        <v/>
      </c>
      <c r="Y246" s="66" t="str">
        <f t="shared" si="126"/>
        <v/>
      </c>
      <c r="Z246" s="66" t="str">
        <f t="shared" si="127"/>
        <v/>
      </c>
      <c r="AA246" s="66" t="str">
        <f t="shared" si="128"/>
        <v/>
      </c>
      <c r="AB246" s="66" t="str">
        <f t="shared" si="129"/>
        <v/>
      </c>
      <c r="AC246" s="66" t="str">
        <f t="shared" si="130"/>
        <v/>
      </c>
      <c r="AD246" s="66" t="str">
        <f t="shared" si="131"/>
        <v/>
      </c>
      <c r="AE246" s="66" t="str">
        <f t="shared" si="132"/>
        <v/>
      </c>
      <c r="AF246" s="66" t="str">
        <f t="shared" si="133"/>
        <v/>
      </c>
      <c r="AG246" s="66" t="str">
        <f t="shared" si="134"/>
        <v/>
      </c>
      <c r="AH246" s="66" t="str">
        <f t="shared" si="135"/>
        <v/>
      </c>
      <c r="AI246" s="66" t="str">
        <f t="shared" si="136"/>
        <v/>
      </c>
      <c r="AJ246" s="66" t="str">
        <f t="shared" si="137"/>
        <v/>
      </c>
    </row>
    <row r="247" spans="1:36">
      <c r="A247" s="66">
        <f t="shared" si="101"/>
        <v>5</v>
      </c>
      <c r="B247" s="66" t="str">
        <f t="shared" si="101"/>
        <v>蔡政倫</v>
      </c>
      <c r="C247" s="66" t="str">
        <f t="shared" si="104"/>
        <v/>
      </c>
      <c r="D247" s="66" t="str">
        <f t="shared" si="105"/>
        <v/>
      </c>
      <c r="E247" s="66" t="str">
        <f t="shared" si="106"/>
        <v/>
      </c>
      <c r="F247" s="66" t="str">
        <f t="shared" si="107"/>
        <v/>
      </c>
      <c r="G247" s="66" t="str">
        <f t="shared" si="108"/>
        <v/>
      </c>
      <c r="H247" s="66" t="str">
        <f t="shared" si="109"/>
        <v/>
      </c>
      <c r="I247" s="66" t="str">
        <f t="shared" si="110"/>
        <v/>
      </c>
      <c r="J247" s="66" t="str">
        <f t="shared" si="111"/>
        <v/>
      </c>
      <c r="K247" s="66" t="str">
        <f t="shared" si="112"/>
        <v/>
      </c>
      <c r="L247" s="66" t="str">
        <f t="shared" si="113"/>
        <v/>
      </c>
      <c r="M247" s="66" t="str">
        <f t="shared" si="114"/>
        <v/>
      </c>
      <c r="N247" s="66" t="str">
        <f t="shared" si="115"/>
        <v/>
      </c>
      <c r="O247" s="66" t="str">
        <f t="shared" si="116"/>
        <v/>
      </c>
      <c r="P247" s="66" t="str">
        <f t="shared" si="117"/>
        <v/>
      </c>
      <c r="Q247" s="66" t="str">
        <f t="shared" si="118"/>
        <v/>
      </c>
      <c r="R247" s="66" t="str">
        <f t="shared" si="119"/>
        <v/>
      </c>
      <c r="S247" s="66" t="str">
        <f t="shared" si="120"/>
        <v/>
      </c>
      <c r="T247" s="66" t="str">
        <f t="shared" si="121"/>
        <v/>
      </c>
      <c r="U247" s="66" t="str">
        <f t="shared" si="122"/>
        <v/>
      </c>
      <c r="V247" s="66" t="str">
        <f t="shared" si="123"/>
        <v/>
      </c>
      <c r="W247" s="66" t="str">
        <f t="shared" si="124"/>
        <v/>
      </c>
      <c r="X247" s="66" t="str">
        <f t="shared" si="125"/>
        <v/>
      </c>
      <c r="Y247" s="66" t="str">
        <f t="shared" si="126"/>
        <v/>
      </c>
      <c r="Z247" s="66" t="str">
        <f t="shared" si="127"/>
        <v/>
      </c>
      <c r="AA247" s="66" t="str">
        <f t="shared" si="128"/>
        <v/>
      </c>
      <c r="AB247" s="66" t="str">
        <f t="shared" si="129"/>
        <v/>
      </c>
      <c r="AC247" s="66" t="str">
        <f t="shared" si="130"/>
        <v/>
      </c>
      <c r="AD247" s="66" t="str">
        <f t="shared" si="131"/>
        <v/>
      </c>
      <c r="AE247" s="66" t="str">
        <f t="shared" si="132"/>
        <v/>
      </c>
      <c r="AF247" s="66" t="str">
        <f t="shared" si="133"/>
        <v/>
      </c>
      <c r="AG247" s="66" t="str">
        <f t="shared" si="134"/>
        <v/>
      </c>
      <c r="AH247" s="66" t="str">
        <f t="shared" si="135"/>
        <v/>
      </c>
      <c r="AI247" s="66" t="str">
        <f t="shared" si="136"/>
        <v/>
      </c>
      <c r="AJ247" s="66" t="str">
        <f t="shared" si="137"/>
        <v/>
      </c>
    </row>
    <row r="248" spans="1:36">
      <c r="A248" s="66">
        <f t="shared" si="101"/>
        <v>6</v>
      </c>
      <c r="B248" s="66" t="str">
        <f t="shared" si="101"/>
        <v>邱昱銘</v>
      </c>
      <c r="C248" s="66" t="str">
        <f t="shared" si="104"/>
        <v/>
      </c>
      <c r="D248" s="66" t="str">
        <f t="shared" si="105"/>
        <v/>
      </c>
      <c r="E248" s="66" t="str">
        <f t="shared" si="106"/>
        <v/>
      </c>
      <c r="F248" s="66" t="str">
        <f t="shared" si="107"/>
        <v/>
      </c>
      <c r="G248" s="66" t="str">
        <f t="shared" si="108"/>
        <v/>
      </c>
      <c r="H248" s="66" t="str">
        <f t="shared" si="109"/>
        <v/>
      </c>
      <c r="I248" s="66" t="str">
        <f t="shared" si="110"/>
        <v/>
      </c>
      <c r="J248" s="66" t="str">
        <f t="shared" si="111"/>
        <v/>
      </c>
      <c r="K248" s="66" t="str">
        <f t="shared" si="112"/>
        <v/>
      </c>
      <c r="L248" s="66" t="str">
        <f t="shared" si="113"/>
        <v/>
      </c>
      <c r="M248" s="66" t="str">
        <f t="shared" si="114"/>
        <v/>
      </c>
      <c r="N248" s="66" t="str">
        <f t="shared" si="115"/>
        <v/>
      </c>
      <c r="O248" s="66" t="str">
        <f t="shared" si="116"/>
        <v/>
      </c>
      <c r="P248" s="66" t="str">
        <f t="shared" si="117"/>
        <v/>
      </c>
      <c r="Q248" s="66" t="str">
        <f t="shared" si="118"/>
        <v/>
      </c>
      <c r="R248" s="66" t="str">
        <f t="shared" si="119"/>
        <v/>
      </c>
      <c r="S248" s="66" t="str">
        <f t="shared" si="120"/>
        <v/>
      </c>
      <c r="T248" s="66" t="str">
        <f t="shared" si="121"/>
        <v/>
      </c>
      <c r="U248" s="66" t="str">
        <f t="shared" si="122"/>
        <v/>
      </c>
      <c r="V248" s="66" t="str">
        <f t="shared" si="123"/>
        <v/>
      </c>
      <c r="W248" s="66" t="str">
        <f t="shared" si="124"/>
        <v/>
      </c>
      <c r="X248" s="66" t="str">
        <f t="shared" si="125"/>
        <v/>
      </c>
      <c r="Y248" s="66" t="str">
        <f t="shared" si="126"/>
        <v/>
      </c>
      <c r="Z248" s="66" t="str">
        <f t="shared" si="127"/>
        <v/>
      </c>
      <c r="AA248" s="66" t="str">
        <f t="shared" si="128"/>
        <v/>
      </c>
      <c r="AB248" s="66" t="str">
        <f t="shared" si="129"/>
        <v/>
      </c>
      <c r="AC248" s="66" t="str">
        <f t="shared" si="130"/>
        <v/>
      </c>
      <c r="AD248" s="66" t="str">
        <f t="shared" si="131"/>
        <v/>
      </c>
      <c r="AE248" s="66" t="str">
        <f t="shared" si="132"/>
        <v/>
      </c>
      <c r="AF248" s="66" t="str">
        <f t="shared" si="133"/>
        <v/>
      </c>
      <c r="AG248" s="66" t="str">
        <f t="shared" si="134"/>
        <v/>
      </c>
      <c r="AH248" s="66" t="str">
        <f t="shared" si="135"/>
        <v/>
      </c>
      <c r="AI248" s="66" t="str">
        <f t="shared" si="136"/>
        <v/>
      </c>
      <c r="AJ248" s="66" t="str">
        <f t="shared" si="137"/>
        <v/>
      </c>
    </row>
    <row r="249" spans="1:36">
      <c r="A249" s="66">
        <f t="shared" si="101"/>
        <v>7</v>
      </c>
      <c r="B249" s="66" t="str">
        <f t="shared" si="101"/>
        <v>洪長昇</v>
      </c>
      <c r="C249" s="66" t="str">
        <f t="shared" si="104"/>
        <v/>
      </c>
      <c r="D249" s="66" t="str">
        <f t="shared" si="105"/>
        <v/>
      </c>
      <c r="E249" s="66" t="str">
        <f t="shared" si="106"/>
        <v/>
      </c>
      <c r="F249" s="66" t="str">
        <f t="shared" si="107"/>
        <v/>
      </c>
      <c r="G249" s="66" t="str">
        <f t="shared" si="108"/>
        <v/>
      </c>
      <c r="H249" s="66" t="str">
        <f t="shared" si="109"/>
        <v/>
      </c>
      <c r="I249" s="66" t="str">
        <f t="shared" si="110"/>
        <v/>
      </c>
      <c r="J249" s="66" t="str">
        <f t="shared" si="111"/>
        <v/>
      </c>
      <c r="K249" s="66" t="str">
        <f t="shared" si="112"/>
        <v/>
      </c>
      <c r="L249" s="66" t="str">
        <f t="shared" si="113"/>
        <v/>
      </c>
      <c r="M249" s="66" t="str">
        <f t="shared" si="114"/>
        <v/>
      </c>
      <c r="N249" s="66" t="str">
        <f t="shared" si="115"/>
        <v/>
      </c>
      <c r="O249" s="66" t="str">
        <f t="shared" si="116"/>
        <v/>
      </c>
      <c r="P249" s="66" t="str">
        <f t="shared" si="117"/>
        <v/>
      </c>
      <c r="Q249" s="66" t="str">
        <f t="shared" si="118"/>
        <v/>
      </c>
      <c r="R249" s="66" t="str">
        <f t="shared" si="119"/>
        <v/>
      </c>
      <c r="S249" s="66" t="str">
        <f t="shared" si="120"/>
        <v/>
      </c>
      <c r="T249" s="66" t="str">
        <f t="shared" si="121"/>
        <v/>
      </c>
      <c r="U249" s="66" t="str">
        <f t="shared" si="122"/>
        <v/>
      </c>
      <c r="V249" s="66" t="str">
        <f t="shared" si="123"/>
        <v/>
      </c>
      <c r="W249" s="66" t="str">
        <f t="shared" si="124"/>
        <v/>
      </c>
      <c r="X249" s="66" t="str">
        <f t="shared" si="125"/>
        <v/>
      </c>
      <c r="Y249" s="66" t="str">
        <f t="shared" si="126"/>
        <v/>
      </c>
      <c r="Z249" s="66" t="str">
        <f t="shared" si="127"/>
        <v/>
      </c>
      <c r="AA249" s="66" t="str">
        <f t="shared" si="128"/>
        <v/>
      </c>
      <c r="AB249" s="66" t="str">
        <f t="shared" si="129"/>
        <v/>
      </c>
      <c r="AC249" s="66" t="str">
        <f t="shared" si="130"/>
        <v/>
      </c>
      <c r="AD249" s="66" t="str">
        <f t="shared" si="131"/>
        <v/>
      </c>
      <c r="AE249" s="66" t="str">
        <f t="shared" si="132"/>
        <v/>
      </c>
      <c r="AF249" s="66" t="str">
        <f t="shared" si="133"/>
        <v/>
      </c>
      <c r="AG249" s="66" t="str">
        <f t="shared" si="134"/>
        <v/>
      </c>
      <c r="AH249" s="66" t="str">
        <f t="shared" si="135"/>
        <v/>
      </c>
      <c r="AI249" s="66" t="str">
        <f t="shared" si="136"/>
        <v/>
      </c>
      <c r="AJ249" s="66" t="str">
        <f t="shared" si="137"/>
        <v/>
      </c>
    </row>
    <row r="250" spans="1:36">
      <c r="A250" s="66">
        <f t="shared" si="101"/>
        <v>8</v>
      </c>
      <c r="B250" s="66" t="str">
        <f t="shared" si="101"/>
        <v>許翊呈</v>
      </c>
      <c r="C250" s="66" t="str">
        <f t="shared" si="104"/>
        <v/>
      </c>
      <c r="D250" s="66" t="str">
        <f t="shared" si="105"/>
        <v/>
      </c>
      <c r="E250" s="66" t="str">
        <f t="shared" si="106"/>
        <v/>
      </c>
      <c r="F250" s="66" t="str">
        <f t="shared" si="107"/>
        <v/>
      </c>
      <c r="G250" s="66" t="str">
        <f t="shared" si="108"/>
        <v/>
      </c>
      <c r="H250" s="66" t="str">
        <f t="shared" si="109"/>
        <v/>
      </c>
      <c r="I250" s="66" t="str">
        <f t="shared" si="110"/>
        <v/>
      </c>
      <c r="J250" s="66" t="str">
        <f t="shared" si="111"/>
        <v/>
      </c>
      <c r="K250" s="66" t="str">
        <f t="shared" si="112"/>
        <v/>
      </c>
      <c r="L250" s="66" t="str">
        <f t="shared" si="113"/>
        <v/>
      </c>
      <c r="M250" s="66" t="str">
        <f t="shared" si="114"/>
        <v/>
      </c>
      <c r="N250" s="66" t="str">
        <f t="shared" si="115"/>
        <v/>
      </c>
      <c r="O250" s="66" t="str">
        <f t="shared" si="116"/>
        <v/>
      </c>
      <c r="P250" s="66" t="str">
        <f t="shared" si="117"/>
        <v/>
      </c>
      <c r="Q250" s="66" t="str">
        <f t="shared" si="118"/>
        <v/>
      </c>
      <c r="R250" s="66" t="str">
        <f t="shared" si="119"/>
        <v/>
      </c>
      <c r="S250" s="66" t="str">
        <f t="shared" si="120"/>
        <v/>
      </c>
      <c r="T250" s="66" t="str">
        <f t="shared" si="121"/>
        <v/>
      </c>
      <c r="U250" s="66" t="str">
        <f t="shared" si="122"/>
        <v/>
      </c>
      <c r="V250" s="66" t="str">
        <f t="shared" si="123"/>
        <v/>
      </c>
      <c r="W250" s="66" t="str">
        <f t="shared" si="124"/>
        <v/>
      </c>
      <c r="X250" s="66" t="str">
        <f t="shared" si="125"/>
        <v/>
      </c>
      <c r="Y250" s="66" t="str">
        <f t="shared" si="126"/>
        <v/>
      </c>
      <c r="Z250" s="66" t="str">
        <f t="shared" si="127"/>
        <v/>
      </c>
      <c r="AA250" s="66" t="str">
        <f t="shared" si="128"/>
        <v/>
      </c>
      <c r="AB250" s="66" t="str">
        <f t="shared" si="129"/>
        <v/>
      </c>
      <c r="AC250" s="66" t="str">
        <f t="shared" si="130"/>
        <v/>
      </c>
      <c r="AD250" s="66" t="str">
        <f t="shared" si="131"/>
        <v/>
      </c>
      <c r="AE250" s="66" t="str">
        <f t="shared" si="132"/>
        <v/>
      </c>
      <c r="AF250" s="66" t="str">
        <f t="shared" si="133"/>
        <v/>
      </c>
      <c r="AG250" s="66" t="str">
        <f t="shared" si="134"/>
        <v/>
      </c>
      <c r="AH250" s="66" t="str">
        <f t="shared" si="135"/>
        <v/>
      </c>
      <c r="AI250" s="66" t="str">
        <f t="shared" si="136"/>
        <v/>
      </c>
      <c r="AJ250" s="66" t="str">
        <f t="shared" si="137"/>
        <v/>
      </c>
    </row>
    <row r="251" spans="1:36">
      <c r="A251" s="66">
        <f t="shared" si="101"/>
        <v>9</v>
      </c>
      <c r="B251" s="66" t="str">
        <f t="shared" si="101"/>
        <v>李政聰</v>
      </c>
      <c r="C251" s="66" t="str">
        <f t="shared" si="104"/>
        <v/>
      </c>
      <c r="D251" s="66" t="str">
        <f t="shared" si="105"/>
        <v/>
      </c>
      <c r="E251" s="66" t="str">
        <f t="shared" si="106"/>
        <v/>
      </c>
      <c r="F251" s="66" t="str">
        <f t="shared" si="107"/>
        <v/>
      </c>
      <c r="G251" s="66" t="str">
        <f t="shared" si="108"/>
        <v/>
      </c>
      <c r="H251" s="66" t="str">
        <f t="shared" si="109"/>
        <v/>
      </c>
      <c r="I251" s="66" t="str">
        <f t="shared" si="110"/>
        <v/>
      </c>
      <c r="J251" s="66" t="str">
        <f t="shared" si="111"/>
        <v/>
      </c>
      <c r="K251" s="66" t="str">
        <f t="shared" si="112"/>
        <v/>
      </c>
      <c r="L251" s="66" t="str">
        <f t="shared" si="113"/>
        <v/>
      </c>
      <c r="M251" s="66" t="str">
        <f t="shared" si="114"/>
        <v/>
      </c>
      <c r="N251" s="66" t="str">
        <f t="shared" si="115"/>
        <v/>
      </c>
      <c r="O251" s="66" t="str">
        <f t="shared" si="116"/>
        <v/>
      </c>
      <c r="P251" s="66" t="str">
        <f t="shared" si="117"/>
        <v/>
      </c>
      <c r="Q251" s="66" t="str">
        <f t="shared" si="118"/>
        <v/>
      </c>
      <c r="R251" s="66" t="str">
        <f t="shared" si="119"/>
        <v/>
      </c>
      <c r="S251" s="66" t="str">
        <f t="shared" si="120"/>
        <v/>
      </c>
      <c r="T251" s="66" t="str">
        <f t="shared" si="121"/>
        <v/>
      </c>
      <c r="U251" s="66" t="str">
        <f t="shared" si="122"/>
        <v/>
      </c>
      <c r="V251" s="66" t="str">
        <f t="shared" si="123"/>
        <v/>
      </c>
      <c r="W251" s="66" t="str">
        <f t="shared" si="124"/>
        <v/>
      </c>
      <c r="X251" s="66" t="str">
        <f t="shared" si="125"/>
        <v/>
      </c>
      <c r="Y251" s="66" t="str">
        <f t="shared" si="126"/>
        <v/>
      </c>
      <c r="Z251" s="66" t="str">
        <f t="shared" si="127"/>
        <v/>
      </c>
      <c r="AA251" s="66" t="str">
        <f t="shared" si="128"/>
        <v/>
      </c>
      <c r="AB251" s="66" t="str">
        <f t="shared" si="129"/>
        <v/>
      </c>
      <c r="AC251" s="66" t="str">
        <f t="shared" si="130"/>
        <v/>
      </c>
      <c r="AD251" s="66" t="str">
        <f t="shared" si="131"/>
        <v/>
      </c>
      <c r="AE251" s="66" t="str">
        <f t="shared" si="132"/>
        <v/>
      </c>
      <c r="AF251" s="66" t="str">
        <f t="shared" si="133"/>
        <v/>
      </c>
      <c r="AG251" s="66" t="str">
        <f t="shared" si="134"/>
        <v/>
      </c>
      <c r="AH251" s="66" t="str">
        <f t="shared" si="135"/>
        <v/>
      </c>
      <c r="AI251" s="66" t="str">
        <f t="shared" si="136"/>
        <v/>
      </c>
      <c r="AJ251" s="66" t="str">
        <f t="shared" si="137"/>
        <v/>
      </c>
    </row>
    <row r="252" spans="1:36">
      <c r="A252" s="66">
        <f t="shared" si="101"/>
        <v>10</v>
      </c>
      <c r="B252" s="66" t="str">
        <f t="shared" si="101"/>
        <v>劉威志</v>
      </c>
      <c r="C252" s="66" t="str">
        <f t="shared" si="104"/>
        <v/>
      </c>
      <c r="D252" s="66" t="str">
        <f t="shared" si="105"/>
        <v/>
      </c>
      <c r="E252" s="66" t="str">
        <f t="shared" si="106"/>
        <v/>
      </c>
      <c r="F252" s="66" t="str">
        <f t="shared" si="107"/>
        <v/>
      </c>
      <c r="G252" s="66" t="str">
        <f t="shared" si="108"/>
        <v/>
      </c>
      <c r="H252" s="66" t="str">
        <f t="shared" si="109"/>
        <v/>
      </c>
      <c r="I252" s="66" t="str">
        <f t="shared" si="110"/>
        <v/>
      </c>
      <c r="J252" s="66" t="str">
        <f t="shared" si="111"/>
        <v/>
      </c>
      <c r="K252" s="66" t="str">
        <f t="shared" si="112"/>
        <v/>
      </c>
      <c r="L252" s="66" t="str">
        <f t="shared" si="113"/>
        <v/>
      </c>
      <c r="M252" s="66" t="str">
        <f t="shared" si="114"/>
        <v/>
      </c>
      <c r="N252" s="66" t="str">
        <f t="shared" si="115"/>
        <v/>
      </c>
      <c r="O252" s="66" t="str">
        <f t="shared" si="116"/>
        <v/>
      </c>
      <c r="P252" s="66" t="str">
        <f t="shared" si="117"/>
        <v/>
      </c>
      <c r="Q252" s="66" t="str">
        <f t="shared" si="118"/>
        <v/>
      </c>
      <c r="R252" s="66" t="str">
        <f t="shared" si="119"/>
        <v/>
      </c>
      <c r="S252" s="66" t="str">
        <f t="shared" si="120"/>
        <v/>
      </c>
      <c r="T252" s="66" t="str">
        <f t="shared" si="121"/>
        <v/>
      </c>
      <c r="U252" s="66" t="str">
        <f t="shared" si="122"/>
        <v/>
      </c>
      <c r="V252" s="66" t="str">
        <f t="shared" si="123"/>
        <v/>
      </c>
      <c r="W252" s="66" t="str">
        <f t="shared" si="124"/>
        <v/>
      </c>
      <c r="X252" s="66" t="str">
        <f t="shared" si="125"/>
        <v/>
      </c>
      <c r="Y252" s="66" t="str">
        <f t="shared" si="126"/>
        <v/>
      </c>
      <c r="Z252" s="66" t="str">
        <f t="shared" si="127"/>
        <v/>
      </c>
      <c r="AA252" s="66" t="str">
        <f t="shared" si="128"/>
        <v/>
      </c>
      <c r="AB252" s="66" t="str">
        <f t="shared" si="129"/>
        <v/>
      </c>
      <c r="AC252" s="66" t="str">
        <f t="shared" si="130"/>
        <v/>
      </c>
      <c r="AD252" s="66" t="str">
        <f t="shared" si="131"/>
        <v/>
      </c>
      <c r="AE252" s="66" t="str">
        <f t="shared" si="132"/>
        <v/>
      </c>
      <c r="AF252" s="66" t="str">
        <f t="shared" si="133"/>
        <v/>
      </c>
      <c r="AG252" s="66" t="str">
        <f t="shared" si="134"/>
        <v/>
      </c>
      <c r="AH252" s="66" t="str">
        <f t="shared" si="135"/>
        <v/>
      </c>
      <c r="AI252" s="66" t="str">
        <f t="shared" si="136"/>
        <v/>
      </c>
      <c r="AJ252" s="66" t="str">
        <f t="shared" si="137"/>
        <v/>
      </c>
    </row>
    <row r="253" spans="1:36">
      <c r="A253" s="66">
        <f t="shared" si="101"/>
        <v>11</v>
      </c>
      <c r="B253" s="66" t="str">
        <f t="shared" si="101"/>
        <v>梁展碩</v>
      </c>
      <c r="C253" s="66" t="str">
        <f t="shared" si="104"/>
        <v/>
      </c>
      <c r="D253" s="66" t="str">
        <f t="shared" si="105"/>
        <v/>
      </c>
      <c r="E253" s="66" t="str">
        <f t="shared" si="106"/>
        <v/>
      </c>
      <c r="F253" s="66" t="str">
        <f t="shared" si="107"/>
        <v/>
      </c>
      <c r="G253" s="66" t="str">
        <f t="shared" si="108"/>
        <v/>
      </c>
      <c r="H253" s="66" t="str">
        <f t="shared" si="109"/>
        <v/>
      </c>
      <c r="I253" s="66" t="str">
        <f t="shared" si="110"/>
        <v/>
      </c>
      <c r="J253" s="66" t="str">
        <f t="shared" si="111"/>
        <v/>
      </c>
      <c r="K253" s="66" t="str">
        <f t="shared" si="112"/>
        <v/>
      </c>
      <c r="L253" s="66" t="str">
        <f t="shared" si="113"/>
        <v/>
      </c>
      <c r="M253" s="66" t="str">
        <f t="shared" si="114"/>
        <v/>
      </c>
      <c r="N253" s="66" t="str">
        <f t="shared" si="115"/>
        <v/>
      </c>
      <c r="O253" s="66" t="str">
        <f t="shared" si="116"/>
        <v/>
      </c>
      <c r="P253" s="66" t="str">
        <f t="shared" si="117"/>
        <v/>
      </c>
      <c r="Q253" s="66" t="str">
        <f t="shared" si="118"/>
        <v/>
      </c>
      <c r="R253" s="66" t="str">
        <f t="shared" si="119"/>
        <v/>
      </c>
      <c r="S253" s="66" t="str">
        <f t="shared" si="120"/>
        <v/>
      </c>
      <c r="T253" s="66" t="str">
        <f t="shared" si="121"/>
        <v/>
      </c>
      <c r="U253" s="66" t="str">
        <f t="shared" si="122"/>
        <v/>
      </c>
      <c r="V253" s="66" t="str">
        <f t="shared" si="123"/>
        <v/>
      </c>
      <c r="W253" s="66" t="str">
        <f t="shared" si="124"/>
        <v/>
      </c>
      <c r="X253" s="66" t="str">
        <f t="shared" si="125"/>
        <v/>
      </c>
      <c r="Y253" s="66" t="str">
        <f t="shared" si="126"/>
        <v/>
      </c>
      <c r="Z253" s="66" t="str">
        <f t="shared" si="127"/>
        <v/>
      </c>
      <c r="AA253" s="66" t="str">
        <f t="shared" si="128"/>
        <v/>
      </c>
      <c r="AB253" s="66" t="str">
        <f t="shared" si="129"/>
        <v/>
      </c>
      <c r="AC253" s="66" t="str">
        <f t="shared" si="130"/>
        <v/>
      </c>
      <c r="AD253" s="66" t="str">
        <f t="shared" si="131"/>
        <v/>
      </c>
      <c r="AE253" s="66" t="str">
        <f t="shared" si="132"/>
        <v/>
      </c>
      <c r="AF253" s="66" t="str">
        <f t="shared" si="133"/>
        <v/>
      </c>
      <c r="AG253" s="66" t="str">
        <f t="shared" si="134"/>
        <v/>
      </c>
      <c r="AH253" s="66" t="str">
        <f t="shared" si="135"/>
        <v/>
      </c>
      <c r="AI253" s="66" t="str">
        <f t="shared" si="136"/>
        <v/>
      </c>
      <c r="AJ253" s="66" t="str">
        <f t="shared" si="137"/>
        <v/>
      </c>
    </row>
    <row r="254" spans="1:36">
      <c r="A254" s="66">
        <f t="shared" si="101"/>
        <v>12</v>
      </c>
      <c r="B254" s="66" t="str">
        <f t="shared" si="101"/>
        <v>何奕諠</v>
      </c>
      <c r="C254" s="66" t="str">
        <f t="shared" si="104"/>
        <v/>
      </c>
      <c r="D254" s="66" t="str">
        <f t="shared" si="105"/>
        <v/>
      </c>
      <c r="E254" s="66" t="str">
        <f t="shared" si="106"/>
        <v/>
      </c>
      <c r="F254" s="66" t="str">
        <f t="shared" si="107"/>
        <v/>
      </c>
      <c r="G254" s="66" t="str">
        <f t="shared" si="108"/>
        <v/>
      </c>
      <c r="H254" s="66" t="str">
        <f t="shared" si="109"/>
        <v/>
      </c>
      <c r="I254" s="66" t="str">
        <f t="shared" si="110"/>
        <v/>
      </c>
      <c r="J254" s="66" t="str">
        <f t="shared" si="111"/>
        <v/>
      </c>
      <c r="K254" s="66" t="str">
        <f t="shared" si="112"/>
        <v/>
      </c>
      <c r="L254" s="66" t="str">
        <f t="shared" si="113"/>
        <v/>
      </c>
      <c r="M254" s="66" t="str">
        <f t="shared" si="114"/>
        <v/>
      </c>
      <c r="N254" s="66" t="str">
        <f t="shared" si="115"/>
        <v/>
      </c>
      <c r="O254" s="66" t="str">
        <f t="shared" si="116"/>
        <v/>
      </c>
      <c r="P254" s="66" t="str">
        <f t="shared" si="117"/>
        <v/>
      </c>
      <c r="Q254" s="66" t="str">
        <f t="shared" si="118"/>
        <v/>
      </c>
      <c r="R254" s="66" t="str">
        <f t="shared" si="119"/>
        <v/>
      </c>
      <c r="S254" s="66" t="str">
        <f t="shared" si="120"/>
        <v/>
      </c>
      <c r="T254" s="66" t="str">
        <f t="shared" si="121"/>
        <v/>
      </c>
      <c r="U254" s="66" t="str">
        <f t="shared" si="122"/>
        <v/>
      </c>
      <c r="V254" s="66" t="str">
        <f t="shared" si="123"/>
        <v/>
      </c>
      <c r="W254" s="66" t="str">
        <f t="shared" si="124"/>
        <v/>
      </c>
      <c r="X254" s="66" t="str">
        <f t="shared" si="125"/>
        <v/>
      </c>
      <c r="Y254" s="66" t="str">
        <f t="shared" si="126"/>
        <v/>
      </c>
      <c r="Z254" s="66" t="str">
        <f t="shared" si="127"/>
        <v/>
      </c>
      <c r="AA254" s="66" t="str">
        <f t="shared" si="128"/>
        <v/>
      </c>
      <c r="AB254" s="66" t="str">
        <f t="shared" si="129"/>
        <v/>
      </c>
      <c r="AC254" s="66" t="str">
        <f t="shared" si="130"/>
        <v/>
      </c>
      <c r="AD254" s="66" t="str">
        <f t="shared" si="131"/>
        <v/>
      </c>
      <c r="AE254" s="66" t="str">
        <f t="shared" si="132"/>
        <v/>
      </c>
      <c r="AF254" s="66" t="str">
        <f t="shared" si="133"/>
        <v/>
      </c>
      <c r="AG254" s="66" t="str">
        <f t="shared" si="134"/>
        <v/>
      </c>
      <c r="AH254" s="66" t="str">
        <f t="shared" si="135"/>
        <v/>
      </c>
      <c r="AI254" s="66" t="str">
        <f t="shared" si="136"/>
        <v/>
      </c>
      <c r="AJ254" s="66" t="str">
        <f t="shared" si="137"/>
        <v/>
      </c>
    </row>
    <row r="255" spans="1:36">
      <c r="A255" s="66">
        <f t="shared" si="101"/>
        <v>13</v>
      </c>
      <c r="B255" s="66" t="str">
        <f t="shared" si="101"/>
        <v>楊瑞麟</v>
      </c>
      <c r="C255" s="66" t="str">
        <f t="shared" si="104"/>
        <v/>
      </c>
      <c r="D255" s="66" t="str">
        <f t="shared" si="105"/>
        <v/>
      </c>
      <c r="E255" s="66" t="str">
        <f t="shared" si="106"/>
        <v/>
      </c>
      <c r="F255" s="66" t="str">
        <f t="shared" si="107"/>
        <v/>
      </c>
      <c r="G255" s="66" t="str">
        <f t="shared" si="108"/>
        <v/>
      </c>
      <c r="H255" s="66" t="str">
        <f t="shared" si="109"/>
        <v/>
      </c>
      <c r="I255" s="66" t="str">
        <f t="shared" si="110"/>
        <v/>
      </c>
      <c r="J255" s="66" t="str">
        <f t="shared" si="111"/>
        <v/>
      </c>
      <c r="K255" s="66" t="str">
        <f t="shared" si="112"/>
        <v/>
      </c>
      <c r="L255" s="66" t="str">
        <f t="shared" si="113"/>
        <v/>
      </c>
      <c r="M255" s="66" t="str">
        <f t="shared" si="114"/>
        <v/>
      </c>
      <c r="N255" s="66" t="str">
        <f t="shared" si="115"/>
        <v/>
      </c>
      <c r="O255" s="66" t="str">
        <f t="shared" si="116"/>
        <v/>
      </c>
      <c r="P255" s="66" t="str">
        <f t="shared" si="117"/>
        <v/>
      </c>
      <c r="Q255" s="66" t="str">
        <f t="shared" si="118"/>
        <v/>
      </c>
      <c r="R255" s="66" t="str">
        <f t="shared" si="119"/>
        <v/>
      </c>
      <c r="S255" s="66" t="str">
        <f t="shared" si="120"/>
        <v/>
      </c>
      <c r="T255" s="66" t="str">
        <f t="shared" si="121"/>
        <v/>
      </c>
      <c r="U255" s="66" t="str">
        <f t="shared" si="122"/>
        <v/>
      </c>
      <c r="V255" s="66" t="str">
        <f t="shared" si="123"/>
        <v/>
      </c>
      <c r="W255" s="66" t="str">
        <f t="shared" si="124"/>
        <v/>
      </c>
      <c r="X255" s="66" t="str">
        <f t="shared" si="125"/>
        <v/>
      </c>
      <c r="Y255" s="66" t="str">
        <f t="shared" si="126"/>
        <v/>
      </c>
      <c r="Z255" s="66" t="str">
        <f t="shared" si="127"/>
        <v/>
      </c>
      <c r="AA255" s="66" t="str">
        <f t="shared" si="128"/>
        <v/>
      </c>
      <c r="AB255" s="66" t="str">
        <f t="shared" si="129"/>
        <v/>
      </c>
      <c r="AC255" s="66" t="str">
        <f t="shared" si="130"/>
        <v/>
      </c>
      <c r="AD255" s="66" t="str">
        <f t="shared" si="131"/>
        <v/>
      </c>
      <c r="AE255" s="66" t="str">
        <f t="shared" si="132"/>
        <v/>
      </c>
      <c r="AF255" s="66" t="str">
        <f t="shared" si="133"/>
        <v/>
      </c>
      <c r="AG255" s="66" t="str">
        <f t="shared" si="134"/>
        <v/>
      </c>
      <c r="AH255" s="66" t="str">
        <f t="shared" si="135"/>
        <v/>
      </c>
      <c r="AI255" s="66" t="str">
        <f t="shared" si="136"/>
        <v/>
      </c>
      <c r="AJ255" s="66" t="str">
        <f t="shared" si="137"/>
        <v/>
      </c>
    </row>
    <row r="256" spans="1:36">
      <c r="A256" s="66">
        <f t="shared" si="101"/>
        <v>14</v>
      </c>
      <c r="B256" s="66" t="str">
        <f t="shared" si="101"/>
        <v>鄭品豪</v>
      </c>
      <c r="C256" s="66" t="str">
        <f t="shared" si="104"/>
        <v/>
      </c>
      <c r="D256" s="66" t="str">
        <f t="shared" si="105"/>
        <v/>
      </c>
      <c r="E256" s="66" t="str">
        <f t="shared" si="106"/>
        <v/>
      </c>
      <c r="F256" s="66" t="str">
        <f t="shared" si="107"/>
        <v/>
      </c>
      <c r="G256" s="66" t="str">
        <f t="shared" si="108"/>
        <v/>
      </c>
      <c r="H256" s="66" t="str">
        <f t="shared" si="109"/>
        <v/>
      </c>
      <c r="I256" s="66" t="str">
        <f t="shared" si="110"/>
        <v/>
      </c>
      <c r="J256" s="66" t="str">
        <f t="shared" si="111"/>
        <v/>
      </c>
      <c r="K256" s="66" t="str">
        <f t="shared" si="112"/>
        <v/>
      </c>
      <c r="L256" s="66" t="str">
        <f t="shared" si="113"/>
        <v/>
      </c>
      <c r="M256" s="66" t="str">
        <f t="shared" si="114"/>
        <v/>
      </c>
      <c r="N256" s="66" t="str">
        <f t="shared" si="115"/>
        <v/>
      </c>
      <c r="O256" s="66" t="str">
        <f t="shared" si="116"/>
        <v/>
      </c>
      <c r="P256" s="66" t="str">
        <f t="shared" si="117"/>
        <v/>
      </c>
      <c r="Q256" s="66" t="str">
        <f t="shared" si="118"/>
        <v/>
      </c>
      <c r="R256" s="66" t="str">
        <f t="shared" si="119"/>
        <v/>
      </c>
      <c r="S256" s="66" t="str">
        <f t="shared" si="120"/>
        <v/>
      </c>
      <c r="T256" s="66" t="str">
        <f t="shared" si="121"/>
        <v/>
      </c>
      <c r="U256" s="66" t="str">
        <f t="shared" si="122"/>
        <v/>
      </c>
      <c r="V256" s="66" t="str">
        <f t="shared" si="123"/>
        <v/>
      </c>
      <c r="W256" s="66" t="str">
        <f t="shared" si="124"/>
        <v/>
      </c>
      <c r="X256" s="66" t="str">
        <f t="shared" si="125"/>
        <v/>
      </c>
      <c r="Y256" s="66" t="str">
        <f t="shared" si="126"/>
        <v/>
      </c>
      <c r="Z256" s="66" t="str">
        <f t="shared" si="127"/>
        <v/>
      </c>
      <c r="AA256" s="66" t="str">
        <f t="shared" si="128"/>
        <v/>
      </c>
      <c r="AB256" s="66" t="str">
        <f t="shared" si="129"/>
        <v/>
      </c>
      <c r="AC256" s="66" t="str">
        <f t="shared" si="130"/>
        <v/>
      </c>
      <c r="AD256" s="66" t="str">
        <f t="shared" si="131"/>
        <v/>
      </c>
      <c r="AE256" s="66" t="str">
        <f t="shared" si="132"/>
        <v/>
      </c>
      <c r="AF256" s="66" t="str">
        <f t="shared" si="133"/>
        <v/>
      </c>
      <c r="AG256" s="66" t="str">
        <f t="shared" si="134"/>
        <v/>
      </c>
      <c r="AH256" s="66" t="str">
        <f t="shared" si="135"/>
        <v/>
      </c>
      <c r="AI256" s="66" t="str">
        <f t="shared" si="136"/>
        <v/>
      </c>
      <c r="AJ256" s="66" t="str">
        <f t="shared" si="137"/>
        <v/>
      </c>
    </row>
    <row r="257" spans="1:36">
      <c r="A257" s="66">
        <f t="shared" si="101"/>
        <v>15</v>
      </c>
      <c r="B257" s="66" t="str">
        <f t="shared" si="101"/>
        <v>林晉弘</v>
      </c>
      <c r="C257" s="66" t="str">
        <f t="shared" si="104"/>
        <v/>
      </c>
      <c r="D257" s="66" t="str">
        <f t="shared" si="105"/>
        <v/>
      </c>
      <c r="E257" s="66" t="str">
        <f t="shared" si="106"/>
        <v/>
      </c>
      <c r="F257" s="66" t="str">
        <f t="shared" si="107"/>
        <v/>
      </c>
      <c r="G257" s="66" t="str">
        <f t="shared" si="108"/>
        <v/>
      </c>
      <c r="H257" s="66" t="str">
        <f t="shared" si="109"/>
        <v/>
      </c>
      <c r="I257" s="66" t="str">
        <f t="shared" si="110"/>
        <v/>
      </c>
      <c r="J257" s="66" t="str">
        <f t="shared" si="111"/>
        <v/>
      </c>
      <c r="K257" s="66" t="str">
        <f t="shared" si="112"/>
        <v/>
      </c>
      <c r="L257" s="66" t="str">
        <f t="shared" si="113"/>
        <v/>
      </c>
      <c r="M257" s="66" t="str">
        <f t="shared" si="114"/>
        <v/>
      </c>
      <c r="N257" s="66" t="str">
        <f t="shared" si="115"/>
        <v/>
      </c>
      <c r="O257" s="66" t="str">
        <f t="shared" si="116"/>
        <v/>
      </c>
      <c r="P257" s="66" t="str">
        <f t="shared" si="117"/>
        <v/>
      </c>
      <c r="Q257" s="66" t="str">
        <f t="shared" si="118"/>
        <v/>
      </c>
      <c r="R257" s="66" t="str">
        <f t="shared" si="119"/>
        <v/>
      </c>
      <c r="S257" s="66" t="str">
        <f t="shared" si="120"/>
        <v/>
      </c>
      <c r="T257" s="66" t="str">
        <f t="shared" si="121"/>
        <v/>
      </c>
      <c r="U257" s="66" t="str">
        <f t="shared" si="122"/>
        <v/>
      </c>
      <c r="V257" s="66" t="str">
        <f t="shared" si="123"/>
        <v/>
      </c>
      <c r="W257" s="66" t="str">
        <f t="shared" si="124"/>
        <v/>
      </c>
      <c r="X257" s="66" t="str">
        <f t="shared" si="125"/>
        <v/>
      </c>
      <c r="Y257" s="66" t="str">
        <f t="shared" si="126"/>
        <v/>
      </c>
      <c r="Z257" s="66" t="str">
        <f t="shared" si="127"/>
        <v/>
      </c>
      <c r="AA257" s="66" t="str">
        <f t="shared" si="128"/>
        <v/>
      </c>
      <c r="AB257" s="66" t="str">
        <f t="shared" si="129"/>
        <v/>
      </c>
      <c r="AC257" s="66" t="str">
        <f t="shared" si="130"/>
        <v/>
      </c>
      <c r="AD257" s="66" t="str">
        <f t="shared" si="131"/>
        <v/>
      </c>
      <c r="AE257" s="66" t="str">
        <f t="shared" si="132"/>
        <v/>
      </c>
      <c r="AF257" s="66" t="str">
        <f t="shared" si="133"/>
        <v/>
      </c>
      <c r="AG257" s="66" t="str">
        <f t="shared" si="134"/>
        <v/>
      </c>
      <c r="AH257" s="66" t="str">
        <f t="shared" si="135"/>
        <v/>
      </c>
      <c r="AI257" s="66" t="str">
        <f t="shared" si="136"/>
        <v/>
      </c>
      <c r="AJ257" s="66" t="str">
        <f t="shared" si="137"/>
        <v/>
      </c>
    </row>
    <row r="258" spans="1:36">
      <c r="A258" s="66">
        <f t="shared" si="101"/>
        <v>16</v>
      </c>
      <c r="B258" s="66" t="str">
        <f t="shared" si="101"/>
        <v>張恩齊</v>
      </c>
      <c r="C258" s="66" t="str">
        <f t="shared" si="104"/>
        <v/>
      </c>
      <c r="D258" s="66" t="str">
        <f t="shared" si="105"/>
        <v/>
      </c>
      <c r="E258" s="66" t="str">
        <f t="shared" si="106"/>
        <v/>
      </c>
      <c r="F258" s="66" t="str">
        <f t="shared" si="107"/>
        <v/>
      </c>
      <c r="G258" s="66" t="str">
        <f t="shared" si="108"/>
        <v/>
      </c>
      <c r="H258" s="66" t="str">
        <f t="shared" si="109"/>
        <v/>
      </c>
      <c r="I258" s="66" t="str">
        <f t="shared" si="110"/>
        <v/>
      </c>
      <c r="J258" s="66" t="str">
        <f t="shared" si="111"/>
        <v/>
      </c>
      <c r="K258" s="66" t="str">
        <f t="shared" si="112"/>
        <v/>
      </c>
      <c r="L258" s="66" t="str">
        <f t="shared" si="113"/>
        <v/>
      </c>
      <c r="M258" s="66" t="str">
        <f t="shared" si="114"/>
        <v/>
      </c>
      <c r="N258" s="66" t="str">
        <f t="shared" si="115"/>
        <v/>
      </c>
      <c r="O258" s="66" t="str">
        <f t="shared" si="116"/>
        <v/>
      </c>
      <c r="P258" s="66" t="str">
        <f t="shared" si="117"/>
        <v/>
      </c>
      <c r="Q258" s="66" t="str">
        <f t="shared" si="118"/>
        <v/>
      </c>
      <c r="R258" s="66" t="str">
        <f t="shared" si="119"/>
        <v/>
      </c>
      <c r="S258" s="66" t="str">
        <f t="shared" si="120"/>
        <v/>
      </c>
      <c r="T258" s="66" t="str">
        <f t="shared" si="121"/>
        <v/>
      </c>
      <c r="U258" s="66" t="str">
        <f t="shared" si="122"/>
        <v/>
      </c>
      <c r="V258" s="66" t="str">
        <f t="shared" si="123"/>
        <v/>
      </c>
      <c r="W258" s="66" t="str">
        <f t="shared" si="124"/>
        <v/>
      </c>
      <c r="X258" s="66" t="str">
        <f t="shared" si="125"/>
        <v/>
      </c>
      <c r="Y258" s="66" t="str">
        <f t="shared" si="126"/>
        <v/>
      </c>
      <c r="Z258" s="66" t="str">
        <f t="shared" si="127"/>
        <v/>
      </c>
      <c r="AA258" s="66" t="str">
        <f t="shared" si="128"/>
        <v/>
      </c>
      <c r="AB258" s="66" t="str">
        <f t="shared" si="129"/>
        <v/>
      </c>
      <c r="AC258" s="66" t="str">
        <f t="shared" si="130"/>
        <v/>
      </c>
      <c r="AD258" s="66" t="str">
        <f t="shared" si="131"/>
        <v/>
      </c>
      <c r="AE258" s="66" t="str">
        <f t="shared" si="132"/>
        <v/>
      </c>
      <c r="AF258" s="66" t="str">
        <f t="shared" si="133"/>
        <v/>
      </c>
      <c r="AG258" s="66" t="str">
        <f t="shared" si="134"/>
        <v/>
      </c>
      <c r="AH258" s="66" t="str">
        <f t="shared" si="135"/>
        <v/>
      </c>
      <c r="AI258" s="66" t="str">
        <f t="shared" si="136"/>
        <v/>
      </c>
      <c r="AJ258" s="66" t="str">
        <f t="shared" si="137"/>
        <v/>
      </c>
    </row>
    <row r="259" spans="1:36">
      <c r="A259" s="66">
        <f t="shared" ref="A259:B274" si="138">A219</f>
        <v>17</v>
      </c>
      <c r="B259" s="66" t="str">
        <f t="shared" si="138"/>
        <v>周承澔</v>
      </c>
      <c r="C259" s="66" t="str">
        <f t="shared" si="104"/>
        <v/>
      </c>
      <c r="D259" s="66" t="str">
        <f t="shared" si="105"/>
        <v/>
      </c>
      <c r="E259" s="66" t="str">
        <f t="shared" si="106"/>
        <v/>
      </c>
      <c r="F259" s="66" t="str">
        <f t="shared" si="107"/>
        <v/>
      </c>
      <c r="G259" s="66" t="str">
        <f t="shared" si="108"/>
        <v/>
      </c>
      <c r="H259" s="66" t="str">
        <f t="shared" si="109"/>
        <v/>
      </c>
      <c r="I259" s="66" t="str">
        <f t="shared" si="110"/>
        <v/>
      </c>
      <c r="J259" s="66" t="str">
        <f t="shared" si="111"/>
        <v/>
      </c>
      <c r="K259" s="66" t="str">
        <f t="shared" si="112"/>
        <v/>
      </c>
      <c r="L259" s="66" t="str">
        <f t="shared" si="113"/>
        <v/>
      </c>
      <c r="M259" s="66" t="str">
        <f t="shared" si="114"/>
        <v/>
      </c>
      <c r="N259" s="66" t="str">
        <f t="shared" si="115"/>
        <v/>
      </c>
      <c r="O259" s="66" t="str">
        <f t="shared" si="116"/>
        <v/>
      </c>
      <c r="P259" s="66" t="str">
        <f t="shared" si="117"/>
        <v/>
      </c>
      <c r="Q259" s="66" t="str">
        <f t="shared" si="118"/>
        <v/>
      </c>
      <c r="R259" s="66" t="str">
        <f t="shared" si="119"/>
        <v/>
      </c>
      <c r="S259" s="66" t="str">
        <f t="shared" si="120"/>
        <v/>
      </c>
      <c r="T259" s="66" t="str">
        <f t="shared" si="121"/>
        <v/>
      </c>
      <c r="U259" s="66" t="str">
        <f t="shared" si="122"/>
        <v/>
      </c>
      <c r="V259" s="66" t="str">
        <f t="shared" si="123"/>
        <v/>
      </c>
      <c r="W259" s="66" t="str">
        <f t="shared" si="124"/>
        <v/>
      </c>
      <c r="X259" s="66" t="str">
        <f t="shared" si="125"/>
        <v/>
      </c>
      <c r="Y259" s="66" t="str">
        <f t="shared" si="126"/>
        <v/>
      </c>
      <c r="Z259" s="66" t="str">
        <f t="shared" si="127"/>
        <v/>
      </c>
      <c r="AA259" s="66" t="str">
        <f t="shared" si="128"/>
        <v/>
      </c>
      <c r="AB259" s="66" t="str">
        <f t="shared" si="129"/>
        <v/>
      </c>
      <c r="AC259" s="66" t="str">
        <f t="shared" si="130"/>
        <v/>
      </c>
      <c r="AD259" s="66" t="str">
        <f t="shared" si="131"/>
        <v/>
      </c>
      <c r="AE259" s="66" t="str">
        <f t="shared" si="132"/>
        <v/>
      </c>
      <c r="AF259" s="66" t="str">
        <f t="shared" si="133"/>
        <v/>
      </c>
      <c r="AG259" s="66" t="str">
        <f t="shared" si="134"/>
        <v/>
      </c>
      <c r="AH259" s="66" t="str">
        <f t="shared" si="135"/>
        <v/>
      </c>
      <c r="AI259" s="66" t="str">
        <f t="shared" si="136"/>
        <v/>
      </c>
      <c r="AJ259" s="66" t="str">
        <f t="shared" si="137"/>
        <v/>
      </c>
    </row>
    <row r="260" spans="1:36">
      <c r="A260" s="66">
        <f t="shared" si="138"/>
        <v>18</v>
      </c>
      <c r="B260" s="66" t="str">
        <f t="shared" si="138"/>
        <v>蔡政倫</v>
      </c>
      <c r="C260" s="66" t="str">
        <f t="shared" si="104"/>
        <v/>
      </c>
      <c r="D260" s="66" t="str">
        <f t="shared" si="105"/>
        <v/>
      </c>
      <c r="E260" s="66" t="str">
        <f t="shared" si="106"/>
        <v/>
      </c>
      <c r="F260" s="66" t="str">
        <f t="shared" si="107"/>
        <v/>
      </c>
      <c r="G260" s="66" t="str">
        <f t="shared" si="108"/>
        <v/>
      </c>
      <c r="H260" s="66" t="str">
        <f t="shared" si="109"/>
        <v/>
      </c>
      <c r="I260" s="66" t="str">
        <f t="shared" si="110"/>
        <v/>
      </c>
      <c r="J260" s="66" t="str">
        <f t="shared" si="111"/>
        <v/>
      </c>
      <c r="K260" s="66" t="str">
        <f t="shared" si="112"/>
        <v/>
      </c>
      <c r="L260" s="66" t="str">
        <f t="shared" si="113"/>
        <v/>
      </c>
      <c r="M260" s="66" t="str">
        <f t="shared" si="114"/>
        <v/>
      </c>
      <c r="N260" s="66" t="str">
        <f t="shared" si="115"/>
        <v/>
      </c>
      <c r="O260" s="66" t="str">
        <f t="shared" si="116"/>
        <v/>
      </c>
      <c r="P260" s="66" t="str">
        <f t="shared" si="117"/>
        <v/>
      </c>
      <c r="Q260" s="66" t="str">
        <f t="shared" si="118"/>
        <v/>
      </c>
      <c r="R260" s="66" t="str">
        <f t="shared" si="119"/>
        <v/>
      </c>
      <c r="S260" s="66" t="str">
        <f t="shared" si="120"/>
        <v/>
      </c>
      <c r="T260" s="66" t="str">
        <f t="shared" si="121"/>
        <v/>
      </c>
      <c r="U260" s="66" t="str">
        <f t="shared" si="122"/>
        <v/>
      </c>
      <c r="V260" s="66" t="str">
        <f t="shared" si="123"/>
        <v/>
      </c>
      <c r="W260" s="66" t="str">
        <f t="shared" si="124"/>
        <v/>
      </c>
      <c r="X260" s="66" t="str">
        <f t="shared" si="125"/>
        <v/>
      </c>
      <c r="Y260" s="66" t="str">
        <f t="shared" si="126"/>
        <v/>
      </c>
      <c r="Z260" s="66" t="str">
        <f t="shared" si="127"/>
        <v/>
      </c>
      <c r="AA260" s="66" t="str">
        <f t="shared" si="128"/>
        <v/>
      </c>
      <c r="AB260" s="66" t="str">
        <f t="shared" si="129"/>
        <v/>
      </c>
      <c r="AC260" s="66" t="str">
        <f t="shared" si="130"/>
        <v/>
      </c>
      <c r="AD260" s="66" t="str">
        <f t="shared" si="131"/>
        <v/>
      </c>
      <c r="AE260" s="66" t="str">
        <f t="shared" si="132"/>
        <v/>
      </c>
      <c r="AF260" s="66" t="str">
        <f t="shared" si="133"/>
        <v/>
      </c>
      <c r="AG260" s="66" t="str">
        <f t="shared" si="134"/>
        <v/>
      </c>
      <c r="AH260" s="66" t="str">
        <f t="shared" si="135"/>
        <v/>
      </c>
      <c r="AI260" s="66" t="str">
        <f t="shared" si="136"/>
        <v/>
      </c>
      <c r="AJ260" s="66" t="str">
        <f t="shared" si="137"/>
        <v/>
      </c>
    </row>
    <row r="261" spans="1:36">
      <c r="A261" s="66">
        <f t="shared" si="138"/>
        <v>19</v>
      </c>
      <c r="B261" s="66" t="str">
        <f t="shared" si="138"/>
        <v>蕭敬哲</v>
      </c>
      <c r="C261" s="66" t="str">
        <f t="shared" si="104"/>
        <v/>
      </c>
      <c r="D261" s="66" t="str">
        <f t="shared" si="105"/>
        <v/>
      </c>
      <c r="E261" s="66" t="str">
        <f t="shared" si="106"/>
        <v/>
      </c>
      <c r="F261" s="66" t="str">
        <f t="shared" si="107"/>
        <v/>
      </c>
      <c r="G261" s="66" t="str">
        <f t="shared" si="108"/>
        <v/>
      </c>
      <c r="H261" s="66" t="str">
        <f t="shared" si="109"/>
        <v/>
      </c>
      <c r="I261" s="66" t="str">
        <f t="shared" si="110"/>
        <v/>
      </c>
      <c r="J261" s="66" t="str">
        <f t="shared" si="111"/>
        <v/>
      </c>
      <c r="K261" s="66" t="str">
        <f t="shared" si="112"/>
        <v/>
      </c>
      <c r="L261" s="66" t="str">
        <f t="shared" si="113"/>
        <v/>
      </c>
      <c r="M261" s="66" t="str">
        <f t="shared" si="114"/>
        <v/>
      </c>
      <c r="N261" s="66" t="str">
        <f t="shared" si="115"/>
        <v/>
      </c>
      <c r="O261" s="66" t="str">
        <f t="shared" si="116"/>
        <v/>
      </c>
      <c r="P261" s="66" t="str">
        <f t="shared" si="117"/>
        <v/>
      </c>
      <c r="Q261" s="66" t="str">
        <f t="shared" si="118"/>
        <v/>
      </c>
      <c r="R261" s="66" t="str">
        <f t="shared" si="119"/>
        <v/>
      </c>
      <c r="S261" s="66" t="str">
        <f t="shared" si="120"/>
        <v/>
      </c>
      <c r="T261" s="66" t="str">
        <f t="shared" si="121"/>
        <v/>
      </c>
      <c r="U261" s="66" t="str">
        <f t="shared" si="122"/>
        <v/>
      </c>
      <c r="V261" s="66" t="str">
        <f t="shared" si="123"/>
        <v/>
      </c>
      <c r="W261" s="66" t="str">
        <f t="shared" si="124"/>
        <v/>
      </c>
      <c r="X261" s="66" t="str">
        <f t="shared" si="125"/>
        <v/>
      </c>
      <c r="Y261" s="66" t="str">
        <f t="shared" si="126"/>
        <v/>
      </c>
      <c r="Z261" s="66" t="str">
        <f t="shared" si="127"/>
        <v/>
      </c>
      <c r="AA261" s="66" t="str">
        <f t="shared" si="128"/>
        <v/>
      </c>
      <c r="AB261" s="66" t="str">
        <f t="shared" si="129"/>
        <v/>
      </c>
      <c r="AC261" s="66" t="str">
        <f t="shared" si="130"/>
        <v/>
      </c>
      <c r="AD261" s="66" t="str">
        <f t="shared" si="131"/>
        <v/>
      </c>
      <c r="AE261" s="66" t="str">
        <f t="shared" si="132"/>
        <v/>
      </c>
      <c r="AF261" s="66" t="str">
        <f t="shared" si="133"/>
        <v/>
      </c>
      <c r="AG261" s="66" t="str">
        <f t="shared" si="134"/>
        <v/>
      </c>
      <c r="AH261" s="66" t="str">
        <f t="shared" si="135"/>
        <v/>
      </c>
      <c r="AI261" s="66" t="str">
        <f t="shared" si="136"/>
        <v/>
      </c>
      <c r="AJ261" s="66" t="str">
        <f t="shared" si="137"/>
        <v/>
      </c>
    </row>
    <row r="262" spans="1:36">
      <c r="A262" s="66">
        <f t="shared" si="138"/>
        <v>20</v>
      </c>
      <c r="B262" s="66" t="str">
        <f t="shared" si="138"/>
        <v>楊鈞翔</v>
      </c>
      <c r="C262" s="66" t="str">
        <f t="shared" si="104"/>
        <v/>
      </c>
      <c r="D262" s="66">
        <f t="shared" si="105"/>
        <v>20</v>
      </c>
      <c r="E262" s="66" t="str">
        <f t="shared" si="106"/>
        <v/>
      </c>
      <c r="F262" s="66" t="str">
        <f t="shared" si="107"/>
        <v/>
      </c>
      <c r="G262" s="66" t="str">
        <f t="shared" si="108"/>
        <v/>
      </c>
      <c r="H262" s="66" t="str">
        <f t="shared" si="109"/>
        <v/>
      </c>
      <c r="I262" s="66" t="str">
        <f t="shared" si="110"/>
        <v/>
      </c>
      <c r="J262" s="66" t="str">
        <f t="shared" si="111"/>
        <v/>
      </c>
      <c r="K262" s="66">
        <f t="shared" si="112"/>
        <v>20</v>
      </c>
      <c r="L262" s="66">
        <f t="shared" si="113"/>
        <v>20</v>
      </c>
      <c r="M262" s="66" t="str">
        <f t="shared" si="114"/>
        <v/>
      </c>
      <c r="N262" s="66" t="str">
        <f t="shared" si="115"/>
        <v/>
      </c>
      <c r="O262" s="66" t="str">
        <f t="shared" si="116"/>
        <v/>
      </c>
      <c r="P262" s="66" t="str">
        <f t="shared" si="117"/>
        <v/>
      </c>
      <c r="Q262" s="66" t="str">
        <f t="shared" si="118"/>
        <v/>
      </c>
      <c r="R262" s="66">
        <f t="shared" si="119"/>
        <v>20</v>
      </c>
      <c r="S262" s="66" t="str">
        <f t="shared" si="120"/>
        <v/>
      </c>
      <c r="T262" s="66" t="str">
        <f t="shared" si="121"/>
        <v/>
      </c>
      <c r="U262" s="66" t="str">
        <f t="shared" si="122"/>
        <v/>
      </c>
      <c r="V262" s="66" t="str">
        <f t="shared" si="123"/>
        <v/>
      </c>
      <c r="W262" s="66" t="str">
        <f t="shared" si="124"/>
        <v/>
      </c>
      <c r="X262" s="66" t="str">
        <f t="shared" si="125"/>
        <v/>
      </c>
      <c r="Y262" s="66" t="str">
        <f t="shared" si="126"/>
        <v/>
      </c>
      <c r="Z262" s="66" t="str">
        <f t="shared" si="127"/>
        <v/>
      </c>
      <c r="AA262" s="66" t="str">
        <f t="shared" si="128"/>
        <v/>
      </c>
      <c r="AB262" s="66" t="str">
        <f t="shared" si="129"/>
        <v/>
      </c>
      <c r="AC262" s="66" t="str">
        <f t="shared" si="130"/>
        <v/>
      </c>
      <c r="AD262" s="66" t="str">
        <f t="shared" si="131"/>
        <v/>
      </c>
      <c r="AE262" s="66" t="str">
        <f t="shared" si="132"/>
        <v/>
      </c>
      <c r="AF262" s="66">
        <f t="shared" si="133"/>
        <v>20</v>
      </c>
      <c r="AG262" s="66" t="str">
        <f t="shared" si="134"/>
        <v/>
      </c>
      <c r="AH262" s="66" t="str">
        <f t="shared" si="135"/>
        <v/>
      </c>
      <c r="AI262" s="66" t="str">
        <f t="shared" si="136"/>
        <v/>
      </c>
      <c r="AJ262" s="66" t="str">
        <f t="shared" si="137"/>
        <v/>
      </c>
    </row>
    <row r="263" spans="1:36">
      <c r="A263" s="66">
        <f t="shared" si="138"/>
        <v>21</v>
      </c>
      <c r="B263" s="66" t="str">
        <f t="shared" si="138"/>
        <v>邱俊閎</v>
      </c>
      <c r="C263" s="66" t="str">
        <f t="shared" si="104"/>
        <v/>
      </c>
      <c r="D263" s="66" t="str">
        <f t="shared" si="105"/>
        <v>.21</v>
      </c>
      <c r="E263" s="66">
        <f t="shared" si="106"/>
        <v>21</v>
      </c>
      <c r="F263" s="66" t="str">
        <f t="shared" si="107"/>
        <v/>
      </c>
      <c r="G263" s="66" t="str">
        <f t="shared" si="108"/>
        <v/>
      </c>
      <c r="H263" s="66" t="str">
        <f t="shared" si="109"/>
        <v/>
      </c>
      <c r="I263" s="66" t="str">
        <f t="shared" si="110"/>
        <v/>
      </c>
      <c r="J263" s="66" t="str">
        <f t="shared" si="111"/>
        <v/>
      </c>
      <c r="K263" s="66" t="str">
        <f t="shared" si="112"/>
        <v>.21</v>
      </c>
      <c r="L263" s="66" t="str">
        <f t="shared" si="113"/>
        <v>.21</v>
      </c>
      <c r="M263" s="66" t="str">
        <f t="shared" si="114"/>
        <v/>
      </c>
      <c r="N263" s="66" t="str">
        <f t="shared" si="115"/>
        <v/>
      </c>
      <c r="O263" s="66" t="str">
        <f t="shared" si="116"/>
        <v/>
      </c>
      <c r="P263" s="66" t="str">
        <f t="shared" si="117"/>
        <v/>
      </c>
      <c r="Q263" s="66" t="str">
        <f t="shared" si="118"/>
        <v/>
      </c>
      <c r="R263" s="66" t="str">
        <f t="shared" si="119"/>
        <v>.21</v>
      </c>
      <c r="S263" s="66" t="str">
        <f t="shared" si="120"/>
        <v/>
      </c>
      <c r="T263" s="66" t="str">
        <f t="shared" si="121"/>
        <v/>
      </c>
      <c r="U263" s="66" t="str">
        <f t="shared" si="122"/>
        <v/>
      </c>
      <c r="V263" s="66" t="str">
        <f t="shared" si="123"/>
        <v/>
      </c>
      <c r="W263" s="66" t="str">
        <f t="shared" si="124"/>
        <v/>
      </c>
      <c r="X263" s="66" t="str">
        <f t="shared" si="125"/>
        <v/>
      </c>
      <c r="Y263" s="66">
        <f t="shared" si="126"/>
        <v>21</v>
      </c>
      <c r="Z263" s="66" t="str">
        <f t="shared" si="127"/>
        <v/>
      </c>
      <c r="AA263" s="66" t="str">
        <f t="shared" si="128"/>
        <v/>
      </c>
      <c r="AB263" s="66" t="str">
        <f t="shared" si="129"/>
        <v/>
      </c>
      <c r="AC263" s="66" t="str">
        <f t="shared" si="130"/>
        <v/>
      </c>
      <c r="AD263" s="66" t="str">
        <f t="shared" si="131"/>
        <v/>
      </c>
      <c r="AE263" s="66" t="str">
        <f t="shared" si="132"/>
        <v/>
      </c>
      <c r="AF263" s="66" t="str">
        <f t="shared" si="133"/>
        <v>.21</v>
      </c>
      <c r="AG263" s="66" t="str">
        <f t="shared" si="134"/>
        <v/>
      </c>
      <c r="AH263" s="66" t="str">
        <f t="shared" si="135"/>
        <v/>
      </c>
      <c r="AI263" s="66" t="str">
        <f t="shared" si="136"/>
        <v/>
      </c>
      <c r="AJ263" s="66" t="str">
        <f t="shared" si="137"/>
        <v/>
      </c>
    </row>
    <row r="264" spans="1:36">
      <c r="A264" s="66">
        <f t="shared" si="138"/>
        <v>22</v>
      </c>
      <c r="B264" s="66" t="str">
        <f t="shared" si="138"/>
        <v>陳奕欣</v>
      </c>
      <c r="C264" s="66" t="str">
        <f t="shared" si="104"/>
        <v/>
      </c>
      <c r="D264" s="66" t="str">
        <f t="shared" si="105"/>
        <v>.</v>
      </c>
      <c r="E264" s="66" t="str">
        <f t="shared" si="106"/>
        <v>.22</v>
      </c>
      <c r="F264" s="66" t="str">
        <f t="shared" si="107"/>
        <v/>
      </c>
      <c r="G264" s="66" t="str">
        <f t="shared" si="108"/>
        <v/>
      </c>
      <c r="H264" s="66" t="str">
        <f t="shared" si="109"/>
        <v/>
      </c>
      <c r="I264" s="66" t="str">
        <f t="shared" si="110"/>
        <v/>
      </c>
      <c r="J264" s="66" t="str">
        <f t="shared" si="111"/>
        <v/>
      </c>
      <c r="K264" s="66" t="str">
        <f t="shared" si="112"/>
        <v>.</v>
      </c>
      <c r="L264" s="66" t="str">
        <f t="shared" si="113"/>
        <v>.</v>
      </c>
      <c r="M264" s="66" t="str">
        <f t="shared" si="114"/>
        <v/>
      </c>
      <c r="N264" s="66" t="str">
        <f t="shared" si="115"/>
        <v/>
      </c>
      <c r="O264" s="66" t="str">
        <f t="shared" si="116"/>
        <v/>
      </c>
      <c r="P264" s="66" t="str">
        <f t="shared" si="117"/>
        <v/>
      </c>
      <c r="Q264" s="66" t="str">
        <f t="shared" si="118"/>
        <v/>
      </c>
      <c r="R264" s="66" t="str">
        <f t="shared" si="119"/>
        <v>.</v>
      </c>
      <c r="S264" s="66">
        <f t="shared" si="120"/>
        <v>22</v>
      </c>
      <c r="T264" s="66" t="str">
        <f t="shared" si="121"/>
        <v/>
      </c>
      <c r="U264" s="66" t="str">
        <f t="shared" si="122"/>
        <v/>
      </c>
      <c r="V264" s="66" t="str">
        <f t="shared" si="123"/>
        <v/>
      </c>
      <c r="W264" s="66" t="str">
        <f t="shared" si="124"/>
        <v/>
      </c>
      <c r="X264" s="66" t="str">
        <f t="shared" si="125"/>
        <v/>
      </c>
      <c r="Y264" s="66" t="str">
        <f t="shared" si="126"/>
        <v>.22</v>
      </c>
      <c r="Z264" s="66">
        <f t="shared" si="127"/>
        <v>22</v>
      </c>
      <c r="AA264" s="66" t="str">
        <f t="shared" si="128"/>
        <v/>
      </c>
      <c r="AB264" s="66" t="str">
        <f t="shared" si="129"/>
        <v/>
      </c>
      <c r="AC264" s="66" t="str">
        <f t="shared" si="130"/>
        <v/>
      </c>
      <c r="AD264" s="66" t="str">
        <f t="shared" si="131"/>
        <v/>
      </c>
      <c r="AE264" s="66">
        <f t="shared" si="132"/>
        <v>22</v>
      </c>
      <c r="AF264" s="66" t="str">
        <f t="shared" si="133"/>
        <v>.</v>
      </c>
      <c r="AG264" s="66" t="str">
        <f t="shared" si="134"/>
        <v/>
      </c>
      <c r="AH264" s="66" t="str">
        <f t="shared" si="135"/>
        <v/>
      </c>
      <c r="AI264" s="66" t="str">
        <f t="shared" si="136"/>
        <v/>
      </c>
      <c r="AJ264" s="66" t="str">
        <f t="shared" si="137"/>
        <v/>
      </c>
    </row>
    <row r="265" spans="1:36">
      <c r="A265" s="66">
        <f t="shared" si="138"/>
        <v>23</v>
      </c>
      <c r="B265" s="66" t="str">
        <f t="shared" si="138"/>
        <v>阮成山</v>
      </c>
      <c r="C265" s="66">
        <f t="shared" si="104"/>
        <v>23</v>
      </c>
      <c r="D265" s="66">
        <f t="shared" si="105"/>
        <v>23</v>
      </c>
      <c r="E265" s="66" t="str">
        <f t="shared" si="106"/>
        <v>.23</v>
      </c>
      <c r="F265" s="66" t="str">
        <f t="shared" si="107"/>
        <v/>
      </c>
      <c r="G265" s="66" t="str">
        <f t="shared" si="108"/>
        <v/>
      </c>
      <c r="H265" s="66" t="str">
        <f t="shared" si="109"/>
        <v/>
      </c>
      <c r="I265" s="66" t="str">
        <f t="shared" si="110"/>
        <v/>
      </c>
      <c r="J265" s="66">
        <f t="shared" si="111"/>
        <v>23</v>
      </c>
      <c r="K265" s="66">
        <f t="shared" si="112"/>
        <v>23</v>
      </c>
      <c r="L265" s="66" t="str">
        <f t="shared" si="113"/>
        <v/>
      </c>
      <c r="M265" s="66" t="str">
        <f t="shared" si="114"/>
        <v/>
      </c>
      <c r="N265" s="66" t="str">
        <f t="shared" si="115"/>
        <v/>
      </c>
      <c r="O265" s="66" t="str">
        <f t="shared" si="116"/>
        <v/>
      </c>
      <c r="P265" s="66" t="str">
        <f t="shared" si="117"/>
        <v/>
      </c>
      <c r="Q265" s="66" t="str">
        <f t="shared" si="118"/>
        <v/>
      </c>
      <c r="R265" s="66">
        <f t="shared" si="119"/>
        <v>23</v>
      </c>
      <c r="S265" s="66" t="str">
        <f t="shared" si="120"/>
        <v>.</v>
      </c>
      <c r="T265" s="66" t="str">
        <f t="shared" si="121"/>
        <v/>
      </c>
      <c r="U265" s="66" t="str">
        <f t="shared" si="122"/>
        <v/>
      </c>
      <c r="V265" s="66" t="str">
        <f t="shared" si="123"/>
        <v/>
      </c>
      <c r="W265" s="66" t="str">
        <f t="shared" si="124"/>
        <v/>
      </c>
      <c r="X265" s="66" t="str">
        <f t="shared" si="125"/>
        <v/>
      </c>
      <c r="Y265" s="66" t="str">
        <f t="shared" si="126"/>
        <v>.</v>
      </c>
      <c r="Z265" s="66" t="str">
        <f t="shared" si="127"/>
        <v>.</v>
      </c>
      <c r="AA265" s="66" t="str">
        <f t="shared" si="128"/>
        <v/>
      </c>
      <c r="AB265" s="66" t="str">
        <f t="shared" si="129"/>
        <v/>
      </c>
      <c r="AC265" s="66" t="str">
        <f t="shared" si="130"/>
        <v/>
      </c>
      <c r="AD265" s="66" t="str">
        <f t="shared" si="131"/>
        <v/>
      </c>
      <c r="AE265" s="66" t="str">
        <f t="shared" si="132"/>
        <v>.</v>
      </c>
      <c r="AF265" s="66" t="str">
        <f t="shared" si="133"/>
        <v/>
      </c>
      <c r="AG265" s="66" t="str">
        <f t="shared" si="134"/>
        <v/>
      </c>
      <c r="AH265" s="66" t="str">
        <f t="shared" si="135"/>
        <v/>
      </c>
      <c r="AI265" s="66" t="str">
        <f t="shared" si="136"/>
        <v/>
      </c>
      <c r="AJ265" s="66" t="str">
        <f t="shared" si="137"/>
        <v/>
      </c>
    </row>
    <row r="266" spans="1:36">
      <c r="A266" s="66">
        <f t="shared" si="138"/>
        <v>24</v>
      </c>
      <c r="B266" s="66" t="str">
        <f t="shared" si="138"/>
        <v>黃品傑</v>
      </c>
      <c r="C266" s="66" t="str">
        <f t="shared" si="104"/>
        <v>.24</v>
      </c>
      <c r="D266" s="66" t="str">
        <f t="shared" si="105"/>
        <v>.24</v>
      </c>
      <c r="E266" s="66" t="str">
        <f t="shared" si="106"/>
        <v>.</v>
      </c>
      <c r="F266" s="66" t="str">
        <f t="shared" si="107"/>
        <v/>
      </c>
      <c r="G266" s="66" t="str">
        <f t="shared" si="108"/>
        <v/>
      </c>
      <c r="H266" s="66" t="str">
        <f t="shared" si="109"/>
        <v/>
      </c>
      <c r="I266" s="66" t="str">
        <f t="shared" si="110"/>
        <v/>
      </c>
      <c r="J266" s="66" t="str">
        <f t="shared" si="111"/>
        <v>.</v>
      </c>
      <c r="K266" s="66" t="str">
        <f t="shared" si="112"/>
        <v>.</v>
      </c>
      <c r="L266" s="66" t="str">
        <f t="shared" si="113"/>
        <v/>
      </c>
      <c r="M266" s="66" t="str">
        <f t="shared" si="114"/>
        <v/>
      </c>
      <c r="N266" s="66" t="str">
        <f t="shared" si="115"/>
        <v/>
      </c>
      <c r="O266" s="66">
        <f t="shared" si="116"/>
        <v>24</v>
      </c>
      <c r="P266" s="66">
        <f t="shared" si="117"/>
        <v>24</v>
      </c>
      <c r="Q266" s="66" t="str">
        <f t="shared" si="118"/>
        <v/>
      </c>
      <c r="R266" s="66" t="str">
        <f t="shared" si="119"/>
        <v>.</v>
      </c>
      <c r="S266" s="66" t="str">
        <f t="shared" si="120"/>
        <v/>
      </c>
      <c r="T266" s="66" t="str">
        <f t="shared" si="121"/>
        <v/>
      </c>
      <c r="U266" s="66" t="str">
        <f t="shared" si="122"/>
        <v/>
      </c>
      <c r="V266" s="66" t="str">
        <f t="shared" si="123"/>
        <v/>
      </c>
      <c r="W266" s="66" t="str">
        <f t="shared" si="124"/>
        <v/>
      </c>
      <c r="X266" s="66">
        <f t="shared" si="125"/>
        <v>24</v>
      </c>
      <c r="Y266" s="66" t="str">
        <f t="shared" si="126"/>
        <v/>
      </c>
      <c r="Z266" s="66" t="str">
        <f t="shared" si="127"/>
        <v/>
      </c>
      <c r="AA266" s="66" t="str">
        <f t="shared" si="128"/>
        <v/>
      </c>
      <c r="AB266" s="66" t="str">
        <f t="shared" si="129"/>
        <v/>
      </c>
      <c r="AC266" s="66" t="str">
        <f t="shared" si="130"/>
        <v/>
      </c>
      <c r="AD266" s="66" t="str">
        <f t="shared" si="131"/>
        <v/>
      </c>
      <c r="AE266" s="66" t="str">
        <f t="shared" si="132"/>
        <v/>
      </c>
      <c r="AF266" s="66">
        <f t="shared" si="133"/>
        <v>24</v>
      </c>
      <c r="AG266" s="66" t="str">
        <f t="shared" si="134"/>
        <v/>
      </c>
      <c r="AH266" s="66" t="str">
        <f t="shared" si="135"/>
        <v/>
      </c>
      <c r="AI266" s="66" t="str">
        <f t="shared" si="136"/>
        <v/>
      </c>
      <c r="AJ266" s="66" t="str">
        <f t="shared" si="137"/>
        <v/>
      </c>
    </row>
    <row r="267" spans="1:36">
      <c r="A267" s="66">
        <f t="shared" si="138"/>
        <v>25</v>
      </c>
      <c r="B267" s="66" t="str">
        <f t="shared" si="138"/>
        <v>唐正瑋</v>
      </c>
      <c r="C267" s="66" t="str">
        <f t="shared" si="104"/>
        <v>.</v>
      </c>
      <c r="D267" s="66" t="str">
        <f t="shared" si="105"/>
        <v>.25</v>
      </c>
      <c r="E267" s="66">
        <f t="shared" si="106"/>
        <v>25</v>
      </c>
      <c r="F267" s="66" t="str">
        <f t="shared" si="107"/>
        <v/>
      </c>
      <c r="G267" s="66" t="str">
        <f t="shared" si="108"/>
        <v/>
      </c>
      <c r="H267" s="66" t="str">
        <f t="shared" si="109"/>
        <v/>
      </c>
      <c r="I267" s="66" t="str">
        <f t="shared" si="110"/>
        <v/>
      </c>
      <c r="J267" s="66" t="str">
        <f t="shared" si="111"/>
        <v/>
      </c>
      <c r="K267" s="66">
        <f t="shared" si="112"/>
        <v>25</v>
      </c>
      <c r="L267" s="66">
        <f t="shared" si="113"/>
        <v>25</v>
      </c>
      <c r="M267" s="66" t="str">
        <f t="shared" si="114"/>
        <v/>
      </c>
      <c r="N267" s="66" t="str">
        <f t="shared" si="115"/>
        <v/>
      </c>
      <c r="O267" s="66" t="str">
        <f t="shared" si="116"/>
        <v>.</v>
      </c>
      <c r="P267" s="66" t="str">
        <f t="shared" si="117"/>
        <v>.</v>
      </c>
      <c r="Q267" s="66" t="str">
        <f t="shared" si="118"/>
        <v/>
      </c>
      <c r="R267" s="66" t="str">
        <f t="shared" si="119"/>
        <v/>
      </c>
      <c r="S267" s="66" t="str">
        <f t="shared" si="120"/>
        <v/>
      </c>
      <c r="T267" s="66" t="str">
        <f t="shared" si="121"/>
        <v/>
      </c>
      <c r="U267" s="66" t="str">
        <f t="shared" si="122"/>
        <v/>
      </c>
      <c r="V267" s="66" t="str">
        <f t="shared" si="123"/>
        <v/>
      </c>
      <c r="W267" s="66" t="str">
        <f t="shared" si="124"/>
        <v/>
      </c>
      <c r="X267" s="66" t="str">
        <f t="shared" si="125"/>
        <v>.</v>
      </c>
      <c r="Y267" s="66">
        <f t="shared" si="126"/>
        <v>25</v>
      </c>
      <c r="Z267" s="66">
        <f t="shared" si="127"/>
        <v>25</v>
      </c>
      <c r="AA267" s="66" t="str">
        <f t="shared" si="128"/>
        <v/>
      </c>
      <c r="AB267" s="66" t="str">
        <f t="shared" si="129"/>
        <v/>
      </c>
      <c r="AC267" s="66" t="str">
        <f t="shared" si="130"/>
        <v/>
      </c>
      <c r="AD267" s="66" t="str">
        <f t="shared" si="131"/>
        <v/>
      </c>
      <c r="AE267" s="66" t="str">
        <f t="shared" si="132"/>
        <v/>
      </c>
      <c r="AF267" s="66" t="str">
        <f t="shared" si="133"/>
        <v>.25</v>
      </c>
      <c r="AG267" s="66" t="str">
        <f t="shared" si="134"/>
        <v/>
      </c>
      <c r="AH267" s="66" t="str">
        <f t="shared" si="135"/>
        <v/>
      </c>
      <c r="AI267" s="66" t="str">
        <f t="shared" si="136"/>
        <v/>
      </c>
      <c r="AJ267" s="66" t="str">
        <f t="shared" si="137"/>
        <v/>
      </c>
    </row>
    <row r="268" spans="1:36">
      <c r="A268" s="66">
        <f t="shared" si="138"/>
        <v>26</v>
      </c>
      <c r="B268" s="66" t="str">
        <f t="shared" si="138"/>
        <v>曾慶鈞</v>
      </c>
      <c r="C268" s="66" t="str">
        <f t="shared" si="104"/>
        <v/>
      </c>
      <c r="D268" s="66" t="str">
        <f t="shared" si="105"/>
        <v>.</v>
      </c>
      <c r="E268" s="66" t="str">
        <f t="shared" si="106"/>
        <v>.</v>
      </c>
      <c r="F268" s="66" t="str">
        <f t="shared" si="107"/>
        <v/>
      </c>
      <c r="G268" s="66" t="str">
        <f t="shared" si="108"/>
        <v/>
      </c>
      <c r="H268" s="66" t="str">
        <f t="shared" si="109"/>
        <v/>
      </c>
      <c r="I268" s="66" t="str">
        <f t="shared" si="110"/>
        <v/>
      </c>
      <c r="J268" s="66" t="str">
        <f t="shared" si="111"/>
        <v/>
      </c>
      <c r="K268" s="66" t="str">
        <f t="shared" si="112"/>
        <v>.</v>
      </c>
      <c r="L268" s="66" t="str">
        <f t="shared" si="113"/>
        <v>.</v>
      </c>
      <c r="M268" s="66">
        <f t="shared" si="114"/>
        <v>26</v>
      </c>
      <c r="N268" s="66">
        <f t="shared" si="115"/>
        <v>26</v>
      </c>
      <c r="O268" s="66" t="str">
        <f t="shared" si="116"/>
        <v/>
      </c>
      <c r="P268" s="66" t="str">
        <f t="shared" si="117"/>
        <v/>
      </c>
      <c r="Q268" s="66" t="str">
        <f t="shared" si="118"/>
        <v/>
      </c>
      <c r="R268" s="66" t="str">
        <f t="shared" si="119"/>
        <v/>
      </c>
      <c r="S268" s="66">
        <f t="shared" si="120"/>
        <v>26</v>
      </c>
      <c r="T268" s="66">
        <f t="shared" si="121"/>
        <v>26</v>
      </c>
      <c r="U268" s="66">
        <f t="shared" si="122"/>
        <v>26</v>
      </c>
      <c r="V268" s="66" t="str">
        <f t="shared" si="123"/>
        <v/>
      </c>
      <c r="W268" s="66" t="str">
        <f t="shared" si="124"/>
        <v/>
      </c>
      <c r="X268" s="66" t="str">
        <f t="shared" si="125"/>
        <v/>
      </c>
      <c r="Y268" s="66" t="str">
        <f t="shared" si="126"/>
        <v>.</v>
      </c>
      <c r="Z268" s="66" t="str">
        <f t="shared" si="127"/>
        <v>.</v>
      </c>
      <c r="AA268" s="66" t="str">
        <f t="shared" si="128"/>
        <v/>
      </c>
      <c r="AB268" s="66">
        <f t="shared" si="129"/>
        <v>26</v>
      </c>
      <c r="AC268" s="66">
        <f t="shared" si="130"/>
        <v>26</v>
      </c>
      <c r="AD268" s="66">
        <f t="shared" si="131"/>
        <v>26</v>
      </c>
      <c r="AE268" s="66" t="str">
        <f t="shared" si="132"/>
        <v/>
      </c>
      <c r="AF268" s="66" t="str">
        <f t="shared" si="133"/>
        <v>.</v>
      </c>
      <c r="AG268" s="66" t="str">
        <f t="shared" si="134"/>
        <v/>
      </c>
      <c r="AH268" s="66" t="str">
        <f t="shared" si="135"/>
        <v/>
      </c>
      <c r="AI268" s="66" t="str">
        <f t="shared" si="136"/>
        <v/>
      </c>
      <c r="AJ268" s="66" t="str">
        <f t="shared" si="137"/>
        <v/>
      </c>
    </row>
    <row r="269" spans="1:36">
      <c r="A269" s="66">
        <f t="shared" si="138"/>
        <v>27</v>
      </c>
      <c r="B269" s="66" t="str">
        <f t="shared" si="138"/>
        <v>游瀚翔</v>
      </c>
      <c r="C269" s="66" t="str">
        <f t="shared" si="104"/>
        <v/>
      </c>
      <c r="D269" s="66" t="str">
        <f t="shared" si="105"/>
        <v/>
      </c>
      <c r="E269" s="66" t="str">
        <f t="shared" si="106"/>
        <v/>
      </c>
      <c r="F269" s="66" t="str">
        <f t="shared" si="107"/>
        <v/>
      </c>
      <c r="G269" s="66" t="str">
        <f t="shared" si="108"/>
        <v/>
      </c>
      <c r="H269" s="66" t="str">
        <f t="shared" si="109"/>
        <v/>
      </c>
      <c r="I269" s="66" t="str">
        <f t="shared" si="110"/>
        <v/>
      </c>
      <c r="J269" s="66">
        <f t="shared" si="111"/>
        <v>27</v>
      </c>
      <c r="K269" s="66">
        <f t="shared" si="112"/>
        <v>27</v>
      </c>
      <c r="L269" s="66" t="str">
        <f t="shared" si="113"/>
        <v/>
      </c>
      <c r="M269" s="66" t="str">
        <f t="shared" si="114"/>
        <v>.</v>
      </c>
      <c r="N269" s="66" t="str">
        <f t="shared" si="115"/>
        <v>.</v>
      </c>
      <c r="O269" s="66" t="str">
        <f t="shared" si="116"/>
        <v/>
      </c>
      <c r="P269" s="66" t="str">
        <f t="shared" si="117"/>
        <v/>
      </c>
      <c r="Q269" s="66" t="str">
        <f t="shared" si="118"/>
        <v/>
      </c>
      <c r="R269" s="66">
        <f t="shared" si="119"/>
        <v>27</v>
      </c>
      <c r="S269" s="66" t="str">
        <f t="shared" si="120"/>
        <v>.</v>
      </c>
      <c r="T269" s="66" t="str">
        <f t="shared" si="121"/>
        <v>.</v>
      </c>
      <c r="U269" s="66" t="str">
        <f t="shared" si="122"/>
        <v>.</v>
      </c>
      <c r="V269" s="66" t="str">
        <f t="shared" si="123"/>
        <v/>
      </c>
      <c r="W269" s="66" t="str">
        <f t="shared" si="124"/>
        <v/>
      </c>
      <c r="X269" s="66" t="str">
        <f t="shared" si="125"/>
        <v/>
      </c>
      <c r="Y269" s="66">
        <f t="shared" si="126"/>
        <v>27</v>
      </c>
      <c r="Z269" s="66" t="str">
        <f t="shared" si="127"/>
        <v/>
      </c>
      <c r="AA269" s="66" t="str">
        <f t="shared" si="128"/>
        <v/>
      </c>
      <c r="AB269" s="66" t="str">
        <f t="shared" si="129"/>
        <v>.</v>
      </c>
      <c r="AC269" s="66" t="str">
        <f t="shared" si="130"/>
        <v>.</v>
      </c>
      <c r="AD269" s="66" t="str">
        <f t="shared" si="131"/>
        <v>.</v>
      </c>
      <c r="AE269" s="66" t="str">
        <f t="shared" si="132"/>
        <v/>
      </c>
      <c r="AF269" s="66">
        <f t="shared" si="133"/>
        <v>27</v>
      </c>
      <c r="AG269" s="66" t="str">
        <f t="shared" si="134"/>
        <v/>
      </c>
      <c r="AH269" s="66" t="str">
        <f t="shared" si="135"/>
        <v/>
      </c>
      <c r="AI269" s="66" t="str">
        <f t="shared" si="136"/>
        <v/>
      </c>
      <c r="AJ269" s="66" t="str">
        <f t="shared" si="137"/>
        <v/>
      </c>
    </row>
    <row r="270" spans="1:36">
      <c r="A270" s="66">
        <f t="shared" si="138"/>
        <v>28</v>
      </c>
      <c r="B270" s="66" t="str">
        <f t="shared" si="138"/>
        <v>高仲廷</v>
      </c>
      <c r="C270" s="66" t="str">
        <f t="shared" si="104"/>
        <v/>
      </c>
      <c r="D270" s="66" t="str">
        <f t="shared" si="105"/>
        <v/>
      </c>
      <c r="E270" s="66">
        <f t="shared" si="106"/>
        <v>28</v>
      </c>
      <c r="F270" s="66" t="str">
        <f t="shared" si="107"/>
        <v/>
      </c>
      <c r="G270" s="66" t="str">
        <f t="shared" si="108"/>
        <v/>
      </c>
      <c r="H270" s="66" t="str">
        <f t="shared" si="109"/>
        <v/>
      </c>
      <c r="I270" s="66" t="str">
        <f t="shared" si="110"/>
        <v/>
      </c>
      <c r="J270" s="66" t="str">
        <f t="shared" si="111"/>
        <v>.</v>
      </c>
      <c r="K270" s="66" t="str">
        <f t="shared" si="112"/>
        <v>.</v>
      </c>
      <c r="L270" s="66">
        <f t="shared" si="113"/>
        <v>28</v>
      </c>
      <c r="M270" s="66">
        <f t="shared" si="114"/>
        <v>28</v>
      </c>
      <c r="N270" s="66" t="str">
        <f t="shared" si="115"/>
        <v/>
      </c>
      <c r="O270" s="66" t="str">
        <f t="shared" si="116"/>
        <v/>
      </c>
      <c r="P270" s="66" t="str">
        <f t="shared" si="117"/>
        <v/>
      </c>
      <c r="Q270" s="66" t="str">
        <f t="shared" si="118"/>
        <v/>
      </c>
      <c r="R270" s="66" t="str">
        <f t="shared" si="119"/>
        <v>.</v>
      </c>
      <c r="S270" s="66" t="str">
        <f t="shared" si="120"/>
        <v/>
      </c>
      <c r="T270" s="66">
        <f t="shared" si="121"/>
        <v>28</v>
      </c>
      <c r="U270" s="66" t="str">
        <f t="shared" si="122"/>
        <v/>
      </c>
      <c r="V270" s="66" t="str">
        <f t="shared" si="123"/>
        <v/>
      </c>
      <c r="W270" s="66" t="str">
        <f t="shared" si="124"/>
        <v/>
      </c>
      <c r="X270" s="66" t="str">
        <f t="shared" si="125"/>
        <v/>
      </c>
      <c r="Y270" s="66" t="str">
        <f t="shared" si="126"/>
        <v>.28</v>
      </c>
      <c r="Z270" s="66">
        <f t="shared" si="127"/>
        <v>28</v>
      </c>
      <c r="AA270" s="66" t="str">
        <f t="shared" si="128"/>
        <v/>
      </c>
      <c r="AB270" s="66" t="str">
        <f t="shared" si="129"/>
        <v/>
      </c>
      <c r="AC270" s="66" t="str">
        <f t="shared" si="130"/>
        <v/>
      </c>
      <c r="AD270" s="66" t="str">
        <f t="shared" si="131"/>
        <v/>
      </c>
      <c r="AE270" s="66" t="str">
        <f t="shared" si="132"/>
        <v/>
      </c>
      <c r="AF270" s="66" t="str">
        <f t="shared" si="133"/>
        <v>.</v>
      </c>
      <c r="AG270" s="66" t="str">
        <f t="shared" si="134"/>
        <v/>
      </c>
      <c r="AH270" s="66" t="str">
        <f t="shared" si="135"/>
        <v/>
      </c>
      <c r="AI270" s="66" t="str">
        <f t="shared" si="136"/>
        <v/>
      </c>
      <c r="AJ270" s="66" t="str">
        <f t="shared" si="137"/>
        <v/>
      </c>
    </row>
    <row r="271" spans="1:36">
      <c r="A271" s="66">
        <f t="shared" si="138"/>
        <v>29</v>
      </c>
      <c r="B271" s="66" t="str">
        <f t="shared" si="138"/>
        <v>陳羲</v>
      </c>
      <c r="C271" s="66" t="str">
        <f t="shared" si="104"/>
        <v/>
      </c>
      <c r="D271" s="66" t="str">
        <f t="shared" si="105"/>
        <v/>
      </c>
      <c r="E271" s="66" t="str">
        <f t="shared" si="106"/>
        <v>.</v>
      </c>
      <c r="F271" s="66" t="str">
        <f t="shared" si="107"/>
        <v/>
      </c>
      <c r="G271" s="66" t="str">
        <f t="shared" si="108"/>
        <v/>
      </c>
      <c r="H271" s="66" t="str">
        <f t="shared" si="109"/>
        <v/>
      </c>
      <c r="I271" s="66" t="str">
        <f t="shared" si="110"/>
        <v/>
      </c>
      <c r="J271" s="66" t="str">
        <f t="shared" si="111"/>
        <v/>
      </c>
      <c r="K271" s="66" t="str">
        <f t="shared" si="112"/>
        <v/>
      </c>
      <c r="L271" s="66" t="str">
        <f t="shared" si="113"/>
        <v>.</v>
      </c>
      <c r="M271" s="66" t="str">
        <f t="shared" si="114"/>
        <v>.</v>
      </c>
      <c r="N271" s="66">
        <f t="shared" si="115"/>
        <v>29</v>
      </c>
      <c r="O271" s="66">
        <f t="shared" si="116"/>
        <v>29</v>
      </c>
      <c r="P271" s="66" t="str">
        <f t="shared" si="117"/>
        <v/>
      </c>
      <c r="Q271" s="66" t="str">
        <f t="shared" si="118"/>
        <v/>
      </c>
      <c r="R271" s="66" t="str">
        <f t="shared" si="119"/>
        <v/>
      </c>
      <c r="S271" s="66" t="str">
        <f t="shared" si="120"/>
        <v/>
      </c>
      <c r="T271" s="66" t="str">
        <f t="shared" si="121"/>
        <v>.</v>
      </c>
      <c r="U271" s="66" t="str">
        <f t="shared" si="122"/>
        <v/>
      </c>
      <c r="V271" s="66" t="str">
        <f t="shared" si="123"/>
        <v/>
      </c>
      <c r="W271" s="66" t="str">
        <f t="shared" si="124"/>
        <v/>
      </c>
      <c r="X271" s="66" t="str">
        <f t="shared" si="125"/>
        <v/>
      </c>
      <c r="Y271" s="66" t="str">
        <f t="shared" si="126"/>
        <v>.</v>
      </c>
      <c r="Z271" s="66" t="str">
        <f t="shared" si="127"/>
        <v>.</v>
      </c>
      <c r="AA271" s="66" t="str">
        <f t="shared" si="128"/>
        <v/>
      </c>
      <c r="AB271" s="66" t="str">
        <f t="shared" si="129"/>
        <v/>
      </c>
      <c r="AC271" s="66" t="str">
        <f t="shared" si="130"/>
        <v/>
      </c>
      <c r="AD271" s="66" t="str">
        <f t="shared" si="131"/>
        <v/>
      </c>
      <c r="AE271" s="66" t="str">
        <f t="shared" si="132"/>
        <v/>
      </c>
      <c r="AF271" s="66" t="str">
        <f t="shared" si="133"/>
        <v/>
      </c>
      <c r="AG271" s="66" t="str">
        <f t="shared" si="134"/>
        <v/>
      </c>
      <c r="AH271" s="66" t="str">
        <f t="shared" si="135"/>
        <v/>
      </c>
      <c r="AI271" s="66" t="str">
        <f t="shared" si="136"/>
        <v/>
      </c>
      <c r="AJ271" s="66" t="str">
        <f t="shared" si="137"/>
        <v/>
      </c>
    </row>
    <row r="272" spans="1:36">
      <c r="A272" s="66">
        <f t="shared" si="138"/>
        <v>30</v>
      </c>
      <c r="B272" s="66" t="str">
        <f t="shared" si="138"/>
        <v>謝昕融</v>
      </c>
      <c r="C272" s="66" t="str">
        <f t="shared" si="104"/>
        <v/>
      </c>
      <c r="D272" s="66" t="str">
        <f t="shared" si="105"/>
        <v/>
      </c>
      <c r="E272" s="66" t="str">
        <f t="shared" si="106"/>
        <v/>
      </c>
      <c r="F272" s="66" t="str">
        <f t="shared" si="107"/>
        <v/>
      </c>
      <c r="G272" s="66" t="str">
        <f t="shared" si="108"/>
        <v/>
      </c>
      <c r="H272" s="66" t="str">
        <f t="shared" si="109"/>
        <v/>
      </c>
      <c r="I272" s="66" t="str">
        <f t="shared" si="110"/>
        <v/>
      </c>
      <c r="J272" s="66">
        <f t="shared" si="111"/>
        <v>30</v>
      </c>
      <c r="K272" s="66">
        <f t="shared" si="112"/>
        <v>30</v>
      </c>
      <c r="L272" s="66">
        <f t="shared" si="113"/>
        <v>30</v>
      </c>
      <c r="M272" s="66">
        <f t="shared" si="114"/>
        <v>30</v>
      </c>
      <c r="N272" s="66" t="str">
        <f t="shared" si="115"/>
        <v>.</v>
      </c>
      <c r="O272" s="66" t="str">
        <f t="shared" si="116"/>
        <v>.</v>
      </c>
      <c r="P272" s="66" t="str">
        <f t="shared" si="117"/>
        <v/>
      </c>
      <c r="Q272" s="66" t="str">
        <f t="shared" si="118"/>
        <v/>
      </c>
      <c r="R272" s="66" t="str">
        <f t="shared" si="119"/>
        <v/>
      </c>
      <c r="S272" s="66" t="str">
        <f t="shared" si="120"/>
        <v/>
      </c>
      <c r="T272" s="66">
        <f t="shared" si="121"/>
        <v>30</v>
      </c>
      <c r="U272" s="66" t="str">
        <f t="shared" si="122"/>
        <v/>
      </c>
      <c r="V272" s="66" t="str">
        <f t="shared" si="123"/>
        <v/>
      </c>
      <c r="W272" s="66" t="str">
        <f t="shared" si="124"/>
        <v/>
      </c>
      <c r="X272" s="66" t="str">
        <f t="shared" si="125"/>
        <v/>
      </c>
      <c r="Y272" s="66" t="str">
        <f t="shared" si="126"/>
        <v/>
      </c>
      <c r="Z272" s="66">
        <f t="shared" si="127"/>
        <v>30</v>
      </c>
      <c r="AA272" s="66">
        <f t="shared" si="128"/>
        <v>30</v>
      </c>
      <c r="AB272" s="66" t="str">
        <f t="shared" si="129"/>
        <v/>
      </c>
      <c r="AC272" s="66" t="str">
        <f t="shared" si="130"/>
        <v/>
      </c>
      <c r="AD272" s="66" t="str">
        <f t="shared" si="131"/>
        <v/>
      </c>
      <c r="AE272" s="66" t="str">
        <f t="shared" si="132"/>
        <v/>
      </c>
      <c r="AF272" s="66" t="str">
        <f t="shared" si="133"/>
        <v/>
      </c>
      <c r="AG272" s="66" t="str">
        <f t="shared" si="134"/>
        <v/>
      </c>
      <c r="AH272" s="66" t="str">
        <f t="shared" si="135"/>
        <v/>
      </c>
      <c r="AI272" s="66" t="str">
        <f t="shared" si="136"/>
        <v/>
      </c>
      <c r="AJ272" s="66" t="str">
        <f t="shared" si="137"/>
        <v/>
      </c>
    </row>
    <row r="273" spans="1:55">
      <c r="A273" s="66">
        <f t="shared" si="138"/>
        <v>31</v>
      </c>
      <c r="B273" s="66" t="str">
        <f t="shared" si="138"/>
        <v>許峰銘</v>
      </c>
      <c r="C273" s="66" t="str">
        <f t="shared" si="104"/>
        <v/>
      </c>
      <c r="D273" s="66" t="str">
        <f t="shared" si="105"/>
        <v/>
      </c>
      <c r="E273" s="66" t="str">
        <f t="shared" si="106"/>
        <v/>
      </c>
      <c r="F273" s="66">
        <f t="shared" si="107"/>
        <v>31</v>
      </c>
      <c r="G273" s="66">
        <f t="shared" si="108"/>
        <v>31</v>
      </c>
      <c r="H273" s="66" t="str">
        <f t="shared" si="109"/>
        <v/>
      </c>
      <c r="I273" s="66" t="str">
        <f t="shared" si="110"/>
        <v/>
      </c>
      <c r="J273" s="66" t="str">
        <f t="shared" si="111"/>
        <v>.</v>
      </c>
      <c r="K273" s="66" t="str">
        <f t="shared" si="112"/>
        <v>.</v>
      </c>
      <c r="L273" s="66" t="str">
        <f t="shared" si="113"/>
        <v>.</v>
      </c>
      <c r="M273" s="66" t="str">
        <f t="shared" si="114"/>
        <v>.</v>
      </c>
      <c r="N273" s="66">
        <f t="shared" si="115"/>
        <v>31</v>
      </c>
      <c r="O273" s="66" t="str">
        <f t="shared" si="116"/>
        <v/>
      </c>
      <c r="P273" s="66" t="str">
        <f t="shared" si="117"/>
        <v/>
      </c>
      <c r="Q273" s="66" t="str">
        <f t="shared" si="118"/>
        <v/>
      </c>
      <c r="R273" s="66" t="str">
        <f t="shared" si="119"/>
        <v/>
      </c>
      <c r="S273" s="66">
        <f t="shared" si="120"/>
        <v>31</v>
      </c>
      <c r="T273" s="66" t="str">
        <f t="shared" si="121"/>
        <v>.</v>
      </c>
      <c r="U273" s="66" t="str">
        <f t="shared" si="122"/>
        <v/>
      </c>
      <c r="V273" s="66" t="str">
        <f t="shared" si="123"/>
        <v/>
      </c>
      <c r="W273" s="66" t="str">
        <f t="shared" si="124"/>
        <v/>
      </c>
      <c r="X273" s="66" t="str">
        <f t="shared" si="125"/>
        <v/>
      </c>
      <c r="Y273" s="66">
        <f t="shared" si="126"/>
        <v>31</v>
      </c>
      <c r="Z273" s="66" t="str">
        <f t="shared" si="127"/>
        <v>.31</v>
      </c>
      <c r="AA273" s="66" t="str">
        <f t="shared" si="128"/>
        <v>.</v>
      </c>
      <c r="AB273" s="66" t="str">
        <f t="shared" si="129"/>
        <v/>
      </c>
      <c r="AC273" s="66" t="str">
        <f t="shared" si="130"/>
        <v/>
      </c>
      <c r="AD273" s="66" t="str">
        <f t="shared" si="131"/>
        <v/>
      </c>
      <c r="AE273" s="66" t="str">
        <f t="shared" si="132"/>
        <v/>
      </c>
      <c r="AF273" s="66">
        <f t="shared" si="133"/>
        <v>31</v>
      </c>
      <c r="AG273" s="66" t="str">
        <f t="shared" si="134"/>
        <v/>
      </c>
      <c r="AH273" s="66" t="str">
        <f t="shared" si="135"/>
        <v/>
      </c>
      <c r="AI273" s="66" t="str">
        <f t="shared" si="136"/>
        <v/>
      </c>
      <c r="AJ273" s="66" t="str">
        <f t="shared" si="137"/>
        <v/>
      </c>
    </row>
    <row r="274" spans="1:55">
      <c r="A274" s="66">
        <f t="shared" si="138"/>
        <v>32</v>
      </c>
      <c r="B274" s="66" t="str">
        <f t="shared" si="138"/>
        <v>莊博竣</v>
      </c>
      <c r="C274" s="66" t="str">
        <f t="shared" si="104"/>
        <v/>
      </c>
      <c r="D274" s="66" t="str">
        <f t="shared" si="105"/>
        <v/>
      </c>
      <c r="E274" s="66" t="str">
        <f t="shared" si="106"/>
        <v/>
      </c>
      <c r="F274" s="66" t="str">
        <f t="shared" si="107"/>
        <v>.</v>
      </c>
      <c r="G274" s="66" t="str">
        <f t="shared" si="108"/>
        <v>.</v>
      </c>
      <c r="H274" s="66" t="str">
        <f t="shared" si="109"/>
        <v/>
      </c>
      <c r="I274" s="66" t="str">
        <f t="shared" si="110"/>
        <v/>
      </c>
      <c r="J274" s="66" t="str">
        <f t="shared" si="111"/>
        <v/>
      </c>
      <c r="K274" s="66" t="str">
        <f t="shared" si="112"/>
        <v/>
      </c>
      <c r="L274" s="66" t="str">
        <f t="shared" si="113"/>
        <v/>
      </c>
      <c r="M274" s="66" t="str">
        <f t="shared" si="114"/>
        <v/>
      </c>
      <c r="N274" s="66" t="str">
        <f t="shared" si="115"/>
        <v>.</v>
      </c>
      <c r="O274" s="66" t="str">
        <f t="shared" si="116"/>
        <v/>
      </c>
      <c r="P274" s="66" t="str">
        <f t="shared" si="117"/>
        <v/>
      </c>
      <c r="Q274" s="66" t="str">
        <f t="shared" si="118"/>
        <v/>
      </c>
      <c r="R274" s="66" t="str">
        <f t="shared" si="119"/>
        <v/>
      </c>
      <c r="S274" s="66" t="str">
        <f t="shared" si="120"/>
        <v>.</v>
      </c>
      <c r="T274" s="66" t="str">
        <f t="shared" si="121"/>
        <v/>
      </c>
      <c r="U274" s="66" t="str">
        <f t="shared" si="122"/>
        <v/>
      </c>
      <c r="V274" s="66" t="str">
        <f t="shared" si="123"/>
        <v/>
      </c>
      <c r="W274" s="66" t="str">
        <f t="shared" si="124"/>
        <v/>
      </c>
      <c r="X274" s="66" t="str">
        <f t="shared" si="125"/>
        <v/>
      </c>
      <c r="Y274" s="66" t="str">
        <f t="shared" si="126"/>
        <v>.</v>
      </c>
      <c r="Z274" s="66" t="str">
        <f t="shared" si="127"/>
        <v>.</v>
      </c>
      <c r="AA274" s="66" t="str">
        <f t="shared" si="128"/>
        <v/>
      </c>
      <c r="AB274" s="66" t="str">
        <f t="shared" si="129"/>
        <v/>
      </c>
      <c r="AC274" s="66" t="str">
        <f t="shared" si="130"/>
        <v/>
      </c>
      <c r="AD274" s="66" t="str">
        <f t="shared" si="131"/>
        <v/>
      </c>
      <c r="AE274" s="66" t="str">
        <f t="shared" si="132"/>
        <v/>
      </c>
      <c r="AF274" s="66" t="str">
        <f t="shared" si="133"/>
        <v>.</v>
      </c>
      <c r="AG274" s="66" t="str">
        <f t="shared" si="134"/>
        <v/>
      </c>
      <c r="AH274" s="66" t="str">
        <f t="shared" si="135"/>
        <v/>
      </c>
      <c r="AI274" s="66" t="str">
        <f t="shared" si="136"/>
        <v/>
      </c>
      <c r="AJ274" s="66" t="str">
        <f t="shared" si="137"/>
        <v/>
      </c>
    </row>
    <row r="275" spans="1:55">
      <c r="A275" s="66">
        <f t="shared" ref="A275:B278" si="139">A235</f>
        <v>33</v>
      </c>
      <c r="B275" s="66" t="str">
        <f t="shared" si="139"/>
        <v/>
      </c>
      <c r="C275" s="66" t="str">
        <f t="shared" si="104"/>
        <v/>
      </c>
      <c r="D275" s="66" t="str">
        <f t="shared" si="105"/>
        <v/>
      </c>
      <c r="E275" s="66" t="str">
        <f t="shared" si="106"/>
        <v/>
      </c>
      <c r="F275" s="66" t="str">
        <f t="shared" si="107"/>
        <v/>
      </c>
      <c r="G275" s="66" t="str">
        <f t="shared" si="108"/>
        <v/>
      </c>
      <c r="H275" s="66" t="str">
        <f t="shared" si="109"/>
        <v/>
      </c>
      <c r="I275" s="66" t="str">
        <f t="shared" si="110"/>
        <v/>
      </c>
      <c r="J275" s="66" t="str">
        <f t="shared" si="111"/>
        <v/>
      </c>
      <c r="K275" s="66" t="str">
        <f t="shared" si="112"/>
        <v/>
      </c>
      <c r="L275" s="66" t="str">
        <f t="shared" si="113"/>
        <v/>
      </c>
      <c r="M275" s="66" t="str">
        <f t="shared" si="114"/>
        <v/>
      </c>
      <c r="N275" s="66" t="str">
        <f t="shared" si="115"/>
        <v/>
      </c>
      <c r="O275" s="66" t="str">
        <f t="shared" si="116"/>
        <v/>
      </c>
      <c r="P275" s="66" t="str">
        <f t="shared" si="117"/>
        <v/>
      </c>
      <c r="Q275" s="66" t="str">
        <f t="shared" si="118"/>
        <v/>
      </c>
      <c r="R275" s="66" t="str">
        <f t="shared" si="119"/>
        <v/>
      </c>
      <c r="S275" s="66" t="str">
        <f t="shared" si="120"/>
        <v/>
      </c>
      <c r="T275" s="66" t="str">
        <f t="shared" si="121"/>
        <v/>
      </c>
      <c r="U275" s="66" t="str">
        <f t="shared" si="122"/>
        <v/>
      </c>
      <c r="V275" s="66" t="str">
        <f t="shared" si="123"/>
        <v/>
      </c>
      <c r="W275" s="66" t="str">
        <f t="shared" si="124"/>
        <v/>
      </c>
      <c r="X275" s="66" t="str">
        <f t="shared" si="125"/>
        <v/>
      </c>
      <c r="Y275" s="66" t="str">
        <f t="shared" si="126"/>
        <v/>
      </c>
      <c r="Z275" s="66" t="str">
        <f t="shared" si="127"/>
        <v/>
      </c>
      <c r="AA275" s="66" t="str">
        <f t="shared" si="128"/>
        <v/>
      </c>
      <c r="AB275" s="66" t="str">
        <f t="shared" si="129"/>
        <v/>
      </c>
      <c r="AC275" s="66" t="str">
        <f t="shared" si="130"/>
        <v/>
      </c>
      <c r="AD275" s="66" t="str">
        <f t="shared" si="131"/>
        <v/>
      </c>
      <c r="AE275" s="66" t="str">
        <f t="shared" si="132"/>
        <v/>
      </c>
      <c r="AF275" s="66" t="str">
        <f t="shared" si="133"/>
        <v/>
      </c>
      <c r="AG275" s="66" t="str">
        <f t="shared" si="134"/>
        <v/>
      </c>
      <c r="AH275" s="66" t="str">
        <f t="shared" si="135"/>
        <v/>
      </c>
      <c r="AI275" s="66" t="str">
        <f t="shared" si="136"/>
        <v/>
      </c>
      <c r="AJ275" s="66" t="str">
        <f t="shared" si="137"/>
        <v/>
      </c>
    </row>
    <row r="276" spans="1:55">
      <c r="A276" s="66">
        <f t="shared" si="139"/>
        <v>34</v>
      </c>
      <c r="B276" s="66" t="str">
        <f t="shared" si="139"/>
        <v/>
      </c>
      <c r="C276" s="66" t="str">
        <f t="shared" si="104"/>
        <v/>
      </c>
      <c r="D276" s="66" t="str">
        <f t="shared" si="105"/>
        <v/>
      </c>
      <c r="E276" s="66" t="str">
        <f t="shared" si="106"/>
        <v/>
      </c>
      <c r="F276" s="66" t="str">
        <f t="shared" si="107"/>
        <v/>
      </c>
      <c r="G276" s="66" t="str">
        <f t="shared" si="108"/>
        <v/>
      </c>
      <c r="H276" s="66" t="str">
        <f t="shared" si="109"/>
        <v/>
      </c>
      <c r="I276" s="66" t="str">
        <f t="shared" si="110"/>
        <v/>
      </c>
      <c r="J276" s="66" t="str">
        <f t="shared" si="111"/>
        <v/>
      </c>
      <c r="K276" s="66" t="str">
        <f t="shared" si="112"/>
        <v/>
      </c>
      <c r="L276" s="66" t="str">
        <f t="shared" si="113"/>
        <v/>
      </c>
      <c r="M276" s="66" t="str">
        <f t="shared" si="114"/>
        <v/>
      </c>
      <c r="N276" s="66" t="str">
        <f t="shared" si="115"/>
        <v/>
      </c>
      <c r="O276" s="66" t="str">
        <f t="shared" si="116"/>
        <v/>
      </c>
      <c r="P276" s="66" t="str">
        <f t="shared" si="117"/>
        <v/>
      </c>
      <c r="Q276" s="66" t="str">
        <f t="shared" si="118"/>
        <v/>
      </c>
      <c r="R276" s="66" t="str">
        <f t="shared" si="119"/>
        <v/>
      </c>
      <c r="S276" s="66" t="str">
        <f t="shared" si="120"/>
        <v/>
      </c>
      <c r="T276" s="66" t="str">
        <f t="shared" si="121"/>
        <v/>
      </c>
      <c r="U276" s="66" t="str">
        <f t="shared" si="122"/>
        <v/>
      </c>
      <c r="V276" s="66" t="str">
        <f t="shared" si="123"/>
        <v/>
      </c>
      <c r="W276" s="66" t="str">
        <f t="shared" si="124"/>
        <v/>
      </c>
      <c r="X276" s="66" t="str">
        <f t="shared" si="125"/>
        <v/>
      </c>
      <c r="Y276" s="66" t="str">
        <f t="shared" si="126"/>
        <v/>
      </c>
      <c r="Z276" s="66" t="str">
        <f t="shared" si="127"/>
        <v/>
      </c>
      <c r="AA276" s="66" t="str">
        <f t="shared" si="128"/>
        <v/>
      </c>
      <c r="AB276" s="66" t="str">
        <f t="shared" si="129"/>
        <v/>
      </c>
      <c r="AC276" s="66" t="str">
        <f t="shared" si="130"/>
        <v/>
      </c>
      <c r="AD276" s="66" t="str">
        <f t="shared" si="131"/>
        <v/>
      </c>
      <c r="AE276" s="66" t="str">
        <f t="shared" si="132"/>
        <v/>
      </c>
      <c r="AF276" s="66" t="str">
        <f t="shared" si="133"/>
        <v/>
      </c>
      <c r="AG276" s="66" t="str">
        <f t="shared" si="134"/>
        <v/>
      </c>
      <c r="AH276" s="66" t="str">
        <f t="shared" si="135"/>
        <v/>
      </c>
      <c r="AI276" s="66" t="str">
        <f t="shared" si="136"/>
        <v/>
      </c>
      <c r="AJ276" s="66" t="str">
        <f t="shared" si="137"/>
        <v/>
      </c>
    </row>
    <row r="277" spans="1:55">
      <c r="A277" s="66">
        <f t="shared" si="139"/>
        <v>35</v>
      </c>
      <c r="B277" s="66" t="str">
        <f t="shared" si="139"/>
        <v/>
      </c>
      <c r="C277" s="66" t="str">
        <f t="shared" si="104"/>
        <v/>
      </c>
      <c r="D277" s="66" t="str">
        <f t="shared" si="105"/>
        <v/>
      </c>
      <c r="E277" s="66" t="str">
        <f t="shared" si="106"/>
        <v/>
      </c>
      <c r="F277" s="66" t="str">
        <f t="shared" si="107"/>
        <v/>
      </c>
      <c r="G277" s="66" t="str">
        <f t="shared" si="108"/>
        <v/>
      </c>
      <c r="H277" s="66" t="str">
        <f t="shared" si="109"/>
        <v/>
      </c>
      <c r="I277" s="66" t="str">
        <f t="shared" si="110"/>
        <v/>
      </c>
      <c r="J277" s="66" t="str">
        <f t="shared" si="111"/>
        <v/>
      </c>
      <c r="K277" s="66" t="str">
        <f t="shared" si="112"/>
        <v/>
      </c>
      <c r="L277" s="66" t="str">
        <f t="shared" si="113"/>
        <v/>
      </c>
      <c r="M277" s="66" t="str">
        <f t="shared" si="114"/>
        <v/>
      </c>
      <c r="N277" s="66" t="str">
        <f t="shared" si="115"/>
        <v/>
      </c>
      <c r="O277" s="66" t="str">
        <f t="shared" si="116"/>
        <v/>
      </c>
      <c r="P277" s="66" t="str">
        <f t="shared" si="117"/>
        <v/>
      </c>
      <c r="Q277" s="66" t="str">
        <f t="shared" si="118"/>
        <v/>
      </c>
      <c r="R277" s="66" t="str">
        <f t="shared" si="119"/>
        <v/>
      </c>
      <c r="S277" s="66" t="str">
        <f t="shared" si="120"/>
        <v/>
      </c>
      <c r="T277" s="66" t="str">
        <f t="shared" si="121"/>
        <v/>
      </c>
      <c r="U277" s="66" t="str">
        <f t="shared" si="122"/>
        <v/>
      </c>
      <c r="V277" s="66" t="str">
        <f t="shared" si="123"/>
        <v/>
      </c>
      <c r="W277" s="66" t="str">
        <f t="shared" si="124"/>
        <v/>
      </c>
      <c r="X277" s="66" t="str">
        <f t="shared" si="125"/>
        <v/>
      </c>
      <c r="Y277" s="66" t="str">
        <f t="shared" si="126"/>
        <v/>
      </c>
      <c r="Z277" s="66" t="str">
        <f t="shared" si="127"/>
        <v/>
      </c>
      <c r="AA277" s="66" t="str">
        <f t="shared" si="128"/>
        <v/>
      </c>
      <c r="AB277" s="66" t="str">
        <f t="shared" si="129"/>
        <v/>
      </c>
      <c r="AC277" s="66" t="str">
        <f t="shared" si="130"/>
        <v/>
      </c>
      <c r="AD277" s="66" t="str">
        <f t="shared" si="131"/>
        <v/>
      </c>
      <c r="AE277" s="66" t="str">
        <f t="shared" si="132"/>
        <v/>
      </c>
      <c r="AF277" s="66" t="str">
        <f t="shared" si="133"/>
        <v/>
      </c>
      <c r="AG277" s="66" t="str">
        <f t="shared" si="134"/>
        <v/>
      </c>
      <c r="AH277" s="66" t="str">
        <f t="shared" si="135"/>
        <v/>
      </c>
      <c r="AI277" s="66" t="str">
        <f t="shared" si="136"/>
        <v/>
      </c>
      <c r="AJ277" s="66" t="str">
        <f t="shared" si="137"/>
        <v/>
      </c>
    </row>
    <row r="278" spans="1:55">
      <c r="A278" s="66">
        <f t="shared" si="139"/>
        <v>37</v>
      </c>
      <c r="B278" s="66" t="str">
        <f t="shared" si="139"/>
        <v/>
      </c>
      <c r="C278" s="66" t="str">
        <f t="shared" si="104"/>
        <v/>
      </c>
      <c r="D278" s="66" t="str">
        <f t="shared" si="105"/>
        <v/>
      </c>
      <c r="E278" s="66" t="str">
        <f t="shared" si="106"/>
        <v/>
      </c>
      <c r="F278" s="66" t="str">
        <f t="shared" si="107"/>
        <v/>
      </c>
      <c r="G278" s="66" t="str">
        <f t="shared" si="108"/>
        <v/>
      </c>
      <c r="H278" s="66" t="str">
        <f t="shared" si="109"/>
        <v/>
      </c>
      <c r="I278" s="66" t="str">
        <f t="shared" si="110"/>
        <v/>
      </c>
      <c r="J278" s="66" t="str">
        <f t="shared" si="111"/>
        <v/>
      </c>
      <c r="K278" s="66" t="str">
        <f t="shared" si="112"/>
        <v/>
      </c>
      <c r="L278" s="66" t="str">
        <f t="shared" si="113"/>
        <v/>
      </c>
      <c r="M278" s="66" t="str">
        <f t="shared" si="114"/>
        <v/>
      </c>
      <c r="N278" s="66" t="str">
        <f t="shared" si="115"/>
        <v/>
      </c>
      <c r="O278" s="66" t="str">
        <f t="shared" si="116"/>
        <v/>
      </c>
      <c r="P278" s="66" t="str">
        <f t="shared" si="117"/>
        <v/>
      </c>
      <c r="Q278" s="66" t="str">
        <f t="shared" si="118"/>
        <v/>
      </c>
      <c r="R278" s="66" t="str">
        <f t="shared" si="119"/>
        <v/>
      </c>
      <c r="S278" s="66" t="str">
        <f t="shared" si="120"/>
        <v/>
      </c>
      <c r="T278" s="66" t="str">
        <f t="shared" si="121"/>
        <v/>
      </c>
      <c r="U278" s="66" t="str">
        <f t="shared" si="122"/>
        <v/>
      </c>
      <c r="V278" s="66" t="str">
        <f t="shared" si="123"/>
        <v/>
      </c>
      <c r="W278" s="66" t="str">
        <f t="shared" si="124"/>
        <v/>
      </c>
      <c r="X278" s="66" t="str">
        <f t="shared" si="125"/>
        <v/>
      </c>
      <c r="Y278" s="66" t="str">
        <f t="shared" si="126"/>
        <v/>
      </c>
      <c r="Z278" s="66" t="str">
        <f t="shared" si="127"/>
        <v/>
      </c>
      <c r="AA278" s="66" t="str">
        <f t="shared" si="128"/>
        <v/>
      </c>
      <c r="AB278" s="66" t="str">
        <f t="shared" si="129"/>
        <v/>
      </c>
      <c r="AC278" s="66" t="str">
        <f t="shared" si="130"/>
        <v/>
      </c>
      <c r="AD278" s="66" t="str">
        <f t="shared" si="131"/>
        <v/>
      </c>
      <c r="AE278" s="66" t="str">
        <f t="shared" si="132"/>
        <v/>
      </c>
      <c r="AF278" s="66" t="str">
        <f t="shared" si="133"/>
        <v/>
      </c>
      <c r="AG278" s="66" t="str">
        <f t="shared" si="134"/>
        <v/>
      </c>
      <c r="AH278" s="66" t="str">
        <f t="shared" si="135"/>
        <v/>
      </c>
      <c r="AI278" s="66" t="str">
        <f t="shared" si="136"/>
        <v/>
      </c>
      <c r="AJ278" s="66" t="str">
        <f t="shared" si="137"/>
        <v/>
      </c>
    </row>
    <row r="279" spans="1:55">
      <c r="A279" s="66"/>
      <c r="B279" s="66"/>
      <c r="C279" s="66" t="str">
        <f>IFERROR(  LEFT(  CONCATENATE(C243,C244,C245,C246,C247,C248,C249,C250,C251,C252,C253,C254,C255,C256,C257,C258,C259,C260,C261,C262,C263,C264,C265,C266,C267,C268,C269,C270,C271,C272,C273,C274,C275,C276,C277,C278),LEN(  CONCATENATE(C243,C244,C245,C246,C247,C248,C249,C250,C251,C252,C253,C254,C255,C256,C257,C258,C259,C260,C261,C262,C263,C264,C265,C266,C267,C268,C269,C270,C271,C272,C273,C274,C275,C276,C277,C278)  )-1),"")</f>
        <v>23.24</v>
      </c>
      <c r="D279" s="66" t="str">
        <f t="shared" ref="D279:AJ279" si="140">IFERROR(  LEFT(  CONCATENATE(D243,D244,D245,D246,D247,D248,D249,D250,D251,D252,D253,D254,D255,D256,D257,D258,D259,D260,D261,D262,D263,D264,D265,D266,D267,D268,D269,D270,D271,D272,D273,D274,D275,D276,D277,D278),LEN(  CONCATENATE(D243,D244,D245,D246,D247,D248,D249,D250,D251,D252,D253,D254,D255,D256,D257,D258,D259,D260,D261,D262,D263,D264,D265,D266,D267,D268,D269,D270,D271,D272,D273,D274,D275,D276,D277,D278)  )-1),"")</f>
        <v>20.21.23.24.25</v>
      </c>
      <c r="E279" s="66" t="str">
        <f t="shared" si="140"/>
        <v>21.22.23.25.28</v>
      </c>
      <c r="F279" s="66" t="str">
        <f t="shared" si="140"/>
        <v>31</v>
      </c>
      <c r="G279" s="66" t="str">
        <f t="shared" si="140"/>
        <v>31</v>
      </c>
      <c r="H279" s="66" t="str">
        <f t="shared" si="140"/>
        <v/>
      </c>
      <c r="I279" s="66" t="str">
        <f t="shared" si="140"/>
        <v/>
      </c>
      <c r="J279" s="66" t="str">
        <f t="shared" si="140"/>
        <v>23.27.30</v>
      </c>
      <c r="K279" s="66" t="str">
        <f t="shared" si="140"/>
        <v>20.21.23.25.27.30</v>
      </c>
      <c r="L279" s="66" t="str">
        <f t="shared" si="140"/>
        <v>20.21.25.28.30</v>
      </c>
      <c r="M279" s="66" t="str">
        <f t="shared" si="140"/>
        <v>26.28.30</v>
      </c>
      <c r="N279" s="66" t="str">
        <f t="shared" si="140"/>
        <v>26.29.31</v>
      </c>
      <c r="O279" s="66" t="str">
        <f t="shared" si="140"/>
        <v>24.29</v>
      </c>
      <c r="P279" s="66" t="str">
        <f t="shared" si="140"/>
        <v>24</v>
      </c>
      <c r="Q279" s="66" t="str">
        <f t="shared" si="140"/>
        <v/>
      </c>
      <c r="R279" s="66" t="str">
        <f t="shared" si="140"/>
        <v>20.21.23.27</v>
      </c>
      <c r="S279" s="66" t="str">
        <f t="shared" si="140"/>
        <v>22.26.31</v>
      </c>
      <c r="T279" s="66" t="str">
        <f t="shared" si="140"/>
        <v>26.28.30</v>
      </c>
      <c r="U279" s="66" t="str">
        <f t="shared" si="140"/>
        <v>26</v>
      </c>
      <c r="V279" s="66" t="str">
        <f t="shared" si="140"/>
        <v/>
      </c>
      <c r="W279" s="66" t="str">
        <f t="shared" si="140"/>
        <v/>
      </c>
      <c r="X279" s="66" t="str">
        <f t="shared" si="140"/>
        <v>24</v>
      </c>
      <c r="Y279" s="66" t="str">
        <f t="shared" si="140"/>
        <v>21.22.25.27.28.31</v>
      </c>
      <c r="Z279" s="66" t="str">
        <f t="shared" si="140"/>
        <v>22.25.28.30.31</v>
      </c>
      <c r="AA279" s="66" t="str">
        <f t="shared" si="140"/>
        <v>30</v>
      </c>
      <c r="AB279" s="66" t="str">
        <f t="shared" si="140"/>
        <v>26</v>
      </c>
      <c r="AC279" s="66" t="str">
        <f t="shared" si="140"/>
        <v>26</v>
      </c>
      <c r="AD279" s="66" t="str">
        <f t="shared" si="140"/>
        <v>26</v>
      </c>
      <c r="AE279" s="66" t="str">
        <f t="shared" si="140"/>
        <v>22</v>
      </c>
      <c r="AF279" s="66" t="str">
        <f t="shared" si="140"/>
        <v>20.21.24.25.27.31</v>
      </c>
      <c r="AG279" s="66" t="str">
        <f t="shared" si="140"/>
        <v/>
      </c>
      <c r="AH279" s="66" t="str">
        <f t="shared" si="140"/>
        <v/>
      </c>
      <c r="AI279" s="66" t="str">
        <f t="shared" si="140"/>
        <v/>
      </c>
      <c r="AJ279" s="66" t="str">
        <f t="shared" si="140"/>
        <v/>
      </c>
    </row>
    <row r="280" spans="1:55" s="289" customFormat="1">
      <c r="AP280" s="303"/>
      <c r="AU280" s="303"/>
      <c r="AV280" s="303"/>
      <c r="AY280" s="303"/>
      <c r="AZ280" s="303"/>
      <c r="BA280" s="303"/>
      <c r="BB280" s="303"/>
      <c r="BC280" s="303"/>
    </row>
    <row r="281" spans="1:55">
      <c r="A281" s="289" t="s">
        <v>272</v>
      </c>
    </row>
    <row r="282" spans="1:55">
      <c r="A282" s="66" t="str">
        <f>A242</f>
        <v>番號</v>
      </c>
      <c r="B282" s="66" t="str">
        <f t="shared" ref="B282:AJ282" si="141">B242</f>
        <v xml:space="preserve"> 姓名</v>
      </c>
      <c r="C282" s="66">
        <f t="shared" si="141"/>
        <v>1</v>
      </c>
      <c r="D282" s="66">
        <f t="shared" si="141"/>
        <v>2</v>
      </c>
      <c r="E282" s="66">
        <f t="shared" si="141"/>
        <v>3</v>
      </c>
      <c r="F282" s="66">
        <f t="shared" si="141"/>
        <v>4</v>
      </c>
      <c r="G282" s="66">
        <f t="shared" si="141"/>
        <v>5</v>
      </c>
      <c r="H282" s="66">
        <f t="shared" si="141"/>
        <v>6</v>
      </c>
      <c r="I282" s="66">
        <f t="shared" si="141"/>
        <v>7</v>
      </c>
      <c r="J282" s="66">
        <f t="shared" si="141"/>
        <v>8</v>
      </c>
      <c r="K282" s="66">
        <f t="shared" si="141"/>
        <v>9</v>
      </c>
      <c r="L282" s="66">
        <f t="shared" si="141"/>
        <v>10</v>
      </c>
      <c r="M282" s="66">
        <f t="shared" si="141"/>
        <v>11</v>
      </c>
      <c r="N282" s="66">
        <f t="shared" si="141"/>
        <v>12</v>
      </c>
      <c r="O282" s="66">
        <f t="shared" si="141"/>
        <v>13</v>
      </c>
      <c r="P282" s="66">
        <f t="shared" si="141"/>
        <v>14</v>
      </c>
      <c r="Q282" s="66">
        <f t="shared" si="141"/>
        <v>15</v>
      </c>
      <c r="R282" s="66">
        <f t="shared" si="141"/>
        <v>16</v>
      </c>
      <c r="S282" s="66">
        <f t="shared" si="141"/>
        <v>17</v>
      </c>
      <c r="T282" s="66">
        <f t="shared" si="141"/>
        <v>18</v>
      </c>
      <c r="U282" s="66">
        <f t="shared" si="141"/>
        <v>19</v>
      </c>
      <c r="V282" s="66">
        <f t="shared" si="141"/>
        <v>20</v>
      </c>
      <c r="W282" s="66">
        <f t="shared" si="141"/>
        <v>21</v>
      </c>
      <c r="X282" s="66">
        <f t="shared" si="141"/>
        <v>22</v>
      </c>
      <c r="Y282" s="66">
        <f t="shared" si="141"/>
        <v>23</v>
      </c>
      <c r="Z282" s="66">
        <f t="shared" si="141"/>
        <v>24</v>
      </c>
      <c r="AA282" s="66">
        <f t="shared" si="141"/>
        <v>25</v>
      </c>
      <c r="AB282" s="66">
        <f t="shared" si="141"/>
        <v>26</v>
      </c>
      <c r="AC282" s="66">
        <f t="shared" si="141"/>
        <v>27</v>
      </c>
      <c r="AD282" s="66">
        <f t="shared" si="141"/>
        <v>28</v>
      </c>
      <c r="AE282" s="66">
        <f t="shared" si="141"/>
        <v>29</v>
      </c>
      <c r="AF282" s="66">
        <f t="shared" si="141"/>
        <v>30</v>
      </c>
      <c r="AG282" s="66">
        <f t="shared" si="141"/>
        <v>31</v>
      </c>
      <c r="AH282" s="66">
        <f t="shared" si="141"/>
        <v>32</v>
      </c>
      <c r="AI282" s="66">
        <f t="shared" si="141"/>
        <v>33</v>
      </c>
      <c r="AJ282" s="66">
        <f t="shared" si="141"/>
        <v>34</v>
      </c>
    </row>
    <row r="283" spans="1:55">
      <c r="A283" s="66">
        <f t="shared" ref="A283:B298" si="142">A243</f>
        <v>1</v>
      </c>
      <c r="B283" s="66" t="str">
        <f t="shared" si="142"/>
        <v>葉家豪</v>
      </c>
      <c r="C283" s="66" t="str">
        <f t="shared" ref="C283:AG283" si="143">IF(    AND( C2="補",  LEN(C282)&gt;=2 ),        "" &amp; $A283,    IF(         AND( C2="補" ),       $A283,        IF(  OR(  LEN(C282)&gt;=2  ),  CONCATENATE(  "",  IF(  AND(  LEN(  INDEX(   $A$1:$AJ$39, MATCH($A283,$A$1:$A$39,0),MATCH(  C$282,$A$1:$AP$1,0  )  )  )&gt;LEN(  SUBSTITUTE(  INDEX(   $A$1:$AJ$39, MATCH($A283,$A$1:$A$39,0),MATCH(  C$282,$A$1:$AP$1,0  )  ),"補","")  ),  LEN(  INDEX(   $A$1:$AJ$39, MATCH($A283,$A$1:$A$39,0),MATCH(  C$282,$A$1:$AP$1,0  )  )  )&gt;LEN(  SUBSTITUTE(  INDEX(   $A$1:$AJ$39, MATCH($A283,$A$1:$A$39,0),MATCH(  C$282,$A$1:$AP$1,0  )  ),"-","")  )  ),  CONCATENATE(  $A283,"(",   SUBSTITUTE(   SUBSTITUTE(  SUBSTITUTE(  INDEX(   $A$1:$AG$39, MATCH($A283,$A$1:$A$39,0),MATCH(  C$282,$A$282:$AP$282,0  )  ),"補",""),"x","")," ",""),"時",")"),  ""  )  ),  IF(  AND(  LEN(  INDEX(   $A$1:$AJ$39, MATCH($A283,$A$1:$A$39,0),MATCH(  C$282,$A$1:$AP$1,0  )  )  )&gt;LEN(  SUBSTITUTE(  INDEX(   $A$1:$AJ$39, MATCH($A283,$A$1:$A$39,0),MATCH(  C$282,$A$1:$AP$1,0  )  ),"補","")  ),  LEN(  INDEX(   $A$1:$AJ$39, MATCH($A283,$A$1:$A$39,0),MATCH(  C$282,$A$1:$AP$1,0  )  )  )&gt;LEN(  SUBSTITUTE(  INDEX(   $A$1:$AJ$39, MATCH($A283,$A$1:$A$39,0),MATCH(  C$282,$A$1:$AP$1,0  )  ),"-","")  )  ),  CONCATENATE(  $A283,"(",   SUBSTITUTE(   SUBSTITUTE(  SUBSTITUTE(  INDEX(   $A$1:$AJ$39, MATCH($A283,$A$1:$A$39,0),MATCH(  C$282,$A$282:$AP$282,0  )  ),"補",""),"x","")," ",""),"時",")"),  ""  )  )           ))</f>
        <v/>
      </c>
      <c r="D283" s="66" t="str">
        <f t="shared" si="143"/>
        <v/>
      </c>
      <c r="E283" s="66" t="str">
        <f t="shared" si="143"/>
        <v/>
      </c>
      <c r="F283" s="66" t="str">
        <f t="shared" si="143"/>
        <v/>
      </c>
      <c r="G283" s="66" t="str">
        <f t="shared" si="143"/>
        <v/>
      </c>
      <c r="H283" s="66" t="str">
        <f t="shared" si="143"/>
        <v/>
      </c>
      <c r="I283" s="66" t="str">
        <f t="shared" si="143"/>
        <v/>
      </c>
      <c r="J283" s="66" t="str">
        <f t="shared" si="143"/>
        <v/>
      </c>
      <c r="K283" s="66" t="str">
        <f t="shared" si="143"/>
        <v/>
      </c>
      <c r="L283" s="66" t="str">
        <f t="shared" si="143"/>
        <v/>
      </c>
      <c r="M283" s="66" t="str">
        <f t="shared" si="143"/>
        <v/>
      </c>
      <c r="N283" s="66" t="str">
        <f t="shared" si="143"/>
        <v/>
      </c>
      <c r="O283" s="66" t="str">
        <f t="shared" si="143"/>
        <v/>
      </c>
      <c r="P283" s="66" t="str">
        <f t="shared" si="143"/>
        <v/>
      </c>
      <c r="Q283" s="66" t="str">
        <f t="shared" si="143"/>
        <v/>
      </c>
      <c r="R283" s="66" t="str">
        <f t="shared" si="143"/>
        <v/>
      </c>
      <c r="S283" s="66" t="str">
        <f t="shared" si="143"/>
        <v/>
      </c>
      <c r="T283" s="66" t="str">
        <f t="shared" si="143"/>
        <v/>
      </c>
      <c r="U283" s="66" t="str">
        <f t="shared" si="143"/>
        <v/>
      </c>
      <c r="V283" s="66" t="str">
        <f t="shared" si="143"/>
        <v/>
      </c>
      <c r="W283" s="66" t="str">
        <f t="shared" si="143"/>
        <v/>
      </c>
      <c r="X283" s="66" t="str">
        <f t="shared" si="143"/>
        <v/>
      </c>
      <c r="Y283" s="66" t="str">
        <f t="shared" si="143"/>
        <v/>
      </c>
      <c r="Z283" s="66" t="str">
        <f t="shared" si="143"/>
        <v/>
      </c>
      <c r="AA283" s="66" t="str">
        <f t="shared" si="143"/>
        <v/>
      </c>
      <c r="AB283" s="66" t="str">
        <f t="shared" si="143"/>
        <v/>
      </c>
      <c r="AC283" s="66" t="str">
        <f t="shared" si="143"/>
        <v/>
      </c>
      <c r="AD283" s="66" t="str">
        <f t="shared" si="143"/>
        <v/>
      </c>
      <c r="AE283" s="66" t="str">
        <f t="shared" si="143"/>
        <v/>
      </c>
      <c r="AF283" s="66" t="str">
        <f t="shared" si="143"/>
        <v/>
      </c>
      <c r="AG283" s="66" t="str">
        <f t="shared" si="143"/>
        <v/>
      </c>
      <c r="AH283" s="66" t="str">
        <f>IF(    AND( AH2="補",  LEN(AH282)&gt;=2 ),        "" &amp; $A283,    IF(         AND( AH2="補" ),       $A283,        IF(  OR(  LEN(AH282)&gt;=2  ),  CONCATENATE(  "",  IF(  AND(  LEN(  INDEX(   $A$1:$AJ$39, MATCH($A283,$A$1:$A$39,0),MATCH(  AH$282,$A$1:$AP$1,0  )  )  )&gt;LEN(  SUBSTITUTE(  INDEX(   $A$1:$AJ$39, MATCH($A283,$A$1:$A$39,0),MATCH(  AH$282,$A$1:$AP$1,0  )  ),"補","")  ),  LEN(  INDEX(   $A$1:$AJ$39, MATCH($A283,$A$1:$A$39,0),MATCH(  AH$282,$A$1:$AP$1,0  )  )  )&gt;LEN(  SUBSTITUTE(  INDEX(   $A$1:$AJ$39, MATCH($A283,$A$1:$A$39,0),MATCH(  AH$282,$A$1:$AP$1,0  )  ),"-","")  )  ),  CONCATENATE(  $A283,"(",   SUBSTITUTE(   SUBSTITUTE(  SUBSTITUTE(  INDEX(   $A$1:$AG$39, MATCH($A283,$A$1:$A$39,0),MATCH(  AH$282,$A$282:$AP$282,0  )  ),"補",""),"x","")," ",""),"時",")"),  ""  )  ),  IF(  AND(  LEN(  INDEX(   $A$1:$AJ$39, MATCH($A283,$A$1:$A$39,0),MATCH(  AH$282,$A$1:$AP$1,0  )  )  )&gt;LEN(  SUBSTITUTE(  INDEX(   $A$1:$AJ$39, MATCH($A283,$A$1:$A$39,0),MATCH(  AH$282,$A$1:$AP$1,0  )  ),"補","")  ),  LEN(  INDEX(   $A$1:$AJ$39, MATCH($A283,$A$1:$A$39,0),MATCH(  AH$282,$A$1:$AP$1,0  )  )  )&gt;LEN(  SUBSTITUTE(  INDEX(   $A$1:$AJ$39, MATCH($A283,$A$1:$A$39,0),MATCH(  AH$282,$A$1:$AP$1,0  )  ),"-","")  )  ),  CONCATENATE(  $A283,"(",   SUBSTITUTE(   SUBSTITUTE(  SUBSTITUTE(  INDEX(   $A$1:$AJ$39, MATCH($A283,$A$1:$A$39,0),MATCH(  AH$282,$A$282:$AP$282,0  )  ),"補",""),"x","")," ",""),"時",")"),  ""  )  )           ))</f>
        <v/>
      </c>
      <c r="AI283" s="66" t="str">
        <f t="shared" ref="AI283:AJ283" si="144">IF(    AND( AI2="補",  LEN(AI282)&gt;=2 ),        "" &amp; $A283,    IF(         AND( AI2="補" ),       $A283,        IF(  OR(  LEN(AI282)&gt;=2  ),  CONCATENATE(  "",  IF(  AND(  LEN(  INDEX(   $A$1:$AJ$39, MATCH($A283,$A$1:$A$39,0),MATCH(  AI$282,$A$1:$AP$1,0  )  )  )&gt;LEN(  SUBSTITUTE(  INDEX(   $A$1:$AJ$39, MATCH($A283,$A$1:$A$39,0),MATCH(  AI$282,$A$1:$AP$1,0  )  ),"補","")  ),  LEN(  INDEX(   $A$1:$AJ$39, MATCH($A283,$A$1:$A$39,0),MATCH(  AI$282,$A$1:$AP$1,0  )  )  )&gt;LEN(  SUBSTITUTE(  INDEX(   $A$1:$AJ$39, MATCH($A283,$A$1:$A$39,0),MATCH(  AI$282,$A$1:$AP$1,0  )  ),"-","")  )  ),  CONCATENATE(  $A283,"(",   SUBSTITUTE(   SUBSTITUTE(  SUBSTITUTE(  INDEX(   $A$1:$AG$39, MATCH($A283,$A$1:$A$39,0),MATCH(  AI$282,$A$282:$AP$282,0  )  ),"補",""),"x","")," ",""),"時",")"),  ""  )  ),  IF(  AND(  LEN(  INDEX(   $A$1:$AJ$39, MATCH($A283,$A$1:$A$39,0),MATCH(  AI$282,$A$1:$AP$1,0  )  )  )&gt;LEN(  SUBSTITUTE(  INDEX(   $A$1:$AJ$39, MATCH($A283,$A$1:$A$39,0),MATCH(  AI$282,$A$1:$AP$1,0  )  ),"補","")  ),  LEN(  INDEX(   $A$1:$AJ$39, MATCH($A283,$A$1:$A$39,0),MATCH(  AI$282,$A$1:$AP$1,0  )  )  )&gt;LEN(  SUBSTITUTE(  INDEX(   $A$1:$AJ$39, MATCH($A283,$A$1:$A$39,0),MATCH(  AI$282,$A$1:$AP$1,0  )  ),"-","")  )  ),  CONCATENATE(  $A283,"(",   SUBSTITUTE(   SUBSTITUTE(  SUBSTITUTE(  INDEX(   $A$1:$AJ$39, MATCH($A283,$A$1:$A$39,0),MATCH(  AI$282,$A$282:$AP$282,0  )  ),"補",""),"x","")," ",""),"時",")"),  ""  )  )           ))</f>
        <v/>
      </c>
      <c r="AJ283" s="66" t="str">
        <f t="shared" si="144"/>
        <v/>
      </c>
    </row>
    <row r="284" spans="1:55">
      <c r="A284" s="66">
        <f t="shared" si="142"/>
        <v>2</v>
      </c>
      <c r="B284" s="66" t="str">
        <f t="shared" si="142"/>
        <v>鄭智謙</v>
      </c>
      <c r="C284" s="66" t="str">
        <f t="shared" ref="C284:C317" si="145">IF(    AND( C3="補",  LEN(C283)&gt;=2 ),        "." &amp; $A284,    IF(         AND( C3="補" ),       $A284,        IF(  OR(  LEN(C283)&gt;=2  ),  CONCATENATE(  "",  IF(  AND(  LEN(  INDEX(   $A$1:$AJ$39, MATCH($A284,$A$1:$A$39,0),MATCH(  C$282,$A$1:$AP$1,0  )  )  )&gt;LEN(  SUBSTITUTE(  INDEX(   $A$1:$AJ$39, MATCH($A284,$A$1:$A$39,0),MATCH(  C$282,$A$1:$AP$1,0  )  ),"補","")  ),  LEN(  INDEX(   $A$1:$AJ$39, MATCH($A284,$A$1:$A$39,0),MATCH(  C$282,$A$1:$AP$1,0  )  )  )&gt;LEN(  SUBSTITUTE(  INDEX(   $A$1:$AJ$39, MATCH($A284,$A$1:$A$39,0),MATCH(  C$282,$A$1:$AP$1,0  )  ),"-","")  )  ),  CONCATENATE(  $A284,"(",   SUBSTITUTE(   SUBSTITUTE(  SUBSTITUTE(  INDEX(   $A$1:$AG$39, MATCH($A284,$A$1:$A$39,0),MATCH(  C$282,$A$282:$AP$282,0  )  ),"補",""),"x","")," ",""),"時",")"),  ""  )  ),  IF(  AND(  LEN(  INDEX(   $A$1:$AJ$39, MATCH($A284,$A$1:$A$39,0),MATCH(  C$282,$A$1:$AP$1,0  )  )  )&gt;LEN(  SUBSTITUTE(  INDEX(   $A$1:$AJ$39, MATCH($A284,$A$1:$A$39,0),MATCH(  C$282,$A$1:$AP$1,0  )  ),"補","")  ),  LEN(  INDEX(   $A$1:$AJ$39, MATCH($A284,$A$1:$A$39,0),MATCH(  C$282,$A$1:$AP$1,0  )  )  )&gt;LEN(  SUBSTITUTE(  INDEX(   $A$1:$AJ$39, MATCH($A284,$A$1:$A$39,0),MATCH(  C$282,$A$1:$AP$1,0  )  ),"-","")  )  ),  CONCATENATE(  $A284,"(",   SUBSTITUTE(   SUBSTITUTE(  SUBSTITUTE(  INDEX(   $A$1:$AJ$39, MATCH($A284,$A$1:$A$39,0),MATCH(  C$282,$A$282:$AP$282,0  )  ),"補",""),"x","")," ",""),"時",")"),  ""  )  )           ))</f>
        <v/>
      </c>
      <c r="D284" s="66" t="str">
        <f t="shared" ref="D284:AJ284" si="146">IF(    AND( D3="補",  LEN(D283)&gt;=2 ),        "." &amp; $A284,    IF(         AND( D3="補" ),       $A284,        IF(  OR(  LEN(D283)&gt;=2  ),  CONCATENATE(  "",  IF(  AND(  LEN(  INDEX(   $A$1:$AJ$39, MATCH($A284,$A$1:$A$39,0),MATCH(  D$282,$A$1:$AP$1,0  )  )  )&gt;LEN(  SUBSTITUTE(  INDEX(   $A$1:$AJ$39, MATCH($A284,$A$1:$A$39,0),MATCH(  D$282,$A$1:$AP$1,0  )  ),"補","")  ),  LEN(  INDEX(   $A$1:$AJ$39, MATCH($A284,$A$1:$A$39,0),MATCH(  D$282,$A$1:$AP$1,0  )  )  )&gt;LEN(  SUBSTITUTE(  INDEX(   $A$1:$AJ$39, MATCH($A284,$A$1:$A$39,0),MATCH(  D$282,$A$1:$AP$1,0  )  ),"-","")  )  ),  CONCATENATE(  $A284,"(",   SUBSTITUTE(   SUBSTITUTE(  SUBSTITUTE(  INDEX(   $A$1:$AG$39, MATCH($A284,$A$1:$A$39,0),MATCH(  D$282,$A$282:$AP$282,0  )  ),"補",""),"x","")," ",""),"時",")"),  ""  )  ),  IF(  AND(  LEN(  INDEX(   $A$1:$AJ$39, MATCH($A284,$A$1:$A$39,0),MATCH(  D$282,$A$1:$AP$1,0  )  )  )&gt;LEN(  SUBSTITUTE(  INDEX(   $A$1:$AJ$39, MATCH($A284,$A$1:$A$39,0),MATCH(  D$282,$A$1:$AP$1,0  )  ),"補","")  ),  LEN(  INDEX(   $A$1:$AJ$39, MATCH($A284,$A$1:$A$39,0),MATCH(  D$282,$A$1:$AP$1,0  )  )  )&gt;LEN(  SUBSTITUTE(  INDEX(   $A$1:$AJ$39, MATCH($A284,$A$1:$A$39,0),MATCH(  D$282,$A$1:$AP$1,0  )  ),"-","")  )  ),  CONCATENATE(  $A284,"(",   SUBSTITUTE(   SUBSTITUTE(  SUBSTITUTE(  INDEX(   $A$1:$AJ$39, MATCH($A284,$A$1:$A$39,0),MATCH(  D$282,$A$282:$AP$282,0  )  ),"補",""),"x","")," ",""),"時",")"),  ""  )  )           ))</f>
        <v/>
      </c>
      <c r="E284" s="66" t="str">
        <f t="shared" si="146"/>
        <v/>
      </c>
      <c r="F284" s="66" t="str">
        <f t="shared" si="146"/>
        <v/>
      </c>
      <c r="G284" s="66" t="str">
        <f t="shared" si="146"/>
        <v/>
      </c>
      <c r="H284" s="66" t="str">
        <f t="shared" si="146"/>
        <v/>
      </c>
      <c r="I284" s="66" t="str">
        <f t="shared" si="146"/>
        <v/>
      </c>
      <c r="J284" s="66" t="str">
        <f t="shared" si="146"/>
        <v/>
      </c>
      <c r="K284" s="66" t="str">
        <f t="shared" si="146"/>
        <v/>
      </c>
      <c r="L284" s="66" t="str">
        <f t="shared" si="146"/>
        <v/>
      </c>
      <c r="M284" s="66" t="str">
        <f t="shared" si="146"/>
        <v/>
      </c>
      <c r="N284" s="66" t="str">
        <f t="shared" si="146"/>
        <v/>
      </c>
      <c r="O284" s="66" t="str">
        <f t="shared" si="146"/>
        <v/>
      </c>
      <c r="P284" s="66" t="str">
        <f t="shared" si="146"/>
        <v/>
      </c>
      <c r="Q284" s="66" t="str">
        <f t="shared" si="146"/>
        <v/>
      </c>
      <c r="R284" s="66" t="str">
        <f t="shared" si="146"/>
        <v/>
      </c>
      <c r="S284" s="66" t="str">
        <f t="shared" si="146"/>
        <v/>
      </c>
      <c r="T284" s="66" t="str">
        <f t="shared" si="146"/>
        <v/>
      </c>
      <c r="U284" s="66" t="str">
        <f t="shared" si="146"/>
        <v/>
      </c>
      <c r="V284" s="66" t="str">
        <f t="shared" si="146"/>
        <v/>
      </c>
      <c r="W284" s="66" t="str">
        <f t="shared" si="146"/>
        <v/>
      </c>
      <c r="X284" s="66" t="str">
        <f t="shared" si="146"/>
        <v/>
      </c>
      <c r="Y284" s="66" t="str">
        <f t="shared" si="146"/>
        <v/>
      </c>
      <c r="Z284" s="66" t="str">
        <f t="shared" si="146"/>
        <v/>
      </c>
      <c r="AA284" s="66" t="str">
        <f t="shared" si="146"/>
        <v/>
      </c>
      <c r="AB284" s="66" t="str">
        <f t="shared" si="146"/>
        <v/>
      </c>
      <c r="AC284" s="66" t="str">
        <f t="shared" si="146"/>
        <v/>
      </c>
      <c r="AD284" s="66" t="str">
        <f t="shared" si="146"/>
        <v/>
      </c>
      <c r="AE284" s="66" t="str">
        <f t="shared" si="146"/>
        <v/>
      </c>
      <c r="AF284" s="66" t="str">
        <f t="shared" si="146"/>
        <v/>
      </c>
      <c r="AG284" s="66" t="str">
        <f t="shared" si="146"/>
        <v/>
      </c>
      <c r="AH284" s="66" t="str">
        <f t="shared" si="146"/>
        <v/>
      </c>
      <c r="AI284" s="66" t="str">
        <f t="shared" si="146"/>
        <v/>
      </c>
      <c r="AJ284" s="66" t="str">
        <f t="shared" si="146"/>
        <v/>
      </c>
    </row>
    <row r="285" spans="1:55">
      <c r="A285" s="66">
        <f t="shared" si="142"/>
        <v>3</v>
      </c>
      <c r="B285" s="66" t="str">
        <f t="shared" si="142"/>
        <v>王敍安</v>
      </c>
      <c r="C285" s="66" t="str">
        <f t="shared" si="145"/>
        <v/>
      </c>
      <c r="D285" s="66" t="str">
        <f t="shared" ref="D285:D317" si="147">IF(    AND( D4="補",  LEN(D284)&gt;=2 ),        "." &amp; $A285,    IF(         AND( D4="補" ),       $A285,        IF(  OR(  LEN(D284)&gt;=2  ),  CONCATENATE(  "",  IF(  AND(  LEN(  INDEX(   $A$1:$AJ$39, MATCH($A285,$A$1:$A$39,0),MATCH(  D$282,$A$1:$AP$1,0  )  )  )&gt;LEN(  SUBSTITUTE(  INDEX(   $A$1:$AJ$39, MATCH($A285,$A$1:$A$39,0),MATCH(  D$282,$A$1:$AP$1,0  )  ),"補","")  ),  LEN(  INDEX(   $A$1:$AJ$39, MATCH($A285,$A$1:$A$39,0),MATCH(  D$282,$A$1:$AP$1,0  )  )  )&gt;LEN(  SUBSTITUTE(  INDEX(   $A$1:$AJ$39, MATCH($A285,$A$1:$A$39,0),MATCH(  D$282,$A$1:$AP$1,0  )  ),"-","")  )  ),  CONCATENATE(  $A285,"(",   SUBSTITUTE(   SUBSTITUTE(  SUBSTITUTE(  INDEX(   $A$1:$AG$39, MATCH($A285,$A$1:$A$39,0),MATCH(  D$282,$A$282:$AP$282,0  )  ),"補",""),"x","")," ",""),"時",")"),  ""  )  ),  IF(  AND(  LEN(  INDEX(   $A$1:$AJ$39, MATCH($A285,$A$1:$A$39,0),MATCH(  D$282,$A$1:$AP$1,0  )  )  )&gt;LEN(  SUBSTITUTE(  INDEX(   $A$1:$AJ$39, MATCH($A285,$A$1:$A$39,0),MATCH(  D$282,$A$1:$AP$1,0  )  ),"補","")  ),  LEN(  INDEX(   $A$1:$AJ$39, MATCH($A285,$A$1:$A$39,0),MATCH(  D$282,$A$1:$AP$1,0  )  )  )&gt;LEN(  SUBSTITUTE(  INDEX(   $A$1:$AJ$39, MATCH($A285,$A$1:$A$39,0),MATCH(  D$282,$A$1:$AP$1,0  )  ),"-","")  )  ),  CONCATENATE(  $A285,"(",   SUBSTITUTE(   SUBSTITUTE(  SUBSTITUTE(  INDEX(   $A$1:$AJ$39, MATCH($A285,$A$1:$A$39,0),MATCH(  D$282,$A$282:$AP$282,0  )  ),"補",""),"x","")," ",""),"時",")"),  ""  )  )           ))</f>
        <v/>
      </c>
      <c r="E285" s="66" t="str">
        <f t="shared" ref="E285:E317" si="148">IF(    AND( E4="補",  LEN(E284)&gt;=2 ),        "." &amp; $A285,    IF(         AND( E4="補" ),       $A285,        IF(  OR(  LEN(E284)&gt;=2  ),  CONCATENATE(  "",  IF(  AND(  LEN(  INDEX(   $A$1:$AJ$39, MATCH($A285,$A$1:$A$39,0),MATCH(  E$282,$A$1:$AP$1,0  )  )  )&gt;LEN(  SUBSTITUTE(  INDEX(   $A$1:$AJ$39, MATCH($A285,$A$1:$A$39,0),MATCH(  E$282,$A$1:$AP$1,0  )  ),"補","")  ),  LEN(  INDEX(   $A$1:$AJ$39, MATCH($A285,$A$1:$A$39,0),MATCH(  E$282,$A$1:$AP$1,0  )  )  )&gt;LEN(  SUBSTITUTE(  INDEX(   $A$1:$AJ$39, MATCH($A285,$A$1:$A$39,0),MATCH(  E$282,$A$1:$AP$1,0  )  ),"-","")  )  ),  CONCATENATE(  $A285,"(",   SUBSTITUTE(   SUBSTITUTE(  SUBSTITUTE(  INDEX(   $A$1:$AG$39, MATCH($A285,$A$1:$A$39,0),MATCH(  E$282,$A$282:$AP$282,0  )  ),"補",""),"x","")," ",""),"時",")"),  ""  )  ),  IF(  AND(  LEN(  INDEX(   $A$1:$AJ$39, MATCH($A285,$A$1:$A$39,0),MATCH(  E$282,$A$1:$AP$1,0  )  )  )&gt;LEN(  SUBSTITUTE(  INDEX(   $A$1:$AJ$39, MATCH($A285,$A$1:$A$39,0),MATCH(  E$282,$A$1:$AP$1,0  )  ),"補","")  ),  LEN(  INDEX(   $A$1:$AJ$39, MATCH($A285,$A$1:$A$39,0),MATCH(  E$282,$A$1:$AP$1,0  )  )  )&gt;LEN(  SUBSTITUTE(  INDEX(   $A$1:$AJ$39, MATCH($A285,$A$1:$A$39,0),MATCH(  E$282,$A$1:$AP$1,0  )  ),"-","")  )  ),  CONCATENATE(  $A285,"(",   SUBSTITUTE(   SUBSTITUTE(  SUBSTITUTE(  INDEX(   $A$1:$AJ$39, MATCH($A285,$A$1:$A$39,0),MATCH(  E$282,$A$282:$AP$282,0  )  ),"補",""),"x","")," ",""),"時",")"),  ""  )  )           ))</f>
        <v/>
      </c>
      <c r="F285" s="66" t="str">
        <f t="shared" ref="F285:F317" si="149">IF(    AND( F4="補",  LEN(F284)&gt;=2 ),        "." &amp; $A285,    IF(         AND( F4="補" ),       $A285,        IF(  OR(  LEN(F284)&gt;=2  ),  CONCATENATE(  "",  IF(  AND(  LEN(  INDEX(   $A$1:$AJ$39, MATCH($A285,$A$1:$A$39,0),MATCH(  F$282,$A$1:$AP$1,0  )  )  )&gt;LEN(  SUBSTITUTE(  INDEX(   $A$1:$AJ$39, MATCH($A285,$A$1:$A$39,0),MATCH(  F$282,$A$1:$AP$1,0  )  ),"補","")  ),  LEN(  INDEX(   $A$1:$AJ$39, MATCH($A285,$A$1:$A$39,0),MATCH(  F$282,$A$1:$AP$1,0  )  )  )&gt;LEN(  SUBSTITUTE(  INDEX(   $A$1:$AJ$39, MATCH($A285,$A$1:$A$39,0),MATCH(  F$282,$A$1:$AP$1,0  )  ),"-","")  )  ),  CONCATENATE(  $A285,"(",   SUBSTITUTE(   SUBSTITUTE(  SUBSTITUTE(  INDEX(   $A$1:$AG$39, MATCH($A285,$A$1:$A$39,0),MATCH(  F$282,$A$282:$AP$282,0  )  ),"補",""),"x","")," ",""),"時",")"),  ""  )  ),  IF(  AND(  LEN(  INDEX(   $A$1:$AJ$39, MATCH($A285,$A$1:$A$39,0),MATCH(  F$282,$A$1:$AP$1,0  )  )  )&gt;LEN(  SUBSTITUTE(  INDEX(   $A$1:$AJ$39, MATCH($A285,$A$1:$A$39,0),MATCH(  F$282,$A$1:$AP$1,0  )  ),"補","")  ),  LEN(  INDEX(   $A$1:$AJ$39, MATCH($A285,$A$1:$A$39,0),MATCH(  F$282,$A$1:$AP$1,0  )  )  )&gt;LEN(  SUBSTITUTE(  INDEX(   $A$1:$AJ$39, MATCH($A285,$A$1:$A$39,0),MATCH(  F$282,$A$1:$AP$1,0  )  ),"-","")  )  ),  CONCATENATE(  $A285,"(",   SUBSTITUTE(   SUBSTITUTE(  SUBSTITUTE(  INDEX(   $A$1:$AJ$39, MATCH($A285,$A$1:$A$39,0),MATCH(  F$282,$A$282:$AP$282,0  )  ),"補",""),"x","")," ",""),"時",")"),  ""  )  )           ))</f>
        <v/>
      </c>
      <c r="G285" s="66" t="str">
        <f t="shared" ref="G285:G317" si="150">IF(    AND( G4="補",  LEN(G284)&gt;=2 ),        "." &amp; $A285,    IF(         AND( G4="補" ),       $A285,        IF(  OR(  LEN(G284)&gt;=2  ),  CONCATENATE(  "",  IF(  AND(  LEN(  INDEX(   $A$1:$AJ$39, MATCH($A285,$A$1:$A$39,0),MATCH(  G$282,$A$1:$AP$1,0  )  )  )&gt;LEN(  SUBSTITUTE(  INDEX(   $A$1:$AJ$39, MATCH($A285,$A$1:$A$39,0),MATCH(  G$282,$A$1:$AP$1,0  )  ),"補","")  ),  LEN(  INDEX(   $A$1:$AJ$39, MATCH($A285,$A$1:$A$39,0),MATCH(  G$282,$A$1:$AP$1,0  )  )  )&gt;LEN(  SUBSTITUTE(  INDEX(   $A$1:$AJ$39, MATCH($A285,$A$1:$A$39,0),MATCH(  G$282,$A$1:$AP$1,0  )  ),"-","")  )  ),  CONCATENATE(  $A285,"(",   SUBSTITUTE(   SUBSTITUTE(  SUBSTITUTE(  INDEX(   $A$1:$AG$39, MATCH($A285,$A$1:$A$39,0),MATCH(  G$282,$A$282:$AP$282,0  )  ),"補",""),"x","")," ",""),"時",")"),  ""  )  ),  IF(  AND(  LEN(  INDEX(   $A$1:$AJ$39, MATCH($A285,$A$1:$A$39,0),MATCH(  G$282,$A$1:$AP$1,0  )  )  )&gt;LEN(  SUBSTITUTE(  INDEX(   $A$1:$AJ$39, MATCH($A285,$A$1:$A$39,0),MATCH(  G$282,$A$1:$AP$1,0  )  ),"補","")  ),  LEN(  INDEX(   $A$1:$AJ$39, MATCH($A285,$A$1:$A$39,0),MATCH(  G$282,$A$1:$AP$1,0  )  )  )&gt;LEN(  SUBSTITUTE(  INDEX(   $A$1:$AJ$39, MATCH($A285,$A$1:$A$39,0),MATCH(  G$282,$A$1:$AP$1,0  )  ),"-","")  )  ),  CONCATENATE(  $A285,"(",   SUBSTITUTE(   SUBSTITUTE(  SUBSTITUTE(  INDEX(   $A$1:$AJ$39, MATCH($A285,$A$1:$A$39,0),MATCH(  G$282,$A$282:$AP$282,0  )  ),"補",""),"x","")," ",""),"時",")"),  ""  )  )           ))</f>
        <v/>
      </c>
      <c r="H285" s="66" t="str">
        <f t="shared" ref="H285:H317" si="151">IF(    AND( H4="補",  LEN(H284)&gt;=2 ),        "." &amp; $A285,    IF(         AND( H4="補" ),       $A285,        IF(  OR(  LEN(H284)&gt;=2  ),  CONCATENATE(  "",  IF(  AND(  LEN(  INDEX(   $A$1:$AJ$39, MATCH($A285,$A$1:$A$39,0),MATCH(  H$282,$A$1:$AP$1,0  )  )  )&gt;LEN(  SUBSTITUTE(  INDEX(   $A$1:$AJ$39, MATCH($A285,$A$1:$A$39,0),MATCH(  H$282,$A$1:$AP$1,0  )  ),"補","")  ),  LEN(  INDEX(   $A$1:$AJ$39, MATCH($A285,$A$1:$A$39,0),MATCH(  H$282,$A$1:$AP$1,0  )  )  )&gt;LEN(  SUBSTITUTE(  INDEX(   $A$1:$AJ$39, MATCH($A285,$A$1:$A$39,0),MATCH(  H$282,$A$1:$AP$1,0  )  ),"-","")  )  ),  CONCATENATE(  $A285,"(",   SUBSTITUTE(   SUBSTITUTE(  SUBSTITUTE(  INDEX(   $A$1:$AG$39, MATCH($A285,$A$1:$A$39,0),MATCH(  H$282,$A$282:$AP$282,0  )  ),"補",""),"x","")," ",""),"時",")"),  ""  )  ),  IF(  AND(  LEN(  INDEX(   $A$1:$AJ$39, MATCH($A285,$A$1:$A$39,0),MATCH(  H$282,$A$1:$AP$1,0  )  )  )&gt;LEN(  SUBSTITUTE(  INDEX(   $A$1:$AJ$39, MATCH($A285,$A$1:$A$39,0),MATCH(  H$282,$A$1:$AP$1,0  )  ),"補","")  ),  LEN(  INDEX(   $A$1:$AJ$39, MATCH($A285,$A$1:$A$39,0),MATCH(  H$282,$A$1:$AP$1,0  )  )  )&gt;LEN(  SUBSTITUTE(  INDEX(   $A$1:$AJ$39, MATCH($A285,$A$1:$A$39,0),MATCH(  H$282,$A$1:$AP$1,0  )  ),"-","")  )  ),  CONCATENATE(  $A285,"(",   SUBSTITUTE(   SUBSTITUTE(  SUBSTITUTE(  INDEX(   $A$1:$AJ$39, MATCH($A285,$A$1:$A$39,0),MATCH(  H$282,$A$282:$AP$282,0  )  ),"補",""),"x","")," ",""),"時",")"),  ""  )  )           ))</f>
        <v/>
      </c>
      <c r="I285" s="66" t="str">
        <f t="shared" ref="I285:I317" si="152">IF(    AND( I4="補",  LEN(I284)&gt;=2 ),        "." &amp; $A285,    IF(         AND( I4="補" ),       $A285,        IF(  OR(  LEN(I284)&gt;=2  ),  CONCATENATE(  "",  IF(  AND(  LEN(  INDEX(   $A$1:$AJ$39, MATCH($A285,$A$1:$A$39,0),MATCH(  I$282,$A$1:$AP$1,0  )  )  )&gt;LEN(  SUBSTITUTE(  INDEX(   $A$1:$AJ$39, MATCH($A285,$A$1:$A$39,0),MATCH(  I$282,$A$1:$AP$1,0  )  ),"補","")  ),  LEN(  INDEX(   $A$1:$AJ$39, MATCH($A285,$A$1:$A$39,0),MATCH(  I$282,$A$1:$AP$1,0  )  )  )&gt;LEN(  SUBSTITUTE(  INDEX(   $A$1:$AJ$39, MATCH($A285,$A$1:$A$39,0),MATCH(  I$282,$A$1:$AP$1,0  )  ),"-","")  )  ),  CONCATENATE(  $A285,"(",   SUBSTITUTE(   SUBSTITUTE(  SUBSTITUTE(  INDEX(   $A$1:$AG$39, MATCH($A285,$A$1:$A$39,0),MATCH(  I$282,$A$282:$AP$282,0  )  ),"補",""),"x","")," ",""),"時",")"),  ""  )  ),  IF(  AND(  LEN(  INDEX(   $A$1:$AJ$39, MATCH($A285,$A$1:$A$39,0),MATCH(  I$282,$A$1:$AP$1,0  )  )  )&gt;LEN(  SUBSTITUTE(  INDEX(   $A$1:$AJ$39, MATCH($A285,$A$1:$A$39,0),MATCH(  I$282,$A$1:$AP$1,0  )  ),"補","")  ),  LEN(  INDEX(   $A$1:$AJ$39, MATCH($A285,$A$1:$A$39,0),MATCH(  I$282,$A$1:$AP$1,0  )  )  )&gt;LEN(  SUBSTITUTE(  INDEX(   $A$1:$AJ$39, MATCH($A285,$A$1:$A$39,0),MATCH(  I$282,$A$1:$AP$1,0  )  ),"-","")  )  ),  CONCATENATE(  $A285,"(",   SUBSTITUTE(   SUBSTITUTE(  SUBSTITUTE(  INDEX(   $A$1:$AJ$39, MATCH($A285,$A$1:$A$39,0),MATCH(  I$282,$A$282:$AP$282,0  )  ),"補",""),"x","")," ",""),"時",")"),  ""  )  )           ))</f>
        <v/>
      </c>
      <c r="J285" s="66" t="str">
        <f t="shared" ref="J285:J317" si="153">IF(    AND( J4="補",  LEN(J284)&gt;=2 ),        "." &amp; $A285,    IF(         AND( J4="補" ),       $A285,        IF(  OR(  LEN(J284)&gt;=2  ),  CONCATENATE(  "",  IF(  AND(  LEN(  INDEX(   $A$1:$AJ$39, MATCH($A285,$A$1:$A$39,0),MATCH(  J$282,$A$1:$AP$1,0  )  )  )&gt;LEN(  SUBSTITUTE(  INDEX(   $A$1:$AJ$39, MATCH($A285,$A$1:$A$39,0),MATCH(  J$282,$A$1:$AP$1,0  )  ),"補","")  ),  LEN(  INDEX(   $A$1:$AJ$39, MATCH($A285,$A$1:$A$39,0),MATCH(  J$282,$A$1:$AP$1,0  )  )  )&gt;LEN(  SUBSTITUTE(  INDEX(   $A$1:$AJ$39, MATCH($A285,$A$1:$A$39,0),MATCH(  J$282,$A$1:$AP$1,0  )  ),"-","")  )  ),  CONCATENATE(  $A285,"(",   SUBSTITUTE(   SUBSTITUTE(  SUBSTITUTE(  INDEX(   $A$1:$AG$39, MATCH($A285,$A$1:$A$39,0),MATCH(  J$282,$A$282:$AP$282,0  )  ),"補",""),"x","")," ",""),"時",")"),  ""  )  ),  IF(  AND(  LEN(  INDEX(   $A$1:$AJ$39, MATCH($A285,$A$1:$A$39,0),MATCH(  J$282,$A$1:$AP$1,0  )  )  )&gt;LEN(  SUBSTITUTE(  INDEX(   $A$1:$AJ$39, MATCH($A285,$A$1:$A$39,0),MATCH(  J$282,$A$1:$AP$1,0  )  ),"補","")  ),  LEN(  INDEX(   $A$1:$AJ$39, MATCH($A285,$A$1:$A$39,0),MATCH(  J$282,$A$1:$AP$1,0  )  )  )&gt;LEN(  SUBSTITUTE(  INDEX(   $A$1:$AJ$39, MATCH($A285,$A$1:$A$39,0),MATCH(  J$282,$A$1:$AP$1,0  )  ),"-","")  )  ),  CONCATENATE(  $A285,"(",   SUBSTITUTE(   SUBSTITUTE(  SUBSTITUTE(  INDEX(   $A$1:$AJ$39, MATCH($A285,$A$1:$A$39,0),MATCH(  J$282,$A$282:$AP$282,0  )  ),"補",""),"x","")," ",""),"時",")"),  ""  )  )           ))</f>
        <v/>
      </c>
      <c r="K285" s="66" t="str">
        <f t="shared" ref="K285:K317" si="154">IF(    AND( K4="補",  LEN(K284)&gt;=2 ),        "." &amp; $A285,    IF(         AND( K4="補" ),       $A285,        IF(  OR(  LEN(K284)&gt;=2  ),  CONCATENATE(  "",  IF(  AND(  LEN(  INDEX(   $A$1:$AJ$39, MATCH($A285,$A$1:$A$39,0),MATCH(  K$282,$A$1:$AP$1,0  )  )  )&gt;LEN(  SUBSTITUTE(  INDEX(   $A$1:$AJ$39, MATCH($A285,$A$1:$A$39,0),MATCH(  K$282,$A$1:$AP$1,0  )  ),"補","")  ),  LEN(  INDEX(   $A$1:$AJ$39, MATCH($A285,$A$1:$A$39,0),MATCH(  K$282,$A$1:$AP$1,0  )  )  )&gt;LEN(  SUBSTITUTE(  INDEX(   $A$1:$AJ$39, MATCH($A285,$A$1:$A$39,0),MATCH(  K$282,$A$1:$AP$1,0  )  ),"-","")  )  ),  CONCATENATE(  $A285,"(",   SUBSTITUTE(   SUBSTITUTE(  SUBSTITUTE(  INDEX(   $A$1:$AG$39, MATCH($A285,$A$1:$A$39,0),MATCH(  K$282,$A$282:$AP$282,0  )  ),"補",""),"x","")," ",""),"時",")"),  ""  )  ),  IF(  AND(  LEN(  INDEX(   $A$1:$AJ$39, MATCH($A285,$A$1:$A$39,0),MATCH(  K$282,$A$1:$AP$1,0  )  )  )&gt;LEN(  SUBSTITUTE(  INDEX(   $A$1:$AJ$39, MATCH($A285,$A$1:$A$39,0),MATCH(  K$282,$A$1:$AP$1,0  )  ),"補","")  ),  LEN(  INDEX(   $A$1:$AJ$39, MATCH($A285,$A$1:$A$39,0),MATCH(  K$282,$A$1:$AP$1,0  )  )  )&gt;LEN(  SUBSTITUTE(  INDEX(   $A$1:$AJ$39, MATCH($A285,$A$1:$A$39,0),MATCH(  K$282,$A$1:$AP$1,0  )  ),"-","")  )  ),  CONCATENATE(  $A285,"(",   SUBSTITUTE(   SUBSTITUTE(  SUBSTITUTE(  INDEX(   $A$1:$AJ$39, MATCH($A285,$A$1:$A$39,0),MATCH(  K$282,$A$282:$AP$282,0  )  ),"補",""),"x","")," ",""),"時",")"),  ""  )  )           ))</f>
        <v/>
      </c>
      <c r="L285" s="66" t="str">
        <f t="shared" ref="L285:L317" si="155">IF(    AND( L4="補",  LEN(L284)&gt;=2 ),        "." &amp; $A285,    IF(         AND( L4="補" ),       $A285,        IF(  OR(  LEN(L284)&gt;=2  ),  CONCATENATE(  "",  IF(  AND(  LEN(  INDEX(   $A$1:$AJ$39, MATCH($A285,$A$1:$A$39,0),MATCH(  L$282,$A$1:$AP$1,0  )  )  )&gt;LEN(  SUBSTITUTE(  INDEX(   $A$1:$AJ$39, MATCH($A285,$A$1:$A$39,0),MATCH(  L$282,$A$1:$AP$1,0  )  ),"補","")  ),  LEN(  INDEX(   $A$1:$AJ$39, MATCH($A285,$A$1:$A$39,0),MATCH(  L$282,$A$1:$AP$1,0  )  )  )&gt;LEN(  SUBSTITUTE(  INDEX(   $A$1:$AJ$39, MATCH($A285,$A$1:$A$39,0),MATCH(  L$282,$A$1:$AP$1,0  )  ),"-","")  )  ),  CONCATENATE(  $A285,"(",   SUBSTITUTE(   SUBSTITUTE(  SUBSTITUTE(  INDEX(   $A$1:$AG$39, MATCH($A285,$A$1:$A$39,0),MATCH(  L$282,$A$282:$AP$282,0  )  ),"補",""),"x","")," ",""),"時",")"),  ""  )  ),  IF(  AND(  LEN(  INDEX(   $A$1:$AJ$39, MATCH($A285,$A$1:$A$39,0),MATCH(  L$282,$A$1:$AP$1,0  )  )  )&gt;LEN(  SUBSTITUTE(  INDEX(   $A$1:$AJ$39, MATCH($A285,$A$1:$A$39,0),MATCH(  L$282,$A$1:$AP$1,0  )  ),"補","")  ),  LEN(  INDEX(   $A$1:$AJ$39, MATCH($A285,$A$1:$A$39,0),MATCH(  L$282,$A$1:$AP$1,0  )  )  )&gt;LEN(  SUBSTITUTE(  INDEX(   $A$1:$AJ$39, MATCH($A285,$A$1:$A$39,0),MATCH(  L$282,$A$1:$AP$1,0  )  ),"-","")  )  ),  CONCATENATE(  $A285,"(",   SUBSTITUTE(   SUBSTITUTE(  SUBSTITUTE(  INDEX(   $A$1:$AJ$39, MATCH($A285,$A$1:$A$39,0),MATCH(  L$282,$A$282:$AP$282,0  )  ),"補",""),"x","")," ",""),"時",")"),  ""  )  )           ))</f>
        <v/>
      </c>
      <c r="M285" s="66" t="str">
        <f t="shared" ref="M285:M317" si="156">IF(    AND( M4="補",  LEN(M284)&gt;=2 ),        "." &amp; $A285,    IF(         AND( M4="補" ),       $A285,        IF(  OR(  LEN(M284)&gt;=2  ),  CONCATENATE(  "",  IF(  AND(  LEN(  INDEX(   $A$1:$AJ$39, MATCH($A285,$A$1:$A$39,0),MATCH(  M$282,$A$1:$AP$1,0  )  )  )&gt;LEN(  SUBSTITUTE(  INDEX(   $A$1:$AJ$39, MATCH($A285,$A$1:$A$39,0),MATCH(  M$282,$A$1:$AP$1,0  )  ),"補","")  ),  LEN(  INDEX(   $A$1:$AJ$39, MATCH($A285,$A$1:$A$39,0),MATCH(  M$282,$A$1:$AP$1,0  )  )  )&gt;LEN(  SUBSTITUTE(  INDEX(   $A$1:$AJ$39, MATCH($A285,$A$1:$A$39,0),MATCH(  M$282,$A$1:$AP$1,0  )  ),"-","")  )  ),  CONCATENATE(  $A285,"(",   SUBSTITUTE(   SUBSTITUTE(  SUBSTITUTE(  INDEX(   $A$1:$AG$39, MATCH($A285,$A$1:$A$39,0),MATCH(  M$282,$A$282:$AP$282,0  )  ),"補",""),"x","")," ",""),"時",")"),  ""  )  ),  IF(  AND(  LEN(  INDEX(   $A$1:$AJ$39, MATCH($A285,$A$1:$A$39,0),MATCH(  M$282,$A$1:$AP$1,0  )  )  )&gt;LEN(  SUBSTITUTE(  INDEX(   $A$1:$AJ$39, MATCH($A285,$A$1:$A$39,0),MATCH(  M$282,$A$1:$AP$1,0  )  ),"補","")  ),  LEN(  INDEX(   $A$1:$AJ$39, MATCH($A285,$A$1:$A$39,0),MATCH(  M$282,$A$1:$AP$1,0  )  )  )&gt;LEN(  SUBSTITUTE(  INDEX(   $A$1:$AJ$39, MATCH($A285,$A$1:$A$39,0),MATCH(  M$282,$A$1:$AP$1,0  )  ),"-","")  )  ),  CONCATENATE(  $A285,"(",   SUBSTITUTE(   SUBSTITUTE(  SUBSTITUTE(  INDEX(   $A$1:$AJ$39, MATCH($A285,$A$1:$A$39,0),MATCH(  M$282,$A$282:$AP$282,0  )  ),"補",""),"x","")," ",""),"時",")"),  ""  )  )           ))</f>
        <v/>
      </c>
      <c r="N285" s="66" t="str">
        <f t="shared" ref="N285:N317" si="157">IF(    AND( N4="補",  LEN(N284)&gt;=2 ),        "." &amp; $A285,    IF(         AND( N4="補" ),       $A285,        IF(  OR(  LEN(N284)&gt;=2  ),  CONCATENATE(  "",  IF(  AND(  LEN(  INDEX(   $A$1:$AJ$39, MATCH($A285,$A$1:$A$39,0),MATCH(  N$282,$A$1:$AP$1,0  )  )  )&gt;LEN(  SUBSTITUTE(  INDEX(   $A$1:$AJ$39, MATCH($A285,$A$1:$A$39,0),MATCH(  N$282,$A$1:$AP$1,0  )  ),"補","")  ),  LEN(  INDEX(   $A$1:$AJ$39, MATCH($A285,$A$1:$A$39,0),MATCH(  N$282,$A$1:$AP$1,0  )  )  )&gt;LEN(  SUBSTITUTE(  INDEX(   $A$1:$AJ$39, MATCH($A285,$A$1:$A$39,0),MATCH(  N$282,$A$1:$AP$1,0  )  ),"-","")  )  ),  CONCATENATE(  $A285,"(",   SUBSTITUTE(   SUBSTITUTE(  SUBSTITUTE(  INDEX(   $A$1:$AG$39, MATCH($A285,$A$1:$A$39,0),MATCH(  N$282,$A$282:$AP$282,0  )  ),"補",""),"x","")," ",""),"時",")"),  ""  )  ),  IF(  AND(  LEN(  INDEX(   $A$1:$AJ$39, MATCH($A285,$A$1:$A$39,0),MATCH(  N$282,$A$1:$AP$1,0  )  )  )&gt;LEN(  SUBSTITUTE(  INDEX(   $A$1:$AJ$39, MATCH($A285,$A$1:$A$39,0),MATCH(  N$282,$A$1:$AP$1,0  )  ),"補","")  ),  LEN(  INDEX(   $A$1:$AJ$39, MATCH($A285,$A$1:$A$39,0),MATCH(  N$282,$A$1:$AP$1,0  )  )  )&gt;LEN(  SUBSTITUTE(  INDEX(   $A$1:$AJ$39, MATCH($A285,$A$1:$A$39,0),MATCH(  N$282,$A$1:$AP$1,0  )  ),"-","")  )  ),  CONCATENATE(  $A285,"(",   SUBSTITUTE(   SUBSTITUTE(  SUBSTITUTE(  INDEX(   $A$1:$AJ$39, MATCH($A285,$A$1:$A$39,0),MATCH(  N$282,$A$282:$AP$282,0  )  ),"補",""),"x","")," ",""),"時",")"),  ""  )  )           ))</f>
        <v/>
      </c>
      <c r="O285" s="66" t="str">
        <f t="shared" ref="O285:O317" si="158">IF(    AND( O4="補",  LEN(O284)&gt;=2 ),        "." &amp; $A285,    IF(         AND( O4="補" ),       $A285,        IF(  OR(  LEN(O284)&gt;=2  ),  CONCATENATE(  "",  IF(  AND(  LEN(  INDEX(   $A$1:$AJ$39, MATCH($A285,$A$1:$A$39,0),MATCH(  O$282,$A$1:$AP$1,0  )  )  )&gt;LEN(  SUBSTITUTE(  INDEX(   $A$1:$AJ$39, MATCH($A285,$A$1:$A$39,0),MATCH(  O$282,$A$1:$AP$1,0  )  ),"補","")  ),  LEN(  INDEX(   $A$1:$AJ$39, MATCH($A285,$A$1:$A$39,0),MATCH(  O$282,$A$1:$AP$1,0  )  )  )&gt;LEN(  SUBSTITUTE(  INDEX(   $A$1:$AJ$39, MATCH($A285,$A$1:$A$39,0),MATCH(  O$282,$A$1:$AP$1,0  )  ),"-","")  )  ),  CONCATENATE(  $A285,"(",   SUBSTITUTE(   SUBSTITUTE(  SUBSTITUTE(  INDEX(   $A$1:$AG$39, MATCH($A285,$A$1:$A$39,0),MATCH(  O$282,$A$282:$AP$282,0  )  ),"補",""),"x","")," ",""),"時",")"),  ""  )  ),  IF(  AND(  LEN(  INDEX(   $A$1:$AJ$39, MATCH($A285,$A$1:$A$39,0),MATCH(  O$282,$A$1:$AP$1,0  )  )  )&gt;LEN(  SUBSTITUTE(  INDEX(   $A$1:$AJ$39, MATCH($A285,$A$1:$A$39,0),MATCH(  O$282,$A$1:$AP$1,0  )  ),"補","")  ),  LEN(  INDEX(   $A$1:$AJ$39, MATCH($A285,$A$1:$A$39,0),MATCH(  O$282,$A$1:$AP$1,0  )  )  )&gt;LEN(  SUBSTITUTE(  INDEX(   $A$1:$AJ$39, MATCH($A285,$A$1:$A$39,0),MATCH(  O$282,$A$1:$AP$1,0  )  ),"-","")  )  ),  CONCATENATE(  $A285,"(",   SUBSTITUTE(   SUBSTITUTE(  SUBSTITUTE(  INDEX(   $A$1:$AJ$39, MATCH($A285,$A$1:$A$39,0),MATCH(  O$282,$A$282:$AP$282,0  )  ),"補",""),"x","")," ",""),"時",")"),  ""  )  )           ))</f>
        <v/>
      </c>
      <c r="P285" s="66" t="str">
        <f t="shared" ref="P285:P317" si="159">IF(    AND( P4="補",  LEN(P284)&gt;=2 ),        "." &amp; $A285,    IF(         AND( P4="補" ),       $A285,        IF(  OR(  LEN(P284)&gt;=2  ),  CONCATENATE(  "",  IF(  AND(  LEN(  INDEX(   $A$1:$AJ$39, MATCH($A285,$A$1:$A$39,0),MATCH(  P$282,$A$1:$AP$1,0  )  )  )&gt;LEN(  SUBSTITUTE(  INDEX(   $A$1:$AJ$39, MATCH($A285,$A$1:$A$39,0),MATCH(  P$282,$A$1:$AP$1,0  )  ),"補","")  ),  LEN(  INDEX(   $A$1:$AJ$39, MATCH($A285,$A$1:$A$39,0),MATCH(  P$282,$A$1:$AP$1,0  )  )  )&gt;LEN(  SUBSTITUTE(  INDEX(   $A$1:$AJ$39, MATCH($A285,$A$1:$A$39,0),MATCH(  P$282,$A$1:$AP$1,0  )  ),"-","")  )  ),  CONCATENATE(  $A285,"(",   SUBSTITUTE(   SUBSTITUTE(  SUBSTITUTE(  INDEX(   $A$1:$AG$39, MATCH($A285,$A$1:$A$39,0),MATCH(  P$282,$A$282:$AP$282,0  )  ),"補",""),"x","")," ",""),"時",")"),  ""  )  ),  IF(  AND(  LEN(  INDEX(   $A$1:$AJ$39, MATCH($A285,$A$1:$A$39,0),MATCH(  P$282,$A$1:$AP$1,0  )  )  )&gt;LEN(  SUBSTITUTE(  INDEX(   $A$1:$AJ$39, MATCH($A285,$A$1:$A$39,0),MATCH(  P$282,$A$1:$AP$1,0  )  ),"補","")  ),  LEN(  INDEX(   $A$1:$AJ$39, MATCH($A285,$A$1:$A$39,0),MATCH(  P$282,$A$1:$AP$1,0  )  )  )&gt;LEN(  SUBSTITUTE(  INDEX(   $A$1:$AJ$39, MATCH($A285,$A$1:$A$39,0),MATCH(  P$282,$A$1:$AP$1,0  )  ),"-","")  )  ),  CONCATENATE(  $A285,"(",   SUBSTITUTE(   SUBSTITUTE(  SUBSTITUTE(  INDEX(   $A$1:$AJ$39, MATCH($A285,$A$1:$A$39,0),MATCH(  P$282,$A$282:$AP$282,0  )  ),"補",""),"x","")," ",""),"時",")"),  ""  )  )           ))</f>
        <v/>
      </c>
      <c r="Q285" s="66" t="str">
        <f t="shared" ref="Q285:Q317" si="160">IF(    AND( Q4="補",  LEN(Q284)&gt;=2 ),        "." &amp; $A285,    IF(         AND( Q4="補" ),       $A285,        IF(  OR(  LEN(Q284)&gt;=2  ),  CONCATENATE(  "",  IF(  AND(  LEN(  INDEX(   $A$1:$AJ$39, MATCH($A285,$A$1:$A$39,0),MATCH(  Q$282,$A$1:$AP$1,0  )  )  )&gt;LEN(  SUBSTITUTE(  INDEX(   $A$1:$AJ$39, MATCH($A285,$A$1:$A$39,0),MATCH(  Q$282,$A$1:$AP$1,0  )  ),"補","")  ),  LEN(  INDEX(   $A$1:$AJ$39, MATCH($A285,$A$1:$A$39,0),MATCH(  Q$282,$A$1:$AP$1,0  )  )  )&gt;LEN(  SUBSTITUTE(  INDEX(   $A$1:$AJ$39, MATCH($A285,$A$1:$A$39,0),MATCH(  Q$282,$A$1:$AP$1,0  )  ),"-","")  )  ),  CONCATENATE(  $A285,"(",   SUBSTITUTE(   SUBSTITUTE(  SUBSTITUTE(  INDEX(   $A$1:$AG$39, MATCH($A285,$A$1:$A$39,0),MATCH(  Q$282,$A$282:$AP$282,0  )  ),"補",""),"x","")," ",""),"時",")"),  ""  )  ),  IF(  AND(  LEN(  INDEX(   $A$1:$AJ$39, MATCH($A285,$A$1:$A$39,0),MATCH(  Q$282,$A$1:$AP$1,0  )  )  )&gt;LEN(  SUBSTITUTE(  INDEX(   $A$1:$AJ$39, MATCH($A285,$A$1:$A$39,0),MATCH(  Q$282,$A$1:$AP$1,0  )  ),"補","")  ),  LEN(  INDEX(   $A$1:$AJ$39, MATCH($A285,$A$1:$A$39,0),MATCH(  Q$282,$A$1:$AP$1,0  )  )  )&gt;LEN(  SUBSTITUTE(  INDEX(   $A$1:$AJ$39, MATCH($A285,$A$1:$A$39,0),MATCH(  Q$282,$A$1:$AP$1,0  )  ),"-","")  )  ),  CONCATENATE(  $A285,"(",   SUBSTITUTE(   SUBSTITUTE(  SUBSTITUTE(  INDEX(   $A$1:$AJ$39, MATCH($A285,$A$1:$A$39,0),MATCH(  Q$282,$A$282:$AP$282,0  )  ),"補",""),"x","")," ",""),"時",")"),  ""  )  )           ))</f>
        <v/>
      </c>
      <c r="R285" s="66" t="str">
        <f t="shared" ref="R285:R317" si="161">IF(    AND( R4="補",  LEN(R284)&gt;=2 ),        "." &amp; $A285,    IF(         AND( R4="補" ),       $A285,        IF(  OR(  LEN(R284)&gt;=2  ),  CONCATENATE(  "",  IF(  AND(  LEN(  INDEX(   $A$1:$AJ$39, MATCH($A285,$A$1:$A$39,0),MATCH(  R$282,$A$1:$AP$1,0  )  )  )&gt;LEN(  SUBSTITUTE(  INDEX(   $A$1:$AJ$39, MATCH($A285,$A$1:$A$39,0),MATCH(  R$282,$A$1:$AP$1,0  )  ),"補","")  ),  LEN(  INDEX(   $A$1:$AJ$39, MATCH($A285,$A$1:$A$39,0),MATCH(  R$282,$A$1:$AP$1,0  )  )  )&gt;LEN(  SUBSTITUTE(  INDEX(   $A$1:$AJ$39, MATCH($A285,$A$1:$A$39,0),MATCH(  R$282,$A$1:$AP$1,0  )  ),"-","")  )  ),  CONCATENATE(  $A285,"(",   SUBSTITUTE(   SUBSTITUTE(  SUBSTITUTE(  INDEX(   $A$1:$AG$39, MATCH($A285,$A$1:$A$39,0),MATCH(  R$282,$A$282:$AP$282,0  )  ),"補",""),"x","")," ",""),"時",")"),  ""  )  ),  IF(  AND(  LEN(  INDEX(   $A$1:$AJ$39, MATCH($A285,$A$1:$A$39,0),MATCH(  R$282,$A$1:$AP$1,0  )  )  )&gt;LEN(  SUBSTITUTE(  INDEX(   $A$1:$AJ$39, MATCH($A285,$A$1:$A$39,0),MATCH(  R$282,$A$1:$AP$1,0  )  ),"補","")  ),  LEN(  INDEX(   $A$1:$AJ$39, MATCH($A285,$A$1:$A$39,0),MATCH(  R$282,$A$1:$AP$1,0  )  )  )&gt;LEN(  SUBSTITUTE(  INDEX(   $A$1:$AJ$39, MATCH($A285,$A$1:$A$39,0),MATCH(  R$282,$A$1:$AP$1,0  )  ),"-","")  )  ),  CONCATENATE(  $A285,"(",   SUBSTITUTE(   SUBSTITUTE(  SUBSTITUTE(  INDEX(   $A$1:$AJ$39, MATCH($A285,$A$1:$A$39,0),MATCH(  R$282,$A$282:$AP$282,0  )  ),"補",""),"x","")," ",""),"時",")"),  ""  )  )           ))</f>
        <v/>
      </c>
      <c r="S285" s="66" t="str">
        <f t="shared" ref="S285:S317" si="162">IF(    AND( S4="補",  LEN(S284)&gt;=2 ),        "." &amp; $A285,    IF(         AND( S4="補" ),       $A285,        IF(  OR(  LEN(S284)&gt;=2  ),  CONCATENATE(  "",  IF(  AND(  LEN(  INDEX(   $A$1:$AJ$39, MATCH($A285,$A$1:$A$39,0),MATCH(  S$282,$A$1:$AP$1,0  )  )  )&gt;LEN(  SUBSTITUTE(  INDEX(   $A$1:$AJ$39, MATCH($A285,$A$1:$A$39,0),MATCH(  S$282,$A$1:$AP$1,0  )  ),"補","")  ),  LEN(  INDEX(   $A$1:$AJ$39, MATCH($A285,$A$1:$A$39,0),MATCH(  S$282,$A$1:$AP$1,0  )  )  )&gt;LEN(  SUBSTITUTE(  INDEX(   $A$1:$AJ$39, MATCH($A285,$A$1:$A$39,0),MATCH(  S$282,$A$1:$AP$1,0  )  ),"-","")  )  ),  CONCATENATE(  $A285,"(",   SUBSTITUTE(   SUBSTITUTE(  SUBSTITUTE(  INDEX(   $A$1:$AG$39, MATCH($A285,$A$1:$A$39,0),MATCH(  S$282,$A$282:$AP$282,0  )  ),"補",""),"x","")," ",""),"時",")"),  ""  )  ),  IF(  AND(  LEN(  INDEX(   $A$1:$AJ$39, MATCH($A285,$A$1:$A$39,0),MATCH(  S$282,$A$1:$AP$1,0  )  )  )&gt;LEN(  SUBSTITUTE(  INDEX(   $A$1:$AJ$39, MATCH($A285,$A$1:$A$39,0),MATCH(  S$282,$A$1:$AP$1,0  )  ),"補","")  ),  LEN(  INDEX(   $A$1:$AJ$39, MATCH($A285,$A$1:$A$39,0),MATCH(  S$282,$A$1:$AP$1,0  )  )  )&gt;LEN(  SUBSTITUTE(  INDEX(   $A$1:$AJ$39, MATCH($A285,$A$1:$A$39,0),MATCH(  S$282,$A$1:$AP$1,0  )  ),"-","")  )  ),  CONCATENATE(  $A285,"(",   SUBSTITUTE(   SUBSTITUTE(  SUBSTITUTE(  INDEX(   $A$1:$AJ$39, MATCH($A285,$A$1:$A$39,0),MATCH(  S$282,$A$282:$AP$282,0  )  ),"補",""),"x","")," ",""),"時",")"),  ""  )  )           ))</f>
        <v/>
      </c>
      <c r="T285" s="66" t="str">
        <f t="shared" ref="T285:T317" si="163">IF(    AND( T4="補",  LEN(T284)&gt;=2 ),        "." &amp; $A285,    IF(         AND( T4="補" ),       $A285,        IF(  OR(  LEN(T284)&gt;=2  ),  CONCATENATE(  "",  IF(  AND(  LEN(  INDEX(   $A$1:$AJ$39, MATCH($A285,$A$1:$A$39,0),MATCH(  T$282,$A$1:$AP$1,0  )  )  )&gt;LEN(  SUBSTITUTE(  INDEX(   $A$1:$AJ$39, MATCH($A285,$A$1:$A$39,0),MATCH(  T$282,$A$1:$AP$1,0  )  ),"補","")  ),  LEN(  INDEX(   $A$1:$AJ$39, MATCH($A285,$A$1:$A$39,0),MATCH(  T$282,$A$1:$AP$1,0  )  )  )&gt;LEN(  SUBSTITUTE(  INDEX(   $A$1:$AJ$39, MATCH($A285,$A$1:$A$39,0),MATCH(  T$282,$A$1:$AP$1,0  )  ),"-","")  )  ),  CONCATENATE(  $A285,"(",   SUBSTITUTE(   SUBSTITUTE(  SUBSTITUTE(  INDEX(   $A$1:$AG$39, MATCH($A285,$A$1:$A$39,0),MATCH(  T$282,$A$282:$AP$282,0  )  ),"補",""),"x","")," ",""),"時",")"),  ""  )  ),  IF(  AND(  LEN(  INDEX(   $A$1:$AJ$39, MATCH($A285,$A$1:$A$39,0),MATCH(  T$282,$A$1:$AP$1,0  )  )  )&gt;LEN(  SUBSTITUTE(  INDEX(   $A$1:$AJ$39, MATCH($A285,$A$1:$A$39,0),MATCH(  T$282,$A$1:$AP$1,0  )  ),"補","")  ),  LEN(  INDEX(   $A$1:$AJ$39, MATCH($A285,$A$1:$A$39,0),MATCH(  T$282,$A$1:$AP$1,0  )  )  )&gt;LEN(  SUBSTITUTE(  INDEX(   $A$1:$AJ$39, MATCH($A285,$A$1:$A$39,0),MATCH(  T$282,$A$1:$AP$1,0  )  ),"-","")  )  ),  CONCATENATE(  $A285,"(",   SUBSTITUTE(   SUBSTITUTE(  SUBSTITUTE(  INDEX(   $A$1:$AJ$39, MATCH($A285,$A$1:$A$39,0),MATCH(  T$282,$A$282:$AP$282,0  )  ),"補",""),"x","")," ",""),"時",")"),  ""  )  )           ))</f>
        <v/>
      </c>
      <c r="U285" s="66" t="str">
        <f t="shared" ref="U285:U317" si="164">IF(    AND( U4="補",  LEN(U284)&gt;=2 ),        "." &amp; $A285,    IF(         AND( U4="補" ),       $A285,        IF(  OR(  LEN(U284)&gt;=2  ),  CONCATENATE(  "",  IF(  AND(  LEN(  INDEX(   $A$1:$AJ$39, MATCH($A285,$A$1:$A$39,0),MATCH(  U$282,$A$1:$AP$1,0  )  )  )&gt;LEN(  SUBSTITUTE(  INDEX(   $A$1:$AJ$39, MATCH($A285,$A$1:$A$39,0),MATCH(  U$282,$A$1:$AP$1,0  )  ),"補","")  ),  LEN(  INDEX(   $A$1:$AJ$39, MATCH($A285,$A$1:$A$39,0),MATCH(  U$282,$A$1:$AP$1,0  )  )  )&gt;LEN(  SUBSTITUTE(  INDEX(   $A$1:$AJ$39, MATCH($A285,$A$1:$A$39,0),MATCH(  U$282,$A$1:$AP$1,0  )  ),"-","")  )  ),  CONCATENATE(  $A285,"(",   SUBSTITUTE(   SUBSTITUTE(  SUBSTITUTE(  INDEX(   $A$1:$AG$39, MATCH($A285,$A$1:$A$39,0),MATCH(  U$282,$A$282:$AP$282,0  )  ),"補",""),"x","")," ",""),"時",")"),  ""  )  ),  IF(  AND(  LEN(  INDEX(   $A$1:$AJ$39, MATCH($A285,$A$1:$A$39,0),MATCH(  U$282,$A$1:$AP$1,0  )  )  )&gt;LEN(  SUBSTITUTE(  INDEX(   $A$1:$AJ$39, MATCH($A285,$A$1:$A$39,0),MATCH(  U$282,$A$1:$AP$1,0  )  ),"補","")  ),  LEN(  INDEX(   $A$1:$AJ$39, MATCH($A285,$A$1:$A$39,0),MATCH(  U$282,$A$1:$AP$1,0  )  )  )&gt;LEN(  SUBSTITUTE(  INDEX(   $A$1:$AJ$39, MATCH($A285,$A$1:$A$39,0),MATCH(  U$282,$A$1:$AP$1,0  )  ),"-","")  )  ),  CONCATENATE(  $A285,"(",   SUBSTITUTE(   SUBSTITUTE(  SUBSTITUTE(  INDEX(   $A$1:$AJ$39, MATCH($A285,$A$1:$A$39,0),MATCH(  U$282,$A$282:$AP$282,0  )  ),"補",""),"x","")," ",""),"時",")"),  ""  )  )           ))</f>
        <v/>
      </c>
      <c r="V285" s="66" t="str">
        <f t="shared" ref="V285:V317" si="165">IF(    AND( V4="補",  LEN(V284)&gt;=2 ),        "." &amp; $A285,    IF(         AND( V4="補" ),       $A285,        IF(  OR(  LEN(V284)&gt;=2  ),  CONCATENATE(  "",  IF(  AND(  LEN(  INDEX(   $A$1:$AJ$39, MATCH($A285,$A$1:$A$39,0),MATCH(  V$282,$A$1:$AP$1,0  )  )  )&gt;LEN(  SUBSTITUTE(  INDEX(   $A$1:$AJ$39, MATCH($A285,$A$1:$A$39,0),MATCH(  V$282,$A$1:$AP$1,0  )  ),"補","")  ),  LEN(  INDEX(   $A$1:$AJ$39, MATCH($A285,$A$1:$A$39,0),MATCH(  V$282,$A$1:$AP$1,0  )  )  )&gt;LEN(  SUBSTITUTE(  INDEX(   $A$1:$AJ$39, MATCH($A285,$A$1:$A$39,0),MATCH(  V$282,$A$1:$AP$1,0  )  ),"-","")  )  ),  CONCATENATE(  $A285,"(",   SUBSTITUTE(   SUBSTITUTE(  SUBSTITUTE(  INDEX(   $A$1:$AG$39, MATCH($A285,$A$1:$A$39,0),MATCH(  V$282,$A$282:$AP$282,0  )  ),"補",""),"x","")," ",""),"時",")"),  ""  )  ),  IF(  AND(  LEN(  INDEX(   $A$1:$AJ$39, MATCH($A285,$A$1:$A$39,0),MATCH(  V$282,$A$1:$AP$1,0  )  )  )&gt;LEN(  SUBSTITUTE(  INDEX(   $A$1:$AJ$39, MATCH($A285,$A$1:$A$39,0),MATCH(  V$282,$A$1:$AP$1,0  )  ),"補","")  ),  LEN(  INDEX(   $A$1:$AJ$39, MATCH($A285,$A$1:$A$39,0),MATCH(  V$282,$A$1:$AP$1,0  )  )  )&gt;LEN(  SUBSTITUTE(  INDEX(   $A$1:$AJ$39, MATCH($A285,$A$1:$A$39,0),MATCH(  V$282,$A$1:$AP$1,0  )  ),"-","")  )  ),  CONCATENATE(  $A285,"(",   SUBSTITUTE(   SUBSTITUTE(  SUBSTITUTE(  INDEX(   $A$1:$AJ$39, MATCH($A285,$A$1:$A$39,0),MATCH(  V$282,$A$282:$AP$282,0  )  ),"補",""),"x","")," ",""),"時",")"),  ""  )  )           ))</f>
        <v/>
      </c>
      <c r="W285" s="66" t="str">
        <f t="shared" ref="W285:W317" si="166">IF(    AND( W4="補",  LEN(W284)&gt;=2 ),        "." &amp; $A285,    IF(         AND( W4="補" ),       $A285,        IF(  OR(  LEN(W284)&gt;=2  ),  CONCATENATE(  "",  IF(  AND(  LEN(  INDEX(   $A$1:$AJ$39, MATCH($A285,$A$1:$A$39,0),MATCH(  W$282,$A$1:$AP$1,0  )  )  )&gt;LEN(  SUBSTITUTE(  INDEX(   $A$1:$AJ$39, MATCH($A285,$A$1:$A$39,0),MATCH(  W$282,$A$1:$AP$1,0  )  ),"補","")  ),  LEN(  INDEX(   $A$1:$AJ$39, MATCH($A285,$A$1:$A$39,0),MATCH(  W$282,$A$1:$AP$1,0  )  )  )&gt;LEN(  SUBSTITUTE(  INDEX(   $A$1:$AJ$39, MATCH($A285,$A$1:$A$39,0),MATCH(  W$282,$A$1:$AP$1,0  )  ),"-","")  )  ),  CONCATENATE(  $A285,"(",   SUBSTITUTE(   SUBSTITUTE(  SUBSTITUTE(  INDEX(   $A$1:$AG$39, MATCH($A285,$A$1:$A$39,0),MATCH(  W$282,$A$282:$AP$282,0  )  ),"補",""),"x","")," ",""),"時",")"),  ""  )  ),  IF(  AND(  LEN(  INDEX(   $A$1:$AJ$39, MATCH($A285,$A$1:$A$39,0),MATCH(  W$282,$A$1:$AP$1,0  )  )  )&gt;LEN(  SUBSTITUTE(  INDEX(   $A$1:$AJ$39, MATCH($A285,$A$1:$A$39,0),MATCH(  W$282,$A$1:$AP$1,0  )  ),"補","")  ),  LEN(  INDEX(   $A$1:$AJ$39, MATCH($A285,$A$1:$A$39,0),MATCH(  W$282,$A$1:$AP$1,0  )  )  )&gt;LEN(  SUBSTITUTE(  INDEX(   $A$1:$AJ$39, MATCH($A285,$A$1:$A$39,0),MATCH(  W$282,$A$1:$AP$1,0  )  ),"-","")  )  ),  CONCATENATE(  $A285,"(",   SUBSTITUTE(   SUBSTITUTE(  SUBSTITUTE(  INDEX(   $A$1:$AJ$39, MATCH($A285,$A$1:$A$39,0),MATCH(  W$282,$A$282:$AP$282,0  )  ),"補",""),"x","")," ",""),"時",")"),  ""  )  )           ))</f>
        <v/>
      </c>
      <c r="X285" s="66" t="str">
        <f t="shared" ref="X285:X317" si="167">IF(    AND( X4="補",  LEN(X284)&gt;=2 ),        "." &amp; $A285,    IF(         AND( X4="補" ),       $A285,        IF(  OR(  LEN(X284)&gt;=2  ),  CONCATENATE(  "",  IF(  AND(  LEN(  INDEX(   $A$1:$AJ$39, MATCH($A285,$A$1:$A$39,0),MATCH(  X$282,$A$1:$AP$1,0  )  )  )&gt;LEN(  SUBSTITUTE(  INDEX(   $A$1:$AJ$39, MATCH($A285,$A$1:$A$39,0),MATCH(  X$282,$A$1:$AP$1,0  )  ),"補","")  ),  LEN(  INDEX(   $A$1:$AJ$39, MATCH($A285,$A$1:$A$39,0),MATCH(  X$282,$A$1:$AP$1,0  )  )  )&gt;LEN(  SUBSTITUTE(  INDEX(   $A$1:$AJ$39, MATCH($A285,$A$1:$A$39,0),MATCH(  X$282,$A$1:$AP$1,0  )  ),"-","")  )  ),  CONCATENATE(  $A285,"(",   SUBSTITUTE(   SUBSTITUTE(  SUBSTITUTE(  INDEX(   $A$1:$AG$39, MATCH($A285,$A$1:$A$39,0),MATCH(  X$282,$A$282:$AP$282,0  )  ),"補",""),"x","")," ",""),"時",")"),  ""  )  ),  IF(  AND(  LEN(  INDEX(   $A$1:$AJ$39, MATCH($A285,$A$1:$A$39,0),MATCH(  X$282,$A$1:$AP$1,0  )  )  )&gt;LEN(  SUBSTITUTE(  INDEX(   $A$1:$AJ$39, MATCH($A285,$A$1:$A$39,0),MATCH(  X$282,$A$1:$AP$1,0  )  ),"補","")  ),  LEN(  INDEX(   $A$1:$AJ$39, MATCH($A285,$A$1:$A$39,0),MATCH(  X$282,$A$1:$AP$1,0  )  )  )&gt;LEN(  SUBSTITUTE(  INDEX(   $A$1:$AJ$39, MATCH($A285,$A$1:$A$39,0),MATCH(  X$282,$A$1:$AP$1,0  )  ),"-","")  )  ),  CONCATENATE(  $A285,"(",   SUBSTITUTE(   SUBSTITUTE(  SUBSTITUTE(  INDEX(   $A$1:$AJ$39, MATCH($A285,$A$1:$A$39,0),MATCH(  X$282,$A$282:$AP$282,0  )  ),"補",""),"x","")," ",""),"時",")"),  ""  )  )           ))</f>
        <v/>
      </c>
      <c r="Y285" s="66" t="str">
        <f t="shared" ref="Y285:Y317" si="168">IF(    AND( Y4="補",  LEN(Y284)&gt;=2 ),        "." &amp; $A285,    IF(         AND( Y4="補" ),       $A285,        IF(  OR(  LEN(Y284)&gt;=2  ),  CONCATENATE(  "",  IF(  AND(  LEN(  INDEX(   $A$1:$AJ$39, MATCH($A285,$A$1:$A$39,0),MATCH(  Y$282,$A$1:$AP$1,0  )  )  )&gt;LEN(  SUBSTITUTE(  INDEX(   $A$1:$AJ$39, MATCH($A285,$A$1:$A$39,0),MATCH(  Y$282,$A$1:$AP$1,0  )  ),"補","")  ),  LEN(  INDEX(   $A$1:$AJ$39, MATCH($A285,$A$1:$A$39,0),MATCH(  Y$282,$A$1:$AP$1,0  )  )  )&gt;LEN(  SUBSTITUTE(  INDEX(   $A$1:$AJ$39, MATCH($A285,$A$1:$A$39,0),MATCH(  Y$282,$A$1:$AP$1,0  )  ),"-","")  )  ),  CONCATENATE(  $A285,"(",   SUBSTITUTE(   SUBSTITUTE(  SUBSTITUTE(  INDEX(   $A$1:$AG$39, MATCH($A285,$A$1:$A$39,0),MATCH(  Y$282,$A$282:$AP$282,0  )  ),"補",""),"x","")," ",""),"時",")"),  ""  )  ),  IF(  AND(  LEN(  INDEX(   $A$1:$AJ$39, MATCH($A285,$A$1:$A$39,0),MATCH(  Y$282,$A$1:$AP$1,0  )  )  )&gt;LEN(  SUBSTITUTE(  INDEX(   $A$1:$AJ$39, MATCH($A285,$A$1:$A$39,0),MATCH(  Y$282,$A$1:$AP$1,0  )  ),"補","")  ),  LEN(  INDEX(   $A$1:$AJ$39, MATCH($A285,$A$1:$A$39,0),MATCH(  Y$282,$A$1:$AP$1,0  )  )  )&gt;LEN(  SUBSTITUTE(  INDEX(   $A$1:$AJ$39, MATCH($A285,$A$1:$A$39,0),MATCH(  Y$282,$A$1:$AP$1,0  )  ),"-","")  )  ),  CONCATENATE(  $A285,"(",   SUBSTITUTE(   SUBSTITUTE(  SUBSTITUTE(  INDEX(   $A$1:$AJ$39, MATCH($A285,$A$1:$A$39,0),MATCH(  Y$282,$A$282:$AP$282,0  )  ),"補",""),"x","")," ",""),"時",")"),  ""  )  )           ))</f>
        <v/>
      </c>
      <c r="Z285" s="66" t="str">
        <f t="shared" ref="Z285:Z317" si="169">IF(    AND( Z4="補",  LEN(Z284)&gt;=2 ),        "." &amp; $A285,    IF(         AND( Z4="補" ),       $A285,        IF(  OR(  LEN(Z284)&gt;=2  ),  CONCATENATE(  "",  IF(  AND(  LEN(  INDEX(   $A$1:$AJ$39, MATCH($A285,$A$1:$A$39,0),MATCH(  Z$282,$A$1:$AP$1,0  )  )  )&gt;LEN(  SUBSTITUTE(  INDEX(   $A$1:$AJ$39, MATCH($A285,$A$1:$A$39,0),MATCH(  Z$282,$A$1:$AP$1,0  )  ),"補","")  ),  LEN(  INDEX(   $A$1:$AJ$39, MATCH($A285,$A$1:$A$39,0),MATCH(  Z$282,$A$1:$AP$1,0  )  )  )&gt;LEN(  SUBSTITUTE(  INDEX(   $A$1:$AJ$39, MATCH($A285,$A$1:$A$39,0),MATCH(  Z$282,$A$1:$AP$1,0  )  ),"-","")  )  ),  CONCATENATE(  $A285,"(",   SUBSTITUTE(   SUBSTITUTE(  SUBSTITUTE(  INDEX(   $A$1:$AG$39, MATCH($A285,$A$1:$A$39,0),MATCH(  Z$282,$A$282:$AP$282,0  )  ),"補",""),"x","")," ",""),"時",")"),  ""  )  ),  IF(  AND(  LEN(  INDEX(   $A$1:$AJ$39, MATCH($A285,$A$1:$A$39,0),MATCH(  Z$282,$A$1:$AP$1,0  )  )  )&gt;LEN(  SUBSTITUTE(  INDEX(   $A$1:$AJ$39, MATCH($A285,$A$1:$A$39,0),MATCH(  Z$282,$A$1:$AP$1,0  )  ),"補","")  ),  LEN(  INDEX(   $A$1:$AJ$39, MATCH($A285,$A$1:$A$39,0),MATCH(  Z$282,$A$1:$AP$1,0  )  )  )&gt;LEN(  SUBSTITUTE(  INDEX(   $A$1:$AJ$39, MATCH($A285,$A$1:$A$39,0),MATCH(  Z$282,$A$1:$AP$1,0  )  ),"-","")  )  ),  CONCATENATE(  $A285,"(",   SUBSTITUTE(   SUBSTITUTE(  SUBSTITUTE(  INDEX(   $A$1:$AJ$39, MATCH($A285,$A$1:$A$39,0),MATCH(  Z$282,$A$282:$AP$282,0  )  ),"補",""),"x","")," ",""),"時",")"),  ""  )  )           ))</f>
        <v/>
      </c>
      <c r="AA285" s="66" t="str">
        <f t="shared" ref="AA285:AA317" si="170">IF(    AND( AA4="補",  LEN(AA284)&gt;=2 ),        "." &amp; $A285,    IF(         AND( AA4="補" ),       $A285,        IF(  OR(  LEN(AA284)&gt;=2  ),  CONCATENATE(  "",  IF(  AND(  LEN(  INDEX(   $A$1:$AJ$39, MATCH($A285,$A$1:$A$39,0),MATCH(  AA$282,$A$1:$AP$1,0  )  )  )&gt;LEN(  SUBSTITUTE(  INDEX(   $A$1:$AJ$39, MATCH($A285,$A$1:$A$39,0),MATCH(  AA$282,$A$1:$AP$1,0  )  ),"補","")  ),  LEN(  INDEX(   $A$1:$AJ$39, MATCH($A285,$A$1:$A$39,0),MATCH(  AA$282,$A$1:$AP$1,0  )  )  )&gt;LEN(  SUBSTITUTE(  INDEX(   $A$1:$AJ$39, MATCH($A285,$A$1:$A$39,0),MATCH(  AA$282,$A$1:$AP$1,0  )  ),"-","")  )  ),  CONCATENATE(  $A285,"(",   SUBSTITUTE(   SUBSTITUTE(  SUBSTITUTE(  INDEX(   $A$1:$AG$39, MATCH($A285,$A$1:$A$39,0),MATCH(  AA$282,$A$282:$AP$282,0  )  ),"補",""),"x","")," ",""),"時",")"),  ""  )  ),  IF(  AND(  LEN(  INDEX(   $A$1:$AJ$39, MATCH($A285,$A$1:$A$39,0),MATCH(  AA$282,$A$1:$AP$1,0  )  )  )&gt;LEN(  SUBSTITUTE(  INDEX(   $A$1:$AJ$39, MATCH($A285,$A$1:$A$39,0),MATCH(  AA$282,$A$1:$AP$1,0  )  ),"補","")  ),  LEN(  INDEX(   $A$1:$AJ$39, MATCH($A285,$A$1:$A$39,0),MATCH(  AA$282,$A$1:$AP$1,0  )  )  )&gt;LEN(  SUBSTITUTE(  INDEX(   $A$1:$AJ$39, MATCH($A285,$A$1:$A$39,0),MATCH(  AA$282,$A$1:$AP$1,0  )  ),"-","")  )  ),  CONCATENATE(  $A285,"(",   SUBSTITUTE(   SUBSTITUTE(  SUBSTITUTE(  INDEX(   $A$1:$AJ$39, MATCH($A285,$A$1:$A$39,0),MATCH(  AA$282,$A$282:$AP$282,0  )  ),"補",""),"x","")," ",""),"時",")"),  ""  )  )           ))</f>
        <v/>
      </c>
      <c r="AB285" s="66" t="str">
        <f t="shared" ref="AB285:AB317" si="171">IF(    AND( AB4="補",  LEN(AB284)&gt;=2 ),        "." &amp; $A285,    IF(         AND( AB4="補" ),       $A285,        IF(  OR(  LEN(AB284)&gt;=2  ),  CONCATENATE(  "",  IF(  AND(  LEN(  INDEX(   $A$1:$AJ$39, MATCH($A285,$A$1:$A$39,0),MATCH(  AB$282,$A$1:$AP$1,0  )  )  )&gt;LEN(  SUBSTITUTE(  INDEX(   $A$1:$AJ$39, MATCH($A285,$A$1:$A$39,0),MATCH(  AB$282,$A$1:$AP$1,0  )  ),"補","")  ),  LEN(  INDEX(   $A$1:$AJ$39, MATCH($A285,$A$1:$A$39,0),MATCH(  AB$282,$A$1:$AP$1,0  )  )  )&gt;LEN(  SUBSTITUTE(  INDEX(   $A$1:$AJ$39, MATCH($A285,$A$1:$A$39,0),MATCH(  AB$282,$A$1:$AP$1,0  )  ),"-","")  )  ),  CONCATENATE(  $A285,"(",   SUBSTITUTE(   SUBSTITUTE(  SUBSTITUTE(  INDEX(   $A$1:$AG$39, MATCH($A285,$A$1:$A$39,0),MATCH(  AB$282,$A$282:$AP$282,0  )  ),"補",""),"x","")," ",""),"時",")"),  ""  )  ),  IF(  AND(  LEN(  INDEX(   $A$1:$AJ$39, MATCH($A285,$A$1:$A$39,0),MATCH(  AB$282,$A$1:$AP$1,0  )  )  )&gt;LEN(  SUBSTITUTE(  INDEX(   $A$1:$AJ$39, MATCH($A285,$A$1:$A$39,0),MATCH(  AB$282,$A$1:$AP$1,0  )  ),"補","")  ),  LEN(  INDEX(   $A$1:$AJ$39, MATCH($A285,$A$1:$A$39,0),MATCH(  AB$282,$A$1:$AP$1,0  )  )  )&gt;LEN(  SUBSTITUTE(  INDEX(   $A$1:$AJ$39, MATCH($A285,$A$1:$A$39,0),MATCH(  AB$282,$A$1:$AP$1,0  )  ),"-","")  )  ),  CONCATENATE(  $A285,"(",   SUBSTITUTE(   SUBSTITUTE(  SUBSTITUTE(  INDEX(   $A$1:$AJ$39, MATCH($A285,$A$1:$A$39,0),MATCH(  AB$282,$A$282:$AP$282,0  )  ),"補",""),"x","")," ",""),"時",")"),  ""  )  )           ))</f>
        <v/>
      </c>
      <c r="AC285" s="66" t="str">
        <f t="shared" ref="AC285:AC317" si="172">IF(    AND( AC4="補",  LEN(AC284)&gt;=2 ),        "." &amp; $A285,    IF(         AND( AC4="補" ),       $A285,        IF(  OR(  LEN(AC284)&gt;=2  ),  CONCATENATE(  "",  IF(  AND(  LEN(  INDEX(   $A$1:$AJ$39, MATCH($A285,$A$1:$A$39,0),MATCH(  AC$282,$A$1:$AP$1,0  )  )  )&gt;LEN(  SUBSTITUTE(  INDEX(   $A$1:$AJ$39, MATCH($A285,$A$1:$A$39,0),MATCH(  AC$282,$A$1:$AP$1,0  )  ),"補","")  ),  LEN(  INDEX(   $A$1:$AJ$39, MATCH($A285,$A$1:$A$39,0),MATCH(  AC$282,$A$1:$AP$1,0  )  )  )&gt;LEN(  SUBSTITUTE(  INDEX(   $A$1:$AJ$39, MATCH($A285,$A$1:$A$39,0),MATCH(  AC$282,$A$1:$AP$1,0  )  ),"-","")  )  ),  CONCATENATE(  $A285,"(",   SUBSTITUTE(   SUBSTITUTE(  SUBSTITUTE(  INDEX(   $A$1:$AG$39, MATCH($A285,$A$1:$A$39,0),MATCH(  AC$282,$A$282:$AP$282,0  )  ),"補",""),"x","")," ",""),"時",")"),  ""  )  ),  IF(  AND(  LEN(  INDEX(   $A$1:$AJ$39, MATCH($A285,$A$1:$A$39,0),MATCH(  AC$282,$A$1:$AP$1,0  )  )  )&gt;LEN(  SUBSTITUTE(  INDEX(   $A$1:$AJ$39, MATCH($A285,$A$1:$A$39,0),MATCH(  AC$282,$A$1:$AP$1,0  )  ),"補","")  ),  LEN(  INDEX(   $A$1:$AJ$39, MATCH($A285,$A$1:$A$39,0),MATCH(  AC$282,$A$1:$AP$1,0  )  )  )&gt;LEN(  SUBSTITUTE(  INDEX(   $A$1:$AJ$39, MATCH($A285,$A$1:$A$39,0),MATCH(  AC$282,$A$1:$AP$1,0  )  ),"-","")  )  ),  CONCATENATE(  $A285,"(",   SUBSTITUTE(   SUBSTITUTE(  SUBSTITUTE(  INDEX(   $A$1:$AJ$39, MATCH($A285,$A$1:$A$39,0),MATCH(  AC$282,$A$282:$AP$282,0  )  ),"補",""),"x","")," ",""),"時",")"),  ""  )  )           ))</f>
        <v/>
      </c>
      <c r="AD285" s="66" t="str">
        <f t="shared" ref="AD285:AD317" si="173">IF(    AND( AD4="補",  LEN(AD284)&gt;=2 ),        "." &amp; $A285,    IF(         AND( AD4="補" ),       $A285,        IF(  OR(  LEN(AD284)&gt;=2  ),  CONCATENATE(  "",  IF(  AND(  LEN(  INDEX(   $A$1:$AJ$39, MATCH($A285,$A$1:$A$39,0),MATCH(  AD$282,$A$1:$AP$1,0  )  )  )&gt;LEN(  SUBSTITUTE(  INDEX(   $A$1:$AJ$39, MATCH($A285,$A$1:$A$39,0),MATCH(  AD$282,$A$1:$AP$1,0  )  ),"補","")  ),  LEN(  INDEX(   $A$1:$AJ$39, MATCH($A285,$A$1:$A$39,0),MATCH(  AD$282,$A$1:$AP$1,0  )  )  )&gt;LEN(  SUBSTITUTE(  INDEX(   $A$1:$AJ$39, MATCH($A285,$A$1:$A$39,0),MATCH(  AD$282,$A$1:$AP$1,0  )  ),"-","")  )  ),  CONCATENATE(  $A285,"(",   SUBSTITUTE(   SUBSTITUTE(  SUBSTITUTE(  INDEX(   $A$1:$AG$39, MATCH($A285,$A$1:$A$39,0),MATCH(  AD$282,$A$282:$AP$282,0  )  ),"補",""),"x","")," ",""),"時",")"),  ""  )  ),  IF(  AND(  LEN(  INDEX(   $A$1:$AJ$39, MATCH($A285,$A$1:$A$39,0),MATCH(  AD$282,$A$1:$AP$1,0  )  )  )&gt;LEN(  SUBSTITUTE(  INDEX(   $A$1:$AJ$39, MATCH($A285,$A$1:$A$39,0),MATCH(  AD$282,$A$1:$AP$1,0  )  ),"補","")  ),  LEN(  INDEX(   $A$1:$AJ$39, MATCH($A285,$A$1:$A$39,0),MATCH(  AD$282,$A$1:$AP$1,0  )  )  )&gt;LEN(  SUBSTITUTE(  INDEX(   $A$1:$AJ$39, MATCH($A285,$A$1:$A$39,0),MATCH(  AD$282,$A$1:$AP$1,0  )  ),"-","")  )  ),  CONCATENATE(  $A285,"(",   SUBSTITUTE(   SUBSTITUTE(  SUBSTITUTE(  INDEX(   $A$1:$AJ$39, MATCH($A285,$A$1:$A$39,0),MATCH(  AD$282,$A$282:$AP$282,0  )  ),"補",""),"x","")," ",""),"時",")"),  ""  )  )           ))</f>
        <v/>
      </c>
      <c r="AE285" s="66" t="str">
        <f t="shared" ref="AE285:AE317" si="174">IF(    AND( AE4="補",  LEN(AE284)&gt;=2 ),        "." &amp; $A285,    IF(         AND( AE4="補" ),       $A285,        IF(  OR(  LEN(AE284)&gt;=2  ),  CONCATENATE(  "",  IF(  AND(  LEN(  INDEX(   $A$1:$AJ$39, MATCH($A285,$A$1:$A$39,0),MATCH(  AE$282,$A$1:$AP$1,0  )  )  )&gt;LEN(  SUBSTITUTE(  INDEX(   $A$1:$AJ$39, MATCH($A285,$A$1:$A$39,0),MATCH(  AE$282,$A$1:$AP$1,0  )  ),"補","")  ),  LEN(  INDEX(   $A$1:$AJ$39, MATCH($A285,$A$1:$A$39,0),MATCH(  AE$282,$A$1:$AP$1,0  )  )  )&gt;LEN(  SUBSTITUTE(  INDEX(   $A$1:$AJ$39, MATCH($A285,$A$1:$A$39,0),MATCH(  AE$282,$A$1:$AP$1,0  )  ),"-","")  )  ),  CONCATENATE(  $A285,"(",   SUBSTITUTE(   SUBSTITUTE(  SUBSTITUTE(  INDEX(   $A$1:$AG$39, MATCH($A285,$A$1:$A$39,0),MATCH(  AE$282,$A$282:$AP$282,0  )  ),"補",""),"x","")," ",""),"時",")"),  ""  )  ),  IF(  AND(  LEN(  INDEX(   $A$1:$AJ$39, MATCH($A285,$A$1:$A$39,0),MATCH(  AE$282,$A$1:$AP$1,0  )  )  )&gt;LEN(  SUBSTITUTE(  INDEX(   $A$1:$AJ$39, MATCH($A285,$A$1:$A$39,0),MATCH(  AE$282,$A$1:$AP$1,0  )  ),"補","")  ),  LEN(  INDEX(   $A$1:$AJ$39, MATCH($A285,$A$1:$A$39,0),MATCH(  AE$282,$A$1:$AP$1,0  )  )  )&gt;LEN(  SUBSTITUTE(  INDEX(   $A$1:$AJ$39, MATCH($A285,$A$1:$A$39,0),MATCH(  AE$282,$A$1:$AP$1,0  )  ),"-","")  )  ),  CONCATENATE(  $A285,"(",   SUBSTITUTE(   SUBSTITUTE(  SUBSTITUTE(  INDEX(   $A$1:$AJ$39, MATCH($A285,$A$1:$A$39,0),MATCH(  AE$282,$A$282:$AP$282,0  )  ),"補",""),"x","")," ",""),"時",")"),  ""  )  )           ))</f>
        <v/>
      </c>
      <c r="AF285" s="66" t="str">
        <f t="shared" ref="AF285:AF317" si="175">IF(    AND( AF4="補",  LEN(AF284)&gt;=2 ),        "." &amp; $A285,    IF(         AND( AF4="補" ),       $A285,        IF(  OR(  LEN(AF284)&gt;=2  ),  CONCATENATE(  "",  IF(  AND(  LEN(  INDEX(   $A$1:$AJ$39, MATCH($A285,$A$1:$A$39,0),MATCH(  AF$282,$A$1:$AP$1,0  )  )  )&gt;LEN(  SUBSTITUTE(  INDEX(   $A$1:$AJ$39, MATCH($A285,$A$1:$A$39,0),MATCH(  AF$282,$A$1:$AP$1,0  )  ),"補","")  ),  LEN(  INDEX(   $A$1:$AJ$39, MATCH($A285,$A$1:$A$39,0),MATCH(  AF$282,$A$1:$AP$1,0  )  )  )&gt;LEN(  SUBSTITUTE(  INDEX(   $A$1:$AJ$39, MATCH($A285,$A$1:$A$39,0),MATCH(  AF$282,$A$1:$AP$1,0  )  ),"-","")  )  ),  CONCATENATE(  $A285,"(",   SUBSTITUTE(   SUBSTITUTE(  SUBSTITUTE(  INDEX(   $A$1:$AG$39, MATCH($A285,$A$1:$A$39,0),MATCH(  AF$282,$A$282:$AP$282,0  )  ),"補",""),"x","")," ",""),"時",")"),  ""  )  ),  IF(  AND(  LEN(  INDEX(   $A$1:$AJ$39, MATCH($A285,$A$1:$A$39,0),MATCH(  AF$282,$A$1:$AP$1,0  )  )  )&gt;LEN(  SUBSTITUTE(  INDEX(   $A$1:$AJ$39, MATCH($A285,$A$1:$A$39,0),MATCH(  AF$282,$A$1:$AP$1,0  )  ),"補","")  ),  LEN(  INDEX(   $A$1:$AJ$39, MATCH($A285,$A$1:$A$39,0),MATCH(  AF$282,$A$1:$AP$1,0  )  )  )&gt;LEN(  SUBSTITUTE(  INDEX(   $A$1:$AJ$39, MATCH($A285,$A$1:$A$39,0),MATCH(  AF$282,$A$1:$AP$1,0  )  ),"-","")  )  ),  CONCATENATE(  $A285,"(",   SUBSTITUTE(   SUBSTITUTE(  SUBSTITUTE(  INDEX(   $A$1:$AJ$39, MATCH($A285,$A$1:$A$39,0),MATCH(  AF$282,$A$282:$AP$282,0  )  ),"補",""),"x","")," ",""),"時",")"),  ""  )  )           ))</f>
        <v/>
      </c>
      <c r="AG285" s="66" t="str">
        <f t="shared" ref="AG285:AG317" si="176">IF(    AND( AG4="補",  LEN(AG284)&gt;=2 ),        "." &amp; $A285,    IF(         AND( AG4="補" ),       $A285,        IF(  OR(  LEN(AG284)&gt;=2  ),  CONCATENATE(  "",  IF(  AND(  LEN(  INDEX(   $A$1:$AJ$39, MATCH($A285,$A$1:$A$39,0),MATCH(  AG$282,$A$1:$AP$1,0  )  )  )&gt;LEN(  SUBSTITUTE(  INDEX(   $A$1:$AJ$39, MATCH($A285,$A$1:$A$39,0),MATCH(  AG$282,$A$1:$AP$1,0  )  ),"補","")  ),  LEN(  INDEX(   $A$1:$AJ$39, MATCH($A285,$A$1:$A$39,0),MATCH(  AG$282,$A$1:$AP$1,0  )  )  )&gt;LEN(  SUBSTITUTE(  INDEX(   $A$1:$AJ$39, MATCH($A285,$A$1:$A$39,0),MATCH(  AG$282,$A$1:$AP$1,0  )  ),"-","")  )  ),  CONCATENATE(  $A285,"(",   SUBSTITUTE(   SUBSTITUTE(  SUBSTITUTE(  INDEX(   $A$1:$AG$39, MATCH($A285,$A$1:$A$39,0),MATCH(  AG$282,$A$282:$AP$282,0  )  ),"補",""),"x","")," ",""),"時",")"),  ""  )  ),  IF(  AND(  LEN(  INDEX(   $A$1:$AJ$39, MATCH($A285,$A$1:$A$39,0),MATCH(  AG$282,$A$1:$AP$1,0  )  )  )&gt;LEN(  SUBSTITUTE(  INDEX(   $A$1:$AJ$39, MATCH($A285,$A$1:$A$39,0),MATCH(  AG$282,$A$1:$AP$1,0  )  ),"補","")  ),  LEN(  INDEX(   $A$1:$AJ$39, MATCH($A285,$A$1:$A$39,0),MATCH(  AG$282,$A$1:$AP$1,0  )  )  )&gt;LEN(  SUBSTITUTE(  INDEX(   $A$1:$AJ$39, MATCH($A285,$A$1:$A$39,0),MATCH(  AG$282,$A$1:$AP$1,0  )  ),"-","")  )  ),  CONCATENATE(  $A285,"(",   SUBSTITUTE(   SUBSTITUTE(  SUBSTITUTE(  INDEX(   $A$1:$AJ$39, MATCH($A285,$A$1:$A$39,0),MATCH(  AG$282,$A$282:$AP$282,0  )  ),"補",""),"x","")," ",""),"時",")"),  ""  )  )           ))</f>
        <v/>
      </c>
      <c r="AH285" s="66" t="str">
        <f t="shared" ref="AH285:AH317" si="177">IF(    AND( AH4="補",  LEN(AH284)&gt;=2 ),        "." &amp; $A285,    IF(         AND( AH4="補" ),       $A285,        IF(  OR(  LEN(AH284)&gt;=2  ),  CONCATENATE(  "",  IF(  AND(  LEN(  INDEX(   $A$1:$AJ$39, MATCH($A285,$A$1:$A$39,0),MATCH(  AH$282,$A$1:$AP$1,0  )  )  )&gt;LEN(  SUBSTITUTE(  INDEX(   $A$1:$AJ$39, MATCH($A285,$A$1:$A$39,0),MATCH(  AH$282,$A$1:$AP$1,0  )  ),"補","")  ),  LEN(  INDEX(   $A$1:$AJ$39, MATCH($A285,$A$1:$A$39,0),MATCH(  AH$282,$A$1:$AP$1,0  )  )  )&gt;LEN(  SUBSTITUTE(  INDEX(   $A$1:$AJ$39, MATCH($A285,$A$1:$A$39,0),MATCH(  AH$282,$A$1:$AP$1,0  )  ),"-","")  )  ),  CONCATENATE(  $A285,"(",   SUBSTITUTE(   SUBSTITUTE(  SUBSTITUTE(  INDEX(   $A$1:$AG$39, MATCH($A285,$A$1:$A$39,0),MATCH(  AH$282,$A$282:$AP$282,0  )  ),"補",""),"x","")," ",""),"時",")"),  ""  )  ),  IF(  AND(  LEN(  INDEX(   $A$1:$AJ$39, MATCH($A285,$A$1:$A$39,0),MATCH(  AH$282,$A$1:$AP$1,0  )  )  )&gt;LEN(  SUBSTITUTE(  INDEX(   $A$1:$AJ$39, MATCH($A285,$A$1:$A$39,0),MATCH(  AH$282,$A$1:$AP$1,0  )  ),"補","")  ),  LEN(  INDEX(   $A$1:$AJ$39, MATCH($A285,$A$1:$A$39,0),MATCH(  AH$282,$A$1:$AP$1,0  )  )  )&gt;LEN(  SUBSTITUTE(  INDEX(   $A$1:$AJ$39, MATCH($A285,$A$1:$A$39,0),MATCH(  AH$282,$A$1:$AP$1,0  )  ),"-","")  )  ),  CONCATENATE(  $A285,"(",   SUBSTITUTE(   SUBSTITUTE(  SUBSTITUTE(  INDEX(   $A$1:$AJ$39, MATCH($A285,$A$1:$A$39,0),MATCH(  AH$282,$A$282:$AP$282,0  )  ),"補",""),"x","")," ",""),"時",")"),  ""  )  )           ))</f>
        <v/>
      </c>
      <c r="AI285" s="66" t="str">
        <f t="shared" ref="AI285:AI317" si="178">IF(    AND( AI4="補",  LEN(AI284)&gt;=2 ),        "." &amp; $A285,    IF(         AND( AI4="補" ),       $A285,        IF(  OR(  LEN(AI284)&gt;=2  ),  CONCATENATE(  "",  IF(  AND(  LEN(  INDEX(   $A$1:$AJ$39, MATCH($A285,$A$1:$A$39,0),MATCH(  AI$282,$A$1:$AP$1,0  )  )  )&gt;LEN(  SUBSTITUTE(  INDEX(   $A$1:$AJ$39, MATCH($A285,$A$1:$A$39,0),MATCH(  AI$282,$A$1:$AP$1,0  )  ),"補","")  ),  LEN(  INDEX(   $A$1:$AJ$39, MATCH($A285,$A$1:$A$39,0),MATCH(  AI$282,$A$1:$AP$1,0  )  )  )&gt;LEN(  SUBSTITUTE(  INDEX(   $A$1:$AJ$39, MATCH($A285,$A$1:$A$39,0),MATCH(  AI$282,$A$1:$AP$1,0  )  ),"-","")  )  ),  CONCATENATE(  $A285,"(",   SUBSTITUTE(   SUBSTITUTE(  SUBSTITUTE(  INDEX(   $A$1:$AG$39, MATCH($A285,$A$1:$A$39,0),MATCH(  AI$282,$A$282:$AP$282,0  )  ),"補",""),"x","")," ",""),"時",")"),  ""  )  ),  IF(  AND(  LEN(  INDEX(   $A$1:$AJ$39, MATCH($A285,$A$1:$A$39,0),MATCH(  AI$282,$A$1:$AP$1,0  )  )  )&gt;LEN(  SUBSTITUTE(  INDEX(   $A$1:$AJ$39, MATCH($A285,$A$1:$A$39,0),MATCH(  AI$282,$A$1:$AP$1,0  )  ),"補","")  ),  LEN(  INDEX(   $A$1:$AJ$39, MATCH($A285,$A$1:$A$39,0),MATCH(  AI$282,$A$1:$AP$1,0  )  )  )&gt;LEN(  SUBSTITUTE(  INDEX(   $A$1:$AJ$39, MATCH($A285,$A$1:$A$39,0),MATCH(  AI$282,$A$1:$AP$1,0  )  ),"-","")  )  ),  CONCATENATE(  $A285,"(",   SUBSTITUTE(   SUBSTITUTE(  SUBSTITUTE(  INDEX(   $A$1:$AJ$39, MATCH($A285,$A$1:$A$39,0),MATCH(  AI$282,$A$282:$AP$282,0  )  ),"補",""),"x","")," ",""),"時",")"),  ""  )  )           ))</f>
        <v/>
      </c>
      <c r="AJ285" s="66" t="str">
        <f t="shared" ref="AJ285:AJ317" si="179">IF(    AND( AJ4="補",  LEN(AJ284)&gt;=2 ),        "." &amp; $A285,    IF(         AND( AJ4="補" ),       $A285,        IF(  OR(  LEN(AJ284)&gt;=2  ),  CONCATENATE(  "",  IF(  AND(  LEN(  INDEX(   $A$1:$AJ$39, MATCH($A285,$A$1:$A$39,0),MATCH(  AJ$282,$A$1:$AP$1,0  )  )  )&gt;LEN(  SUBSTITUTE(  INDEX(   $A$1:$AJ$39, MATCH($A285,$A$1:$A$39,0),MATCH(  AJ$282,$A$1:$AP$1,0  )  ),"補","")  ),  LEN(  INDEX(   $A$1:$AJ$39, MATCH($A285,$A$1:$A$39,0),MATCH(  AJ$282,$A$1:$AP$1,0  )  )  )&gt;LEN(  SUBSTITUTE(  INDEX(   $A$1:$AJ$39, MATCH($A285,$A$1:$A$39,0),MATCH(  AJ$282,$A$1:$AP$1,0  )  ),"-","")  )  ),  CONCATENATE(  $A285,"(",   SUBSTITUTE(   SUBSTITUTE(  SUBSTITUTE(  INDEX(   $A$1:$AG$39, MATCH($A285,$A$1:$A$39,0),MATCH(  AJ$282,$A$282:$AP$282,0  )  ),"補",""),"x","")," ",""),"時",")"),  ""  )  ),  IF(  AND(  LEN(  INDEX(   $A$1:$AJ$39, MATCH($A285,$A$1:$A$39,0),MATCH(  AJ$282,$A$1:$AP$1,0  )  )  )&gt;LEN(  SUBSTITUTE(  INDEX(   $A$1:$AJ$39, MATCH($A285,$A$1:$A$39,0),MATCH(  AJ$282,$A$1:$AP$1,0  )  ),"補","")  ),  LEN(  INDEX(   $A$1:$AJ$39, MATCH($A285,$A$1:$A$39,0),MATCH(  AJ$282,$A$1:$AP$1,0  )  )  )&gt;LEN(  SUBSTITUTE(  INDEX(   $A$1:$AJ$39, MATCH($A285,$A$1:$A$39,0),MATCH(  AJ$282,$A$1:$AP$1,0  )  ),"-","")  )  ),  CONCATENATE(  $A285,"(",   SUBSTITUTE(   SUBSTITUTE(  SUBSTITUTE(  INDEX(   $A$1:$AJ$39, MATCH($A285,$A$1:$A$39,0),MATCH(  AJ$282,$A$282:$AP$282,0  )  ),"補",""),"x","")," ",""),"時",")"),  ""  )  )           ))</f>
        <v/>
      </c>
    </row>
    <row r="286" spans="1:55">
      <c r="A286" s="66">
        <f t="shared" si="142"/>
        <v>4</v>
      </c>
      <c r="B286" s="66" t="str">
        <f t="shared" si="142"/>
        <v>鄭凱文</v>
      </c>
      <c r="C286" s="66" t="str">
        <f t="shared" si="145"/>
        <v/>
      </c>
      <c r="D286" s="66" t="str">
        <f t="shared" si="147"/>
        <v/>
      </c>
      <c r="E286" s="66" t="str">
        <f t="shared" si="148"/>
        <v/>
      </c>
      <c r="F286" s="66" t="str">
        <f t="shared" si="149"/>
        <v/>
      </c>
      <c r="G286" s="66" t="str">
        <f t="shared" si="150"/>
        <v/>
      </c>
      <c r="H286" s="66" t="str">
        <f t="shared" si="151"/>
        <v/>
      </c>
      <c r="I286" s="66" t="str">
        <f t="shared" si="152"/>
        <v/>
      </c>
      <c r="J286" s="66" t="str">
        <f t="shared" si="153"/>
        <v/>
      </c>
      <c r="K286" s="66" t="str">
        <f t="shared" si="154"/>
        <v/>
      </c>
      <c r="L286" s="66" t="str">
        <f t="shared" si="155"/>
        <v/>
      </c>
      <c r="M286" s="66" t="str">
        <f t="shared" si="156"/>
        <v/>
      </c>
      <c r="N286" s="66" t="str">
        <f t="shared" si="157"/>
        <v/>
      </c>
      <c r="O286" s="66" t="str">
        <f t="shared" si="158"/>
        <v/>
      </c>
      <c r="P286" s="66" t="str">
        <f t="shared" si="159"/>
        <v/>
      </c>
      <c r="Q286" s="66" t="str">
        <f t="shared" si="160"/>
        <v/>
      </c>
      <c r="R286" s="66" t="str">
        <f t="shared" si="161"/>
        <v/>
      </c>
      <c r="S286" s="66" t="str">
        <f t="shared" si="162"/>
        <v/>
      </c>
      <c r="T286" s="66" t="str">
        <f t="shared" si="163"/>
        <v/>
      </c>
      <c r="U286" s="66" t="str">
        <f t="shared" si="164"/>
        <v/>
      </c>
      <c r="V286" s="66" t="str">
        <f t="shared" si="165"/>
        <v/>
      </c>
      <c r="W286" s="66" t="str">
        <f t="shared" si="166"/>
        <v/>
      </c>
      <c r="X286" s="66" t="str">
        <f t="shared" si="167"/>
        <v/>
      </c>
      <c r="Y286" s="66" t="str">
        <f t="shared" si="168"/>
        <v/>
      </c>
      <c r="Z286" s="66" t="str">
        <f t="shared" si="169"/>
        <v/>
      </c>
      <c r="AA286" s="66" t="str">
        <f t="shared" si="170"/>
        <v/>
      </c>
      <c r="AB286" s="66" t="str">
        <f t="shared" si="171"/>
        <v/>
      </c>
      <c r="AC286" s="66" t="str">
        <f t="shared" si="172"/>
        <v/>
      </c>
      <c r="AD286" s="66" t="str">
        <f t="shared" si="173"/>
        <v/>
      </c>
      <c r="AE286" s="66" t="str">
        <f t="shared" si="174"/>
        <v/>
      </c>
      <c r="AF286" s="66" t="str">
        <f t="shared" si="175"/>
        <v/>
      </c>
      <c r="AG286" s="66" t="str">
        <f t="shared" si="176"/>
        <v/>
      </c>
      <c r="AH286" s="66" t="str">
        <f t="shared" si="177"/>
        <v/>
      </c>
      <c r="AI286" s="66" t="str">
        <f t="shared" si="178"/>
        <v/>
      </c>
      <c r="AJ286" s="66" t="str">
        <f t="shared" si="179"/>
        <v/>
      </c>
    </row>
    <row r="287" spans="1:55">
      <c r="A287" s="66">
        <f t="shared" si="142"/>
        <v>5</v>
      </c>
      <c r="B287" s="66" t="str">
        <f t="shared" si="142"/>
        <v>蔡政倫</v>
      </c>
      <c r="C287" s="66" t="str">
        <f t="shared" si="145"/>
        <v/>
      </c>
      <c r="D287" s="66" t="str">
        <f t="shared" si="147"/>
        <v/>
      </c>
      <c r="E287" s="66" t="str">
        <f t="shared" si="148"/>
        <v/>
      </c>
      <c r="F287" s="66" t="str">
        <f t="shared" si="149"/>
        <v/>
      </c>
      <c r="G287" s="66" t="str">
        <f t="shared" si="150"/>
        <v/>
      </c>
      <c r="H287" s="66" t="str">
        <f t="shared" si="151"/>
        <v/>
      </c>
      <c r="I287" s="66" t="str">
        <f t="shared" si="152"/>
        <v/>
      </c>
      <c r="J287" s="66" t="str">
        <f t="shared" si="153"/>
        <v/>
      </c>
      <c r="K287" s="66" t="str">
        <f t="shared" si="154"/>
        <v/>
      </c>
      <c r="L287" s="66" t="str">
        <f t="shared" si="155"/>
        <v/>
      </c>
      <c r="M287" s="66" t="str">
        <f t="shared" si="156"/>
        <v/>
      </c>
      <c r="N287" s="66" t="str">
        <f t="shared" si="157"/>
        <v/>
      </c>
      <c r="O287" s="66" t="str">
        <f t="shared" si="158"/>
        <v/>
      </c>
      <c r="P287" s="66" t="str">
        <f t="shared" si="159"/>
        <v/>
      </c>
      <c r="Q287" s="66" t="str">
        <f t="shared" si="160"/>
        <v/>
      </c>
      <c r="R287" s="66" t="str">
        <f t="shared" si="161"/>
        <v/>
      </c>
      <c r="S287" s="66" t="str">
        <f t="shared" si="162"/>
        <v/>
      </c>
      <c r="T287" s="66" t="str">
        <f t="shared" si="163"/>
        <v/>
      </c>
      <c r="U287" s="66" t="str">
        <f t="shared" si="164"/>
        <v/>
      </c>
      <c r="V287" s="66" t="str">
        <f t="shared" si="165"/>
        <v/>
      </c>
      <c r="W287" s="66" t="str">
        <f t="shared" si="166"/>
        <v/>
      </c>
      <c r="X287" s="66" t="str">
        <f t="shared" si="167"/>
        <v/>
      </c>
      <c r="Y287" s="66" t="str">
        <f t="shared" si="168"/>
        <v/>
      </c>
      <c r="Z287" s="66" t="str">
        <f t="shared" si="169"/>
        <v/>
      </c>
      <c r="AA287" s="66" t="str">
        <f t="shared" si="170"/>
        <v/>
      </c>
      <c r="AB287" s="66" t="str">
        <f t="shared" si="171"/>
        <v/>
      </c>
      <c r="AC287" s="66" t="str">
        <f t="shared" si="172"/>
        <v/>
      </c>
      <c r="AD287" s="66" t="str">
        <f t="shared" si="173"/>
        <v/>
      </c>
      <c r="AE287" s="66" t="str">
        <f t="shared" si="174"/>
        <v/>
      </c>
      <c r="AF287" s="66" t="str">
        <f t="shared" si="175"/>
        <v/>
      </c>
      <c r="AG287" s="66" t="str">
        <f t="shared" si="176"/>
        <v/>
      </c>
      <c r="AH287" s="66" t="str">
        <f t="shared" si="177"/>
        <v/>
      </c>
      <c r="AI287" s="66" t="str">
        <f t="shared" si="178"/>
        <v/>
      </c>
      <c r="AJ287" s="66" t="str">
        <f t="shared" si="179"/>
        <v/>
      </c>
    </row>
    <row r="288" spans="1:55">
      <c r="A288" s="66">
        <f t="shared" si="142"/>
        <v>6</v>
      </c>
      <c r="B288" s="66" t="str">
        <f t="shared" si="142"/>
        <v>邱昱銘</v>
      </c>
      <c r="C288" s="66" t="str">
        <f t="shared" si="145"/>
        <v/>
      </c>
      <c r="D288" s="66" t="str">
        <f t="shared" si="147"/>
        <v/>
      </c>
      <c r="E288" s="66" t="str">
        <f t="shared" si="148"/>
        <v/>
      </c>
      <c r="F288" s="66" t="str">
        <f t="shared" si="149"/>
        <v/>
      </c>
      <c r="G288" s="66" t="str">
        <f t="shared" si="150"/>
        <v/>
      </c>
      <c r="H288" s="66" t="str">
        <f t="shared" si="151"/>
        <v/>
      </c>
      <c r="I288" s="66" t="str">
        <f t="shared" si="152"/>
        <v/>
      </c>
      <c r="J288" s="66" t="str">
        <f t="shared" si="153"/>
        <v/>
      </c>
      <c r="K288" s="66" t="str">
        <f t="shared" si="154"/>
        <v/>
      </c>
      <c r="L288" s="66" t="str">
        <f t="shared" si="155"/>
        <v/>
      </c>
      <c r="M288" s="66" t="str">
        <f t="shared" si="156"/>
        <v/>
      </c>
      <c r="N288" s="66" t="str">
        <f t="shared" si="157"/>
        <v/>
      </c>
      <c r="O288" s="66" t="str">
        <f t="shared" si="158"/>
        <v/>
      </c>
      <c r="P288" s="66" t="str">
        <f t="shared" si="159"/>
        <v/>
      </c>
      <c r="Q288" s="66" t="str">
        <f t="shared" si="160"/>
        <v/>
      </c>
      <c r="R288" s="66" t="str">
        <f t="shared" si="161"/>
        <v/>
      </c>
      <c r="S288" s="66" t="str">
        <f t="shared" si="162"/>
        <v/>
      </c>
      <c r="T288" s="66" t="str">
        <f t="shared" si="163"/>
        <v/>
      </c>
      <c r="U288" s="66" t="str">
        <f t="shared" si="164"/>
        <v/>
      </c>
      <c r="V288" s="66" t="str">
        <f t="shared" si="165"/>
        <v/>
      </c>
      <c r="W288" s="66" t="str">
        <f t="shared" si="166"/>
        <v/>
      </c>
      <c r="X288" s="66" t="str">
        <f t="shared" si="167"/>
        <v/>
      </c>
      <c r="Y288" s="66" t="str">
        <f t="shared" si="168"/>
        <v/>
      </c>
      <c r="Z288" s="66" t="str">
        <f t="shared" si="169"/>
        <v/>
      </c>
      <c r="AA288" s="66" t="str">
        <f t="shared" si="170"/>
        <v/>
      </c>
      <c r="AB288" s="66" t="str">
        <f t="shared" si="171"/>
        <v/>
      </c>
      <c r="AC288" s="66" t="str">
        <f t="shared" si="172"/>
        <v/>
      </c>
      <c r="AD288" s="66" t="str">
        <f t="shared" si="173"/>
        <v/>
      </c>
      <c r="AE288" s="66" t="str">
        <f t="shared" si="174"/>
        <v/>
      </c>
      <c r="AF288" s="66" t="str">
        <f t="shared" si="175"/>
        <v/>
      </c>
      <c r="AG288" s="66" t="str">
        <f t="shared" si="176"/>
        <v/>
      </c>
      <c r="AH288" s="66" t="str">
        <f t="shared" si="177"/>
        <v/>
      </c>
      <c r="AI288" s="66" t="str">
        <f t="shared" si="178"/>
        <v/>
      </c>
      <c r="AJ288" s="66" t="str">
        <f t="shared" si="179"/>
        <v/>
      </c>
    </row>
    <row r="289" spans="1:36">
      <c r="A289" s="66">
        <f t="shared" si="142"/>
        <v>7</v>
      </c>
      <c r="B289" s="66" t="str">
        <f t="shared" si="142"/>
        <v>洪長昇</v>
      </c>
      <c r="C289" s="66" t="str">
        <f t="shared" si="145"/>
        <v/>
      </c>
      <c r="D289" s="66" t="str">
        <f t="shared" si="147"/>
        <v/>
      </c>
      <c r="E289" s="66" t="str">
        <f t="shared" si="148"/>
        <v/>
      </c>
      <c r="F289" s="66" t="str">
        <f t="shared" si="149"/>
        <v/>
      </c>
      <c r="G289" s="66" t="str">
        <f t="shared" si="150"/>
        <v/>
      </c>
      <c r="H289" s="66" t="str">
        <f t="shared" si="151"/>
        <v/>
      </c>
      <c r="I289" s="66" t="str">
        <f t="shared" si="152"/>
        <v/>
      </c>
      <c r="J289" s="66" t="str">
        <f t="shared" si="153"/>
        <v/>
      </c>
      <c r="K289" s="66" t="str">
        <f t="shared" si="154"/>
        <v/>
      </c>
      <c r="L289" s="66" t="str">
        <f t="shared" si="155"/>
        <v/>
      </c>
      <c r="M289" s="66" t="str">
        <f t="shared" si="156"/>
        <v/>
      </c>
      <c r="N289" s="66" t="str">
        <f t="shared" si="157"/>
        <v/>
      </c>
      <c r="O289" s="66" t="str">
        <f t="shared" si="158"/>
        <v/>
      </c>
      <c r="P289" s="66" t="str">
        <f t="shared" si="159"/>
        <v/>
      </c>
      <c r="Q289" s="66" t="str">
        <f t="shared" si="160"/>
        <v/>
      </c>
      <c r="R289" s="66" t="str">
        <f t="shared" si="161"/>
        <v/>
      </c>
      <c r="S289" s="66" t="str">
        <f t="shared" si="162"/>
        <v/>
      </c>
      <c r="T289" s="66" t="str">
        <f t="shared" si="163"/>
        <v/>
      </c>
      <c r="U289" s="66" t="str">
        <f t="shared" si="164"/>
        <v/>
      </c>
      <c r="V289" s="66" t="str">
        <f t="shared" si="165"/>
        <v/>
      </c>
      <c r="W289" s="66" t="str">
        <f t="shared" si="166"/>
        <v/>
      </c>
      <c r="X289" s="66" t="str">
        <f t="shared" si="167"/>
        <v/>
      </c>
      <c r="Y289" s="66" t="str">
        <f t="shared" si="168"/>
        <v/>
      </c>
      <c r="Z289" s="66" t="str">
        <f t="shared" si="169"/>
        <v/>
      </c>
      <c r="AA289" s="66" t="str">
        <f t="shared" si="170"/>
        <v/>
      </c>
      <c r="AB289" s="66" t="str">
        <f t="shared" si="171"/>
        <v/>
      </c>
      <c r="AC289" s="66" t="str">
        <f t="shared" si="172"/>
        <v/>
      </c>
      <c r="AD289" s="66" t="str">
        <f t="shared" si="173"/>
        <v/>
      </c>
      <c r="AE289" s="66" t="str">
        <f t="shared" si="174"/>
        <v/>
      </c>
      <c r="AF289" s="66" t="str">
        <f t="shared" si="175"/>
        <v/>
      </c>
      <c r="AG289" s="66" t="str">
        <f t="shared" si="176"/>
        <v/>
      </c>
      <c r="AH289" s="66" t="str">
        <f t="shared" si="177"/>
        <v/>
      </c>
      <c r="AI289" s="66" t="str">
        <f t="shared" si="178"/>
        <v/>
      </c>
      <c r="AJ289" s="66" t="str">
        <f t="shared" si="179"/>
        <v/>
      </c>
    </row>
    <row r="290" spans="1:36">
      <c r="A290" s="66">
        <f t="shared" si="142"/>
        <v>8</v>
      </c>
      <c r="B290" s="66" t="str">
        <f t="shared" si="142"/>
        <v>許翊呈</v>
      </c>
      <c r="C290" s="66" t="str">
        <f t="shared" si="145"/>
        <v/>
      </c>
      <c r="D290" s="66" t="str">
        <f t="shared" si="147"/>
        <v/>
      </c>
      <c r="E290" s="66" t="str">
        <f t="shared" si="148"/>
        <v/>
      </c>
      <c r="F290" s="66" t="str">
        <f t="shared" si="149"/>
        <v/>
      </c>
      <c r="G290" s="66" t="str">
        <f t="shared" si="150"/>
        <v/>
      </c>
      <c r="H290" s="66" t="str">
        <f t="shared" si="151"/>
        <v/>
      </c>
      <c r="I290" s="66" t="str">
        <f t="shared" si="152"/>
        <v/>
      </c>
      <c r="J290" s="66" t="str">
        <f t="shared" si="153"/>
        <v/>
      </c>
      <c r="K290" s="66" t="str">
        <f t="shared" si="154"/>
        <v/>
      </c>
      <c r="L290" s="66" t="str">
        <f t="shared" si="155"/>
        <v/>
      </c>
      <c r="M290" s="66" t="str">
        <f t="shared" si="156"/>
        <v/>
      </c>
      <c r="N290" s="66" t="str">
        <f t="shared" si="157"/>
        <v/>
      </c>
      <c r="O290" s="66" t="str">
        <f t="shared" si="158"/>
        <v/>
      </c>
      <c r="P290" s="66" t="str">
        <f t="shared" si="159"/>
        <v/>
      </c>
      <c r="Q290" s="66" t="str">
        <f t="shared" si="160"/>
        <v/>
      </c>
      <c r="R290" s="66" t="str">
        <f t="shared" si="161"/>
        <v/>
      </c>
      <c r="S290" s="66" t="str">
        <f t="shared" si="162"/>
        <v/>
      </c>
      <c r="T290" s="66" t="str">
        <f t="shared" si="163"/>
        <v/>
      </c>
      <c r="U290" s="66" t="str">
        <f t="shared" si="164"/>
        <v/>
      </c>
      <c r="V290" s="66" t="str">
        <f t="shared" si="165"/>
        <v/>
      </c>
      <c r="W290" s="66" t="str">
        <f t="shared" si="166"/>
        <v/>
      </c>
      <c r="X290" s="66" t="str">
        <f t="shared" si="167"/>
        <v/>
      </c>
      <c r="Y290" s="66" t="str">
        <f t="shared" si="168"/>
        <v/>
      </c>
      <c r="Z290" s="66" t="str">
        <f t="shared" si="169"/>
        <v/>
      </c>
      <c r="AA290" s="66" t="str">
        <f t="shared" si="170"/>
        <v/>
      </c>
      <c r="AB290" s="66" t="str">
        <f t="shared" si="171"/>
        <v/>
      </c>
      <c r="AC290" s="66" t="str">
        <f t="shared" si="172"/>
        <v/>
      </c>
      <c r="AD290" s="66" t="str">
        <f t="shared" si="173"/>
        <v/>
      </c>
      <c r="AE290" s="66" t="str">
        <f t="shared" si="174"/>
        <v/>
      </c>
      <c r="AF290" s="66" t="str">
        <f t="shared" si="175"/>
        <v/>
      </c>
      <c r="AG290" s="66" t="str">
        <f t="shared" si="176"/>
        <v/>
      </c>
      <c r="AH290" s="66" t="str">
        <f t="shared" si="177"/>
        <v/>
      </c>
      <c r="AI290" s="66" t="str">
        <f t="shared" si="178"/>
        <v/>
      </c>
      <c r="AJ290" s="66" t="str">
        <f t="shared" si="179"/>
        <v/>
      </c>
    </row>
    <row r="291" spans="1:36">
      <c r="A291" s="66">
        <f t="shared" si="142"/>
        <v>9</v>
      </c>
      <c r="B291" s="66" t="str">
        <f t="shared" si="142"/>
        <v>李政聰</v>
      </c>
      <c r="C291" s="66" t="str">
        <f t="shared" si="145"/>
        <v/>
      </c>
      <c r="D291" s="66" t="str">
        <f t="shared" si="147"/>
        <v/>
      </c>
      <c r="E291" s="66" t="str">
        <f t="shared" si="148"/>
        <v/>
      </c>
      <c r="F291" s="66" t="str">
        <f t="shared" si="149"/>
        <v/>
      </c>
      <c r="G291" s="66" t="str">
        <f t="shared" si="150"/>
        <v/>
      </c>
      <c r="H291" s="66" t="str">
        <f t="shared" si="151"/>
        <v/>
      </c>
      <c r="I291" s="66" t="str">
        <f t="shared" si="152"/>
        <v/>
      </c>
      <c r="J291" s="66" t="str">
        <f t="shared" si="153"/>
        <v/>
      </c>
      <c r="K291" s="66" t="str">
        <f t="shared" si="154"/>
        <v/>
      </c>
      <c r="L291" s="66" t="str">
        <f t="shared" si="155"/>
        <v/>
      </c>
      <c r="M291" s="66" t="str">
        <f t="shared" si="156"/>
        <v/>
      </c>
      <c r="N291" s="66" t="str">
        <f t="shared" si="157"/>
        <v/>
      </c>
      <c r="O291" s="66" t="str">
        <f t="shared" si="158"/>
        <v/>
      </c>
      <c r="P291" s="66" t="str">
        <f t="shared" si="159"/>
        <v/>
      </c>
      <c r="Q291" s="66" t="str">
        <f t="shared" si="160"/>
        <v/>
      </c>
      <c r="R291" s="66" t="str">
        <f t="shared" si="161"/>
        <v/>
      </c>
      <c r="S291" s="66" t="str">
        <f t="shared" si="162"/>
        <v/>
      </c>
      <c r="T291" s="66" t="str">
        <f t="shared" si="163"/>
        <v/>
      </c>
      <c r="U291" s="66" t="str">
        <f t="shared" si="164"/>
        <v/>
      </c>
      <c r="V291" s="66" t="str">
        <f t="shared" si="165"/>
        <v/>
      </c>
      <c r="W291" s="66" t="str">
        <f t="shared" si="166"/>
        <v/>
      </c>
      <c r="X291" s="66" t="str">
        <f t="shared" si="167"/>
        <v/>
      </c>
      <c r="Y291" s="66" t="str">
        <f t="shared" si="168"/>
        <v/>
      </c>
      <c r="Z291" s="66" t="str">
        <f t="shared" si="169"/>
        <v/>
      </c>
      <c r="AA291" s="66" t="str">
        <f t="shared" si="170"/>
        <v/>
      </c>
      <c r="AB291" s="66" t="str">
        <f t="shared" si="171"/>
        <v/>
      </c>
      <c r="AC291" s="66" t="str">
        <f t="shared" si="172"/>
        <v/>
      </c>
      <c r="AD291" s="66" t="str">
        <f t="shared" si="173"/>
        <v/>
      </c>
      <c r="AE291" s="66" t="str">
        <f t="shared" si="174"/>
        <v/>
      </c>
      <c r="AF291" s="66" t="str">
        <f t="shared" si="175"/>
        <v/>
      </c>
      <c r="AG291" s="66" t="str">
        <f t="shared" si="176"/>
        <v/>
      </c>
      <c r="AH291" s="66" t="str">
        <f t="shared" si="177"/>
        <v/>
      </c>
      <c r="AI291" s="66" t="str">
        <f t="shared" si="178"/>
        <v/>
      </c>
      <c r="AJ291" s="66" t="str">
        <f t="shared" si="179"/>
        <v/>
      </c>
    </row>
    <row r="292" spans="1:36">
      <c r="A292" s="66">
        <f t="shared" si="142"/>
        <v>10</v>
      </c>
      <c r="B292" s="66" t="str">
        <f t="shared" si="142"/>
        <v>劉威志</v>
      </c>
      <c r="C292" s="66" t="str">
        <f t="shared" si="145"/>
        <v/>
      </c>
      <c r="D292" s="66" t="str">
        <f t="shared" si="147"/>
        <v/>
      </c>
      <c r="E292" s="66" t="str">
        <f t="shared" si="148"/>
        <v/>
      </c>
      <c r="F292" s="66" t="str">
        <f t="shared" si="149"/>
        <v/>
      </c>
      <c r="G292" s="66" t="str">
        <f t="shared" si="150"/>
        <v/>
      </c>
      <c r="H292" s="66" t="str">
        <f t="shared" si="151"/>
        <v/>
      </c>
      <c r="I292" s="66" t="str">
        <f t="shared" si="152"/>
        <v/>
      </c>
      <c r="J292" s="66" t="str">
        <f t="shared" si="153"/>
        <v/>
      </c>
      <c r="K292" s="66" t="str">
        <f t="shared" si="154"/>
        <v/>
      </c>
      <c r="L292" s="66" t="str">
        <f t="shared" si="155"/>
        <v/>
      </c>
      <c r="M292" s="66" t="str">
        <f t="shared" si="156"/>
        <v/>
      </c>
      <c r="N292" s="66" t="str">
        <f t="shared" si="157"/>
        <v/>
      </c>
      <c r="O292" s="66" t="str">
        <f t="shared" si="158"/>
        <v/>
      </c>
      <c r="P292" s="66" t="str">
        <f t="shared" si="159"/>
        <v/>
      </c>
      <c r="Q292" s="66" t="str">
        <f t="shared" si="160"/>
        <v/>
      </c>
      <c r="R292" s="66" t="str">
        <f t="shared" si="161"/>
        <v/>
      </c>
      <c r="S292" s="66" t="str">
        <f t="shared" si="162"/>
        <v/>
      </c>
      <c r="T292" s="66" t="str">
        <f t="shared" si="163"/>
        <v/>
      </c>
      <c r="U292" s="66" t="str">
        <f t="shared" si="164"/>
        <v/>
      </c>
      <c r="V292" s="66" t="str">
        <f t="shared" si="165"/>
        <v/>
      </c>
      <c r="W292" s="66" t="str">
        <f t="shared" si="166"/>
        <v/>
      </c>
      <c r="X292" s="66" t="str">
        <f t="shared" si="167"/>
        <v/>
      </c>
      <c r="Y292" s="66" t="str">
        <f t="shared" si="168"/>
        <v/>
      </c>
      <c r="Z292" s="66" t="str">
        <f t="shared" si="169"/>
        <v/>
      </c>
      <c r="AA292" s="66" t="str">
        <f t="shared" si="170"/>
        <v/>
      </c>
      <c r="AB292" s="66" t="str">
        <f t="shared" si="171"/>
        <v/>
      </c>
      <c r="AC292" s="66" t="str">
        <f t="shared" si="172"/>
        <v/>
      </c>
      <c r="AD292" s="66" t="str">
        <f t="shared" si="173"/>
        <v/>
      </c>
      <c r="AE292" s="66" t="str">
        <f t="shared" si="174"/>
        <v/>
      </c>
      <c r="AF292" s="66" t="str">
        <f t="shared" si="175"/>
        <v/>
      </c>
      <c r="AG292" s="66" t="str">
        <f t="shared" si="176"/>
        <v/>
      </c>
      <c r="AH292" s="66" t="str">
        <f t="shared" si="177"/>
        <v/>
      </c>
      <c r="AI292" s="66" t="str">
        <f t="shared" si="178"/>
        <v/>
      </c>
      <c r="AJ292" s="66" t="str">
        <f t="shared" si="179"/>
        <v/>
      </c>
    </row>
    <row r="293" spans="1:36">
      <c r="A293" s="66">
        <f t="shared" si="142"/>
        <v>11</v>
      </c>
      <c r="B293" s="66" t="str">
        <f t="shared" si="142"/>
        <v>梁展碩</v>
      </c>
      <c r="C293" s="66" t="str">
        <f t="shared" si="145"/>
        <v/>
      </c>
      <c r="D293" s="66" t="str">
        <f t="shared" si="147"/>
        <v/>
      </c>
      <c r="E293" s="66" t="str">
        <f t="shared" si="148"/>
        <v/>
      </c>
      <c r="F293" s="66" t="str">
        <f t="shared" si="149"/>
        <v/>
      </c>
      <c r="G293" s="66" t="str">
        <f t="shared" si="150"/>
        <v/>
      </c>
      <c r="H293" s="66" t="str">
        <f t="shared" si="151"/>
        <v/>
      </c>
      <c r="I293" s="66" t="str">
        <f t="shared" si="152"/>
        <v/>
      </c>
      <c r="J293" s="66" t="str">
        <f t="shared" si="153"/>
        <v/>
      </c>
      <c r="K293" s="66" t="str">
        <f t="shared" si="154"/>
        <v/>
      </c>
      <c r="L293" s="66" t="str">
        <f t="shared" si="155"/>
        <v/>
      </c>
      <c r="M293" s="66" t="str">
        <f t="shared" si="156"/>
        <v/>
      </c>
      <c r="N293" s="66" t="str">
        <f t="shared" si="157"/>
        <v/>
      </c>
      <c r="O293" s="66" t="str">
        <f t="shared" si="158"/>
        <v/>
      </c>
      <c r="P293" s="66" t="str">
        <f t="shared" si="159"/>
        <v/>
      </c>
      <c r="Q293" s="66" t="str">
        <f t="shared" si="160"/>
        <v/>
      </c>
      <c r="R293" s="66" t="str">
        <f t="shared" si="161"/>
        <v/>
      </c>
      <c r="S293" s="66" t="str">
        <f t="shared" si="162"/>
        <v/>
      </c>
      <c r="T293" s="66" t="str">
        <f t="shared" si="163"/>
        <v/>
      </c>
      <c r="U293" s="66" t="str">
        <f t="shared" si="164"/>
        <v/>
      </c>
      <c r="V293" s="66" t="str">
        <f t="shared" si="165"/>
        <v/>
      </c>
      <c r="W293" s="66" t="str">
        <f t="shared" si="166"/>
        <v/>
      </c>
      <c r="X293" s="66" t="str">
        <f t="shared" si="167"/>
        <v/>
      </c>
      <c r="Y293" s="66" t="str">
        <f t="shared" si="168"/>
        <v/>
      </c>
      <c r="Z293" s="66" t="str">
        <f t="shared" si="169"/>
        <v/>
      </c>
      <c r="AA293" s="66" t="str">
        <f t="shared" si="170"/>
        <v/>
      </c>
      <c r="AB293" s="66" t="str">
        <f t="shared" si="171"/>
        <v/>
      </c>
      <c r="AC293" s="66" t="str">
        <f t="shared" si="172"/>
        <v/>
      </c>
      <c r="AD293" s="66" t="str">
        <f t="shared" si="173"/>
        <v/>
      </c>
      <c r="AE293" s="66" t="str">
        <f t="shared" si="174"/>
        <v/>
      </c>
      <c r="AF293" s="66" t="str">
        <f t="shared" si="175"/>
        <v/>
      </c>
      <c r="AG293" s="66" t="str">
        <f t="shared" si="176"/>
        <v/>
      </c>
      <c r="AH293" s="66" t="str">
        <f t="shared" si="177"/>
        <v/>
      </c>
      <c r="AI293" s="66" t="str">
        <f t="shared" si="178"/>
        <v/>
      </c>
      <c r="AJ293" s="66" t="str">
        <f t="shared" si="179"/>
        <v/>
      </c>
    </row>
    <row r="294" spans="1:36">
      <c r="A294" s="66">
        <f t="shared" si="142"/>
        <v>12</v>
      </c>
      <c r="B294" s="66" t="str">
        <f t="shared" si="142"/>
        <v>何奕諠</v>
      </c>
      <c r="C294" s="66" t="str">
        <f t="shared" si="145"/>
        <v/>
      </c>
      <c r="D294" s="66" t="str">
        <f t="shared" si="147"/>
        <v/>
      </c>
      <c r="E294" s="66" t="str">
        <f t="shared" si="148"/>
        <v/>
      </c>
      <c r="F294" s="66" t="str">
        <f t="shared" si="149"/>
        <v/>
      </c>
      <c r="G294" s="66" t="str">
        <f t="shared" si="150"/>
        <v/>
      </c>
      <c r="H294" s="66" t="str">
        <f t="shared" si="151"/>
        <v/>
      </c>
      <c r="I294" s="66" t="str">
        <f t="shared" si="152"/>
        <v/>
      </c>
      <c r="J294" s="66" t="str">
        <f t="shared" si="153"/>
        <v/>
      </c>
      <c r="K294" s="66" t="str">
        <f t="shared" si="154"/>
        <v/>
      </c>
      <c r="L294" s="66" t="str">
        <f t="shared" si="155"/>
        <v/>
      </c>
      <c r="M294" s="66" t="str">
        <f t="shared" si="156"/>
        <v/>
      </c>
      <c r="N294" s="66" t="str">
        <f t="shared" si="157"/>
        <v/>
      </c>
      <c r="O294" s="66" t="str">
        <f t="shared" si="158"/>
        <v/>
      </c>
      <c r="P294" s="66" t="str">
        <f t="shared" si="159"/>
        <v/>
      </c>
      <c r="Q294" s="66" t="str">
        <f t="shared" si="160"/>
        <v/>
      </c>
      <c r="R294" s="66" t="str">
        <f t="shared" si="161"/>
        <v/>
      </c>
      <c r="S294" s="66" t="str">
        <f t="shared" si="162"/>
        <v/>
      </c>
      <c r="T294" s="66" t="str">
        <f t="shared" si="163"/>
        <v/>
      </c>
      <c r="U294" s="66" t="str">
        <f t="shared" si="164"/>
        <v/>
      </c>
      <c r="V294" s="66" t="str">
        <f t="shared" si="165"/>
        <v/>
      </c>
      <c r="W294" s="66" t="str">
        <f t="shared" si="166"/>
        <v/>
      </c>
      <c r="X294" s="66" t="str">
        <f t="shared" si="167"/>
        <v/>
      </c>
      <c r="Y294" s="66" t="str">
        <f t="shared" si="168"/>
        <v/>
      </c>
      <c r="Z294" s="66" t="str">
        <f t="shared" si="169"/>
        <v/>
      </c>
      <c r="AA294" s="66" t="str">
        <f t="shared" si="170"/>
        <v/>
      </c>
      <c r="AB294" s="66" t="str">
        <f t="shared" si="171"/>
        <v/>
      </c>
      <c r="AC294" s="66" t="str">
        <f t="shared" si="172"/>
        <v/>
      </c>
      <c r="AD294" s="66" t="str">
        <f t="shared" si="173"/>
        <v/>
      </c>
      <c r="AE294" s="66" t="str">
        <f t="shared" si="174"/>
        <v/>
      </c>
      <c r="AF294" s="66" t="str">
        <f t="shared" si="175"/>
        <v/>
      </c>
      <c r="AG294" s="66" t="str">
        <f t="shared" si="176"/>
        <v/>
      </c>
      <c r="AH294" s="66" t="str">
        <f t="shared" si="177"/>
        <v/>
      </c>
      <c r="AI294" s="66" t="str">
        <f t="shared" si="178"/>
        <v/>
      </c>
      <c r="AJ294" s="66" t="str">
        <f t="shared" si="179"/>
        <v/>
      </c>
    </row>
    <row r="295" spans="1:36">
      <c r="A295" s="66">
        <f t="shared" si="142"/>
        <v>13</v>
      </c>
      <c r="B295" s="66" t="str">
        <f t="shared" si="142"/>
        <v>楊瑞麟</v>
      </c>
      <c r="C295" s="66" t="str">
        <f t="shared" si="145"/>
        <v/>
      </c>
      <c r="D295" s="66" t="str">
        <f t="shared" si="147"/>
        <v/>
      </c>
      <c r="E295" s="66" t="str">
        <f t="shared" si="148"/>
        <v/>
      </c>
      <c r="F295" s="66" t="str">
        <f t="shared" si="149"/>
        <v/>
      </c>
      <c r="G295" s="66" t="str">
        <f t="shared" si="150"/>
        <v/>
      </c>
      <c r="H295" s="66" t="str">
        <f t="shared" si="151"/>
        <v/>
      </c>
      <c r="I295" s="66" t="str">
        <f t="shared" si="152"/>
        <v/>
      </c>
      <c r="J295" s="66" t="str">
        <f t="shared" si="153"/>
        <v/>
      </c>
      <c r="K295" s="66" t="str">
        <f t="shared" si="154"/>
        <v/>
      </c>
      <c r="L295" s="66" t="str">
        <f t="shared" si="155"/>
        <v/>
      </c>
      <c r="M295" s="66" t="str">
        <f t="shared" si="156"/>
        <v/>
      </c>
      <c r="N295" s="66" t="str">
        <f t="shared" si="157"/>
        <v/>
      </c>
      <c r="O295" s="66" t="str">
        <f t="shared" si="158"/>
        <v/>
      </c>
      <c r="P295" s="66" t="str">
        <f t="shared" si="159"/>
        <v/>
      </c>
      <c r="Q295" s="66" t="str">
        <f t="shared" si="160"/>
        <v/>
      </c>
      <c r="R295" s="66" t="str">
        <f t="shared" si="161"/>
        <v/>
      </c>
      <c r="S295" s="66" t="str">
        <f t="shared" si="162"/>
        <v/>
      </c>
      <c r="T295" s="66" t="str">
        <f t="shared" si="163"/>
        <v/>
      </c>
      <c r="U295" s="66" t="str">
        <f t="shared" si="164"/>
        <v/>
      </c>
      <c r="V295" s="66" t="str">
        <f t="shared" si="165"/>
        <v/>
      </c>
      <c r="W295" s="66" t="str">
        <f t="shared" si="166"/>
        <v/>
      </c>
      <c r="X295" s="66" t="str">
        <f t="shared" si="167"/>
        <v/>
      </c>
      <c r="Y295" s="66" t="str">
        <f t="shared" si="168"/>
        <v/>
      </c>
      <c r="Z295" s="66" t="str">
        <f t="shared" si="169"/>
        <v/>
      </c>
      <c r="AA295" s="66" t="str">
        <f t="shared" si="170"/>
        <v/>
      </c>
      <c r="AB295" s="66" t="str">
        <f t="shared" si="171"/>
        <v/>
      </c>
      <c r="AC295" s="66" t="str">
        <f t="shared" si="172"/>
        <v/>
      </c>
      <c r="AD295" s="66" t="str">
        <f t="shared" si="173"/>
        <v/>
      </c>
      <c r="AE295" s="66" t="str">
        <f t="shared" si="174"/>
        <v/>
      </c>
      <c r="AF295" s="66" t="str">
        <f t="shared" si="175"/>
        <v/>
      </c>
      <c r="AG295" s="66" t="str">
        <f t="shared" si="176"/>
        <v/>
      </c>
      <c r="AH295" s="66" t="str">
        <f t="shared" si="177"/>
        <v/>
      </c>
      <c r="AI295" s="66" t="str">
        <f t="shared" si="178"/>
        <v/>
      </c>
      <c r="AJ295" s="66" t="str">
        <f t="shared" si="179"/>
        <v/>
      </c>
    </row>
    <row r="296" spans="1:36">
      <c r="A296" s="66">
        <f t="shared" si="142"/>
        <v>14</v>
      </c>
      <c r="B296" s="66" t="str">
        <f t="shared" si="142"/>
        <v>鄭品豪</v>
      </c>
      <c r="C296" s="66" t="str">
        <f t="shared" si="145"/>
        <v/>
      </c>
      <c r="D296" s="66" t="str">
        <f t="shared" si="147"/>
        <v/>
      </c>
      <c r="E296" s="66" t="str">
        <f t="shared" si="148"/>
        <v/>
      </c>
      <c r="F296" s="66" t="str">
        <f t="shared" si="149"/>
        <v/>
      </c>
      <c r="G296" s="66" t="str">
        <f t="shared" si="150"/>
        <v/>
      </c>
      <c r="H296" s="66" t="str">
        <f t="shared" si="151"/>
        <v/>
      </c>
      <c r="I296" s="66" t="str">
        <f t="shared" si="152"/>
        <v/>
      </c>
      <c r="J296" s="66" t="str">
        <f t="shared" si="153"/>
        <v/>
      </c>
      <c r="K296" s="66" t="str">
        <f t="shared" si="154"/>
        <v/>
      </c>
      <c r="L296" s="66" t="str">
        <f t="shared" si="155"/>
        <v/>
      </c>
      <c r="M296" s="66" t="str">
        <f t="shared" si="156"/>
        <v/>
      </c>
      <c r="N296" s="66" t="str">
        <f t="shared" si="157"/>
        <v/>
      </c>
      <c r="O296" s="66" t="str">
        <f t="shared" si="158"/>
        <v/>
      </c>
      <c r="P296" s="66" t="str">
        <f t="shared" si="159"/>
        <v/>
      </c>
      <c r="Q296" s="66" t="str">
        <f t="shared" si="160"/>
        <v/>
      </c>
      <c r="R296" s="66" t="str">
        <f t="shared" si="161"/>
        <v/>
      </c>
      <c r="S296" s="66" t="str">
        <f t="shared" si="162"/>
        <v/>
      </c>
      <c r="T296" s="66" t="str">
        <f t="shared" si="163"/>
        <v/>
      </c>
      <c r="U296" s="66" t="str">
        <f t="shared" si="164"/>
        <v/>
      </c>
      <c r="V296" s="66" t="str">
        <f t="shared" si="165"/>
        <v/>
      </c>
      <c r="W296" s="66" t="str">
        <f t="shared" si="166"/>
        <v/>
      </c>
      <c r="X296" s="66" t="str">
        <f t="shared" si="167"/>
        <v/>
      </c>
      <c r="Y296" s="66" t="str">
        <f t="shared" si="168"/>
        <v/>
      </c>
      <c r="Z296" s="66" t="str">
        <f t="shared" si="169"/>
        <v/>
      </c>
      <c r="AA296" s="66" t="str">
        <f t="shared" si="170"/>
        <v/>
      </c>
      <c r="AB296" s="66" t="str">
        <f t="shared" si="171"/>
        <v/>
      </c>
      <c r="AC296" s="66" t="str">
        <f t="shared" si="172"/>
        <v/>
      </c>
      <c r="AD296" s="66" t="str">
        <f t="shared" si="173"/>
        <v/>
      </c>
      <c r="AE296" s="66" t="str">
        <f t="shared" si="174"/>
        <v/>
      </c>
      <c r="AF296" s="66" t="str">
        <f t="shared" si="175"/>
        <v/>
      </c>
      <c r="AG296" s="66" t="str">
        <f t="shared" si="176"/>
        <v/>
      </c>
      <c r="AH296" s="66" t="str">
        <f t="shared" si="177"/>
        <v/>
      </c>
      <c r="AI296" s="66" t="str">
        <f t="shared" si="178"/>
        <v/>
      </c>
      <c r="AJ296" s="66" t="str">
        <f t="shared" si="179"/>
        <v/>
      </c>
    </row>
    <row r="297" spans="1:36">
      <c r="A297" s="66">
        <f t="shared" si="142"/>
        <v>15</v>
      </c>
      <c r="B297" s="66" t="str">
        <f t="shared" si="142"/>
        <v>林晉弘</v>
      </c>
      <c r="C297" s="66" t="str">
        <f t="shared" si="145"/>
        <v/>
      </c>
      <c r="D297" s="66" t="str">
        <f t="shared" si="147"/>
        <v/>
      </c>
      <c r="E297" s="66" t="str">
        <f t="shared" si="148"/>
        <v/>
      </c>
      <c r="F297" s="66" t="str">
        <f t="shared" si="149"/>
        <v/>
      </c>
      <c r="G297" s="66" t="str">
        <f t="shared" si="150"/>
        <v/>
      </c>
      <c r="H297" s="66" t="str">
        <f t="shared" si="151"/>
        <v/>
      </c>
      <c r="I297" s="66" t="str">
        <f t="shared" si="152"/>
        <v/>
      </c>
      <c r="J297" s="66" t="str">
        <f t="shared" si="153"/>
        <v/>
      </c>
      <c r="K297" s="66" t="str">
        <f t="shared" si="154"/>
        <v/>
      </c>
      <c r="L297" s="66" t="str">
        <f t="shared" si="155"/>
        <v/>
      </c>
      <c r="M297" s="66" t="str">
        <f t="shared" si="156"/>
        <v/>
      </c>
      <c r="N297" s="66" t="str">
        <f t="shared" si="157"/>
        <v/>
      </c>
      <c r="O297" s="66" t="str">
        <f t="shared" si="158"/>
        <v/>
      </c>
      <c r="P297" s="66" t="str">
        <f t="shared" si="159"/>
        <v/>
      </c>
      <c r="Q297" s="66" t="str">
        <f t="shared" si="160"/>
        <v/>
      </c>
      <c r="R297" s="66" t="str">
        <f t="shared" si="161"/>
        <v/>
      </c>
      <c r="S297" s="66" t="str">
        <f t="shared" si="162"/>
        <v/>
      </c>
      <c r="T297" s="66" t="str">
        <f t="shared" si="163"/>
        <v/>
      </c>
      <c r="U297" s="66" t="str">
        <f t="shared" si="164"/>
        <v/>
      </c>
      <c r="V297" s="66" t="str">
        <f t="shared" si="165"/>
        <v/>
      </c>
      <c r="W297" s="66" t="str">
        <f t="shared" si="166"/>
        <v/>
      </c>
      <c r="X297" s="66" t="str">
        <f t="shared" si="167"/>
        <v/>
      </c>
      <c r="Y297" s="66" t="str">
        <f t="shared" si="168"/>
        <v/>
      </c>
      <c r="Z297" s="66" t="str">
        <f t="shared" si="169"/>
        <v/>
      </c>
      <c r="AA297" s="66" t="str">
        <f t="shared" si="170"/>
        <v/>
      </c>
      <c r="AB297" s="66" t="str">
        <f t="shared" si="171"/>
        <v/>
      </c>
      <c r="AC297" s="66" t="str">
        <f t="shared" si="172"/>
        <v/>
      </c>
      <c r="AD297" s="66" t="str">
        <f t="shared" si="173"/>
        <v/>
      </c>
      <c r="AE297" s="66" t="str">
        <f t="shared" si="174"/>
        <v/>
      </c>
      <c r="AF297" s="66" t="str">
        <f t="shared" si="175"/>
        <v/>
      </c>
      <c r="AG297" s="66" t="str">
        <f t="shared" si="176"/>
        <v/>
      </c>
      <c r="AH297" s="66" t="str">
        <f t="shared" si="177"/>
        <v/>
      </c>
      <c r="AI297" s="66" t="str">
        <f t="shared" si="178"/>
        <v/>
      </c>
      <c r="AJ297" s="66" t="str">
        <f t="shared" si="179"/>
        <v/>
      </c>
    </row>
    <row r="298" spans="1:36">
      <c r="A298" s="66">
        <f t="shared" si="142"/>
        <v>16</v>
      </c>
      <c r="B298" s="66" t="str">
        <f t="shared" si="142"/>
        <v>張恩齊</v>
      </c>
      <c r="C298" s="66" t="str">
        <f t="shared" si="145"/>
        <v/>
      </c>
      <c r="D298" s="66" t="str">
        <f t="shared" si="147"/>
        <v/>
      </c>
      <c r="E298" s="66" t="str">
        <f t="shared" si="148"/>
        <v/>
      </c>
      <c r="F298" s="66" t="str">
        <f t="shared" si="149"/>
        <v/>
      </c>
      <c r="G298" s="66" t="str">
        <f t="shared" si="150"/>
        <v/>
      </c>
      <c r="H298" s="66" t="str">
        <f t="shared" si="151"/>
        <v/>
      </c>
      <c r="I298" s="66" t="str">
        <f t="shared" si="152"/>
        <v/>
      </c>
      <c r="J298" s="66" t="str">
        <f t="shared" si="153"/>
        <v/>
      </c>
      <c r="K298" s="66" t="str">
        <f t="shared" si="154"/>
        <v/>
      </c>
      <c r="L298" s="66" t="str">
        <f t="shared" si="155"/>
        <v/>
      </c>
      <c r="M298" s="66" t="str">
        <f t="shared" si="156"/>
        <v/>
      </c>
      <c r="N298" s="66" t="str">
        <f t="shared" si="157"/>
        <v/>
      </c>
      <c r="O298" s="66" t="str">
        <f t="shared" si="158"/>
        <v/>
      </c>
      <c r="P298" s="66" t="str">
        <f t="shared" si="159"/>
        <v/>
      </c>
      <c r="Q298" s="66" t="str">
        <f t="shared" si="160"/>
        <v/>
      </c>
      <c r="R298" s="66" t="str">
        <f t="shared" si="161"/>
        <v/>
      </c>
      <c r="S298" s="66" t="str">
        <f t="shared" si="162"/>
        <v/>
      </c>
      <c r="T298" s="66" t="str">
        <f t="shared" si="163"/>
        <v/>
      </c>
      <c r="U298" s="66" t="str">
        <f t="shared" si="164"/>
        <v/>
      </c>
      <c r="V298" s="66" t="str">
        <f t="shared" si="165"/>
        <v/>
      </c>
      <c r="W298" s="66" t="str">
        <f t="shared" si="166"/>
        <v/>
      </c>
      <c r="X298" s="66" t="str">
        <f t="shared" si="167"/>
        <v/>
      </c>
      <c r="Y298" s="66" t="str">
        <f t="shared" si="168"/>
        <v/>
      </c>
      <c r="Z298" s="66" t="str">
        <f t="shared" si="169"/>
        <v/>
      </c>
      <c r="AA298" s="66" t="str">
        <f t="shared" si="170"/>
        <v/>
      </c>
      <c r="AB298" s="66" t="str">
        <f t="shared" si="171"/>
        <v/>
      </c>
      <c r="AC298" s="66" t="str">
        <f t="shared" si="172"/>
        <v/>
      </c>
      <c r="AD298" s="66" t="str">
        <f t="shared" si="173"/>
        <v/>
      </c>
      <c r="AE298" s="66" t="str">
        <f t="shared" si="174"/>
        <v/>
      </c>
      <c r="AF298" s="66" t="str">
        <f t="shared" si="175"/>
        <v/>
      </c>
      <c r="AG298" s="66" t="str">
        <f t="shared" si="176"/>
        <v/>
      </c>
      <c r="AH298" s="66" t="str">
        <f t="shared" si="177"/>
        <v/>
      </c>
      <c r="AI298" s="66" t="str">
        <f t="shared" si="178"/>
        <v/>
      </c>
      <c r="AJ298" s="66" t="str">
        <f t="shared" si="179"/>
        <v/>
      </c>
    </row>
    <row r="299" spans="1:36">
      <c r="A299" s="66">
        <f t="shared" ref="A299:B314" si="180">A259</f>
        <v>17</v>
      </c>
      <c r="B299" s="66" t="str">
        <f t="shared" si="180"/>
        <v>周承澔</v>
      </c>
      <c r="C299" s="66" t="str">
        <f t="shared" si="145"/>
        <v/>
      </c>
      <c r="D299" s="66" t="str">
        <f t="shared" si="147"/>
        <v/>
      </c>
      <c r="E299" s="66" t="str">
        <f t="shared" si="148"/>
        <v/>
      </c>
      <c r="F299" s="66" t="str">
        <f t="shared" si="149"/>
        <v/>
      </c>
      <c r="G299" s="66" t="str">
        <f t="shared" si="150"/>
        <v/>
      </c>
      <c r="H299" s="66" t="str">
        <f t="shared" si="151"/>
        <v/>
      </c>
      <c r="I299" s="66" t="str">
        <f t="shared" si="152"/>
        <v/>
      </c>
      <c r="J299" s="66" t="str">
        <f t="shared" si="153"/>
        <v/>
      </c>
      <c r="K299" s="66" t="str">
        <f t="shared" si="154"/>
        <v/>
      </c>
      <c r="L299" s="66" t="str">
        <f t="shared" si="155"/>
        <v/>
      </c>
      <c r="M299" s="66" t="str">
        <f t="shared" si="156"/>
        <v/>
      </c>
      <c r="N299" s="66" t="str">
        <f t="shared" si="157"/>
        <v/>
      </c>
      <c r="O299" s="66" t="str">
        <f t="shared" si="158"/>
        <v/>
      </c>
      <c r="P299" s="66" t="str">
        <f t="shared" si="159"/>
        <v/>
      </c>
      <c r="Q299" s="66" t="str">
        <f t="shared" si="160"/>
        <v/>
      </c>
      <c r="R299" s="66" t="str">
        <f t="shared" si="161"/>
        <v/>
      </c>
      <c r="S299" s="66" t="str">
        <f t="shared" si="162"/>
        <v/>
      </c>
      <c r="T299" s="66" t="str">
        <f t="shared" si="163"/>
        <v/>
      </c>
      <c r="U299" s="66" t="str">
        <f t="shared" si="164"/>
        <v/>
      </c>
      <c r="V299" s="66" t="str">
        <f t="shared" si="165"/>
        <v/>
      </c>
      <c r="W299" s="66" t="str">
        <f t="shared" si="166"/>
        <v/>
      </c>
      <c r="X299" s="66" t="str">
        <f t="shared" si="167"/>
        <v/>
      </c>
      <c r="Y299" s="66" t="str">
        <f t="shared" si="168"/>
        <v/>
      </c>
      <c r="Z299" s="66" t="str">
        <f t="shared" si="169"/>
        <v/>
      </c>
      <c r="AA299" s="66" t="str">
        <f t="shared" si="170"/>
        <v/>
      </c>
      <c r="AB299" s="66" t="str">
        <f t="shared" si="171"/>
        <v/>
      </c>
      <c r="AC299" s="66" t="str">
        <f t="shared" si="172"/>
        <v/>
      </c>
      <c r="AD299" s="66" t="str">
        <f t="shared" si="173"/>
        <v/>
      </c>
      <c r="AE299" s="66" t="str">
        <f t="shared" si="174"/>
        <v/>
      </c>
      <c r="AF299" s="66" t="str">
        <f t="shared" si="175"/>
        <v/>
      </c>
      <c r="AG299" s="66" t="str">
        <f t="shared" si="176"/>
        <v/>
      </c>
      <c r="AH299" s="66" t="str">
        <f t="shared" si="177"/>
        <v/>
      </c>
      <c r="AI299" s="66" t="str">
        <f t="shared" si="178"/>
        <v/>
      </c>
      <c r="AJ299" s="66" t="str">
        <f t="shared" si="179"/>
        <v/>
      </c>
    </row>
    <row r="300" spans="1:36">
      <c r="A300" s="66">
        <f t="shared" si="180"/>
        <v>18</v>
      </c>
      <c r="B300" s="66" t="str">
        <f t="shared" si="180"/>
        <v>蔡政倫</v>
      </c>
      <c r="C300" s="66" t="str">
        <f t="shared" si="145"/>
        <v/>
      </c>
      <c r="D300" s="66" t="str">
        <f t="shared" si="147"/>
        <v/>
      </c>
      <c r="E300" s="66" t="str">
        <f t="shared" si="148"/>
        <v/>
      </c>
      <c r="F300" s="66" t="str">
        <f t="shared" si="149"/>
        <v/>
      </c>
      <c r="G300" s="66" t="str">
        <f t="shared" si="150"/>
        <v/>
      </c>
      <c r="H300" s="66" t="str">
        <f t="shared" si="151"/>
        <v/>
      </c>
      <c r="I300" s="66" t="str">
        <f t="shared" si="152"/>
        <v/>
      </c>
      <c r="J300" s="66" t="str">
        <f t="shared" si="153"/>
        <v/>
      </c>
      <c r="K300" s="66" t="str">
        <f t="shared" si="154"/>
        <v/>
      </c>
      <c r="L300" s="66" t="str">
        <f t="shared" si="155"/>
        <v/>
      </c>
      <c r="M300" s="66" t="str">
        <f t="shared" si="156"/>
        <v/>
      </c>
      <c r="N300" s="66" t="str">
        <f t="shared" si="157"/>
        <v/>
      </c>
      <c r="O300" s="66" t="str">
        <f t="shared" si="158"/>
        <v/>
      </c>
      <c r="P300" s="66" t="str">
        <f t="shared" si="159"/>
        <v/>
      </c>
      <c r="Q300" s="66" t="str">
        <f t="shared" si="160"/>
        <v/>
      </c>
      <c r="R300" s="66" t="str">
        <f t="shared" si="161"/>
        <v/>
      </c>
      <c r="S300" s="66" t="str">
        <f t="shared" si="162"/>
        <v/>
      </c>
      <c r="T300" s="66" t="str">
        <f t="shared" si="163"/>
        <v/>
      </c>
      <c r="U300" s="66" t="str">
        <f t="shared" si="164"/>
        <v/>
      </c>
      <c r="V300" s="66" t="str">
        <f t="shared" si="165"/>
        <v/>
      </c>
      <c r="W300" s="66" t="str">
        <f t="shared" si="166"/>
        <v/>
      </c>
      <c r="X300" s="66" t="str">
        <f t="shared" si="167"/>
        <v/>
      </c>
      <c r="Y300" s="66" t="str">
        <f t="shared" si="168"/>
        <v/>
      </c>
      <c r="Z300" s="66" t="str">
        <f t="shared" si="169"/>
        <v/>
      </c>
      <c r="AA300" s="66" t="str">
        <f t="shared" si="170"/>
        <v/>
      </c>
      <c r="AB300" s="66" t="str">
        <f t="shared" si="171"/>
        <v/>
      </c>
      <c r="AC300" s="66" t="str">
        <f t="shared" si="172"/>
        <v/>
      </c>
      <c r="AD300" s="66" t="str">
        <f t="shared" si="173"/>
        <v/>
      </c>
      <c r="AE300" s="66" t="str">
        <f t="shared" si="174"/>
        <v/>
      </c>
      <c r="AF300" s="66" t="str">
        <f t="shared" si="175"/>
        <v/>
      </c>
      <c r="AG300" s="66" t="str">
        <f t="shared" si="176"/>
        <v/>
      </c>
      <c r="AH300" s="66" t="str">
        <f t="shared" si="177"/>
        <v/>
      </c>
      <c r="AI300" s="66" t="str">
        <f t="shared" si="178"/>
        <v/>
      </c>
      <c r="AJ300" s="66" t="str">
        <f t="shared" si="179"/>
        <v/>
      </c>
    </row>
    <row r="301" spans="1:36">
      <c r="A301" s="66">
        <f t="shared" si="180"/>
        <v>19</v>
      </c>
      <c r="B301" s="66" t="str">
        <f t="shared" si="180"/>
        <v>蕭敬哲</v>
      </c>
      <c r="C301" s="66" t="str">
        <f t="shared" si="145"/>
        <v/>
      </c>
      <c r="D301" s="66" t="str">
        <f t="shared" si="147"/>
        <v/>
      </c>
      <c r="E301" s="66" t="str">
        <f t="shared" si="148"/>
        <v/>
      </c>
      <c r="F301" s="66" t="str">
        <f t="shared" si="149"/>
        <v/>
      </c>
      <c r="G301" s="66" t="str">
        <f t="shared" si="150"/>
        <v/>
      </c>
      <c r="H301" s="66" t="str">
        <f t="shared" si="151"/>
        <v/>
      </c>
      <c r="I301" s="66" t="str">
        <f t="shared" si="152"/>
        <v/>
      </c>
      <c r="J301" s="66" t="str">
        <f t="shared" si="153"/>
        <v/>
      </c>
      <c r="K301" s="66" t="str">
        <f t="shared" si="154"/>
        <v/>
      </c>
      <c r="L301" s="66" t="str">
        <f t="shared" si="155"/>
        <v/>
      </c>
      <c r="M301" s="66" t="str">
        <f t="shared" si="156"/>
        <v/>
      </c>
      <c r="N301" s="66" t="str">
        <f t="shared" si="157"/>
        <v/>
      </c>
      <c r="O301" s="66" t="str">
        <f t="shared" si="158"/>
        <v/>
      </c>
      <c r="P301" s="66" t="str">
        <f t="shared" si="159"/>
        <v/>
      </c>
      <c r="Q301" s="66" t="str">
        <f t="shared" si="160"/>
        <v/>
      </c>
      <c r="R301" s="66" t="str">
        <f t="shared" si="161"/>
        <v/>
      </c>
      <c r="S301" s="66" t="str">
        <f t="shared" si="162"/>
        <v/>
      </c>
      <c r="T301" s="66" t="str">
        <f t="shared" si="163"/>
        <v/>
      </c>
      <c r="U301" s="66" t="str">
        <f t="shared" si="164"/>
        <v/>
      </c>
      <c r="V301" s="66" t="str">
        <f t="shared" si="165"/>
        <v/>
      </c>
      <c r="W301" s="66" t="str">
        <f t="shared" si="166"/>
        <v/>
      </c>
      <c r="X301" s="66" t="str">
        <f t="shared" si="167"/>
        <v/>
      </c>
      <c r="Y301" s="66" t="str">
        <f t="shared" si="168"/>
        <v/>
      </c>
      <c r="Z301" s="66" t="str">
        <f t="shared" si="169"/>
        <v/>
      </c>
      <c r="AA301" s="66" t="str">
        <f t="shared" si="170"/>
        <v/>
      </c>
      <c r="AB301" s="66" t="str">
        <f t="shared" si="171"/>
        <v/>
      </c>
      <c r="AC301" s="66" t="str">
        <f t="shared" si="172"/>
        <v/>
      </c>
      <c r="AD301" s="66" t="str">
        <f t="shared" si="173"/>
        <v/>
      </c>
      <c r="AE301" s="66" t="str">
        <f t="shared" si="174"/>
        <v/>
      </c>
      <c r="AF301" s="66" t="str">
        <f t="shared" si="175"/>
        <v/>
      </c>
      <c r="AG301" s="66" t="str">
        <f t="shared" si="176"/>
        <v/>
      </c>
      <c r="AH301" s="66" t="str">
        <f t="shared" si="177"/>
        <v/>
      </c>
      <c r="AI301" s="66" t="str">
        <f t="shared" si="178"/>
        <v/>
      </c>
      <c r="AJ301" s="66" t="str">
        <f t="shared" si="179"/>
        <v/>
      </c>
    </row>
    <row r="302" spans="1:36">
      <c r="A302" s="66">
        <f t="shared" si="180"/>
        <v>20</v>
      </c>
      <c r="B302" s="66" t="str">
        <f t="shared" si="180"/>
        <v>楊鈞翔</v>
      </c>
      <c r="C302" s="66" t="str">
        <f t="shared" si="145"/>
        <v/>
      </c>
      <c r="D302" s="66" t="str">
        <f t="shared" si="147"/>
        <v/>
      </c>
      <c r="E302" s="66" t="str">
        <f t="shared" si="148"/>
        <v/>
      </c>
      <c r="F302" s="66" t="str">
        <f t="shared" si="149"/>
        <v/>
      </c>
      <c r="G302" s="66" t="str">
        <f t="shared" si="150"/>
        <v/>
      </c>
      <c r="H302" s="66" t="str">
        <f t="shared" si="151"/>
        <v/>
      </c>
      <c r="I302" s="66" t="str">
        <f t="shared" si="152"/>
        <v/>
      </c>
      <c r="J302" s="66" t="str">
        <f t="shared" si="153"/>
        <v/>
      </c>
      <c r="K302" s="66" t="str">
        <f t="shared" si="154"/>
        <v/>
      </c>
      <c r="L302" s="66" t="str">
        <f t="shared" si="155"/>
        <v/>
      </c>
      <c r="M302" s="66" t="str">
        <f t="shared" si="156"/>
        <v/>
      </c>
      <c r="N302" s="66" t="str">
        <f t="shared" si="157"/>
        <v/>
      </c>
      <c r="O302" s="66" t="str">
        <f t="shared" si="158"/>
        <v/>
      </c>
      <c r="P302" s="66" t="str">
        <f t="shared" si="159"/>
        <v/>
      </c>
      <c r="Q302" s="66" t="str">
        <f t="shared" si="160"/>
        <v/>
      </c>
      <c r="R302" s="66" t="str">
        <f t="shared" si="161"/>
        <v/>
      </c>
      <c r="S302" s="66" t="str">
        <f t="shared" si="162"/>
        <v/>
      </c>
      <c r="T302" s="66" t="str">
        <f t="shared" si="163"/>
        <v/>
      </c>
      <c r="U302" s="66" t="str">
        <f t="shared" si="164"/>
        <v/>
      </c>
      <c r="V302" s="66" t="str">
        <f t="shared" si="165"/>
        <v/>
      </c>
      <c r="W302" s="66" t="str">
        <f t="shared" si="166"/>
        <v/>
      </c>
      <c r="X302" s="66" t="str">
        <f t="shared" si="167"/>
        <v/>
      </c>
      <c r="Y302" s="66" t="str">
        <f t="shared" si="168"/>
        <v/>
      </c>
      <c r="Z302" s="66" t="str">
        <f t="shared" si="169"/>
        <v/>
      </c>
      <c r="AA302" s="66" t="str">
        <f t="shared" si="170"/>
        <v/>
      </c>
      <c r="AB302" s="66" t="str">
        <f t="shared" si="171"/>
        <v/>
      </c>
      <c r="AC302" s="66" t="str">
        <f t="shared" si="172"/>
        <v/>
      </c>
      <c r="AD302" s="66" t="str">
        <f t="shared" si="173"/>
        <v/>
      </c>
      <c r="AE302" s="66" t="str">
        <f t="shared" si="174"/>
        <v/>
      </c>
      <c r="AF302" s="66" t="str">
        <f t="shared" si="175"/>
        <v/>
      </c>
      <c r="AG302" s="66" t="str">
        <f t="shared" si="176"/>
        <v/>
      </c>
      <c r="AH302" s="66" t="str">
        <f t="shared" si="177"/>
        <v/>
      </c>
      <c r="AI302" s="66" t="str">
        <f t="shared" si="178"/>
        <v/>
      </c>
      <c r="AJ302" s="66" t="str">
        <f t="shared" si="179"/>
        <v/>
      </c>
    </row>
    <row r="303" spans="1:36">
      <c r="A303" s="66">
        <f t="shared" si="180"/>
        <v>21</v>
      </c>
      <c r="B303" s="66" t="str">
        <f t="shared" si="180"/>
        <v>邱俊閎</v>
      </c>
      <c r="C303" s="66" t="str">
        <f t="shared" si="145"/>
        <v/>
      </c>
      <c r="D303" s="66" t="str">
        <f t="shared" si="147"/>
        <v/>
      </c>
      <c r="E303" s="66" t="str">
        <f t="shared" si="148"/>
        <v/>
      </c>
      <c r="F303" s="66" t="str">
        <f t="shared" si="149"/>
        <v/>
      </c>
      <c r="G303" s="66" t="str">
        <f t="shared" si="150"/>
        <v/>
      </c>
      <c r="H303" s="66" t="str">
        <f t="shared" si="151"/>
        <v/>
      </c>
      <c r="I303" s="66" t="str">
        <f t="shared" si="152"/>
        <v/>
      </c>
      <c r="J303" s="66" t="str">
        <f t="shared" si="153"/>
        <v/>
      </c>
      <c r="K303" s="66" t="str">
        <f t="shared" si="154"/>
        <v/>
      </c>
      <c r="L303" s="66" t="str">
        <f t="shared" si="155"/>
        <v/>
      </c>
      <c r="M303" s="66" t="str">
        <f t="shared" si="156"/>
        <v/>
      </c>
      <c r="N303" s="66" t="str">
        <f t="shared" si="157"/>
        <v/>
      </c>
      <c r="O303" s="66" t="str">
        <f t="shared" si="158"/>
        <v/>
      </c>
      <c r="P303" s="66" t="str">
        <f t="shared" si="159"/>
        <v/>
      </c>
      <c r="Q303" s="66" t="str">
        <f t="shared" si="160"/>
        <v/>
      </c>
      <c r="R303" s="66" t="str">
        <f t="shared" si="161"/>
        <v/>
      </c>
      <c r="S303" s="66" t="str">
        <f t="shared" si="162"/>
        <v/>
      </c>
      <c r="T303" s="66" t="str">
        <f t="shared" si="163"/>
        <v/>
      </c>
      <c r="U303" s="66" t="str">
        <f t="shared" si="164"/>
        <v/>
      </c>
      <c r="V303" s="66" t="str">
        <f t="shared" si="165"/>
        <v/>
      </c>
      <c r="W303" s="66" t="str">
        <f t="shared" si="166"/>
        <v/>
      </c>
      <c r="X303" s="66" t="str">
        <f t="shared" si="167"/>
        <v/>
      </c>
      <c r="Y303" s="66" t="str">
        <f t="shared" si="168"/>
        <v/>
      </c>
      <c r="Z303" s="66" t="str">
        <f t="shared" si="169"/>
        <v/>
      </c>
      <c r="AA303" s="66" t="str">
        <f t="shared" si="170"/>
        <v/>
      </c>
      <c r="AB303" s="66" t="str">
        <f t="shared" si="171"/>
        <v/>
      </c>
      <c r="AC303" s="66" t="str">
        <f t="shared" si="172"/>
        <v/>
      </c>
      <c r="AD303" s="66" t="str">
        <f t="shared" si="173"/>
        <v/>
      </c>
      <c r="AE303" s="66" t="str">
        <f t="shared" si="174"/>
        <v/>
      </c>
      <c r="AF303" s="66" t="str">
        <f t="shared" si="175"/>
        <v/>
      </c>
      <c r="AG303" s="66" t="str">
        <f t="shared" si="176"/>
        <v/>
      </c>
      <c r="AH303" s="66" t="str">
        <f t="shared" si="177"/>
        <v/>
      </c>
      <c r="AI303" s="66" t="str">
        <f t="shared" si="178"/>
        <v/>
      </c>
      <c r="AJ303" s="66" t="str">
        <f t="shared" si="179"/>
        <v/>
      </c>
    </row>
    <row r="304" spans="1:36">
      <c r="A304" s="66">
        <f t="shared" si="180"/>
        <v>22</v>
      </c>
      <c r="B304" s="66" t="str">
        <f t="shared" si="180"/>
        <v>陳奕欣</v>
      </c>
      <c r="C304" s="66" t="str">
        <f t="shared" si="145"/>
        <v/>
      </c>
      <c r="D304" s="66" t="str">
        <f t="shared" si="147"/>
        <v/>
      </c>
      <c r="E304" s="66" t="str">
        <f t="shared" si="148"/>
        <v/>
      </c>
      <c r="F304" s="66" t="str">
        <f t="shared" si="149"/>
        <v/>
      </c>
      <c r="G304" s="66" t="str">
        <f t="shared" si="150"/>
        <v/>
      </c>
      <c r="H304" s="66" t="str">
        <f t="shared" si="151"/>
        <v/>
      </c>
      <c r="I304" s="66" t="str">
        <f t="shared" si="152"/>
        <v/>
      </c>
      <c r="J304" s="66" t="str">
        <f t="shared" si="153"/>
        <v/>
      </c>
      <c r="K304" s="66" t="str">
        <f t="shared" si="154"/>
        <v/>
      </c>
      <c r="L304" s="66" t="str">
        <f t="shared" si="155"/>
        <v/>
      </c>
      <c r="M304" s="66" t="str">
        <f t="shared" si="156"/>
        <v/>
      </c>
      <c r="N304" s="66" t="str">
        <f t="shared" si="157"/>
        <v/>
      </c>
      <c r="O304" s="66" t="str">
        <f t="shared" si="158"/>
        <v/>
      </c>
      <c r="P304" s="66" t="str">
        <f t="shared" si="159"/>
        <v/>
      </c>
      <c r="Q304" s="66" t="str">
        <f t="shared" si="160"/>
        <v/>
      </c>
      <c r="R304" s="66" t="str">
        <f t="shared" si="161"/>
        <v/>
      </c>
      <c r="S304" s="66" t="str">
        <f t="shared" si="162"/>
        <v/>
      </c>
      <c r="T304" s="66" t="str">
        <f t="shared" si="163"/>
        <v/>
      </c>
      <c r="U304" s="66" t="str">
        <f t="shared" si="164"/>
        <v/>
      </c>
      <c r="V304" s="66" t="str">
        <f t="shared" si="165"/>
        <v/>
      </c>
      <c r="W304" s="66" t="str">
        <f t="shared" si="166"/>
        <v/>
      </c>
      <c r="X304" s="66" t="str">
        <f t="shared" si="167"/>
        <v/>
      </c>
      <c r="Y304" s="66" t="str">
        <f t="shared" si="168"/>
        <v/>
      </c>
      <c r="Z304" s="66" t="str">
        <f t="shared" si="169"/>
        <v/>
      </c>
      <c r="AA304" s="66" t="str">
        <f t="shared" si="170"/>
        <v/>
      </c>
      <c r="AB304" s="66" t="str">
        <f t="shared" si="171"/>
        <v/>
      </c>
      <c r="AC304" s="66" t="str">
        <f t="shared" si="172"/>
        <v/>
      </c>
      <c r="AD304" s="66" t="str">
        <f t="shared" si="173"/>
        <v/>
      </c>
      <c r="AE304" s="66" t="str">
        <f t="shared" si="174"/>
        <v/>
      </c>
      <c r="AF304" s="66" t="str">
        <f t="shared" si="175"/>
        <v/>
      </c>
      <c r="AG304" s="66" t="str">
        <f t="shared" si="176"/>
        <v/>
      </c>
      <c r="AH304" s="66" t="str">
        <f t="shared" si="177"/>
        <v/>
      </c>
      <c r="AI304" s="66" t="str">
        <f t="shared" si="178"/>
        <v/>
      </c>
      <c r="AJ304" s="66" t="str">
        <f t="shared" si="179"/>
        <v/>
      </c>
    </row>
    <row r="305" spans="1:55">
      <c r="A305" s="66">
        <f t="shared" si="180"/>
        <v>23</v>
      </c>
      <c r="B305" s="66" t="str">
        <f t="shared" si="180"/>
        <v>阮成山</v>
      </c>
      <c r="C305" s="66" t="str">
        <f t="shared" si="145"/>
        <v/>
      </c>
      <c r="D305" s="66" t="str">
        <f t="shared" si="147"/>
        <v/>
      </c>
      <c r="E305" s="66" t="str">
        <f t="shared" si="148"/>
        <v/>
      </c>
      <c r="F305" s="66" t="str">
        <f t="shared" si="149"/>
        <v/>
      </c>
      <c r="G305" s="66" t="str">
        <f t="shared" si="150"/>
        <v/>
      </c>
      <c r="H305" s="66" t="str">
        <f t="shared" si="151"/>
        <v/>
      </c>
      <c r="I305" s="66" t="str">
        <f t="shared" si="152"/>
        <v/>
      </c>
      <c r="J305" s="66" t="str">
        <f t="shared" si="153"/>
        <v/>
      </c>
      <c r="K305" s="66" t="str">
        <f t="shared" si="154"/>
        <v/>
      </c>
      <c r="L305" s="66" t="str">
        <f t="shared" si="155"/>
        <v/>
      </c>
      <c r="M305" s="66" t="str">
        <f t="shared" si="156"/>
        <v/>
      </c>
      <c r="N305" s="66" t="str">
        <f t="shared" si="157"/>
        <v/>
      </c>
      <c r="O305" s="66" t="str">
        <f t="shared" si="158"/>
        <v/>
      </c>
      <c r="P305" s="66" t="str">
        <f t="shared" si="159"/>
        <v/>
      </c>
      <c r="Q305" s="66" t="str">
        <f t="shared" si="160"/>
        <v/>
      </c>
      <c r="R305" s="66" t="str">
        <f t="shared" si="161"/>
        <v/>
      </c>
      <c r="S305" s="66" t="str">
        <f t="shared" si="162"/>
        <v/>
      </c>
      <c r="T305" s="66" t="str">
        <f t="shared" si="163"/>
        <v/>
      </c>
      <c r="U305" s="66" t="str">
        <f t="shared" si="164"/>
        <v/>
      </c>
      <c r="V305" s="66" t="str">
        <f t="shared" si="165"/>
        <v/>
      </c>
      <c r="W305" s="66" t="str">
        <f t="shared" si="166"/>
        <v/>
      </c>
      <c r="X305" s="66" t="str">
        <f t="shared" si="167"/>
        <v/>
      </c>
      <c r="Y305" s="66" t="str">
        <f t="shared" si="168"/>
        <v/>
      </c>
      <c r="Z305" s="66" t="str">
        <f t="shared" si="169"/>
        <v/>
      </c>
      <c r="AA305" s="66" t="str">
        <f t="shared" si="170"/>
        <v/>
      </c>
      <c r="AB305" s="66" t="str">
        <f t="shared" si="171"/>
        <v/>
      </c>
      <c r="AC305" s="66" t="str">
        <f t="shared" si="172"/>
        <v/>
      </c>
      <c r="AD305" s="66" t="str">
        <f t="shared" si="173"/>
        <v/>
      </c>
      <c r="AE305" s="66" t="str">
        <f t="shared" si="174"/>
        <v/>
      </c>
      <c r="AF305" s="66" t="str">
        <f t="shared" si="175"/>
        <v/>
      </c>
      <c r="AG305" s="66" t="str">
        <f t="shared" si="176"/>
        <v/>
      </c>
      <c r="AH305" s="66" t="str">
        <f t="shared" si="177"/>
        <v/>
      </c>
      <c r="AI305" s="66" t="str">
        <f t="shared" si="178"/>
        <v/>
      </c>
      <c r="AJ305" s="66" t="str">
        <f t="shared" si="179"/>
        <v/>
      </c>
    </row>
    <row r="306" spans="1:55">
      <c r="A306" s="66">
        <f t="shared" si="180"/>
        <v>24</v>
      </c>
      <c r="B306" s="66" t="str">
        <f t="shared" si="180"/>
        <v>黃品傑</v>
      </c>
      <c r="C306" s="66" t="str">
        <f t="shared" si="145"/>
        <v/>
      </c>
      <c r="D306" s="66" t="str">
        <f t="shared" si="147"/>
        <v/>
      </c>
      <c r="E306" s="66" t="str">
        <f t="shared" si="148"/>
        <v/>
      </c>
      <c r="F306" s="66" t="str">
        <f t="shared" si="149"/>
        <v/>
      </c>
      <c r="G306" s="66" t="str">
        <f t="shared" si="150"/>
        <v/>
      </c>
      <c r="H306" s="66" t="str">
        <f t="shared" si="151"/>
        <v/>
      </c>
      <c r="I306" s="66" t="str">
        <f t="shared" si="152"/>
        <v/>
      </c>
      <c r="J306" s="66" t="str">
        <f t="shared" si="153"/>
        <v/>
      </c>
      <c r="K306" s="66" t="str">
        <f t="shared" si="154"/>
        <v/>
      </c>
      <c r="L306" s="66" t="str">
        <f t="shared" si="155"/>
        <v/>
      </c>
      <c r="M306" s="66" t="str">
        <f t="shared" si="156"/>
        <v/>
      </c>
      <c r="N306" s="66" t="str">
        <f t="shared" si="157"/>
        <v/>
      </c>
      <c r="O306" s="66" t="str">
        <f t="shared" si="158"/>
        <v/>
      </c>
      <c r="P306" s="66" t="str">
        <f t="shared" si="159"/>
        <v/>
      </c>
      <c r="Q306" s="66" t="str">
        <f t="shared" si="160"/>
        <v/>
      </c>
      <c r="R306" s="66" t="str">
        <f t="shared" si="161"/>
        <v/>
      </c>
      <c r="S306" s="66" t="str">
        <f t="shared" si="162"/>
        <v/>
      </c>
      <c r="T306" s="66" t="str">
        <f t="shared" si="163"/>
        <v/>
      </c>
      <c r="U306" s="66" t="str">
        <f t="shared" si="164"/>
        <v/>
      </c>
      <c r="V306" s="66" t="str">
        <f t="shared" si="165"/>
        <v/>
      </c>
      <c r="W306" s="66" t="str">
        <f t="shared" si="166"/>
        <v/>
      </c>
      <c r="X306" s="66" t="str">
        <f t="shared" si="167"/>
        <v/>
      </c>
      <c r="Y306" s="66" t="str">
        <f t="shared" si="168"/>
        <v/>
      </c>
      <c r="Z306" s="66" t="str">
        <f t="shared" si="169"/>
        <v/>
      </c>
      <c r="AA306" s="66" t="str">
        <f t="shared" si="170"/>
        <v/>
      </c>
      <c r="AB306" s="66" t="str">
        <f t="shared" si="171"/>
        <v/>
      </c>
      <c r="AC306" s="66" t="str">
        <f t="shared" si="172"/>
        <v/>
      </c>
      <c r="AD306" s="66" t="str">
        <f t="shared" si="173"/>
        <v/>
      </c>
      <c r="AE306" s="66" t="str">
        <f t="shared" si="174"/>
        <v/>
      </c>
      <c r="AF306" s="66" t="str">
        <f t="shared" si="175"/>
        <v/>
      </c>
      <c r="AG306" s="66" t="str">
        <f t="shared" si="176"/>
        <v/>
      </c>
      <c r="AH306" s="66" t="str">
        <f t="shared" si="177"/>
        <v/>
      </c>
      <c r="AI306" s="66" t="str">
        <f t="shared" si="178"/>
        <v/>
      </c>
      <c r="AJ306" s="66" t="str">
        <f t="shared" si="179"/>
        <v/>
      </c>
    </row>
    <row r="307" spans="1:55">
      <c r="A307" s="66">
        <f t="shared" si="180"/>
        <v>25</v>
      </c>
      <c r="B307" s="66" t="str">
        <f t="shared" si="180"/>
        <v>唐正瑋</v>
      </c>
      <c r="C307" s="66" t="str">
        <f t="shared" si="145"/>
        <v/>
      </c>
      <c r="D307" s="66" t="str">
        <f t="shared" si="147"/>
        <v/>
      </c>
      <c r="E307" s="66" t="str">
        <f t="shared" si="148"/>
        <v/>
      </c>
      <c r="F307" s="66" t="str">
        <f t="shared" si="149"/>
        <v/>
      </c>
      <c r="G307" s="66" t="str">
        <f t="shared" si="150"/>
        <v/>
      </c>
      <c r="H307" s="66" t="str">
        <f t="shared" si="151"/>
        <v/>
      </c>
      <c r="I307" s="66" t="str">
        <f t="shared" si="152"/>
        <v/>
      </c>
      <c r="J307" s="66" t="str">
        <f t="shared" si="153"/>
        <v/>
      </c>
      <c r="K307" s="66" t="str">
        <f t="shared" si="154"/>
        <v/>
      </c>
      <c r="L307" s="66" t="str">
        <f t="shared" si="155"/>
        <v/>
      </c>
      <c r="M307" s="66" t="str">
        <f t="shared" si="156"/>
        <v/>
      </c>
      <c r="N307" s="66" t="str">
        <f t="shared" si="157"/>
        <v/>
      </c>
      <c r="O307" s="66" t="str">
        <f t="shared" si="158"/>
        <v/>
      </c>
      <c r="P307" s="66" t="str">
        <f t="shared" si="159"/>
        <v/>
      </c>
      <c r="Q307" s="66" t="str">
        <f t="shared" si="160"/>
        <v/>
      </c>
      <c r="R307" s="66" t="str">
        <f t="shared" si="161"/>
        <v/>
      </c>
      <c r="S307" s="66" t="str">
        <f t="shared" si="162"/>
        <v/>
      </c>
      <c r="T307" s="66" t="str">
        <f t="shared" si="163"/>
        <v/>
      </c>
      <c r="U307" s="66" t="str">
        <f t="shared" si="164"/>
        <v/>
      </c>
      <c r="V307" s="66" t="str">
        <f t="shared" si="165"/>
        <v/>
      </c>
      <c r="W307" s="66" t="str">
        <f t="shared" si="166"/>
        <v/>
      </c>
      <c r="X307" s="66" t="str">
        <f t="shared" si="167"/>
        <v/>
      </c>
      <c r="Y307" s="66" t="str">
        <f t="shared" si="168"/>
        <v/>
      </c>
      <c r="Z307" s="66" t="str">
        <f t="shared" si="169"/>
        <v/>
      </c>
      <c r="AA307" s="66" t="str">
        <f t="shared" si="170"/>
        <v/>
      </c>
      <c r="AB307" s="66" t="str">
        <f t="shared" si="171"/>
        <v/>
      </c>
      <c r="AC307" s="66" t="str">
        <f t="shared" si="172"/>
        <v/>
      </c>
      <c r="AD307" s="66" t="str">
        <f t="shared" si="173"/>
        <v/>
      </c>
      <c r="AE307" s="66" t="str">
        <f t="shared" si="174"/>
        <v/>
      </c>
      <c r="AF307" s="66" t="str">
        <f t="shared" si="175"/>
        <v/>
      </c>
      <c r="AG307" s="66" t="str">
        <f t="shared" si="176"/>
        <v/>
      </c>
      <c r="AH307" s="66" t="str">
        <f t="shared" si="177"/>
        <v/>
      </c>
      <c r="AI307" s="66" t="str">
        <f t="shared" si="178"/>
        <v/>
      </c>
      <c r="AJ307" s="66" t="str">
        <f t="shared" si="179"/>
        <v/>
      </c>
    </row>
    <row r="308" spans="1:55">
      <c r="A308" s="66">
        <f t="shared" si="180"/>
        <v>26</v>
      </c>
      <c r="B308" s="66" t="str">
        <f t="shared" si="180"/>
        <v>曾慶鈞</v>
      </c>
      <c r="C308" s="66" t="str">
        <f t="shared" si="145"/>
        <v/>
      </c>
      <c r="D308" s="66" t="str">
        <f t="shared" si="147"/>
        <v/>
      </c>
      <c r="E308" s="66" t="str">
        <f t="shared" si="148"/>
        <v/>
      </c>
      <c r="F308" s="66" t="str">
        <f t="shared" si="149"/>
        <v/>
      </c>
      <c r="G308" s="66" t="str">
        <f t="shared" si="150"/>
        <v/>
      </c>
      <c r="H308" s="66" t="str">
        <f t="shared" si="151"/>
        <v/>
      </c>
      <c r="I308" s="66" t="str">
        <f t="shared" si="152"/>
        <v/>
      </c>
      <c r="J308" s="66" t="str">
        <f t="shared" si="153"/>
        <v/>
      </c>
      <c r="K308" s="66" t="str">
        <f t="shared" si="154"/>
        <v/>
      </c>
      <c r="L308" s="66" t="str">
        <f t="shared" si="155"/>
        <v/>
      </c>
      <c r="M308" s="66" t="str">
        <f t="shared" si="156"/>
        <v/>
      </c>
      <c r="N308" s="66" t="str">
        <f t="shared" si="157"/>
        <v/>
      </c>
      <c r="O308" s="66" t="str">
        <f t="shared" si="158"/>
        <v/>
      </c>
      <c r="P308" s="66" t="str">
        <f t="shared" si="159"/>
        <v/>
      </c>
      <c r="Q308" s="66" t="str">
        <f t="shared" si="160"/>
        <v/>
      </c>
      <c r="R308" s="66" t="str">
        <f t="shared" si="161"/>
        <v/>
      </c>
      <c r="S308" s="66" t="str">
        <f t="shared" si="162"/>
        <v/>
      </c>
      <c r="T308" s="66" t="str">
        <f t="shared" si="163"/>
        <v/>
      </c>
      <c r="U308" s="66" t="str">
        <f t="shared" si="164"/>
        <v/>
      </c>
      <c r="V308" s="66" t="str">
        <f t="shared" si="165"/>
        <v/>
      </c>
      <c r="W308" s="66" t="str">
        <f t="shared" si="166"/>
        <v/>
      </c>
      <c r="X308" s="66" t="str">
        <f t="shared" si="167"/>
        <v/>
      </c>
      <c r="Y308" s="66" t="str">
        <f t="shared" si="168"/>
        <v/>
      </c>
      <c r="Z308" s="66" t="str">
        <f t="shared" si="169"/>
        <v/>
      </c>
      <c r="AA308" s="66" t="str">
        <f t="shared" si="170"/>
        <v/>
      </c>
      <c r="AB308" s="66" t="str">
        <f t="shared" si="171"/>
        <v/>
      </c>
      <c r="AC308" s="66" t="str">
        <f t="shared" si="172"/>
        <v/>
      </c>
      <c r="AD308" s="66" t="str">
        <f t="shared" si="173"/>
        <v/>
      </c>
      <c r="AE308" s="66" t="str">
        <f t="shared" si="174"/>
        <v/>
      </c>
      <c r="AF308" s="66" t="str">
        <f t="shared" si="175"/>
        <v/>
      </c>
      <c r="AG308" s="66" t="str">
        <f t="shared" si="176"/>
        <v/>
      </c>
      <c r="AH308" s="66" t="str">
        <f t="shared" si="177"/>
        <v/>
      </c>
      <c r="AI308" s="66" t="str">
        <f t="shared" si="178"/>
        <v/>
      </c>
      <c r="AJ308" s="66" t="str">
        <f t="shared" si="179"/>
        <v/>
      </c>
    </row>
    <row r="309" spans="1:55">
      <c r="A309" s="66">
        <f t="shared" si="180"/>
        <v>27</v>
      </c>
      <c r="B309" s="66" t="str">
        <f t="shared" si="180"/>
        <v>游瀚翔</v>
      </c>
      <c r="C309" s="66" t="str">
        <f t="shared" si="145"/>
        <v/>
      </c>
      <c r="D309" s="66" t="str">
        <f t="shared" si="147"/>
        <v/>
      </c>
      <c r="E309" s="66" t="str">
        <f t="shared" si="148"/>
        <v/>
      </c>
      <c r="F309" s="66" t="str">
        <f t="shared" si="149"/>
        <v/>
      </c>
      <c r="G309" s="66" t="str">
        <f t="shared" si="150"/>
        <v/>
      </c>
      <c r="H309" s="66" t="str">
        <f t="shared" si="151"/>
        <v/>
      </c>
      <c r="I309" s="66" t="str">
        <f t="shared" si="152"/>
        <v/>
      </c>
      <c r="J309" s="66" t="str">
        <f t="shared" si="153"/>
        <v/>
      </c>
      <c r="K309" s="66" t="str">
        <f t="shared" si="154"/>
        <v/>
      </c>
      <c r="L309" s="66" t="str">
        <f t="shared" si="155"/>
        <v/>
      </c>
      <c r="M309" s="66" t="str">
        <f t="shared" si="156"/>
        <v/>
      </c>
      <c r="N309" s="66" t="str">
        <f t="shared" si="157"/>
        <v/>
      </c>
      <c r="O309" s="66" t="str">
        <f t="shared" si="158"/>
        <v/>
      </c>
      <c r="P309" s="66" t="str">
        <f t="shared" si="159"/>
        <v/>
      </c>
      <c r="Q309" s="66" t="str">
        <f t="shared" si="160"/>
        <v/>
      </c>
      <c r="R309" s="66" t="str">
        <f t="shared" si="161"/>
        <v/>
      </c>
      <c r="S309" s="66" t="str">
        <f t="shared" si="162"/>
        <v/>
      </c>
      <c r="T309" s="66" t="str">
        <f t="shared" si="163"/>
        <v/>
      </c>
      <c r="U309" s="66" t="str">
        <f t="shared" si="164"/>
        <v/>
      </c>
      <c r="V309" s="66" t="str">
        <f t="shared" si="165"/>
        <v/>
      </c>
      <c r="W309" s="66" t="str">
        <f t="shared" si="166"/>
        <v/>
      </c>
      <c r="X309" s="66" t="str">
        <f t="shared" si="167"/>
        <v/>
      </c>
      <c r="Y309" s="66" t="str">
        <f t="shared" si="168"/>
        <v/>
      </c>
      <c r="Z309" s="66" t="str">
        <f t="shared" si="169"/>
        <v/>
      </c>
      <c r="AA309" s="66" t="str">
        <f t="shared" si="170"/>
        <v/>
      </c>
      <c r="AB309" s="66" t="str">
        <f t="shared" si="171"/>
        <v/>
      </c>
      <c r="AC309" s="66" t="str">
        <f t="shared" si="172"/>
        <v/>
      </c>
      <c r="AD309" s="66" t="str">
        <f t="shared" si="173"/>
        <v/>
      </c>
      <c r="AE309" s="66" t="str">
        <f t="shared" si="174"/>
        <v/>
      </c>
      <c r="AF309" s="66" t="str">
        <f t="shared" si="175"/>
        <v/>
      </c>
      <c r="AG309" s="66" t="str">
        <f t="shared" si="176"/>
        <v/>
      </c>
      <c r="AH309" s="66" t="str">
        <f t="shared" si="177"/>
        <v/>
      </c>
      <c r="AI309" s="66" t="str">
        <f t="shared" si="178"/>
        <v/>
      </c>
      <c r="AJ309" s="66" t="str">
        <f t="shared" si="179"/>
        <v/>
      </c>
    </row>
    <row r="310" spans="1:55">
      <c r="A310" s="66">
        <f t="shared" si="180"/>
        <v>28</v>
      </c>
      <c r="B310" s="66" t="str">
        <f t="shared" si="180"/>
        <v>高仲廷</v>
      </c>
      <c r="C310" s="66" t="str">
        <f t="shared" si="145"/>
        <v/>
      </c>
      <c r="D310" s="66" t="str">
        <f t="shared" si="147"/>
        <v/>
      </c>
      <c r="E310" s="66" t="str">
        <f t="shared" si="148"/>
        <v/>
      </c>
      <c r="F310" s="66" t="str">
        <f t="shared" si="149"/>
        <v/>
      </c>
      <c r="G310" s="66" t="str">
        <f t="shared" si="150"/>
        <v/>
      </c>
      <c r="H310" s="66" t="str">
        <f t="shared" si="151"/>
        <v/>
      </c>
      <c r="I310" s="66" t="str">
        <f t="shared" si="152"/>
        <v/>
      </c>
      <c r="J310" s="66" t="str">
        <f t="shared" si="153"/>
        <v/>
      </c>
      <c r="K310" s="66" t="str">
        <f t="shared" si="154"/>
        <v/>
      </c>
      <c r="L310" s="66" t="str">
        <f t="shared" si="155"/>
        <v/>
      </c>
      <c r="M310" s="66" t="str">
        <f t="shared" si="156"/>
        <v/>
      </c>
      <c r="N310" s="66" t="str">
        <f t="shared" si="157"/>
        <v/>
      </c>
      <c r="O310" s="66" t="str">
        <f t="shared" si="158"/>
        <v/>
      </c>
      <c r="P310" s="66" t="str">
        <f t="shared" si="159"/>
        <v/>
      </c>
      <c r="Q310" s="66" t="str">
        <f t="shared" si="160"/>
        <v/>
      </c>
      <c r="R310" s="66" t="str">
        <f t="shared" si="161"/>
        <v/>
      </c>
      <c r="S310" s="66" t="str">
        <f t="shared" si="162"/>
        <v/>
      </c>
      <c r="T310" s="66" t="str">
        <f t="shared" si="163"/>
        <v/>
      </c>
      <c r="U310" s="66" t="str">
        <f t="shared" si="164"/>
        <v/>
      </c>
      <c r="V310" s="66" t="str">
        <f t="shared" si="165"/>
        <v/>
      </c>
      <c r="W310" s="66" t="str">
        <f t="shared" si="166"/>
        <v/>
      </c>
      <c r="X310" s="66" t="str">
        <f t="shared" si="167"/>
        <v/>
      </c>
      <c r="Y310" s="66" t="str">
        <f t="shared" si="168"/>
        <v/>
      </c>
      <c r="Z310" s="66" t="str">
        <f t="shared" si="169"/>
        <v/>
      </c>
      <c r="AA310" s="66" t="str">
        <f t="shared" si="170"/>
        <v/>
      </c>
      <c r="AB310" s="66" t="str">
        <f t="shared" si="171"/>
        <v/>
      </c>
      <c r="AC310" s="66" t="str">
        <f t="shared" si="172"/>
        <v/>
      </c>
      <c r="AD310" s="66" t="str">
        <f t="shared" si="173"/>
        <v/>
      </c>
      <c r="AE310" s="66" t="str">
        <f t="shared" si="174"/>
        <v/>
      </c>
      <c r="AF310" s="66" t="str">
        <f t="shared" si="175"/>
        <v/>
      </c>
      <c r="AG310" s="66" t="str">
        <f t="shared" si="176"/>
        <v/>
      </c>
      <c r="AH310" s="66" t="str">
        <f t="shared" si="177"/>
        <v/>
      </c>
      <c r="AI310" s="66" t="str">
        <f t="shared" si="178"/>
        <v/>
      </c>
      <c r="AJ310" s="66" t="str">
        <f t="shared" si="179"/>
        <v/>
      </c>
    </row>
    <row r="311" spans="1:55">
      <c r="A311" s="66">
        <f t="shared" si="180"/>
        <v>29</v>
      </c>
      <c r="B311" s="66" t="str">
        <f t="shared" si="180"/>
        <v>陳羲</v>
      </c>
      <c r="C311" s="66" t="str">
        <f t="shared" si="145"/>
        <v/>
      </c>
      <c r="D311" s="66" t="str">
        <f t="shared" si="147"/>
        <v/>
      </c>
      <c r="E311" s="66" t="str">
        <f t="shared" si="148"/>
        <v/>
      </c>
      <c r="F311" s="66" t="str">
        <f t="shared" si="149"/>
        <v/>
      </c>
      <c r="G311" s="66" t="str">
        <f t="shared" si="150"/>
        <v/>
      </c>
      <c r="H311" s="66" t="str">
        <f t="shared" si="151"/>
        <v/>
      </c>
      <c r="I311" s="66" t="str">
        <f t="shared" si="152"/>
        <v/>
      </c>
      <c r="J311" s="66" t="str">
        <f t="shared" si="153"/>
        <v/>
      </c>
      <c r="K311" s="66" t="str">
        <f t="shared" si="154"/>
        <v/>
      </c>
      <c r="L311" s="66" t="str">
        <f t="shared" si="155"/>
        <v/>
      </c>
      <c r="M311" s="66" t="str">
        <f t="shared" si="156"/>
        <v/>
      </c>
      <c r="N311" s="66" t="str">
        <f t="shared" si="157"/>
        <v/>
      </c>
      <c r="O311" s="66" t="str">
        <f t="shared" si="158"/>
        <v/>
      </c>
      <c r="P311" s="66" t="str">
        <f t="shared" si="159"/>
        <v/>
      </c>
      <c r="Q311" s="66" t="str">
        <f t="shared" si="160"/>
        <v/>
      </c>
      <c r="R311" s="66" t="str">
        <f t="shared" si="161"/>
        <v/>
      </c>
      <c r="S311" s="66" t="str">
        <f t="shared" si="162"/>
        <v/>
      </c>
      <c r="T311" s="66" t="str">
        <f t="shared" si="163"/>
        <v/>
      </c>
      <c r="U311" s="66" t="str">
        <f t="shared" si="164"/>
        <v/>
      </c>
      <c r="V311" s="66" t="str">
        <f t="shared" si="165"/>
        <v/>
      </c>
      <c r="W311" s="66" t="str">
        <f t="shared" si="166"/>
        <v/>
      </c>
      <c r="X311" s="66" t="str">
        <f t="shared" si="167"/>
        <v/>
      </c>
      <c r="Y311" s="66" t="str">
        <f t="shared" si="168"/>
        <v/>
      </c>
      <c r="Z311" s="66" t="str">
        <f t="shared" si="169"/>
        <v/>
      </c>
      <c r="AA311" s="66" t="str">
        <f t="shared" si="170"/>
        <v/>
      </c>
      <c r="AB311" s="66" t="str">
        <f t="shared" si="171"/>
        <v/>
      </c>
      <c r="AC311" s="66" t="str">
        <f t="shared" si="172"/>
        <v/>
      </c>
      <c r="AD311" s="66" t="str">
        <f t="shared" si="173"/>
        <v/>
      </c>
      <c r="AE311" s="66" t="str">
        <f t="shared" si="174"/>
        <v/>
      </c>
      <c r="AF311" s="66" t="str">
        <f t="shared" si="175"/>
        <v/>
      </c>
      <c r="AG311" s="66" t="str">
        <f t="shared" si="176"/>
        <v/>
      </c>
      <c r="AH311" s="66" t="str">
        <f t="shared" si="177"/>
        <v/>
      </c>
      <c r="AI311" s="66" t="str">
        <f t="shared" si="178"/>
        <v/>
      </c>
      <c r="AJ311" s="66" t="str">
        <f t="shared" si="179"/>
        <v/>
      </c>
    </row>
    <row r="312" spans="1:55">
      <c r="A312" s="66">
        <f t="shared" si="180"/>
        <v>30</v>
      </c>
      <c r="B312" s="66" t="str">
        <f t="shared" si="180"/>
        <v>謝昕融</v>
      </c>
      <c r="C312" s="66" t="str">
        <f t="shared" si="145"/>
        <v/>
      </c>
      <c r="D312" s="66" t="str">
        <f t="shared" si="147"/>
        <v/>
      </c>
      <c r="E312" s="66" t="str">
        <f t="shared" si="148"/>
        <v/>
      </c>
      <c r="F312" s="66" t="str">
        <f t="shared" si="149"/>
        <v/>
      </c>
      <c r="G312" s="66" t="str">
        <f t="shared" si="150"/>
        <v/>
      </c>
      <c r="H312" s="66" t="str">
        <f t="shared" si="151"/>
        <v/>
      </c>
      <c r="I312" s="66" t="str">
        <f t="shared" si="152"/>
        <v/>
      </c>
      <c r="J312" s="66" t="str">
        <f t="shared" si="153"/>
        <v/>
      </c>
      <c r="K312" s="66" t="str">
        <f t="shared" si="154"/>
        <v/>
      </c>
      <c r="L312" s="66" t="str">
        <f t="shared" si="155"/>
        <v/>
      </c>
      <c r="M312" s="66" t="str">
        <f t="shared" si="156"/>
        <v/>
      </c>
      <c r="N312" s="66" t="str">
        <f t="shared" si="157"/>
        <v/>
      </c>
      <c r="O312" s="66" t="str">
        <f t="shared" si="158"/>
        <v/>
      </c>
      <c r="P312" s="66" t="str">
        <f t="shared" si="159"/>
        <v/>
      </c>
      <c r="Q312" s="66" t="str">
        <f t="shared" si="160"/>
        <v/>
      </c>
      <c r="R312" s="66" t="str">
        <f t="shared" si="161"/>
        <v/>
      </c>
      <c r="S312" s="66" t="str">
        <f t="shared" si="162"/>
        <v/>
      </c>
      <c r="T312" s="66" t="str">
        <f t="shared" si="163"/>
        <v/>
      </c>
      <c r="U312" s="66" t="str">
        <f t="shared" si="164"/>
        <v/>
      </c>
      <c r="V312" s="66" t="str">
        <f t="shared" si="165"/>
        <v/>
      </c>
      <c r="W312" s="66" t="str">
        <f t="shared" si="166"/>
        <v/>
      </c>
      <c r="X312" s="66" t="str">
        <f t="shared" si="167"/>
        <v/>
      </c>
      <c r="Y312" s="66" t="str">
        <f t="shared" si="168"/>
        <v/>
      </c>
      <c r="Z312" s="66" t="str">
        <f t="shared" si="169"/>
        <v/>
      </c>
      <c r="AA312" s="66" t="str">
        <f t="shared" si="170"/>
        <v/>
      </c>
      <c r="AB312" s="66" t="str">
        <f t="shared" si="171"/>
        <v/>
      </c>
      <c r="AC312" s="66" t="str">
        <f t="shared" si="172"/>
        <v/>
      </c>
      <c r="AD312" s="66" t="str">
        <f t="shared" si="173"/>
        <v/>
      </c>
      <c r="AE312" s="66" t="str">
        <f t="shared" si="174"/>
        <v/>
      </c>
      <c r="AF312" s="66" t="str">
        <f t="shared" si="175"/>
        <v/>
      </c>
      <c r="AG312" s="66" t="str">
        <f t="shared" si="176"/>
        <v/>
      </c>
      <c r="AH312" s="66" t="str">
        <f t="shared" si="177"/>
        <v/>
      </c>
      <c r="AI312" s="66" t="str">
        <f t="shared" si="178"/>
        <v/>
      </c>
      <c r="AJ312" s="66" t="str">
        <f t="shared" si="179"/>
        <v/>
      </c>
    </row>
    <row r="313" spans="1:55">
      <c r="A313" s="66">
        <f t="shared" si="180"/>
        <v>31</v>
      </c>
      <c r="B313" s="66" t="str">
        <f t="shared" si="180"/>
        <v>許峰銘</v>
      </c>
      <c r="C313" s="66" t="str">
        <f t="shared" si="145"/>
        <v/>
      </c>
      <c r="D313" s="66" t="str">
        <f t="shared" si="147"/>
        <v/>
      </c>
      <c r="E313" s="66" t="str">
        <f t="shared" si="148"/>
        <v/>
      </c>
      <c r="F313" s="66" t="str">
        <f t="shared" si="149"/>
        <v/>
      </c>
      <c r="G313" s="66" t="str">
        <f t="shared" si="150"/>
        <v/>
      </c>
      <c r="H313" s="66" t="str">
        <f t="shared" si="151"/>
        <v/>
      </c>
      <c r="I313" s="66" t="str">
        <f t="shared" si="152"/>
        <v/>
      </c>
      <c r="J313" s="66" t="str">
        <f t="shared" si="153"/>
        <v/>
      </c>
      <c r="K313" s="66" t="str">
        <f t="shared" si="154"/>
        <v/>
      </c>
      <c r="L313" s="66" t="str">
        <f t="shared" si="155"/>
        <v/>
      </c>
      <c r="M313" s="66" t="str">
        <f t="shared" si="156"/>
        <v/>
      </c>
      <c r="N313" s="66" t="str">
        <f t="shared" si="157"/>
        <v/>
      </c>
      <c r="O313" s="66" t="str">
        <f t="shared" si="158"/>
        <v/>
      </c>
      <c r="P313" s="66" t="str">
        <f t="shared" si="159"/>
        <v/>
      </c>
      <c r="Q313" s="66" t="str">
        <f t="shared" si="160"/>
        <v/>
      </c>
      <c r="R313" s="66" t="str">
        <f t="shared" si="161"/>
        <v/>
      </c>
      <c r="S313" s="66" t="str">
        <f t="shared" si="162"/>
        <v/>
      </c>
      <c r="T313" s="66" t="str">
        <f t="shared" si="163"/>
        <v/>
      </c>
      <c r="U313" s="66" t="str">
        <f t="shared" si="164"/>
        <v/>
      </c>
      <c r="V313" s="66" t="str">
        <f t="shared" si="165"/>
        <v/>
      </c>
      <c r="W313" s="66" t="str">
        <f t="shared" si="166"/>
        <v/>
      </c>
      <c r="X313" s="66" t="str">
        <f t="shared" si="167"/>
        <v/>
      </c>
      <c r="Y313" s="66" t="str">
        <f t="shared" si="168"/>
        <v/>
      </c>
      <c r="Z313" s="66" t="str">
        <f t="shared" si="169"/>
        <v/>
      </c>
      <c r="AA313" s="66" t="str">
        <f t="shared" si="170"/>
        <v/>
      </c>
      <c r="AB313" s="66" t="str">
        <f t="shared" si="171"/>
        <v/>
      </c>
      <c r="AC313" s="66" t="str">
        <f t="shared" si="172"/>
        <v/>
      </c>
      <c r="AD313" s="66" t="str">
        <f t="shared" si="173"/>
        <v/>
      </c>
      <c r="AE313" s="66" t="str">
        <f t="shared" si="174"/>
        <v/>
      </c>
      <c r="AF313" s="66" t="str">
        <f t="shared" si="175"/>
        <v/>
      </c>
      <c r="AG313" s="66" t="str">
        <f t="shared" si="176"/>
        <v/>
      </c>
      <c r="AH313" s="66" t="str">
        <f t="shared" si="177"/>
        <v/>
      </c>
      <c r="AI313" s="66" t="str">
        <f t="shared" si="178"/>
        <v/>
      </c>
      <c r="AJ313" s="66" t="str">
        <f t="shared" si="179"/>
        <v/>
      </c>
    </row>
    <row r="314" spans="1:55">
      <c r="A314" s="66">
        <f t="shared" si="180"/>
        <v>32</v>
      </c>
      <c r="B314" s="66" t="str">
        <f t="shared" si="180"/>
        <v>莊博竣</v>
      </c>
      <c r="C314" s="66" t="str">
        <f t="shared" si="145"/>
        <v/>
      </c>
      <c r="D314" s="66" t="str">
        <f t="shared" si="147"/>
        <v/>
      </c>
      <c r="E314" s="66" t="str">
        <f t="shared" si="148"/>
        <v/>
      </c>
      <c r="F314" s="66" t="str">
        <f t="shared" si="149"/>
        <v/>
      </c>
      <c r="G314" s="66" t="str">
        <f t="shared" si="150"/>
        <v/>
      </c>
      <c r="H314" s="66" t="str">
        <f t="shared" si="151"/>
        <v/>
      </c>
      <c r="I314" s="66" t="str">
        <f t="shared" si="152"/>
        <v/>
      </c>
      <c r="J314" s="66" t="str">
        <f t="shared" si="153"/>
        <v/>
      </c>
      <c r="K314" s="66" t="str">
        <f t="shared" si="154"/>
        <v/>
      </c>
      <c r="L314" s="66" t="str">
        <f t="shared" si="155"/>
        <v/>
      </c>
      <c r="M314" s="66" t="str">
        <f t="shared" si="156"/>
        <v/>
      </c>
      <c r="N314" s="66" t="str">
        <f t="shared" si="157"/>
        <v/>
      </c>
      <c r="O314" s="66" t="str">
        <f t="shared" si="158"/>
        <v/>
      </c>
      <c r="P314" s="66" t="str">
        <f t="shared" si="159"/>
        <v/>
      </c>
      <c r="Q314" s="66" t="str">
        <f t="shared" si="160"/>
        <v/>
      </c>
      <c r="R314" s="66" t="str">
        <f t="shared" si="161"/>
        <v/>
      </c>
      <c r="S314" s="66" t="str">
        <f t="shared" si="162"/>
        <v/>
      </c>
      <c r="T314" s="66" t="str">
        <f t="shared" si="163"/>
        <v/>
      </c>
      <c r="U314" s="66" t="str">
        <f t="shared" si="164"/>
        <v/>
      </c>
      <c r="V314" s="66" t="str">
        <f t="shared" si="165"/>
        <v/>
      </c>
      <c r="W314" s="66" t="str">
        <f t="shared" si="166"/>
        <v/>
      </c>
      <c r="X314" s="66" t="str">
        <f t="shared" si="167"/>
        <v/>
      </c>
      <c r="Y314" s="66" t="str">
        <f t="shared" si="168"/>
        <v/>
      </c>
      <c r="Z314" s="66" t="str">
        <f t="shared" si="169"/>
        <v/>
      </c>
      <c r="AA314" s="66" t="str">
        <f t="shared" si="170"/>
        <v/>
      </c>
      <c r="AB314" s="66" t="str">
        <f t="shared" si="171"/>
        <v/>
      </c>
      <c r="AC314" s="66" t="str">
        <f t="shared" si="172"/>
        <v/>
      </c>
      <c r="AD314" s="66" t="str">
        <f t="shared" si="173"/>
        <v/>
      </c>
      <c r="AE314" s="66" t="str">
        <f t="shared" si="174"/>
        <v/>
      </c>
      <c r="AF314" s="66" t="str">
        <f t="shared" si="175"/>
        <v/>
      </c>
      <c r="AG314" s="66" t="str">
        <f t="shared" si="176"/>
        <v/>
      </c>
      <c r="AH314" s="66" t="str">
        <f t="shared" si="177"/>
        <v/>
      </c>
      <c r="AI314" s="66" t="str">
        <f t="shared" si="178"/>
        <v/>
      </c>
      <c r="AJ314" s="66" t="str">
        <f t="shared" si="179"/>
        <v/>
      </c>
    </row>
    <row r="315" spans="1:55">
      <c r="A315" s="66">
        <f t="shared" ref="A315:B318" si="181">A275</f>
        <v>33</v>
      </c>
      <c r="B315" s="66" t="str">
        <f t="shared" si="181"/>
        <v/>
      </c>
      <c r="C315" s="66" t="str">
        <f t="shared" si="145"/>
        <v/>
      </c>
      <c r="D315" s="66" t="str">
        <f t="shared" si="147"/>
        <v/>
      </c>
      <c r="E315" s="66" t="str">
        <f t="shared" si="148"/>
        <v/>
      </c>
      <c r="F315" s="66" t="str">
        <f t="shared" si="149"/>
        <v/>
      </c>
      <c r="G315" s="66" t="str">
        <f t="shared" si="150"/>
        <v/>
      </c>
      <c r="H315" s="66" t="str">
        <f t="shared" si="151"/>
        <v/>
      </c>
      <c r="I315" s="66" t="str">
        <f t="shared" si="152"/>
        <v/>
      </c>
      <c r="J315" s="66" t="str">
        <f t="shared" si="153"/>
        <v/>
      </c>
      <c r="K315" s="66" t="str">
        <f t="shared" si="154"/>
        <v/>
      </c>
      <c r="L315" s="66" t="str">
        <f t="shared" si="155"/>
        <v/>
      </c>
      <c r="M315" s="66" t="str">
        <f t="shared" si="156"/>
        <v/>
      </c>
      <c r="N315" s="66" t="str">
        <f t="shared" si="157"/>
        <v/>
      </c>
      <c r="O315" s="66" t="str">
        <f t="shared" si="158"/>
        <v/>
      </c>
      <c r="P315" s="66" t="str">
        <f t="shared" si="159"/>
        <v/>
      </c>
      <c r="Q315" s="66" t="str">
        <f t="shared" si="160"/>
        <v/>
      </c>
      <c r="R315" s="66" t="str">
        <f t="shared" si="161"/>
        <v/>
      </c>
      <c r="S315" s="66" t="str">
        <f t="shared" si="162"/>
        <v/>
      </c>
      <c r="T315" s="66" t="str">
        <f t="shared" si="163"/>
        <v/>
      </c>
      <c r="U315" s="66" t="str">
        <f t="shared" si="164"/>
        <v/>
      </c>
      <c r="V315" s="66" t="str">
        <f t="shared" si="165"/>
        <v/>
      </c>
      <c r="W315" s="66" t="str">
        <f t="shared" si="166"/>
        <v/>
      </c>
      <c r="X315" s="66" t="str">
        <f t="shared" si="167"/>
        <v/>
      </c>
      <c r="Y315" s="66" t="str">
        <f t="shared" si="168"/>
        <v/>
      </c>
      <c r="Z315" s="66" t="str">
        <f t="shared" si="169"/>
        <v/>
      </c>
      <c r="AA315" s="66" t="str">
        <f t="shared" si="170"/>
        <v/>
      </c>
      <c r="AB315" s="66" t="str">
        <f t="shared" si="171"/>
        <v/>
      </c>
      <c r="AC315" s="66" t="str">
        <f t="shared" si="172"/>
        <v/>
      </c>
      <c r="AD315" s="66" t="str">
        <f t="shared" si="173"/>
        <v/>
      </c>
      <c r="AE315" s="66" t="str">
        <f t="shared" si="174"/>
        <v/>
      </c>
      <c r="AF315" s="66" t="str">
        <f t="shared" si="175"/>
        <v/>
      </c>
      <c r="AG315" s="66" t="str">
        <f t="shared" si="176"/>
        <v/>
      </c>
      <c r="AH315" s="66" t="str">
        <f t="shared" si="177"/>
        <v/>
      </c>
      <c r="AI315" s="66" t="str">
        <f t="shared" si="178"/>
        <v/>
      </c>
      <c r="AJ315" s="66" t="str">
        <f t="shared" si="179"/>
        <v/>
      </c>
    </row>
    <row r="316" spans="1:55">
      <c r="A316" s="66">
        <f t="shared" si="181"/>
        <v>34</v>
      </c>
      <c r="B316" s="66" t="str">
        <f t="shared" si="181"/>
        <v/>
      </c>
      <c r="C316" s="66" t="str">
        <f t="shared" si="145"/>
        <v/>
      </c>
      <c r="D316" s="66" t="str">
        <f t="shared" si="147"/>
        <v/>
      </c>
      <c r="E316" s="66" t="str">
        <f t="shared" si="148"/>
        <v/>
      </c>
      <c r="F316" s="66" t="str">
        <f t="shared" si="149"/>
        <v/>
      </c>
      <c r="G316" s="66" t="str">
        <f t="shared" si="150"/>
        <v/>
      </c>
      <c r="H316" s="66" t="str">
        <f t="shared" si="151"/>
        <v/>
      </c>
      <c r="I316" s="66" t="str">
        <f t="shared" si="152"/>
        <v/>
      </c>
      <c r="J316" s="66" t="str">
        <f t="shared" si="153"/>
        <v/>
      </c>
      <c r="K316" s="66" t="str">
        <f t="shared" si="154"/>
        <v/>
      </c>
      <c r="L316" s="66" t="str">
        <f t="shared" si="155"/>
        <v/>
      </c>
      <c r="M316" s="66" t="str">
        <f t="shared" si="156"/>
        <v/>
      </c>
      <c r="N316" s="66" t="str">
        <f t="shared" si="157"/>
        <v/>
      </c>
      <c r="O316" s="66" t="str">
        <f t="shared" si="158"/>
        <v/>
      </c>
      <c r="P316" s="66" t="str">
        <f t="shared" si="159"/>
        <v/>
      </c>
      <c r="Q316" s="66" t="str">
        <f t="shared" si="160"/>
        <v/>
      </c>
      <c r="R316" s="66" t="str">
        <f t="shared" si="161"/>
        <v/>
      </c>
      <c r="S316" s="66" t="str">
        <f t="shared" si="162"/>
        <v/>
      </c>
      <c r="T316" s="66" t="str">
        <f t="shared" si="163"/>
        <v/>
      </c>
      <c r="U316" s="66" t="str">
        <f t="shared" si="164"/>
        <v/>
      </c>
      <c r="V316" s="66" t="str">
        <f t="shared" si="165"/>
        <v/>
      </c>
      <c r="W316" s="66" t="str">
        <f t="shared" si="166"/>
        <v/>
      </c>
      <c r="X316" s="66" t="str">
        <f t="shared" si="167"/>
        <v/>
      </c>
      <c r="Y316" s="66" t="str">
        <f t="shared" si="168"/>
        <v/>
      </c>
      <c r="Z316" s="66" t="str">
        <f t="shared" si="169"/>
        <v/>
      </c>
      <c r="AA316" s="66" t="str">
        <f t="shared" si="170"/>
        <v/>
      </c>
      <c r="AB316" s="66" t="str">
        <f t="shared" si="171"/>
        <v/>
      </c>
      <c r="AC316" s="66" t="str">
        <f t="shared" si="172"/>
        <v/>
      </c>
      <c r="AD316" s="66" t="str">
        <f t="shared" si="173"/>
        <v/>
      </c>
      <c r="AE316" s="66" t="str">
        <f t="shared" si="174"/>
        <v/>
      </c>
      <c r="AF316" s="66" t="str">
        <f t="shared" si="175"/>
        <v/>
      </c>
      <c r="AG316" s="66" t="str">
        <f t="shared" si="176"/>
        <v/>
      </c>
      <c r="AH316" s="66" t="str">
        <f t="shared" si="177"/>
        <v/>
      </c>
      <c r="AI316" s="66" t="str">
        <f t="shared" si="178"/>
        <v/>
      </c>
      <c r="AJ316" s="66" t="str">
        <f t="shared" si="179"/>
        <v/>
      </c>
    </row>
    <row r="317" spans="1:55">
      <c r="A317" s="66">
        <f t="shared" si="181"/>
        <v>35</v>
      </c>
      <c r="B317" s="66" t="str">
        <f t="shared" si="181"/>
        <v/>
      </c>
      <c r="C317" s="66" t="str">
        <f t="shared" si="145"/>
        <v/>
      </c>
      <c r="D317" s="66" t="str">
        <f t="shared" si="147"/>
        <v/>
      </c>
      <c r="E317" s="66" t="str">
        <f t="shared" si="148"/>
        <v/>
      </c>
      <c r="F317" s="66" t="str">
        <f t="shared" si="149"/>
        <v/>
      </c>
      <c r="G317" s="66" t="str">
        <f t="shared" si="150"/>
        <v/>
      </c>
      <c r="H317" s="66" t="str">
        <f t="shared" si="151"/>
        <v/>
      </c>
      <c r="I317" s="66" t="str">
        <f t="shared" si="152"/>
        <v/>
      </c>
      <c r="J317" s="66" t="str">
        <f t="shared" si="153"/>
        <v/>
      </c>
      <c r="K317" s="66" t="str">
        <f t="shared" si="154"/>
        <v/>
      </c>
      <c r="L317" s="66" t="str">
        <f t="shared" si="155"/>
        <v/>
      </c>
      <c r="M317" s="66" t="str">
        <f t="shared" si="156"/>
        <v/>
      </c>
      <c r="N317" s="66" t="str">
        <f t="shared" si="157"/>
        <v/>
      </c>
      <c r="O317" s="66" t="str">
        <f t="shared" si="158"/>
        <v/>
      </c>
      <c r="P317" s="66" t="str">
        <f t="shared" si="159"/>
        <v/>
      </c>
      <c r="Q317" s="66" t="str">
        <f t="shared" si="160"/>
        <v/>
      </c>
      <c r="R317" s="66" t="str">
        <f t="shared" si="161"/>
        <v/>
      </c>
      <c r="S317" s="66" t="str">
        <f t="shared" si="162"/>
        <v/>
      </c>
      <c r="T317" s="66" t="str">
        <f t="shared" si="163"/>
        <v/>
      </c>
      <c r="U317" s="66" t="str">
        <f t="shared" si="164"/>
        <v/>
      </c>
      <c r="V317" s="66" t="str">
        <f t="shared" si="165"/>
        <v/>
      </c>
      <c r="W317" s="66" t="str">
        <f t="shared" si="166"/>
        <v/>
      </c>
      <c r="X317" s="66" t="str">
        <f t="shared" si="167"/>
        <v/>
      </c>
      <c r="Y317" s="66" t="str">
        <f t="shared" si="168"/>
        <v/>
      </c>
      <c r="Z317" s="66" t="str">
        <f t="shared" si="169"/>
        <v/>
      </c>
      <c r="AA317" s="66" t="str">
        <f t="shared" si="170"/>
        <v/>
      </c>
      <c r="AB317" s="66" t="str">
        <f t="shared" si="171"/>
        <v/>
      </c>
      <c r="AC317" s="66" t="str">
        <f t="shared" si="172"/>
        <v/>
      </c>
      <c r="AD317" s="66" t="str">
        <f t="shared" si="173"/>
        <v/>
      </c>
      <c r="AE317" s="66" t="str">
        <f t="shared" si="174"/>
        <v/>
      </c>
      <c r="AF317" s="66" t="str">
        <f t="shared" si="175"/>
        <v/>
      </c>
      <c r="AG317" s="66" t="str">
        <f t="shared" si="176"/>
        <v/>
      </c>
      <c r="AH317" s="66" t="str">
        <f t="shared" si="177"/>
        <v/>
      </c>
      <c r="AI317" s="66" t="str">
        <f t="shared" si="178"/>
        <v/>
      </c>
      <c r="AJ317" s="66" t="str">
        <f t="shared" si="179"/>
        <v/>
      </c>
    </row>
    <row r="318" spans="1:55">
      <c r="A318" s="66">
        <f t="shared" si="181"/>
        <v>37</v>
      </c>
      <c r="B318" s="66" t="str">
        <f t="shared" si="181"/>
        <v/>
      </c>
      <c r="C318" s="66" t="str">
        <f t="shared" ref="C318:AJ318" si="182">IF(    AND( C38="補",  LEN(C317)&gt;=2 ),        "." &amp; $A318,    IF(         AND( C38="補" ),       $A318,        IF(  OR(  LEN(C317)&gt;=2  ),  CONCATENATE(  "",  IF(  AND(  LEN(  INDEX(   $A$1:$AJ$39, MATCH($A318,$A$1:$A$39,0),MATCH(  C$282,$A$1:$AP$1,0  )  )  )&gt;LEN(  SUBSTITUTE(  INDEX(   $A$1:$AJ$39, MATCH($A318,$A$1:$A$39,0),MATCH(  C$282,$A$1:$AP$1,0  )  ),"補","")  ),  LEN(  INDEX(   $A$1:$AJ$39, MATCH($A318,$A$1:$A$39,0),MATCH(  C$282,$A$1:$AP$1,0  )  )  )&gt;LEN(  SUBSTITUTE(  INDEX(   $A$1:$AJ$39, MATCH($A318,$A$1:$A$39,0),MATCH(  C$282,$A$1:$AP$1,0  )  ),"-","")  )  ),  CONCATENATE(  $A318,"(",   SUBSTITUTE(   SUBSTITUTE(  SUBSTITUTE(  INDEX(   $A$1:$AG$39, MATCH($A318,$A$1:$A$39,0),MATCH(  C$282,$A$282:$AP$282,0  )  ),"補",""),"x","")," ",""),"時",")"),  ""  )  ),  IF(  AND(  LEN(  INDEX(   $A$1:$AJ$39, MATCH($A318,$A$1:$A$39,0),MATCH(  C$282,$A$1:$AP$1,0  )  )  )&gt;LEN(  SUBSTITUTE(  INDEX(   $A$1:$AJ$39, MATCH($A318,$A$1:$A$39,0),MATCH(  C$282,$A$1:$AP$1,0  )  ),"補","")  ),  LEN(  INDEX(   $A$1:$AJ$39, MATCH($A318,$A$1:$A$39,0),MATCH(  C$282,$A$1:$AP$1,0  )  )  )&gt;LEN(  SUBSTITUTE(  INDEX(   $A$1:$AJ$39, MATCH($A318,$A$1:$A$39,0),MATCH(  C$282,$A$1:$AP$1,0  )  ),"-","")  )  ),  CONCATENATE(  $A318,"(",   SUBSTITUTE(   SUBSTITUTE(  SUBSTITUTE(  INDEX(   $A$1:$AJ$39, MATCH($A318,$A$1:$A$39,0),MATCH(  C$282,$A$282:$AP$282,0  )  ),"補",""),"x","")," ",""),"時",")"),  ""  )  )           ))</f>
        <v/>
      </c>
      <c r="D318" s="66" t="str">
        <f t="shared" si="182"/>
        <v/>
      </c>
      <c r="E318" s="66" t="str">
        <f t="shared" si="182"/>
        <v/>
      </c>
      <c r="F318" s="66" t="str">
        <f t="shared" si="182"/>
        <v/>
      </c>
      <c r="G318" s="66" t="str">
        <f t="shared" si="182"/>
        <v/>
      </c>
      <c r="H318" s="66" t="str">
        <f t="shared" si="182"/>
        <v/>
      </c>
      <c r="I318" s="66" t="str">
        <f t="shared" si="182"/>
        <v/>
      </c>
      <c r="J318" s="66" t="str">
        <f t="shared" si="182"/>
        <v/>
      </c>
      <c r="K318" s="66" t="str">
        <f t="shared" si="182"/>
        <v/>
      </c>
      <c r="L318" s="66" t="str">
        <f t="shared" si="182"/>
        <v/>
      </c>
      <c r="M318" s="66" t="str">
        <f t="shared" si="182"/>
        <v/>
      </c>
      <c r="N318" s="66" t="str">
        <f t="shared" si="182"/>
        <v/>
      </c>
      <c r="O318" s="66" t="str">
        <f t="shared" si="182"/>
        <v/>
      </c>
      <c r="P318" s="66" t="str">
        <f t="shared" si="182"/>
        <v/>
      </c>
      <c r="Q318" s="66" t="str">
        <f t="shared" si="182"/>
        <v/>
      </c>
      <c r="R318" s="66" t="str">
        <f t="shared" si="182"/>
        <v/>
      </c>
      <c r="S318" s="66" t="str">
        <f t="shared" si="182"/>
        <v/>
      </c>
      <c r="T318" s="66" t="str">
        <f t="shared" si="182"/>
        <v/>
      </c>
      <c r="U318" s="66" t="str">
        <f t="shared" si="182"/>
        <v/>
      </c>
      <c r="V318" s="66" t="str">
        <f t="shared" si="182"/>
        <v/>
      </c>
      <c r="W318" s="66" t="str">
        <f t="shared" si="182"/>
        <v/>
      </c>
      <c r="X318" s="66" t="str">
        <f t="shared" si="182"/>
        <v/>
      </c>
      <c r="Y318" s="66" t="str">
        <f t="shared" si="182"/>
        <v/>
      </c>
      <c r="Z318" s="66" t="str">
        <f t="shared" si="182"/>
        <v/>
      </c>
      <c r="AA318" s="66" t="str">
        <f t="shared" si="182"/>
        <v/>
      </c>
      <c r="AB318" s="66" t="str">
        <f t="shared" si="182"/>
        <v/>
      </c>
      <c r="AC318" s="66" t="str">
        <f t="shared" si="182"/>
        <v/>
      </c>
      <c r="AD318" s="66" t="str">
        <f t="shared" si="182"/>
        <v/>
      </c>
      <c r="AE318" s="66" t="str">
        <f t="shared" si="182"/>
        <v/>
      </c>
      <c r="AF318" s="66" t="str">
        <f t="shared" si="182"/>
        <v/>
      </c>
      <c r="AG318" s="66" t="str">
        <f t="shared" si="182"/>
        <v/>
      </c>
      <c r="AH318" s="66" t="str">
        <f t="shared" si="182"/>
        <v/>
      </c>
      <c r="AI318" s="66" t="str">
        <f t="shared" si="182"/>
        <v/>
      </c>
      <c r="AJ318" s="66" t="str">
        <f t="shared" si="182"/>
        <v/>
      </c>
    </row>
    <row r="319" spans="1:55">
      <c r="A319" s="66"/>
      <c r="B319" s="66"/>
      <c r="C319" s="66" t="str">
        <f xml:space="preserve">    IF(  AND(  COUNTIF(勤務分配!$E$3:$E$44,"補休")&gt;=1,  IFERROR(  LEFT(  CONCATENATE(C283,C284,C285,C286,C287,C288,C289,C290,C291,C292,C293,C294,C295,C296,C297,C298,C299,C300,C301,C302,C303,C304,C305,C306,C307,C308,C309,C310,C311,C312,C313,C314,C315,C316,C317,C318),LEN(  CONCATENATE(C283,C284,C285,C286,C287,C288,C289,C290,C291,C292,C293,C294,C295,C296,C297,C298,C299,C300,C301,C302,C303,C304,C305,C306,C307,C308,C309,C310,C311,C312,C313,C314,C315,C316,C317,C318)  )-1),"")&lt;&gt;""   ),"." &amp; IFERROR(  LEFT(  CONCATENATE(C283,C284,C285,C286,C287,C288,C289,C290,C291,C292,C293,C294,C295,C296,C297,C298,C299,C300,C301,C302,C303,C304,C305,C306,C307,C308,C309,C310,C311,C312,C313,C314,C315,C316,C317,C318),LEN(  CONCATENATE(C283,C284,C285,C286,C287,C288,C289,C290,C291,C292,C293,C294,C295,C296,C297,C298,C299,C300,C301,C302,C303,C304,C305,C306,C307,C308,C309,C310,C311,C312,C313,C314,C315,C316,C317,C318)  )-1),""),                             IFERROR(  LEFT(  CONCATENATE(C283,C284,C285,C286,C287,C288,C289,C290,C291,C292,C293,C294,C295,C296,C297,C298,C299,C300,C301,C302,C303,C304,C305,C306,C307,C308,C309,C310,C311,C312,C313,C314,C315,C316,C317,C318),LEN(  CONCATENATE(C283,C284,C285,C286,C287,C288,C289,C290,C291,C292,C293,C294,C295,C296,C297,C298,C299,C300,C301,C302,C303,C304,C305,C306,C307,C308,C309,C310,C311,C312,C313,C314,C315,C316,C317,C318)  )-1),"")        )</f>
        <v/>
      </c>
      <c r="D319" s="66" t="str">
        <f xml:space="preserve">    IF(  AND(  COUNTIF(勤務分配!$E$3:$E$44,"補休")&gt;=1,  IFERROR(  LEFT(  CONCATENATE(D283,D284,D285,D286,D287,D288,D289,D290,D291,D292,D293,D294,D295,D296,D297,D298,D299,D300,D301,D302,D303,D304,D305,D306,D307,D308,D309,D310,D311,D312,D313,D314,D315,D316,D317,D318),LEN(  CONCATENATE(D283,D284,D285,D286,D287,D288,D289,D290,D291,D292,D293,D294,D295,D296,D297,D298,D299,D300,D301,D302,D303,D304,D305,D306,D307,D308,D309,D310,D311,D312,D313,D314,D315,D316,D317,D318)  )-1),"")&lt;&gt;""   ),"." &amp; IFERROR(  LEFT(  CONCATENATE(D283,D284,D285,D286,D287,D288,D289,D290,D291,D292,D293,D294,D295,D296,D297,D298,D299,D300,D301,D302,D303,D304,D305,D306,D307,D308,D309,D310,D311,D312,D313,D314,D315,D316,D317,D318),LEN(  CONCATENATE(D283,D284,D285,D286,D287,D288,D289,D290,D291,D292,D293,D294,D295,D296,D297,D298,D299,D300,D301,D302,D303,D304,D305,D306,D307,D308,D309,D310,D311,D312,D313,D314,D315,D316,D317,D318)  )-1),""),                             IFERROR(  LEFT(  CONCATENATE(D283,D284,D285,D286,D287,D288,D289,D290,D291,D292,D293,D294,D295,D296,D297,D298,D299,D300,D301,D302,D303,D304,D305,D306,D307,D308,D309,D310,D311,D312,D313,D314,D315,D316,D317,D318),LEN(  CONCATENATE(D283,D284,D285,D286,D287,D288,D289,D290,D291,D292,D293,D294,D295,D296,D297,D298,D299,D300,D301,D302,D303,D304,D305,D306,D307,D308,D309,D310,D311,D312,D313,D314,D315,D316,D317,D318)  )-1),"")        )</f>
        <v/>
      </c>
      <c r="E319" s="66" t="str">
        <f xml:space="preserve">    IF(  AND(  COUNTIF(勤務分配!$E$3:$E$44,"補休")&gt;=1,  IFERROR(  LEFT(  CONCATENATE(E283,E284,E285,E286,E287,E288,E289,E290,E291,E292,E293,E294,E295,E296,E297,E298,E299,E300,E301,E302,E303,E304,E305,E306,E307,E308,E309,E310,E311,E312,E313,E314,E315,E316,E317,E318),LEN(  CONCATENATE(E283,E284,E285,E286,E287,E288,E289,E290,E291,E292,E293,E294,E295,E296,E297,E298,E299,E300,E301,E302,E303,E304,E305,E306,E307,E308,E309,E310,E311,E312,E313,E314,E315,E316,E317,E318)  )-1),"")&lt;&gt;""   ),"." &amp; IFERROR(  LEFT(  CONCATENATE(E283,E284,E285,E286,E287,E288,E289,E290,E291,E292,E293,E294,E295,E296,E297,E298,E299,E300,E301,E302,E303,E304,E305,E306,E307,E308,E309,E310,E311,E312,E313,E314,E315,E316,E317,E318),LEN(  CONCATENATE(E283,E284,E285,E286,E287,E288,E289,E290,E291,E292,E293,E294,E295,E296,E297,E298,E299,E300,E301,E302,E303,E304,E305,E306,E307,E308,E309,E310,E311,E312,E313,E314,E315,E316,E317,E318)  )-1),""),                             IFERROR(  LEFT(  CONCATENATE(E283,E284,E285,E286,E287,E288,E289,E290,E291,E292,E293,E294,E295,E296,E297,E298,E299,E300,E301,E302,E303,E304,E305,E306,E307,E308,E309,E310,E311,E312,E313,E314,E315,E316,E317,E318),LEN(  CONCATENATE(E283,E284,E285,E286,E287,E288,E289,E290,E291,E292,E293,E294,E295,E296,E297,E298,E299,E300,E301,E302,E303,E304,E305,E306,E307,E308,E309,E310,E311,E312,E313,E314,E315,E316,E317,E318)  )-1),"")        )</f>
        <v/>
      </c>
      <c r="F319" s="66" t="str">
        <f xml:space="preserve">    IF(  AND(  COUNTIF(勤務分配!$E$3:$E$44,"補休")&gt;=1,  IFERROR(  LEFT(  CONCATENATE(F283,F284,F285,F286,F287,F288,F289,F290,F291,F292,F293,F294,F295,F296,F297,F298,F299,F300,F301,F302,F303,F304,F305,F306,F307,F308,F309,F310,F311,F312,F313,F314,F315,F316,F317,F318),LEN(  CONCATENATE(F283,F284,F285,F286,F287,F288,F289,F290,F291,F292,F293,F294,F295,F296,F297,F298,F299,F300,F301,F302,F303,F304,F305,F306,F307,F308,F309,F310,F311,F312,F313,F314,F315,F316,F317,F318)  )-1),"")&lt;&gt;""   ),"." &amp; IFERROR(  LEFT(  CONCATENATE(F283,F284,F285,F286,F287,F288,F289,F290,F291,F292,F293,F294,F295,F296,F297,F298,F299,F300,F301,F302,F303,F304,F305,F306,F307,F308,F309,F310,F311,F312,F313,F314,F315,F316,F317,F318),LEN(  CONCATENATE(F283,F284,F285,F286,F287,F288,F289,F290,F291,F292,F293,F294,F295,F296,F297,F298,F299,F300,F301,F302,F303,F304,F305,F306,F307,F308,F309,F310,F311,F312,F313,F314,F315,F316,F317,F318)  )-1),""),                             IFERROR(  LEFT(  CONCATENATE(F283,F284,F285,F286,F287,F288,F289,F290,F291,F292,F293,F294,F295,F296,F297,F298,F299,F300,F301,F302,F303,F304,F305,F306,F307,F308,F309,F310,F311,F312,F313,F314,F315,F316,F317,F318),LEN(  CONCATENATE(F283,F284,F285,F286,F287,F288,F289,F290,F291,F292,F293,F294,F295,F296,F297,F298,F299,F300,F301,F302,F303,F304,F305,F306,F307,F308,F309,F310,F311,F312,F313,F314,F315,F316,F317,F318)  )-1),"")        )</f>
        <v/>
      </c>
      <c r="G319" s="66" t="str">
        <f xml:space="preserve">    IF(  AND(  COUNTIF(勤務分配!$E$3:$E$44,"補休")&gt;=1,  IFERROR(  LEFT(  CONCATENATE(G283,G284,G285,G286,G287,G288,G289,G290,G291,G292,G293,G294,G295,G296,G297,G298,G299,G300,G301,G302,G303,G304,G305,G306,G307,G308,G309,G310,G311,G312,G313,G314,G315,G316,G317,G318),LEN(  CONCATENATE(G283,G284,G285,G286,G287,G288,G289,G290,G291,G292,G293,G294,G295,G296,G297,G298,G299,G300,G301,G302,G303,G304,G305,G306,G307,G308,G309,G310,G311,G312,G313,G314,G315,G316,G317,G318)  )-1),"")&lt;&gt;""   ),"." &amp; IFERROR(  LEFT(  CONCATENATE(G283,G284,G285,G286,G287,G288,G289,G290,G291,G292,G293,G294,G295,G296,G297,G298,G299,G300,G301,G302,G303,G304,G305,G306,G307,G308,G309,G310,G311,G312,G313,G314,G315,G316,G317,G318),LEN(  CONCATENATE(G283,G284,G285,G286,G287,G288,G289,G290,G291,G292,G293,G294,G295,G296,G297,G298,G299,G300,G301,G302,G303,G304,G305,G306,G307,G308,G309,G310,G311,G312,G313,G314,G315,G316,G317,G318)  )-1),""),                             IFERROR(  LEFT(  CONCATENATE(G283,G284,G285,G286,G287,G288,G289,G290,G291,G292,G293,G294,G295,G296,G297,G298,G299,G300,G301,G302,G303,G304,G305,G306,G307,G308,G309,G310,G311,G312,G313,G314,G315,G316,G317,G318),LEN(  CONCATENATE(G283,G284,G285,G286,G287,G288,G289,G290,G291,G292,G293,G294,G295,G296,G297,G298,G299,G300,G301,G302,G303,G304,G305,G306,G307,G308,G309,G310,G311,G312,G313,G314,G315,G316,G317,G318)  )-1),"")        )</f>
        <v/>
      </c>
      <c r="H319" s="66" t="str">
        <f xml:space="preserve">    IF(  AND(  COUNTIF(勤務分配!$E$3:$E$44,"補休")&gt;=1,  IFERROR(  LEFT(  CONCATENATE(H283,H284,H285,H286,H287,H288,H289,H290,H291,H292,H293,H294,H295,H296,H297,H298,H299,H300,H301,H302,H303,H304,H305,H306,H307,H308,H309,H310,H311,H312,H313,H314,H315,H316,H317,H318),LEN(  CONCATENATE(H283,H284,H285,H286,H287,H288,H289,H290,H291,H292,H293,H294,H295,H296,H297,H298,H299,H300,H301,H302,H303,H304,H305,H306,H307,H308,H309,H310,H311,H312,H313,H314,H315,H316,H317,H318)  )-1),"")&lt;&gt;""   ),"." &amp; IFERROR(  LEFT(  CONCATENATE(H283,H284,H285,H286,H287,H288,H289,H290,H291,H292,H293,H294,H295,H296,H297,H298,H299,H300,H301,H302,H303,H304,H305,H306,H307,H308,H309,H310,H311,H312,H313,H314,H315,H316,H317,H318),LEN(  CONCATENATE(H283,H284,H285,H286,H287,H288,H289,H290,H291,H292,H293,H294,H295,H296,H297,H298,H299,H300,H301,H302,H303,H304,H305,H306,H307,H308,H309,H310,H311,H312,H313,H314,H315,H316,H317,H318)  )-1),""),                             IFERROR(  LEFT(  CONCATENATE(H283,H284,H285,H286,H287,H288,H289,H290,H291,H292,H293,H294,H295,H296,H297,H298,H299,H300,H301,H302,H303,H304,H305,H306,H307,H308,H309,H310,H311,H312,H313,H314,H315,H316,H317,H318),LEN(  CONCATENATE(H283,H284,H285,H286,H287,H288,H289,H290,H291,H292,H293,H294,H295,H296,H297,H298,H299,H300,H301,H302,H303,H304,H305,H306,H307,H308,H309,H310,H311,H312,H313,H314,H315,H316,H317,H318)  )-1),"")        )</f>
        <v/>
      </c>
      <c r="I319" s="66" t="str">
        <f xml:space="preserve">    IF(  AND(  COUNTIF(勤務分配!$E$3:$E$44,"補休")&gt;=1,  IFERROR(  LEFT(  CONCATENATE(I283,I284,I285,I286,I287,I288,I289,I290,I291,I292,I293,I294,I295,I296,I297,I298,I299,I300,I301,I302,I303,I304,I305,I306,I307,I308,I309,I310,I311,I312,I313,I314,I315,I316,I317,I318),LEN(  CONCATENATE(I283,I284,I285,I286,I287,I288,I289,I290,I291,I292,I293,I294,I295,I296,I297,I298,I299,I300,I301,I302,I303,I304,I305,I306,I307,I308,I309,I310,I311,I312,I313,I314,I315,I316,I317,I318)  )-1),"")&lt;&gt;""   ),"." &amp; IFERROR(  LEFT(  CONCATENATE(I283,I284,I285,I286,I287,I288,I289,I290,I291,I292,I293,I294,I295,I296,I297,I298,I299,I300,I301,I302,I303,I304,I305,I306,I307,I308,I309,I310,I311,I312,I313,I314,I315,I316,I317,I318),LEN(  CONCATENATE(I283,I284,I285,I286,I287,I288,I289,I290,I291,I292,I293,I294,I295,I296,I297,I298,I299,I300,I301,I302,I303,I304,I305,I306,I307,I308,I309,I310,I311,I312,I313,I314,I315,I316,I317,I318)  )-1),""),                             IFERROR(  LEFT(  CONCATENATE(I283,I284,I285,I286,I287,I288,I289,I290,I291,I292,I293,I294,I295,I296,I297,I298,I299,I300,I301,I302,I303,I304,I305,I306,I307,I308,I309,I310,I311,I312,I313,I314,I315,I316,I317,I318),LEN(  CONCATENATE(I283,I284,I285,I286,I287,I288,I289,I290,I291,I292,I293,I294,I295,I296,I297,I298,I299,I300,I301,I302,I303,I304,I305,I306,I307,I308,I309,I310,I311,I312,I313,I314,I315,I316,I317,I318)  )-1),"")        )</f>
        <v/>
      </c>
      <c r="J319" s="66" t="str">
        <f xml:space="preserve">    IF(  AND(  COUNTIF(勤務分配!$E$3:$E$44,"補休")&gt;=1,  IFERROR(  LEFT(  CONCATENATE(J283,J284,J285,J286,J287,J288,J289,J290,J291,J292,J293,J294,J295,J296,J297,J298,J299,J300,J301,J302,J303,J304,J305,J306,J307,J308,J309,J310,J311,J312,J313,J314,J315,J316,J317,J318),LEN(  CONCATENATE(J283,J284,J285,J286,J287,J288,J289,J290,J291,J292,J293,J294,J295,J296,J297,J298,J299,J300,J301,J302,J303,J304,J305,J306,J307,J308,J309,J310,J311,J312,J313,J314,J315,J316,J317,J318)  )-1),"")&lt;&gt;""   ),"." &amp; IFERROR(  LEFT(  CONCATENATE(J283,J284,J285,J286,J287,J288,J289,J290,J291,J292,J293,J294,J295,J296,J297,J298,J299,J300,J301,J302,J303,J304,J305,J306,J307,J308,J309,J310,J311,J312,J313,J314,J315,J316,J317,J318),LEN(  CONCATENATE(J283,J284,J285,J286,J287,J288,J289,J290,J291,J292,J293,J294,J295,J296,J297,J298,J299,J300,J301,J302,J303,J304,J305,J306,J307,J308,J309,J310,J311,J312,J313,J314,J315,J316,J317,J318)  )-1),""),                             IFERROR(  LEFT(  CONCATENATE(J283,J284,J285,J286,J287,J288,J289,J290,J291,J292,J293,J294,J295,J296,J297,J298,J299,J300,J301,J302,J303,J304,J305,J306,J307,J308,J309,J310,J311,J312,J313,J314,J315,J316,J317,J318),LEN(  CONCATENATE(J283,J284,J285,J286,J287,J288,J289,J290,J291,J292,J293,J294,J295,J296,J297,J298,J299,J300,J301,J302,J303,J304,J305,J306,J307,J308,J309,J310,J311,J312,J313,J314,J315,J316,J317,J318)  )-1),"")        )</f>
        <v/>
      </c>
      <c r="K319" s="66" t="str">
        <f xml:space="preserve">    IF(  AND(  COUNTIF(勤務分配!$E$3:$E$44,"補休")&gt;=1,  IFERROR(  LEFT(  CONCATENATE(K283,K284,K285,K286,K287,K288,K289,K290,K291,K292,K293,K294,K295,K296,K297,K298,K299,K300,K301,K302,K303,K304,K305,K306,K307,K308,K309,K310,K311,K312,K313,K314,K315,K316,K317,K318),LEN(  CONCATENATE(K283,K284,K285,K286,K287,K288,K289,K290,K291,K292,K293,K294,K295,K296,K297,K298,K299,K300,K301,K302,K303,K304,K305,K306,K307,K308,K309,K310,K311,K312,K313,K314,K315,K316,K317,K318)  )-1),"")&lt;&gt;""   ),"." &amp; IFERROR(  LEFT(  CONCATENATE(K283,K284,K285,K286,K287,K288,K289,K290,K291,K292,K293,K294,K295,K296,K297,K298,K299,K300,K301,K302,K303,K304,K305,K306,K307,K308,K309,K310,K311,K312,K313,K314,K315,K316,K317,K318),LEN(  CONCATENATE(K283,K284,K285,K286,K287,K288,K289,K290,K291,K292,K293,K294,K295,K296,K297,K298,K299,K300,K301,K302,K303,K304,K305,K306,K307,K308,K309,K310,K311,K312,K313,K314,K315,K316,K317,K318)  )-1),""),                             IFERROR(  LEFT(  CONCATENATE(K283,K284,K285,K286,K287,K288,K289,K290,K291,K292,K293,K294,K295,K296,K297,K298,K299,K300,K301,K302,K303,K304,K305,K306,K307,K308,K309,K310,K311,K312,K313,K314,K315,K316,K317,K318),LEN(  CONCATENATE(K283,K284,K285,K286,K287,K288,K289,K290,K291,K292,K293,K294,K295,K296,K297,K298,K299,K300,K301,K302,K303,K304,K305,K306,K307,K308,K309,K310,K311,K312,K313,K314,K315,K316,K317,K318)  )-1),"")        )</f>
        <v/>
      </c>
      <c r="L319" s="66" t="str">
        <f xml:space="preserve">    IF(  AND(  COUNTIF(勤務分配!$E$3:$E$44,"補休")&gt;=1,  IFERROR(  LEFT(  CONCATENATE(L283,L284,L285,L286,L287,L288,L289,L290,L291,L292,L293,L294,L295,L296,L297,L298,L299,L300,L301,L302,L303,L304,L305,L306,L307,L308,L309,L310,L311,L312,L313,L314,L315,L316,L317,L318),LEN(  CONCATENATE(L283,L284,L285,L286,L287,L288,L289,L290,L291,L292,L293,L294,L295,L296,L297,L298,L299,L300,L301,L302,L303,L304,L305,L306,L307,L308,L309,L310,L311,L312,L313,L314,L315,L316,L317,L318)  )-1),"")&lt;&gt;""   ),"." &amp; IFERROR(  LEFT(  CONCATENATE(L283,L284,L285,L286,L287,L288,L289,L290,L291,L292,L293,L294,L295,L296,L297,L298,L299,L300,L301,L302,L303,L304,L305,L306,L307,L308,L309,L310,L311,L312,L313,L314,L315,L316,L317,L318),LEN(  CONCATENATE(L283,L284,L285,L286,L287,L288,L289,L290,L291,L292,L293,L294,L295,L296,L297,L298,L299,L300,L301,L302,L303,L304,L305,L306,L307,L308,L309,L310,L311,L312,L313,L314,L315,L316,L317,L318)  )-1),""),                             IFERROR(  LEFT(  CONCATENATE(L283,L284,L285,L286,L287,L288,L289,L290,L291,L292,L293,L294,L295,L296,L297,L298,L299,L300,L301,L302,L303,L304,L305,L306,L307,L308,L309,L310,L311,L312,L313,L314,L315,L316,L317,L318),LEN(  CONCATENATE(L283,L284,L285,L286,L287,L288,L289,L290,L291,L292,L293,L294,L295,L296,L297,L298,L299,L300,L301,L302,L303,L304,L305,L306,L307,L308,L309,L310,L311,L312,L313,L314,L315,L316,L317,L318)  )-1),"")        )</f>
        <v/>
      </c>
      <c r="M319" s="66" t="str">
        <f xml:space="preserve">    IF(  AND(  COUNTIF(勤務分配!$E$3:$E$44,"補休")&gt;=1,  IFERROR(  LEFT(  CONCATENATE(M283,M284,M285,M286,M287,M288,M289,M290,M291,M292,M293,M294,M295,M296,M297,M298,M299,M300,M301,M302,M303,M304,M305,M306,M307,M308,M309,M310,M311,M312,M313,M314,M315,M316,M317,M318),LEN(  CONCATENATE(M283,M284,M285,M286,M287,M288,M289,M290,M291,M292,M293,M294,M295,M296,M297,M298,M299,M300,M301,M302,M303,M304,M305,M306,M307,M308,M309,M310,M311,M312,M313,M314,M315,M316,M317,M318)  )-1),"")&lt;&gt;""   ),"." &amp; IFERROR(  LEFT(  CONCATENATE(M283,M284,M285,M286,M287,M288,M289,M290,M291,M292,M293,M294,M295,M296,M297,M298,M299,M300,M301,M302,M303,M304,M305,M306,M307,M308,M309,M310,M311,M312,M313,M314,M315,M316,M317,M318),LEN(  CONCATENATE(M283,M284,M285,M286,M287,M288,M289,M290,M291,M292,M293,M294,M295,M296,M297,M298,M299,M300,M301,M302,M303,M304,M305,M306,M307,M308,M309,M310,M311,M312,M313,M314,M315,M316,M317,M318)  )-1),""),                             IFERROR(  LEFT(  CONCATENATE(M283,M284,M285,M286,M287,M288,M289,M290,M291,M292,M293,M294,M295,M296,M297,M298,M299,M300,M301,M302,M303,M304,M305,M306,M307,M308,M309,M310,M311,M312,M313,M314,M315,M316,M317,M318),LEN(  CONCATENATE(M283,M284,M285,M286,M287,M288,M289,M290,M291,M292,M293,M294,M295,M296,M297,M298,M299,M300,M301,M302,M303,M304,M305,M306,M307,M308,M309,M310,M311,M312,M313,M314,M315,M316,M317,M318)  )-1),"")        )</f>
        <v/>
      </c>
      <c r="N319" s="66" t="str">
        <f xml:space="preserve">    IF(  AND(  COUNTIF(勤務分配!$E$3:$E$44,"補休")&gt;=1,  IFERROR(  LEFT(  CONCATENATE(N283,N284,N285,N286,N287,N288,N289,N290,N291,N292,N293,N294,N295,N296,N297,N298,N299,N300,N301,N302,N303,N304,N305,N306,N307,N308,N309,N310,N311,N312,N313,N314,N315,N316,N317,N318),LEN(  CONCATENATE(N283,N284,N285,N286,N287,N288,N289,N290,N291,N292,N293,N294,N295,N296,N297,N298,N299,N300,N301,N302,N303,N304,N305,N306,N307,N308,N309,N310,N311,N312,N313,N314,N315,N316,N317,N318)  )-1),"")&lt;&gt;""   ),"." &amp; IFERROR(  LEFT(  CONCATENATE(N283,N284,N285,N286,N287,N288,N289,N290,N291,N292,N293,N294,N295,N296,N297,N298,N299,N300,N301,N302,N303,N304,N305,N306,N307,N308,N309,N310,N311,N312,N313,N314,N315,N316,N317,N318),LEN(  CONCATENATE(N283,N284,N285,N286,N287,N288,N289,N290,N291,N292,N293,N294,N295,N296,N297,N298,N299,N300,N301,N302,N303,N304,N305,N306,N307,N308,N309,N310,N311,N312,N313,N314,N315,N316,N317,N318)  )-1),""),                             IFERROR(  LEFT(  CONCATENATE(N283,N284,N285,N286,N287,N288,N289,N290,N291,N292,N293,N294,N295,N296,N297,N298,N299,N300,N301,N302,N303,N304,N305,N306,N307,N308,N309,N310,N311,N312,N313,N314,N315,N316,N317,N318),LEN(  CONCATENATE(N283,N284,N285,N286,N287,N288,N289,N290,N291,N292,N293,N294,N295,N296,N297,N298,N299,N300,N301,N302,N303,N304,N305,N306,N307,N308,N309,N310,N311,N312,N313,N314,N315,N316,N317,N318)  )-1),"")        )</f>
        <v/>
      </c>
      <c r="O319" s="66" t="str">
        <f xml:space="preserve">    IF(  AND(  COUNTIF(勤務分配!$E$3:$E$44,"補休")&gt;=1,  IFERROR(  LEFT(  CONCATENATE(O283,O284,O285,O286,O287,O288,O289,O290,O291,O292,O293,O294,O295,O296,O297,O298,O299,O300,O301,O302,O303,O304,O305,O306,O307,O308,O309,O310,O311,O312,O313,O314,O315,O316,O317,O318),LEN(  CONCATENATE(O283,O284,O285,O286,O287,O288,O289,O290,O291,O292,O293,O294,O295,O296,O297,O298,O299,O300,O301,O302,O303,O304,O305,O306,O307,O308,O309,O310,O311,O312,O313,O314,O315,O316,O317,O318)  )-1),"")&lt;&gt;""   ),"." &amp; IFERROR(  LEFT(  CONCATENATE(O283,O284,O285,O286,O287,O288,O289,O290,O291,O292,O293,O294,O295,O296,O297,O298,O299,O300,O301,O302,O303,O304,O305,O306,O307,O308,O309,O310,O311,O312,O313,O314,O315,O316,O317,O318),LEN(  CONCATENATE(O283,O284,O285,O286,O287,O288,O289,O290,O291,O292,O293,O294,O295,O296,O297,O298,O299,O300,O301,O302,O303,O304,O305,O306,O307,O308,O309,O310,O311,O312,O313,O314,O315,O316,O317,O318)  )-1),""),                             IFERROR(  LEFT(  CONCATENATE(O283,O284,O285,O286,O287,O288,O289,O290,O291,O292,O293,O294,O295,O296,O297,O298,O299,O300,O301,O302,O303,O304,O305,O306,O307,O308,O309,O310,O311,O312,O313,O314,O315,O316,O317,O318),LEN(  CONCATENATE(O283,O284,O285,O286,O287,O288,O289,O290,O291,O292,O293,O294,O295,O296,O297,O298,O299,O300,O301,O302,O303,O304,O305,O306,O307,O308,O309,O310,O311,O312,O313,O314,O315,O316,O317,O318)  )-1),"")        )</f>
        <v/>
      </c>
      <c r="P319" s="66" t="str">
        <f xml:space="preserve">    IF(  AND(  COUNTIF(勤務分配!$E$3:$E$44,"補休")&gt;=1,  IFERROR(  LEFT(  CONCATENATE(P283,P284,P285,P286,P287,P288,P289,P290,P291,P292,P293,P294,P295,P296,P297,P298,P299,P300,P301,P302,P303,P304,P305,P306,P307,P308,P309,P310,P311,P312,P313,P314,P315,P316,P317,P318),LEN(  CONCATENATE(P283,P284,P285,P286,P287,P288,P289,P290,P291,P292,P293,P294,P295,P296,P297,P298,P299,P300,P301,P302,P303,P304,P305,P306,P307,P308,P309,P310,P311,P312,P313,P314,P315,P316,P317,P318)  )-1),"")&lt;&gt;""   ),"." &amp; IFERROR(  LEFT(  CONCATENATE(P283,P284,P285,P286,P287,P288,P289,P290,P291,P292,P293,P294,P295,P296,P297,P298,P299,P300,P301,P302,P303,P304,P305,P306,P307,P308,P309,P310,P311,P312,P313,P314,P315,P316,P317,P318),LEN(  CONCATENATE(P283,P284,P285,P286,P287,P288,P289,P290,P291,P292,P293,P294,P295,P296,P297,P298,P299,P300,P301,P302,P303,P304,P305,P306,P307,P308,P309,P310,P311,P312,P313,P314,P315,P316,P317,P318)  )-1),""),                             IFERROR(  LEFT(  CONCATENATE(P283,P284,P285,P286,P287,P288,P289,P290,P291,P292,P293,P294,P295,P296,P297,P298,P299,P300,P301,P302,P303,P304,P305,P306,P307,P308,P309,P310,P311,P312,P313,P314,P315,P316,P317,P318),LEN(  CONCATENATE(P283,P284,P285,P286,P287,P288,P289,P290,P291,P292,P293,P294,P295,P296,P297,P298,P299,P300,P301,P302,P303,P304,P305,P306,P307,P308,P309,P310,P311,P312,P313,P314,P315,P316,P317,P318)  )-1),"")        )</f>
        <v/>
      </c>
      <c r="Q319" s="66" t="str">
        <f xml:space="preserve">    IF(  AND(  COUNTIF(勤務分配!$E$3:$E$44,"補休")&gt;=1,  IFERROR(  LEFT(  CONCATENATE(Q283,Q284,Q285,Q286,Q287,Q288,Q289,Q290,Q291,Q292,Q293,Q294,Q295,Q296,Q297,Q298,Q299,Q300,Q301,Q302,Q303,Q304,Q305,Q306,Q307,Q308,Q309,Q310,Q311,Q312,Q313,Q314,Q315,Q316,Q317,Q318),LEN(  CONCATENATE(Q283,Q284,Q285,Q286,Q287,Q288,Q289,Q290,Q291,Q292,Q293,Q294,Q295,Q296,Q297,Q298,Q299,Q300,Q301,Q302,Q303,Q304,Q305,Q306,Q307,Q308,Q309,Q310,Q311,Q312,Q313,Q314,Q315,Q316,Q317,Q318)  )-1),"")&lt;&gt;""   ),"." &amp; IFERROR(  LEFT(  CONCATENATE(Q283,Q284,Q285,Q286,Q287,Q288,Q289,Q290,Q291,Q292,Q293,Q294,Q295,Q296,Q297,Q298,Q299,Q300,Q301,Q302,Q303,Q304,Q305,Q306,Q307,Q308,Q309,Q310,Q311,Q312,Q313,Q314,Q315,Q316,Q317,Q318),LEN(  CONCATENATE(Q283,Q284,Q285,Q286,Q287,Q288,Q289,Q290,Q291,Q292,Q293,Q294,Q295,Q296,Q297,Q298,Q299,Q300,Q301,Q302,Q303,Q304,Q305,Q306,Q307,Q308,Q309,Q310,Q311,Q312,Q313,Q314,Q315,Q316,Q317,Q318)  )-1),""),                             IFERROR(  LEFT(  CONCATENATE(Q283,Q284,Q285,Q286,Q287,Q288,Q289,Q290,Q291,Q292,Q293,Q294,Q295,Q296,Q297,Q298,Q299,Q300,Q301,Q302,Q303,Q304,Q305,Q306,Q307,Q308,Q309,Q310,Q311,Q312,Q313,Q314,Q315,Q316,Q317,Q318),LEN(  CONCATENATE(Q283,Q284,Q285,Q286,Q287,Q288,Q289,Q290,Q291,Q292,Q293,Q294,Q295,Q296,Q297,Q298,Q299,Q300,Q301,Q302,Q303,Q304,Q305,Q306,Q307,Q308,Q309,Q310,Q311,Q312,Q313,Q314,Q315,Q316,Q317,Q318)  )-1),"")        )</f>
        <v/>
      </c>
      <c r="R319" s="66" t="str">
        <f xml:space="preserve">    IF(  AND(  COUNTIF(勤務分配!$E$3:$E$44,"補休")&gt;=1,  IFERROR(  LEFT(  CONCATENATE(R283,R284,R285,R286,R287,R288,R289,R290,R291,R292,R293,R294,R295,R296,R297,R298,R299,R300,R301,R302,R303,R304,R305,R306,R307,R308,R309,R310,R311,R312,R313,R314,R315,R316,R317,R318),LEN(  CONCATENATE(R283,R284,R285,R286,R287,R288,R289,R290,R291,R292,R293,R294,R295,R296,R297,R298,R299,R300,R301,R302,R303,R304,R305,R306,R307,R308,R309,R310,R311,R312,R313,R314,R315,R316,R317,R318)  )-1),"")&lt;&gt;""   ),"." &amp; IFERROR(  LEFT(  CONCATENATE(R283,R284,R285,R286,R287,R288,R289,R290,R291,R292,R293,R294,R295,R296,R297,R298,R299,R300,R301,R302,R303,R304,R305,R306,R307,R308,R309,R310,R311,R312,R313,R314,R315,R316,R317,R318),LEN(  CONCATENATE(R283,R284,R285,R286,R287,R288,R289,R290,R291,R292,R293,R294,R295,R296,R297,R298,R299,R300,R301,R302,R303,R304,R305,R306,R307,R308,R309,R310,R311,R312,R313,R314,R315,R316,R317,R318)  )-1),""),                             IFERROR(  LEFT(  CONCATENATE(R283,R284,R285,R286,R287,R288,R289,R290,R291,R292,R293,R294,R295,R296,R297,R298,R299,R300,R301,R302,R303,R304,R305,R306,R307,R308,R309,R310,R311,R312,R313,R314,R315,R316,R317,R318),LEN(  CONCATENATE(R283,R284,R285,R286,R287,R288,R289,R290,R291,R292,R293,R294,R295,R296,R297,R298,R299,R300,R301,R302,R303,R304,R305,R306,R307,R308,R309,R310,R311,R312,R313,R314,R315,R316,R317,R318)  )-1),"")        )</f>
        <v/>
      </c>
      <c r="S319" s="66" t="str">
        <f xml:space="preserve">    IF(  AND(  COUNTIF(勤務分配!$E$3:$E$44,"補休")&gt;=1,  IFERROR(  LEFT(  CONCATENATE(S283,S284,S285,S286,S287,S288,S289,S290,S291,S292,S293,S294,S295,S296,S297,S298,S299,S300,S301,S302,S303,S304,S305,S306,S307,S308,S309,S310,S311,S312,S313,S314,S315,S316,S317,S318),LEN(  CONCATENATE(S283,S284,S285,S286,S287,S288,S289,S290,S291,S292,S293,S294,S295,S296,S297,S298,S299,S300,S301,S302,S303,S304,S305,S306,S307,S308,S309,S310,S311,S312,S313,S314,S315,S316,S317,S318)  )-1),"")&lt;&gt;""   ),"." &amp; IFERROR(  LEFT(  CONCATENATE(S283,S284,S285,S286,S287,S288,S289,S290,S291,S292,S293,S294,S295,S296,S297,S298,S299,S300,S301,S302,S303,S304,S305,S306,S307,S308,S309,S310,S311,S312,S313,S314,S315,S316,S317,S318),LEN(  CONCATENATE(S283,S284,S285,S286,S287,S288,S289,S290,S291,S292,S293,S294,S295,S296,S297,S298,S299,S300,S301,S302,S303,S304,S305,S306,S307,S308,S309,S310,S311,S312,S313,S314,S315,S316,S317,S318)  )-1),""),                             IFERROR(  LEFT(  CONCATENATE(S283,S284,S285,S286,S287,S288,S289,S290,S291,S292,S293,S294,S295,S296,S297,S298,S299,S300,S301,S302,S303,S304,S305,S306,S307,S308,S309,S310,S311,S312,S313,S314,S315,S316,S317,S318),LEN(  CONCATENATE(S283,S284,S285,S286,S287,S288,S289,S290,S291,S292,S293,S294,S295,S296,S297,S298,S299,S300,S301,S302,S303,S304,S305,S306,S307,S308,S309,S310,S311,S312,S313,S314,S315,S316,S317,S318)  )-1),"")        )</f>
        <v/>
      </c>
      <c r="T319" s="66" t="str">
        <f xml:space="preserve">    IF(  AND(  COUNTIF(勤務分配!$E$3:$E$44,"補休")&gt;=1,  IFERROR(  LEFT(  CONCATENATE(T283,T284,T285,T286,T287,T288,T289,T290,T291,T292,T293,T294,T295,T296,T297,T298,T299,T300,T301,T302,T303,T304,T305,T306,T307,T308,T309,T310,T311,T312,T313,T314,T315,T316,T317,T318),LEN(  CONCATENATE(T283,T284,T285,T286,T287,T288,T289,T290,T291,T292,T293,T294,T295,T296,T297,T298,T299,T300,T301,T302,T303,T304,T305,T306,T307,T308,T309,T310,T311,T312,T313,T314,T315,T316,T317,T318)  )-1),"")&lt;&gt;""   ),"." &amp; IFERROR(  LEFT(  CONCATENATE(T283,T284,T285,T286,T287,T288,T289,T290,T291,T292,T293,T294,T295,T296,T297,T298,T299,T300,T301,T302,T303,T304,T305,T306,T307,T308,T309,T310,T311,T312,T313,T314,T315,T316,T317,T318),LEN(  CONCATENATE(T283,T284,T285,T286,T287,T288,T289,T290,T291,T292,T293,T294,T295,T296,T297,T298,T299,T300,T301,T302,T303,T304,T305,T306,T307,T308,T309,T310,T311,T312,T313,T314,T315,T316,T317,T318)  )-1),""),                             IFERROR(  LEFT(  CONCATENATE(T283,T284,T285,T286,T287,T288,T289,T290,T291,T292,T293,T294,T295,T296,T297,T298,T299,T300,T301,T302,T303,T304,T305,T306,T307,T308,T309,T310,T311,T312,T313,T314,T315,T316,T317,T318),LEN(  CONCATENATE(T283,T284,T285,T286,T287,T288,T289,T290,T291,T292,T293,T294,T295,T296,T297,T298,T299,T300,T301,T302,T303,T304,T305,T306,T307,T308,T309,T310,T311,T312,T313,T314,T315,T316,T317,T318)  )-1),"")        )</f>
        <v/>
      </c>
      <c r="U319" s="66" t="str">
        <f xml:space="preserve">    IF(  AND(  COUNTIF(勤務分配!$E$3:$E$44,"補休")&gt;=1,  IFERROR(  LEFT(  CONCATENATE(U283,U284,U285,U286,U287,U288,U289,U290,U291,U292,U293,U294,U295,U296,U297,U298,U299,U300,U301,U302,U303,U304,U305,U306,U307,U308,U309,U310,U311,U312,U313,U314,U315,U316,U317,U318),LEN(  CONCATENATE(U283,U284,U285,U286,U287,U288,U289,U290,U291,U292,U293,U294,U295,U296,U297,U298,U299,U300,U301,U302,U303,U304,U305,U306,U307,U308,U309,U310,U311,U312,U313,U314,U315,U316,U317,U318)  )-1),"")&lt;&gt;""   ),"." &amp; IFERROR(  LEFT(  CONCATENATE(U283,U284,U285,U286,U287,U288,U289,U290,U291,U292,U293,U294,U295,U296,U297,U298,U299,U300,U301,U302,U303,U304,U305,U306,U307,U308,U309,U310,U311,U312,U313,U314,U315,U316,U317,U318),LEN(  CONCATENATE(U283,U284,U285,U286,U287,U288,U289,U290,U291,U292,U293,U294,U295,U296,U297,U298,U299,U300,U301,U302,U303,U304,U305,U306,U307,U308,U309,U310,U311,U312,U313,U314,U315,U316,U317,U318)  )-1),""),                             IFERROR(  LEFT(  CONCATENATE(U283,U284,U285,U286,U287,U288,U289,U290,U291,U292,U293,U294,U295,U296,U297,U298,U299,U300,U301,U302,U303,U304,U305,U306,U307,U308,U309,U310,U311,U312,U313,U314,U315,U316,U317,U318),LEN(  CONCATENATE(U283,U284,U285,U286,U287,U288,U289,U290,U291,U292,U293,U294,U295,U296,U297,U298,U299,U300,U301,U302,U303,U304,U305,U306,U307,U308,U309,U310,U311,U312,U313,U314,U315,U316,U317,U318)  )-1),"")        )</f>
        <v/>
      </c>
      <c r="V319" s="66" t="str">
        <f xml:space="preserve">    IF(  AND(  COUNTIF(勤務分配!$E$3:$E$44,"補休")&gt;=1,  IFERROR(  LEFT(  CONCATENATE(V283,V284,V285,V286,V287,V288,V289,V290,V291,V292,V293,V294,V295,V296,V297,V298,V299,V300,V301,V302,V303,V304,V305,V306,V307,V308,V309,V310,V311,V312,V313,V314,V315,V316,V317,V318),LEN(  CONCATENATE(V283,V284,V285,V286,V287,V288,V289,V290,V291,V292,V293,V294,V295,V296,V297,V298,V299,V300,V301,V302,V303,V304,V305,V306,V307,V308,V309,V310,V311,V312,V313,V314,V315,V316,V317,V318)  )-1),"")&lt;&gt;""   ),"." &amp; IFERROR(  LEFT(  CONCATENATE(V283,V284,V285,V286,V287,V288,V289,V290,V291,V292,V293,V294,V295,V296,V297,V298,V299,V300,V301,V302,V303,V304,V305,V306,V307,V308,V309,V310,V311,V312,V313,V314,V315,V316,V317,V318),LEN(  CONCATENATE(V283,V284,V285,V286,V287,V288,V289,V290,V291,V292,V293,V294,V295,V296,V297,V298,V299,V300,V301,V302,V303,V304,V305,V306,V307,V308,V309,V310,V311,V312,V313,V314,V315,V316,V317,V318)  )-1),""),                             IFERROR(  LEFT(  CONCATENATE(V283,V284,V285,V286,V287,V288,V289,V290,V291,V292,V293,V294,V295,V296,V297,V298,V299,V300,V301,V302,V303,V304,V305,V306,V307,V308,V309,V310,V311,V312,V313,V314,V315,V316,V317,V318),LEN(  CONCATENATE(V283,V284,V285,V286,V287,V288,V289,V290,V291,V292,V293,V294,V295,V296,V297,V298,V299,V300,V301,V302,V303,V304,V305,V306,V307,V308,V309,V310,V311,V312,V313,V314,V315,V316,V317,V318)  )-1),"")        )</f>
        <v/>
      </c>
      <c r="W319" s="66" t="str">
        <f xml:space="preserve">    IF(  AND(  COUNTIF(勤務分配!$E$3:$E$44,"補休")&gt;=1,  IFERROR(  LEFT(  CONCATENATE(W283,W284,W285,W286,W287,W288,W289,W290,W291,W292,W293,W294,W295,W296,W297,W298,W299,W300,W301,W302,W303,W304,W305,W306,W307,W308,W309,W310,W311,W312,W313,W314,W315,W316,W317,W318),LEN(  CONCATENATE(W283,W284,W285,W286,W287,W288,W289,W290,W291,W292,W293,W294,W295,W296,W297,W298,W299,W300,W301,W302,W303,W304,W305,W306,W307,W308,W309,W310,W311,W312,W313,W314,W315,W316,W317,W318)  )-1),"")&lt;&gt;""   ),"." &amp; IFERROR(  LEFT(  CONCATENATE(W283,W284,W285,W286,W287,W288,W289,W290,W291,W292,W293,W294,W295,W296,W297,W298,W299,W300,W301,W302,W303,W304,W305,W306,W307,W308,W309,W310,W311,W312,W313,W314,W315,W316,W317,W318),LEN(  CONCATENATE(W283,W284,W285,W286,W287,W288,W289,W290,W291,W292,W293,W294,W295,W296,W297,W298,W299,W300,W301,W302,W303,W304,W305,W306,W307,W308,W309,W310,W311,W312,W313,W314,W315,W316,W317,W318)  )-1),""),                             IFERROR(  LEFT(  CONCATENATE(W283,W284,W285,W286,W287,W288,W289,W290,W291,W292,W293,W294,W295,W296,W297,W298,W299,W300,W301,W302,W303,W304,W305,W306,W307,W308,W309,W310,W311,W312,W313,W314,W315,W316,W317,W318),LEN(  CONCATENATE(W283,W284,W285,W286,W287,W288,W289,W290,W291,W292,W293,W294,W295,W296,W297,W298,W299,W300,W301,W302,W303,W304,W305,W306,W307,W308,W309,W310,W311,W312,W313,W314,W315,W316,W317,W318)  )-1),"")        )</f>
        <v/>
      </c>
      <c r="X319" s="66" t="str">
        <f xml:space="preserve">    IF(  AND(  COUNTIF(勤務分配!$E$3:$E$44,"補休")&gt;=1,  IFERROR(  LEFT(  CONCATENATE(X283,X284,X285,X286,X287,X288,X289,X290,X291,X292,X293,X294,X295,X296,X297,X298,X299,X300,X301,X302,X303,X304,X305,X306,X307,X308,X309,X310,X311,X312,X313,X314,X315,X316,X317,X318),LEN(  CONCATENATE(X283,X284,X285,X286,X287,X288,X289,X290,X291,X292,X293,X294,X295,X296,X297,X298,X299,X300,X301,X302,X303,X304,X305,X306,X307,X308,X309,X310,X311,X312,X313,X314,X315,X316,X317,X318)  )-1),"")&lt;&gt;""   ),"." &amp; IFERROR(  LEFT(  CONCATENATE(X283,X284,X285,X286,X287,X288,X289,X290,X291,X292,X293,X294,X295,X296,X297,X298,X299,X300,X301,X302,X303,X304,X305,X306,X307,X308,X309,X310,X311,X312,X313,X314,X315,X316,X317,X318),LEN(  CONCATENATE(X283,X284,X285,X286,X287,X288,X289,X290,X291,X292,X293,X294,X295,X296,X297,X298,X299,X300,X301,X302,X303,X304,X305,X306,X307,X308,X309,X310,X311,X312,X313,X314,X315,X316,X317,X318)  )-1),""),                             IFERROR(  LEFT(  CONCATENATE(X283,X284,X285,X286,X287,X288,X289,X290,X291,X292,X293,X294,X295,X296,X297,X298,X299,X300,X301,X302,X303,X304,X305,X306,X307,X308,X309,X310,X311,X312,X313,X314,X315,X316,X317,X318),LEN(  CONCATENATE(X283,X284,X285,X286,X287,X288,X289,X290,X291,X292,X293,X294,X295,X296,X297,X298,X299,X300,X301,X302,X303,X304,X305,X306,X307,X308,X309,X310,X311,X312,X313,X314,X315,X316,X317,X318)  )-1),"")        )</f>
        <v/>
      </c>
      <c r="Y319" s="66" t="str">
        <f xml:space="preserve">    IF(  AND(  COUNTIF(勤務分配!$E$3:$E$44,"補休")&gt;=1,  IFERROR(  LEFT(  CONCATENATE(Y283,Y284,Y285,Y286,Y287,Y288,Y289,Y290,Y291,Y292,Y293,Y294,Y295,Y296,Y297,Y298,Y299,Y300,Y301,Y302,Y303,Y304,Y305,Y306,Y307,Y308,Y309,Y310,Y311,Y312,Y313,Y314,Y315,Y316,Y317,Y318),LEN(  CONCATENATE(Y283,Y284,Y285,Y286,Y287,Y288,Y289,Y290,Y291,Y292,Y293,Y294,Y295,Y296,Y297,Y298,Y299,Y300,Y301,Y302,Y303,Y304,Y305,Y306,Y307,Y308,Y309,Y310,Y311,Y312,Y313,Y314,Y315,Y316,Y317,Y318)  )-1),"")&lt;&gt;""   ),"." &amp; IFERROR(  LEFT(  CONCATENATE(Y283,Y284,Y285,Y286,Y287,Y288,Y289,Y290,Y291,Y292,Y293,Y294,Y295,Y296,Y297,Y298,Y299,Y300,Y301,Y302,Y303,Y304,Y305,Y306,Y307,Y308,Y309,Y310,Y311,Y312,Y313,Y314,Y315,Y316,Y317,Y318),LEN(  CONCATENATE(Y283,Y284,Y285,Y286,Y287,Y288,Y289,Y290,Y291,Y292,Y293,Y294,Y295,Y296,Y297,Y298,Y299,Y300,Y301,Y302,Y303,Y304,Y305,Y306,Y307,Y308,Y309,Y310,Y311,Y312,Y313,Y314,Y315,Y316,Y317,Y318)  )-1),""),                             IFERROR(  LEFT(  CONCATENATE(Y283,Y284,Y285,Y286,Y287,Y288,Y289,Y290,Y291,Y292,Y293,Y294,Y295,Y296,Y297,Y298,Y299,Y300,Y301,Y302,Y303,Y304,Y305,Y306,Y307,Y308,Y309,Y310,Y311,Y312,Y313,Y314,Y315,Y316,Y317,Y318),LEN(  CONCATENATE(Y283,Y284,Y285,Y286,Y287,Y288,Y289,Y290,Y291,Y292,Y293,Y294,Y295,Y296,Y297,Y298,Y299,Y300,Y301,Y302,Y303,Y304,Y305,Y306,Y307,Y308,Y309,Y310,Y311,Y312,Y313,Y314,Y315,Y316,Y317,Y318)  )-1),"")        )</f>
        <v/>
      </c>
      <c r="Z319" s="66" t="str">
        <f xml:space="preserve">    IF(  AND(  COUNTIF(勤務分配!$E$3:$E$44,"補休")&gt;=1,  IFERROR(  LEFT(  CONCATENATE(Z283,Z284,Z285,Z286,Z287,Z288,Z289,Z290,Z291,Z292,Z293,Z294,Z295,Z296,Z297,Z298,Z299,Z300,Z301,Z302,Z303,Z304,Z305,Z306,Z307,Z308,Z309,Z310,Z311,Z312,Z313,Z314,Z315,Z316,Z317,Z318),LEN(  CONCATENATE(Z283,Z284,Z285,Z286,Z287,Z288,Z289,Z290,Z291,Z292,Z293,Z294,Z295,Z296,Z297,Z298,Z299,Z300,Z301,Z302,Z303,Z304,Z305,Z306,Z307,Z308,Z309,Z310,Z311,Z312,Z313,Z314,Z315,Z316,Z317,Z318)  )-1),"")&lt;&gt;""   ),"." &amp; IFERROR(  LEFT(  CONCATENATE(Z283,Z284,Z285,Z286,Z287,Z288,Z289,Z290,Z291,Z292,Z293,Z294,Z295,Z296,Z297,Z298,Z299,Z300,Z301,Z302,Z303,Z304,Z305,Z306,Z307,Z308,Z309,Z310,Z311,Z312,Z313,Z314,Z315,Z316,Z317,Z318),LEN(  CONCATENATE(Z283,Z284,Z285,Z286,Z287,Z288,Z289,Z290,Z291,Z292,Z293,Z294,Z295,Z296,Z297,Z298,Z299,Z300,Z301,Z302,Z303,Z304,Z305,Z306,Z307,Z308,Z309,Z310,Z311,Z312,Z313,Z314,Z315,Z316,Z317,Z318)  )-1),""),                             IFERROR(  LEFT(  CONCATENATE(Z283,Z284,Z285,Z286,Z287,Z288,Z289,Z290,Z291,Z292,Z293,Z294,Z295,Z296,Z297,Z298,Z299,Z300,Z301,Z302,Z303,Z304,Z305,Z306,Z307,Z308,Z309,Z310,Z311,Z312,Z313,Z314,Z315,Z316,Z317,Z318),LEN(  CONCATENATE(Z283,Z284,Z285,Z286,Z287,Z288,Z289,Z290,Z291,Z292,Z293,Z294,Z295,Z296,Z297,Z298,Z299,Z300,Z301,Z302,Z303,Z304,Z305,Z306,Z307,Z308,Z309,Z310,Z311,Z312,Z313,Z314,Z315,Z316,Z317,Z318)  )-1),"")        )</f>
        <v/>
      </c>
      <c r="AA319" s="66" t="str">
        <f xml:space="preserve">    IF(  AND(  COUNTIF(勤務分配!$E$3:$E$44,"補休")&gt;=1,  IFERROR(  LEFT(  CONCATENATE(AA283,AA284,AA285,AA286,AA287,AA288,AA289,AA290,AA291,AA292,AA293,AA294,AA295,AA296,AA297,AA298,AA299,AA300,AA301,AA302,AA303,AA304,AA305,AA306,AA307,AA308,AA309,AA310,AA311,AA312,AA313,AA314,AA315,AA316,AA317,AA318),LEN(  CONCATENATE(AA283,AA284,AA285,AA286,AA287,AA288,AA289,AA290,AA291,AA292,AA293,AA294,AA295,AA296,AA297,AA298,AA299,AA300,AA301,AA302,AA303,AA304,AA305,AA306,AA307,AA308,AA309,AA310,AA311,AA312,AA313,AA314,AA315,AA316,AA317,AA318)  )-1),"")&lt;&gt;""   ),"." &amp; IFERROR(  LEFT(  CONCATENATE(AA283,AA284,AA285,AA286,AA287,AA288,AA289,AA290,AA291,AA292,AA293,AA294,AA295,AA296,AA297,AA298,AA299,AA300,AA301,AA302,AA303,AA304,AA305,AA306,AA307,AA308,AA309,AA310,AA311,AA312,AA313,AA314,AA315,AA316,AA317,AA318),LEN(  CONCATENATE(AA283,AA284,AA285,AA286,AA287,AA288,AA289,AA290,AA291,AA292,AA293,AA294,AA295,AA296,AA297,AA298,AA299,AA300,AA301,AA302,AA303,AA304,AA305,AA306,AA307,AA308,AA309,AA310,AA311,AA312,AA313,AA314,AA315,AA316,AA317,AA318)  )-1),""),                             IFERROR(  LEFT(  CONCATENATE(AA283,AA284,AA285,AA286,AA287,AA288,AA289,AA290,AA291,AA292,AA293,AA294,AA295,AA296,AA297,AA298,AA299,AA300,AA301,AA302,AA303,AA304,AA305,AA306,AA307,AA308,AA309,AA310,AA311,AA312,AA313,AA314,AA315,AA316,AA317,AA318),LEN(  CONCATENATE(AA283,AA284,AA285,AA286,AA287,AA288,AA289,AA290,AA291,AA292,AA293,AA294,AA295,AA296,AA297,AA298,AA299,AA300,AA301,AA302,AA303,AA304,AA305,AA306,AA307,AA308,AA309,AA310,AA311,AA312,AA313,AA314,AA315,AA316,AA317,AA318)  )-1),"")        )</f>
        <v/>
      </c>
      <c r="AB319" s="66" t="str">
        <f xml:space="preserve">    IF(  AND(  COUNTIF(勤務分配!$E$3:$E$44,"補休")&gt;=1,  IFERROR(  LEFT(  CONCATENATE(AB283,AB284,AB285,AB286,AB287,AB288,AB289,AB290,AB291,AB292,AB293,AB294,AB295,AB296,AB297,AB298,AB299,AB300,AB301,AB302,AB303,AB304,AB305,AB306,AB307,AB308,AB309,AB310,AB311,AB312,AB313,AB314,AB315,AB316,AB317,AB318),LEN(  CONCATENATE(AB283,AB284,AB285,AB286,AB287,AB288,AB289,AB290,AB291,AB292,AB293,AB294,AB295,AB296,AB297,AB298,AB299,AB300,AB301,AB302,AB303,AB304,AB305,AB306,AB307,AB308,AB309,AB310,AB311,AB312,AB313,AB314,AB315,AB316,AB317,AB318)  )-1),"")&lt;&gt;""   ),"." &amp; IFERROR(  LEFT(  CONCATENATE(AB283,AB284,AB285,AB286,AB287,AB288,AB289,AB290,AB291,AB292,AB293,AB294,AB295,AB296,AB297,AB298,AB299,AB300,AB301,AB302,AB303,AB304,AB305,AB306,AB307,AB308,AB309,AB310,AB311,AB312,AB313,AB314,AB315,AB316,AB317,AB318),LEN(  CONCATENATE(AB283,AB284,AB285,AB286,AB287,AB288,AB289,AB290,AB291,AB292,AB293,AB294,AB295,AB296,AB297,AB298,AB299,AB300,AB301,AB302,AB303,AB304,AB305,AB306,AB307,AB308,AB309,AB310,AB311,AB312,AB313,AB314,AB315,AB316,AB317,AB318)  )-1),""),                             IFERROR(  LEFT(  CONCATENATE(AB283,AB284,AB285,AB286,AB287,AB288,AB289,AB290,AB291,AB292,AB293,AB294,AB295,AB296,AB297,AB298,AB299,AB300,AB301,AB302,AB303,AB304,AB305,AB306,AB307,AB308,AB309,AB310,AB311,AB312,AB313,AB314,AB315,AB316,AB317,AB318),LEN(  CONCATENATE(AB283,AB284,AB285,AB286,AB287,AB288,AB289,AB290,AB291,AB292,AB293,AB294,AB295,AB296,AB297,AB298,AB299,AB300,AB301,AB302,AB303,AB304,AB305,AB306,AB307,AB308,AB309,AB310,AB311,AB312,AB313,AB314,AB315,AB316,AB317,AB318)  )-1),"")        )</f>
        <v/>
      </c>
      <c r="AC319" s="66" t="str">
        <f xml:space="preserve">    IF(  AND(  COUNTIF(勤務分配!$E$3:$E$44,"補休")&gt;=1,  IFERROR(  LEFT(  CONCATENATE(AC283,AC284,AC285,AC286,AC287,AC288,AC289,AC290,AC291,AC292,AC293,AC294,AC295,AC296,AC297,AC298,AC299,AC300,AC301,AC302,AC303,AC304,AC305,AC306,AC307,AC308,AC309,AC310,AC311,AC312,AC313,AC314,AC315,AC316,AC317,AC318),LEN(  CONCATENATE(AC283,AC284,AC285,AC286,AC287,AC288,AC289,AC290,AC291,AC292,AC293,AC294,AC295,AC296,AC297,AC298,AC299,AC300,AC301,AC302,AC303,AC304,AC305,AC306,AC307,AC308,AC309,AC310,AC311,AC312,AC313,AC314,AC315,AC316,AC317,AC318)  )-1),"")&lt;&gt;""   ),"." &amp; IFERROR(  LEFT(  CONCATENATE(AC283,AC284,AC285,AC286,AC287,AC288,AC289,AC290,AC291,AC292,AC293,AC294,AC295,AC296,AC297,AC298,AC299,AC300,AC301,AC302,AC303,AC304,AC305,AC306,AC307,AC308,AC309,AC310,AC311,AC312,AC313,AC314,AC315,AC316,AC317,AC318),LEN(  CONCATENATE(AC283,AC284,AC285,AC286,AC287,AC288,AC289,AC290,AC291,AC292,AC293,AC294,AC295,AC296,AC297,AC298,AC299,AC300,AC301,AC302,AC303,AC304,AC305,AC306,AC307,AC308,AC309,AC310,AC311,AC312,AC313,AC314,AC315,AC316,AC317,AC318)  )-1),""),                             IFERROR(  LEFT(  CONCATENATE(AC283,AC284,AC285,AC286,AC287,AC288,AC289,AC290,AC291,AC292,AC293,AC294,AC295,AC296,AC297,AC298,AC299,AC300,AC301,AC302,AC303,AC304,AC305,AC306,AC307,AC308,AC309,AC310,AC311,AC312,AC313,AC314,AC315,AC316,AC317,AC318),LEN(  CONCATENATE(AC283,AC284,AC285,AC286,AC287,AC288,AC289,AC290,AC291,AC292,AC293,AC294,AC295,AC296,AC297,AC298,AC299,AC300,AC301,AC302,AC303,AC304,AC305,AC306,AC307,AC308,AC309,AC310,AC311,AC312,AC313,AC314,AC315,AC316,AC317,AC318)  )-1),"")        )</f>
        <v/>
      </c>
      <c r="AD319" s="66" t="str">
        <f xml:space="preserve">    IF(  AND(  COUNTIF(勤務分配!$E$3:$E$44,"補休")&gt;=1,  IFERROR(  LEFT(  CONCATENATE(AD283,AD284,AD285,AD286,AD287,AD288,AD289,AD290,AD291,AD292,AD293,AD294,AD295,AD296,AD297,AD298,AD299,AD300,AD301,AD302,AD303,AD304,AD305,AD306,AD307,AD308,AD309,AD310,AD311,AD312,AD313,AD314,AD315,AD316,AD317,AD318),LEN(  CONCATENATE(AD283,AD284,AD285,AD286,AD287,AD288,AD289,AD290,AD291,AD292,AD293,AD294,AD295,AD296,AD297,AD298,AD299,AD300,AD301,AD302,AD303,AD304,AD305,AD306,AD307,AD308,AD309,AD310,AD311,AD312,AD313,AD314,AD315,AD316,AD317,AD318)  )-1),"")&lt;&gt;""   ),"." &amp; IFERROR(  LEFT(  CONCATENATE(AD283,AD284,AD285,AD286,AD287,AD288,AD289,AD290,AD291,AD292,AD293,AD294,AD295,AD296,AD297,AD298,AD299,AD300,AD301,AD302,AD303,AD304,AD305,AD306,AD307,AD308,AD309,AD310,AD311,AD312,AD313,AD314,AD315,AD316,AD317,AD318),LEN(  CONCATENATE(AD283,AD284,AD285,AD286,AD287,AD288,AD289,AD290,AD291,AD292,AD293,AD294,AD295,AD296,AD297,AD298,AD299,AD300,AD301,AD302,AD303,AD304,AD305,AD306,AD307,AD308,AD309,AD310,AD311,AD312,AD313,AD314,AD315,AD316,AD317,AD318)  )-1),""),                             IFERROR(  LEFT(  CONCATENATE(AD283,AD284,AD285,AD286,AD287,AD288,AD289,AD290,AD291,AD292,AD293,AD294,AD295,AD296,AD297,AD298,AD299,AD300,AD301,AD302,AD303,AD304,AD305,AD306,AD307,AD308,AD309,AD310,AD311,AD312,AD313,AD314,AD315,AD316,AD317,AD318),LEN(  CONCATENATE(AD283,AD284,AD285,AD286,AD287,AD288,AD289,AD290,AD291,AD292,AD293,AD294,AD295,AD296,AD297,AD298,AD299,AD300,AD301,AD302,AD303,AD304,AD305,AD306,AD307,AD308,AD309,AD310,AD311,AD312,AD313,AD314,AD315,AD316,AD317,AD318)  )-1),"")        )</f>
        <v/>
      </c>
      <c r="AE319" s="66" t="str">
        <f xml:space="preserve">    IF(  AND(  COUNTIF(勤務分配!$E$3:$E$44,"補休")&gt;=1,  IFERROR(  LEFT(  CONCATENATE(AE283,AE284,AE285,AE286,AE287,AE288,AE289,AE290,AE291,AE292,AE293,AE294,AE295,AE296,AE297,AE298,AE299,AE300,AE301,AE302,AE303,AE304,AE305,AE306,AE307,AE308,AE309,AE310,AE311,AE312,AE313,AE314,AE315,AE316,AE317,AE318),LEN(  CONCATENATE(AE283,AE284,AE285,AE286,AE287,AE288,AE289,AE290,AE291,AE292,AE293,AE294,AE295,AE296,AE297,AE298,AE299,AE300,AE301,AE302,AE303,AE304,AE305,AE306,AE307,AE308,AE309,AE310,AE311,AE312,AE313,AE314,AE315,AE316,AE317,AE318)  )-1),"")&lt;&gt;""   ),"." &amp; IFERROR(  LEFT(  CONCATENATE(AE283,AE284,AE285,AE286,AE287,AE288,AE289,AE290,AE291,AE292,AE293,AE294,AE295,AE296,AE297,AE298,AE299,AE300,AE301,AE302,AE303,AE304,AE305,AE306,AE307,AE308,AE309,AE310,AE311,AE312,AE313,AE314,AE315,AE316,AE317,AE318),LEN(  CONCATENATE(AE283,AE284,AE285,AE286,AE287,AE288,AE289,AE290,AE291,AE292,AE293,AE294,AE295,AE296,AE297,AE298,AE299,AE300,AE301,AE302,AE303,AE304,AE305,AE306,AE307,AE308,AE309,AE310,AE311,AE312,AE313,AE314,AE315,AE316,AE317,AE318)  )-1),""),                             IFERROR(  LEFT(  CONCATENATE(AE283,AE284,AE285,AE286,AE287,AE288,AE289,AE290,AE291,AE292,AE293,AE294,AE295,AE296,AE297,AE298,AE299,AE300,AE301,AE302,AE303,AE304,AE305,AE306,AE307,AE308,AE309,AE310,AE311,AE312,AE313,AE314,AE315,AE316,AE317,AE318),LEN(  CONCATENATE(AE283,AE284,AE285,AE286,AE287,AE288,AE289,AE290,AE291,AE292,AE293,AE294,AE295,AE296,AE297,AE298,AE299,AE300,AE301,AE302,AE303,AE304,AE305,AE306,AE307,AE308,AE309,AE310,AE311,AE312,AE313,AE314,AE315,AE316,AE317,AE318)  )-1),"")        )</f>
        <v/>
      </c>
      <c r="AF319" s="66" t="str">
        <f xml:space="preserve">    IF(  AND(  COUNTIF(勤務分配!$E$3:$E$44,"補休")&gt;=1,  IFERROR(  LEFT(  CONCATENATE(AF283,AF284,AF285,AF286,AF287,AF288,AF289,AF290,AF291,AF292,AF293,AF294,AF295,AF296,AF297,AF298,AF299,AF300,AF301,AF302,AF303,AF304,AF305,AF306,AF307,AF308,AF309,AF310,AF311,AF312,AF313,AF314,AF315,AF316,AF317,AF318),LEN(  CONCATENATE(AF283,AF284,AF285,AF286,AF287,AF288,AF289,AF290,AF291,AF292,AF293,AF294,AF295,AF296,AF297,AF298,AF299,AF300,AF301,AF302,AF303,AF304,AF305,AF306,AF307,AF308,AF309,AF310,AF311,AF312,AF313,AF314,AF315,AF316,AF317,AF318)  )-1),"")&lt;&gt;""   ),"." &amp; IFERROR(  LEFT(  CONCATENATE(AF283,AF284,AF285,AF286,AF287,AF288,AF289,AF290,AF291,AF292,AF293,AF294,AF295,AF296,AF297,AF298,AF299,AF300,AF301,AF302,AF303,AF304,AF305,AF306,AF307,AF308,AF309,AF310,AF311,AF312,AF313,AF314,AF315,AF316,AF317,AF318),LEN(  CONCATENATE(AF283,AF284,AF285,AF286,AF287,AF288,AF289,AF290,AF291,AF292,AF293,AF294,AF295,AF296,AF297,AF298,AF299,AF300,AF301,AF302,AF303,AF304,AF305,AF306,AF307,AF308,AF309,AF310,AF311,AF312,AF313,AF314,AF315,AF316,AF317,AF318)  )-1),""),                             IFERROR(  LEFT(  CONCATENATE(AF283,AF284,AF285,AF286,AF287,AF288,AF289,AF290,AF291,AF292,AF293,AF294,AF295,AF296,AF297,AF298,AF299,AF300,AF301,AF302,AF303,AF304,AF305,AF306,AF307,AF308,AF309,AF310,AF311,AF312,AF313,AF314,AF315,AF316,AF317,AF318),LEN(  CONCATENATE(AF283,AF284,AF285,AF286,AF287,AF288,AF289,AF290,AF291,AF292,AF293,AF294,AF295,AF296,AF297,AF298,AF299,AF300,AF301,AF302,AF303,AF304,AF305,AF306,AF307,AF308,AF309,AF310,AF311,AF312,AF313,AF314,AF315,AF316,AF317,AF318)  )-1),"")        )</f>
        <v/>
      </c>
      <c r="AG319" s="66" t="str">
        <f xml:space="preserve">    IF(  AND(  COUNTIF(勤務分配!$E$3:$E$44,"補休")&gt;=1,  IFERROR(  LEFT(  CONCATENATE(AG283,AG284,AG285,AG286,AG287,AG288,AG289,AG290,AG291,AG292,AG293,AG294,AG295,AG296,AG297,AG298,AG299,AG300,AG301,AG302,AG303,AG304,AG305,AG306,AG307,AG308,AG309,AG310,AG311,AG312,AG313,AG314,AG315,AG316,AG317,AG318),LEN(  CONCATENATE(AG283,AG284,AG285,AG286,AG287,AG288,AG289,AG290,AG291,AG292,AG293,AG294,AG295,AG296,AG297,AG298,AG299,AG300,AG301,AG302,AG303,AG304,AG305,AG306,AG307,AG308,AG309,AG310,AG311,AG312,AG313,AG314,AG315,AG316,AG317,AG318)  )-1),"")&lt;&gt;""   ),"." &amp; IFERROR(  LEFT(  CONCATENATE(AG283,AG284,AG285,AG286,AG287,AG288,AG289,AG290,AG291,AG292,AG293,AG294,AG295,AG296,AG297,AG298,AG299,AG300,AG301,AG302,AG303,AG304,AG305,AG306,AG307,AG308,AG309,AG310,AG311,AG312,AG313,AG314,AG315,AG316,AG317,AG318),LEN(  CONCATENATE(AG283,AG284,AG285,AG286,AG287,AG288,AG289,AG290,AG291,AG292,AG293,AG294,AG295,AG296,AG297,AG298,AG299,AG300,AG301,AG302,AG303,AG304,AG305,AG306,AG307,AG308,AG309,AG310,AG311,AG312,AG313,AG314,AG315,AG316,AG317,AG318)  )-1),""),                             IFERROR(  LEFT(  CONCATENATE(AG283,AG284,AG285,AG286,AG287,AG288,AG289,AG290,AG291,AG292,AG293,AG294,AG295,AG296,AG297,AG298,AG299,AG300,AG301,AG302,AG303,AG304,AG305,AG306,AG307,AG308,AG309,AG310,AG311,AG312,AG313,AG314,AG315,AG316,AG317,AG318),LEN(  CONCATENATE(AG283,AG284,AG285,AG286,AG287,AG288,AG289,AG290,AG291,AG292,AG293,AG294,AG295,AG296,AG297,AG298,AG299,AG300,AG301,AG302,AG303,AG304,AG305,AG306,AG307,AG308,AG309,AG310,AG311,AG312,AG313,AG314,AG315,AG316,AG317,AG318)  )-1),"")        )</f>
        <v/>
      </c>
      <c r="AH319" s="66" t="str">
        <f xml:space="preserve">    IF(  AND(  COUNTIF(勤務分配!$E$3:$E$44,"補休")&gt;=1,  IFERROR(  LEFT(  CONCATENATE(AH283,AH284,AH285,AH286,AH287,AH288,AH289,AH290,AH291,AH292,AH293,AH294,AH295,AH296,AH297,AH298,AH299,AH300,AH301,AH302,AH303,AH304,AH305,AH306,AH307,AH308,AH309,AH310,AH311,AH312,AH313,AH314,AH315,AH316,AH317,AH318),LEN(  CONCATENATE(AH283,AH284,AH285,AH286,AH287,AH288,AH289,AH290,AH291,AH292,AH293,AH294,AH295,AH296,AH297,AH298,AH299,AH300,AH301,AH302,AH303,AH304,AH305,AH306,AH307,AH308,AH309,AH310,AH311,AH312,AH313,AH314,AH315,AH316,AH317,AH318)  )-1),"")&lt;&gt;""   ),"." &amp; IFERROR(  LEFT(  CONCATENATE(AH283,AH284,AH285,AH286,AH287,AH288,AH289,AH290,AH291,AH292,AH293,AH294,AH295,AH296,AH297,AH298,AH299,AH300,AH301,AH302,AH303,AH304,AH305,AH306,AH307,AH308,AH309,AH310,AH311,AH312,AH313,AH314,AH315,AH316,AH317,AH318),LEN(  CONCATENATE(AH283,AH284,AH285,AH286,AH287,AH288,AH289,AH290,AH291,AH292,AH293,AH294,AH295,AH296,AH297,AH298,AH299,AH300,AH301,AH302,AH303,AH304,AH305,AH306,AH307,AH308,AH309,AH310,AH311,AH312,AH313,AH314,AH315,AH316,AH317,AH318)  )-1),""),                             IFERROR(  LEFT(  CONCATENATE(AH283,AH284,AH285,AH286,AH287,AH288,AH289,AH290,AH291,AH292,AH293,AH294,AH295,AH296,AH297,AH298,AH299,AH300,AH301,AH302,AH303,AH304,AH305,AH306,AH307,AH308,AH309,AH310,AH311,AH312,AH313,AH314,AH315,AH316,AH317,AH318),LEN(  CONCATENATE(AH283,AH284,AH285,AH286,AH287,AH288,AH289,AH290,AH291,AH292,AH293,AH294,AH295,AH296,AH297,AH298,AH299,AH300,AH301,AH302,AH303,AH304,AH305,AH306,AH307,AH308,AH309,AH310,AH311,AH312,AH313,AH314,AH315,AH316,AH317,AH318)  )-1),"")        )</f>
        <v/>
      </c>
      <c r="AI319" s="66" t="str">
        <f xml:space="preserve">    IF(  AND(  COUNTIF(勤務分配!$E$3:$E$44,"補休")&gt;=1,  IFERROR(  LEFT(  CONCATENATE(AI283,AI284,AI285,AI286,AI287,AI288,AI289,AI290,AI291,AI292,AI293,AI294,AI295,AI296,AI297,AI298,AI299,AI300,AI301,AI302,AI303,AI304,AI305,AI306,AI307,AI308,AI309,AI310,AI311,AI312,AI313,AI314,AI315,AI316,AI317,AI318),LEN(  CONCATENATE(AI283,AI284,AI285,AI286,AI287,AI288,AI289,AI290,AI291,AI292,AI293,AI294,AI295,AI296,AI297,AI298,AI299,AI300,AI301,AI302,AI303,AI304,AI305,AI306,AI307,AI308,AI309,AI310,AI311,AI312,AI313,AI314,AI315,AI316,AI317,AI318)  )-1),"")&lt;&gt;""   ),"." &amp; IFERROR(  LEFT(  CONCATENATE(AI283,AI284,AI285,AI286,AI287,AI288,AI289,AI290,AI291,AI292,AI293,AI294,AI295,AI296,AI297,AI298,AI299,AI300,AI301,AI302,AI303,AI304,AI305,AI306,AI307,AI308,AI309,AI310,AI311,AI312,AI313,AI314,AI315,AI316,AI317,AI318),LEN(  CONCATENATE(AI283,AI284,AI285,AI286,AI287,AI288,AI289,AI290,AI291,AI292,AI293,AI294,AI295,AI296,AI297,AI298,AI299,AI300,AI301,AI302,AI303,AI304,AI305,AI306,AI307,AI308,AI309,AI310,AI311,AI312,AI313,AI314,AI315,AI316,AI317,AI318)  )-1),""),                             IFERROR(  LEFT(  CONCATENATE(AI283,AI284,AI285,AI286,AI287,AI288,AI289,AI290,AI291,AI292,AI293,AI294,AI295,AI296,AI297,AI298,AI299,AI300,AI301,AI302,AI303,AI304,AI305,AI306,AI307,AI308,AI309,AI310,AI311,AI312,AI313,AI314,AI315,AI316,AI317,AI318),LEN(  CONCATENATE(AI283,AI284,AI285,AI286,AI287,AI288,AI289,AI290,AI291,AI292,AI293,AI294,AI295,AI296,AI297,AI298,AI299,AI300,AI301,AI302,AI303,AI304,AI305,AI306,AI307,AI308,AI309,AI310,AI311,AI312,AI313,AI314,AI315,AI316,AI317,AI318)  )-1),"")        )</f>
        <v/>
      </c>
      <c r="AJ319" s="66" t="str">
        <f xml:space="preserve">    IF(  AND(  COUNTIF(勤務分配!$E$3:$E$44,"補休")&gt;=1,  IFERROR(  LEFT(  CONCATENATE(AJ283,AJ284,AJ285,AJ286,AJ287,AJ288,AJ289,AJ290,AJ291,AJ292,AJ293,AJ294,AJ295,AJ296,AJ297,AJ298,AJ299,AJ300,AJ301,AJ302,AJ303,AJ304,AJ305,AJ306,AJ307,AJ308,AJ309,AJ310,AJ311,AJ312,AJ313,AJ314,AJ315,AJ316,AJ317,AJ318),LEN(  CONCATENATE(AJ283,AJ284,AJ285,AJ286,AJ287,AJ288,AJ289,AJ290,AJ291,AJ292,AJ293,AJ294,AJ295,AJ296,AJ297,AJ298,AJ299,AJ300,AJ301,AJ302,AJ303,AJ304,AJ305,AJ306,AJ307,AJ308,AJ309,AJ310,AJ311,AJ312,AJ313,AJ314,AJ315,AJ316,AJ317,AJ318)  )-1),"")&lt;&gt;""   ),"." &amp; IFERROR(  LEFT(  CONCATENATE(AJ283,AJ284,AJ285,AJ286,AJ287,AJ288,AJ289,AJ290,AJ291,AJ292,AJ293,AJ294,AJ295,AJ296,AJ297,AJ298,AJ299,AJ300,AJ301,AJ302,AJ303,AJ304,AJ305,AJ306,AJ307,AJ308,AJ309,AJ310,AJ311,AJ312,AJ313,AJ314,AJ315,AJ316,AJ317,AJ318),LEN(  CONCATENATE(AJ283,AJ284,AJ285,AJ286,AJ287,AJ288,AJ289,AJ290,AJ291,AJ292,AJ293,AJ294,AJ295,AJ296,AJ297,AJ298,AJ299,AJ300,AJ301,AJ302,AJ303,AJ304,AJ305,AJ306,AJ307,AJ308,AJ309,AJ310,AJ311,AJ312,AJ313,AJ314,AJ315,AJ316,AJ317,AJ318)  )-1),""),                             IFERROR(  LEFT(  CONCATENATE(AJ283,AJ284,AJ285,AJ286,AJ287,AJ288,AJ289,AJ290,AJ291,AJ292,AJ293,AJ294,AJ295,AJ296,AJ297,AJ298,AJ299,AJ300,AJ301,AJ302,AJ303,AJ304,AJ305,AJ306,AJ307,AJ308,AJ309,AJ310,AJ311,AJ312,AJ313,AJ314,AJ315,AJ316,AJ317,AJ318),LEN(  CONCATENATE(AJ283,AJ284,AJ285,AJ286,AJ287,AJ288,AJ289,AJ290,AJ291,AJ292,AJ293,AJ294,AJ295,AJ296,AJ297,AJ298,AJ299,AJ300,AJ301,AJ302,AJ303,AJ304,AJ305,AJ306,AJ307,AJ308,AJ309,AJ310,AJ311,AJ312,AJ313,AJ314,AJ315,AJ316,AJ317,AJ318)  )-1),"")        )</f>
        <v/>
      </c>
    </row>
    <row r="320" spans="1:55" s="289" customFormat="1">
      <c r="AP320" s="303"/>
      <c r="AU320" s="303"/>
      <c r="AV320" s="303"/>
      <c r="AY320" s="303"/>
      <c r="AZ320" s="303"/>
      <c r="BA320" s="303"/>
      <c r="BB320" s="303"/>
      <c r="BC320" s="303"/>
    </row>
    <row r="321" spans="1:36">
      <c r="A321" s="289" t="s">
        <v>271</v>
      </c>
    </row>
    <row r="322" spans="1:36">
      <c r="A322" s="66" t="str">
        <f>A282</f>
        <v>番號</v>
      </c>
      <c r="B322" s="66" t="str">
        <f t="shared" ref="B322:AJ322" si="183">B282</f>
        <v xml:space="preserve"> 姓名</v>
      </c>
      <c r="C322" s="66">
        <f t="shared" si="183"/>
        <v>1</v>
      </c>
      <c r="D322" s="66">
        <f t="shared" si="183"/>
        <v>2</v>
      </c>
      <c r="E322" s="66">
        <f t="shared" si="183"/>
        <v>3</v>
      </c>
      <c r="F322" s="66">
        <f t="shared" si="183"/>
        <v>4</v>
      </c>
      <c r="G322" s="66">
        <f t="shared" si="183"/>
        <v>5</v>
      </c>
      <c r="H322" s="66">
        <f t="shared" si="183"/>
        <v>6</v>
      </c>
      <c r="I322" s="66">
        <f t="shared" si="183"/>
        <v>7</v>
      </c>
      <c r="J322" s="66">
        <f t="shared" si="183"/>
        <v>8</v>
      </c>
      <c r="K322" s="66">
        <f t="shared" si="183"/>
        <v>9</v>
      </c>
      <c r="L322" s="66">
        <f t="shared" si="183"/>
        <v>10</v>
      </c>
      <c r="M322" s="66">
        <f t="shared" si="183"/>
        <v>11</v>
      </c>
      <c r="N322" s="66">
        <f t="shared" si="183"/>
        <v>12</v>
      </c>
      <c r="O322" s="66">
        <f t="shared" si="183"/>
        <v>13</v>
      </c>
      <c r="P322" s="66">
        <f t="shared" si="183"/>
        <v>14</v>
      </c>
      <c r="Q322" s="66">
        <f t="shared" si="183"/>
        <v>15</v>
      </c>
      <c r="R322" s="66">
        <f t="shared" si="183"/>
        <v>16</v>
      </c>
      <c r="S322" s="66">
        <f t="shared" si="183"/>
        <v>17</v>
      </c>
      <c r="T322" s="66">
        <f t="shared" si="183"/>
        <v>18</v>
      </c>
      <c r="U322" s="66">
        <f t="shared" si="183"/>
        <v>19</v>
      </c>
      <c r="V322" s="66">
        <f t="shared" si="183"/>
        <v>20</v>
      </c>
      <c r="W322" s="66">
        <f t="shared" si="183"/>
        <v>21</v>
      </c>
      <c r="X322" s="66">
        <f t="shared" si="183"/>
        <v>22</v>
      </c>
      <c r="Y322" s="66">
        <f t="shared" si="183"/>
        <v>23</v>
      </c>
      <c r="Z322" s="66">
        <f t="shared" si="183"/>
        <v>24</v>
      </c>
      <c r="AA322" s="66">
        <f t="shared" si="183"/>
        <v>25</v>
      </c>
      <c r="AB322" s="66">
        <f t="shared" si="183"/>
        <v>26</v>
      </c>
      <c r="AC322" s="66">
        <f t="shared" si="183"/>
        <v>27</v>
      </c>
      <c r="AD322" s="66">
        <f t="shared" si="183"/>
        <v>28</v>
      </c>
      <c r="AE322" s="66">
        <f t="shared" si="183"/>
        <v>29</v>
      </c>
      <c r="AF322" s="66">
        <f t="shared" si="183"/>
        <v>30</v>
      </c>
      <c r="AG322" s="66">
        <f t="shared" si="183"/>
        <v>31</v>
      </c>
      <c r="AH322" s="66">
        <f t="shared" si="183"/>
        <v>32</v>
      </c>
      <c r="AI322" s="66">
        <f t="shared" si="183"/>
        <v>33</v>
      </c>
      <c r="AJ322" s="66">
        <f t="shared" si="183"/>
        <v>34</v>
      </c>
    </row>
    <row r="323" spans="1:36">
      <c r="A323" s="66">
        <f t="shared" ref="A323:B338" si="184">A283</f>
        <v>1</v>
      </c>
      <c r="B323" s="66" t="str">
        <f t="shared" si="184"/>
        <v>葉家豪</v>
      </c>
      <c r="C323" s="66" t="str">
        <f>IF(    AND( C2="病",  LEN(C322)&gt;=2 ),        "" &amp; $A323,    IF(         AND( C2="病" ),       $A323,        IF(  OR(  LEN(C322)&gt;=2  ),  CONCATENATE(  "",  IF(  AND(  LEN(  INDEX(   $A$1:$AJ$39, MATCH($A323,$A$1:$A$39,0),MATCH(  C$322,$A$1:$AP$1,0  )  )  )&gt;LEN(  SUBSTITUTE(  INDEX(   $A$1:$AJ$39, MATCH($A323,$A$1:$A$39,0),MATCH(  C$322,$A$1:$AP$1,0  )  ),"病","")  ),  LEN(  INDEX(   $A$1:$AJ$39, MATCH($A323,$A$1:$A$39,0),MATCH(  C$322,$A$1:$AP$1,0  )  )  )&gt;LEN(  SUBSTITUTE(  INDEX(   $A$1:$AJ$39, MATCH($A323,$A$1:$A$39,0),MATCH(  C$322,$A$1:$AP$1,0  )  ),"-","")  )  ),  CONCATENATE(  $A323,"(",   SUBSTITUTE(   SUBSTITUTE(  SUBSTITUTE(  INDEX(   $A$1:$AJ$39, MATCH($A323,$A$1:$A$39,0),MATCH(  C$322,$A$322:$AP$322,0  )  ),"病",""),"x","")," ",""),"時",")"),  ""  )  ),  IF(  AND(  LEN(  INDEX(   $A$1:$AJ$39, MATCH($A323,$A$1:$A$39,0),MATCH(  C$322,$A$1:$AP$1,0  )  )  )&gt;LEN(  SUBSTITUTE(  INDEX(   $A$1:$AJ$39, MATCH($A323,$A$1:$A$39,0),MATCH(  C$322,$A$1:$AP$1,0  )  ),"病","")  ),  LEN(  INDEX(   $A$1:$AJ$39, MATCH($A323,$A$1:$A$39,0),MATCH(  C$322,$A$1:$AP$1,0  )  )  )&gt;LEN(  SUBSTITUTE(  INDEX(   $A$1:$AJ$39, MATCH($A323,$A$1:$A$39,0),MATCH(  C$322,$A$1:$AP$1,0  )  ),"-","")  )  ),  CONCATENATE(  $A323,"(",   SUBSTITUTE(   SUBSTITUTE(  SUBSTITUTE(  INDEX(   $A$1:$AJ$39, MATCH($A323,$A$1:$A$39,0),MATCH(  C$322,$A$322:$AP$322,0  )  ),"病",""),"x","")," ",""),"時",")"),  ""  )  )           ))</f>
        <v/>
      </c>
      <c r="D323" s="66" t="str">
        <f t="shared" ref="D323:AJ323" si="185">IF(    AND( D2="病",  LEN(D322)&gt;=2 ),        "" &amp; $A323,    IF(         AND( D2="病" ),       $A323,        IF(  OR(  LEN(D322)&gt;=2  ),  CONCATENATE(  "",  IF(  AND(  LEN(  INDEX(   $A$1:$AJ$39, MATCH($A323,$A$1:$A$39,0),MATCH(  D$322,$A$1:$AP$1,0  )  )  )&gt;LEN(  SUBSTITUTE(  INDEX(   $A$1:$AJ$39, MATCH($A323,$A$1:$A$39,0),MATCH(  D$322,$A$1:$AP$1,0  )  ),"病","")  ),  LEN(  INDEX(   $A$1:$AJ$39, MATCH($A323,$A$1:$A$39,0),MATCH(  D$322,$A$1:$AP$1,0  )  )  )&gt;LEN(  SUBSTITUTE(  INDEX(   $A$1:$AJ$39, MATCH($A323,$A$1:$A$39,0),MATCH(  D$322,$A$1:$AP$1,0  )  ),"-","")  )  ),  CONCATENATE(  $A323,"(",   SUBSTITUTE(   SUBSTITUTE(  SUBSTITUTE(  INDEX(   $A$1:$AJ$39, MATCH($A323,$A$1:$A$39,0),MATCH(  D$322,$A$322:$AP$322,0  )  ),"病",""),"x","")," ",""),"時",")"),  ""  )  ),  IF(  AND(  LEN(  INDEX(   $A$1:$AJ$39, MATCH($A323,$A$1:$A$39,0),MATCH(  D$322,$A$1:$AP$1,0  )  )  )&gt;LEN(  SUBSTITUTE(  INDEX(   $A$1:$AJ$39, MATCH($A323,$A$1:$A$39,0),MATCH(  D$322,$A$1:$AP$1,0  )  ),"病","")  ),  LEN(  INDEX(   $A$1:$AJ$39, MATCH($A323,$A$1:$A$39,0),MATCH(  D$322,$A$1:$AP$1,0  )  )  )&gt;LEN(  SUBSTITUTE(  INDEX(   $A$1:$AJ$39, MATCH($A323,$A$1:$A$39,0),MATCH(  D$322,$A$1:$AP$1,0  )  ),"-","")  )  ),  CONCATENATE(  $A323,"(",   SUBSTITUTE(   SUBSTITUTE(  SUBSTITUTE(  INDEX(   $A$1:$AJ$39, MATCH($A323,$A$1:$A$39,0),MATCH(  D$322,$A$322:$AP$322,0  )  ),"病",""),"x","")," ",""),"時",")"),  ""  )  )           ))</f>
        <v/>
      </c>
      <c r="E323" s="66" t="str">
        <f t="shared" si="185"/>
        <v/>
      </c>
      <c r="F323" s="66" t="str">
        <f t="shared" si="185"/>
        <v/>
      </c>
      <c r="G323" s="66" t="str">
        <f t="shared" si="185"/>
        <v/>
      </c>
      <c r="H323" s="66" t="str">
        <f t="shared" si="185"/>
        <v/>
      </c>
      <c r="I323" s="66" t="str">
        <f t="shared" si="185"/>
        <v/>
      </c>
      <c r="J323" s="66" t="str">
        <f t="shared" si="185"/>
        <v/>
      </c>
      <c r="K323" s="66" t="str">
        <f t="shared" si="185"/>
        <v/>
      </c>
      <c r="L323" s="66" t="str">
        <f t="shared" si="185"/>
        <v/>
      </c>
      <c r="M323" s="66" t="str">
        <f t="shared" si="185"/>
        <v/>
      </c>
      <c r="N323" s="66" t="str">
        <f t="shared" si="185"/>
        <v/>
      </c>
      <c r="O323" s="66" t="str">
        <f t="shared" si="185"/>
        <v/>
      </c>
      <c r="P323" s="66" t="str">
        <f t="shared" si="185"/>
        <v/>
      </c>
      <c r="Q323" s="66" t="str">
        <f t="shared" si="185"/>
        <v/>
      </c>
      <c r="R323" s="66" t="str">
        <f t="shared" si="185"/>
        <v/>
      </c>
      <c r="S323" s="66" t="str">
        <f t="shared" si="185"/>
        <v/>
      </c>
      <c r="T323" s="66" t="str">
        <f t="shared" si="185"/>
        <v/>
      </c>
      <c r="U323" s="66" t="str">
        <f t="shared" si="185"/>
        <v/>
      </c>
      <c r="V323" s="66" t="str">
        <f t="shared" si="185"/>
        <v/>
      </c>
      <c r="W323" s="66" t="str">
        <f t="shared" si="185"/>
        <v/>
      </c>
      <c r="X323" s="66" t="str">
        <f t="shared" si="185"/>
        <v/>
      </c>
      <c r="Y323" s="66" t="str">
        <f t="shared" si="185"/>
        <v/>
      </c>
      <c r="Z323" s="66" t="str">
        <f t="shared" si="185"/>
        <v/>
      </c>
      <c r="AA323" s="66" t="str">
        <f t="shared" si="185"/>
        <v/>
      </c>
      <c r="AB323" s="66" t="str">
        <f t="shared" si="185"/>
        <v/>
      </c>
      <c r="AC323" s="66" t="str">
        <f t="shared" si="185"/>
        <v/>
      </c>
      <c r="AD323" s="66" t="str">
        <f t="shared" si="185"/>
        <v/>
      </c>
      <c r="AE323" s="66" t="str">
        <f t="shared" si="185"/>
        <v/>
      </c>
      <c r="AF323" s="66" t="str">
        <f t="shared" si="185"/>
        <v/>
      </c>
      <c r="AG323" s="66" t="str">
        <f t="shared" si="185"/>
        <v/>
      </c>
      <c r="AH323" s="66" t="str">
        <f t="shared" si="185"/>
        <v/>
      </c>
      <c r="AI323" s="66" t="str">
        <f t="shared" si="185"/>
        <v/>
      </c>
      <c r="AJ323" s="66" t="str">
        <f t="shared" si="185"/>
        <v/>
      </c>
    </row>
    <row r="324" spans="1:36">
      <c r="A324" s="66">
        <f t="shared" si="184"/>
        <v>2</v>
      </c>
      <c r="B324" s="66" t="str">
        <f t="shared" si="184"/>
        <v>鄭智謙</v>
      </c>
      <c r="C324" s="66" t="str">
        <f t="shared" ref="C324:C357" si="186">IF(    AND( C3="病",  LEN(C323)&gt;=2 ),        "." &amp; $A324,    IF(         AND( C3="病" ),       $A324,        IF(  OR(  LEN(C323)&gt;=2  ),  CONCATENATE(  ".",  IF(  AND(  LEN(  INDEX(   $A$1:$AJ$39, MATCH($A324,$A$1:$A$39,0),MATCH(  C$322,$A$1:$AP$1,0  )  )  )&gt;LEN(  SUBSTITUTE(  INDEX(   $A$1:$AJ$39, MATCH($A324,$A$1:$A$39,0),MATCH(  C$322,$A$1:$AP$1,0  )  ),"病","")  ),  LEN(  INDEX(   $A$1:$AJ$39, MATCH($A324,$A$1:$A$39,0),MATCH(  C$322,$A$1:$AP$1,0  )  )  )&gt;LEN(  SUBSTITUTE(  INDEX(   $A$1:$AJ$39, MATCH($A324,$A$1:$A$39,0),MATCH(  C$322,$A$1:$AP$1,0  )  ),"-","")  )  ),  CONCATENATE(  $A324,"(",   SUBSTITUTE(   SUBSTITUTE(  SUBSTITUTE(  INDEX(   $A$1:$AJ$39, MATCH($A324,$A$1:$A$39,0),MATCH(  C$322,$A$322:$AP$322,0  )  ),"病",""),"x","")," ",""),"時",")"),  ""  )  ),  IF(  AND(  LEN(  INDEX(   $A$1:$AJ$39, MATCH($A324,$A$1:$A$39,0),MATCH(  C$322,$A$1:$AP$1,0  )  )  )&gt;LEN(  SUBSTITUTE(  INDEX(   $A$1:$AJ$39, MATCH($A324,$A$1:$A$39,0),MATCH(  C$322,$A$1:$AP$1,0  )  ),"病","")  ),  LEN(  INDEX(   $A$1:$AJ$39, MATCH($A324,$A$1:$A$39,0),MATCH(  C$322,$A$1:$AP$1,0  )  )  )&gt;LEN(  SUBSTITUTE(  INDEX(   $A$1:$AJ$39, MATCH($A324,$A$1:$A$39,0),MATCH(  C$322,$A$1:$AP$1,0  )  ),"-","")  )  ),  CONCATENATE(  $A324,"(",   SUBSTITUTE(   SUBSTITUTE(  SUBSTITUTE(  INDEX(   $A$1:$AJ$39, MATCH($A324,$A$1:$A$39,0),MATCH(  C$322,$A$322:$AP$322,0  )  ),"病",""),"x","")," ",""),"時",")"),  ""  )  )           ))</f>
        <v/>
      </c>
      <c r="D324" s="66" t="str">
        <f t="shared" ref="D324:AJ324" si="187">IF(    AND( D3="病",  LEN(D323)&gt;=2 ),        "." &amp; $A324,    IF(         AND( D3="病" ),       $A324,        IF(  OR(  LEN(D323)&gt;=2  ),  CONCATENATE(  ".",  IF(  AND(  LEN(  INDEX(   $A$1:$AJ$39, MATCH($A324,$A$1:$A$39,0),MATCH(  D$322,$A$1:$AP$1,0  )  )  )&gt;LEN(  SUBSTITUTE(  INDEX(   $A$1:$AJ$39, MATCH($A324,$A$1:$A$39,0),MATCH(  D$322,$A$1:$AP$1,0  )  ),"病","")  ),  LEN(  INDEX(   $A$1:$AJ$39, MATCH($A324,$A$1:$A$39,0),MATCH(  D$322,$A$1:$AP$1,0  )  )  )&gt;LEN(  SUBSTITUTE(  INDEX(   $A$1:$AJ$39, MATCH($A324,$A$1:$A$39,0),MATCH(  D$322,$A$1:$AP$1,0  )  ),"-","")  )  ),  CONCATENATE(  $A324,"(",   SUBSTITUTE(   SUBSTITUTE(  SUBSTITUTE(  INDEX(   $A$1:$AJ$39, MATCH($A324,$A$1:$A$39,0),MATCH(  D$322,$A$322:$AP$322,0  )  ),"病",""),"x","")," ",""),"時",")"),  ""  )  ),  IF(  AND(  LEN(  INDEX(   $A$1:$AJ$39, MATCH($A324,$A$1:$A$39,0),MATCH(  D$322,$A$1:$AP$1,0  )  )  )&gt;LEN(  SUBSTITUTE(  INDEX(   $A$1:$AJ$39, MATCH($A324,$A$1:$A$39,0),MATCH(  D$322,$A$1:$AP$1,0  )  ),"病","")  ),  LEN(  INDEX(   $A$1:$AJ$39, MATCH($A324,$A$1:$A$39,0),MATCH(  D$322,$A$1:$AP$1,0  )  )  )&gt;LEN(  SUBSTITUTE(  INDEX(   $A$1:$AJ$39, MATCH($A324,$A$1:$A$39,0),MATCH(  D$322,$A$1:$AP$1,0  )  ),"-","")  )  ),  CONCATENATE(  $A324,"(",   SUBSTITUTE(   SUBSTITUTE(  SUBSTITUTE(  INDEX(   $A$1:$AJ$39, MATCH($A324,$A$1:$A$39,0),MATCH(  D$322,$A$322:$AP$322,0  )  ),"病",""),"x","")," ",""),"時",")"),  ""  )  )           ))</f>
        <v/>
      </c>
      <c r="E324" s="66" t="str">
        <f t="shared" si="187"/>
        <v/>
      </c>
      <c r="F324" s="66" t="str">
        <f t="shared" si="187"/>
        <v/>
      </c>
      <c r="G324" s="66" t="str">
        <f t="shared" si="187"/>
        <v/>
      </c>
      <c r="H324" s="66" t="str">
        <f t="shared" si="187"/>
        <v/>
      </c>
      <c r="I324" s="66" t="str">
        <f t="shared" si="187"/>
        <v/>
      </c>
      <c r="J324" s="66" t="str">
        <f t="shared" si="187"/>
        <v/>
      </c>
      <c r="K324" s="66" t="str">
        <f t="shared" si="187"/>
        <v/>
      </c>
      <c r="L324" s="66" t="str">
        <f t="shared" si="187"/>
        <v/>
      </c>
      <c r="M324" s="66" t="str">
        <f t="shared" si="187"/>
        <v/>
      </c>
      <c r="N324" s="66" t="str">
        <f t="shared" si="187"/>
        <v/>
      </c>
      <c r="O324" s="66" t="str">
        <f t="shared" si="187"/>
        <v/>
      </c>
      <c r="P324" s="66" t="str">
        <f t="shared" si="187"/>
        <v/>
      </c>
      <c r="Q324" s="66" t="str">
        <f t="shared" si="187"/>
        <v/>
      </c>
      <c r="R324" s="66" t="str">
        <f t="shared" si="187"/>
        <v/>
      </c>
      <c r="S324" s="66" t="str">
        <f t="shared" si="187"/>
        <v/>
      </c>
      <c r="T324" s="66" t="str">
        <f t="shared" si="187"/>
        <v/>
      </c>
      <c r="U324" s="66" t="str">
        <f t="shared" si="187"/>
        <v/>
      </c>
      <c r="V324" s="66" t="str">
        <f t="shared" si="187"/>
        <v/>
      </c>
      <c r="W324" s="66" t="str">
        <f t="shared" si="187"/>
        <v/>
      </c>
      <c r="X324" s="66" t="str">
        <f t="shared" si="187"/>
        <v/>
      </c>
      <c r="Y324" s="66" t="str">
        <f t="shared" si="187"/>
        <v/>
      </c>
      <c r="Z324" s="66" t="str">
        <f t="shared" si="187"/>
        <v/>
      </c>
      <c r="AA324" s="66" t="str">
        <f t="shared" si="187"/>
        <v/>
      </c>
      <c r="AB324" s="66" t="str">
        <f t="shared" si="187"/>
        <v/>
      </c>
      <c r="AC324" s="66" t="str">
        <f t="shared" si="187"/>
        <v/>
      </c>
      <c r="AD324" s="66" t="str">
        <f t="shared" si="187"/>
        <v/>
      </c>
      <c r="AE324" s="66" t="str">
        <f t="shared" si="187"/>
        <v/>
      </c>
      <c r="AF324" s="66" t="str">
        <f t="shared" si="187"/>
        <v/>
      </c>
      <c r="AG324" s="66" t="str">
        <f t="shared" si="187"/>
        <v/>
      </c>
      <c r="AH324" s="66" t="str">
        <f t="shared" si="187"/>
        <v/>
      </c>
      <c r="AI324" s="66" t="str">
        <f t="shared" si="187"/>
        <v/>
      </c>
      <c r="AJ324" s="66" t="str">
        <f t="shared" si="187"/>
        <v/>
      </c>
    </row>
    <row r="325" spans="1:36">
      <c r="A325" s="66">
        <f t="shared" si="184"/>
        <v>3</v>
      </c>
      <c r="B325" s="66" t="str">
        <f t="shared" si="184"/>
        <v>王敍安</v>
      </c>
      <c r="C325" s="66" t="str">
        <f t="shared" si="186"/>
        <v/>
      </c>
      <c r="D325" s="66" t="str">
        <f t="shared" ref="D325:D357" si="188">IF(    AND( D4="病",  LEN(D324)&gt;=2 ),        "." &amp; $A325,    IF(         AND( D4="病" ),       $A325,        IF(  OR(  LEN(D324)&gt;=2  ),  CONCATENATE(  ".",  IF(  AND(  LEN(  INDEX(   $A$1:$AJ$39, MATCH($A325,$A$1:$A$39,0),MATCH(  D$322,$A$1:$AP$1,0  )  )  )&gt;LEN(  SUBSTITUTE(  INDEX(   $A$1:$AJ$39, MATCH($A325,$A$1:$A$39,0),MATCH(  D$322,$A$1:$AP$1,0  )  ),"病","")  ),  LEN(  INDEX(   $A$1:$AJ$39, MATCH($A325,$A$1:$A$39,0),MATCH(  D$322,$A$1:$AP$1,0  )  )  )&gt;LEN(  SUBSTITUTE(  INDEX(   $A$1:$AJ$39, MATCH($A325,$A$1:$A$39,0),MATCH(  D$322,$A$1:$AP$1,0  )  ),"-","")  )  ),  CONCATENATE(  $A325,"(",   SUBSTITUTE(   SUBSTITUTE(  SUBSTITUTE(  INDEX(   $A$1:$AJ$39, MATCH($A325,$A$1:$A$39,0),MATCH(  D$322,$A$322:$AP$322,0  )  ),"病",""),"x","")," ",""),"時",")"),  ""  )  ),  IF(  AND(  LEN(  INDEX(   $A$1:$AJ$39, MATCH($A325,$A$1:$A$39,0),MATCH(  D$322,$A$1:$AP$1,0  )  )  )&gt;LEN(  SUBSTITUTE(  INDEX(   $A$1:$AJ$39, MATCH($A325,$A$1:$A$39,0),MATCH(  D$322,$A$1:$AP$1,0  )  ),"病","")  ),  LEN(  INDEX(   $A$1:$AJ$39, MATCH($A325,$A$1:$A$39,0),MATCH(  D$322,$A$1:$AP$1,0  )  )  )&gt;LEN(  SUBSTITUTE(  INDEX(   $A$1:$AJ$39, MATCH($A325,$A$1:$A$39,0),MATCH(  D$322,$A$1:$AP$1,0  )  ),"-","")  )  ),  CONCATENATE(  $A325,"(",   SUBSTITUTE(   SUBSTITUTE(  SUBSTITUTE(  INDEX(   $A$1:$AJ$39, MATCH($A325,$A$1:$A$39,0),MATCH(  D$322,$A$322:$AP$322,0  )  ),"病",""),"x","")," ",""),"時",")"),  ""  )  )           ))</f>
        <v/>
      </c>
      <c r="E325" s="66" t="str">
        <f t="shared" ref="E325:E357" si="189">IF(    AND( E4="病",  LEN(E324)&gt;=2 ),        "." &amp; $A325,    IF(         AND( E4="病" ),       $A325,        IF(  OR(  LEN(E324)&gt;=2  ),  CONCATENATE(  ".",  IF(  AND(  LEN(  INDEX(   $A$1:$AJ$39, MATCH($A325,$A$1:$A$39,0),MATCH(  E$322,$A$1:$AP$1,0  )  )  )&gt;LEN(  SUBSTITUTE(  INDEX(   $A$1:$AJ$39, MATCH($A325,$A$1:$A$39,0),MATCH(  E$322,$A$1:$AP$1,0  )  ),"病","")  ),  LEN(  INDEX(   $A$1:$AJ$39, MATCH($A325,$A$1:$A$39,0),MATCH(  E$322,$A$1:$AP$1,0  )  )  )&gt;LEN(  SUBSTITUTE(  INDEX(   $A$1:$AJ$39, MATCH($A325,$A$1:$A$39,0),MATCH(  E$322,$A$1:$AP$1,0  )  ),"-","")  )  ),  CONCATENATE(  $A325,"(",   SUBSTITUTE(   SUBSTITUTE(  SUBSTITUTE(  INDEX(   $A$1:$AJ$39, MATCH($A325,$A$1:$A$39,0),MATCH(  E$322,$A$322:$AP$322,0  )  ),"病",""),"x","")," ",""),"時",")"),  ""  )  ),  IF(  AND(  LEN(  INDEX(   $A$1:$AJ$39, MATCH($A325,$A$1:$A$39,0),MATCH(  E$322,$A$1:$AP$1,0  )  )  )&gt;LEN(  SUBSTITUTE(  INDEX(   $A$1:$AJ$39, MATCH($A325,$A$1:$A$39,0),MATCH(  E$322,$A$1:$AP$1,0  )  ),"病","")  ),  LEN(  INDEX(   $A$1:$AJ$39, MATCH($A325,$A$1:$A$39,0),MATCH(  E$322,$A$1:$AP$1,0  )  )  )&gt;LEN(  SUBSTITUTE(  INDEX(   $A$1:$AJ$39, MATCH($A325,$A$1:$A$39,0),MATCH(  E$322,$A$1:$AP$1,0  )  ),"-","")  )  ),  CONCATENATE(  $A325,"(",   SUBSTITUTE(   SUBSTITUTE(  SUBSTITUTE(  INDEX(   $A$1:$AJ$39, MATCH($A325,$A$1:$A$39,0),MATCH(  E$322,$A$322:$AP$322,0  )  ),"病",""),"x","")," ",""),"時",")"),  ""  )  )           ))</f>
        <v/>
      </c>
      <c r="F325" s="66" t="str">
        <f t="shared" ref="F325:F357" si="190">IF(    AND( F4="病",  LEN(F324)&gt;=2 ),        "." &amp; $A325,    IF(         AND( F4="病" ),       $A325,        IF(  OR(  LEN(F324)&gt;=2  ),  CONCATENATE(  ".",  IF(  AND(  LEN(  INDEX(   $A$1:$AJ$39, MATCH($A325,$A$1:$A$39,0),MATCH(  F$322,$A$1:$AP$1,0  )  )  )&gt;LEN(  SUBSTITUTE(  INDEX(   $A$1:$AJ$39, MATCH($A325,$A$1:$A$39,0),MATCH(  F$322,$A$1:$AP$1,0  )  ),"病","")  ),  LEN(  INDEX(   $A$1:$AJ$39, MATCH($A325,$A$1:$A$39,0),MATCH(  F$322,$A$1:$AP$1,0  )  )  )&gt;LEN(  SUBSTITUTE(  INDEX(   $A$1:$AJ$39, MATCH($A325,$A$1:$A$39,0),MATCH(  F$322,$A$1:$AP$1,0  )  ),"-","")  )  ),  CONCATENATE(  $A325,"(",   SUBSTITUTE(   SUBSTITUTE(  SUBSTITUTE(  INDEX(   $A$1:$AJ$39, MATCH($A325,$A$1:$A$39,0),MATCH(  F$322,$A$322:$AP$322,0  )  ),"病",""),"x","")," ",""),"時",")"),  ""  )  ),  IF(  AND(  LEN(  INDEX(   $A$1:$AJ$39, MATCH($A325,$A$1:$A$39,0),MATCH(  F$322,$A$1:$AP$1,0  )  )  )&gt;LEN(  SUBSTITUTE(  INDEX(   $A$1:$AJ$39, MATCH($A325,$A$1:$A$39,0),MATCH(  F$322,$A$1:$AP$1,0  )  ),"病","")  ),  LEN(  INDEX(   $A$1:$AJ$39, MATCH($A325,$A$1:$A$39,0),MATCH(  F$322,$A$1:$AP$1,0  )  )  )&gt;LEN(  SUBSTITUTE(  INDEX(   $A$1:$AJ$39, MATCH($A325,$A$1:$A$39,0),MATCH(  F$322,$A$1:$AP$1,0  )  ),"-","")  )  ),  CONCATENATE(  $A325,"(",   SUBSTITUTE(   SUBSTITUTE(  SUBSTITUTE(  INDEX(   $A$1:$AJ$39, MATCH($A325,$A$1:$A$39,0),MATCH(  F$322,$A$322:$AP$322,0  )  ),"病",""),"x","")," ",""),"時",")"),  ""  )  )           ))</f>
        <v/>
      </c>
      <c r="G325" s="66" t="str">
        <f t="shared" ref="G325:G357" si="191">IF(    AND( G4="病",  LEN(G324)&gt;=2 ),        "." &amp; $A325,    IF(         AND( G4="病" ),       $A325,        IF(  OR(  LEN(G324)&gt;=2  ),  CONCATENATE(  ".",  IF(  AND(  LEN(  INDEX(   $A$1:$AJ$39, MATCH($A325,$A$1:$A$39,0),MATCH(  G$322,$A$1:$AP$1,0  )  )  )&gt;LEN(  SUBSTITUTE(  INDEX(   $A$1:$AJ$39, MATCH($A325,$A$1:$A$39,0),MATCH(  G$322,$A$1:$AP$1,0  )  ),"病","")  ),  LEN(  INDEX(   $A$1:$AJ$39, MATCH($A325,$A$1:$A$39,0),MATCH(  G$322,$A$1:$AP$1,0  )  )  )&gt;LEN(  SUBSTITUTE(  INDEX(   $A$1:$AJ$39, MATCH($A325,$A$1:$A$39,0),MATCH(  G$322,$A$1:$AP$1,0  )  ),"-","")  )  ),  CONCATENATE(  $A325,"(",   SUBSTITUTE(   SUBSTITUTE(  SUBSTITUTE(  INDEX(   $A$1:$AJ$39, MATCH($A325,$A$1:$A$39,0),MATCH(  G$322,$A$322:$AP$322,0  )  ),"病",""),"x","")," ",""),"時",")"),  ""  )  ),  IF(  AND(  LEN(  INDEX(   $A$1:$AJ$39, MATCH($A325,$A$1:$A$39,0),MATCH(  G$322,$A$1:$AP$1,0  )  )  )&gt;LEN(  SUBSTITUTE(  INDEX(   $A$1:$AJ$39, MATCH($A325,$A$1:$A$39,0),MATCH(  G$322,$A$1:$AP$1,0  )  ),"病","")  ),  LEN(  INDEX(   $A$1:$AJ$39, MATCH($A325,$A$1:$A$39,0),MATCH(  G$322,$A$1:$AP$1,0  )  )  )&gt;LEN(  SUBSTITUTE(  INDEX(   $A$1:$AJ$39, MATCH($A325,$A$1:$A$39,0),MATCH(  G$322,$A$1:$AP$1,0  )  ),"-","")  )  ),  CONCATENATE(  $A325,"(",   SUBSTITUTE(   SUBSTITUTE(  SUBSTITUTE(  INDEX(   $A$1:$AJ$39, MATCH($A325,$A$1:$A$39,0),MATCH(  G$322,$A$322:$AP$322,0  )  ),"病",""),"x","")," ",""),"時",")"),  ""  )  )           ))</f>
        <v/>
      </c>
      <c r="H325" s="66" t="str">
        <f t="shared" ref="H325:H357" si="192">IF(    AND( H4="病",  LEN(H324)&gt;=2 ),        "." &amp; $A325,    IF(         AND( H4="病" ),       $A325,        IF(  OR(  LEN(H324)&gt;=2  ),  CONCATENATE(  ".",  IF(  AND(  LEN(  INDEX(   $A$1:$AJ$39, MATCH($A325,$A$1:$A$39,0),MATCH(  H$322,$A$1:$AP$1,0  )  )  )&gt;LEN(  SUBSTITUTE(  INDEX(   $A$1:$AJ$39, MATCH($A325,$A$1:$A$39,0),MATCH(  H$322,$A$1:$AP$1,0  )  ),"病","")  ),  LEN(  INDEX(   $A$1:$AJ$39, MATCH($A325,$A$1:$A$39,0),MATCH(  H$322,$A$1:$AP$1,0  )  )  )&gt;LEN(  SUBSTITUTE(  INDEX(   $A$1:$AJ$39, MATCH($A325,$A$1:$A$39,0),MATCH(  H$322,$A$1:$AP$1,0  )  ),"-","")  )  ),  CONCATENATE(  $A325,"(",   SUBSTITUTE(   SUBSTITUTE(  SUBSTITUTE(  INDEX(   $A$1:$AJ$39, MATCH($A325,$A$1:$A$39,0),MATCH(  H$322,$A$322:$AP$322,0  )  ),"病",""),"x","")," ",""),"時",")"),  ""  )  ),  IF(  AND(  LEN(  INDEX(   $A$1:$AJ$39, MATCH($A325,$A$1:$A$39,0),MATCH(  H$322,$A$1:$AP$1,0  )  )  )&gt;LEN(  SUBSTITUTE(  INDEX(   $A$1:$AJ$39, MATCH($A325,$A$1:$A$39,0),MATCH(  H$322,$A$1:$AP$1,0  )  ),"病","")  ),  LEN(  INDEX(   $A$1:$AJ$39, MATCH($A325,$A$1:$A$39,0),MATCH(  H$322,$A$1:$AP$1,0  )  )  )&gt;LEN(  SUBSTITUTE(  INDEX(   $A$1:$AJ$39, MATCH($A325,$A$1:$A$39,0),MATCH(  H$322,$A$1:$AP$1,0  )  ),"-","")  )  ),  CONCATENATE(  $A325,"(",   SUBSTITUTE(   SUBSTITUTE(  SUBSTITUTE(  INDEX(   $A$1:$AJ$39, MATCH($A325,$A$1:$A$39,0),MATCH(  H$322,$A$322:$AP$322,0  )  ),"病",""),"x","")," ",""),"時",")"),  ""  )  )           ))</f>
        <v/>
      </c>
      <c r="I325" s="66" t="str">
        <f t="shared" ref="I325:I357" si="193">IF(    AND( I4="病",  LEN(I324)&gt;=2 ),        "." &amp; $A325,    IF(         AND( I4="病" ),       $A325,        IF(  OR(  LEN(I324)&gt;=2  ),  CONCATENATE(  ".",  IF(  AND(  LEN(  INDEX(   $A$1:$AJ$39, MATCH($A325,$A$1:$A$39,0),MATCH(  I$322,$A$1:$AP$1,0  )  )  )&gt;LEN(  SUBSTITUTE(  INDEX(   $A$1:$AJ$39, MATCH($A325,$A$1:$A$39,0),MATCH(  I$322,$A$1:$AP$1,0  )  ),"病","")  ),  LEN(  INDEX(   $A$1:$AJ$39, MATCH($A325,$A$1:$A$39,0),MATCH(  I$322,$A$1:$AP$1,0  )  )  )&gt;LEN(  SUBSTITUTE(  INDEX(   $A$1:$AJ$39, MATCH($A325,$A$1:$A$39,0),MATCH(  I$322,$A$1:$AP$1,0  )  ),"-","")  )  ),  CONCATENATE(  $A325,"(",   SUBSTITUTE(   SUBSTITUTE(  SUBSTITUTE(  INDEX(   $A$1:$AJ$39, MATCH($A325,$A$1:$A$39,0),MATCH(  I$322,$A$322:$AP$322,0  )  ),"病",""),"x","")," ",""),"時",")"),  ""  )  ),  IF(  AND(  LEN(  INDEX(   $A$1:$AJ$39, MATCH($A325,$A$1:$A$39,0),MATCH(  I$322,$A$1:$AP$1,0  )  )  )&gt;LEN(  SUBSTITUTE(  INDEX(   $A$1:$AJ$39, MATCH($A325,$A$1:$A$39,0),MATCH(  I$322,$A$1:$AP$1,0  )  ),"病","")  ),  LEN(  INDEX(   $A$1:$AJ$39, MATCH($A325,$A$1:$A$39,0),MATCH(  I$322,$A$1:$AP$1,0  )  )  )&gt;LEN(  SUBSTITUTE(  INDEX(   $A$1:$AJ$39, MATCH($A325,$A$1:$A$39,0),MATCH(  I$322,$A$1:$AP$1,0  )  ),"-","")  )  ),  CONCATENATE(  $A325,"(",   SUBSTITUTE(   SUBSTITUTE(  SUBSTITUTE(  INDEX(   $A$1:$AJ$39, MATCH($A325,$A$1:$A$39,0),MATCH(  I$322,$A$322:$AP$322,0  )  ),"病",""),"x","")," ",""),"時",")"),  ""  )  )           ))</f>
        <v/>
      </c>
      <c r="J325" s="66" t="str">
        <f t="shared" ref="J325:J357" si="194">IF(    AND( J4="病",  LEN(J324)&gt;=2 ),        "." &amp; $A325,    IF(         AND( J4="病" ),       $A325,        IF(  OR(  LEN(J324)&gt;=2  ),  CONCATENATE(  ".",  IF(  AND(  LEN(  INDEX(   $A$1:$AJ$39, MATCH($A325,$A$1:$A$39,0),MATCH(  J$322,$A$1:$AP$1,0  )  )  )&gt;LEN(  SUBSTITUTE(  INDEX(   $A$1:$AJ$39, MATCH($A325,$A$1:$A$39,0),MATCH(  J$322,$A$1:$AP$1,0  )  ),"病","")  ),  LEN(  INDEX(   $A$1:$AJ$39, MATCH($A325,$A$1:$A$39,0),MATCH(  J$322,$A$1:$AP$1,0  )  )  )&gt;LEN(  SUBSTITUTE(  INDEX(   $A$1:$AJ$39, MATCH($A325,$A$1:$A$39,0),MATCH(  J$322,$A$1:$AP$1,0  )  ),"-","")  )  ),  CONCATENATE(  $A325,"(",   SUBSTITUTE(   SUBSTITUTE(  SUBSTITUTE(  INDEX(   $A$1:$AJ$39, MATCH($A325,$A$1:$A$39,0),MATCH(  J$322,$A$322:$AP$322,0  )  ),"病",""),"x","")," ",""),"時",")"),  ""  )  ),  IF(  AND(  LEN(  INDEX(   $A$1:$AJ$39, MATCH($A325,$A$1:$A$39,0),MATCH(  J$322,$A$1:$AP$1,0  )  )  )&gt;LEN(  SUBSTITUTE(  INDEX(   $A$1:$AJ$39, MATCH($A325,$A$1:$A$39,0),MATCH(  J$322,$A$1:$AP$1,0  )  ),"病","")  ),  LEN(  INDEX(   $A$1:$AJ$39, MATCH($A325,$A$1:$A$39,0),MATCH(  J$322,$A$1:$AP$1,0  )  )  )&gt;LEN(  SUBSTITUTE(  INDEX(   $A$1:$AJ$39, MATCH($A325,$A$1:$A$39,0),MATCH(  J$322,$A$1:$AP$1,0  )  ),"-","")  )  ),  CONCATENATE(  $A325,"(",   SUBSTITUTE(   SUBSTITUTE(  SUBSTITUTE(  INDEX(   $A$1:$AJ$39, MATCH($A325,$A$1:$A$39,0),MATCH(  J$322,$A$322:$AP$322,0  )  ),"病",""),"x","")," ",""),"時",")"),  ""  )  )           ))</f>
        <v/>
      </c>
      <c r="K325" s="66" t="str">
        <f t="shared" ref="K325:K357" si="195">IF(    AND( K4="病",  LEN(K324)&gt;=2 ),        "." &amp; $A325,    IF(         AND( K4="病" ),       $A325,        IF(  OR(  LEN(K324)&gt;=2  ),  CONCATENATE(  ".",  IF(  AND(  LEN(  INDEX(   $A$1:$AJ$39, MATCH($A325,$A$1:$A$39,0),MATCH(  K$322,$A$1:$AP$1,0  )  )  )&gt;LEN(  SUBSTITUTE(  INDEX(   $A$1:$AJ$39, MATCH($A325,$A$1:$A$39,0),MATCH(  K$322,$A$1:$AP$1,0  )  ),"病","")  ),  LEN(  INDEX(   $A$1:$AJ$39, MATCH($A325,$A$1:$A$39,0),MATCH(  K$322,$A$1:$AP$1,0  )  )  )&gt;LEN(  SUBSTITUTE(  INDEX(   $A$1:$AJ$39, MATCH($A325,$A$1:$A$39,0),MATCH(  K$322,$A$1:$AP$1,0  )  ),"-","")  )  ),  CONCATENATE(  $A325,"(",   SUBSTITUTE(   SUBSTITUTE(  SUBSTITUTE(  INDEX(   $A$1:$AJ$39, MATCH($A325,$A$1:$A$39,0),MATCH(  K$322,$A$322:$AP$322,0  )  ),"病",""),"x","")," ",""),"時",")"),  ""  )  ),  IF(  AND(  LEN(  INDEX(   $A$1:$AJ$39, MATCH($A325,$A$1:$A$39,0),MATCH(  K$322,$A$1:$AP$1,0  )  )  )&gt;LEN(  SUBSTITUTE(  INDEX(   $A$1:$AJ$39, MATCH($A325,$A$1:$A$39,0),MATCH(  K$322,$A$1:$AP$1,0  )  ),"病","")  ),  LEN(  INDEX(   $A$1:$AJ$39, MATCH($A325,$A$1:$A$39,0),MATCH(  K$322,$A$1:$AP$1,0  )  )  )&gt;LEN(  SUBSTITUTE(  INDEX(   $A$1:$AJ$39, MATCH($A325,$A$1:$A$39,0),MATCH(  K$322,$A$1:$AP$1,0  )  ),"-","")  )  ),  CONCATENATE(  $A325,"(",   SUBSTITUTE(   SUBSTITUTE(  SUBSTITUTE(  INDEX(   $A$1:$AJ$39, MATCH($A325,$A$1:$A$39,0),MATCH(  K$322,$A$322:$AP$322,0  )  ),"病",""),"x","")," ",""),"時",")"),  ""  )  )           ))</f>
        <v/>
      </c>
      <c r="L325" s="66" t="str">
        <f t="shared" ref="L325:L357" si="196">IF(    AND( L4="病",  LEN(L324)&gt;=2 ),        "." &amp; $A325,    IF(         AND( L4="病" ),       $A325,        IF(  OR(  LEN(L324)&gt;=2  ),  CONCATENATE(  ".",  IF(  AND(  LEN(  INDEX(   $A$1:$AJ$39, MATCH($A325,$A$1:$A$39,0),MATCH(  L$322,$A$1:$AP$1,0  )  )  )&gt;LEN(  SUBSTITUTE(  INDEX(   $A$1:$AJ$39, MATCH($A325,$A$1:$A$39,0),MATCH(  L$322,$A$1:$AP$1,0  )  ),"病","")  ),  LEN(  INDEX(   $A$1:$AJ$39, MATCH($A325,$A$1:$A$39,0),MATCH(  L$322,$A$1:$AP$1,0  )  )  )&gt;LEN(  SUBSTITUTE(  INDEX(   $A$1:$AJ$39, MATCH($A325,$A$1:$A$39,0),MATCH(  L$322,$A$1:$AP$1,0  )  ),"-","")  )  ),  CONCATENATE(  $A325,"(",   SUBSTITUTE(   SUBSTITUTE(  SUBSTITUTE(  INDEX(   $A$1:$AJ$39, MATCH($A325,$A$1:$A$39,0),MATCH(  L$322,$A$322:$AP$322,0  )  ),"病",""),"x","")," ",""),"時",")"),  ""  )  ),  IF(  AND(  LEN(  INDEX(   $A$1:$AJ$39, MATCH($A325,$A$1:$A$39,0),MATCH(  L$322,$A$1:$AP$1,0  )  )  )&gt;LEN(  SUBSTITUTE(  INDEX(   $A$1:$AJ$39, MATCH($A325,$A$1:$A$39,0),MATCH(  L$322,$A$1:$AP$1,0  )  ),"病","")  ),  LEN(  INDEX(   $A$1:$AJ$39, MATCH($A325,$A$1:$A$39,0),MATCH(  L$322,$A$1:$AP$1,0  )  )  )&gt;LEN(  SUBSTITUTE(  INDEX(   $A$1:$AJ$39, MATCH($A325,$A$1:$A$39,0),MATCH(  L$322,$A$1:$AP$1,0  )  ),"-","")  )  ),  CONCATENATE(  $A325,"(",   SUBSTITUTE(   SUBSTITUTE(  SUBSTITUTE(  INDEX(   $A$1:$AJ$39, MATCH($A325,$A$1:$A$39,0),MATCH(  L$322,$A$322:$AP$322,0  )  ),"病",""),"x","")," ",""),"時",")"),  ""  )  )           ))</f>
        <v/>
      </c>
      <c r="M325" s="66" t="str">
        <f t="shared" ref="M325:M357" si="197">IF(    AND( M4="病",  LEN(M324)&gt;=2 ),        "." &amp; $A325,    IF(         AND( M4="病" ),       $A325,        IF(  OR(  LEN(M324)&gt;=2  ),  CONCATENATE(  ".",  IF(  AND(  LEN(  INDEX(   $A$1:$AJ$39, MATCH($A325,$A$1:$A$39,0),MATCH(  M$322,$A$1:$AP$1,0  )  )  )&gt;LEN(  SUBSTITUTE(  INDEX(   $A$1:$AJ$39, MATCH($A325,$A$1:$A$39,0),MATCH(  M$322,$A$1:$AP$1,0  )  ),"病","")  ),  LEN(  INDEX(   $A$1:$AJ$39, MATCH($A325,$A$1:$A$39,0),MATCH(  M$322,$A$1:$AP$1,0  )  )  )&gt;LEN(  SUBSTITUTE(  INDEX(   $A$1:$AJ$39, MATCH($A325,$A$1:$A$39,0),MATCH(  M$322,$A$1:$AP$1,0  )  ),"-","")  )  ),  CONCATENATE(  $A325,"(",   SUBSTITUTE(   SUBSTITUTE(  SUBSTITUTE(  INDEX(   $A$1:$AJ$39, MATCH($A325,$A$1:$A$39,0),MATCH(  M$322,$A$322:$AP$322,0  )  ),"病",""),"x","")," ",""),"時",")"),  ""  )  ),  IF(  AND(  LEN(  INDEX(   $A$1:$AJ$39, MATCH($A325,$A$1:$A$39,0),MATCH(  M$322,$A$1:$AP$1,0  )  )  )&gt;LEN(  SUBSTITUTE(  INDEX(   $A$1:$AJ$39, MATCH($A325,$A$1:$A$39,0),MATCH(  M$322,$A$1:$AP$1,0  )  ),"病","")  ),  LEN(  INDEX(   $A$1:$AJ$39, MATCH($A325,$A$1:$A$39,0),MATCH(  M$322,$A$1:$AP$1,0  )  )  )&gt;LEN(  SUBSTITUTE(  INDEX(   $A$1:$AJ$39, MATCH($A325,$A$1:$A$39,0),MATCH(  M$322,$A$1:$AP$1,0  )  ),"-","")  )  ),  CONCATENATE(  $A325,"(",   SUBSTITUTE(   SUBSTITUTE(  SUBSTITUTE(  INDEX(   $A$1:$AJ$39, MATCH($A325,$A$1:$A$39,0),MATCH(  M$322,$A$322:$AP$322,0  )  ),"病",""),"x","")," ",""),"時",")"),  ""  )  )           ))</f>
        <v/>
      </c>
      <c r="N325" s="66" t="str">
        <f t="shared" ref="N325:N357" si="198">IF(    AND( N4="病",  LEN(N324)&gt;=2 ),        "." &amp; $A325,    IF(         AND( N4="病" ),       $A325,        IF(  OR(  LEN(N324)&gt;=2  ),  CONCATENATE(  ".",  IF(  AND(  LEN(  INDEX(   $A$1:$AJ$39, MATCH($A325,$A$1:$A$39,0),MATCH(  N$322,$A$1:$AP$1,0  )  )  )&gt;LEN(  SUBSTITUTE(  INDEX(   $A$1:$AJ$39, MATCH($A325,$A$1:$A$39,0),MATCH(  N$322,$A$1:$AP$1,0  )  ),"病","")  ),  LEN(  INDEX(   $A$1:$AJ$39, MATCH($A325,$A$1:$A$39,0),MATCH(  N$322,$A$1:$AP$1,0  )  )  )&gt;LEN(  SUBSTITUTE(  INDEX(   $A$1:$AJ$39, MATCH($A325,$A$1:$A$39,0),MATCH(  N$322,$A$1:$AP$1,0  )  ),"-","")  )  ),  CONCATENATE(  $A325,"(",   SUBSTITUTE(   SUBSTITUTE(  SUBSTITUTE(  INDEX(   $A$1:$AJ$39, MATCH($A325,$A$1:$A$39,0),MATCH(  N$322,$A$322:$AP$322,0  )  ),"病",""),"x","")," ",""),"時",")"),  ""  )  ),  IF(  AND(  LEN(  INDEX(   $A$1:$AJ$39, MATCH($A325,$A$1:$A$39,0),MATCH(  N$322,$A$1:$AP$1,0  )  )  )&gt;LEN(  SUBSTITUTE(  INDEX(   $A$1:$AJ$39, MATCH($A325,$A$1:$A$39,0),MATCH(  N$322,$A$1:$AP$1,0  )  ),"病","")  ),  LEN(  INDEX(   $A$1:$AJ$39, MATCH($A325,$A$1:$A$39,0),MATCH(  N$322,$A$1:$AP$1,0  )  )  )&gt;LEN(  SUBSTITUTE(  INDEX(   $A$1:$AJ$39, MATCH($A325,$A$1:$A$39,0),MATCH(  N$322,$A$1:$AP$1,0  )  ),"-","")  )  ),  CONCATENATE(  $A325,"(",   SUBSTITUTE(   SUBSTITUTE(  SUBSTITUTE(  INDEX(   $A$1:$AJ$39, MATCH($A325,$A$1:$A$39,0),MATCH(  N$322,$A$322:$AP$322,0  )  ),"病",""),"x","")," ",""),"時",")"),  ""  )  )           ))</f>
        <v/>
      </c>
      <c r="O325" s="66" t="str">
        <f t="shared" ref="O325:O357" si="199">IF(    AND( O4="病",  LEN(O324)&gt;=2 ),        "." &amp; $A325,    IF(         AND( O4="病" ),       $A325,        IF(  OR(  LEN(O324)&gt;=2  ),  CONCATENATE(  ".",  IF(  AND(  LEN(  INDEX(   $A$1:$AJ$39, MATCH($A325,$A$1:$A$39,0),MATCH(  O$322,$A$1:$AP$1,0  )  )  )&gt;LEN(  SUBSTITUTE(  INDEX(   $A$1:$AJ$39, MATCH($A325,$A$1:$A$39,0),MATCH(  O$322,$A$1:$AP$1,0  )  ),"病","")  ),  LEN(  INDEX(   $A$1:$AJ$39, MATCH($A325,$A$1:$A$39,0),MATCH(  O$322,$A$1:$AP$1,0  )  )  )&gt;LEN(  SUBSTITUTE(  INDEX(   $A$1:$AJ$39, MATCH($A325,$A$1:$A$39,0),MATCH(  O$322,$A$1:$AP$1,0  )  ),"-","")  )  ),  CONCATENATE(  $A325,"(",   SUBSTITUTE(   SUBSTITUTE(  SUBSTITUTE(  INDEX(   $A$1:$AJ$39, MATCH($A325,$A$1:$A$39,0),MATCH(  O$322,$A$322:$AP$322,0  )  ),"病",""),"x","")," ",""),"時",")"),  ""  )  ),  IF(  AND(  LEN(  INDEX(   $A$1:$AJ$39, MATCH($A325,$A$1:$A$39,0),MATCH(  O$322,$A$1:$AP$1,0  )  )  )&gt;LEN(  SUBSTITUTE(  INDEX(   $A$1:$AJ$39, MATCH($A325,$A$1:$A$39,0),MATCH(  O$322,$A$1:$AP$1,0  )  ),"病","")  ),  LEN(  INDEX(   $A$1:$AJ$39, MATCH($A325,$A$1:$A$39,0),MATCH(  O$322,$A$1:$AP$1,0  )  )  )&gt;LEN(  SUBSTITUTE(  INDEX(   $A$1:$AJ$39, MATCH($A325,$A$1:$A$39,0),MATCH(  O$322,$A$1:$AP$1,0  )  ),"-","")  )  ),  CONCATENATE(  $A325,"(",   SUBSTITUTE(   SUBSTITUTE(  SUBSTITUTE(  INDEX(   $A$1:$AJ$39, MATCH($A325,$A$1:$A$39,0),MATCH(  O$322,$A$322:$AP$322,0  )  ),"病",""),"x","")," ",""),"時",")"),  ""  )  )           ))</f>
        <v/>
      </c>
      <c r="P325" s="66" t="str">
        <f t="shared" ref="P325:P357" si="200">IF(    AND( P4="病",  LEN(P324)&gt;=2 ),        "." &amp; $A325,    IF(         AND( P4="病" ),       $A325,        IF(  OR(  LEN(P324)&gt;=2  ),  CONCATENATE(  ".",  IF(  AND(  LEN(  INDEX(   $A$1:$AJ$39, MATCH($A325,$A$1:$A$39,0),MATCH(  P$322,$A$1:$AP$1,0  )  )  )&gt;LEN(  SUBSTITUTE(  INDEX(   $A$1:$AJ$39, MATCH($A325,$A$1:$A$39,0),MATCH(  P$322,$A$1:$AP$1,0  )  ),"病","")  ),  LEN(  INDEX(   $A$1:$AJ$39, MATCH($A325,$A$1:$A$39,0),MATCH(  P$322,$A$1:$AP$1,0  )  )  )&gt;LEN(  SUBSTITUTE(  INDEX(   $A$1:$AJ$39, MATCH($A325,$A$1:$A$39,0),MATCH(  P$322,$A$1:$AP$1,0  )  ),"-","")  )  ),  CONCATENATE(  $A325,"(",   SUBSTITUTE(   SUBSTITUTE(  SUBSTITUTE(  INDEX(   $A$1:$AJ$39, MATCH($A325,$A$1:$A$39,0),MATCH(  P$322,$A$322:$AP$322,0  )  ),"病",""),"x","")," ",""),"時",")"),  ""  )  ),  IF(  AND(  LEN(  INDEX(   $A$1:$AJ$39, MATCH($A325,$A$1:$A$39,0),MATCH(  P$322,$A$1:$AP$1,0  )  )  )&gt;LEN(  SUBSTITUTE(  INDEX(   $A$1:$AJ$39, MATCH($A325,$A$1:$A$39,0),MATCH(  P$322,$A$1:$AP$1,0  )  ),"病","")  ),  LEN(  INDEX(   $A$1:$AJ$39, MATCH($A325,$A$1:$A$39,0),MATCH(  P$322,$A$1:$AP$1,0  )  )  )&gt;LEN(  SUBSTITUTE(  INDEX(   $A$1:$AJ$39, MATCH($A325,$A$1:$A$39,0),MATCH(  P$322,$A$1:$AP$1,0  )  ),"-","")  )  ),  CONCATENATE(  $A325,"(",   SUBSTITUTE(   SUBSTITUTE(  SUBSTITUTE(  INDEX(   $A$1:$AJ$39, MATCH($A325,$A$1:$A$39,0),MATCH(  P$322,$A$322:$AP$322,0  )  ),"病",""),"x","")," ",""),"時",")"),  ""  )  )           ))</f>
        <v/>
      </c>
      <c r="Q325" s="66" t="str">
        <f t="shared" ref="Q325:Q357" si="201">IF(    AND( Q4="病",  LEN(Q324)&gt;=2 ),        "." &amp; $A325,    IF(         AND( Q4="病" ),       $A325,        IF(  OR(  LEN(Q324)&gt;=2  ),  CONCATENATE(  ".",  IF(  AND(  LEN(  INDEX(   $A$1:$AJ$39, MATCH($A325,$A$1:$A$39,0),MATCH(  Q$322,$A$1:$AP$1,0  )  )  )&gt;LEN(  SUBSTITUTE(  INDEX(   $A$1:$AJ$39, MATCH($A325,$A$1:$A$39,0),MATCH(  Q$322,$A$1:$AP$1,0  )  ),"病","")  ),  LEN(  INDEX(   $A$1:$AJ$39, MATCH($A325,$A$1:$A$39,0),MATCH(  Q$322,$A$1:$AP$1,0  )  )  )&gt;LEN(  SUBSTITUTE(  INDEX(   $A$1:$AJ$39, MATCH($A325,$A$1:$A$39,0),MATCH(  Q$322,$A$1:$AP$1,0  )  ),"-","")  )  ),  CONCATENATE(  $A325,"(",   SUBSTITUTE(   SUBSTITUTE(  SUBSTITUTE(  INDEX(   $A$1:$AJ$39, MATCH($A325,$A$1:$A$39,0),MATCH(  Q$322,$A$322:$AP$322,0  )  ),"病",""),"x","")," ",""),"時",")"),  ""  )  ),  IF(  AND(  LEN(  INDEX(   $A$1:$AJ$39, MATCH($A325,$A$1:$A$39,0),MATCH(  Q$322,$A$1:$AP$1,0  )  )  )&gt;LEN(  SUBSTITUTE(  INDEX(   $A$1:$AJ$39, MATCH($A325,$A$1:$A$39,0),MATCH(  Q$322,$A$1:$AP$1,0  )  ),"病","")  ),  LEN(  INDEX(   $A$1:$AJ$39, MATCH($A325,$A$1:$A$39,0),MATCH(  Q$322,$A$1:$AP$1,0  )  )  )&gt;LEN(  SUBSTITUTE(  INDEX(   $A$1:$AJ$39, MATCH($A325,$A$1:$A$39,0),MATCH(  Q$322,$A$1:$AP$1,0  )  ),"-","")  )  ),  CONCATENATE(  $A325,"(",   SUBSTITUTE(   SUBSTITUTE(  SUBSTITUTE(  INDEX(   $A$1:$AJ$39, MATCH($A325,$A$1:$A$39,0),MATCH(  Q$322,$A$322:$AP$322,0  )  ),"病",""),"x","")," ",""),"時",")"),  ""  )  )           ))</f>
        <v/>
      </c>
      <c r="R325" s="66" t="str">
        <f t="shared" ref="R325:R357" si="202">IF(    AND( R4="病",  LEN(R324)&gt;=2 ),        "." &amp; $A325,    IF(         AND( R4="病" ),       $A325,        IF(  OR(  LEN(R324)&gt;=2  ),  CONCATENATE(  ".",  IF(  AND(  LEN(  INDEX(   $A$1:$AJ$39, MATCH($A325,$A$1:$A$39,0),MATCH(  R$322,$A$1:$AP$1,0  )  )  )&gt;LEN(  SUBSTITUTE(  INDEX(   $A$1:$AJ$39, MATCH($A325,$A$1:$A$39,0),MATCH(  R$322,$A$1:$AP$1,0  )  ),"病","")  ),  LEN(  INDEX(   $A$1:$AJ$39, MATCH($A325,$A$1:$A$39,0),MATCH(  R$322,$A$1:$AP$1,0  )  )  )&gt;LEN(  SUBSTITUTE(  INDEX(   $A$1:$AJ$39, MATCH($A325,$A$1:$A$39,0),MATCH(  R$322,$A$1:$AP$1,0  )  ),"-","")  )  ),  CONCATENATE(  $A325,"(",   SUBSTITUTE(   SUBSTITUTE(  SUBSTITUTE(  INDEX(   $A$1:$AJ$39, MATCH($A325,$A$1:$A$39,0),MATCH(  R$322,$A$322:$AP$322,0  )  ),"病",""),"x","")," ",""),"時",")"),  ""  )  ),  IF(  AND(  LEN(  INDEX(   $A$1:$AJ$39, MATCH($A325,$A$1:$A$39,0),MATCH(  R$322,$A$1:$AP$1,0  )  )  )&gt;LEN(  SUBSTITUTE(  INDEX(   $A$1:$AJ$39, MATCH($A325,$A$1:$A$39,0),MATCH(  R$322,$A$1:$AP$1,0  )  ),"病","")  ),  LEN(  INDEX(   $A$1:$AJ$39, MATCH($A325,$A$1:$A$39,0),MATCH(  R$322,$A$1:$AP$1,0  )  )  )&gt;LEN(  SUBSTITUTE(  INDEX(   $A$1:$AJ$39, MATCH($A325,$A$1:$A$39,0),MATCH(  R$322,$A$1:$AP$1,0  )  ),"-","")  )  ),  CONCATENATE(  $A325,"(",   SUBSTITUTE(   SUBSTITUTE(  SUBSTITUTE(  INDEX(   $A$1:$AJ$39, MATCH($A325,$A$1:$A$39,0),MATCH(  R$322,$A$322:$AP$322,0  )  ),"病",""),"x","")," ",""),"時",")"),  ""  )  )           ))</f>
        <v/>
      </c>
      <c r="S325" s="66" t="str">
        <f t="shared" ref="S325:S357" si="203">IF(    AND( S4="病",  LEN(S324)&gt;=2 ),        "." &amp; $A325,    IF(         AND( S4="病" ),       $A325,        IF(  OR(  LEN(S324)&gt;=2  ),  CONCATENATE(  ".",  IF(  AND(  LEN(  INDEX(   $A$1:$AJ$39, MATCH($A325,$A$1:$A$39,0),MATCH(  S$322,$A$1:$AP$1,0  )  )  )&gt;LEN(  SUBSTITUTE(  INDEX(   $A$1:$AJ$39, MATCH($A325,$A$1:$A$39,0),MATCH(  S$322,$A$1:$AP$1,0  )  ),"病","")  ),  LEN(  INDEX(   $A$1:$AJ$39, MATCH($A325,$A$1:$A$39,0),MATCH(  S$322,$A$1:$AP$1,0  )  )  )&gt;LEN(  SUBSTITUTE(  INDEX(   $A$1:$AJ$39, MATCH($A325,$A$1:$A$39,0),MATCH(  S$322,$A$1:$AP$1,0  )  ),"-","")  )  ),  CONCATENATE(  $A325,"(",   SUBSTITUTE(   SUBSTITUTE(  SUBSTITUTE(  INDEX(   $A$1:$AJ$39, MATCH($A325,$A$1:$A$39,0),MATCH(  S$322,$A$322:$AP$322,0  )  ),"病",""),"x","")," ",""),"時",")"),  ""  )  ),  IF(  AND(  LEN(  INDEX(   $A$1:$AJ$39, MATCH($A325,$A$1:$A$39,0),MATCH(  S$322,$A$1:$AP$1,0  )  )  )&gt;LEN(  SUBSTITUTE(  INDEX(   $A$1:$AJ$39, MATCH($A325,$A$1:$A$39,0),MATCH(  S$322,$A$1:$AP$1,0  )  ),"病","")  ),  LEN(  INDEX(   $A$1:$AJ$39, MATCH($A325,$A$1:$A$39,0),MATCH(  S$322,$A$1:$AP$1,0  )  )  )&gt;LEN(  SUBSTITUTE(  INDEX(   $A$1:$AJ$39, MATCH($A325,$A$1:$A$39,0),MATCH(  S$322,$A$1:$AP$1,0  )  ),"-","")  )  ),  CONCATENATE(  $A325,"(",   SUBSTITUTE(   SUBSTITUTE(  SUBSTITUTE(  INDEX(   $A$1:$AJ$39, MATCH($A325,$A$1:$A$39,0),MATCH(  S$322,$A$322:$AP$322,0  )  ),"病",""),"x","")," ",""),"時",")"),  ""  )  )           ))</f>
        <v/>
      </c>
      <c r="T325" s="66" t="str">
        <f t="shared" ref="T325:T357" si="204">IF(    AND( T4="病",  LEN(T324)&gt;=2 ),        "." &amp; $A325,    IF(         AND( T4="病" ),       $A325,        IF(  OR(  LEN(T324)&gt;=2  ),  CONCATENATE(  ".",  IF(  AND(  LEN(  INDEX(   $A$1:$AJ$39, MATCH($A325,$A$1:$A$39,0),MATCH(  T$322,$A$1:$AP$1,0  )  )  )&gt;LEN(  SUBSTITUTE(  INDEX(   $A$1:$AJ$39, MATCH($A325,$A$1:$A$39,0),MATCH(  T$322,$A$1:$AP$1,0  )  ),"病","")  ),  LEN(  INDEX(   $A$1:$AJ$39, MATCH($A325,$A$1:$A$39,0),MATCH(  T$322,$A$1:$AP$1,0  )  )  )&gt;LEN(  SUBSTITUTE(  INDEX(   $A$1:$AJ$39, MATCH($A325,$A$1:$A$39,0),MATCH(  T$322,$A$1:$AP$1,0  )  ),"-","")  )  ),  CONCATENATE(  $A325,"(",   SUBSTITUTE(   SUBSTITUTE(  SUBSTITUTE(  INDEX(   $A$1:$AJ$39, MATCH($A325,$A$1:$A$39,0),MATCH(  T$322,$A$322:$AP$322,0  )  ),"病",""),"x","")," ",""),"時",")"),  ""  )  ),  IF(  AND(  LEN(  INDEX(   $A$1:$AJ$39, MATCH($A325,$A$1:$A$39,0),MATCH(  T$322,$A$1:$AP$1,0  )  )  )&gt;LEN(  SUBSTITUTE(  INDEX(   $A$1:$AJ$39, MATCH($A325,$A$1:$A$39,0),MATCH(  T$322,$A$1:$AP$1,0  )  ),"病","")  ),  LEN(  INDEX(   $A$1:$AJ$39, MATCH($A325,$A$1:$A$39,0),MATCH(  T$322,$A$1:$AP$1,0  )  )  )&gt;LEN(  SUBSTITUTE(  INDEX(   $A$1:$AJ$39, MATCH($A325,$A$1:$A$39,0),MATCH(  T$322,$A$1:$AP$1,0  )  ),"-","")  )  ),  CONCATENATE(  $A325,"(",   SUBSTITUTE(   SUBSTITUTE(  SUBSTITUTE(  INDEX(   $A$1:$AJ$39, MATCH($A325,$A$1:$A$39,0),MATCH(  T$322,$A$322:$AP$322,0  )  ),"病",""),"x","")," ",""),"時",")"),  ""  )  )           ))</f>
        <v/>
      </c>
      <c r="U325" s="66" t="str">
        <f t="shared" ref="U325:U357" si="205">IF(    AND( U4="病",  LEN(U324)&gt;=2 ),        "." &amp; $A325,    IF(         AND( U4="病" ),       $A325,        IF(  OR(  LEN(U324)&gt;=2  ),  CONCATENATE(  ".",  IF(  AND(  LEN(  INDEX(   $A$1:$AJ$39, MATCH($A325,$A$1:$A$39,0),MATCH(  U$322,$A$1:$AP$1,0  )  )  )&gt;LEN(  SUBSTITUTE(  INDEX(   $A$1:$AJ$39, MATCH($A325,$A$1:$A$39,0),MATCH(  U$322,$A$1:$AP$1,0  )  ),"病","")  ),  LEN(  INDEX(   $A$1:$AJ$39, MATCH($A325,$A$1:$A$39,0),MATCH(  U$322,$A$1:$AP$1,0  )  )  )&gt;LEN(  SUBSTITUTE(  INDEX(   $A$1:$AJ$39, MATCH($A325,$A$1:$A$39,0),MATCH(  U$322,$A$1:$AP$1,0  )  ),"-","")  )  ),  CONCATENATE(  $A325,"(",   SUBSTITUTE(   SUBSTITUTE(  SUBSTITUTE(  INDEX(   $A$1:$AJ$39, MATCH($A325,$A$1:$A$39,0),MATCH(  U$322,$A$322:$AP$322,0  )  ),"病",""),"x","")," ",""),"時",")"),  ""  )  ),  IF(  AND(  LEN(  INDEX(   $A$1:$AJ$39, MATCH($A325,$A$1:$A$39,0),MATCH(  U$322,$A$1:$AP$1,0  )  )  )&gt;LEN(  SUBSTITUTE(  INDEX(   $A$1:$AJ$39, MATCH($A325,$A$1:$A$39,0),MATCH(  U$322,$A$1:$AP$1,0  )  ),"病","")  ),  LEN(  INDEX(   $A$1:$AJ$39, MATCH($A325,$A$1:$A$39,0),MATCH(  U$322,$A$1:$AP$1,0  )  )  )&gt;LEN(  SUBSTITUTE(  INDEX(   $A$1:$AJ$39, MATCH($A325,$A$1:$A$39,0),MATCH(  U$322,$A$1:$AP$1,0  )  ),"-","")  )  ),  CONCATENATE(  $A325,"(",   SUBSTITUTE(   SUBSTITUTE(  SUBSTITUTE(  INDEX(   $A$1:$AJ$39, MATCH($A325,$A$1:$A$39,0),MATCH(  U$322,$A$322:$AP$322,0  )  ),"病",""),"x","")," ",""),"時",")"),  ""  )  )           ))</f>
        <v/>
      </c>
      <c r="V325" s="66" t="str">
        <f t="shared" ref="V325:V357" si="206">IF(    AND( V4="病",  LEN(V324)&gt;=2 ),        "." &amp; $A325,    IF(         AND( V4="病" ),       $A325,        IF(  OR(  LEN(V324)&gt;=2  ),  CONCATENATE(  ".",  IF(  AND(  LEN(  INDEX(   $A$1:$AJ$39, MATCH($A325,$A$1:$A$39,0),MATCH(  V$322,$A$1:$AP$1,0  )  )  )&gt;LEN(  SUBSTITUTE(  INDEX(   $A$1:$AJ$39, MATCH($A325,$A$1:$A$39,0),MATCH(  V$322,$A$1:$AP$1,0  )  ),"病","")  ),  LEN(  INDEX(   $A$1:$AJ$39, MATCH($A325,$A$1:$A$39,0),MATCH(  V$322,$A$1:$AP$1,0  )  )  )&gt;LEN(  SUBSTITUTE(  INDEX(   $A$1:$AJ$39, MATCH($A325,$A$1:$A$39,0),MATCH(  V$322,$A$1:$AP$1,0  )  ),"-","")  )  ),  CONCATENATE(  $A325,"(",   SUBSTITUTE(   SUBSTITUTE(  SUBSTITUTE(  INDEX(   $A$1:$AJ$39, MATCH($A325,$A$1:$A$39,0),MATCH(  V$322,$A$322:$AP$322,0  )  ),"病",""),"x","")," ",""),"時",")"),  ""  )  ),  IF(  AND(  LEN(  INDEX(   $A$1:$AJ$39, MATCH($A325,$A$1:$A$39,0),MATCH(  V$322,$A$1:$AP$1,0  )  )  )&gt;LEN(  SUBSTITUTE(  INDEX(   $A$1:$AJ$39, MATCH($A325,$A$1:$A$39,0),MATCH(  V$322,$A$1:$AP$1,0  )  ),"病","")  ),  LEN(  INDEX(   $A$1:$AJ$39, MATCH($A325,$A$1:$A$39,0),MATCH(  V$322,$A$1:$AP$1,0  )  )  )&gt;LEN(  SUBSTITUTE(  INDEX(   $A$1:$AJ$39, MATCH($A325,$A$1:$A$39,0),MATCH(  V$322,$A$1:$AP$1,0  )  ),"-","")  )  ),  CONCATENATE(  $A325,"(",   SUBSTITUTE(   SUBSTITUTE(  SUBSTITUTE(  INDEX(   $A$1:$AJ$39, MATCH($A325,$A$1:$A$39,0),MATCH(  V$322,$A$322:$AP$322,0  )  ),"病",""),"x","")," ",""),"時",")"),  ""  )  )           ))</f>
        <v/>
      </c>
      <c r="W325" s="66" t="str">
        <f t="shared" ref="W325:W357" si="207">IF(    AND( W4="病",  LEN(W324)&gt;=2 ),        "." &amp; $A325,    IF(         AND( W4="病" ),       $A325,        IF(  OR(  LEN(W324)&gt;=2  ),  CONCATENATE(  ".",  IF(  AND(  LEN(  INDEX(   $A$1:$AJ$39, MATCH($A325,$A$1:$A$39,0),MATCH(  W$322,$A$1:$AP$1,0  )  )  )&gt;LEN(  SUBSTITUTE(  INDEX(   $A$1:$AJ$39, MATCH($A325,$A$1:$A$39,0),MATCH(  W$322,$A$1:$AP$1,0  )  ),"病","")  ),  LEN(  INDEX(   $A$1:$AJ$39, MATCH($A325,$A$1:$A$39,0),MATCH(  W$322,$A$1:$AP$1,0  )  )  )&gt;LEN(  SUBSTITUTE(  INDEX(   $A$1:$AJ$39, MATCH($A325,$A$1:$A$39,0),MATCH(  W$322,$A$1:$AP$1,0  )  ),"-","")  )  ),  CONCATENATE(  $A325,"(",   SUBSTITUTE(   SUBSTITUTE(  SUBSTITUTE(  INDEX(   $A$1:$AJ$39, MATCH($A325,$A$1:$A$39,0),MATCH(  W$322,$A$322:$AP$322,0  )  ),"病",""),"x","")," ",""),"時",")"),  ""  )  ),  IF(  AND(  LEN(  INDEX(   $A$1:$AJ$39, MATCH($A325,$A$1:$A$39,0),MATCH(  W$322,$A$1:$AP$1,0  )  )  )&gt;LEN(  SUBSTITUTE(  INDEX(   $A$1:$AJ$39, MATCH($A325,$A$1:$A$39,0),MATCH(  W$322,$A$1:$AP$1,0  )  ),"病","")  ),  LEN(  INDEX(   $A$1:$AJ$39, MATCH($A325,$A$1:$A$39,0),MATCH(  W$322,$A$1:$AP$1,0  )  )  )&gt;LEN(  SUBSTITUTE(  INDEX(   $A$1:$AJ$39, MATCH($A325,$A$1:$A$39,0),MATCH(  W$322,$A$1:$AP$1,0  )  ),"-","")  )  ),  CONCATENATE(  $A325,"(",   SUBSTITUTE(   SUBSTITUTE(  SUBSTITUTE(  INDEX(   $A$1:$AJ$39, MATCH($A325,$A$1:$A$39,0),MATCH(  W$322,$A$322:$AP$322,0  )  ),"病",""),"x","")," ",""),"時",")"),  ""  )  )           ))</f>
        <v/>
      </c>
      <c r="X325" s="66" t="str">
        <f t="shared" ref="X325:X357" si="208">IF(    AND( X4="病",  LEN(X324)&gt;=2 ),        "." &amp; $A325,    IF(         AND( X4="病" ),       $A325,        IF(  OR(  LEN(X324)&gt;=2  ),  CONCATENATE(  ".",  IF(  AND(  LEN(  INDEX(   $A$1:$AJ$39, MATCH($A325,$A$1:$A$39,0),MATCH(  X$322,$A$1:$AP$1,0  )  )  )&gt;LEN(  SUBSTITUTE(  INDEX(   $A$1:$AJ$39, MATCH($A325,$A$1:$A$39,0),MATCH(  X$322,$A$1:$AP$1,0  )  ),"病","")  ),  LEN(  INDEX(   $A$1:$AJ$39, MATCH($A325,$A$1:$A$39,0),MATCH(  X$322,$A$1:$AP$1,0  )  )  )&gt;LEN(  SUBSTITUTE(  INDEX(   $A$1:$AJ$39, MATCH($A325,$A$1:$A$39,0),MATCH(  X$322,$A$1:$AP$1,0  )  ),"-","")  )  ),  CONCATENATE(  $A325,"(",   SUBSTITUTE(   SUBSTITUTE(  SUBSTITUTE(  INDEX(   $A$1:$AJ$39, MATCH($A325,$A$1:$A$39,0),MATCH(  X$322,$A$322:$AP$322,0  )  ),"病",""),"x","")," ",""),"時",")"),  ""  )  ),  IF(  AND(  LEN(  INDEX(   $A$1:$AJ$39, MATCH($A325,$A$1:$A$39,0),MATCH(  X$322,$A$1:$AP$1,0  )  )  )&gt;LEN(  SUBSTITUTE(  INDEX(   $A$1:$AJ$39, MATCH($A325,$A$1:$A$39,0),MATCH(  X$322,$A$1:$AP$1,0  )  ),"病","")  ),  LEN(  INDEX(   $A$1:$AJ$39, MATCH($A325,$A$1:$A$39,0),MATCH(  X$322,$A$1:$AP$1,0  )  )  )&gt;LEN(  SUBSTITUTE(  INDEX(   $A$1:$AJ$39, MATCH($A325,$A$1:$A$39,0),MATCH(  X$322,$A$1:$AP$1,0  )  ),"-","")  )  ),  CONCATENATE(  $A325,"(",   SUBSTITUTE(   SUBSTITUTE(  SUBSTITUTE(  INDEX(   $A$1:$AJ$39, MATCH($A325,$A$1:$A$39,0),MATCH(  X$322,$A$322:$AP$322,0  )  ),"病",""),"x","")," ",""),"時",")"),  ""  )  )           ))</f>
        <v/>
      </c>
      <c r="Y325" s="66" t="str">
        <f t="shared" ref="Y325:Y357" si="209">IF(    AND( Y4="病",  LEN(Y324)&gt;=2 ),        "." &amp; $A325,    IF(         AND( Y4="病" ),       $A325,        IF(  OR(  LEN(Y324)&gt;=2  ),  CONCATENATE(  ".",  IF(  AND(  LEN(  INDEX(   $A$1:$AJ$39, MATCH($A325,$A$1:$A$39,0),MATCH(  Y$322,$A$1:$AP$1,0  )  )  )&gt;LEN(  SUBSTITUTE(  INDEX(   $A$1:$AJ$39, MATCH($A325,$A$1:$A$39,0),MATCH(  Y$322,$A$1:$AP$1,0  )  ),"病","")  ),  LEN(  INDEX(   $A$1:$AJ$39, MATCH($A325,$A$1:$A$39,0),MATCH(  Y$322,$A$1:$AP$1,0  )  )  )&gt;LEN(  SUBSTITUTE(  INDEX(   $A$1:$AJ$39, MATCH($A325,$A$1:$A$39,0),MATCH(  Y$322,$A$1:$AP$1,0  )  ),"-","")  )  ),  CONCATENATE(  $A325,"(",   SUBSTITUTE(   SUBSTITUTE(  SUBSTITUTE(  INDEX(   $A$1:$AJ$39, MATCH($A325,$A$1:$A$39,0),MATCH(  Y$322,$A$322:$AP$322,0  )  ),"病",""),"x","")," ",""),"時",")"),  ""  )  ),  IF(  AND(  LEN(  INDEX(   $A$1:$AJ$39, MATCH($A325,$A$1:$A$39,0),MATCH(  Y$322,$A$1:$AP$1,0  )  )  )&gt;LEN(  SUBSTITUTE(  INDEX(   $A$1:$AJ$39, MATCH($A325,$A$1:$A$39,0),MATCH(  Y$322,$A$1:$AP$1,0  )  ),"病","")  ),  LEN(  INDEX(   $A$1:$AJ$39, MATCH($A325,$A$1:$A$39,0),MATCH(  Y$322,$A$1:$AP$1,0  )  )  )&gt;LEN(  SUBSTITUTE(  INDEX(   $A$1:$AJ$39, MATCH($A325,$A$1:$A$39,0),MATCH(  Y$322,$A$1:$AP$1,0  )  ),"-","")  )  ),  CONCATENATE(  $A325,"(",   SUBSTITUTE(   SUBSTITUTE(  SUBSTITUTE(  INDEX(   $A$1:$AJ$39, MATCH($A325,$A$1:$A$39,0),MATCH(  Y$322,$A$322:$AP$322,0  )  ),"病",""),"x","")," ",""),"時",")"),  ""  )  )           ))</f>
        <v/>
      </c>
      <c r="Z325" s="66" t="str">
        <f t="shared" ref="Z325:Z357" si="210">IF(    AND( Z4="病",  LEN(Z324)&gt;=2 ),        "." &amp; $A325,    IF(         AND( Z4="病" ),       $A325,        IF(  OR(  LEN(Z324)&gt;=2  ),  CONCATENATE(  ".",  IF(  AND(  LEN(  INDEX(   $A$1:$AJ$39, MATCH($A325,$A$1:$A$39,0),MATCH(  Z$322,$A$1:$AP$1,0  )  )  )&gt;LEN(  SUBSTITUTE(  INDEX(   $A$1:$AJ$39, MATCH($A325,$A$1:$A$39,0),MATCH(  Z$322,$A$1:$AP$1,0  )  ),"病","")  ),  LEN(  INDEX(   $A$1:$AJ$39, MATCH($A325,$A$1:$A$39,0),MATCH(  Z$322,$A$1:$AP$1,0  )  )  )&gt;LEN(  SUBSTITUTE(  INDEX(   $A$1:$AJ$39, MATCH($A325,$A$1:$A$39,0),MATCH(  Z$322,$A$1:$AP$1,0  )  ),"-","")  )  ),  CONCATENATE(  $A325,"(",   SUBSTITUTE(   SUBSTITUTE(  SUBSTITUTE(  INDEX(   $A$1:$AJ$39, MATCH($A325,$A$1:$A$39,0),MATCH(  Z$322,$A$322:$AP$322,0  )  ),"病",""),"x","")," ",""),"時",")"),  ""  )  ),  IF(  AND(  LEN(  INDEX(   $A$1:$AJ$39, MATCH($A325,$A$1:$A$39,0),MATCH(  Z$322,$A$1:$AP$1,0  )  )  )&gt;LEN(  SUBSTITUTE(  INDEX(   $A$1:$AJ$39, MATCH($A325,$A$1:$A$39,0),MATCH(  Z$322,$A$1:$AP$1,0  )  ),"病","")  ),  LEN(  INDEX(   $A$1:$AJ$39, MATCH($A325,$A$1:$A$39,0),MATCH(  Z$322,$A$1:$AP$1,0  )  )  )&gt;LEN(  SUBSTITUTE(  INDEX(   $A$1:$AJ$39, MATCH($A325,$A$1:$A$39,0),MATCH(  Z$322,$A$1:$AP$1,0  )  ),"-","")  )  ),  CONCATENATE(  $A325,"(",   SUBSTITUTE(   SUBSTITUTE(  SUBSTITUTE(  INDEX(   $A$1:$AJ$39, MATCH($A325,$A$1:$A$39,0),MATCH(  Z$322,$A$322:$AP$322,0  )  ),"病",""),"x","")," ",""),"時",")"),  ""  )  )           ))</f>
        <v/>
      </c>
      <c r="AA325" s="66" t="str">
        <f t="shared" ref="AA325:AA357" si="211">IF(    AND( AA4="病",  LEN(AA324)&gt;=2 ),        "." &amp; $A325,    IF(         AND( AA4="病" ),       $A325,        IF(  OR(  LEN(AA324)&gt;=2  ),  CONCATENATE(  ".",  IF(  AND(  LEN(  INDEX(   $A$1:$AJ$39, MATCH($A325,$A$1:$A$39,0),MATCH(  AA$322,$A$1:$AP$1,0  )  )  )&gt;LEN(  SUBSTITUTE(  INDEX(   $A$1:$AJ$39, MATCH($A325,$A$1:$A$39,0),MATCH(  AA$322,$A$1:$AP$1,0  )  ),"病","")  ),  LEN(  INDEX(   $A$1:$AJ$39, MATCH($A325,$A$1:$A$39,0),MATCH(  AA$322,$A$1:$AP$1,0  )  )  )&gt;LEN(  SUBSTITUTE(  INDEX(   $A$1:$AJ$39, MATCH($A325,$A$1:$A$39,0),MATCH(  AA$322,$A$1:$AP$1,0  )  ),"-","")  )  ),  CONCATENATE(  $A325,"(",   SUBSTITUTE(   SUBSTITUTE(  SUBSTITUTE(  INDEX(   $A$1:$AJ$39, MATCH($A325,$A$1:$A$39,0),MATCH(  AA$322,$A$322:$AP$322,0  )  ),"病",""),"x","")," ",""),"時",")"),  ""  )  ),  IF(  AND(  LEN(  INDEX(   $A$1:$AJ$39, MATCH($A325,$A$1:$A$39,0),MATCH(  AA$322,$A$1:$AP$1,0  )  )  )&gt;LEN(  SUBSTITUTE(  INDEX(   $A$1:$AJ$39, MATCH($A325,$A$1:$A$39,0),MATCH(  AA$322,$A$1:$AP$1,0  )  ),"病","")  ),  LEN(  INDEX(   $A$1:$AJ$39, MATCH($A325,$A$1:$A$39,0),MATCH(  AA$322,$A$1:$AP$1,0  )  )  )&gt;LEN(  SUBSTITUTE(  INDEX(   $A$1:$AJ$39, MATCH($A325,$A$1:$A$39,0),MATCH(  AA$322,$A$1:$AP$1,0  )  ),"-","")  )  ),  CONCATENATE(  $A325,"(",   SUBSTITUTE(   SUBSTITUTE(  SUBSTITUTE(  INDEX(   $A$1:$AJ$39, MATCH($A325,$A$1:$A$39,0),MATCH(  AA$322,$A$322:$AP$322,0  )  ),"病",""),"x","")," ",""),"時",")"),  ""  )  )           ))</f>
        <v/>
      </c>
      <c r="AB325" s="66" t="str">
        <f t="shared" ref="AB325:AB357" si="212">IF(    AND( AB4="病",  LEN(AB324)&gt;=2 ),        "." &amp; $A325,    IF(         AND( AB4="病" ),       $A325,        IF(  OR(  LEN(AB324)&gt;=2  ),  CONCATENATE(  ".",  IF(  AND(  LEN(  INDEX(   $A$1:$AJ$39, MATCH($A325,$A$1:$A$39,0),MATCH(  AB$322,$A$1:$AP$1,0  )  )  )&gt;LEN(  SUBSTITUTE(  INDEX(   $A$1:$AJ$39, MATCH($A325,$A$1:$A$39,0),MATCH(  AB$322,$A$1:$AP$1,0  )  ),"病","")  ),  LEN(  INDEX(   $A$1:$AJ$39, MATCH($A325,$A$1:$A$39,0),MATCH(  AB$322,$A$1:$AP$1,0  )  )  )&gt;LEN(  SUBSTITUTE(  INDEX(   $A$1:$AJ$39, MATCH($A325,$A$1:$A$39,0),MATCH(  AB$322,$A$1:$AP$1,0  )  ),"-","")  )  ),  CONCATENATE(  $A325,"(",   SUBSTITUTE(   SUBSTITUTE(  SUBSTITUTE(  INDEX(   $A$1:$AJ$39, MATCH($A325,$A$1:$A$39,0),MATCH(  AB$322,$A$322:$AP$322,0  )  ),"病",""),"x","")," ",""),"時",")"),  ""  )  ),  IF(  AND(  LEN(  INDEX(   $A$1:$AJ$39, MATCH($A325,$A$1:$A$39,0),MATCH(  AB$322,$A$1:$AP$1,0  )  )  )&gt;LEN(  SUBSTITUTE(  INDEX(   $A$1:$AJ$39, MATCH($A325,$A$1:$A$39,0),MATCH(  AB$322,$A$1:$AP$1,0  )  ),"病","")  ),  LEN(  INDEX(   $A$1:$AJ$39, MATCH($A325,$A$1:$A$39,0),MATCH(  AB$322,$A$1:$AP$1,0  )  )  )&gt;LEN(  SUBSTITUTE(  INDEX(   $A$1:$AJ$39, MATCH($A325,$A$1:$A$39,0),MATCH(  AB$322,$A$1:$AP$1,0  )  ),"-","")  )  ),  CONCATENATE(  $A325,"(",   SUBSTITUTE(   SUBSTITUTE(  SUBSTITUTE(  INDEX(   $A$1:$AJ$39, MATCH($A325,$A$1:$A$39,0),MATCH(  AB$322,$A$322:$AP$322,0  )  ),"病",""),"x","")," ",""),"時",")"),  ""  )  )           ))</f>
        <v/>
      </c>
      <c r="AC325" s="66" t="str">
        <f t="shared" ref="AC325:AC357" si="213">IF(    AND( AC4="病",  LEN(AC324)&gt;=2 ),        "." &amp; $A325,    IF(         AND( AC4="病" ),       $A325,        IF(  OR(  LEN(AC324)&gt;=2  ),  CONCATENATE(  ".",  IF(  AND(  LEN(  INDEX(   $A$1:$AJ$39, MATCH($A325,$A$1:$A$39,0),MATCH(  AC$322,$A$1:$AP$1,0  )  )  )&gt;LEN(  SUBSTITUTE(  INDEX(   $A$1:$AJ$39, MATCH($A325,$A$1:$A$39,0),MATCH(  AC$322,$A$1:$AP$1,0  )  ),"病","")  ),  LEN(  INDEX(   $A$1:$AJ$39, MATCH($A325,$A$1:$A$39,0),MATCH(  AC$322,$A$1:$AP$1,0  )  )  )&gt;LEN(  SUBSTITUTE(  INDEX(   $A$1:$AJ$39, MATCH($A325,$A$1:$A$39,0),MATCH(  AC$322,$A$1:$AP$1,0  )  ),"-","")  )  ),  CONCATENATE(  $A325,"(",   SUBSTITUTE(   SUBSTITUTE(  SUBSTITUTE(  INDEX(   $A$1:$AJ$39, MATCH($A325,$A$1:$A$39,0),MATCH(  AC$322,$A$322:$AP$322,0  )  ),"病",""),"x","")," ",""),"時",")"),  ""  )  ),  IF(  AND(  LEN(  INDEX(   $A$1:$AJ$39, MATCH($A325,$A$1:$A$39,0),MATCH(  AC$322,$A$1:$AP$1,0  )  )  )&gt;LEN(  SUBSTITUTE(  INDEX(   $A$1:$AJ$39, MATCH($A325,$A$1:$A$39,0),MATCH(  AC$322,$A$1:$AP$1,0  )  ),"病","")  ),  LEN(  INDEX(   $A$1:$AJ$39, MATCH($A325,$A$1:$A$39,0),MATCH(  AC$322,$A$1:$AP$1,0  )  )  )&gt;LEN(  SUBSTITUTE(  INDEX(   $A$1:$AJ$39, MATCH($A325,$A$1:$A$39,0),MATCH(  AC$322,$A$1:$AP$1,0  )  ),"-","")  )  ),  CONCATENATE(  $A325,"(",   SUBSTITUTE(   SUBSTITUTE(  SUBSTITUTE(  INDEX(   $A$1:$AJ$39, MATCH($A325,$A$1:$A$39,0),MATCH(  AC$322,$A$322:$AP$322,0  )  ),"病",""),"x","")," ",""),"時",")"),  ""  )  )           ))</f>
        <v/>
      </c>
      <c r="AD325" s="66" t="str">
        <f t="shared" ref="AD325:AD357" si="214">IF(    AND( AD4="病",  LEN(AD324)&gt;=2 ),        "." &amp; $A325,    IF(         AND( AD4="病" ),       $A325,        IF(  OR(  LEN(AD324)&gt;=2  ),  CONCATENATE(  ".",  IF(  AND(  LEN(  INDEX(   $A$1:$AJ$39, MATCH($A325,$A$1:$A$39,0),MATCH(  AD$322,$A$1:$AP$1,0  )  )  )&gt;LEN(  SUBSTITUTE(  INDEX(   $A$1:$AJ$39, MATCH($A325,$A$1:$A$39,0),MATCH(  AD$322,$A$1:$AP$1,0  )  ),"病","")  ),  LEN(  INDEX(   $A$1:$AJ$39, MATCH($A325,$A$1:$A$39,0),MATCH(  AD$322,$A$1:$AP$1,0  )  )  )&gt;LEN(  SUBSTITUTE(  INDEX(   $A$1:$AJ$39, MATCH($A325,$A$1:$A$39,0),MATCH(  AD$322,$A$1:$AP$1,0  )  ),"-","")  )  ),  CONCATENATE(  $A325,"(",   SUBSTITUTE(   SUBSTITUTE(  SUBSTITUTE(  INDEX(   $A$1:$AJ$39, MATCH($A325,$A$1:$A$39,0),MATCH(  AD$322,$A$322:$AP$322,0  )  ),"病",""),"x","")," ",""),"時",")"),  ""  )  ),  IF(  AND(  LEN(  INDEX(   $A$1:$AJ$39, MATCH($A325,$A$1:$A$39,0),MATCH(  AD$322,$A$1:$AP$1,0  )  )  )&gt;LEN(  SUBSTITUTE(  INDEX(   $A$1:$AJ$39, MATCH($A325,$A$1:$A$39,0),MATCH(  AD$322,$A$1:$AP$1,0  )  ),"病","")  ),  LEN(  INDEX(   $A$1:$AJ$39, MATCH($A325,$A$1:$A$39,0),MATCH(  AD$322,$A$1:$AP$1,0  )  )  )&gt;LEN(  SUBSTITUTE(  INDEX(   $A$1:$AJ$39, MATCH($A325,$A$1:$A$39,0),MATCH(  AD$322,$A$1:$AP$1,0  )  ),"-","")  )  ),  CONCATENATE(  $A325,"(",   SUBSTITUTE(   SUBSTITUTE(  SUBSTITUTE(  INDEX(   $A$1:$AJ$39, MATCH($A325,$A$1:$A$39,0),MATCH(  AD$322,$A$322:$AP$322,0  )  ),"病",""),"x","")," ",""),"時",")"),  ""  )  )           ))</f>
        <v/>
      </c>
      <c r="AE325" s="66" t="str">
        <f t="shared" ref="AE325:AE357" si="215">IF(    AND( AE4="病",  LEN(AE324)&gt;=2 ),        "." &amp; $A325,    IF(         AND( AE4="病" ),       $A325,        IF(  OR(  LEN(AE324)&gt;=2  ),  CONCATENATE(  ".",  IF(  AND(  LEN(  INDEX(   $A$1:$AJ$39, MATCH($A325,$A$1:$A$39,0),MATCH(  AE$322,$A$1:$AP$1,0  )  )  )&gt;LEN(  SUBSTITUTE(  INDEX(   $A$1:$AJ$39, MATCH($A325,$A$1:$A$39,0),MATCH(  AE$322,$A$1:$AP$1,0  )  ),"病","")  ),  LEN(  INDEX(   $A$1:$AJ$39, MATCH($A325,$A$1:$A$39,0),MATCH(  AE$322,$A$1:$AP$1,0  )  )  )&gt;LEN(  SUBSTITUTE(  INDEX(   $A$1:$AJ$39, MATCH($A325,$A$1:$A$39,0),MATCH(  AE$322,$A$1:$AP$1,0  )  ),"-","")  )  ),  CONCATENATE(  $A325,"(",   SUBSTITUTE(   SUBSTITUTE(  SUBSTITUTE(  INDEX(   $A$1:$AJ$39, MATCH($A325,$A$1:$A$39,0),MATCH(  AE$322,$A$322:$AP$322,0  )  ),"病",""),"x","")," ",""),"時",")"),  ""  )  ),  IF(  AND(  LEN(  INDEX(   $A$1:$AJ$39, MATCH($A325,$A$1:$A$39,0),MATCH(  AE$322,$A$1:$AP$1,0  )  )  )&gt;LEN(  SUBSTITUTE(  INDEX(   $A$1:$AJ$39, MATCH($A325,$A$1:$A$39,0),MATCH(  AE$322,$A$1:$AP$1,0  )  ),"病","")  ),  LEN(  INDEX(   $A$1:$AJ$39, MATCH($A325,$A$1:$A$39,0),MATCH(  AE$322,$A$1:$AP$1,0  )  )  )&gt;LEN(  SUBSTITUTE(  INDEX(   $A$1:$AJ$39, MATCH($A325,$A$1:$A$39,0),MATCH(  AE$322,$A$1:$AP$1,0  )  ),"-","")  )  ),  CONCATENATE(  $A325,"(",   SUBSTITUTE(   SUBSTITUTE(  SUBSTITUTE(  INDEX(   $A$1:$AJ$39, MATCH($A325,$A$1:$A$39,0),MATCH(  AE$322,$A$322:$AP$322,0  )  ),"病",""),"x","")," ",""),"時",")"),  ""  )  )           ))</f>
        <v/>
      </c>
      <c r="AF325" s="66" t="str">
        <f t="shared" ref="AF325:AF357" si="216">IF(    AND( AF4="病",  LEN(AF324)&gt;=2 ),        "." &amp; $A325,    IF(         AND( AF4="病" ),       $A325,        IF(  OR(  LEN(AF324)&gt;=2  ),  CONCATENATE(  ".",  IF(  AND(  LEN(  INDEX(   $A$1:$AJ$39, MATCH($A325,$A$1:$A$39,0),MATCH(  AF$322,$A$1:$AP$1,0  )  )  )&gt;LEN(  SUBSTITUTE(  INDEX(   $A$1:$AJ$39, MATCH($A325,$A$1:$A$39,0),MATCH(  AF$322,$A$1:$AP$1,0  )  ),"病","")  ),  LEN(  INDEX(   $A$1:$AJ$39, MATCH($A325,$A$1:$A$39,0),MATCH(  AF$322,$A$1:$AP$1,0  )  )  )&gt;LEN(  SUBSTITUTE(  INDEX(   $A$1:$AJ$39, MATCH($A325,$A$1:$A$39,0),MATCH(  AF$322,$A$1:$AP$1,0  )  ),"-","")  )  ),  CONCATENATE(  $A325,"(",   SUBSTITUTE(   SUBSTITUTE(  SUBSTITUTE(  INDEX(   $A$1:$AJ$39, MATCH($A325,$A$1:$A$39,0),MATCH(  AF$322,$A$322:$AP$322,0  )  ),"病",""),"x","")," ",""),"時",")"),  ""  )  ),  IF(  AND(  LEN(  INDEX(   $A$1:$AJ$39, MATCH($A325,$A$1:$A$39,0),MATCH(  AF$322,$A$1:$AP$1,0  )  )  )&gt;LEN(  SUBSTITUTE(  INDEX(   $A$1:$AJ$39, MATCH($A325,$A$1:$A$39,0),MATCH(  AF$322,$A$1:$AP$1,0  )  ),"病","")  ),  LEN(  INDEX(   $A$1:$AJ$39, MATCH($A325,$A$1:$A$39,0),MATCH(  AF$322,$A$1:$AP$1,0  )  )  )&gt;LEN(  SUBSTITUTE(  INDEX(   $A$1:$AJ$39, MATCH($A325,$A$1:$A$39,0),MATCH(  AF$322,$A$1:$AP$1,0  )  ),"-","")  )  ),  CONCATENATE(  $A325,"(",   SUBSTITUTE(   SUBSTITUTE(  SUBSTITUTE(  INDEX(   $A$1:$AJ$39, MATCH($A325,$A$1:$A$39,0),MATCH(  AF$322,$A$322:$AP$322,0  )  ),"病",""),"x","")," ",""),"時",")"),  ""  )  )           ))</f>
        <v/>
      </c>
      <c r="AG325" s="66" t="str">
        <f t="shared" ref="AG325:AG357" si="217">IF(    AND( AG4="病",  LEN(AG324)&gt;=2 ),        "." &amp; $A325,    IF(         AND( AG4="病" ),       $A325,        IF(  OR(  LEN(AG324)&gt;=2  ),  CONCATENATE(  ".",  IF(  AND(  LEN(  INDEX(   $A$1:$AJ$39, MATCH($A325,$A$1:$A$39,0),MATCH(  AG$322,$A$1:$AP$1,0  )  )  )&gt;LEN(  SUBSTITUTE(  INDEX(   $A$1:$AJ$39, MATCH($A325,$A$1:$A$39,0),MATCH(  AG$322,$A$1:$AP$1,0  )  ),"病","")  ),  LEN(  INDEX(   $A$1:$AJ$39, MATCH($A325,$A$1:$A$39,0),MATCH(  AG$322,$A$1:$AP$1,0  )  )  )&gt;LEN(  SUBSTITUTE(  INDEX(   $A$1:$AJ$39, MATCH($A325,$A$1:$A$39,0),MATCH(  AG$322,$A$1:$AP$1,0  )  ),"-","")  )  ),  CONCATENATE(  $A325,"(",   SUBSTITUTE(   SUBSTITUTE(  SUBSTITUTE(  INDEX(   $A$1:$AJ$39, MATCH($A325,$A$1:$A$39,0),MATCH(  AG$322,$A$322:$AP$322,0  )  ),"病",""),"x","")," ",""),"時",")"),  ""  )  ),  IF(  AND(  LEN(  INDEX(   $A$1:$AJ$39, MATCH($A325,$A$1:$A$39,0),MATCH(  AG$322,$A$1:$AP$1,0  )  )  )&gt;LEN(  SUBSTITUTE(  INDEX(   $A$1:$AJ$39, MATCH($A325,$A$1:$A$39,0),MATCH(  AG$322,$A$1:$AP$1,0  )  ),"病","")  ),  LEN(  INDEX(   $A$1:$AJ$39, MATCH($A325,$A$1:$A$39,0),MATCH(  AG$322,$A$1:$AP$1,0  )  )  )&gt;LEN(  SUBSTITUTE(  INDEX(   $A$1:$AJ$39, MATCH($A325,$A$1:$A$39,0),MATCH(  AG$322,$A$1:$AP$1,0  )  ),"-","")  )  ),  CONCATENATE(  $A325,"(",   SUBSTITUTE(   SUBSTITUTE(  SUBSTITUTE(  INDEX(   $A$1:$AJ$39, MATCH($A325,$A$1:$A$39,0),MATCH(  AG$322,$A$322:$AP$322,0  )  ),"病",""),"x","")," ",""),"時",")"),  ""  )  )           ))</f>
        <v/>
      </c>
      <c r="AH325" s="66" t="str">
        <f t="shared" ref="AH325:AH357" si="218">IF(    AND( AH4="病",  LEN(AH324)&gt;=2 ),        "." &amp; $A325,    IF(         AND( AH4="病" ),       $A325,        IF(  OR(  LEN(AH324)&gt;=2  ),  CONCATENATE(  ".",  IF(  AND(  LEN(  INDEX(   $A$1:$AJ$39, MATCH($A325,$A$1:$A$39,0),MATCH(  AH$322,$A$1:$AP$1,0  )  )  )&gt;LEN(  SUBSTITUTE(  INDEX(   $A$1:$AJ$39, MATCH($A325,$A$1:$A$39,0),MATCH(  AH$322,$A$1:$AP$1,0  )  ),"病","")  ),  LEN(  INDEX(   $A$1:$AJ$39, MATCH($A325,$A$1:$A$39,0),MATCH(  AH$322,$A$1:$AP$1,0  )  )  )&gt;LEN(  SUBSTITUTE(  INDEX(   $A$1:$AJ$39, MATCH($A325,$A$1:$A$39,0),MATCH(  AH$322,$A$1:$AP$1,0  )  ),"-","")  )  ),  CONCATENATE(  $A325,"(",   SUBSTITUTE(   SUBSTITUTE(  SUBSTITUTE(  INDEX(   $A$1:$AJ$39, MATCH($A325,$A$1:$A$39,0),MATCH(  AH$322,$A$322:$AP$322,0  )  ),"病",""),"x","")," ",""),"時",")"),  ""  )  ),  IF(  AND(  LEN(  INDEX(   $A$1:$AJ$39, MATCH($A325,$A$1:$A$39,0),MATCH(  AH$322,$A$1:$AP$1,0  )  )  )&gt;LEN(  SUBSTITUTE(  INDEX(   $A$1:$AJ$39, MATCH($A325,$A$1:$A$39,0),MATCH(  AH$322,$A$1:$AP$1,0  )  ),"病","")  ),  LEN(  INDEX(   $A$1:$AJ$39, MATCH($A325,$A$1:$A$39,0),MATCH(  AH$322,$A$1:$AP$1,0  )  )  )&gt;LEN(  SUBSTITUTE(  INDEX(   $A$1:$AJ$39, MATCH($A325,$A$1:$A$39,0),MATCH(  AH$322,$A$1:$AP$1,0  )  ),"-","")  )  ),  CONCATENATE(  $A325,"(",   SUBSTITUTE(   SUBSTITUTE(  SUBSTITUTE(  INDEX(   $A$1:$AJ$39, MATCH($A325,$A$1:$A$39,0),MATCH(  AH$322,$A$322:$AP$322,0  )  ),"病",""),"x","")," ",""),"時",")"),  ""  )  )           ))</f>
        <v/>
      </c>
      <c r="AI325" s="66" t="str">
        <f t="shared" ref="AI325:AI357" si="219">IF(    AND( AI4="病",  LEN(AI324)&gt;=2 ),        "." &amp; $A325,    IF(         AND( AI4="病" ),       $A325,        IF(  OR(  LEN(AI324)&gt;=2  ),  CONCATENATE(  ".",  IF(  AND(  LEN(  INDEX(   $A$1:$AJ$39, MATCH($A325,$A$1:$A$39,0),MATCH(  AI$322,$A$1:$AP$1,0  )  )  )&gt;LEN(  SUBSTITUTE(  INDEX(   $A$1:$AJ$39, MATCH($A325,$A$1:$A$39,0),MATCH(  AI$322,$A$1:$AP$1,0  )  ),"病","")  ),  LEN(  INDEX(   $A$1:$AJ$39, MATCH($A325,$A$1:$A$39,0),MATCH(  AI$322,$A$1:$AP$1,0  )  )  )&gt;LEN(  SUBSTITUTE(  INDEX(   $A$1:$AJ$39, MATCH($A325,$A$1:$A$39,0),MATCH(  AI$322,$A$1:$AP$1,0  )  ),"-","")  )  ),  CONCATENATE(  $A325,"(",   SUBSTITUTE(   SUBSTITUTE(  SUBSTITUTE(  INDEX(   $A$1:$AJ$39, MATCH($A325,$A$1:$A$39,0),MATCH(  AI$322,$A$322:$AP$322,0  )  ),"病",""),"x","")," ",""),"時",")"),  ""  )  ),  IF(  AND(  LEN(  INDEX(   $A$1:$AJ$39, MATCH($A325,$A$1:$A$39,0),MATCH(  AI$322,$A$1:$AP$1,0  )  )  )&gt;LEN(  SUBSTITUTE(  INDEX(   $A$1:$AJ$39, MATCH($A325,$A$1:$A$39,0),MATCH(  AI$322,$A$1:$AP$1,0  )  ),"病","")  ),  LEN(  INDEX(   $A$1:$AJ$39, MATCH($A325,$A$1:$A$39,0),MATCH(  AI$322,$A$1:$AP$1,0  )  )  )&gt;LEN(  SUBSTITUTE(  INDEX(   $A$1:$AJ$39, MATCH($A325,$A$1:$A$39,0),MATCH(  AI$322,$A$1:$AP$1,0  )  ),"-","")  )  ),  CONCATENATE(  $A325,"(",   SUBSTITUTE(   SUBSTITUTE(  SUBSTITUTE(  INDEX(   $A$1:$AJ$39, MATCH($A325,$A$1:$A$39,0),MATCH(  AI$322,$A$322:$AP$322,0  )  ),"病",""),"x","")," ",""),"時",")"),  ""  )  )           ))</f>
        <v/>
      </c>
      <c r="AJ325" s="66" t="str">
        <f t="shared" ref="AJ325:AJ357" si="220">IF(    AND( AJ4="病",  LEN(AJ324)&gt;=2 ),        "." &amp; $A325,    IF(         AND( AJ4="病" ),       $A325,        IF(  OR(  LEN(AJ324)&gt;=2  ),  CONCATENATE(  ".",  IF(  AND(  LEN(  INDEX(   $A$1:$AJ$39, MATCH($A325,$A$1:$A$39,0),MATCH(  AJ$322,$A$1:$AP$1,0  )  )  )&gt;LEN(  SUBSTITUTE(  INDEX(   $A$1:$AJ$39, MATCH($A325,$A$1:$A$39,0),MATCH(  AJ$322,$A$1:$AP$1,0  )  ),"病","")  ),  LEN(  INDEX(   $A$1:$AJ$39, MATCH($A325,$A$1:$A$39,0),MATCH(  AJ$322,$A$1:$AP$1,0  )  )  )&gt;LEN(  SUBSTITUTE(  INDEX(   $A$1:$AJ$39, MATCH($A325,$A$1:$A$39,0),MATCH(  AJ$322,$A$1:$AP$1,0  )  ),"-","")  )  ),  CONCATENATE(  $A325,"(",   SUBSTITUTE(   SUBSTITUTE(  SUBSTITUTE(  INDEX(   $A$1:$AJ$39, MATCH($A325,$A$1:$A$39,0),MATCH(  AJ$322,$A$322:$AP$322,0  )  ),"病",""),"x","")," ",""),"時",")"),  ""  )  ),  IF(  AND(  LEN(  INDEX(   $A$1:$AJ$39, MATCH($A325,$A$1:$A$39,0),MATCH(  AJ$322,$A$1:$AP$1,0  )  )  )&gt;LEN(  SUBSTITUTE(  INDEX(   $A$1:$AJ$39, MATCH($A325,$A$1:$A$39,0),MATCH(  AJ$322,$A$1:$AP$1,0  )  ),"病","")  ),  LEN(  INDEX(   $A$1:$AJ$39, MATCH($A325,$A$1:$A$39,0),MATCH(  AJ$322,$A$1:$AP$1,0  )  )  )&gt;LEN(  SUBSTITUTE(  INDEX(   $A$1:$AJ$39, MATCH($A325,$A$1:$A$39,0),MATCH(  AJ$322,$A$1:$AP$1,0  )  ),"-","")  )  ),  CONCATENATE(  $A325,"(",   SUBSTITUTE(   SUBSTITUTE(  SUBSTITUTE(  INDEX(   $A$1:$AJ$39, MATCH($A325,$A$1:$A$39,0),MATCH(  AJ$322,$A$322:$AP$322,0  )  ),"病",""),"x","")," ",""),"時",")"),  ""  )  )           ))</f>
        <v/>
      </c>
    </row>
    <row r="326" spans="1:36">
      <c r="A326" s="66">
        <f t="shared" si="184"/>
        <v>4</v>
      </c>
      <c r="B326" s="66" t="str">
        <f t="shared" si="184"/>
        <v>鄭凱文</v>
      </c>
      <c r="C326" s="66" t="str">
        <f t="shared" si="186"/>
        <v/>
      </c>
      <c r="D326" s="66" t="str">
        <f t="shared" si="188"/>
        <v/>
      </c>
      <c r="E326" s="66" t="str">
        <f t="shared" si="189"/>
        <v/>
      </c>
      <c r="F326" s="66" t="str">
        <f t="shared" si="190"/>
        <v/>
      </c>
      <c r="G326" s="66" t="str">
        <f t="shared" si="191"/>
        <v/>
      </c>
      <c r="H326" s="66" t="str">
        <f t="shared" si="192"/>
        <v/>
      </c>
      <c r="I326" s="66" t="str">
        <f t="shared" si="193"/>
        <v/>
      </c>
      <c r="J326" s="66" t="str">
        <f t="shared" si="194"/>
        <v/>
      </c>
      <c r="K326" s="66" t="str">
        <f t="shared" si="195"/>
        <v/>
      </c>
      <c r="L326" s="66" t="str">
        <f t="shared" si="196"/>
        <v/>
      </c>
      <c r="M326" s="66" t="str">
        <f t="shared" si="197"/>
        <v/>
      </c>
      <c r="N326" s="66" t="str">
        <f t="shared" si="198"/>
        <v/>
      </c>
      <c r="O326" s="66" t="str">
        <f t="shared" si="199"/>
        <v/>
      </c>
      <c r="P326" s="66" t="str">
        <f t="shared" si="200"/>
        <v/>
      </c>
      <c r="Q326" s="66" t="str">
        <f t="shared" si="201"/>
        <v/>
      </c>
      <c r="R326" s="66" t="str">
        <f t="shared" si="202"/>
        <v/>
      </c>
      <c r="S326" s="66" t="str">
        <f t="shared" si="203"/>
        <v/>
      </c>
      <c r="T326" s="66" t="str">
        <f t="shared" si="204"/>
        <v/>
      </c>
      <c r="U326" s="66" t="str">
        <f t="shared" si="205"/>
        <v/>
      </c>
      <c r="V326" s="66" t="str">
        <f t="shared" si="206"/>
        <v/>
      </c>
      <c r="W326" s="66" t="str">
        <f t="shared" si="207"/>
        <v/>
      </c>
      <c r="X326" s="66" t="str">
        <f t="shared" si="208"/>
        <v/>
      </c>
      <c r="Y326" s="66" t="str">
        <f t="shared" si="209"/>
        <v/>
      </c>
      <c r="Z326" s="66" t="str">
        <f t="shared" si="210"/>
        <v/>
      </c>
      <c r="AA326" s="66" t="str">
        <f t="shared" si="211"/>
        <v/>
      </c>
      <c r="AB326" s="66" t="str">
        <f t="shared" si="212"/>
        <v/>
      </c>
      <c r="AC326" s="66" t="str">
        <f t="shared" si="213"/>
        <v/>
      </c>
      <c r="AD326" s="66" t="str">
        <f t="shared" si="214"/>
        <v/>
      </c>
      <c r="AE326" s="66" t="str">
        <f t="shared" si="215"/>
        <v/>
      </c>
      <c r="AF326" s="66" t="str">
        <f t="shared" si="216"/>
        <v/>
      </c>
      <c r="AG326" s="66" t="str">
        <f t="shared" si="217"/>
        <v/>
      </c>
      <c r="AH326" s="66" t="str">
        <f t="shared" si="218"/>
        <v/>
      </c>
      <c r="AI326" s="66" t="str">
        <f t="shared" si="219"/>
        <v/>
      </c>
      <c r="AJ326" s="66" t="str">
        <f t="shared" si="220"/>
        <v/>
      </c>
    </row>
    <row r="327" spans="1:36">
      <c r="A327" s="66">
        <f t="shared" si="184"/>
        <v>5</v>
      </c>
      <c r="B327" s="66" t="str">
        <f t="shared" si="184"/>
        <v>蔡政倫</v>
      </c>
      <c r="C327" s="66" t="str">
        <f t="shared" si="186"/>
        <v/>
      </c>
      <c r="D327" s="66" t="str">
        <f t="shared" si="188"/>
        <v/>
      </c>
      <c r="E327" s="66" t="str">
        <f t="shared" si="189"/>
        <v/>
      </c>
      <c r="F327" s="66" t="str">
        <f t="shared" si="190"/>
        <v/>
      </c>
      <c r="G327" s="66" t="str">
        <f t="shared" si="191"/>
        <v/>
      </c>
      <c r="H327" s="66" t="str">
        <f t="shared" si="192"/>
        <v/>
      </c>
      <c r="I327" s="66" t="str">
        <f t="shared" si="193"/>
        <v/>
      </c>
      <c r="J327" s="66" t="str">
        <f t="shared" si="194"/>
        <v/>
      </c>
      <c r="K327" s="66" t="str">
        <f t="shared" si="195"/>
        <v/>
      </c>
      <c r="L327" s="66" t="str">
        <f t="shared" si="196"/>
        <v/>
      </c>
      <c r="M327" s="66" t="str">
        <f t="shared" si="197"/>
        <v/>
      </c>
      <c r="N327" s="66" t="str">
        <f t="shared" si="198"/>
        <v/>
      </c>
      <c r="O327" s="66" t="str">
        <f t="shared" si="199"/>
        <v/>
      </c>
      <c r="P327" s="66" t="str">
        <f t="shared" si="200"/>
        <v/>
      </c>
      <c r="Q327" s="66" t="str">
        <f t="shared" si="201"/>
        <v/>
      </c>
      <c r="R327" s="66" t="str">
        <f t="shared" si="202"/>
        <v/>
      </c>
      <c r="S327" s="66" t="str">
        <f t="shared" si="203"/>
        <v/>
      </c>
      <c r="T327" s="66" t="str">
        <f t="shared" si="204"/>
        <v/>
      </c>
      <c r="U327" s="66" t="str">
        <f t="shared" si="205"/>
        <v/>
      </c>
      <c r="V327" s="66" t="str">
        <f t="shared" si="206"/>
        <v/>
      </c>
      <c r="W327" s="66" t="str">
        <f t="shared" si="207"/>
        <v/>
      </c>
      <c r="X327" s="66" t="str">
        <f t="shared" si="208"/>
        <v/>
      </c>
      <c r="Y327" s="66" t="str">
        <f t="shared" si="209"/>
        <v/>
      </c>
      <c r="Z327" s="66" t="str">
        <f t="shared" si="210"/>
        <v/>
      </c>
      <c r="AA327" s="66" t="str">
        <f t="shared" si="211"/>
        <v/>
      </c>
      <c r="AB327" s="66" t="str">
        <f t="shared" si="212"/>
        <v/>
      </c>
      <c r="AC327" s="66" t="str">
        <f t="shared" si="213"/>
        <v/>
      </c>
      <c r="AD327" s="66" t="str">
        <f t="shared" si="214"/>
        <v/>
      </c>
      <c r="AE327" s="66" t="str">
        <f t="shared" si="215"/>
        <v/>
      </c>
      <c r="AF327" s="66" t="str">
        <f t="shared" si="216"/>
        <v>5(06-22時)</v>
      </c>
      <c r="AG327" s="66" t="str">
        <f t="shared" si="217"/>
        <v>5(06-22時)</v>
      </c>
      <c r="AH327" s="66" t="str">
        <f t="shared" si="218"/>
        <v/>
      </c>
      <c r="AI327" s="66" t="str">
        <f t="shared" si="219"/>
        <v/>
      </c>
      <c r="AJ327" s="66" t="str">
        <f t="shared" si="220"/>
        <v/>
      </c>
    </row>
    <row r="328" spans="1:36">
      <c r="A328" s="66">
        <f t="shared" si="184"/>
        <v>6</v>
      </c>
      <c r="B328" s="66" t="str">
        <f t="shared" si="184"/>
        <v>邱昱銘</v>
      </c>
      <c r="C328" s="66" t="str">
        <f t="shared" si="186"/>
        <v/>
      </c>
      <c r="D328" s="66" t="str">
        <f t="shared" si="188"/>
        <v/>
      </c>
      <c r="E328" s="66" t="str">
        <f t="shared" si="189"/>
        <v/>
      </c>
      <c r="F328" s="66" t="str">
        <f t="shared" si="190"/>
        <v/>
      </c>
      <c r="G328" s="66" t="str">
        <f t="shared" si="191"/>
        <v/>
      </c>
      <c r="H328" s="66" t="str">
        <f t="shared" si="192"/>
        <v/>
      </c>
      <c r="I328" s="66" t="str">
        <f t="shared" si="193"/>
        <v/>
      </c>
      <c r="J328" s="66" t="str">
        <f t="shared" si="194"/>
        <v/>
      </c>
      <c r="K328" s="66" t="str">
        <f t="shared" si="195"/>
        <v/>
      </c>
      <c r="L328" s="66" t="str">
        <f t="shared" si="196"/>
        <v/>
      </c>
      <c r="M328" s="66" t="str">
        <f t="shared" si="197"/>
        <v/>
      </c>
      <c r="N328" s="66" t="str">
        <f t="shared" si="198"/>
        <v/>
      </c>
      <c r="O328" s="66" t="str">
        <f t="shared" si="199"/>
        <v/>
      </c>
      <c r="P328" s="66" t="str">
        <f t="shared" si="200"/>
        <v/>
      </c>
      <c r="Q328" s="66" t="str">
        <f t="shared" si="201"/>
        <v/>
      </c>
      <c r="R328" s="66" t="str">
        <f t="shared" si="202"/>
        <v/>
      </c>
      <c r="S328" s="66" t="str">
        <f t="shared" si="203"/>
        <v/>
      </c>
      <c r="T328" s="66" t="str">
        <f t="shared" si="204"/>
        <v/>
      </c>
      <c r="U328" s="66" t="str">
        <f t="shared" si="205"/>
        <v/>
      </c>
      <c r="V328" s="66" t="str">
        <f t="shared" si="206"/>
        <v/>
      </c>
      <c r="W328" s="66" t="str">
        <f t="shared" si="207"/>
        <v/>
      </c>
      <c r="X328" s="66" t="str">
        <f t="shared" si="208"/>
        <v/>
      </c>
      <c r="Y328" s="66" t="str">
        <f t="shared" si="209"/>
        <v/>
      </c>
      <c r="Z328" s="66" t="str">
        <f t="shared" si="210"/>
        <v/>
      </c>
      <c r="AA328" s="66" t="str">
        <f t="shared" si="211"/>
        <v/>
      </c>
      <c r="AB328" s="66" t="str">
        <f t="shared" si="212"/>
        <v/>
      </c>
      <c r="AC328" s="66" t="str">
        <f t="shared" si="213"/>
        <v/>
      </c>
      <c r="AD328" s="66" t="str">
        <f t="shared" si="214"/>
        <v/>
      </c>
      <c r="AE328" s="66" t="str">
        <f t="shared" si="215"/>
        <v/>
      </c>
      <c r="AF328" s="66" t="str">
        <f t="shared" si="216"/>
        <v>.</v>
      </c>
      <c r="AG328" s="66" t="str">
        <f t="shared" si="217"/>
        <v>.</v>
      </c>
      <c r="AH328" s="66" t="str">
        <f t="shared" si="218"/>
        <v/>
      </c>
      <c r="AI328" s="66" t="str">
        <f t="shared" si="219"/>
        <v/>
      </c>
      <c r="AJ328" s="66" t="str">
        <f t="shared" si="220"/>
        <v/>
      </c>
    </row>
    <row r="329" spans="1:36">
      <c r="A329" s="66">
        <f t="shared" si="184"/>
        <v>7</v>
      </c>
      <c r="B329" s="66" t="str">
        <f t="shared" si="184"/>
        <v>洪長昇</v>
      </c>
      <c r="C329" s="66" t="str">
        <f t="shared" si="186"/>
        <v/>
      </c>
      <c r="D329" s="66" t="str">
        <f t="shared" si="188"/>
        <v/>
      </c>
      <c r="E329" s="66" t="str">
        <f t="shared" si="189"/>
        <v/>
      </c>
      <c r="F329" s="66" t="str">
        <f t="shared" si="190"/>
        <v/>
      </c>
      <c r="G329" s="66" t="str">
        <f t="shared" si="191"/>
        <v/>
      </c>
      <c r="H329" s="66" t="str">
        <f t="shared" si="192"/>
        <v/>
      </c>
      <c r="I329" s="66" t="str">
        <f t="shared" si="193"/>
        <v/>
      </c>
      <c r="J329" s="66" t="str">
        <f t="shared" si="194"/>
        <v/>
      </c>
      <c r="K329" s="66" t="str">
        <f t="shared" si="195"/>
        <v/>
      </c>
      <c r="L329" s="66" t="str">
        <f t="shared" si="196"/>
        <v/>
      </c>
      <c r="M329" s="66" t="str">
        <f t="shared" si="197"/>
        <v/>
      </c>
      <c r="N329" s="66" t="str">
        <f t="shared" si="198"/>
        <v/>
      </c>
      <c r="O329" s="66" t="str">
        <f t="shared" si="199"/>
        <v/>
      </c>
      <c r="P329" s="66" t="str">
        <f t="shared" si="200"/>
        <v/>
      </c>
      <c r="Q329" s="66" t="str">
        <f t="shared" si="201"/>
        <v/>
      </c>
      <c r="R329" s="66" t="str">
        <f t="shared" si="202"/>
        <v/>
      </c>
      <c r="S329" s="66" t="str">
        <f t="shared" si="203"/>
        <v/>
      </c>
      <c r="T329" s="66" t="str">
        <f t="shared" si="204"/>
        <v/>
      </c>
      <c r="U329" s="66" t="str">
        <f t="shared" si="205"/>
        <v/>
      </c>
      <c r="V329" s="66" t="str">
        <f t="shared" si="206"/>
        <v/>
      </c>
      <c r="W329" s="66" t="str">
        <f t="shared" si="207"/>
        <v/>
      </c>
      <c r="X329" s="66" t="str">
        <f t="shared" si="208"/>
        <v/>
      </c>
      <c r="Y329" s="66" t="str">
        <f t="shared" si="209"/>
        <v/>
      </c>
      <c r="Z329" s="66" t="str">
        <f t="shared" si="210"/>
        <v/>
      </c>
      <c r="AA329" s="66" t="str">
        <f t="shared" si="211"/>
        <v/>
      </c>
      <c r="AB329" s="66" t="str">
        <f t="shared" si="212"/>
        <v/>
      </c>
      <c r="AC329" s="66" t="str">
        <f t="shared" si="213"/>
        <v/>
      </c>
      <c r="AD329" s="66" t="str">
        <f t="shared" si="214"/>
        <v/>
      </c>
      <c r="AE329" s="66" t="str">
        <f t="shared" si="215"/>
        <v/>
      </c>
      <c r="AF329" s="66" t="str">
        <f t="shared" si="216"/>
        <v/>
      </c>
      <c r="AG329" s="66" t="str">
        <f t="shared" si="217"/>
        <v/>
      </c>
      <c r="AH329" s="66" t="str">
        <f t="shared" si="218"/>
        <v/>
      </c>
      <c r="AI329" s="66" t="str">
        <f t="shared" si="219"/>
        <v/>
      </c>
      <c r="AJ329" s="66" t="str">
        <f t="shared" si="220"/>
        <v/>
      </c>
    </row>
    <row r="330" spans="1:36">
      <c r="A330" s="66">
        <f t="shared" si="184"/>
        <v>8</v>
      </c>
      <c r="B330" s="66" t="str">
        <f t="shared" si="184"/>
        <v>許翊呈</v>
      </c>
      <c r="C330" s="66" t="str">
        <f t="shared" si="186"/>
        <v/>
      </c>
      <c r="D330" s="66" t="str">
        <f t="shared" si="188"/>
        <v/>
      </c>
      <c r="E330" s="66" t="str">
        <f t="shared" si="189"/>
        <v/>
      </c>
      <c r="F330" s="66" t="str">
        <f t="shared" si="190"/>
        <v/>
      </c>
      <c r="G330" s="66" t="str">
        <f t="shared" si="191"/>
        <v/>
      </c>
      <c r="H330" s="66" t="str">
        <f t="shared" si="192"/>
        <v/>
      </c>
      <c r="I330" s="66" t="str">
        <f t="shared" si="193"/>
        <v/>
      </c>
      <c r="J330" s="66" t="str">
        <f t="shared" si="194"/>
        <v/>
      </c>
      <c r="K330" s="66" t="str">
        <f t="shared" si="195"/>
        <v/>
      </c>
      <c r="L330" s="66" t="str">
        <f t="shared" si="196"/>
        <v/>
      </c>
      <c r="M330" s="66" t="str">
        <f t="shared" si="197"/>
        <v/>
      </c>
      <c r="N330" s="66" t="str">
        <f t="shared" si="198"/>
        <v/>
      </c>
      <c r="O330" s="66" t="str">
        <f t="shared" si="199"/>
        <v/>
      </c>
      <c r="P330" s="66" t="str">
        <f t="shared" si="200"/>
        <v/>
      </c>
      <c r="Q330" s="66" t="str">
        <f t="shared" si="201"/>
        <v/>
      </c>
      <c r="R330" s="66" t="str">
        <f t="shared" si="202"/>
        <v/>
      </c>
      <c r="S330" s="66" t="str">
        <f t="shared" si="203"/>
        <v/>
      </c>
      <c r="T330" s="66" t="str">
        <f t="shared" si="204"/>
        <v/>
      </c>
      <c r="U330" s="66" t="str">
        <f t="shared" si="205"/>
        <v/>
      </c>
      <c r="V330" s="66" t="str">
        <f t="shared" si="206"/>
        <v/>
      </c>
      <c r="W330" s="66" t="str">
        <f t="shared" si="207"/>
        <v/>
      </c>
      <c r="X330" s="66" t="str">
        <f t="shared" si="208"/>
        <v/>
      </c>
      <c r="Y330" s="66" t="str">
        <f t="shared" si="209"/>
        <v/>
      </c>
      <c r="Z330" s="66" t="str">
        <f t="shared" si="210"/>
        <v/>
      </c>
      <c r="AA330" s="66" t="str">
        <f t="shared" si="211"/>
        <v/>
      </c>
      <c r="AB330" s="66" t="str">
        <f t="shared" si="212"/>
        <v/>
      </c>
      <c r="AC330" s="66" t="str">
        <f t="shared" si="213"/>
        <v/>
      </c>
      <c r="AD330" s="66" t="str">
        <f t="shared" si="214"/>
        <v/>
      </c>
      <c r="AE330" s="66" t="str">
        <f t="shared" si="215"/>
        <v/>
      </c>
      <c r="AF330" s="66" t="str">
        <f t="shared" si="216"/>
        <v/>
      </c>
      <c r="AG330" s="66" t="str">
        <f t="shared" si="217"/>
        <v/>
      </c>
      <c r="AH330" s="66" t="str">
        <f t="shared" si="218"/>
        <v/>
      </c>
      <c r="AI330" s="66" t="str">
        <f t="shared" si="219"/>
        <v/>
      </c>
      <c r="AJ330" s="66" t="str">
        <f t="shared" si="220"/>
        <v/>
      </c>
    </row>
    <row r="331" spans="1:36">
      <c r="A331" s="66">
        <f t="shared" si="184"/>
        <v>9</v>
      </c>
      <c r="B331" s="66" t="str">
        <f t="shared" si="184"/>
        <v>李政聰</v>
      </c>
      <c r="C331" s="66" t="str">
        <f t="shared" si="186"/>
        <v/>
      </c>
      <c r="D331" s="66" t="str">
        <f t="shared" si="188"/>
        <v/>
      </c>
      <c r="E331" s="66" t="str">
        <f t="shared" si="189"/>
        <v/>
      </c>
      <c r="F331" s="66" t="str">
        <f t="shared" si="190"/>
        <v/>
      </c>
      <c r="G331" s="66" t="str">
        <f t="shared" si="191"/>
        <v/>
      </c>
      <c r="H331" s="66" t="str">
        <f t="shared" si="192"/>
        <v/>
      </c>
      <c r="I331" s="66" t="str">
        <f t="shared" si="193"/>
        <v/>
      </c>
      <c r="J331" s="66" t="str">
        <f t="shared" si="194"/>
        <v/>
      </c>
      <c r="K331" s="66" t="str">
        <f t="shared" si="195"/>
        <v/>
      </c>
      <c r="L331" s="66" t="str">
        <f t="shared" si="196"/>
        <v/>
      </c>
      <c r="M331" s="66" t="str">
        <f t="shared" si="197"/>
        <v/>
      </c>
      <c r="N331" s="66" t="str">
        <f t="shared" si="198"/>
        <v/>
      </c>
      <c r="O331" s="66" t="str">
        <f t="shared" si="199"/>
        <v/>
      </c>
      <c r="P331" s="66" t="str">
        <f t="shared" si="200"/>
        <v/>
      </c>
      <c r="Q331" s="66" t="str">
        <f t="shared" si="201"/>
        <v/>
      </c>
      <c r="R331" s="66" t="str">
        <f t="shared" si="202"/>
        <v/>
      </c>
      <c r="S331" s="66" t="str">
        <f t="shared" si="203"/>
        <v/>
      </c>
      <c r="T331" s="66" t="str">
        <f t="shared" si="204"/>
        <v/>
      </c>
      <c r="U331" s="66" t="str">
        <f t="shared" si="205"/>
        <v/>
      </c>
      <c r="V331" s="66" t="str">
        <f t="shared" si="206"/>
        <v/>
      </c>
      <c r="W331" s="66" t="str">
        <f t="shared" si="207"/>
        <v/>
      </c>
      <c r="X331" s="66" t="str">
        <f t="shared" si="208"/>
        <v/>
      </c>
      <c r="Y331" s="66" t="str">
        <f t="shared" si="209"/>
        <v/>
      </c>
      <c r="Z331" s="66" t="str">
        <f t="shared" si="210"/>
        <v/>
      </c>
      <c r="AA331" s="66" t="str">
        <f t="shared" si="211"/>
        <v/>
      </c>
      <c r="AB331" s="66" t="str">
        <f t="shared" si="212"/>
        <v/>
      </c>
      <c r="AC331" s="66" t="str">
        <f t="shared" si="213"/>
        <v/>
      </c>
      <c r="AD331" s="66" t="str">
        <f t="shared" si="214"/>
        <v/>
      </c>
      <c r="AE331" s="66" t="str">
        <f t="shared" si="215"/>
        <v/>
      </c>
      <c r="AF331" s="66" t="str">
        <f t="shared" si="216"/>
        <v/>
      </c>
      <c r="AG331" s="66" t="str">
        <f t="shared" si="217"/>
        <v/>
      </c>
      <c r="AH331" s="66" t="str">
        <f t="shared" si="218"/>
        <v/>
      </c>
      <c r="AI331" s="66" t="str">
        <f t="shared" si="219"/>
        <v/>
      </c>
      <c r="AJ331" s="66" t="str">
        <f t="shared" si="220"/>
        <v/>
      </c>
    </row>
    <row r="332" spans="1:36">
      <c r="A332" s="66">
        <f t="shared" si="184"/>
        <v>10</v>
      </c>
      <c r="B332" s="66" t="str">
        <f t="shared" si="184"/>
        <v>劉威志</v>
      </c>
      <c r="C332" s="66" t="str">
        <f t="shared" si="186"/>
        <v/>
      </c>
      <c r="D332" s="66" t="str">
        <f t="shared" si="188"/>
        <v/>
      </c>
      <c r="E332" s="66" t="str">
        <f t="shared" si="189"/>
        <v/>
      </c>
      <c r="F332" s="66" t="str">
        <f t="shared" si="190"/>
        <v/>
      </c>
      <c r="G332" s="66" t="str">
        <f t="shared" si="191"/>
        <v/>
      </c>
      <c r="H332" s="66" t="str">
        <f t="shared" si="192"/>
        <v/>
      </c>
      <c r="I332" s="66" t="str">
        <f t="shared" si="193"/>
        <v/>
      </c>
      <c r="J332" s="66" t="str">
        <f t="shared" si="194"/>
        <v/>
      </c>
      <c r="K332" s="66" t="str">
        <f t="shared" si="195"/>
        <v/>
      </c>
      <c r="L332" s="66" t="str">
        <f t="shared" si="196"/>
        <v/>
      </c>
      <c r="M332" s="66" t="str">
        <f t="shared" si="197"/>
        <v/>
      </c>
      <c r="N332" s="66" t="str">
        <f t="shared" si="198"/>
        <v/>
      </c>
      <c r="O332" s="66" t="str">
        <f t="shared" si="199"/>
        <v/>
      </c>
      <c r="P332" s="66" t="str">
        <f t="shared" si="200"/>
        <v/>
      </c>
      <c r="Q332" s="66" t="str">
        <f t="shared" si="201"/>
        <v/>
      </c>
      <c r="R332" s="66" t="str">
        <f t="shared" si="202"/>
        <v/>
      </c>
      <c r="S332" s="66" t="str">
        <f t="shared" si="203"/>
        <v/>
      </c>
      <c r="T332" s="66" t="str">
        <f t="shared" si="204"/>
        <v/>
      </c>
      <c r="U332" s="66" t="str">
        <f t="shared" si="205"/>
        <v/>
      </c>
      <c r="V332" s="66" t="str">
        <f t="shared" si="206"/>
        <v/>
      </c>
      <c r="W332" s="66" t="str">
        <f t="shared" si="207"/>
        <v/>
      </c>
      <c r="X332" s="66" t="str">
        <f t="shared" si="208"/>
        <v/>
      </c>
      <c r="Y332" s="66" t="str">
        <f t="shared" si="209"/>
        <v/>
      </c>
      <c r="Z332" s="66" t="str">
        <f t="shared" si="210"/>
        <v/>
      </c>
      <c r="AA332" s="66" t="str">
        <f t="shared" si="211"/>
        <v/>
      </c>
      <c r="AB332" s="66" t="str">
        <f t="shared" si="212"/>
        <v/>
      </c>
      <c r="AC332" s="66" t="str">
        <f t="shared" si="213"/>
        <v/>
      </c>
      <c r="AD332" s="66" t="str">
        <f t="shared" si="214"/>
        <v/>
      </c>
      <c r="AE332" s="66" t="str">
        <f t="shared" si="215"/>
        <v/>
      </c>
      <c r="AF332" s="66" t="str">
        <f t="shared" si="216"/>
        <v/>
      </c>
      <c r="AG332" s="66" t="str">
        <f t="shared" si="217"/>
        <v/>
      </c>
      <c r="AH332" s="66" t="str">
        <f t="shared" si="218"/>
        <v/>
      </c>
      <c r="AI332" s="66" t="str">
        <f t="shared" si="219"/>
        <v/>
      </c>
      <c r="AJ332" s="66" t="str">
        <f t="shared" si="220"/>
        <v/>
      </c>
    </row>
    <row r="333" spans="1:36">
      <c r="A333" s="66">
        <f t="shared" si="184"/>
        <v>11</v>
      </c>
      <c r="B333" s="66" t="str">
        <f t="shared" si="184"/>
        <v>梁展碩</v>
      </c>
      <c r="C333" s="66" t="str">
        <f t="shared" si="186"/>
        <v/>
      </c>
      <c r="D333" s="66" t="str">
        <f t="shared" si="188"/>
        <v/>
      </c>
      <c r="E333" s="66" t="str">
        <f t="shared" si="189"/>
        <v/>
      </c>
      <c r="F333" s="66" t="str">
        <f t="shared" si="190"/>
        <v/>
      </c>
      <c r="G333" s="66" t="str">
        <f t="shared" si="191"/>
        <v/>
      </c>
      <c r="H333" s="66" t="str">
        <f t="shared" si="192"/>
        <v/>
      </c>
      <c r="I333" s="66" t="str">
        <f t="shared" si="193"/>
        <v/>
      </c>
      <c r="J333" s="66" t="str">
        <f t="shared" si="194"/>
        <v/>
      </c>
      <c r="K333" s="66" t="str">
        <f t="shared" si="195"/>
        <v/>
      </c>
      <c r="L333" s="66" t="str">
        <f t="shared" si="196"/>
        <v/>
      </c>
      <c r="M333" s="66" t="str">
        <f t="shared" si="197"/>
        <v/>
      </c>
      <c r="N333" s="66" t="str">
        <f t="shared" si="198"/>
        <v/>
      </c>
      <c r="O333" s="66" t="str">
        <f t="shared" si="199"/>
        <v/>
      </c>
      <c r="P333" s="66" t="str">
        <f t="shared" si="200"/>
        <v/>
      </c>
      <c r="Q333" s="66" t="str">
        <f t="shared" si="201"/>
        <v/>
      </c>
      <c r="R333" s="66" t="str">
        <f t="shared" si="202"/>
        <v/>
      </c>
      <c r="S333" s="66" t="str">
        <f t="shared" si="203"/>
        <v/>
      </c>
      <c r="T333" s="66" t="str">
        <f t="shared" si="204"/>
        <v/>
      </c>
      <c r="U333" s="66" t="str">
        <f t="shared" si="205"/>
        <v/>
      </c>
      <c r="V333" s="66" t="str">
        <f t="shared" si="206"/>
        <v/>
      </c>
      <c r="W333" s="66" t="str">
        <f t="shared" si="207"/>
        <v/>
      </c>
      <c r="X333" s="66" t="str">
        <f t="shared" si="208"/>
        <v/>
      </c>
      <c r="Y333" s="66" t="str">
        <f t="shared" si="209"/>
        <v/>
      </c>
      <c r="Z333" s="66" t="str">
        <f t="shared" si="210"/>
        <v/>
      </c>
      <c r="AA333" s="66" t="str">
        <f t="shared" si="211"/>
        <v/>
      </c>
      <c r="AB333" s="66" t="str">
        <f t="shared" si="212"/>
        <v/>
      </c>
      <c r="AC333" s="66" t="str">
        <f t="shared" si="213"/>
        <v/>
      </c>
      <c r="AD333" s="66" t="str">
        <f t="shared" si="214"/>
        <v/>
      </c>
      <c r="AE333" s="66" t="str">
        <f t="shared" si="215"/>
        <v/>
      </c>
      <c r="AF333" s="66" t="str">
        <f t="shared" si="216"/>
        <v/>
      </c>
      <c r="AG333" s="66" t="str">
        <f t="shared" si="217"/>
        <v/>
      </c>
      <c r="AH333" s="66" t="str">
        <f t="shared" si="218"/>
        <v/>
      </c>
      <c r="AI333" s="66" t="str">
        <f t="shared" si="219"/>
        <v/>
      </c>
      <c r="AJ333" s="66" t="str">
        <f t="shared" si="220"/>
        <v/>
      </c>
    </row>
    <row r="334" spans="1:36">
      <c r="A334" s="66">
        <f t="shared" si="184"/>
        <v>12</v>
      </c>
      <c r="B334" s="66" t="str">
        <f t="shared" si="184"/>
        <v>何奕諠</v>
      </c>
      <c r="C334" s="66" t="str">
        <f t="shared" si="186"/>
        <v/>
      </c>
      <c r="D334" s="66" t="str">
        <f t="shared" si="188"/>
        <v/>
      </c>
      <c r="E334" s="66" t="str">
        <f t="shared" si="189"/>
        <v/>
      </c>
      <c r="F334" s="66" t="str">
        <f t="shared" si="190"/>
        <v/>
      </c>
      <c r="G334" s="66" t="str">
        <f t="shared" si="191"/>
        <v/>
      </c>
      <c r="H334" s="66" t="str">
        <f t="shared" si="192"/>
        <v/>
      </c>
      <c r="I334" s="66" t="str">
        <f t="shared" si="193"/>
        <v/>
      </c>
      <c r="J334" s="66" t="str">
        <f t="shared" si="194"/>
        <v/>
      </c>
      <c r="K334" s="66" t="str">
        <f t="shared" si="195"/>
        <v/>
      </c>
      <c r="L334" s="66" t="str">
        <f t="shared" si="196"/>
        <v/>
      </c>
      <c r="M334" s="66" t="str">
        <f t="shared" si="197"/>
        <v/>
      </c>
      <c r="N334" s="66" t="str">
        <f t="shared" si="198"/>
        <v/>
      </c>
      <c r="O334" s="66" t="str">
        <f t="shared" si="199"/>
        <v/>
      </c>
      <c r="P334" s="66" t="str">
        <f t="shared" si="200"/>
        <v/>
      </c>
      <c r="Q334" s="66" t="str">
        <f t="shared" si="201"/>
        <v/>
      </c>
      <c r="R334" s="66" t="str">
        <f t="shared" si="202"/>
        <v/>
      </c>
      <c r="S334" s="66" t="str">
        <f t="shared" si="203"/>
        <v/>
      </c>
      <c r="T334" s="66" t="str">
        <f t="shared" si="204"/>
        <v/>
      </c>
      <c r="U334" s="66" t="str">
        <f t="shared" si="205"/>
        <v/>
      </c>
      <c r="V334" s="66" t="str">
        <f t="shared" si="206"/>
        <v/>
      </c>
      <c r="W334" s="66" t="str">
        <f t="shared" si="207"/>
        <v/>
      </c>
      <c r="X334" s="66" t="str">
        <f t="shared" si="208"/>
        <v/>
      </c>
      <c r="Y334" s="66" t="str">
        <f t="shared" si="209"/>
        <v/>
      </c>
      <c r="Z334" s="66" t="str">
        <f t="shared" si="210"/>
        <v/>
      </c>
      <c r="AA334" s="66" t="str">
        <f t="shared" si="211"/>
        <v/>
      </c>
      <c r="AB334" s="66" t="str">
        <f t="shared" si="212"/>
        <v/>
      </c>
      <c r="AC334" s="66" t="str">
        <f t="shared" si="213"/>
        <v/>
      </c>
      <c r="AD334" s="66" t="str">
        <f t="shared" si="214"/>
        <v/>
      </c>
      <c r="AE334" s="66" t="str">
        <f t="shared" si="215"/>
        <v/>
      </c>
      <c r="AF334" s="66" t="str">
        <f t="shared" si="216"/>
        <v/>
      </c>
      <c r="AG334" s="66" t="str">
        <f t="shared" si="217"/>
        <v/>
      </c>
      <c r="AH334" s="66" t="str">
        <f t="shared" si="218"/>
        <v/>
      </c>
      <c r="AI334" s="66" t="str">
        <f t="shared" si="219"/>
        <v/>
      </c>
      <c r="AJ334" s="66" t="str">
        <f t="shared" si="220"/>
        <v/>
      </c>
    </row>
    <row r="335" spans="1:36">
      <c r="A335" s="66">
        <f t="shared" si="184"/>
        <v>13</v>
      </c>
      <c r="B335" s="66" t="str">
        <f t="shared" si="184"/>
        <v>楊瑞麟</v>
      </c>
      <c r="C335" s="66" t="str">
        <f t="shared" si="186"/>
        <v/>
      </c>
      <c r="D335" s="66" t="str">
        <f t="shared" si="188"/>
        <v/>
      </c>
      <c r="E335" s="66" t="str">
        <f t="shared" si="189"/>
        <v/>
      </c>
      <c r="F335" s="66" t="str">
        <f t="shared" si="190"/>
        <v/>
      </c>
      <c r="G335" s="66" t="str">
        <f t="shared" si="191"/>
        <v/>
      </c>
      <c r="H335" s="66" t="str">
        <f t="shared" si="192"/>
        <v/>
      </c>
      <c r="I335" s="66" t="str">
        <f t="shared" si="193"/>
        <v/>
      </c>
      <c r="J335" s="66" t="str">
        <f t="shared" si="194"/>
        <v/>
      </c>
      <c r="K335" s="66" t="str">
        <f t="shared" si="195"/>
        <v/>
      </c>
      <c r="L335" s="66" t="str">
        <f t="shared" si="196"/>
        <v/>
      </c>
      <c r="M335" s="66" t="str">
        <f t="shared" si="197"/>
        <v/>
      </c>
      <c r="N335" s="66" t="str">
        <f t="shared" si="198"/>
        <v/>
      </c>
      <c r="O335" s="66" t="str">
        <f t="shared" si="199"/>
        <v/>
      </c>
      <c r="P335" s="66" t="str">
        <f t="shared" si="200"/>
        <v/>
      </c>
      <c r="Q335" s="66" t="str">
        <f t="shared" si="201"/>
        <v/>
      </c>
      <c r="R335" s="66" t="str">
        <f t="shared" si="202"/>
        <v/>
      </c>
      <c r="S335" s="66" t="str">
        <f t="shared" si="203"/>
        <v/>
      </c>
      <c r="T335" s="66" t="str">
        <f t="shared" si="204"/>
        <v/>
      </c>
      <c r="U335" s="66" t="str">
        <f t="shared" si="205"/>
        <v/>
      </c>
      <c r="V335" s="66" t="str">
        <f t="shared" si="206"/>
        <v/>
      </c>
      <c r="W335" s="66" t="str">
        <f t="shared" si="207"/>
        <v/>
      </c>
      <c r="X335" s="66" t="str">
        <f t="shared" si="208"/>
        <v/>
      </c>
      <c r="Y335" s="66" t="str">
        <f t="shared" si="209"/>
        <v/>
      </c>
      <c r="Z335" s="66" t="str">
        <f t="shared" si="210"/>
        <v/>
      </c>
      <c r="AA335" s="66" t="str">
        <f t="shared" si="211"/>
        <v/>
      </c>
      <c r="AB335" s="66" t="str">
        <f t="shared" si="212"/>
        <v/>
      </c>
      <c r="AC335" s="66" t="str">
        <f t="shared" si="213"/>
        <v/>
      </c>
      <c r="AD335" s="66" t="str">
        <f t="shared" si="214"/>
        <v/>
      </c>
      <c r="AE335" s="66" t="str">
        <f t="shared" si="215"/>
        <v/>
      </c>
      <c r="AF335" s="66" t="str">
        <f t="shared" si="216"/>
        <v/>
      </c>
      <c r="AG335" s="66" t="str">
        <f t="shared" si="217"/>
        <v/>
      </c>
      <c r="AH335" s="66" t="str">
        <f t="shared" si="218"/>
        <v/>
      </c>
      <c r="AI335" s="66" t="str">
        <f t="shared" si="219"/>
        <v/>
      </c>
      <c r="AJ335" s="66" t="str">
        <f t="shared" si="220"/>
        <v/>
      </c>
    </row>
    <row r="336" spans="1:36">
      <c r="A336" s="66">
        <f t="shared" si="184"/>
        <v>14</v>
      </c>
      <c r="B336" s="66" t="str">
        <f t="shared" si="184"/>
        <v>鄭品豪</v>
      </c>
      <c r="C336" s="66" t="str">
        <f t="shared" si="186"/>
        <v/>
      </c>
      <c r="D336" s="66" t="str">
        <f t="shared" si="188"/>
        <v/>
      </c>
      <c r="E336" s="66" t="str">
        <f t="shared" si="189"/>
        <v/>
      </c>
      <c r="F336" s="66" t="str">
        <f t="shared" si="190"/>
        <v/>
      </c>
      <c r="G336" s="66" t="str">
        <f t="shared" si="191"/>
        <v/>
      </c>
      <c r="H336" s="66" t="str">
        <f t="shared" si="192"/>
        <v/>
      </c>
      <c r="I336" s="66" t="str">
        <f t="shared" si="193"/>
        <v/>
      </c>
      <c r="J336" s="66" t="str">
        <f t="shared" si="194"/>
        <v/>
      </c>
      <c r="K336" s="66" t="str">
        <f t="shared" si="195"/>
        <v/>
      </c>
      <c r="L336" s="66" t="str">
        <f t="shared" si="196"/>
        <v/>
      </c>
      <c r="M336" s="66" t="str">
        <f t="shared" si="197"/>
        <v/>
      </c>
      <c r="N336" s="66" t="str">
        <f t="shared" si="198"/>
        <v/>
      </c>
      <c r="O336" s="66" t="str">
        <f t="shared" si="199"/>
        <v/>
      </c>
      <c r="P336" s="66" t="str">
        <f t="shared" si="200"/>
        <v/>
      </c>
      <c r="Q336" s="66" t="str">
        <f t="shared" si="201"/>
        <v/>
      </c>
      <c r="R336" s="66" t="str">
        <f t="shared" si="202"/>
        <v/>
      </c>
      <c r="S336" s="66" t="str">
        <f t="shared" si="203"/>
        <v/>
      </c>
      <c r="T336" s="66" t="str">
        <f t="shared" si="204"/>
        <v/>
      </c>
      <c r="U336" s="66" t="str">
        <f t="shared" si="205"/>
        <v/>
      </c>
      <c r="V336" s="66" t="str">
        <f t="shared" si="206"/>
        <v/>
      </c>
      <c r="W336" s="66" t="str">
        <f t="shared" si="207"/>
        <v/>
      </c>
      <c r="X336" s="66" t="str">
        <f t="shared" si="208"/>
        <v/>
      </c>
      <c r="Y336" s="66" t="str">
        <f t="shared" si="209"/>
        <v/>
      </c>
      <c r="Z336" s="66" t="str">
        <f t="shared" si="210"/>
        <v/>
      </c>
      <c r="AA336" s="66" t="str">
        <f t="shared" si="211"/>
        <v/>
      </c>
      <c r="AB336" s="66" t="str">
        <f t="shared" si="212"/>
        <v/>
      </c>
      <c r="AC336" s="66" t="str">
        <f t="shared" si="213"/>
        <v/>
      </c>
      <c r="AD336" s="66" t="str">
        <f t="shared" si="214"/>
        <v/>
      </c>
      <c r="AE336" s="66" t="str">
        <f t="shared" si="215"/>
        <v/>
      </c>
      <c r="AF336" s="66" t="str">
        <f t="shared" si="216"/>
        <v/>
      </c>
      <c r="AG336" s="66" t="str">
        <f t="shared" si="217"/>
        <v/>
      </c>
      <c r="AH336" s="66" t="str">
        <f t="shared" si="218"/>
        <v/>
      </c>
      <c r="AI336" s="66" t="str">
        <f t="shared" si="219"/>
        <v/>
      </c>
      <c r="AJ336" s="66" t="str">
        <f t="shared" si="220"/>
        <v/>
      </c>
    </row>
    <row r="337" spans="1:36">
      <c r="A337" s="66">
        <f t="shared" si="184"/>
        <v>15</v>
      </c>
      <c r="B337" s="66" t="str">
        <f t="shared" si="184"/>
        <v>林晉弘</v>
      </c>
      <c r="C337" s="66" t="str">
        <f t="shared" si="186"/>
        <v/>
      </c>
      <c r="D337" s="66" t="str">
        <f t="shared" si="188"/>
        <v/>
      </c>
      <c r="E337" s="66" t="str">
        <f t="shared" si="189"/>
        <v/>
      </c>
      <c r="F337" s="66" t="str">
        <f t="shared" si="190"/>
        <v/>
      </c>
      <c r="G337" s="66" t="str">
        <f t="shared" si="191"/>
        <v/>
      </c>
      <c r="H337" s="66" t="str">
        <f t="shared" si="192"/>
        <v/>
      </c>
      <c r="I337" s="66" t="str">
        <f t="shared" si="193"/>
        <v/>
      </c>
      <c r="J337" s="66" t="str">
        <f t="shared" si="194"/>
        <v/>
      </c>
      <c r="K337" s="66" t="str">
        <f t="shared" si="195"/>
        <v/>
      </c>
      <c r="L337" s="66" t="str">
        <f t="shared" si="196"/>
        <v/>
      </c>
      <c r="M337" s="66" t="str">
        <f t="shared" si="197"/>
        <v/>
      </c>
      <c r="N337" s="66" t="str">
        <f t="shared" si="198"/>
        <v/>
      </c>
      <c r="O337" s="66" t="str">
        <f t="shared" si="199"/>
        <v/>
      </c>
      <c r="P337" s="66" t="str">
        <f t="shared" si="200"/>
        <v/>
      </c>
      <c r="Q337" s="66" t="str">
        <f t="shared" si="201"/>
        <v/>
      </c>
      <c r="R337" s="66" t="str">
        <f t="shared" si="202"/>
        <v/>
      </c>
      <c r="S337" s="66" t="str">
        <f t="shared" si="203"/>
        <v/>
      </c>
      <c r="T337" s="66" t="str">
        <f t="shared" si="204"/>
        <v/>
      </c>
      <c r="U337" s="66" t="str">
        <f t="shared" si="205"/>
        <v/>
      </c>
      <c r="V337" s="66" t="str">
        <f t="shared" si="206"/>
        <v/>
      </c>
      <c r="W337" s="66" t="str">
        <f t="shared" si="207"/>
        <v/>
      </c>
      <c r="X337" s="66" t="str">
        <f t="shared" si="208"/>
        <v/>
      </c>
      <c r="Y337" s="66" t="str">
        <f t="shared" si="209"/>
        <v/>
      </c>
      <c r="Z337" s="66" t="str">
        <f t="shared" si="210"/>
        <v/>
      </c>
      <c r="AA337" s="66" t="str">
        <f t="shared" si="211"/>
        <v/>
      </c>
      <c r="AB337" s="66" t="str">
        <f t="shared" si="212"/>
        <v/>
      </c>
      <c r="AC337" s="66" t="str">
        <f t="shared" si="213"/>
        <v/>
      </c>
      <c r="AD337" s="66" t="str">
        <f t="shared" si="214"/>
        <v/>
      </c>
      <c r="AE337" s="66" t="str">
        <f t="shared" si="215"/>
        <v/>
      </c>
      <c r="AF337" s="66" t="str">
        <f t="shared" si="216"/>
        <v/>
      </c>
      <c r="AG337" s="66" t="str">
        <f t="shared" si="217"/>
        <v/>
      </c>
      <c r="AH337" s="66" t="str">
        <f t="shared" si="218"/>
        <v/>
      </c>
      <c r="AI337" s="66" t="str">
        <f t="shared" si="219"/>
        <v/>
      </c>
      <c r="AJ337" s="66" t="str">
        <f t="shared" si="220"/>
        <v/>
      </c>
    </row>
    <row r="338" spans="1:36">
      <c r="A338" s="66">
        <f t="shared" si="184"/>
        <v>16</v>
      </c>
      <c r="B338" s="66" t="str">
        <f t="shared" si="184"/>
        <v>張恩齊</v>
      </c>
      <c r="C338" s="66" t="str">
        <f t="shared" si="186"/>
        <v/>
      </c>
      <c r="D338" s="66" t="str">
        <f t="shared" si="188"/>
        <v/>
      </c>
      <c r="E338" s="66" t="str">
        <f t="shared" si="189"/>
        <v/>
      </c>
      <c r="F338" s="66" t="str">
        <f t="shared" si="190"/>
        <v/>
      </c>
      <c r="G338" s="66" t="str">
        <f t="shared" si="191"/>
        <v/>
      </c>
      <c r="H338" s="66" t="str">
        <f t="shared" si="192"/>
        <v/>
      </c>
      <c r="I338" s="66" t="str">
        <f t="shared" si="193"/>
        <v/>
      </c>
      <c r="J338" s="66" t="str">
        <f t="shared" si="194"/>
        <v/>
      </c>
      <c r="K338" s="66" t="str">
        <f t="shared" si="195"/>
        <v/>
      </c>
      <c r="L338" s="66" t="str">
        <f t="shared" si="196"/>
        <v/>
      </c>
      <c r="M338" s="66" t="str">
        <f t="shared" si="197"/>
        <v/>
      </c>
      <c r="N338" s="66" t="str">
        <f t="shared" si="198"/>
        <v/>
      </c>
      <c r="O338" s="66" t="str">
        <f t="shared" si="199"/>
        <v/>
      </c>
      <c r="P338" s="66" t="str">
        <f t="shared" si="200"/>
        <v/>
      </c>
      <c r="Q338" s="66" t="str">
        <f t="shared" si="201"/>
        <v/>
      </c>
      <c r="R338" s="66" t="str">
        <f t="shared" si="202"/>
        <v/>
      </c>
      <c r="S338" s="66" t="str">
        <f t="shared" si="203"/>
        <v/>
      </c>
      <c r="T338" s="66" t="str">
        <f t="shared" si="204"/>
        <v/>
      </c>
      <c r="U338" s="66" t="str">
        <f t="shared" si="205"/>
        <v/>
      </c>
      <c r="V338" s="66" t="str">
        <f t="shared" si="206"/>
        <v/>
      </c>
      <c r="W338" s="66" t="str">
        <f t="shared" si="207"/>
        <v/>
      </c>
      <c r="X338" s="66" t="str">
        <f t="shared" si="208"/>
        <v/>
      </c>
      <c r="Y338" s="66" t="str">
        <f t="shared" si="209"/>
        <v/>
      </c>
      <c r="Z338" s="66" t="str">
        <f t="shared" si="210"/>
        <v/>
      </c>
      <c r="AA338" s="66" t="str">
        <f t="shared" si="211"/>
        <v/>
      </c>
      <c r="AB338" s="66" t="str">
        <f t="shared" si="212"/>
        <v/>
      </c>
      <c r="AC338" s="66" t="str">
        <f t="shared" si="213"/>
        <v/>
      </c>
      <c r="AD338" s="66" t="str">
        <f t="shared" si="214"/>
        <v/>
      </c>
      <c r="AE338" s="66" t="str">
        <f t="shared" si="215"/>
        <v/>
      </c>
      <c r="AF338" s="66" t="str">
        <f t="shared" si="216"/>
        <v/>
      </c>
      <c r="AG338" s="66" t="str">
        <f t="shared" si="217"/>
        <v/>
      </c>
      <c r="AH338" s="66" t="str">
        <f t="shared" si="218"/>
        <v/>
      </c>
      <c r="AI338" s="66" t="str">
        <f t="shared" si="219"/>
        <v/>
      </c>
      <c r="AJ338" s="66" t="str">
        <f t="shared" si="220"/>
        <v/>
      </c>
    </row>
    <row r="339" spans="1:36">
      <c r="A339" s="66">
        <f t="shared" ref="A339:B354" si="221">A299</f>
        <v>17</v>
      </c>
      <c r="B339" s="66" t="str">
        <f t="shared" si="221"/>
        <v>周承澔</v>
      </c>
      <c r="C339" s="66" t="str">
        <f t="shared" si="186"/>
        <v/>
      </c>
      <c r="D339" s="66" t="str">
        <f t="shared" si="188"/>
        <v/>
      </c>
      <c r="E339" s="66" t="str">
        <f t="shared" si="189"/>
        <v/>
      </c>
      <c r="F339" s="66" t="str">
        <f t="shared" si="190"/>
        <v/>
      </c>
      <c r="G339" s="66" t="str">
        <f t="shared" si="191"/>
        <v/>
      </c>
      <c r="H339" s="66" t="str">
        <f t="shared" si="192"/>
        <v/>
      </c>
      <c r="I339" s="66" t="str">
        <f t="shared" si="193"/>
        <v/>
      </c>
      <c r="J339" s="66" t="str">
        <f t="shared" si="194"/>
        <v/>
      </c>
      <c r="K339" s="66" t="str">
        <f t="shared" si="195"/>
        <v/>
      </c>
      <c r="L339" s="66" t="str">
        <f t="shared" si="196"/>
        <v/>
      </c>
      <c r="M339" s="66" t="str">
        <f t="shared" si="197"/>
        <v/>
      </c>
      <c r="N339" s="66" t="str">
        <f t="shared" si="198"/>
        <v/>
      </c>
      <c r="O339" s="66" t="str">
        <f t="shared" si="199"/>
        <v/>
      </c>
      <c r="P339" s="66" t="str">
        <f t="shared" si="200"/>
        <v/>
      </c>
      <c r="Q339" s="66" t="str">
        <f t="shared" si="201"/>
        <v/>
      </c>
      <c r="R339" s="66" t="str">
        <f t="shared" si="202"/>
        <v/>
      </c>
      <c r="S339" s="66" t="str">
        <f t="shared" si="203"/>
        <v/>
      </c>
      <c r="T339" s="66" t="str">
        <f t="shared" si="204"/>
        <v/>
      </c>
      <c r="U339" s="66" t="str">
        <f t="shared" si="205"/>
        <v/>
      </c>
      <c r="V339" s="66" t="str">
        <f t="shared" si="206"/>
        <v/>
      </c>
      <c r="W339" s="66" t="str">
        <f t="shared" si="207"/>
        <v/>
      </c>
      <c r="X339" s="66" t="str">
        <f t="shared" si="208"/>
        <v/>
      </c>
      <c r="Y339" s="66" t="str">
        <f t="shared" si="209"/>
        <v/>
      </c>
      <c r="Z339" s="66" t="str">
        <f t="shared" si="210"/>
        <v/>
      </c>
      <c r="AA339" s="66" t="str">
        <f t="shared" si="211"/>
        <v/>
      </c>
      <c r="AB339" s="66" t="str">
        <f t="shared" si="212"/>
        <v/>
      </c>
      <c r="AC339" s="66" t="str">
        <f t="shared" si="213"/>
        <v/>
      </c>
      <c r="AD339" s="66" t="str">
        <f t="shared" si="214"/>
        <v/>
      </c>
      <c r="AE339" s="66" t="str">
        <f t="shared" si="215"/>
        <v/>
      </c>
      <c r="AF339" s="66" t="str">
        <f t="shared" si="216"/>
        <v/>
      </c>
      <c r="AG339" s="66" t="str">
        <f t="shared" si="217"/>
        <v/>
      </c>
      <c r="AH339" s="66" t="str">
        <f t="shared" si="218"/>
        <v/>
      </c>
      <c r="AI339" s="66" t="str">
        <f t="shared" si="219"/>
        <v/>
      </c>
      <c r="AJ339" s="66" t="str">
        <f t="shared" si="220"/>
        <v/>
      </c>
    </row>
    <row r="340" spans="1:36">
      <c r="A340" s="66">
        <f t="shared" si="221"/>
        <v>18</v>
      </c>
      <c r="B340" s="66" t="str">
        <f t="shared" si="221"/>
        <v>蔡政倫</v>
      </c>
      <c r="C340" s="66" t="str">
        <f t="shared" si="186"/>
        <v/>
      </c>
      <c r="D340" s="66" t="str">
        <f t="shared" si="188"/>
        <v/>
      </c>
      <c r="E340" s="66" t="str">
        <f t="shared" si="189"/>
        <v/>
      </c>
      <c r="F340" s="66" t="str">
        <f t="shared" si="190"/>
        <v/>
      </c>
      <c r="G340" s="66" t="str">
        <f t="shared" si="191"/>
        <v/>
      </c>
      <c r="H340" s="66" t="str">
        <f t="shared" si="192"/>
        <v/>
      </c>
      <c r="I340" s="66" t="str">
        <f t="shared" si="193"/>
        <v/>
      </c>
      <c r="J340" s="66" t="str">
        <f t="shared" si="194"/>
        <v/>
      </c>
      <c r="K340" s="66" t="str">
        <f t="shared" si="195"/>
        <v/>
      </c>
      <c r="L340" s="66" t="str">
        <f t="shared" si="196"/>
        <v/>
      </c>
      <c r="M340" s="66" t="str">
        <f t="shared" si="197"/>
        <v/>
      </c>
      <c r="N340" s="66" t="str">
        <f t="shared" si="198"/>
        <v/>
      </c>
      <c r="O340" s="66" t="str">
        <f t="shared" si="199"/>
        <v/>
      </c>
      <c r="P340" s="66" t="str">
        <f t="shared" si="200"/>
        <v/>
      </c>
      <c r="Q340" s="66" t="str">
        <f t="shared" si="201"/>
        <v/>
      </c>
      <c r="R340" s="66" t="str">
        <f t="shared" si="202"/>
        <v/>
      </c>
      <c r="S340" s="66" t="str">
        <f t="shared" si="203"/>
        <v/>
      </c>
      <c r="T340" s="66" t="str">
        <f t="shared" si="204"/>
        <v/>
      </c>
      <c r="U340" s="66" t="str">
        <f t="shared" si="205"/>
        <v/>
      </c>
      <c r="V340" s="66" t="str">
        <f t="shared" si="206"/>
        <v/>
      </c>
      <c r="W340" s="66" t="str">
        <f t="shared" si="207"/>
        <v/>
      </c>
      <c r="X340" s="66" t="str">
        <f t="shared" si="208"/>
        <v/>
      </c>
      <c r="Y340" s="66" t="str">
        <f t="shared" si="209"/>
        <v/>
      </c>
      <c r="Z340" s="66" t="str">
        <f t="shared" si="210"/>
        <v/>
      </c>
      <c r="AA340" s="66" t="str">
        <f t="shared" si="211"/>
        <v/>
      </c>
      <c r="AB340" s="66" t="str">
        <f t="shared" si="212"/>
        <v/>
      </c>
      <c r="AC340" s="66" t="str">
        <f t="shared" si="213"/>
        <v/>
      </c>
      <c r="AD340" s="66" t="str">
        <f t="shared" si="214"/>
        <v/>
      </c>
      <c r="AE340" s="66" t="str">
        <f t="shared" si="215"/>
        <v/>
      </c>
      <c r="AF340" s="66" t="str">
        <f t="shared" si="216"/>
        <v/>
      </c>
      <c r="AG340" s="66" t="str">
        <f t="shared" si="217"/>
        <v/>
      </c>
      <c r="AH340" s="66" t="str">
        <f t="shared" si="218"/>
        <v/>
      </c>
      <c r="AI340" s="66" t="str">
        <f t="shared" si="219"/>
        <v/>
      </c>
      <c r="AJ340" s="66" t="str">
        <f t="shared" si="220"/>
        <v/>
      </c>
    </row>
    <row r="341" spans="1:36">
      <c r="A341" s="66">
        <f t="shared" si="221"/>
        <v>19</v>
      </c>
      <c r="B341" s="66" t="str">
        <f t="shared" si="221"/>
        <v>蕭敬哲</v>
      </c>
      <c r="C341" s="66" t="str">
        <f t="shared" si="186"/>
        <v/>
      </c>
      <c r="D341" s="66" t="str">
        <f t="shared" si="188"/>
        <v/>
      </c>
      <c r="E341" s="66" t="str">
        <f t="shared" si="189"/>
        <v/>
      </c>
      <c r="F341" s="66" t="str">
        <f t="shared" si="190"/>
        <v/>
      </c>
      <c r="G341" s="66" t="str">
        <f t="shared" si="191"/>
        <v/>
      </c>
      <c r="H341" s="66" t="str">
        <f t="shared" si="192"/>
        <v/>
      </c>
      <c r="I341" s="66" t="str">
        <f t="shared" si="193"/>
        <v/>
      </c>
      <c r="J341" s="66" t="str">
        <f t="shared" si="194"/>
        <v/>
      </c>
      <c r="K341" s="66" t="str">
        <f t="shared" si="195"/>
        <v/>
      </c>
      <c r="L341" s="66" t="str">
        <f t="shared" si="196"/>
        <v/>
      </c>
      <c r="M341" s="66" t="str">
        <f t="shared" si="197"/>
        <v/>
      </c>
      <c r="N341" s="66" t="str">
        <f t="shared" si="198"/>
        <v/>
      </c>
      <c r="O341" s="66" t="str">
        <f t="shared" si="199"/>
        <v/>
      </c>
      <c r="P341" s="66" t="str">
        <f t="shared" si="200"/>
        <v/>
      </c>
      <c r="Q341" s="66" t="str">
        <f t="shared" si="201"/>
        <v/>
      </c>
      <c r="R341" s="66" t="str">
        <f t="shared" si="202"/>
        <v/>
      </c>
      <c r="S341" s="66" t="str">
        <f t="shared" si="203"/>
        <v/>
      </c>
      <c r="T341" s="66" t="str">
        <f t="shared" si="204"/>
        <v/>
      </c>
      <c r="U341" s="66" t="str">
        <f t="shared" si="205"/>
        <v/>
      </c>
      <c r="V341" s="66" t="str">
        <f t="shared" si="206"/>
        <v/>
      </c>
      <c r="W341" s="66" t="str">
        <f t="shared" si="207"/>
        <v/>
      </c>
      <c r="X341" s="66" t="str">
        <f t="shared" si="208"/>
        <v/>
      </c>
      <c r="Y341" s="66" t="str">
        <f t="shared" si="209"/>
        <v/>
      </c>
      <c r="Z341" s="66" t="str">
        <f t="shared" si="210"/>
        <v/>
      </c>
      <c r="AA341" s="66" t="str">
        <f t="shared" si="211"/>
        <v/>
      </c>
      <c r="AB341" s="66" t="str">
        <f t="shared" si="212"/>
        <v/>
      </c>
      <c r="AC341" s="66" t="str">
        <f t="shared" si="213"/>
        <v/>
      </c>
      <c r="AD341" s="66" t="str">
        <f t="shared" si="214"/>
        <v/>
      </c>
      <c r="AE341" s="66" t="str">
        <f t="shared" si="215"/>
        <v/>
      </c>
      <c r="AF341" s="66" t="str">
        <f t="shared" si="216"/>
        <v/>
      </c>
      <c r="AG341" s="66" t="str">
        <f t="shared" si="217"/>
        <v/>
      </c>
      <c r="AH341" s="66" t="str">
        <f t="shared" si="218"/>
        <v/>
      </c>
      <c r="AI341" s="66" t="str">
        <f t="shared" si="219"/>
        <v/>
      </c>
      <c r="AJ341" s="66" t="str">
        <f t="shared" si="220"/>
        <v/>
      </c>
    </row>
    <row r="342" spans="1:36">
      <c r="A342" s="66">
        <f t="shared" si="221"/>
        <v>20</v>
      </c>
      <c r="B342" s="66" t="str">
        <f t="shared" si="221"/>
        <v>楊鈞翔</v>
      </c>
      <c r="C342" s="66" t="str">
        <f t="shared" si="186"/>
        <v/>
      </c>
      <c r="D342" s="66" t="str">
        <f t="shared" si="188"/>
        <v/>
      </c>
      <c r="E342" s="66" t="str">
        <f t="shared" si="189"/>
        <v/>
      </c>
      <c r="F342" s="66" t="str">
        <f t="shared" si="190"/>
        <v/>
      </c>
      <c r="G342" s="66" t="str">
        <f t="shared" si="191"/>
        <v/>
      </c>
      <c r="H342" s="66" t="str">
        <f t="shared" si="192"/>
        <v/>
      </c>
      <c r="I342" s="66" t="str">
        <f t="shared" si="193"/>
        <v/>
      </c>
      <c r="J342" s="66" t="str">
        <f t="shared" si="194"/>
        <v/>
      </c>
      <c r="K342" s="66" t="str">
        <f t="shared" si="195"/>
        <v/>
      </c>
      <c r="L342" s="66" t="str">
        <f t="shared" si="196"/>
        <v/>
      </c>
      <c r="M342" s="66" t="str">
        <f t="shared" si="197"/>
        <v/>
      </c>
      <c r="N342" s="66" t="str">
        <f t="shared" si="198"/>
        <v/>
      </c>
      <c r="O342" s="66" t="str">
        <f t="shared" si="199"/>
        <v/>
      </c>
      <c r="P342" s="66" t="str">
        <f t="shared" si="200"/>
        <v/>
      </c>
      <c r="Q342" s="66" t="str">
        <f t="shared" si="201"/>
        <v/>
      </c>
      <c r="R342" s="66" t="str">
        <f t="shared" si="202"/>
        <v/>
      </c>
      <c r="S342" s="66" t="str">
        <f t="shared" si="203"/>
        <v/>
      </c>
      <c r="T342" s="66" t="str">
        <f t="shared" si="204"/>
        <v/>
      </c>
      <c r="U342" s="66" t="str">
        <f t="shared" si="205"/>
        <v/>
      </c>
      <c r="V342" s="66" t="str">
        <f t="shared" si="206"/>
        <v/>
      </c>
      <c r="W342" s="66" t="str">
        <f t="shared" si="207"/>
        <v/>
      </c>
      <c r="X342" s="66" t="str">
        <f t="shared" si="208"/>
        <v/>
      </c>
      <c r="Y342" s="66" t="str">
        <f t="shared" si="209"/>
        <v/>
      </c>
      <c r="Z342" s="66" t="str">
        <f t="shared" si="210"/>
        <v/>
      </c>
      <c r="AA342" s="66" t="str">
        <f t="shared" si="211"/>
        <v/>
      </c>
      <c r="AB342" s="66" t="str">
        <f t="shared" si="212"/>
        <v/>
      </c>
      <c r="AC342" s="66" t="str">
        <f t="shared" si="213"/>
        <v/>
      </c>
      <c r="AD342" s="66" t="str">
        <f t="shared" si="214"/>
        <v/>
      </c>
      <c r="AE342" s="66" t="str">
        <f t="shared" si="215"/>
        <v/>
      </c>
      <c r="AF342" s="66" t="str">
        <f t="shared" si="216"/>
        <v/>
      </c>
      <c r="AG342" s="66" t="str">
        <f t="shared" si="217"/>
        <v/>
      </c>
      <c r="AH342" s="66" t="str">
        <f t="shared" si="218"/>
        <v/>
      </c>
      <c r="AI342" s="66" t="str">
        <f t="shared" si="219"/>
        <v/>
      </c>
      <c r="AJ342" s="66" t="str">
        <f t="shared" si="220"/>
        <v/>
      </c>
    </row>
    <row r="343" spans="1:36">
      <c r="A343" s="66">
        <f t="shared" si="221"/>
        <v>21</v>
      </c>
      <c r="B343" s="66" t="str">
        <f t="shared" si="221"/>
        <v>邱俊閎</v>
      </c>
      <c r="C343" s="66" t="str">
        <f t="shared" si="186"/>
        <v/>
      </c>
      <c r="D343" s="66" t="str">
        <f t="shared" si="188"/>
        <v/>
      </c>
      <c r="E343" s="66" t="str">
        <f t="shared" si="189"/>
        <v/>
      </c>
      <c r="F343" s="66" t="str">
        <f t="shared" si="190"/>
        <v/>
      </c>
      <c r="G343" s="66" t="str">
        <f t="shared" si="191"/>
        <v/>
      </c>
      <c r="H343" s="66" t="str">
        <f t="shared" si="192"/>
        <v/>
      </c>
      <c r="I343" s="66" t="str">
        <f t="shared" si="193"/>
        <v/>
      </c>
      <c r="J343" s="66" t="str">
        <f t="shared" si="194"/>
        <v/>
      </c>
      <c r="K343" s="66" t="str">
        <f t="shared" si="195"/>
        <v/>
      </c>
      <c r="L343" s="66" t="str">
        <f t="shared" si="196"/>
        <v/>
      </c>
      <c r="M343" s="66" t="str">
        <f t="shared" si="197"/>
        <v/>
      </c>
      <c r="N343" s="66" t="str">
        <f t="shared" si="198"/>
        <v/>
      </c>
      <c r="O343" s="66" t="str">
        <f t="shared" si="199"/>
        <v/>
      </c>
      <c r="P343" s="66" t="str">
        <f t="shared" si="200"/>
        <v/>
      </c>
      <c r="Q343" s="66" t="str">
        <f t="shared" si="201"/>
        <v/>
      </c>
      <c r="R343" s="66" t="str">
        <f t="shared" si="202"/>
        <v/>
      </c>
      <c r="S343" s="66" t="str">
        <f t="shared" si="203"/>
        <v/>
      </c>
      <c r="T343" s="66" t="str">
        <f t="shared" si="204"/>
        <v/>
      </c>
      <c r="U343" s="66" t="str">
        <f t="shared" si="205"/>
        <v/>
      </c>
      <c r="V343" s="66" t="str">
        <f t="shared" si="206"/>
        <v/>
      </c>
      <c r="W343" s="66" t="str">
        <f t="shared" si="207"/>
        <v/>
      </c>
      <c r="X343" s="66" t="str">
        <f t="shared" si="208"/>
        <v/>
      </c>
      <c r="Y343" s="66" t="str">
        <f t="shared" si="209"/>
        <v/>
      </c>
      <c r="Z343" s="66" t="str">
        <f t="shared" si="210"/>
        <v/>
      </c>
      <c r="AA343" s="66" t="str">
        <f t="shared" si="211"/>
        <v/>
      </c>
      <c r="AB343" s="66" t="str">
        <f t="shared" si="212"/>
        <v/>
      </c>
      <c r="AC343" s="66" t="str">
        <f t="shared" si="213"/>
        <v/>
      </c>
      <c r="AD343" s="66" t="str">
        <f t="shared" si="214"/>
        <v/>
      </c>
      <c r="AE343" s="66" t="str">
        <f t="shared" si="215"/>
        <v/>
      </c>
      <c r="AF343" s="66" t="str">
        <f t="shared" si="216"/>
        <v/>
      </c>
      <c r="AG343" s="66" t="str">
        <f t="shared" si="217"/>
        <v/>
      </c>
      <c r="AH343" s="66" t="str">
        <f t="shared" si="218"/>
        <v/>
      </c>
      <c r="AI343" s="66" t="str">
        <f t="shared" si="219"/>
        <v/>
      </c>
      <c r="AJ343" s="66" t="str">
        <f t="shared" si="220"/>
        <v/>
      </c>
    </row>
    <row r="344" spans="1:36">
      <c r="A344" s="66">
        <f t="shared" si="221"/>
        <v>22</v>
      </c>
      <c r="B344" s="66" t="str">
        <f t="shared" si="221"/>
        <v>陳奕欣</v>
      </c>
      <c r="C344" s="66" t="str">
        <f t="shared" si="186"/>
        <v/>
      </c>
      <c r="D344" s="66" t="str">
        <f t="shared" si="188"/>
        <v/>
      </c>
      <c r="E344" s="66" t="str">
        <f t="shared" si="189"/>
        <v/>
      </c>
      <c r="F344" s="66" t="str">
        <f t="shared" si="190"/>
        <v/>
      </c>
      <c r="G344" s="66" t="str">
        <f t="shared" si="191"/>
        <v/>
      </c>
      <c r="H344" s="66" t="str">
        <f t="shared" si="192"/>
        <v/>
      </c>
      <c r="I344" s="66" t="str">
        <f t="shared" si="193"/>
        <v/>
      </c>
      <c r="J344" s="66" t="str">
        <f t="shared" si="194"/>
        <v/>
      </c>
      <c r="K344" s="66" t="str">
        <f t="shared" si="195"/>
        <v/>
      </c>
      <c r="L344" s="66" t="str">
        <f t="shared" si="196"/>
        <v/>
      </c>
      <c r="M344" s="66" t="str">
        <f t="shared" si="197"/>
        <v/>
      </c>
      <c r="N344" s="66" t="str">
        <f t="shared" si="198"/>
        <v/>
      </c>
      <c r="O344" s="66" t="str">
        <f t="shared" si="199"/>
        <v/>
      </c>
      <c r="P344" s="66" t="str">
        <f t="shared" si="200"/>
        <v/>
      </c>
      <c r="Q344" s="66" t="str">
        <f t="shared" si="201"/>
        <v/>
      </c>
      <c r="R344" s="66" t="str">
        <f t="shared" si="202"/>
        <v/>
      </c>
      <c r="S344" s="66" t="str">
        <f t="shared" si="203"/>
        <v/>
      </c>
      <c r="T344" s="66" t="str">
        <f t="shared" si="204"/>
        <v/>
      </c>
      <c r="U344" s="66" t="str">
        <f t="shared" si="205"/>
        <v/>
      </c>
      <c r="V344" s="66" t="str">
        <f t="shared" si="206"/>
        <v/>
      </c>
      <c r="W344" s="66" t="str">
        <f t="shared" si="207"/>
        <v/>
      </c>
      <c r="X344" s="66" t="str">
        <f t="shared" si="208"/>
        <v/>
      </c>
      <c r="Y344" s="66" t="str">
        <f t="shared" si="209"/>
        <v/>
      </c>
      <c r="Z344" s="66" t="str">
        <f t="shared" si="210"/>
        <v/>
      </c>
      <c r="AA344" s="66" t="str">
        <f t="shared" si="211"/>
        <v/>
      </c>
      <c r="AB344" s="66" t="str">
        <f t="shared" si="212"/>
        <v/>
      </c>
      <c r="AC344" s="66" t="str">
        <f t="shared" si="213"/>
        <v/>
      </c>
      <c r="AD344" s="66" t="str">
        <f t="shared" si="214"/>
        <v/>
      </c>
      <c r="AE344" s="66" t="str">
        <f t="shared" si="215"/>
        <v/>
      </c>
      <c r="AF344" s="66" t="str">
        <f t="shared" si="216"/>
        <v/>
      </c>
      <c r="AG344" s="66" t="str">
        <f t="shared" si="217"/>
        <v/>
      </c>
      <c r="AH344" s="66" t="str">
        <f t="shared" si="218"/>
        <v/>
      </c>
      <c r="AI344" s="66" t="str">
        <f t="shared" si="219"/>
        <v/>
      </c>
      <c r="AJ344" s="66" t="str">
        <f t="shared" si="220"/>
        <v/>
      </c>
    </row>
    <row r="345" spans="1:36">
      <c r="A345" s="66">
        <f t="shared" si="221"/>
        <v>23</v>
      </c>
      <c r="B345" s="66" t="str">
        <f t="shared" si="221"/>
        <v>阮成山</v>
      </c>
      <c r="C345" s="66" t="str">
        <f t="shared" si="186"/>
        <v/>
      </c>
      <c r="D345" s="66" t="str">
        <f t="shared" si="188"/>
        <v/>
      </c>
      <c r="E345" s="66" t="str">
        <f t="shared" si="189"/>
        <v/>
      </c>
      <c r="F345" s="66" t="str">
        <f t="shared" si="190"/>
        <v/>
      </c>
      <c r="G345" s="66" t="str">
        <f t="shared" si="191"/>
        <v/>
      </c>
      <c r="H345" s="66" t="str">
        <f t="shared" si="192"/>
        <v/>
      </c>
      <c r="I345" s="66" t="str">
        <f t="shared" si="193"/>
        <v/>
      </c>
      <c r="J345" s="66" t="str">
        <f t="shared" si="194"/>
        <v/>
      </c>
      <c r="K345" s="66" t="str">
        <f t="shared" si="195"/>
        <v/>
      </c>
      <c r="L345" s="66" t="str">
        <f t="shared" si="196"/>
        <v/>
      </c>
      <c r="M345" s="66" t="str">
        <f t="shared" si="197"/>
        <v/>
      </c>
      <c r="N345" s="66" t="str">
        <f t="shared" si="198"/>
        <v/>
      </c>
      <c r="O345" s="66" t="str">
        <f t="shared" si="199"/>
        <v/>
      </c>
      <c r="P345" s="66" t="str">
        <f t="shared" si="200"/>
        <v/>
      </c>
      <c r="Q345" s="66" t="str">
        <f t="shared" si="201"/>
        <v/>
      </c>
      <c r="R345" s="66" t="str">
        <f t="shared" si="202"/>
        <v/>
      </c>
      <c r="S345" s="66" t="str">
        <f t="shared" si="203"/>
        <v/>
      </c>
      <c r="T345" s="66" t="str">
        <f t="shared" si="204"/>
        <v/>
      </c>
      <c r="U345" s="66" t="str">
        <f t="shared" si="205"/>
        <v/>
      </c>
      <c r="V345" s="66" t="str">
        <f t="shared" si="206"/>
        <v/>
      </c>
      <c r="W345" s="66" t="str">
        <f t="shared" si="207"/>
        <v/>
      </c>
      <c r="X345" s="66" t="str">
        <f t="shared" si="208"/>
        <v/>
      </c>
      <c r="Y345" s="66" t="str">
        <f t="shared" si="209"/>
        <v/>
      </c>
      <c r="Z345" s="66" t="str">
        <f t="shared" si="210"/>
        <v/>
      </c>
      <c r="AA345" s="66" t="str">
        <f t="shared" si="211"/>
        <v/>
      </c>
      <c r="AB345" s="66" t="str">
        <f t="shared" si="212"/>
        <v/>
      </c>
      <c r="AC345" s="66" t="str">
        <f t="shared" si="213"/>
        <v/>
      </c>
      <c r="AD345" s="66" t="str">
        <f t="shared" si="214"/>
        <v/>
      </c>
      <c r="AE345" s="66" t="str">
        <f t="shared" si="215"/>
        <v/>
      </c>
      <c r="AF345" s="66" t="str">
        <f t="shared" si="216"/>
        <v/>
      </c>
      <c r="AG345" s="66" t="str">
        <f t="shared" si="217"/>
        <v/>
      </c>
      <c r="AH345" s="66" t="str">
        <f t="shared" si="218"/>
        <v/>
      </c>
      <c r="AI345" s="66" t="str">
        <f t="shared" si="219"/>
        <v/>
      </c>
      <c r="AJ345" s="66" t="str">
        <f t="shared" si="220"/>
        <v/>
      </c>
    </row>
    <row r="346" spans="1:36">
      <c r="A346" s="66">
        <f t="shared" si="221"/>
        <v>24</v>
      </c>
      <c r="B346" s="66" t="str">
        <f t="shared" si="221"/>
        <v>黃品傑</v>
      </c>
      <c r="C346" s="66" t="str">
        <f t="shared" si="186"/>
        <v/>
      </c>
      <c r="D346" s="66" t="str">
        <f t="shared" si="188"/>
        <v/>
      </c>
      <c r="E346" s="66" t="str">
        <f t="shared" si="189"/>
        <v/>
      </c>
      <c r="F346" s="66" t="str">
        <f t="shared" si="190"/>
        <v/>
      </c>
      <c r="G346" s="66" t="str">
        <f t="shared" si="191"/>
        <v/>
      </c>
      <c r="H346" s="66" t="str">
        <f t="shared" si="192"/>
        <v/>
      </c>
      <c r="I346" s="66" t="str">
        <f t="shared" si="193"/>
        <v/>
      </c>
      <c r="J346" s="66" t="str">
        <f t="shared" si="194"/>
        <v/>
      </c>
      <c r="K346" s="66" t="str">
        <f t="shared" si="195"/>
        <v/>
      </c>
      <c r="L346" s="66" t="str">
        <f t="shared" si="196"/>
        <v/>
      </c>
      <c r="M346" s="66" t="str">
        <f t="shared" si="197"/>
        <v/>
      </c>
      <c r="N346" s="66" t="str">
        <f t="shared" si="198"/>
        <v/>
      </c>
      <c r="O346" s="66" t="str">
        <f t="shared" si="199"/>
        <v/>
      </c>
      <c r="P346" s="66" t="str">
        <f t="shared" si="200"/>
        <v/>
      </c>
      <c r="Q346" s="66" t="str">
        <f t="shared" si="201"/>
        <v/>
      </c>
      <c r="R346" s="66" t="str">
        <f t="shared" si="202"/>
        <v/>
      </c>
      <c r="S346" s="66" t="str">
        <f t="shared" si="203"/>
        <v/>
      </c>
      <c r="T346" s="66" t="str">
        <f t="shared" si="204"/>
        <v/>
      </c>
      <c r="U346" s="66" t="str">
        <f t="shared" si="205"/>
        <v/>
      </c>
      <c r="V346" s="66" t="str">
        <f t="shared" si="206"/>
        <v/>
      </c>
      <c r="W346" s="66" t="str">
        <f t="shared" si="207"/>
        <v/>
      </c>
      <c r="X346" s="66" t="str">
        <f t="shared" si="208"/>
        <v/>
      </c>
      <c r="Y346" s="66" t="str">
        <f t="shared" si="209"/>
        <v/>
      </c>
      <c r="Z346" s="66" t="str">
        <f t="shared" si="210"/>
        <v/>
      </c>
      <c r="AA346" s="66" t="str">
        <f t="shared" si="211"/>
        <v/>
      </c>
      <c r="AB346" s="66" t="str">
        <f t="shared" si="212"/>
        <v/>
      </c>
      <c r="AC346" s="66" t="str">
        <f t="shared" si="213"/>
        <v/>
      </c>
      <c r="AD346" s="66" t="str">
        <f t="shared" si="214"/>
        <v/>
      </c>
      <c r="AE346" s="66" t="str">
        <f t="shared" si="215"/>
        <v/>
      </c>
      <c r="AF346" s="66" t="str">
        <f t="shared" si="216"/>
        <v/>
      </c>
      <c r="AG346" s="66" t="str">
        <f t="shared" si="217"/>
        <v/>
      </c>
      <c r="AH346" s="66" t="str">
        <f t="shared" si="218"/>
        <v/>
      </c>
      <c r="AI346" s="66" t="str">
        <f t="shared" si="219"/>
        <v/>
      </c>
      <c r="AJ346" s="66" t="str">
        <f t="shared" si="220"/>
        <v/>
      </c>
    </row>
    <row r="347" spans="1:36">
      <c r="A347" s="66">
        <f t="shared" si="221"/>
        <v>25</v>
      </c>
      <c r="B347" s="66" t="str">
        <f t="shared" si="221"/>
        <v>唐正瑋</v>
      </c>
      <c r="C347" s="66" t="str">
        <f t="shared" si="186"/>
        <v/>
      </c>
      <c r="D347" s="66" t="str">
        <f t="shared" si="188"/>
        <v/>
      </c>
      <c r="E347" s="66" t="str">
        <f t="shared" si="189"/>
        <v/>
      </c>
      <c r="F347" s="66" t="str">
        <f t="shared" si="190"/>
        <v/>
      </c>
      <c r="G347" s="66" t="str">
        <f t="shared" si="191"/>
        <v/>
      </c>
      <c r="H347" s="66" t="str">
        <f t="shared" si="192"/>
        <v/>
      </c>
      <c r="I347" s="66" t="str">
        <f t="shared" si="193"/>
        <v>25(8-12時)</v>
      </c>
      <c r="J347" s="66" t="str">
        <f t="shared" si="194"/>
        <v/>
      </c>
      <c r="K347" s="66" t="str">
        <f t="shared" si="195"/>
        <v/>
      </c>
      <c r="L347" s="66" t="str">
        <f t="shared" si="196"/>
        <v/>
      </c>
      <c r="M347" s="66" t="str">
        <f t="shared" si="197"/>
        <v/>
      </c>
      <c r="N347" s="66" t="str">
        <f t="shared" si="198"/>
        <v/>
      </c>
      <c r="O347" s="66" t="str">
        <f t="shared" si="199"/>
        <v/>
      </c>
      <c r="P347" s="66" t="str">
        <f t="shared" si="200"/>
        <v/>
      </c>
      <c r="Q347" s="66" t="str">
        <f t="shared" si="201"/>
        <v/>
      </c>
      <c r="R347" s="66" t="str">
        <f t="shared" si="202"/>
        <v/>
      </c>
      <c r="S347" s="66" t="str">
        <f t="shared" si="203"/>
        <v/>
      </c>
      <c r="T347" s="66" t="str">
        <f t="shared" si="204"/>
        <v>25(13-17時)</v>
      </c>
      <c r="U347" s="66" t="str">
        <f t="shared" si="205"/>
        <v/>
      </c>
      <c r="V347" s="66" t="str">
        <f t="shared" si="206"/>
        <v/>
      </c>
      <c r="W347" s="66" t="str">
        <f t="shared" si="207"/>
        <v>25(8-12時)</v>
      </c>
      <c r="X347" s="66" t="str">
        <f t="shared" si="208"/>
        <v/>
      </c>
      <c r="Y347" s="66" t="str">
        <f t="shared" si="209"/>
        <v/>
      </c>
      <c r="Z347" s="66" t="str">
        <f t="shared" si="210"/>
        <v/>
      </c>
      <c r="AA347" s="66" t="str">
        <f t="shared" si="211"/>
        <v/>
      </c>
      <c r="AB347" s="66" t="str">
        <f t="shared" si="212"/>
        <v/>
      </c>
      <c r="AC347" s="66" t="str">
        <f t="shared" si="213"/>
        <v/>
      </c>
      <c r="AD347" s="66" t="str">
        <f t="shared" si="214"/>
        <v/>
      </c>
      <c r="AE347" s="66" t="str">
        <f t="shared" si="215"/>
        <v/>
      </c>
      <c r="AF347" s="66" t="str">
        <f t="shared" si="216"/>
        <v/>
      </c>
      <c r="AG347" s="66" t="str">
        <f t="shared" si="217"/>
        <v/>
      </c>
      <c r="AH347" s="66" t="str">
        <f t="shared" si="218"/>
        <v/>
      </c>
      <c r="AI347" s="66" t="str">
        <f t="shared" si="219"/>
        <v/>
      </c>
      <c r="AJ347" s="66" t="str">
        <f t="shared" si="220"/>
        <v/>
      </c>
    </row>
    <row r="348" spans="1:36">
      <c r="A348" s="66">
        <f t="shared" si="221"/>
        <v>26</v>
      </c>
      <c r="B348" s="66" t="str">
        <f t="shared" si="221"/>
        <v>曾慶鈞</v>
      </c>
      <c r="C348" s="66" t="str">
        <f t="shared" si="186"/>
        <v/>
      </c>
      <c r="D348" s="66" t="str">
        <f t="shared" si="188"/>
        <v/>
      </c>
      <c r="E348" s="66" t="str">
        <f t="shared" si="189"/>
        <v/>
      </c>
      <c r="F348" s="66" t="str">
        <f t="shared" si="190"/>
        <v/>
      </c>
      <c r="G348" s="66" t="str">
        <f t="shared" si="191"/>
        <v/>
      </c>
      <c r="H348" s="66" t="str">
        <f t="shared" si="192"/>
        <v/>
      </c>
      <c r="I348" s="66" t="str">
        <f t="shared" si="193"/>
        <v>.</v>
      </c>
      <c r="J348" s="66" t="str">
        <f t="shared" si="194"/>
        <v/>
      </c>
      <c r="K348" s="66" t="str">
        <f t="shared" si="195"/>
        <v/>
      </c>
      <c r="L348" s="66" t="str">
        <f t="shared" si="196"/>
        <v/>
      </c>
      <c r="M348" s="66" t="str">
        <f t="shared" si="197"/>
        <v/>
      </c>
      <c r="N348" s="66" t="str">
        <f t="shared" si="198"/>
        <v/>
      </c>
      <c r="O348" s="66" t="str">
        <f t="shared" si="199"/>
        <v/>
      </c>
      <c r="P348" s="66" t="str">
        <f t="shared" si="200"/>
        <v/>
      </c>
      <c r="Q348" s="66" t="str">
        <f t="shared" si="201"/>
        <v/>
      </c>
      <c r="R348" s="66" t="str">
        <f t="shared" si="202"/>
        <v/>
      </c>
      <c r="S348" s="66" t="str">
        <f t="shared" si="203"/>
        <v/>
      </c>
      <c r="T348" s="66" t="str">
        <f t="shared" si="204"/>
        <v>.</v>
      </c>
      <c r="U348" s="66" t="str">
        <f t="shared" si="205"/>
        <v/>
      </c>
      <c r="V348" s="66" t="str">
        <f t="shared" si="206"/>
        <v/>
      </c>
      <c r="W348" s="66" t="str">
        <f t="shared" si="207"/>
        <v>.</v>
      </c>
      <c r="X348" s="66" t="str">
        <f t="shared" si="208"/>
        <v/>
      </c>
      <c r="Y348" s="66" t="str">
        <f t="shared" si="209"/>
        <v/>
      </c>
      <c r="Z348" s="66" t="str">
        <f t="shared" si="210"/>
        <v/>
      </c>
      <c r="AA348" s="66" t="str">
        <f t="shared" si="211"/>
        <v/>
      </c>
      <c r="AB348" s="66" t="str">
        <f t="shared" si="212"/>
        <v/>
      </c>
      <c r="AC348" s="66" t="str">
        <f t="shared" si="213"/>
        <v/>
      </c>
      <c r="AD348" s="66" t="str">
        <f t="shared" si="214"/>
        <v/>
      </c>
      <c r="AE348" s="66" t="str">
        <f t="shared" si="215"/>
        <v/>
      </c>
      <c r="AF348" s="66" t="str">
        <f t="shared" si="216"/>
        <v/>
      </c>
      <c r="AG348" s="66" t="str">
        <f t="shared" si="217"/>
        <v/>
      </c>
      <c r="AH348" s="66" t="str">
        <f t="shared" si="218"/>
        <v/>
      </c>
      <c r="AI348" s="66" t="str">
        <f t="shared" si="219"/>
        <v/>
      </c>
      <c r="AJ348" s="66" t="str">
        <f t="shared" si="220"/>
        <v/>
      </c>
    </row>
    <row r="349" spans="1:36">
      <c r="A349" s="66">
        <f t="shared" si="221"/>
        <v>27</v>
      </c>
      <c r="B349" s="66" t="str">
        <f t="shared" si="221"/>
        <v>游瀚翔</v>
      </c>
      <c r="C349" s="66" t="str">
        <f t="shared" si="186"/>
        <v/>
      </c>
      <c r="D349" s="66" t="str">
        <f t="shared" si="188"/>
        <v/>
      </c>
      <c r="E349" s="66" t="str">
        <f t="shared" si="189"/>
        <v/>
      </c>
      <c r="F349" s="66" t="str">
        <f t="shared" si="190"/>
        <v/>
      </c>
      <c r="G349" s="66" t="str">
        <f t="shared" si="191"/>
        <v/>
      </c>
      <c r="H349" s="66" t="str">
        <f t="shared" si="192"/>
        <v/>
      </c>
      <c r="I349" s="66" t="str">
        <f t="shared" si="193"/>
        <v/>
      </c>
      <c r="J349" s="66" t="str">
        <f t="shared" si="194"/>
        <v/>
      </c>
      <c r="K349" s="66" t="str">
        <f t="shared" si="195"/>
        <v/>
      </c>
      <c r="L349" s="66" t="str">
        <f t="shared" si="196"/>
        <v/>
      </c>
      <c r="M349" s="66" t="str">
        <f t="shared" si="197"/>
        <v>27(17-21時)</v>
      </c>
      <c r="N349" s="66" t="str">
        <f t="shared" si="198"/>
        <v/>
      </c>
      <c r="O349" s="66" t="str">
        <f t="shared" si="199"/>
        <v/>
      </c>
      <c r="P349" s="66" t="str">
        <f t="shared" si="200"/>
        <v/>
      </c>
      <c r="Q349" s="66" t="str">
        <f t="shared" si="201"/>
        <v/>
      </c>
      <c r="R349" s="66" t="str">
        <f t="shared" si="202"/>
        <v/>
      </c>
      <c r="S349" s="66" t="str">
        <f t="shared" si="203"/>
        <v/>
      </c>
      <c r="T349" s="66" t="str">
        <f t="shared" si="204"/>
        <v>27(17-21時)</v>
      </c>
      <c r="U349" s="66" t="str">
        <f t="shared" si="205"/>
        <v>27(17-21時)</v>
      </c>
      <c r="V349" s="66" t="str">
        <f t="shared" si="206"/>
        <v/>
      </c>
      <c r="W349" s="66" t="str">
        <f t="shared" si="207"/>
        <v>27(17-21時)</v>
      </c>
      <c r="X349" s="66" t="str">
        <f t="shared" si="208"/>
        <v/>
      </c>
      <c r="Y349" s="66" t="str">
        <f t="shared" si="209"/>
        <v/>
      </c>
      <c r="Z349" s="66" t="str">
        <f t="shared" si="210"/>
        <v/>
      </c>
      <c r="AA349" s="66" t="str">
        <f t="shared" si="211"/>
        <v/>
      </c>
      <c r="AB349" s="66" t="str">
        <f t="shared" si="212"/>
        <v/>
      </c>
      <c r="AC349" s="66" t="str">
        <f t="shared" si="213"/>
        <v/>
      </c>
      <c r="AD349" s="66" t="str">
        <f t="shared" si="214"/>
        <v/>
      </c>
      <c r="AE349" s="66" t="str">
        <f t="shared" si="215"/>
        <v/>
      </c>
      <c r="AF349" s="66" t="str">
        <f t="shared" si="216"/>
        <v/>
      </c>
      <c r="AG349" s="66" t="str">
        <f t="shared" si="217"/>
        <v/>
      </c>
      <c r="AH349" s="66" t="str">
        <f t="shared" si="218"/>
        <v/>
      </c>
      <c r="AI349" s="66" t="str">
        <f t="shared" si="219"/>
        <v/>
      </c>
      <c r="AJ349" s="66" t="str">
        <f t="shared" si="220"/>
        <v/>
      </c>
    </row>
    <row r="350" spans="1:36">
      <c r="A350" s="66">
        <f t="shared" si="221"/>
        <v>28</v>
      </c>
      <c r="B350" s="66" t="str">
        <f t="shared" si="221"/>
        <v>高仲廷</v>
      </c>
      <c r="C350" s="66" t="str">
        <f t="shared" si="186"/>
        <v/>
      </c>
      <c r="D350" s="66" t="str">
        <f t="shared" si="188"/>
        <v/>
      </c>
      <c r="E350" s="66" t="str">
        <f t="shared" si="189"/>
        <v/>
      </c>
      <c r="F350" s="66" t="str">
        <f t="shared" si="190"/>
        <v/>
      </c>
      <c r="G350" s="66" t="str">
        <f t="shared" si="191"/>
        <v/>
      </c>
      <c r="H350" s="66" t="str">
        <f t="shared" si="192"/>
        <v/>
      </c>
      <c r="I350" s="66" t="str">
        <f t="shared" si="193"/>
        <v/>
      </c>
      <c r="J350" s="66" t="str">
        <f t="shared" si="194"/>
        <v/>
      </c>
      <c r="K350" s="66" t="str">
        <f t="shared" si="195"/>
        <v/>
      </c>
      <c r="L350" s="66" t="str">
        <f t="shared" si="196"/>
        <v/>
      </c>
      <c r="M350" s="66" t="str">
        <f t="shared" si="197"/>
        <v>.</v>
      </c>
      <c r="N350" s="66" t="str">
        <f t="shared" si="198"/>
        <v/>
      </c>
      <c r="O350" s="66" t="str">
        <f t="shared" si="199"/>
        <v/>
      </c>
      <c r="P350" s="66" t="str">
        <f t="shared" si="200"/>
        <v/>
      </c>
      <c r="Q350" s="66" t="str">
        <f t="shared" si="201"/>
        <v/>
      </c>
      <c r="R350" s="66" t="str">
        <f t="shared" si="202"/>
        <v/>
      </c>
      <c r="S350" s="66" t="str">
        <f t="shared" si="203"/>
        <v/>
      </c>
      <c r="T350" s="66" t="str">
        <f t="shared" si="204"/>
        <v>.</v>
      </c>
      <c r="U350" s="66" t="str">
        <f t="shared" si="205"/>
        <v>.</v>
      </c>
      <c r="V350" s="66" t="str">
        <f t="shared" si="206"/>
        <v/>
      </c>
      <c r="W350" s="66" t="str">
        <f t="shared" si="207"/>
        <v>.</v>
      </c>
      <c r="X350" s="66" t="str">
        <f t="shared" si="208"/>
        <v/>
      </c>
      <c r="Y350" s="66" t="str">
        <f t="shared" si="209"/>
        <v/>
      </c>
      <c r="Z350" s="66" t="str">
        <f t="shared" si="210"/>
        <v/>
      </c>
      <c r="AA350" s="66" t="str">
        <f t="shared" si="211"/>
        <v/>
      </c>
      <c r="AB350" s="66" t="str">
        <f t="shared" si="212"/>
        <v/>
      </c>
      <c r="AC350" s="66" t="str">
        <f t="shared" si="213"/>
        <v/>
      </c>
      <c r="AD350" s="66" t="str">
        <f t="shared" si="214"/>
        <v/>
      </c>
      <c r="AE350" s="66" t="str">
        <f t="shared" si="215"/>
        <v/>
      </c>
      <c r="AF350" s="66" t="str">
        <f t="shared" si="216"/>
        <v/>
      </c>
      <c r="AG350" s="66" t="str">
        <f t="shared" si="217"/>
        <v/>
      </c>
      <c r="AH350" s="66" t="str">
        <f t="shared" si="218"/>
        <v/>
      </c>
      <c r="AI350" s="66" t="str">
        <f t="shared" si="219"/>
        <v/>
      </c>
      <c r="AJ350" s="66" t="str">
        <f t="shared" si="220"/>
        <v/>
      </c>
    </row>
    <row r="351" spans="1:36">
      <c r="A351" s="66">
        <f t="shared" si="221"/>
        <v>29</v>
      </c>
      <c r="B351" s="66" t="str">
        <f t="shared" si="221"/>
        <v>陳羲</v>
      </c>
      <c r="C351" s="66" t="str">
        <f t="shared" si="186"/>
        <v/>
      </c>
      <c r="D351" s="66" t="str">
        <f t="shared" si="188"/>
        <v/>
      </c>
      <c r="E351" s="66" t="str">
        <f t="shared" si="189"/>
        <v/>
      </c>
      <c r="F351" s="66" t="str">
        <f t="shared" si="190"/>
        <v/>
      </c>
      <c r="G351" s="66" t="str">
        <f t="shared" si="191"/>
        <v/>
      </c>
      <c r="H351" s="66" t="str">
        <f t="shared" si="192"/>
        <v/>
      </c>
      <c r="I351" s="66" t="str">
        <f t="shared" si="193"/>
        <v/>
      </c>
      <c r="J351" s="66" t="str">
        <f t="shared" si="194"/>
        <v/>
      </c>
      <c r="K351" s="66" t="str">
        <f t="shared" si="195"/>
        <v/>
      </c>
      <c r="L351" s="66" t="str">
        <f t="shared" si="196"/>
        <v/>
      </c>
      <c r="M351" s="66" t="str">
        <f t="shared" si="197"/>
        <v/>
      </c>
      <c r="N351" s="66" t="str">
        <f t="shared" si="198"/>
        <v/>
      </c>
      <c r="O351" s="66" t="str">
        <f t="shared" si="199"/>
        <v/>
      </c>
      <c r="P351" s="66" t="str">
        <f t="shared" si="200"/>
        <v/>
      </c>
      <c r="Q351" s="66" t="str">
        <f t="shared" si="201"/>
        <v/>
      </c>
      <c r="R351" s="66" t="str">
        <f t="shared" si="202"/>
        <v/>
      </c>
      <c r="S351" s="66" t="str">
        <f t="shared" si="203"/>
        <v/>
      </c>
      <c r="T351" s="66" t="str">
        <f t="shared" si="204"/>
        <v/>
      </c>
      <c r="U351" s="66" t="str">
        <f t="shared" si="205"/>
        <v/>
      </c>
      <c r="V351" s="66" t="str">
        <f t="shared" si="206"/>
        <v/>
      </c>
      <c r="W351" s="66" t="str">
        <f t="shared" si="207"/>
        <v/>
      </c>
      <c r="X351" s="66" t="str">
        <f t="shared" si="208"/>
        <v/>
      </c>
      <c r="Y351" s="66" t="str">
        <f t="shared" si="209"/>
        <v/>
      </c>
      <c r="Z351" s="66" t="str">
        <f t="shared" si="210"/>
        <v/>
      </c>
      <c r="AA351" s="66" t="str">
        <f t="shared" si="211"/>
        <v/>
      </c>
      <c r="AB351" s="66" t="str">
        <f t="shared" si="212"/>
        <v/>
      </c>
      <c r="AC351" s="66" t="str">
        <f t="shared" si="213"/>
        <v/>
      </c>
      <c r="AD351" s="66" t="str">
        <f t="shared" si="214"/>
        <v/>
      </c>
      <c r="AE351" s="66" t="str">
        <f t="shared" si="215"/>
        <v/>
      </c>
      <c r="AF351" s="66" t="str">
        <f t="shared" si="216"/>
        <v/>
      </c>
      <c r="AG351" s="66" t="str">
        <f t="shared" si="217"/>
        <v/>
      </c>
      <c r="AH351" s="66" t="str">
        <f t="shared" si="218"/>
        <v/>
      </c>
      <c r="AI351" s="66" t="str">
        <f t="shared" si="219"/>
        <v/>
      </c>
      <c r="AJ351" s="66" t="str">
        <f t="shared" si="220"/>
        <v/>
      </c>
    </row>
    <row r="352" spans="1:36">
      <c r="A352" s="66">
        <f t="shared" si="221"/>
        <v>30</v>
      </c>
      <c r="B352" s="66" t="str">
        <f t="shared" si="221"/>
        <v>謝昕融</v>
      </c>
      <c r="C352" s="66">
        <f t="shared" si="186"/>
        <v>30</v>
      </c>
      <c r="D352" s="66">
        <f t="shared" si="188"/>
        <v>30</v>
      </c>
      <c r="E352" s="66" t="str">
        <f t="shared" si="189"/>
        <v/>
      </c>
      <c r="F352" s="66" t="str">
        <f t="shared" si="190"/>
        <v/>
      </c>
      <c r="G352" s="66" t="str">
        <f t="shared" si="191"/>
        <v/>
      </c>
      <c r="H352" s="66" t="str">
        <f t="shared" si="192"/>
        <v/>
      </c>
      <c r="I352" s="66" t="str">
        <f t="shared" si="193"/>
        <v/>
      </c>
      <c r="J352" s="66" t="str">
        <f t="shared" si="194"/>
        <v/>
      </c>
      <c r="K352" s="66" t="str">
        <f t="shared" si="195"/>
        <v/>
      </c>
      <c r="L352" s="66" t="str">
        <f t="shared" si="196"/>
        <v/>
      </c>
      <c r="M352" s="66" t="str">
        <f t="shared" si="197"/>
        <v/>
      </c>
      <c r="N352" s="66" t="str">
        <f t="shared" si="198"/>
        <v/>
      </c>
      <c r="O352" s="66" t="str">
        <f t="shared" si="199"/>
        <v/>
      </c>
      <c r="P352" s="66" t="str">
        <f t="shared" si="200"/>
        <v/>
      </c>
      <c r="Q352" s="66" t="str">
        <f t="shared" si="201"/>
        <v/>
      </c>
      <c r="R352" s="66" t="str">
        <f t="shared" si="202"/>
        <v/>
      </c>
      <c r="S352" s="66" t="str">
        <f t="shared" si="203"/>
        <v/>
      </c>
      <c r="T352" s="66" t="str">
        <f t="shared" si="204"/>
        <v/>
      </c>
      <c r="U352" s="66" t="str">
        <f t="shared" si="205"/>
        <v/>
      </c>
      <c r="V352" s="66" t="str">
        <f t="shared" si="206"/>
        <v/>
      </c>
      <c r="W352" s="66" t="str">
        <f t="shared" si="207"/>
        <v/>
      </c>
      <c r="X352" s="66" t="str">
        <f t="shared" si="208"/>
        <v/>
      </c>
      <c r="Y352" s="66" t="str">
        <f t="shared" si="209"/>
        <v/>
      </c>
      <c r="Z352" s="66" t="str">
        <f t="shared" si="210"/>
        <v/>
      </c>
      <c r="AA352" s="66" t="str">
        <f t="shared" si="211"/>
        <v/>
      </c>
      <c r="AB352" s="66" t="str">
        <f t="shared" si="212"/>
        <v/>
      </c>
      <c r="AC352" s="66" t="str">
        <f t="shared" si="213"/>
        <v/>
      </c>
      <c r="AD352" s="66" t="str">
        <f t="shared" si="214"/>
        <v/>
      </c>
      <c r="AE352" s="66" t="str">
        <f t="shared" si="215"/>
        <v/>
      </c>
      <c r="AF352" s="66" t="str">
        <f t="shared" si="216"/>
        <v/>
      </c>
      <c r="AG352" s="66" t="str">
        <f t="shared" si="217"/>
        <v/>
      </c>
      <c r="AH352" s="66" t="str">
        <f t="shared" si="218"/>
        <v/>
      </c>
      <c r="AI352" s="66" t="str">
        <f t="shared" si="219"/>
        <v/>
      </c>
      <c r="AJ352" s="66" t="str">
        <f t="shared" si="220"/>
        <v/>
      </c>
    </row>
    <row r="353" spans="1:55">
      <c r="A353" s="66">
        <f t="shared" si="221"/>
        <v>31</v>
      </c>
      <c r="B353" s="66" t="str">
        <f t="shared" si="221"/>
        <v>許峰銘</v>
      </c>
      <c r="C353" s="66" t="str">
        <f t="shared" si="186"/>
        <v>.</v>
      </c>
      <c r="D353" s="66" t="str">
        <f t="shared" si="188"/>
        <v>.</v>
      </c>
      <c r="E353" s="66" t="str">
        <f t="shared" si="189"/>
        <v/>
      </c>
      <c r="F353" s="66" t="str">
        <f t="shared" si="190"/>
        <v/>
      </c>
      <c r="G353" s="66" t="str">
        <f t="shared" si="191"/>
        <v/>
      </c>
      <c r="H353" s="66" t="str">
        <f t="shared" si="192"/>
        <v/>
      </c>
      <c r="I353" s="66" t="str">
        <f t="shared" si="193"/>
        <v/>
      </c>
      <c r="J353" s="66" t="str">
        <f t="shared" si="194"/>
        <v/>
      </c>
      <c r="K353" s="66" t="str">
        <f t="shared" si="195"/>
        <v/>
      </c>
      <c r="L353" s="66" t="str">
        <f t="shared" si="196"/>
        <v/>
      </c>
      <c r="M353" s="66" t="str">
        <f t="shared" si="197"/>
        <v/>
      </c>
      <c r="N353" s="66" t="str">
        <f t="shared" si="198"/>
        <v/>
      </c>
      <c r="O353" s="66" t="str">
        <f t="shared" si="199"/>
        <v/>
      </c>
      <c r="P353" s="66" t="str">
        <f t="shared" si="200"/>
        <v/>
      </c>
      <c r="Q353" s="66" t="str">
        <f t="shared" si="201"/>
        <v/>
      </c>
      <c r="R353" s="66" t="str">
        <f t="shared" si="202"/>
        <v/>
      </c>
      <c r="S353" s="66" t="str">
        <f t="shared" si="203"/>
        <v/>
      </c>
      <c r="T353" s="66" t="str">
        <f t="shared" si="204"/>
        <v/>
      </c>
      <c r="U353" s="66" t="str">
        <f t="shared" si="205"/>
        <v/>
      </c>
      <c r="V353" s="66" t="str">
        <f t="shared" si="206"/>
        <v/>
      </c>
      <c r="W353" s="66" t="str">
        <f t="shared" si="207"/>
        <v/>
      </c>
      <c r="X353" s="66" t="str">
        <f t="shared" si="208"/>
        <v/>
      </c>
      <c r="Y353" s="66" t="str">
        <f t="shared" si="209"/>
        <v/>
      </c>
      <c r="Z353" s="66" t="str">
        <f t="shared" si="210"/>
        <v/>
      </c>
      <c r="AA353" s="66" t="str">
        <f t="shared" si="211"/>
        <v/>
      </c>
      <c r="AB353" s="66" t="str">
        <f t="shared" si="212"/>
        <v/>
      </c>
      <c r="AC353" s="66" t="str">
        <f t="shared" si="213"/>
        <v/>
      </c>
      <c r="AD353" s="66" t="str">
        <f t="shared" si="214"/>
        <v/>
      </c>
      <c r="AE353" s="66" t="str">
        <f t="shared" si="215"/>
        <v/>
      </c>
      <c r="AF353" s="66" t="str">
        <f t="shared" si="216"/>
        <v/>
      </c>
      <c r="AG353" s="66" t="str">
        <f t="shared" si="217"/>
        <v/>
      </c>
      <c r="AH353" s="66" t="str">
        <f t="shared" si="218"/>
        <v/>
      </c>
      <c r="AI353" s="66" t="str">
        <f t="shared" si="219"/>
        <v/>
      </c>
      <c r="AJ353" s="66" t="str">
        <f t="shared" si="220"/>
        <v/>
      </c>
    </row>
    <row r="354" spans="1:55">
      <c r="A354" s="66">
        <f t="shared" si="221"/>
        <v>32</v>
      </c>
      <c r="B354" s="66" t="str">
        <f t="shared" si="221"/>
        <v>莊博竣</v>
      </c>
      <c r="C354" s="66">
        <f t="shared" si="186"/>
        <v>32</v>
      </c>
      <c r="D354" s="66">
        <f t="shared" si="188"/>
        <v>32</v>
      </c>
      <c r="E354" s="66">
        <f t="shared" si="189"/>
        <v>32</v>
      </c>
      <c r="F354" s="66">
        <f t="shared" si="190"/>
        <v>32</v>
      </c>
      <c r="G354" s="66">
        <f t="shared" si="191"/>
        <v>32</v>
      </c>
      <c r="H354" s="66">
        <f t="shared" si="192"/>
        <v>32</v>
      </c>
      <c r="I354" s="66">
        <f t="shared" si="193"/>
        <v>32</v>
      </c>
      <c r="J354" s="66">
        <f t="shared" si="194"/>
        <v>32</v>
      </c>
      <c r="K354" s="66">
        <f t="shared" si="195"/>
        <v>32</v>
      </c>
      <c r="L354" s="66">
        <f t="shared" si="196"/>
        <v>32</v>
      </c>
      <c r="M354" s="66">
        <f t="shared" si="197"/>
        <v>32</v>
      </c>
      <c r="N354" s="66">
        <f t="shared" si="198"/>
        <v>32</v>
      </c>
      <c r="O354" s="66">
        <f t="shared" si="199"/>
        <v>32</v>
      </c>
      <c r="P354" s="66">
        <f t="shared" si="200"/>
        <v>32</v>
      </c>
      <c r="Q354" s="66">
        <f t="shared" si="201"/>
        <v>32</v>
      </c>
      <c r="R354" s="66">
        <f t="shared" si="202"/>
        <v>32</v>
      </c>
      <c r="S354" s="66">
        <f t="shared" si="203"/>
        <v>32</v>
      </c>
      <c r="T354" s="66">
        <f t="shared" si="204"/>
        <v>32</v>
      </c>
      <c r="U354" s="66">
        <f t="shared" si="205"/>
        <v>32</v>
      </c>
      <c r="V354" s="66">
        <f t="shared" si="206"/>
        <v>32</v>
      </c>
      <c r="W354" s="66">
        <f t="shared" si="207"/>
        <v>32</v>
      </c>
      <c r="X354" s="66">
        <f t="shared" si="208"/>
        <v>32</v>
      </c>
      <c r="Y354" s="66">
        <f t="shared" si="209"/>
        <v>32</v>
      </c>
      <c r="Z354" s="66">
        <f t="shared" si="210"/>
        <v>32</v>
      </c>
      <c r="AA354" s="66">
        <f t="shared" si="211"/>
        <v>32</v>
      </c>
      <c r="AB354" s="66">
        <f t="shared" si="212"/>
        <v>32</v>
      </c>
      <c r="AC354" s="66">
        <f t="shared" si="213"/>
        <v>32</v>
      </c>
      <c r="AD354" s="66">
        <f t="shared" si="214"/>
        <v>32</v>
      </c>
      <c r="AE354" s="66">
        <f t="shared" si="215"/>
        <v>32</v>
      </c>
      <c r="AF354" s="66">
        <f t="shared" si="216"/>
        <v>32</v>
      </c>
      <c r="AG354" s="66">
        <f t="shared" si="217"/>
        <v>32</v>
      </c>
      <c r="AH354" s="66" t="str">
        <f t="shared" si="218"/>
        <v/>
      </c>
      <c r="AI354" s="66" t="str">
        <f t="shared" si="219"/>
        <v/>
      </c>
      <c r="AJ354" s="66" t="str">
        <f t="shared" si="220"/>
        <v/>
      </c>
    </row>
    <row r="355" spans="1:55">
      <c r="A355" s="66">
        <f t="shared" ref="A355:B358" si="222">A315</f>
        <v>33</v>
      </c>
      <c r="B355" s="66" t="str">
        <f t="shared" si="222"/>
        <v/>
      </c>
      <c r="C355" s="66" t="str">
        <f t="shared" si="186"/>
        <v>.</v>
      </c>
      <c r="D355" s="66" t="str">
        <f t="shared" si="188"/>
        <v>.</v>
      </c>
      <c r="E355" s="66" t="str">
        <f t="shared" si="189"/>
        <v>.</v>
      </c>
      <c r="F355" s="66" t="str">
        <f t="shared" si="190"/>
        <v>.</v>
      </c>
      <c r="G355" s="66" t="str">
        <f t="shared" si="191"/>
        <v>.</v>
      </c>
      <c r="H355" s="66" t="str">
        <f t="shared" si="192"/>
        <v>.</v>
      </c>
      <c r="I355" s="66" t="str">
        <f t="shared" si="193"/>
        <v>.</v>
      </c>
      <c r="J355" s="66" t="str">
        <f t="shared" si="194"/>
        <v>.</v>
      </c>
      <c r="K355" s="66" t="str">
        <f t="shared" si="195"/>
        <v>.</v>
      </c>
      <c r="L355" s="66" t="str">
        <f t="shared" si="196"/>
        <v>.</v>
      </c>
      <c r="M355" s="66" t="str">
        <f t="shared" si="197"/>
        <v>.</v>
      </c>
      <c r="N355" s="66" t="str">
        <f t="shared" si="198"/>
        <v>.</v>
      </c>
      <c r="O355" s="66" t="str">
        <f t="shared" si="199"/>
        <v>.</v>
      </c>
      <c r="P355" s="66" t="str">
        <f t="shared" si="200"/>
        <v>.</v>
      </c>
      <c r="Q355" s="66" t="str">
        <f t="shared" si="201"/>
        <v>.</v>
      </c>
      <c r="R355" s="66" t="str">
        <f t="shared" si="202"/>
        <v>.</v>
      </c>
      <c r="S355" s="66" t="str">
        <f t="shared" si="203"/>
        <v>.</v>
      </c>
      <c r="T355" s="66" t="str">
        <f t="shared" si="204"/>
        <v>.</v>
      </c>
      <c r="U355" s="66" t="str">
        <f t="shared" si="205"/>
        <v>.</v>
      </c>
      <c r="V355" s="66" t="str">
        <f t="shared" si="206"/>
        <v>.</v>
      </c>
      <c r="W355" s="66" t="str">
        <f t="shared" si="207"/>
        <v>.</v>
      </c>
      <c r="X355" s="66" t="str">
        <f t="shared" si="208"/>
        <v>.</v>
      </c>
      <c r="Y355" s="66" t="str">
        <f t="shared" si="209"/>
        <v>.</v>
      </c>
      <c r="Z355" s="66" t="str">
        <f t="shared" si="210"/>
        <v>.</v>
      </c>
      <c r="AA355" s="66" t="str">
        <f t="shared" si="211"/>
        <v>.</v>
      </c>
      <c r="AB355" s="66" t="str">
        <f t="shared" si="212"/>
        <v>.</v>
      </c>
      <c r="AC355" s="66" t="str">
        <f t="shared" si="213"/>
        <v>.</v>
      </c>
      <c r="AD355" s="66" t="str">
        <f t="shared" si="214"/>
        <v>.</v>
      </c>
      <c r="AE355" s="66" t="str">
        <f t="shared" si="215"/>
        <v>.</v>
      </c>
      <c r="AF355" s="66" t="str">
        <f t="shared" si="216"/>
        <v>.</v>
      </c>
      <c r="AG355" s="66" t="str">
        <f t="shared" si="217"/>
        <v>.</v>
      </c>
      <c r="AH355" s="66" t="str">
        <f t="shared" si="218"/>
        <v/>
      </c>
      <c r="AI355" s="66" t="str">
        <f t="shared" si="219"/>
        <v/>
      </c>
      <c r="AJ355" s="66" t="str">
        <f t="shared" si="220"/>
        <v/>
      </c>
    </row>
    <row r="356" spans="1:55">
      <c r="A356" s="66">
        <f t="shared" si="222"/>
        <v>34</v>
      </c>
      <c r="B356" s="66" t="str">
        <f t="shared" si="222"/>
        <v/>
      </c>
      <c r="C356" s="66" t="str">
        <f t="shared" si="186"/>
        <v/>
      </c>
      <c r="D356" s="66" t="str">
        <f t="shared" si="188"/>
        <v/>
      </c>
      <c r="E356" s="66" t="str">
        <f t="shared" si="189"/>
        <v/>
      </c>
      <c r="F356" s="66" t="str">
        <f t="shared" si="190"/>
        <v/>
      </c>
      <c r="G356" s="66" t="str">
        <f t="shared" si="191"/>
        <v/>
      </c>
      <c r="H356" s="66" t="str">
        <f t="shared" si="192"/>
        <v/>
      </c>
      <c r="I356" s="66" t="str">
        <f t="shared" si="193"/>
        <v/>
      </c>
      <c r="J356" s="66" t="str">
        <f t="shared" si="194"/>
        <v/>
      </c>
      <c r="K356" s="66" t="str">
        <f t="shared" si="195"/>
        <v/>
      </c>
      <c r="L356" s="66" t="str">
        <f t="shared" si="196"/>
        <v/>
      </c>
      <c r="M356" s="66" t="str">
        <f t="shared" si="197"/>
        <v/>
      </c>
      <c r="N356" s="66" t="str">
        <f t="shared" si="198"/>
        <v/>
      </c>
      <c r="O356" s="66" t="str">
        <f t="shared" si="199"/>
        <v/>
      </c>
      <c r="P356" s="66" t="str">
        <f t="shared" si="200"/>
        <v/>
      </c>
      <c r="Q356" s="66" t="str">
        <f t="shared" si="201"/>
        <v/>
      </c>
      <c r="R356" s="66" t="str">
        <f t="shared" si="202"/>
        <v/>
      </c>
      <c r="S356" s="66" t="str">
        <f t="shared" si="203"/>
        <v/>
      </c>
      <c r="T356" s="66" t="str">
        <f t="shared" si="204"/>
        <v/>
      </c>
      <c r="U356" s="66" t="str">
        <f t="shared" si="205"/>
        <v/>
      </c>
      <c r="V356" s="66" t="str">
        <f t="shared" si="206"/>
        <v/>
      </c>
      <c r="W356" s="66" t="str">
        <f t="shared" si="207"/>
        <v/>
      </c>
      <c r="X356" s="66" t="str">
        <f t="shared" si="208"/>
        <v/>
      </c>
      <c r="Y356" s="66" t="str">
        <f t="shared" si="209"/>
        <v/>
      </c>
      <c r="Z356" s="66" t="str">
        <f t="shared" si="210"/>
        <v/>
      </c>
      <c r="AA356" s="66" t="str">
        <f t="shared" si="211"/>
        <v/>
      </c>
      <c r="AB356" s="66" t="str">
        <f t="shared" si="212"/>
        <v/>
      </c>
      <c r="AC356" s="66" t="str">
        <f t="shared" si="213"/>
        <v/>
      </c>
      <c r="AD356" s="66" t="str">
        <f t="shared" si="214"/>
        <v/>
      </c>
      <c r="AE356" s="66" t="str">
        <f t="shared" si="215"/>
        <v/>
      </c>
      <c r="AF356" s="66" t="str">
        <f t="shared" si="216"/>
        <v/>
      </c>
      <c r="AG356" s="66" t="str">
        <f t="shared" si="217"/>
        <v/>
      </c>
      <c r="AH356" s="66" t="str">
        <f t="shared" si="218"/>
        <v/>
      </c>
      <c r="AI356" s="66" t="str">
        <f t="shared" si="219"/>
        <v/>
      </c>
      <c r="AJ356" s="66" t="str">
        <f t="shared" si="220"/>
        <v/>
      </c>
    </row>
    <row r="357" spans="1:55">
      <c r="A357" s="66">
        <f t="shared" si="222"/>
        <v>35</v>
      </c>
      <c r="B357" s="66" t="str">
        <f t="shared" si="222"/>
        <v/>
      </c>
      <c r="C357" s="66" t="str">
        <f t="shared" si="186"/>
        <v/>
      </c>
      <c r="D357" s="66" t="str">
        <f t="shared" si="188"/>
        <v/>
      </c>
      <c r="E357" s="66" t="str">
        <f t="shared" si="189"/>
        <v/>
      </c>
      <c r="F357" s="66" t="str">
        <f t="shared" si="190"/>
        <v/>
      </c>
      <c r="G357" s="66" t="str">
        <f t="shared" si="191"/>
        <v/>
      </c>
      <c r="H357" s="66" t="str">
        <f t="shared" si="192"/>
        <v/>
      </c>
      <c r="I357" s="66" t="str">
        <f t="shared" si="193"/>
        <v/>
      </c>
      <c r="J357" s="66" t="str">
        <f t="shared" si="194"/>
        <v/>
      </c>
      <c r="K357" s="66" t="str">
        <f t="shared" si="195"/>
        <v/>
      </c>
      <c r="L357" s="66" t="str">
        <f t="shared" si="196"/>
        <v/>
      </c>
      <c r="M357" s="66" t="str">
        <f t="shared" si="197"/>
        <v/>
      </c>
      <c r="N357" s="66" t="str">
        <f t="shared" si="198"/>
        <v/>
      </c>
      <c r="O357" s="66" t="str">
        <f t="shared" si="199"/>
        <v/>
      </c>
      <c r="P357" s="66" t="str">
        <f t="shared" si="200"/>
        <v/>
      </c>
      <c r="Q357" s="66" t="str">
        <f t="shared" si="201"/>
        <v/>
      </c>
      <c r="R357" s="66" t="str">
        <f t="shared" si="202"/>
        <v/>
      </c>
      <c r="S357" s="66" t="str">
        <f t="shared" si="203"/>
        <v/>
      </c>
      <c r="T357" s="66" t="str">
        <f t="shared" si="204"/>
        <v/>
      </c>
      <c r="U357" s="66" t="str">
        <f t="shared" si="205"/>
        <v/>
      </c>
      <c r="V357" s="66" t="str">
        <f t="shared" si="206"/>
        <v/>
      </c>
      <c r="W357" s="66" t="str">
        <f t="shared" si="207"/>
        <v/>
      </c>
      <c r="X357" s="66" t="str">
        <f t="shared" si="208"/>
        <v/>
      </c>
      <c r="Y357" s="66" t="str">
        <f t="shared" si="209"/>
        <v/>
      </c>
      <c r="Z357" s="66" t="str">
        <f t="shared" si="210"/>
        <v/>
      </c>
      <c r="AA357" s="66" t="str">
        <f t="shared" si="211"/>
        <v/>
      </c>
      <c r="AB357" s="66" t="str">
        <f t="shared" si="212"/>
        <v/>
      </c>
      <c r="AC357" s="66" t="str">
        <f t="shared" si="213"/>
        <v/>
      </c>
      <c r="AD357" s="66" t="str">
        <f t="shared" si="214"/>
        <v/>
      </c>
      <c r="AE357" s="66" t="str">
        <f t="shared" si="215"/>
        <v/>
      </c>
      <c r="AF357" s="66" t="str">
        <f t="shared" si="216"/>
        <v/>
      </c>
      <c r="AG357" s="66" t="str">
        <f t="shared" si="217"/>
        <v/>
      </c>
      <c r="AH357" s="66" t="str">
        <f t="shared" si="218"/>
        <v/>
      </c>
      <c r="AI357" s="66" t="str">
        <f t="shared" si="219"/>
        <v/>
      </c>
      <c r="AJ357" s="66" t="str">
        <f t="shared" si="220"/>
        <v/>
      </c>
    </row>
    <row r="358" spans="1:55">
      <c r="A358" s="66">
        <f t="shared" si="222"/>
        <v>37</v>
      </c>
      <c r="B358" s="66" t="str">
        <f t="shared" si="222"/>
        <v/>
      </c>
      <c r="C358" s="66" t="str">
        <f t="shared" ref="C358:AJ358" si="223">IF(    AND( C38="病",  LEN(C357)&gt;=2 ),        "." &amp; $A358,    IF(         AND( C38="病" ),       $A358,        IF(  OR(  LEN(C357)&gt;=2  ),  CONCATENATE(  ".",  IF(  AND(  LEN(  INDEX(   $A$1:$AJ$39, MATCH($A358,$A$1:$A$39,0),MATCH(  C$322,$A$1:$AP$1,0  )  )  )&gt;LEN(  SUBSTITUTE(  INDEX(   $A$1:$AJ$39, MATCH($A358,$A$1:$A$39,0),MATCH(  C$322,$A$1:$AP$1,0  )  ),"病","")  ),  LEN(  INDEX(   $A$1:$AJ$39, MATCH($A358,$A$1:$A$39,0),MATCH(  C$322,$A$1:$AP$1,0  )  )  )&gt;LEN(  SUBSTITUTE(  INDEX(   $A$1:$AJ$39, MATCH($A358,$A$1:$A$39,0),MATCH(  C$322,$A$1:$AP$1,0  )  ),"-","")  )  ),  CONCATENATE(  $A358,"(",   SUBSTITUTE(   SUBSTITUTE(  SUBSTITUTE(  INDEX(   $A$1:$AJ$39, MATCH($A358,$A$1:$A$39,0),MATCH(  C$322,$A$322:$AP$322,0  )  ),"病",""),"x","")," ",""),"時",")"),  ""  )  ),  IF(  AND(  LEN(  INDEX(   $A$1:$AJ$39, MATCH($A358,$A$1:$A$39,0),MATCH(  C$322,$A$1:$AP$1,0  )  )  )&gt;LEN(  SUBSTITUTE(  INDEX(   $A$1:$AJ$39, MATCH($A358,$A$1:$A$39,0),MATCH(  C$322,$A$1:$AP$1,0  )  ),"病","")  ),  LEN(  INDEX(   $A$1:$AJ$39, MATCH($A358,$A$1:$A$39,0),MATCH(  C$322,$A$1:$AP$1,0  )  )  )&gt;LEN(  SUBSTITUTE(  INDEX(   $A$1:$AJ$39, MATCH($A358,$A$1:$A$39,0),MATCH(  C$322,$A$1:$AP$1,0  )  ),"-","")  )  ),  CONCATENATE(  $A358,"(",   SUBSTITUTE(   SUBSTITUTE(  SUBSTITUTE(  INDEX(   $A$1:$AJ$39, MATCH($A358,$A$1:$A$39,0),MATCH(  C$322,$A$322:$AP$322,0  )  ),"病",""),"x","")," ",""),"時",")"),  ""  )  )           ))</f>
        <v/>
      </c>
      <c r="D358" s="66" t="str">
        <f t="shared" si="223"/>
        <v/>
      </c>
      <c r="E358" s="66" t="str">
        <f t="shared" si="223"/>
        <v/>
      </c>
      <c r="F358" s="66" t="str">
        <f t="shared" si="223"/>
        <v/>
      </c>
      <c r="G358" s="66" t="str">
        <f t="shared" si="223"/>
        <v/>
      </c>
      <c r="H358" s="66" t="str">
        <f t="shared" si="223"/>
        <v/>
      </c>
      <c r="I358" s="66" t="str">
        <f t="shared" si="223"/>
        <v/>
      </c>
      <c r="J358" s="66" t="str">
        <f t="shared" si="223"/>
        <v/>
      </c>
      <c r="K358" s="66" t="str">
        <f t="shared" si="223"/>
        <v/>
      </c>
      <c r="L358" s="66" t="str">
        <f t="shared" si="223"/>
        <v/>
      </c>
      <c r="M358" s="66" t="str">
        <f t="shared" si="223"/>
        <v/>
      </c>
      <c r="N358" s="66" t="str">
        <f t="shared" si="223"/>
        <v/>
      </c>
      <c r="O358" s="66" t="str">
        <f t="shared" si="223"/>
        <v/>
      </c>
      <c r="P358" s="66" t="str">
        <f t="shared" si="223"/>
        <v/>
      </c>
      <c r="Q358" s="66" t="str">
        <f t="shared" si="223"/>
        <v/>
      </c>
      <c r="R358" s="66" t="str">
        <f t="shared" si="223"/>
        <v/>
      </c>
      <c r="S358" s="66" t="str">
        <f t="shared" si="223"/>
        <v/>
      </c>
      <c r="T358" s="66" t="str">
        <f t="shared" si="223"/>
        <v/>
      </c>
      <c r="U358" s="66" t="str">
        <f t="shared" si="223"/>
        <v/>
      </c>
      <c r="V358" s="66" t="str">
        <f t="shared" si="223"/>
        <v/>
      </c>
      <c r="W358" s="66" t="str">
        <f t="shared" si="223"/>
        <v/>
      </c>
      <c r="X358" s="66" t="str">
        <f t="shared" si="223"/>
        <v/>
      </c>
      <c r="Y358" s="66" t="str">
        <f t="shared" si="223"/>
        <v/>
      </c>
      <c r="Z358" s="66" t="str">
        <f t="shared" si="223"/>
        <v/>
      </c>
      <c r="AA358" s="66" t="str">
        <f t="shared" si="223"/>
        <v/>
      </c>
      <c r="AB358" s="66" t="str">
        <f t="shared" si="223"/>
        <v/>
      </c>
      <c r="AC358" s="66" t="str">
        <f t="shared" si="223"/>
        <v/>
      </c>
      <c r="AD358" s="66" t="str">
        <f t="shared" si="223"/>
        <v/>
      </c>
      <c r="AE358" s="66" t="str">
        <f t="shared" si="223"/>
        <v/>
      </c>
      <c r="AF358" s="66" t="str">
        <f t="shared" si="223"/>
        <v/>
      </c>
      <c r="AG358" s="66" t="str">
        <f t="shared" si="223"/>
        <v/>
      </c>
      <c r="AH358" s="66" t="str">
        <f t="shared" si="223"/>
        <v/>
      </c>
      <c r="AI358" s="66" t="str">
        <f t="shared" si="223"/>
        <v/>
      </c>
      <c r="AJ358" s="66" t="str">
        <f t="shared" si="223"/>
        <v/>
      </c>
    </row>
    <row r="359" spans="1:55">
      <c r="A359" s="66"/>
      <c r="B359" s="66"/>
      <c r="C359" s="66" t="str">
        <f xml:space="preserve">    IF(  AND(  COUNTIF(勤務分配!$E$3:$E$44,"病(事)假")&gt;=1,  IFERROR(  LEFT(  CONCATENATE(C323,C324,C325,C326,C327,C328,C329,C330,C331,C332,C333,C334,C335,C336,C337,C338,C339,C340,C341,C342,C343,C344,C345,C346,C347,C348,C349,C350,C351,C352,C353,C354,C355,C356,C357,C358),LEN(  CONCATENATE(C323,C324,C325,C326,C327,C328,C329,C330,C331,C332,C333,C334,C335,C336,C337,C338,C339,C340,C341,C342,C343,C344,C345,C346,C347,C348,C349,C350,C351,C352,C353,C354,C355,C356,C357,C358)  )-1),"")&lt;&gt;""   ),"." &amp; IFERROR(  LEFT(  CONCATENATE(C323,C324,C325,C326,C327,C328,C329,C330,C331,C332,C333,C334,C335,C336,C337,C338,C339,C340,C341,C342,C343,C344,C345,C346,C347,C348,C349,C350,C351,C352,C353,C354,C355,C356,C357,C358),LEN(  CONCATENATE(C323,C324,C325,C326,C327,C328,C329,C330,C331,C332,C333,C334,C335,C336,C337,C338,C339,C340,C341,C342,C343,C344,C345,C346,C347,C348,C349,C350,C351,C352,C353,C354,C355,C356,C357,C358)  )-1),""),                             IFERROR(  LEFT(  CONCATENATE(C323,C324,C325,C326,C327,C328,C329,C330,C331,C332,C333,C334,C335,C336,C337,C338,C339,C340,C341,C342,C343,C344,C345,C346,C347,C348,C349,C350,C351,C352,C353,C354,C355,C356,C357,C358),LEN(  CONCATENATE(C323,C324,C325,C326,C327,C328,C329,C330,C331,C332,C333,C334,C335,C336,C337,C338,C339,C340,C341,C342,C343,C344,C345,C346,C347,C348,C349,C350,C351,C352,C353,C354,C355,C356,C357,C358)  )-1),"")        )</f>
        <v>30.32</v>
      </c>
      <c r="D359" s="66" t="str">
        <f xml:space="preserve">    IF(  AND(  COUNTIF(勤務分配!$E$3:$E$44,"病(事)假")&gt;=1,  IFERROR(  LEFT(  CONCATENATE(D323,D324,D325,D326,D327,D328,D329,D330,D331,D332,D333,D334,D335,D336,D337,D338,D339,D340,D341,D342,D343,D344,D345,D346,D347,D348,D349,D350,D351,D352,D353,D354,D355,D356,D357,D358),LEN(  CONCATENATE(D323,D324,D325,D326,D327,D328,D329,D330,D331,D332,D333,D334,D335,D336,D337,D338,D339,D340,D341,D342,D343,D344,D345,D346,D347,D348,D349,D350,D351,D352,D353,D354,D355,D356,D357,D358)  )-1),"")&lt;&gt;""   ),"." &amp; IFERROR(  LEFT(  CONCATENATE(D323,D324,D325,D326,D327,D328,D329,D330,D331,D332,D333,D334,D335,D336,D337,D338,D339,D340,D341,D342,D343,D344,D345,D346,D347,D348,D349,D350,D351,D352,D353,D354,D355,D356,D357,D358),LEN(  CONCATENATE(D323,D324,D325,D326,D327,D328,D329,D330,D331,D332,D333,D334,D335,D336,D337,D338,D339,D340,D341,D342,D343,D344,D345,D346,D347,D348,D349,D350,D351,D352,D353,D354,D355,D356,D357,D358)  )-1),""),                             IFERROR(  LEFT(  CONCATENATE(D323,D324,D325,D326,D327,D328,D329,D330,D331,D332,D333,D334,D335,D336,D337,D338,D339,D340,D341,D342,D343,D344,D345,D346,D347,D348,D349,D350,D351,D352,D353,D354,D355,D356,D357,D358),LEN(  CONCATENATE(D323,D324,D325,D326,D327,D328,D329,D330,D331,D332,D333,D334,D335,D336,D337,D338,D339,D340,D341,D342,D343,D344,D345,D346,D347,D348,D349,D350,D351,D352,D353,D354,D355,D356,D357,D358)  )-1),"")        )</f>
        <v>30.32</v>
      </c>
      <c r="E359" s="66" t="str">
        <f xml:space="preserve">    IF(  AND(  COUNTIF(勤務分配!$E$3:$E$44,"病(事)假")&gt;=1,  IFERROR(  LEFT(  CONCATENATE(E323,E324,E325,E326,E327,E328,E329,E330,E331,E332,E333,E334,E335,E336,E337,E338,E339,E340,E341,E342,E343,E344,E345,E346,E347,E348,E349,E350,E351,E352,E353,E354,E355,E356,E357,E358),LEN(  CONCATENATE(E323,E324,E325,E326,E327,E328,E329,E330,E331,E332,E333,E334,E335,E336,E337,E338,E339,E340,E341,E342,E343,E344,E345,E346,E347,E348,E349,E350,E351,E352,E353,E354,E355,E356,E357,E358)  )-1),"")&lt;&gt;""   ),"." &amp; IFERROR(  LEFT(  CONCATENATE(E323,E324,E325,E326,E327,E328,E329,E330,E331,E332,E333,E334,E335,E336,E337,E338,E339,E340,E341,E342,E343,E344,E345,E346,E347,E348,E349,E350,E351,E352,E353,E354,E355,E356,E357,E358),LEN(  CONCATENATE(E323,E324,E325,E326,E327,E328,E329,E330,E331,E332,E333,E334,E335,E336,E337,E338,E339,E340,E341,E342,E343,E344,E345,E346,E347,E348,E349,E350,E351,E352,E353,E354,E355,E356,E357,E358)  )-1),""),                             IFERROR(  LEFT(  CONCATENATE(E323,E324,E325,E326,E327,E328,E329,E330,E331,E332,E333,E334,E335,E336,E337,E338,E339,E340,E341,E342,E343,E344,E345,E346,E347,E348,E349,E350,E351,E352,E353,E354,E355,E356,E357,E358),LEN(  CONCATENATE(E323,E324,E325,E326,E327,E328,E329,E330,E331,E332,E333,E334,E335,E336,E337,E338,E339,E340,E341,E342,E343,E344,E345,E346,E347,E348,E349,E350,E351,E352,E353,E354,E355,E356,E357,E358)  )-1),"")        )</f>
        <v>32</v>
      </c>
      <c r="F359" s="66" t="str">
        <f xml:space="preserve">    IF(  AND(  COUNTIF(勤務分配!$E$3:$E$44,"病(事)假")&gt;=1,  IFERROR(  LEFT(  CONCATENATE(F323,F324,F325,F326,F327,F328,F329,F330,F331,F332,F333,F334,F335,F336,F337,F338,F339,F340,F341,F342,F343,F344,F345,F346,F347,F348,F349,F350,F351,F352,F353,F354,F355,F356,F357,F358),LEN(  CONCATENATE(F323,F324,F325,F326,F327,F328,F329,F330,F331,F332,F333,F334,F335,F336,F337,F338,F339,F340,F341,F342,F343,F344,F345,F346,F347,F348,F349,F350,F351,F352,F353,F354,F355,F356,F357,F358)  )-1),"")&lt;&gt;""   ),"." &amp; IFERROR(  LEFT(  CONCATENATE(F323,F324,F325,F326,F327,F328,F329,F330,F331,F332,F333,F334,F335,F336,F337,F338,F339,F340,F341,F342,F343,F344,F345,F346,F347,F348,F349,F350,F351,F352,F353,F354,F355,F356,F357,F358),LEN(  CONCATENATE(F323,F324,F325,F326,F327,F328,F329,F330,F331,F332,F333,F334,F335,F336,F337,F338,F339,F340,F341,F342,F343,F344,F345,F346,F347,F348,F349,F350,F351,F352,F353,F354,F355,F356,F357,F358)  )-1),""),                             IFERROR(  LEFT(  CONCATENATE(F323,F324,F325,F326,F327,F328,F329,F330,F331,F332,F333,F334,F335,F336,F337,F338,F339,F340,F341,F342,F343,F344,F345,F346,F347,F348,F349,F350,F351,F352,F353,F354,F355,F356,F357,F358),LEN(  CONCATENATE(F323,F324,F325,F326,F327,F328,F329,F330,F331,F332,F333,F334,F335,F336,F337,F338,F339,F340,F341,F342,F343,F344,F345,F346,F347,F348,F349,F350,F351,F352,F353,F354,F355,F356,F357,F358)  )-1),"")        )</f>
        <v>32</v>
      </c>
      <c r="G359" s="66" t="str">
        <f xml:space="preserve">    IF(  AND(  COUNTIF(勤務分配!$E$3:$E$44,"病(事)假")&gt;=1,  IFERROR(  LEFT(  CONCATENATE(G323,G324,G325,G326,G327,G328,G329,G330,G331,G332,G333,G334,G335,G336,G337,G338,G339,G340,G341,G342,G343,G344,G345,G346,G347,G348,G349,G350,G351,G352,G353,G354,G355,G356,G357,G358),LEN(  CONCATENATE(G323,G324,G325,G326,G327,G328,G329,G330,G331,G332,G333,G334,G335,G336,G337,G338,G339,G340,G341,G342,G343,G344,G345,G346,G347,G348,G349,G350,G351,G352,G353,G354,G355,G356,G357,G358)  )-1),"")&lt;&gt;""   ),"." &amp; IFERROR(  LEFT(  CONCATENATE(G323,G324,G325,G326,G327,G328,G329,G330,G331,G332,G333,G334,G335,G336,G337,G338,G339,G340,G341,G342,G343,G344,G345,G346,G347,G348,G349,G350,G351,G352,G353,G354,G355,G356,G357,G358),LEN(  CONCATENATE(G323,G324,G325,G326,G327,G328,G329,G330,G331,G332,G333,G334,G335,G336,G337,G338,G339,G340,G341,G342,G343,G344,G345,G346,G347,G348,G349,G350,G351,G352,G353,G354,G355,G356,G357,G358)  )-1),""),                             IFERROR(  LEFT(  CONCATENATE(G323,G324,G325,G326,G327,G328,G329,G330,G331,G332,G333,G334,G335,G336,G337,G338,G339,G340,G341,G342,G343,G344,G345,G346,G347,G348,G349,G350,G351,G352,G353,G354,G355,G356,G357,G358),LEN(  CONCATENATE(G323,G324,G325,G326,G327,G328,G329,G330,G331,G332,G333,G334,G335,G336,G337,G338,G339,G340,G341,G342,G343,G344,G345,G346,G347,G348,G349,G350,G351,G352,G353,G354,G355,G356,G357,G358)  )-1),"")        )</f>
        <v>32</v>
      </c>
      <c r="H359" s="66" t="str">
        <f xml:space="preserve">    IF(  AND(  COUNTIF(勤務分配!$E$3:$E$44,"病(事)假")&gt;=1,  IFERROR(  LEFT(  CONCATENATE(H323,H324,H325,H326,H327,H328,H329,H330,H331,H332,H333,H334,H335,H336,H337,H338,H339,H340,H341,H342,H343,H344,H345,H346,H347,H348,H349,H350,H351,H352,H353,H354,H355,H356,H357,H358),LEN(  CONCATENATE(H323,H324,H325,H326,H327,H328,H329,H330,H331,H332,H333,H334,H335,H336,H337,H338,H339,H340,H341,H342,H343,H344,H345,H346,H347,H348,H349,H350,H351,H352,H353,H354,H355,H356,H357,H358)  )-1),"")&lt;&gt;""   ),"." &amp; IFERROR(  LEFT(  CONCATENATE(H323,H324,H325,H326,H327,H328,H329,H330,H331,H332,H333,H334,H335,H336,H337,H338,H339,H340,H341,H342,H343,H344,H345,H346,H347,H348,H349,H350,H351,H352,H353,H354,H355,H356,H357,H358),LEN(  CONCATENATE(H323,H324,H325,H326,H327,H328,H329,H330,H331,H332,H333,H334,H335,H336,H337,H338,H339,H340,H341,H342,H343,H344,H345,H346,H347,H348,H349,H350,H351,H352,H353,H354,H355,H356,H357,H358)  )-1),""),                             IFERROR(  LEFT(  CONCATENATE(H323,H324,H325,H326,H327,H328,H329,H330,H331,H332,H333,H334,H335,H336,H337,H338,H339,H340,H341,H342,H343,H344,H345,H346,H347,H348,H349,H350,H351,H352,H353,H354,H355,H356,H357,H358),LEN(  CONCATENATE(H323,H324,H325,H326,H327,H328,H329,H330,H331,H332,H333,H334,H335,H336,H337,H338,H339,H340,H341,H342,H343,H344,H345,H346,H347,H348,H349,H350,H351,H352,H353,H354,H355,H356,H357,H358)  )-1),"")        )</f>
        <v>32</v>
      </c>
      <c r="I359" s="66" t="str">
        <f xml:space="preserve">    IF(  AND(  COUNTIF(勤務分配!$E$3:$E$44,"病(事)假")&gt;=1,  IFERROR(  LEFT(  CONCATENATE(I323,I324,I325,I326,I327,I328,I329,I330,I331,I332,I333,I334,I335,I336,I337,I338,I339,I340,I341,I342,I343,I344,I345,I346,I347,I348,I349,I350,I351,I352,I353,I354,I355,I356,I357,I358),LEN(  CONCATENATE(I323,I324,I325,I326,I327,I328,I329,I330,I331,I332,I333,I334,I335,I336,I337,I338,I339,I340,I341,I342,I343,I344,I345,I346,I347,I348,I349,I350,I351,I352,I353,I354,I355,I356,I357,I358)  )-1),"")&lt;&gt;""   ),"." &amp; IFERROR(  LEFT(  CONCATENATE(I323,I324,I325,I326,I327,I328,I329,I330,I331,I332,I333,I334,I335,I336,I337,I338,I339,I340,I341,I342,I343,I344,I345,I346,I347,I348,I349,I350,I351,I352,I353,I354,I355,I356,I357,I358),LEN(  CONCATENATE(I323,I324,I325,I326,I327,I328,I329,I330,I331,I332,I333,I334,I335,I336,I337,I338,I339,I340,I341,I342,I343,I344,I345,I346,I347,I348,I349,I350,I351,I352,I353,I354,I355,I356,I357,I358)  )-1),""),                             IFERROR(  LEFT(  CONCATENATE(I323,I324,I325,I326,I327,I328,I329,I330,I331,I332,I333,I334,I335,I336,I337,I338,I339,I340,I341,I342,I343,I344,I345,I346,I347,I348,I349,I350,I351,I352,I353,I354,I355,I356,I357,I358),LEN(  CONCATENATE(I323,I324,I325,I326,I327,I328,I329,I330,I331,I332,I333,I334,I335,I336,I337,I338,I339,I340,I341,I342,I343,I344,I345,I346,I347,I348,I349,I350,I351,I352,I353,I354,I355,I356,I357,I358)  )-1),"")        )</f>
        <v>25(8-12時).32</v>
      </c>
      <c r="J359" s="66" t="str">
        <f xml:space="preserve">    IF(  AND(  COUNTIF(勤務分配!$E$3:$E$44,"病(事)假")&gt;=1,  IFERROR(  LEFT(  CONCATENATE(J323,J324,J325,J326,J327,J328,J329,J330,J331,J332,J333,J334,J335,J336,J337,J338,J339,J340,J341,J342,J343,J344,J345,J346,J347,J348,J349,J350,J351,J352,J353,J354,J355,J356,J357,J358),LEN(  CONCATENATE(J323,J324,J325,J326,J327,J328,J329,J330,J331,J332,J333,J334,J335,J336,J337,J338,J339,J340,J341,J342,J343,J344,J345,J346,J347,J348,J349,J350,J351,J352,J353,J354,J355,J356,J357,J358)  )-1),"")&lt;&gt;""   ),"." &amp; IFERROR(  LEFT(  CONCATENATE(J323,J324,J325,J326,J327,J328,J329,J330,J331,J332,J333,J334,J335,J336,J337,J338,J339,J340,J341,J342,J343,J344,J345,J346,J347,J348,J349,J350,J351,J352,J353,J354,J355,J356,J357,J358),LEN(  CONCATENATE(J323,J324,J325,J326,J327,J328,J329,J330,J331,J332,J333,J334,J335,J336,J337,J338,J339,J340,J341,J342,J343,J344,J345,J346,J347,J348,J349,J350,J351,J352,J353,J354,J355,J356,J357,J358)  )-1),""),                             IFERROR(  LEFT(  CONCATENATE(J323,J324,J325,J326,J327,J328,J329,J330,J331,J332,J333,J334,J335,J336,J337,J338,J339,J340,J341,J342,J343,J344,J345,J346,J347,J348,J349,J350,J351,J352,J353,J354,J355,J356,J357,J358),LEN(  CONCATENATE(J323,J324,J325,J326,J327,J328,J329,J330,J331,J332,J333,J334,J335,J336,J337,J338,J339,J340,J341,J342,J343,J344,J345,J346,J347,J348,J349,J350,J351,J352,J353,J354,J355,J356,J357,J358)  )-1),"")        )</f>
        <v>32</v>
      </c>
      <c r="K359" s="66" t="str">
        <f xml:space="preserve">    IF(  AND(  COUNTIF(勤務分配!$E$3:$E$44,"病(事)假")&gt;=1,  IFERROR(  LEFT(  CONCATENATE(K323,K324,K325,K326,K327,K328,K329,K330,K331,K332,K333,K334,K335,K336,K337,K338,K339,K340,K341,K342,K343,K344,K345,K346,K347,K348,K349,K350,K351,K352,K353,K354,K355,K356,K357,K358),LEN(  CONCATENATE(K323,K324,K325,K326,K327,K328,K329,K330,K331,K332,K333,K334,K335,K336,K337,K338,K339,K340,K341,K342,K343,K344,K345,K346,K347,K348,K349,K350,K351,K352,K353,K354,K355,K356,K357,K358)  )-1),"")&lt;&gt;""   ),"." &amp; IFERROR(  LEFT(  CONCATENATE(K323,K324,K325,K326,K327,K328,K329,K330,K331,K332,K333,K334,K335,K336,K337,K338,K339,K340,K341,K342,K343,K344,K345,K346,K347,K348,K349,K350,K351,K352,K353,K354,K355,K356,K357,K358),LEN(  CONCATENATE(K323,K324,K325,K326,K327,K328,K329,K330,K331,K332,K333,K334,K335,K336,K337,K338,K339,K340,K341,K342,K343,K344,K345,K346,K347,K348,K349,K350,K351,K352,K353,K354,K355,K356,K357,K358)  )-1),""),                             IFERROR(  LEFT(  CONCATENATE(K323,K324,K325,K326,K327,K328,K329,K330,K331,K332,K333,K334,K335,K336,K337,K338,K339,K340,K341,K342,K343,K344,K345,K346,K347,K348,K349,K350,K351,K352,K353,K354,K355,K356,K357,K358),LEN(  CONCATENATE(K323,K324,K325,K326,K327,K328,K329,K330,K331,K332,K333,K334,K335,K336,K337,K338,K339,K340,K341,K342,K343,K344,K345,K346,K347,K348,K349,K350,K351,K352,K353,K354,K355,K356,K357,K358)  )-1),"")        )</f>
        <v>32</v>
      </c>
      <c r="L359" s="66" t="str">
        <f xml:space="preserve">    IF(  AND(  COUNTIF(勤務分配!$E$3:$E$44,"病(事)假")&gt;=1,  IFERROR(  LEFT(  CONCATENATE(L323,L324,L325,L326,L327,L328,L329,L330,L331,L332,L333,L334,L335,L336,L337,L338,L339,L340,L341,L342,L343,L344,L345,L346,L347,L348,L349,L350,L351,L352,L353,L354,L355,L356,L357,L358),LEN(  CONCATENATE(L323,L324,L325,L326,L327,L328,L329,L330,L331,L332,L333,L334,L335,L336,L337,L338,L339,L340,L341,L342,L343,L344,L345,L346,L347,L348,L349,L350,L351,L352,L353,L354,L355,L356,L357,L358)  )-1),"")&lt;&gt;""   ),"." &amp; IFERROR(  LEFT(  CONCATENATE(L323,L324,L325,L326,L327,L328,L329,L330,L331,L332,L333,L334,L335,L336,L337,L338,L339,L340,L341,L342,L343,L344,L345,L346,L347,L348,L349,L350,L351,L352,L353,L354,L355,L356,L357,L358),LEN(  CONCATENATE(L323,L324,L325,L326,L327,L328,L329,L330,L331,L332,L333,L334,L335,L336,L337,L338,L339,L340,L341,L342,L343,L344,L345,L346,L347,L348,L349,L350,L351,L352,L353,L354,L355,L356,L357,L358)  )-1),""),                             IFERROR(  LEFT(  CONCATENATE(L323,L324,L325,L326,L327,L328,L329,L330,L331,L332,L333,L334,L335,L336,L337,L338,L339,L340,L341,L342,L343,L344,L345,L346,L347,L348,L349,L350,L351,L352,L353,L354,L355,L356,L357,L358),LEN(  CONCATENATE(L323,L324,L325,L326,L327,L328,L329,L330,L331,L332,L333,L334,L335,L336,L337,L338,L339,L340,L341,L342,L343,L344,L345,L346,L347,L348,L349,L350,L351,L352,L353,L354,L355,L356,L357,L358)  )-1),"")        )</f>
        <v>32</v>
      </c>
      <c r="M359" s="66" t="str">
        <f xml:space="preserve">    IF(  AND(  COUNTIF(勤務分配!$E$3:$E$44,"病(事)假")&gt;=1,  IFERROR(  LEFT(  CONCATENATE(M323,M324,M325,M326,M327,M328,M329,M330,M331,M332,M333,M334,M335,M336,M337,M338,M339,M340,M341,M342,M343,M344,M345,M346,M347,M348,M349,M350,M351,M352,M353,M354,M355,M356,M357,M358),LEN(  CONCATENATE(M323,M324,M325,M326,M327,M328,M329,M330,M331,M332,M333,M334,M335,M336,M337,M338,M339,M340,M341,M342,M343,M344,M345,M346,M347,M348,M349,M350,M351,M352,M353,M354,M355,M356,M357,M358)  )-1),"")&lt;&gt;""   ),"." &amp; IFERROR(  LEFT(  CONCATENATE(M323,M324,M325,M326,M327,M328,M329,M330,M331,M332,M333,M334,M335,M336,M337,M338,M339,M340,M341,M342,M343,M344,M345,M346,M347,M348,M349,M350,M351,M352,M353,M354,M355,M356,M357,M358),LEN(  CONCATENATE(M323,M324,M325,M326,M327,M328,M329,M330,M331,M332,M333,M334,M335,M336,M337,M338,M339,M340,M341,M342,M343,M344,M345,M346,M347,M348,M349,M350,M351,M352,M353,M354,M355,M356,M357,M358)  )-1),""),                             IFERROR(  LEFT(  CONCATENATE(M323,M324,M325,M326,M327,M328,M329,M330,M331,M332,M333,M334,M335,M336,M337,M338,M339,M340,M341,M342,M343,M344,M345,M346,M347,M348,M349,M350,M351,M352,M353,M354,M355,M356,M357,M358),LEN(  CONCATENATE(M323,M324,M325,M326,M327,M328,M329,M330,M331,M332,M333,M334,M335,M336,M337,M338,M339,M340,M341,M342,M343,M344,M345,M346,M347,M348,M349,M350,M351,M352,M353,M354,M355,M356,M357,M358)  )-1),"")        )</f>
        <v>27(17-21時).32</v>
      </c>
      <c r="N359" s="66" t="str">
        <f xml:space="preserve">    IF(  AND(  COUNTIF(勤務分配!$E$3:$E$44,"病(事)假")&gt;=1,  IFERROR(  LEFT(  CONCATENATE(N323,N324,N325,N326,N327,N328,N329,N330,N331,N332,N333,N334,N335,N336,N337,N338,N339,N340,N341,N342,N343,N344,N345,N346,N347,N348,N349,N350,N351,N352,N353,N354,N355,N356,N357,N358),LEN(  CONCATENATE(N323,N324,N325,N326,N327,N328,N329,N330,N331,N332,N333,N334,N335,N336,N337,N338,N339,N340,N341,N342,N343,N344,N345,N346,N347,N348,N349,N350,N351,N352,N353,N354,N355,N356,N357,N358)  )-1),"")&lt;&gt;""   ),"." &amp; IFERROR(  LEFT(  CONCATENATE(N323,N324,N325,N326,N327,N328,N329,N330,N331,N332,N333,N334,N335,N336,N337,N338,N339,N340,N341,N342,N343,N344,N345,N346,N347,N348,N349,N350,N351,N352,N353,N354,N355,N356,N357,N358),LEN(  CONCATENATE(N323,N324,N325,N326,N327,N328,N329,N330,N331,N332,N333,N334,N335,N336,N337,N338,N339,N340,N341,N342,N343,N344,N345,N346,N347,N348,N349,N350,N351,N352,N353,N354,N355,N356,N357,N358)  )-1),""),                             IFERROR(  LEFT(  CONCATENATE(N323,N324,N325,N326,N327,N328,N329,N330,N331,N332,N333,N334,N335,N336,N337,N338,N339,N340,N341,N342,N343,N344,N345,N346,N347,N348,N349,N350,N351,N352,N353,N354,N355,N356,N357,N358),LEN(  CONCATENATE(N323,N324,N325,N326,N327,N328,N329,N330,N331,N332,N333,N334,N335,N336,N337,N338,N339,N340,N341,N342,N343,N344,N345,N346,N347,N348,N349,N350,N351,N352,N353,N354,N355,N356,N357,N358)  )-1),"")        )</f>
        <v>32</v>
      </c>
      <c r="O359" s="66" t="str">
        <f xml:space="preserve">    IF(  AND(  COUNTIF(勤務分配!$E$3:$E$44,"病(事)假")&gt;=1,  IFERROR(  LEFT(  CONCATENATE(O323,O324,O325,O326,O327,O328,O329,O330,O331,O332,O333,O334,O335,O336,O337,O338,O339,O340,O341,O342,O343,O344,O345,O346,O347,O348,O349,O350,O351,O352,O353,O354,O355,O356,O357,O358),LEN(  CONCATENATE(O323,O324,O325,O326,O327,O328,O329,O330,O331,O332,O333,O334,O335,O336,O337,O338,O339,O340,O341,O342,O343,O344,O345,O346,O347,O348,O349,O350,O351,O352,O353,O354,O355,O356,O357,O358)  )-1),"")&lt;&gt;""   ),"." &amp; IFERROR(  LEFT(  CONCATENATE(O323,O324,O325,O326,O327,O328,O329,O330,O331,O332,O333,O334,O335,O336,O337,O338,O339,O340,O341,O342,O343,O344,O345,O346,O347,O348,O349,O350,O351,O352,O353,O354,O355,O356,O357,O358),LEN(  CONCATENATE(O323,O324,O325,O326,O327,O328,O329,O330,O331,O332,O333,O334,O335,O336,O337,O338,O339,O340,O341,O342,O343,O344,O345,O346,O347,O348,O349,O350,O351,O352,O353,O354,O355,O356,O357,O358)  )-1),""),                             IFERROR(  LEFT(  CONCATENATE(O323,O324,O325,O326,O327,O328,O329,O330,O331,O332,O333,O334,O335,O336,O337,O338,O339,O340,O341,O342,O343,O344,O345,O346,O347,O348,O349,O350,O351,O352,O353,O354,O355,O356,O357,O358),LEN(  CONCATENATE(O323,O324,O325,O326,O327,O328,O329,O330,O331,O332,O333,O334,O335,O336,O337,O338,O339,O340,O341,O342,O343,O344,O345,O346,O347,O348,O349,O350,O351,O352,O353,O354,O355,O356,O357,O358)  )-1),"")        )</f>
        <v>32</v>
      </c>
      <c r="P359" s="66" t="str">
        <f xml:space="preserve">    IF(  AND(  COUNTIF(勤務分配!$E$3:$E$44,"病(事)假")&gt;=1,  IFERROR(  LEFT(  CONCATENATE(P323,P324,P325,P326,P327,P328,P329,P330,P331,P332,P333,P334,P335,P336,P337,P338,P339,P340,P341,P342,P343,P344,P345,P346,P347,P348,P349,P350,P351,P352,P353,P354,P355,P356,P357,P358),LEN(  CONCATENATE(P323,P324,P325,P326,P327,P328,P329,P330,P331,P332,P333,P334,P335,P336,P337,P338,P339,P340,P341,P342,P343,P344,P345,P346,P347,P348,P349,P350,P351,P352,P353,P354,P355,P356,P357,P358)  )-1),"")&lt;&gt;""   ),"." &amp; IFERROR(  LEFT(  CONCATENATE(P323,P324,P325,P326,P327,P328,P329,P330,P331,P332,P333,P334,P335,P336,P337,P338,P339,P340,P341,P342,P343,P344,P345,P346,P347,P348,P349,P350,P351,P352,P353,P354,P355,P356,P357,P358),LEN(  CONCATENATE(P323,P324,P325,P326,P327,P328,P329,P330,P331,P332,P333,P334,P335,P336,P337,P338,P339,P340,P341,P342,P343,P344,P345,P346,P347,P348,P349,P350,P351,P352,P353,P354,P355,P356,P357,P358)  )-1),""),                             IFERROR(  LEFT(  CONCATENATE(P323,P324,P325,P326,P327,P328,P329,P330,P331,P332,P333,P334,P335,P336,P337,P338,P339,P340,P341,P342,P343,P344,P345,P346,P347,P348,P349,P350,P351,P352,P353,P354,P355,P356,P357,P358),LEN(  CONCATENATE(P323,P324,P325,P326,P327,P328,P329,P330,P331,P332,P333,P334,P335,P336,P337,P338,P339,P340,P341,P342,P343,P344,P345,P346,P347,P348,P349,P350,P351,P352,P353,P354,P355,P356,P357,P358)  )-1),"")        )</f>
        <v>32</v>
      </c>
      <c r="Q359" s="66" t="str">
        <f xml:space="preserve">    IF(  AND(  COUNTIF(勤務分配!$E$3:$E$44,"病(事)假")&gt;=1,  IFERROR(  LEFT(  CONCATENATE(Q323,Q324,Q325,Q326,Q327,Q328,Q329,Q330,Q331,Q332,Q333,Q334,Q335,Q336,Q337,Q338,Q339,Q340,Q341,Q342,Q343,Q344,Q345,Q346,Q347,Q348,Q349,Q350,Q351,Q352,Q353,Q354,Q355,Q356,Q357,Q358),LEN(  CONCATENATE(Q323,Q324,Q325,Q326,Q327,Q328,Q329,Q330,Q331,Q332,Q333,Q334,Q335,Q336,Q337,Q338,Q339,Q340,Q341,Q342,Q343,Q344,Q345,Q346,Q347,Q348,Q349,Q350,Q351,Q352,Q353,Q354,Q355,Q356,Q357,Q358)  )-1),"")&lt;&gt;""   ),"." &amp; IFERROR(  LEFT(  CONCATENATE(Q323,Q324,Q325,Q326,Q327,Q328,Q329,Q330,Q331,Q332,Q333,Q334,Q335,Q336,Q337,Q338,Q339,Q340,Q341,Q342,Q343,Q344,Q345,Q346,Q347,Q348,Q349,Q350,Q351,Q352,Q353,Q354,Q355,Q356,Q357,Q358),LEN(  CONCATENATE(Q323,Q324,Q325,Q326,Q327,Q328,Q329,Q330,Q331,Q332,Q333,Q334,Q335,Q336,Q337,Q338,Q339,Q340,Q341,Q342,Q343,Q344,Q345,Q346,Q347,Q348,Q349,Q350,Q351,Q352,Q353,Q354,Q355,Q356,Q357,Q358)  )-1),""),                             IFERROR(  LEFT(  CONCATENATE(Q323,Q324,Q325,Q326,Q327,Q328,Q329,Q330,Q331,Q332,Q333,Q334,Q335,Q336,Q337,Q338,Q339,Q340,Q341,Q342,Q343,Q344,Q345,Q346,Q347,Q348,Q349,Q350,Q351,Q352,Q353,Q354,Q355,Q356,Q357,Q358),LEN(  CONCATENATE(Q323,Q324,Q325,Q326,Q327,Q328,Q329,Q330,Q331,Q332,Q333,Q334,Q335,Q336,Q337,Q338,Q339,Q340,Q341,Q342,Q343,Q344,Q345,Q346,Q347,Q348,Q349,Q350,Q351,Q352,Q353,Q354,Q355,Q356,Q357,Q358)  )-1),"")        )</f>
        <v>32</v>
      </c>
      <c r="R359" s="66" t="str">
        <f xml:space="preserve">    IF(  AND(  COUNTIF(勤務分配!$E$3:$E$44,"病(事)假")&gt;=1,  IFERROR(  LEFT(  CONCATENATE(R323,R324,R325,R326,R327,R328,R329,R330,R331,R332,R333,R334,R335,R336,R337,R338,R339,R340,R341,R342,R343,R344,R345,R346,R347,R348,R349,R350,R351,R352,R353,R354,R355,R356,R357,R358),LEN(  CONCATENATE(R323,R324,R325,R326,R327,R328,R329,R330,R331,R332,R333,R334,R335,R336,R337,R338,R339,R340,R341,R342,R343,R344,R345,R346,R347,R348,R349,R350,R351,R352,R353,R354,R355,R356,R357,R358)  )-1),"")&lt;&gt;""   ),"." &amp; IFERROR(  LEFT(  CONCATENATE(R323,R324,R325,R326,R327,R328,R329,R330,R331,R332,R333,R334,R335,R336,R337,R338,R339,R340,R341,R342,R343,R344,R345,R346,R347,R348,R349,R350,R351,R352,R353,R354,R355,R356,R357,R358),LEN(  CONCATENATE(R323,R324,R325,R326,R327,R328,R329,R330,R331,R332,R333,R334,R335,R336,R337,R338,R339,R340,R341,R342,R343,R344,R345,R346,R347,R348,R349,R350,R351,R352,R353,R354,R355,R356,R357,R358)  )-1),""),                             IFERROR(  LEFT(  CONCATENATE(R323,R324,R325,R326,R327,R328,R329,R330,R331,R332,R333,R334,R335,R336,R337,R338,R339,R340,R341,R342,R343,R344,R345,R346,R347,R348,R349,R350,R351,R352,R353,R354,R355,R356,R357,R358),LEN(  CONCATENATE(R323,R324,R325,R326,R327,R328,R329,R330,R331,R332,R333,R334,R335,R336,R337,R338,R339,R340,R341,R342,R343,R344,R345,R346,R347,R348,R349,R350,R351,R352,R353,R354,R355,R356,R357,R358)  )-1),"")        )</f>
        <v>32</v>
      </c>
      <c r="S359" s="66" t="str">
        <f xml:space="preserve">    IF(  AND(  COUNTIF(勤務分配!$E$3:$E$44,"病(事)假")&gt;=1,  IFERROR(  LEFT(  CONCATENATE(S323,S324,S325,S326,S327,S328,S329,S330,S331,S332,S333,S334,S335,S336,S337,S338,S339,S340,S341,S342,S343,S344,S345,S346,S347,S348,S349,S350,S351,S352,S353,S354,S355,S356,S357,S358),LEN(  CONCATENATE(S323,S324,S325,S326,S327,S328,S329,S330,S331,S332,S333,S334,S335,S336,S337,S338,S339,S340,S341,S342,S343,S344,S345,S346,S347,S348,S349,S350,S351,S352,S353,S354,S355,S356,S357,S358)  )-1),"")&lt;&gt;""   ),"." &amp; IFERROR(  LEFT(  CONCATENATE(S323,S324,S325,S326,S327,S328,S329,S330,S331,S332,S333,S334,S335,S336,S337,S338,S339,S340,S341,S342,S343,S344,S345,S346,S347,S348,S349,S350,S351,S352,S353,S354,S355,S356,S357,S358),LEN(  CONCATENATE(S323,S324,S325,S326,S327,S328,S329,S330,S331,S332,S333,S334,S335,S336,S337,S338,S339,S340,S341,S342,S343,S344,S345,S346,S347,S348,S349,S350,S351,S352,S353,S354,S355,S356,S357,S358)  )-1),""),                             IFERROR(  LEFT(  CONCATENATE(S323,S324,S325,S326,S327,S328,S329,S330,S331,S332,S333,S334,S335,S336,S337,S338,S339,S340,S341,S342,S343,S344,S345,S346,S347,S348,S349,S350,S351,S352,S353,S354,S355,S356,S357,S358),LEN(  CONCATENATE(S323,S324,S325,S326,S327,S328,S329,S330,S331,S332,S333,S334,S335,S336,S337,S338,S339,S340,S341,S342,S343,S344,S345,S346,S347,S348,S349,S350,S351,S352,S353,S354,S355,S356,S357,S358)  )-1),"")        )</f>
        <v>32</v>
      </c>
      <c r="T359" s="66" t="str">
        <f xml:space="preserve">    IF(  AND(  COUNTIF(勤務分配!$E$3:$E$44,"病(事)假")&gt;=1,  IFERROR(  LEFT(  CONCATENATE(T323,T324,T325,T326,T327,T328,T329,T330,T331,T332,T333,T334,T335,T336,T337,T338,T339,T340,T341,T342,T343,T344,T345,T346,T347,T348,T349,T350,T351,T352,T353,T354,T355,T356,T357,T358),LEN(  CONCATENATE(T323,T324,T325,T326,T327,T328,T329,T330,T331,T332,T333,T334,T335,T336,T337,T338,T339,T340,T341,T342,T343,T344,T345,T346,T347,T348,T349,T350,T351,T352,T353,T354,T355,T356,T357,T358)  )-1),"")&lt;&gt;""   ),"." &amp; IFERROR(  LEFT(  CONCATENATE(T323,T324,T325,T326,T327,T328,T329,T330,T331,T332,T333,T334,T335,T336,T337,T338,T339,T340,T341,T342,T343,T344,T345,T346,T347,T348,T349,T350,T351,T352,T353,T354,T355,T356,T357,T358),LEN(  CONCATENATE(T323,T324,T325,T326,T327,T328,T329,T330,T331,T332,T333,T334,T335,T336,T337,T338,T339,T340,T341,T342,T343,T344,T345,T346,T347,T348,T349,T350,T351,T352,T353,T354,T355,T356,T357,T358)  )-1),""),                             IFERROR(  LEFT(  CONCATENATE(T323,T324,T325,T326,T327,T328,T329,T330,T331,T332,T333,T334,T335,T336,T337,T338,T339,T340,T341,T342,T343,T344,T345,T346,T347,T348,T349,T350,T351,T352,T353,T354,T355,T356,T357,T358),LEN(  CONCATENATE(T323,T324,T325,T326,T327,T328,T329,T330,T331,T332,T333,T334,T335,T336,T337,T338,T339,T340,T341,T342,T343,T344,T345,T346,T347,T348,T349,T350,T351,T352,T353,T354,T355,T356,T357,T358)  )-1),"")        )</f>
        <v>25(13-17時).27(17-21時).32</v>
      </c>
      <c r="U359" s="66" t="str">
        <f xml:space="preserve">    IF(  AND(  COUNTIF(勤務分配!$E$3:$E$44,"病(事)假")&gt;=1,  IFERROR(  LEFT(  CONCATENATE(U323,U324,U325,U326,U327,U328,U329,U330,U331,U332,U333,U334,U335,U336,U337,U338,U339,U340,U341,U342,U343,U344,U345,U346,U347,U348,U349,U350,U351,U352,U353,U354,U355,U356,U357,U358),LEN(  CONCATENATE(U323,U324,U325,U326,U327,U328,U329,U330,U331,U332,U333,U334,U335,U336,U337,U338,U339,U340,U341,U342,U343,U344,U345,U346,U347,U348,U349,U350,U351,U352,U353,U354,U355,U356,U357,U358)  )-1),"")&lt;&gt;""   ),"." &amp; IFERROR(  LEFT(  CONCATENATE(U323,U324,U325,U326,U327,U328,U329,U330,U331,U332,U333,U334,U335,U336,U337,U338,U339,U340,U341,U342,U343,U344,U345,U346,U347,U348,U349,U350,U351,U352,U353,U354,U355,U356,U357,U358),LEN(  CONCATENATE(U323,U324,U325,U326,U327,U328,U329,U330,U331,U332,U333,U334,U335,U336,U337,U338,U339,U340,U341,U342,U343,U344,U345,U346,U347,U348,U349,U350,U351,U352,U353,U354,U355,U356,U357,U358)  )-1),""),                             IFERROR(  LEFT(  CONCATENATE(U323,U324,U325,U326,U327,U328,U329,U330,U331,U332,U333,U334,U335,U336,U337,U338,U339,U340,U341,U342,U343,U344,U345,U346,U347,U348,U349,U350,U351,U352,U353,U354,U355,U356,U357,U358),LEN(  CONCATENATE(U323,U324,U325,U326,U327,U328,U329,U330,U331,U332,U333,U334,U335,U336,U337,U338,U339,U340,U341,U342,U343,U344,U345,U346,U347,U348,U349,U350,U351,U352,U353,U354,U355,U356,U357,U358)  )-1),"")        )</f>
        <v>27(17-21時).32</v>
      </c>
      <c r="V359" s="66" t="str">
        <f xml:space="preserve">    IF(  AND(  COUNTIF(勤務分配!$E$3:$E$44,"病(事)假")&gt;=1,  IFERROR(  LEFT(  CONCATENATE(V323,V324,V325,V326,V327,V328,V329,V330,V331,V332,V333,V334,V335,V336,V337,V338,V339,V340,V341,V342,V343,V344,V345,V346,V347,V348,V349,V350,V351,V352,V353,V354,V355,V356,V357,V358),LEN(  CONCATENATE(V323,V324,V325,V326,V327,V328,V329,V330,V331,V332,V333,V334,V335,V336,V337,V338,V339,V340,V341,V342,V343,V344,V345,V346,V347,V348,V349,V350,V351,V352,V353,V354,V355,V356,V357,V358)  )-1),"")&lt;&gt;""   ),"." &amp; IFERROR(  LEFT(  CONCATENATE(V323,V324,V325,V326,V327,V328,V329,V330,V331,V332,V333,V334,V335,V336,V337,V338,V339,V340,V341,V342,V343,V344,V345,V346,V347,V348,V349,V350,V351,V352,V353,V354,V355,V356,V357,V358),LEN(  CONCATENATE(V323,V324,V325,V326,V327,V328,V329,V330,V331,V332,V333,V334,V335,V336,V337,V338,V339,V340,V341,V342,V343,V344,V345,V346,V347,V348,V349,V350,V351,V352,V353,V354,V355,V356,V357,V358)  )-1),""),                             IFERROR(  LEFT(  CONCATENATE(V323,V324,V325,V326,V327,V328,V329,V330,V331,V332,V333,V334,V335,V336,V337,V338,V339,V340,V341,V342,V343,V344,V345,V346,V347,V348,V349,V350,V351,V352,V353,V354,V355,V356,V357,V358),LEN(  CONCATENATE(V323,V324,V325,V326,V327,V328,V329,V330,V331,V332,V333,V334,V335,V336,V337,V338,V339,V340,V341,V342,V343,V344,V345,V346,V347,V348,V349,V350,V351,V352,V353,V354,V355,V356,V357,V358)  )-1),"")        )</f>
        <v>32</v>
      </c>
      <c r="W359" s="66" t="str">
        <f xml:space="preserve">    IF(  AND(  COUNTIF(勤務分配!$E$3:$E$44,"病(事)假")&gt;=1,  IFERROR(  LEFT(  CONCATENATE(W323,W324,W325,W326,W327,W328,W329,W330,W331,W332,W333,W334,W335,W336,W337,W338,W339,W340,W341,W342,W343,W344,W345,W346,W347,W348,W349,W350,W351,W352,W353,W354,W355,W356,W357,W358),LEN(  CONCATENATE(W323,W324,W325,W326,W327,W328,W329,W330,W331,W332,W333,W334,W335,W336,W337,W338,W339,W340,W341,W342,W343,W344,W345,W346,W347,W348,W349,W350,W351,W352,W353,W354,W355,W356,W357,W358)  )-1),"")&lt;&gt;""   ),"." &amp; IFERROR(  LEFT(  CONCATENATE(W323,W324,W325,W326,W327,W328,W329,W330,W331,W332,W333,W334,W335,W336,W337,W338,W339,W340,W341,W342,W343,W344,W345,W346,W347,W348,W349,W350,W351,W352,W353,W354,W355,W356,W357,W358),LEN(  CONCATENATE(W323,W324,W325,W326,W327,W328,W329,W330,W331,W332,W333,W334,W335,W336,W337,W338,W339,W340,W341,W342,W343,W344,W345,W346,W347,W348,W349,W350,W351,W352,W353,W354,W355,W356,W357,W358)  )-1),""),                             IFERROR(  LEFT(  CONCATENATE(W323,W324,W325,W326,W327,W328,W329,W330,W331,W332,W333,W334,W335,W336,W337,W338,W339,W340,W341,W342,W343,W344,W345,W346,W347,W348,W349,W350,W351,W352,W353,W354,W355,W356,W357,W358),LEN(  CONCATENATE(W323,W324,W325,W326,W327,W328,W329,W330,W331,W332,W333,W334,W335,W336,W337,W338,W339,W340,W341,W342,W343,W344,W345,W346,W347,W348,W349,W350,W351,W352,W353,W354,W355,W356,W357,W358)  )-1),"")        )</f>
        <v>25(8-12時).27(17-21時).32</v>
      </c>
      <c r="X359" s="66" t="str">
        <f xml:space="preserve">    IF(  AND(  COUNTIF(勤務分配!$E$3:$E$44,"病(事)假")&gt;=1,  IFERROR(  LEFT(  CONCATENATE(X323,X324,X325,X326,X327,X328,X329,X330,X331,X332,X333,X334,X335,X336,X337,X338,X339,X340,X341,X342,X343,X344,X345,X346,X347,X348,X349,X350,X351,X352,X353,X354,X355,X356,X357,X358),LEN(  CONCATENATE(X323,X324,X325,X326,X327,X328,X329,X330,X331,X332,X333,X334,X335,X336,X337,X338,X339,X340,X341,X342,X343,X344,X345,X346,X347,X348,X349,X350,X351,X352,X353,X354,X355,X356,X357,X358)  )-1),"")&lt;&gt;""   ),"." &amp; IFERROR(  LEFT(  CONCATENATE(X323,X324,X325,X326,X327,X328,X329,X330,X331,X332,X333,X334,X335,X336,X337,X338,X339,X340,X341,X342,X343,X344,X345,X346,X347,X348,X349,X350,X351,X352,X353,X354,X355,X356,X357,X358),LEN(  CONCATENATE(X323,X324,X325,X326,X327,X328,X329,X330,X331,X332,X333,X334,X335,X336,X337,X338,X339,X340,X341,X342,X343,X344,X345,X346,X347,X348,X349,X350,X351,X352,X353,X354,X355,X356,X357,X358)  )-1),""),                             IFERROR(  LEFT(  CONCATENATE(X323,X324,X325,X326,X327,X328,X329,X330,X331,X332,X333,X334,X335,X336,X337,X338,X339,X340,X341,X342,X343,X344,X345,X346,X347,X348,X349,X350,X351,X352,X353,X354,X355,X356,X357,X358),LEN(  CONCATENATE(X323,X324,X325,X326,X327,X328,X329,X330,X331,X332,X333,X334,X335,X336,X337,X338,X339,X340,X341,X342,X343,X344,X345,X346,X347,X348,X349,X350,X351,X352,X353,X354,X355,X356,X357,X358)  )-1),"")        )</f>
        <v>32</v>
      </c>
      <c r="Y359" s="66" t="str">
        <f xml:space="preserve">    IF(  AND(  COUNTIF(勤務分配!$E$3:$E$44,"病(事)假")&gt;=1,  IFERROR(  LEFT(  CONCATENATE(Y323,Y324,Y325,Y326,Y327,Y328,Y329,Y330,Y331,Y332,Y333,Y334,Y335,Y336,Y337,Y338,Y339,Y340,Y341,Y342,Y343,Y344,Y345,Y346,Y347,Y348,Y349,Y350,Y351,Y352,Y353,Y354,Y355,Y356,Y357,Y358),LEN(  CONCATENATE(Y323,Y324,Y325,Y326,Y327,Y328,Y329,Y330,Y331,Y332,Y333,Y334,Y335,Y336,Y337,Y338,Y339,Y340,Y341,Y342,Y343,Y344,Y345,Y346,Y347,Y348,Y349,Y350,Y351,Y352,Y353,Y354,Y355,Y356,Y357,Y358)  )-1),"")&lt;&gt;""   ),"." &amp; IFERROR(  LEFT(  CONCATENATE(Y323,Y324,Y325,Y326,Y327,Y328,Y329,Y330,Y331,Y332,Y333,Y334,Y335,Y336,Y337,Y338,Y339,Y340,Y341,Y342,Y343,Y344,Y345,Y346,Y347,Y348,Y349,Y350,Y351,Y352,Y353,Y354,Y355,Y356,Y357,Y358),LEN(  CONCATENATE(Y323,Y324,Y325,Y326,Y327,Y328,Y329,Y330,Y331,Y332,Y333,Y334,Y335,Y336,Y337,Y338,Y339,Y340,Y341,Y342,Y343,Y344,Y345,Y346,Y347,Y348,Y349,Y350,Y351,Y352,Y353,Y354,Y355,Y356,Y357,Y358)  )-1),""),                             IFERROR(  LEFT(  CONCATENATE(Y323,Y324,Y325,Y326,Y327,Y328,Y329,Y330,Y331,Y332,Y333,Y334,Y335,Y336,Y337,Y338,Y339,Y340,Y341,Y342,Y343,Y344,Y345,Y346,Y347,Y348,Y349,Y350,Y351,Y352,Y353,Y354,Y355,Y356,Y357,Y358),LEN(  CONCATENATE(Y323,Y324,Y325,Y326,Y327,Y328,Y329,Y330,Y331,Y332,Y333,Y334,Y335,Y336,Y337,Y338,Y339,Y340,Y341,Y342,Y343,Y344,Y345,Y346,Y347,Y348,Y349,Y350,Y351,Y352,Y353,Y354,Y355,Y356,Y357,Y358)  )-1),"")        )</f>
        <v>32</v>
      </c>
      <c r="Z359" s="66" t="str">
        <f xml:space="preserve">    IF(  AND(  COUNTIF(勤務分配!$E$3:$E$44,"病(事)假")&gt;=1,  IFERROR(  LEFT(  CONCATENATE(Z323,Z324,Z325,Z326,Z327,Z328,Z329,Z330,Z331,Z332,Z333,Z334,Z335,Z336,Z337,Z338,Z339,Z340,Z341,Z342,Z343,Z344,Z345,Z346,Z347,Z348,Z349,Z350,Z351,Z352,Z353,Z354,Z355,Z356,Z357,Z358),LEN(  CONCATENATE(Z323,Z324,Z325,Z326,Z327,Z328,Z329,Z330,Z331,Z332,Z333,Z334,Z335,Z336,Z337,Z338,Z339,Z340,Z341,Z342,Z343,Z344,Z345,Z346,Z347,Z348,Z349,Z350,Z351,Z352,Z353,Z354,Z355,Z356,Z357,Z358)  )-1),"")&lt;&gt;""   ),"." &amp; IFERROR(  LEFT(  CONCATENATE(Z323,Z324,Z325,Z326,Z327,Z328,Z329,Z330,Z331,Z332,Z333,Z334,Z335,Z336,Z337,Z338,Z339,Z340,Z341,Z342,Z343,Z344,Z345,Z346,Z347,Z348,Z349,Z350,Z351,Z352,Z353,Z354,Z355,Z356,Z357,Z358),LEN(  CONCATENATE(Z323,Z324,Z325,Z326,Z327,Z328,Z329,Z330,Z331,Z332,Z333,Z334,Z335,Z336,Z337,Z338,Z339,Z340,Z341,Z342,Z343,Z344,Z345,Z346,Z347,Z348,Z349,Z350,Z351,Z352,Z353,Z354,Z355,Z356,Z357,Z358)  )-1),""),                             IFERROR(  LEFT(  CONCATENATE(Z323,Z324,Z325,Z326,Z327,Z328,Z329,Z330,Z331,Z332,Z333,Z334,Z335,Z336,Z337,Z338,Z339,Z340,Z341,Z342,Z343,Z344,Z345,Z346,Z347,Z348,Z349,Z350,Z351,Z352,Z353,Z354,Z355,Z356,Z357,Z358),LEN(  CONCATENATE(Z323,Z324,Z325,Z326,Z327,Z328,Z329,Z330,Z331,Z332,Z333,Z334,Z335,Z336,Z337,Z338,Z339,Z340,Z341,Z342,Z343,Z344,Z345,Z346,Z347,Z348,Z349,Z350,Z351,Z352,Z353,Z354,Z355,Z356,Z357,Z358)  )-1),"")        )</f>
        <v>32</v>
      </c>
      <c r="AA359" s="66" t="str">
        <f xml:space="preserve">    IF(  AND(  COUNTIF(勤務分配!$E$3:$E$44,"病(事)假")&gt;=1,  IFERROR(  LEFT(  CONCATENATE(AA323,AA324,AA325,AA326,AA327,AA328,AA329,AA330,AA331,AA332,AA333,AA334,AA335,AA336,AA337,AA338,AA339,AA340,AA341,AA342,AA343,AA344,AA345,AA346,AA347,AA348,AA349,AA350,AA351,AA352,AA353,AA354,AA355,AA356,AA357,AA358),LEN(  CONCATENATE(AA323,AA324,AA325,AA326,AA327,AA328,AA329,AA330,AA331,AA332,AA333,AA334,AA335,AA336,AA337,AA338,AA339,AA340,AA341,AA342,AA343,AA344,AA345,AA346,AA347,AA348,AA349,AA350,AA351,AA352,AA353,AA354,AA355,AA356,AA357,AA358)  )-1),"")&lt;&gt;""   ),"." &amp; IFERROR(  LEFT(  CONCATENATE(AA323,AA324,AA325,AA326,AA327,AA328,AA329,AA330,AA331,AA332,AA333,AA334,AA335,AA336,AA337,AA338,AA339,AA340,AA341,AA342,AA343,AA344,AA345,AA346,AA347,AA348,AA349,AA350,AA351,AA352,AA353,AA354,AA355,AA356,AA357,AA358),LEN(  CONCATENATE(AA323,AA324,AA325,AA326,AA327,AA328,AA329,AA330,AA331,AA332,AA333,AA334,AA335,AA336,AA337,AA338,AA339,AA340,AA341,AA342,AA343,AA344,AA345,AA346,AA347,AA348,AA349,AA350,AA351,AA352,AA353,AA354,AA355,AA356,AA357,AA358)  )-1),""),                             IFERROR(  LEFT(  CONCATENATE(AA323,AA324,AA325,AA326,AA327,AA328,AA329,AA330,AA331,AA332,AA333,AA334,AA335,AA336,AA337,AA338,AA339,AA340,AA341,AA342,AA343,AA344,AA345,AA346,AA347,AA348,AA349,AA350,AA351,AA352,AA353,AA354,AA355,AA356,AA357,AA358),LEN(  CONCATENATE(AA323,AA324,AA325,AA326,AA327,AA328,AA329,AA330,AA331,AA332,AA333,AA334,AA335,AA336,AA337,AA338,AA339,AA340,AA341,AA342,AA343,AA344,AA345,AA346,AA347,AA348,AA349,AA350,AA351,AA352,AA353,AA354,AA355,AA356,AA357,AA358)  )-1),"")        )</f>
        <v>32</v>
      </c>
      <c r="AB359" s="66" t="str">
        <f xml:space="preserve">    IF(  AND(  COUNTIF(勤務分配!$E$3:$E$44,"病(事)假")&gt;=1,  IFERROR(  LEFT(  CONCATENATE(AB323,AB324,AB325,AB326,AB327,AB328,AB329,AB330,AB331,AB332,AB333,AB334,AB335,AB336,AB337,AB338,AB339,AB340,AB341,AB342,AB343,AB344,AB345,AB346,AB347,AB348,AB349,AB350,AB351,AB352,AB353,AB354,AB355,AB356,AB357,AB358),LEN(  CONCATENATE(AB323,AB324,AB325,AB326,AB327,AB328,AB329,AB330,AB331,AB332,AB333,AB334,AB335,AB336,AB337,AB338,AB339,AB340,AB341,AB342,AB343,AB344,AB345,AB346,AB347,AB348,AB349,AB350,AB351,AB352,AB353,AB354,AB355,AB356,AB357,AB358)  )-1),"")&lt;&gt;""   ),"." &amp; IFERROR(  LEFT(  CONCATENATE(AB323,AB324,AB325,AB326,AB327,AB328,AB329,AB330,AB331,AB332,AB333,AB334,AB335,AB336,AB337,AB338,AB339,AB340,AB341,AB342,AB343,AB344,AB345,AB346,AB347,AB348,AB349,AB350,AB351,AB352,AB353,AB354,AB355,AB356,AB357,AB358),LEN(  CONCATENATE(AB323,AB324,AB325,AB326,AB327,AB328,AB329,AB330,AB331,AB332,AB333,AB334,AB335,AB336,AB337,AB338,AB339,AB340,AB341,AB342,AB343,AB344,AB345,AB346,AB347,AB348,AB349,AB350,AB351,AB352,AB353,AB354,AB355,AB356,AB357,AB358)  )-1),""),                             IFERROR(  LEFT(  CONCATENATE(AB323,AB324,AB325,AB326,AB327,AB328,AB329,AB330,AB331,AB332,AB333,AB334,AB335,AB336,AB337,AB338,AB339,AB340,AB341,AB342,AB343,AB344,AB345,AB346,AB347,AB348,AB349,AB350,AB351,AB352,AB353,AB354,AB355,AB356,AB357,AB358),LEN(  CONCATENATE(AB323,AB324,AB325,AB326,AB327,AB328,AB329,AB330,AB331,AB332,AB333,AB334,AB335,AB336,AB337,AB338,AB339,AB340,AB341,AB342,AB343,AB344,AB345,AB346,AB347,AB348,AB349,AB350,AB351,AB352,AB353,AB354,AB355,AB356,AB357,AB358)  )-1),"")        )</f>
        <v>32</v>
      </c>
      <c r="AC359" s="66" t="str">
        <f xml:space="preserve">    IF(  AND(  COUNTIF(勤務分配!$E$3:$E$44,"病(事)假")&gt;=1,  IFERROR(  LEFT(  CONCATENATE(AC323,AC324,AC325,AC326,AC327,AC328,AC329,AC330,AC331,AC332,AC333,AC334,AC335,AC336,AC337,AC338,AC339,AC340,AC341,AC342,AC343,AC344,AC345,AC346,AC347,AC348,AC349,AC350,AC351,AC352,AC353,AC354,AC355,AC356,AC357,AC358),LEN(  CONCATENATE(AC323,AC324,AC325,AC326,AC327,AC328,AC329,AC330,AC331,AC332,AC333,AC334,AC335,AC336,AC337,AC338,AC339,AC340,AC341,AC342,AC343,AC344,AC345,AC346,AC347,AC348,AC349,AC350,AC351,AC352,AC353,AC354,AC355,AC356,AC357,AC358)  )-1),"")&lt;&gt;""   ),"." &amp; IFERROR(  LEFT(  CONCATENATE(AC323,AC324,AC325,AC326,AC327,AC328,AC329,AC330,AC331,AC332,AC333,AC334,AC335,AC336,AC337,AC338,AC339,AC340,AC341,AC342,AC343,AC344,AC345,AC346,AC347,AC348,AC349,AC350,AC351,AC352,AC353,AC354,AC355,AC356,AC357,AC358),LEN(  CONCATENATE(AC323,AC324,AC325,AC326,AC327,AC328,AC329,AC330,AC331,AC332,AC333,AC334,AC335,AC336,AC337,AC338,AC339,AC340,AC341,AC342,AC343,AC344,AC345,AC346,AC347,AC348,AC349,AC350,AC351,AC352,AC353,AC354,AC355,AC356,AC357,AC358)  )-1),""),                             IFERROR(  LEFT(  CONCATENATE(AC323,AC324,AC325,AC326,AC327,AC328,AC329,AC330,AC331,AC332,AC333,AC334,AC335,AC336,AC337,AC338,AC339,AC340,AC341,AC342,AC343,AC344,AC345,AC346,AC347,AC348,AC349,AC350,AC351,AC352,AC353,AC354,AC355,AC356,AC357,AC358),LEN(  CONCATENATE(AC323,AC324,AC325,AC326,AC327,AC328,AC329,AC330,AC331,AC332,AC333,AC334,AC335,AC336,AC337,AC338,AC339,AC340,AC341,AC342,AC343,AC344,AC345,AC346,AC347,AC348,AC349,AC350,AC351,AC352,AC353,AC354,AC355,AC356,AC357,AC358)  )-1),"")        )</f>
        <v>32</v>
      </c>
      <c r="AD359" s="66" t="str">
        <f xml:space="preserve">    IF(  AND(  COUNTIF(勤務分配!$E$3:$E$44,"病(事)假")&gt;=1,  IFERROR(  LEFT(  CONCATENATE(AD323,AD324,AD325,AD326,AD327,AD328,AD329,AD330,AD331,AD332,AD333,AD334,AD335,AD336,AD337,AD338,AD339,AD340,AD341,AD342,AD343,AD344,AD345,AD346,AD347,AD348,AD349,AD350,AD351,AD352,AD353,AD354,AD355,AD356,AD357,AD358),LEN(  CONCATENATE(AD323,AD324,AD325,AD326,AD327,AD328,AD329,AD330,AD331,AD332,AD333,AD334,AD335,AD336,AD337,AD338,AD339,AD340,AD341,AD342,AD343,AD344,AD345,AD346,AD347,AD348,AD349,AD350,AD351,AD352,AD353,AD354,AD355,AD356,AD357,AD358)  )-1),"")&lt;&gt;""   ),"." &amp; IFERROR(  LEFT(  CONCATENATE(AD323,AD324,AD325,AD326,AD327,AD328,AD329,AD330,AD331,AD332,AD333,AD334,AD335,AD336,AD337,AD338,AD339,AD340,AD341,AD342,AD343,AD344,AD345,AD346,AD347,AD348,AD349,AD350,AD351,AD352,AD353,AD354,AD355,AD356,AD357,AD358),LEN(  CONCATENATE(AD323,AD324,AD325,AD326,AD327,AD328,AD329,AD330,AD331,AD332,AD333,AD334,AD335,AD336,AD337,AD338,AD339,AD340,AD341,AD342,AD343,AD344,AD345,AD346,AD347,AD348,AD349,AD350,AD351,AD352,AD353,AD354,AD355,AD356,AD357,AD358)  )-1),""),                             IFERROR(  LEFT(  CONCATENATE(AD323,AD324,AD325,AD326,AD327,AD328,AD329,AD330,AD331,AD332,AD333,AD334,AD335,AD336,AD337,AD338,AD339,AD340,AD341,AD342,AD343,AD344,AD345,AD346,AD347,AD348,AD349,AD350,AD351,AD352,AD353,AD354,AD355,AD356,AD357,AD358),LEN(  CONCATENATE(AD323,AD324,AD325,AD326,AD327,AD328,AD329,AD330,AD331,AD332,AD333,AD334,AD335,AD336,AD337,AD338,AD339,AD340,AD341,AD342,AD343,AD344,AD345,AD346,AD347,AD348,AD349,AD350,AD351,AD352,AD353,AD354,AD355,AD356,AD357,AD358)  )-1),"")        )</f>
        <v>32</v>
      </c>
      <c r="AE359" s="66" t="str">
        <f xml:space="preserve">    IF(  AND(  COUNTIF(勤務分配!$E$3:$E$44,"病(事)假")&gt;=1,  IFERROR(  LEFT(  CONCATENATE(AE323,AE324,AE325,AE326,AE327,AE328,AE329,AE330,AE331,AE332,AE333,AE334,AE335,AE336,AE337,AE338,AE339,AE340,AE341,AE342,AE343,AE344,AE345,AE346,AE347,AE348,AE349,AE350,AE351,AE352,AE353,AE354,AE355,AE356,AE357,AE358),LEN(  CONCATENATE(AE323,AE324,AE325,AE326,AE327,AE328,AE329,AE330,AE331,AE332,AE333,AE334,AE335,AE336,AE337,AE338,AE339,AE340,AE341,AE342,AE343,AE344,AE345,AE346,AE347,AE348,AE349,AE350,AE351,AE352,AE353,AE354,AE355,AE356,AE357,AE358)  )-1),"")&lt;&gt;""   ),"." &amp; IFERROR(  LEFT(  CONCATENATE(AE323,AE324,AE325,AE326,AE327,AE328,AE329,AE330,AE331,AE332,AE333,AE334,AE335,AE336,AE337,AE338,AE339,AE340,AE341,AE342,AE343,AE344,AE345,AE346,AE347,AE348,AE349,AE350,AE351,AE352,AE353,AE354,AE355,AE356,AE357,AE358),LEN(  CONCATENATE(AE323,AE324,AE325,AE326,AE327,AE328,AE329,AE330,AE331,AE332,AE333,AE334,AE335,AE336,AE337,AE338,AE339,AE340,AE341,AE342,AE343,AE344,AE345,AE346,AE347,AE348,AE349,AE350,AE351,AE352,AE353,AE354,AE355,AE356,AE357,AE358)  )-1),""),                             IFERROR(  LEFT(  CONCATENATE(AE323,AE324,AE325,AE326,AE327,AE328,AE329,AE330,AE331,AE332,AE333,AE334,AE335,AE336,AE337,AE338,AE339,AE340,AE341,AE342,AE343,AE344,AE345,AE346,AE347,AE348,AE349,AE350,AE351,AE352,AE353,AE354,AE355,AE356,AE357,AE358),LEN(  CONCATENATE(AE323,AE324,AE325,AE326,AE327,AE328,AE329,AE330,AE331,AE332,AE333,AE334,AE335,AE336,AE337,AE338,AE339,AE340,AE341,AE342,AE343,AE344,AE345,AE346,AE347,AE348,AE349,AE350,AE351,AE352,AE353,AE354,AE355,AE356,AE357,AE358)  )-1),"")        )</f>
        <v>32</v>
      </c>
      <c r="AF359" s="66" t="str">
        <f xml:space="preserve">    IF(  AND(  COUNTIF(勤務分配!$E$3:$E$44,"病(事)假")&gt;=1,  IFERROR(  LEFT(  CONCATENATE(AF323,AF324,AF325,AF326,AF327,AF328,AF329,AF330,AF331,AF332,AF333,AF334,AF335,AF336,AF337,AF338,AF339,AF340,AF341,AF342,AF343,AF344,AF345,AF346,AF347,AF348,AF349,AF350,AF351,AF352,AF353,AF354,AF355,AF356,AF357,AF358),LEN(  CONCATENATE(AF323,AF324,AF325,AF326,AF327,AF328,AF329,AF330,AF331,AF332,AF333,AF334,AF335,AF336,AF337,AF338,AF339,AF340,AF341,AF342,AF343,AF344,AF345,AF346,AF347,AF348,AF349,AF350,AF351,AF352,AF353,AF354,AF355,AF356,AF357,AF358)  )-1),"")&lt;&gt;""   ),"." &amp; IFERROR(  LEFT(  CONCATENATE(AF323,AF324,AF325,AF326,AF327,AF328,AF329,AF330,AF331,AF332,AF333,AF334,AF335,AF336,AF337,AF338,AF339,AF340,AF341,AF342,AF343,AF344,AF345,AF346,AF347,AF348,AF349,AF350,AF351,AF352,AF353,AF354,AF355,AF356,AF357,AF358),LEN(  CONCATENATE(AF323,AF324,AF325,AF326,AF327,AF328,AF329,AF330,AF331,AF332,AF333,AF334,AF335,AF336,AF337,AF338,AF339,AF340,AF341,AF342,AF343,AF344,AF345,AF346,AF347,AF348,AF349,AF350,AF351,AF352,AF353,AF354,AF355,AF356,AF357,AF358)  )-1),""),                             IFERROR(  LEFT(  CONCATENATE(AF323,AF324,AF325,AF326,AF327,AF328,AF329,AF330,AF331,AF332,AF333,AF334,AF335,AF336,AF337,AF338,AF339,AF340,AF341,AF342,AF343,AF344,AF345,AF346,AF347,AF348,AF349,AF350,AF351,AF352,AF353,AF354,AF355,AF356,AF357,AF358),LEN(  CONCATENATE(AF323,AF324,AF325,AF326,AF327,AF328,AF329,AF330,AF331,AF332,AF333,AF334,AF335,AF336,AF337,AF338,AF339,AF340,AF341,AF342,AF343,AF344,AF345,AF346,AF347,AF348,AF349,AF350,AF351,AF352,AF353,AF354,AF355,AF356,AF357,AF358)  )-1),"")        )</f>
        <v>5(06-22時).32</v>
      </c>
      <c r="AG359" s="66" t="str">
        <f xml:space="preserve">    IF(  AND(  COUNTIF(勤務分配!$E$3:$E$44,"病(事)假")&gt;=1,  IFERROR(  LEFT(  CONCATENATE(AG323,AG324,AG325,AG326,AG327,AG328,AG329,AG330,AG331,AG332,AG333,AG334,AG335,AG336,AG337,AG338,AG339,AG340,AG341,AG342,AG343,AG344,AG345,AG346,AG347,AG348,AG349,AG350,AG351,AG352,AG353,AG354,AG355,AG356,AG357,AG358),LEN(  CONCATENATE(AG323,AG324,AG325,AG326,AG327,AG328,AG329,AG330,AG331,AG332,AG333,AG334,AG335,AG336,AG337,AG338,AG339,AG340,AG341,AG342,AG343,AG344,AG345,AG346,AG347,AG348,AG349,AG350,AG351,AG352,AG353,AG354,AG355,AG356,AG357,AG358)  )-1),"")&lt;&gt;""   ),"." &amp; IFERROR(  LEFT(  CONCATENATE(AG323,AG324,AG325,AG326,AG327,AG328,AG329,AG330,AG331,AG332,AG333,AG334,AG335,AG336,AG337,AG338,AG339,AG340,AG341,AG342,AG343,AG344,AG345,AG346,AG347,AG348,AG349,AG350,AG351,AG352,AG353,AG354,AG355,AG356,AG357,AG358),LEN(  CONCATENATE(AG323,AG324,AG325,AG326,AG327,AG328,AG329,AG330,AG331,AG332,AG333,AG334,AG335,AG336,AG337,AG338,AG339,AG340,AG341,AG342,AG343,AG344,AG345,AG346,AG347,AG348,AG349,AG350,AG351,AG352,AG353,AG354,AG355,AG356,AG357,AG358)  )-1),""),                             IFERROR(  LEFT(  CONCATENATE(AG323,AG324,AG325,AG326,AG327,AG328,AG329,AG330,AG331,AG332,AG333,AG334,AG335,AG336,AG337,AG338,AG339,AG340,AG341,AG342,AG343,AG344,AG345,AG346,AG347,AG348,AG349,AG350,AG351,AG352,AG353,AG354,AG355,AG356,AG357,AG358),LEN(  CONCATENATE(AG323,AG324,AG325,AG326,AG327,AG328,AG329,AG330,AG331,AG332,AG333,AG334,AG335,AG336,AG337,AG338,AG339,AG340,AG341,AG342,AG343,AG344,AG345,AG346,AG347,AG348,AG349,AG350,AG351,AG352,AG353,AG354,AG355,AG356,AG357,AG358)  )-1),"")        )</f>
        <v>5(06-22時).32</v>
      </c>
      <c r="AH359" s="66" t="str">
        <f xml:space="preserve">    IF(  AND(  COUNTIF(勤務分配!$E$3:$E$44,"病(事)假")&gt;=1,  IFERROR(  LEFT(  CONCATENATE(AH323,AH324,AH325,AH326,AH327,AH328,AH329,AH330,AH331,AH332,AH333,AH334,AH335,AH336,AH337,AH338,AH339,AH340,AH341,AH342,AH343,AH344,AH345,AH346,AH347,AH348,AH349,AH350,AH351,AH352,AH353,AH354,AH355,AH356,AH357,AH358),LEN(  CONCATENATE(AH323,AH324,AH325,AH326,AH327,AH328,AH329,AH330,AH331,AH332,AH333,AH334,AH335,AH336,AH337,AH338,AH339,AH340,AH341,AH342,AH343,AH344,AH345,AH346,AH347,AH348,AH349,AH350,AH351,AH352,AH353,AH354,AH355,AH356,AH357,AH358)  )-1),"")&lt;&gt;""   ),"." &amp; IFERROR(  LEFT(  CONCATENATE(AH323,AH324,AH325,AH326,AH327,AH328,AH329,AH330,AH331,AH332,AH333,AH334,AH335,AH336,AH337,AH338,AH339,AH340,AH341,AH342,AH343,AH344,AH345,AH346,AH347,AH348,AH349,AH350,AH351,AH352,AH353,AH354,AH355,AH356,AH357,AH358),LEN(  CONCATENATE(AH323,AH324,AH325,AH326,AH327,AH328,AH329,AH330,AH331,AH332,AH333,AH334,AH335,AH336,AH337,AH338,AH339,AH340,AH341,AH342,AH343,AH344,AH345,AH346,AH347,AH348,AH349,AH350,AH351,AH352,AH353,AH354,AH355,AH356,AH357,AH358)  )-1),""),                             IFERROR(  LEFT(  CONCATENATE(AH323,AH324,AH325,AH326,AH327,AH328,AH329,AH330,AH331,AH332,AH333,AH334,AH335,AH336,AH337,AH338,AH339,AH340,AH341,AH342,AH343,AH344,AH345,AH346,AH347,AH348,AH349,AH350,AH351,AH352,AH353,AH354,AH355,AH356,AH357,AH358),LEN(  CONCATENATE(AH323,AH324,AH325,AH326,AH327,AH328,AH329,AH330,AH331,AH332,AH333,AH334,AH335,AH336,AH337,AH338,AH339,AH340,AH341,AH342,AH343,AH344,AH345,AH346,AH347,AH348,AH349,AH350,AH351,AH352,AH353,AH354,AH355,AH356,AH357,AH358)  )-1),"")        )</f>
        <v/>
      </c>
      <c r="AI359" s="66" t="str">
        <f xml:space="preserve">    IF(  AND(  COUNTIF(勤務分配!$E$3:$E$44,"病(事)假")&gt;=1,  IFERROR(  LEFT(  CONCATENATE(AI323,AI324,AI325,AI326,AI327,AI328,AI329,AI330,AI331,AI332,AI333,AI334,AI335,AI336,AI337,AI338,AI339,AI340,AI341,AI342,AI343,AI344,AI345,AI346,AI347,AI348,AI349,AI350,AI351,AI352,AI353,AI354,AI355,AI356,AI357,AI358),LEN(  CONCATENATE(AI323,AI324,AI325,AI326,AI327,AI328,AI329,AI330,AI331,AI332,AI333,AI334,AI335,AI336,AI337,AI338,AI339,AI340,AI341,AI342,AI343,AI344,AI345,AI346,AI347,AI348,AI349,AI350,AI351,AI352,AI353,AI354,AI355,AI356,AI357,AI358)  )-1),"")&lt;&gt;""   ),"." &amp; IFERROR(  LEFT(  CONCATENATE(AI323,AI324,AI325,AI326,AI327,AI328,AI329,AI330,AI331,AI332,AI333,AI334,AI335,AI336,AI337,AI338,AI339,AI340,AI341,AI342,AI343,AI344,AI345,AI346,AI347,AI348,AI349,AI350,AI351,AI352,AI353,AI354,AI355,AI356,AI357,AI358),LEN(  CONCATENATE(AI323,AI324,AI325,AI326,AI327,AI328,AI329,AI330,AI331,AI332,AI333,AI334,AI335,AI336,AI337,AI338,AI339,AI340,AI341,AI342,AI343,AI344,AI345,AI346,AI347,AI348,AI349,AI350,AI351,AI352,AI353,AI354,AI355,AI356,AI357,AI358)  )-1),""),                             IFERROR(  LEFT(  CONCATENATE(AI323,AI324,AI325,AI326,AI327,AI328,AI329,AI330,AI331,AI332,AI333,AI334,AI335,AI336,AI337,AI338,AI339,AI340,AI341,AI342,AI343,AI344,AI345,AI346,AI347,AI348,AI349,AI350,AI351,AI352,AI353,AI354,AI355,AI356,AI357,AI358),LEN(  CONCATENATE(AI323,AI324,AI325,AI326,AI327,AI328,AI329,AI330,AI331,AI332,AI333,AI334,AI335,AI336,AI337,AI338,AI339,AI340,AI341,AI342,AI343,AI344,AI345,AI346,AI347,AI348,AI349,AI350,AI351,AI352,AI353,AI354,AI355,AI356,AI357,AI358)  )-1),"")        )</f>
        <v/>
      </c>
      <c r="AJ359" s="66" t="str">
        <f xml:space="preserve">    IF(  AND(  COUNTIF(勤務分配!$E$3:$E$44,"病(事)假")&gt;=1,  IFERROR(  LEFT(  CONCATENATE(AJ323,AJ324,AJ325,AJ326,AJ327,AJ328,AJ329,AJ330,AJ331,AJ332,AJ333,AJ334,AJ335,AJ336,AJ337,AJ338,AJ339,AJ340,AJ341,AJ342,AJ343,AJ344,AJ345,AJ346,AJ347,AJ348,AJ349,AJ350,AJ351,AJ352,AJ353,AJ354,AJ355,AJ356,AJ357,AJ358),LEN(  CONCATENATE(AJ323,AJ324,AJ325,AJ326,AJ327,AJ328,AJ329,AJ330,AJ331,AJ332,AJ333,AJ334,AJ335,AJ336,AJ337,AJ338,AJ339,AJ340,AJ341,AJ342,AJ343,AJ344,AJ345,AJ346,AJ347,AJ348,AJ349,AJ350,AJ351,AJ352,AJ353,AJ354,AJ355,AJ356,AJ357,AJ358)  )-1),"")&lt;&gt;""   ),"." &amp; IFERROR(  LEFT(  CONCATENATE(AJ323,AJ324,AJ325,AJ326,AJ327,AJ328,AJ329,AJ330,AJ331,AJ332,AJ333,AJ334,AJ335,AJ336,AJ337,AJ338,AJ339,AJ340,AJ341,AJ342,AJ343,AJ344,AJ345,AJ346,AJ347,AJ348,AJ349,AJ350,AJ351,AJ352,AJ353,AJ354,AJ355,AJ356,AJ357,AJ358),LEN(  CONCATENATE(AJ323,AJ324,AJ325,AJ326,AJ327,AJ328,AJ329,AJ330,AJ331,AJ332,AJ333,AJ334,AJ335,AJ336,AJ337,AJ338,AJ339,AJ340,AJ341,AJ342,AJ343,AJ344,AJ345,AJ346,AJ347,AJ348,AJ349,AJ350,AJ351,AJ352,AJ353,AJ354,AJ355,AJ356,AJ357,AJ358)  )-1),""),                             IFERROR(  LEFT(  CONCATENATE(AJ323,AJ324,AJ325,AJ326,AJ327,AJ328,AJ329,AJ330,AJ331,AJ332,AJ333,AJ334,AJ335,AJ336,AJ337,AJ338,AJ339,AJ340,AJ341,AJ342,AJ343,AJ344,AJ345,AJ346,AJ347,AJ348,AJ349,AJ350,AJ351,AJ352,AJ353,AJ354,AJ355,AJ356,AJ357,AJ358),LEN(  CONCATENATE(AJ323,AJ324,AJ325,AJ326,AJ327,AJ328,AJ329,AJ330,AJ331,AJ332,AJ333,AJ334,AJ335,AJ336,AJ337,AJ338,AJ339,AJ340,AJ341,AJ342,AJ343,AJ344,AJ345,AJ346,AJ347,AJ348,AJ349,AJ350,AJ351,AJ352,AJ353,AJ354,AJ355,AJ356,AJ357,AJ358)  )-1),"")        )</f>
        <v/>
      </c>
    </row>
    <row r="360" spans="1:55" s="289" customFormat="1">
      <c r="AP360" s="303"/>
      <c r="AU360" s="303"/>
      <c r="AV360" s="303"/>
      <c r="AY360" s="303"/>
      <c r="AZ360" s="303"/>
      <c r="BA360" s="303"/>
      <c r="BB360" s="303"/>
      <c r="BC360" s="303"/>
    </row>
    <row r="361" spans="1:55">
      <c r="A361" s="289" t="s">
        <v>273</v>
      </c>
    </row>
    <row r="362" spans="1:55">
      <c r="A362" s="66" t="str">
        <f>A322</f>
        <v>番號</v>
      </c>
      <c r="B362" s="66" t="str">
        <f t="shared" ref="B362:AJ362" si="224">B322</f>
        <v xml:space="preserve"> 姓名</v>
      </c>
      <c r="C362" s="66">
        <f t="shared" si="224"/>
        <v>1</v>
      </c>
      <c r="D362" s="66">
        <f t="shared" si="224"/>
        <v>2</v>
      </c>
      <c r="E362" s="66">
        <f t="shared" si="224"/>
        <v>3</v>
      </c>
      <c r="F362" s="66">
        <f t="shared" si="224"/>
        <v>4</v>
      </c>
      <c r="G362" s="66">
        <f t="shared" si="224"/>
        <v>5</v>
      </c>
      <c r="H362" s="66">
        <f t="shared" si="224"/>
        <v>6</v>
      </c>
      <c r="I362" s="66">
        <f t="shared" si="224"/>
        <v>7</v>
      </c>
      <c r="J362" s="66">
        <f t="shared" si="224"/>
        <v>8</v>
      </c>
      <c r="K362" s="66">
        <f t="shared" si="224"/>
        <v>9</v>
      </c>
      <c r="L362" s="66">
        <f t="shared" si="224"/>
        <v>10</v>
      </c>
      <c r="M362" s="66">
        <f t="shared" si="224"/>
        <v>11</v>
      </c>
      <c r="N362" s="66">
        <f t="shared" si="224"/>
        <v>12</v>
      </c>
      <c r="O362" s="66">
        <f t="shared" si="224"/>
        <v>13</v>
      </c>
      <c r="P362" s="66">
        <f t="shared" si="224"/>
        <v>14</v>
      </c>
      <c r="Q362" s="66">
        <f t="shared" si="224"/>
        <v>15</v>
      </c>
      <c r="R362" s="66">
        <f t="shared" si="224"/>
        <v>16</v>
      </c>
      <c r="S362" s="66">
        <f t="shared" si="224"/>
        <v>17</v>
      </c>
      <c r="T362" s="66">
        <f t="shared" si="224"/>
        <v>18</v>
      </c>
      <c r="U362" s="66">
        <f t="shared" si="224"/>
        <v>19</v>
      </c>
      <c r="V362" s="66">
        <f t="shared" si="224"/>
        <v>20</v>
      </c>
      <c r="W362" s="66">
        <f t="shared" si="224"/>
        <v>21</v>
      </c>
      <c r="X362" s="66">
        <f t="shared" si="224"/>
        <v>22</v>
      </c>
      <c r="Y362" s="66">
        <f t="shared" si="224"/>
        <v>23</v>
      </c>
      <c r="Z362" s="66">
        <f t="shared" si="224"/>
        <v>24</v>
      </c>
      <c r="AA362" s="66">
        <f t="shared" si="224"/>
        <v>25</v>
      </c>
      <c r="AB362" s="66">
        <f t="shared" si="224"/>
        <v>26</v>
      </c>
      <c r="AC362" s="66">
        <f t="shared" si="224"/>
        <v>27</v>
      </c>
      <c r="AD362" s="66">
        <f t="shared" si="224"/>
        <v>28</v>
      </c>
      <c r="AE362" s="66">
        <f t="shared" si="224"/>
        <v>29</v>
      </c>
      <c r="AF362" s="66">
        <f t="shared" si="224"/>
        <v>30</v>
      </c>
      <c r="AG362" s="66">
        <f t="shared" si="224"/>
        <v>31</v>
      </c>
      <c r="AH362" s="66">
        <f t="shared" si="224"/>
        <v>32</v>
      </c>
      <c r="AI362" s="66">
        <f t="shared" si="224"/>
        <v>33</v>
      </c>
      <c r="AJ362" s="66">
        <f t="shared" si="224"/>
        <v>34</v>
      </c>
    </row>
    <row r="363" spans="1:55">
      <c r="A363" s="66">
        <f t="shared" ref="A363:B378" si="225">A323</f>
        <v>1</v>
      </c>
      <c r="B363" s="66" t="str">
        <f t="shared" si="225"/>
        <v>葉家豪</v>
      </c>
      <c r="C363" s="66" t="str">
        <f>IF(    AND( C2="榮",  LEN(C362)&gt;=2 ),        "" &amp; $A363,    IF(         AND( C2="榮" ),       $A363,        IF(  OR(  LEN(C362)&gt;=2  ),  CONCATENATE(  "",  IF(  AND(  LEN(  INDEX(   $A$1:$AJ$39, MATCH($A363,$A$1:$A$39,0),MATCH(  C$362,$A$1:$AP$1,0  )  )  )&gt;LEN(  SUBSTITUTE(  INDEX(   $A$1:$AJ$39, MATCH($A363,$A$1:$A$39,0),MATCH(  C$362,$A$1:$AP$1,0  )  ),"榮","")  ),  LEN(  INDEX(   $A$1:$AJ$39, MATCH($A363,$A$1:$A$39,0),MATCH(  C$362,$A$1:$AP$1,0  )  )  )&gt;LEN(  SUBSTITUTE(  INDEX(   $A$1:$AJ$39, MATCH($A363,$A$1:$A$39,0),MATCH(  C$362,$A$1:$AP$1,0  )  ),"-","")  )  ),  CONCATENATE(  $A363,"(",   SUBSTITUTE(   SUBSTITUTE(  SUBSTITUTE(  INDEX(   $A$1:$AJ$39, MATCH($A363,$A$1:$A$39,0),MATCH(  C$362,$A$362:$AP$362,0  )  ),"榮",""),"x","")," ",""),"時",")"),  ""  )  ),  IF(  AND(  LEN(  INDEX(   $A$1:$AJ$39, MATCH($A363,$A$1:$A$39,0),MATCH(  C$362,$A$1:$AP$1,0  )  )  )&gt;LEN(  SUBSTITUTE(  INDEX(   $A$1:$AJ$39, MATCH($A363,$A$1:$A$39,0),MATCH(  C$362,$A$1:$AP$1,0  )  ),"榮","")  ),  LEN(  INDEX(   $A$1:$AJ$39, MATCH($A363,$A$1:$A$39,0),MATCH(  C$362,$A$1:$AP$1,0  )  )  )&gt;LEN(  SUBSTITUTE(  INDEX(   $A$1:$AJ$39, MATCH($A363,$A$1:$A$39,0),MATCH(  C$362,$A$1:$AP$1,0  )  ),"-","")  )  ),  CONCATENATE(  $A363,"(",   SUBSTITUTE(   SUBSTITUTE(  SUBSTITUTE(  INDEX(   $A$1:$AJ$39, MATCH($A363,$A$1:$A$39,0),MATCH(  C$362,$A$362:$AP$362,0  )  ),"榮",""),"x","")," ",""),"時",")"),  ""  )  )           ))</f>
        <v/>
      </c>
      <c r="D363" s="66" t="str">
        <f t="shared" ref="D363:AJ363" si="226">IF(    AND( D2="榮",  LEN(D362)&gt;=2 ),        "" &amp; $A363,    IF(         AND( D2="榮" ),       $A363,        IF(  OR(  LEN(D362)&gt;=2  ),  CONCATENATE(  "",  IF(  AND(  LEN(  INDEX(   $A$1:$AJ$39, MATCH($A363,$A$1:$A$39,0),MATCH(  D$362,$A$1:$AP$1,0  )  )  )&gt;LEN(  SUBSTITUTE(  INDEX(   $A$1:$AJ$39, MATCH($A363,$A$1:$A$39,0),MATCH(  D$362,$A$1:$AP$1,0  )  ),"榮","")  ),  LEN(  INDEX(   $A$1:$AJ$39, MATCH($A363,$A$1:$A$39,0),MATCH(  D$362,$A$1:$AP$1,0  )  )  )&gt;LEN(  SUBSTITUTE(  INDEX(   $A$1:$AJ$39, MATCH($A363,$A$1:$A$39,0),MATCH(  D$362,$A$1:$AP$1,0  )  ),"-","")  )  ),  CONCATENATE(  $A363,"(",   SUBSTITUTE(   SUBSTITUTE(  SUBSTITUTE(  INDEX(   $A$1:$AJ$39, MATCH($A363,$A$1:$A$39,0),MATCH(  D$362,$A$362:$AP$362,0  )  ),"榮",""),"x","")," ",""),"時",")"),  ""  )  ),  IF(  AND(  LEN(  INDEX(   $A$1:$AJ$39, MATCH($A363,$A$1:$A$39,0),MATCH(  D$362,$A$1:$AP$1,0  )  )  )&gt;LEN(  SUBSTITUTE(  INDEX(   $A$1:$AJ$39, MATCH($A363,$A$1:$A$39,0),MATCH(  D$362,$A$1:$AP$1,0  )  ),"榮","")  ),  LEN(  INDEX(   $A$1:$AJ$39, MATCH($A363,$A$1:$A$39,0),MATCH(  D$362,$A$1:$AP$1,0  )  )  )&gt;LEN(  SUBSTITUTE(  INDEX(   $A$1:$AJ$39, MATCH($A363,$A$1:$A$39,0),MATCH(  D$362,$A$1:$AP$1,0  )  ),"-","")  )  ),  CONCATENATE(  $A363,"(",   SUBSTITUTE(   SUBSTITUTE(  SUBSTITUTE(  INDEX(   $A$1:$AJ$39, MATCH($A363,$A$1:$A$39,0),MATCH(  D$362,$A$362:$AP$362,0  )  ),"榮",""),"x","")," ",""),"時",")"),  ""  )  )           ))</f>
        <v/>
      </c>
      <c r="E363" s="66" t="str">
        <f t="shared" si="226"/>
        <v/>
      </c>
      <c r="F363" s="66" t="str">
        <f t="shared" si="226"/>
        <v/>
      </c>
      <c r="G363" s="66" t="str">
        <f t="shared" si="226"/>
        <v/>
      </c>
      <c r="H363" s="66" t="str">
        <f t="shared" si="226"/>
        <v/>
      </c>
      <c r="I363" s="66" t="str">
        <f t="shared" si="226"/>
        <v/>
      </c>
      <c r="J363" s="66" t="str">
        <f t="shared" si="226"/>
        <v/>
      </c>
      <c r="K363" s="66" t="str">
        <f t="shared" si="226"/>
        <v/>
      </c>
      <c r="L363" s="66" t="str">
        <f t="shared" si="226"/>
        <v/>
      </c>
      <c r="M363" s="66" t="str">
        <f t="shared" si="226"/>
        <v/>
      </c>
      <c r="N363" s="66" t="str">
        <f t="shared" si="226"/>
        <v/>
      </c>
      <c r="O363" s="66" t="str">
        <f t="shared" si="226"/>
        <v/>
      </c>
      <c r="P363" s="66" t="str">
        <f t="shared" si="226"/>
        <v/>
      </c>
      <c r="Q363" s="66" t="str">
        <f t="shared" si="226"/>
        <v/>
      </c>
      <c r="R363" s="66" t="str">
        <f t="shared" si="226"/>
        <v/>
      </c>
      <c r="S363" s="66" t="str">
        <f t="shared" si="226"/>
        <v/>
      </c>
      <c r="T363" s="66" t="str">
        <f t="shared" si="226"/>
        <v/>
      </c>
      <c r="U363" s="66" t="str">
        <f t="shared" si="226"/>
        <v/>
      </c>
      <c r="V363" s="66" t="str">
        <f t="shared" si="226"/>
        <v/>
      </c>
      <c r="W363" s="66" t="str">
        <f t="shared" si="226"/>
        <v/>
      </c>
      <c r="X363" s="66" t="str">
        <f t="shared" si="226"/>
        <v/>
      </c>
      <c r="Y363" s="66" t="str">
        <f t="shared" si="226"/>
        <v/>
      </c>
      <c r="Z363" s="66" t="str">
        <f t="shared" si="226"/>
        <v/>
      </c>
      <c r="AA363" s="66" t="str">
        <f t="shared" si="226"/>
        <v/>
      </c>
      <c r="AB363" s="66" t="str">
        <f t="shared" si="226"/>
        <v/>
      </c>
      <c r="AC363" s="66" t="str">
        <f t="shared" si="226"/>
        <v/>
      </c>
      <c r="AD363" s="66" t="str">
        <f t="shared" si="226"/>
        <v/>
      </c>
      <c r="AE363" s="66" t="str">
        <f t="shared" si="226"/>
        <v/>
      </c>
      <c r="AF363" s="66" t="str">
        <f t="shared" si="226"/>
        <v/>
      </c>
      <c r="AG363" s="66" t="str">
        <f t="shared" si="226"/>
        <v/>
      </c>
      <c r="AH363" s="66" t="str">
        <f t="shared" si="226"/>
        <v/>
      </c>
      <c r="AI363" s="66" t="str">
        <f t="shared" si="226"/>
        <v/>
      </c>
      <c r="AJ363" s="66" t="str">
        <f t="shared" si="226"/>
        <v/>
      </c>
    </row>
    <row r="364" spans="1:55">
      <c r="A364" s="66">
        <f t="shared" si="225"/>
        <v>2</v>
      </c>
      <c r="B364" s="66" t="str">
        <f t="shared" si="225"/>
        <v>鄭智謙</v>
      </c>
      <c r="C364" s="66" t="str">
        <f t="shared" ref="C364:C397" si="227">IF(    AND( C3="榮",  LEN(C363)&gt;=2 ),        "" &amp; $A364,    IF(         AND( C3="榮" ),       $A364,        IF(  OR(  LEN(C363)&gt;=2  ),  CONCATENATE(  ".",  IF(  AND(  LEN(  INDEX(   $A$1:$AJ$39, MATCH($A364,$A$1:$A$39,0),MATCH(  C$362,$A$1:$AP$1,0  )  )  )&gt;LEN(  SUBSTITUTE(  INDEX(   $A$1:$AJ$39, MATCH($A364,$A$1:$A$39,0),MATCH(  C$362,$A$1:$AP$1,0  )  ),"榮","")  ),  LEN(  INDEX(   $A$1:$AJ$39, MATCH($A364,$A$1:$A$39,0),MATCH(  C$362,$A$1:$AP$1,0  )  )  )&gt;LEN(  SUBSTITUTE(  INDEX(   $A$1:$AJ$39, MATCH($A364,$A$1:$A$39,0),MATCH(  C$362,$A$1:$AP$1,0  )  ),"-","")  )  ),  CONCATENATE(  $A364,"(",   SUBSTITUTE(   SUBSTITUTE(  SUBSTITUTE(  INDEX(   $A$1:$AJ$39, MATCH($A364,$A$1:$A$39,0),MATCH(  C$362,$A$362:$AP$362,0  )  ),"榮",""),"x","")," ",""),"時",")"),  ""  )  ),  IF(  AND(  LEN(  INDEX(   $A$1:$AJ$39, MATCH($A364,$A$1:$A$39,0),MATCH(  C$362,$A$1:$AP$1,0  )  )  )&gt;LEN(  SUBSTITUTE(  INDEX(   $A$1:$AJ$39, MATCH($A364,$A$1:$A$39,0),MATCH(  C$362,$A$1:$AP$1,0  )  ),"榮","")  ),  LEN(  INDEX(   $A$1:$AJ$39, MATCH($A364,$A$1:$A$39,0),MATCH(  C$362,$A$1:$AP$1,0  )  )  )&gt;LEN(  SUBSTITUTE(  INDEX(   $A$1:$AJ$39, MATCH($A364,$A$1:$A$39,0),MATCH(  C$362,$A$1:$AP$1,0  )  ),"-","")  )  ),  CONCATENATE(  $A364,"(",   SUBSTITUTE(   SUBSTITUTE(  SUBSTITUTE(  INDEX(   $A$1:$AJ$39, MATCH($A364,$A$1:$A$39,0),MATCH(  C$362,$A$362:$AP$362,0  )  ),"榮",""),"x","")," ",""),"時",")"),  ""  )  )           ))</f>
        <v/>
      </c>
      <c r="D364" s="66" t="str">
        <f t="shared" ref="D364:AJ364" si="228">IF(    AND( D3="榮",  LEN(D363)&gt;=2 ),        "" &amp; $A364,    IF(         AND( D3="榮" ),       $A364,        IF(  OR(  LEN(D363)&gt;=2  ),  CONCATENATE(  ".",  IF(  AND(  LEN(  INDEX(   $A$1:$AJ$39, MATCH($A364,$A$1:$A$39,0),MATCH(  D$362,$A$1:$AP$1,0  )  )  )&gt;LEN(  SUBSTITUTE(  INDEX(   $A$1:$AJ$39, MATCH($A364,$A$1:$A$39,0),MATCH(  D$362,$A$1:$AP$1,0  )  ),"榮","")  ),  LEN(  INDEX(   $A$1:$AJ$39, MATCH($A364,$A$1:$A$39,0),MATCH(  D$362,$A$1:$AP$1,0  )  )  )&gt;LEN(  SUBSTITUTE(  INDEX(   $A$1:$AJ$39, MATCH($A364,$A$1:$A$39,0),MATCH(  D$362,$A$1:$AP$1,0  )  ),"-","")  )  ),  CONCATENATE(  $A364,"(",   SUBSTITUTE(   SUBSTITUTE(  SUBSTITUTE(  INDEX(   $A$1:$AJ$39, MATCH($A364,$A$1:$A$39,0),MATCH(  D$362,$A$362:$AP$362,0  )  ),"榮",""),"x","")," ",""),"時",")"),  ""  )  ),  IF(  AND(  LEN(  INDEX(   $A$1:$AJ$39, MATCH($A364,$A$1:$A$39,0),MATCH(  D$362,$A$1:$AP$1,0  )  )  )&gt;LEN(  SUBSTITUTE(  INDEX(   $A$1:$AJ$39, MATCH($A364,$A$1:$A$39,0),MATCH(  D$362,$A$1:$AP$1,0  )  ),"榮","")  ),  LEN(  INDEX(   $A$1:$AJ$39, MATCH($A364,$A$1:$A$39,0),MATCH(  D$362,$A$1:$AP$1,0  )  )  )&gt;LEN(  SUBSTITUTE(  INDEX(   $A$1:$AJ$39, MATCH($A364,$A$1:$A$39,0),MATCH(  D$362,$A$1:$AP$1,0  )  ),"-","")  )  ),  CONCATENATE(  $A364,"(",   SUBSTITUTE(   SUBSTITUTE(  SUBSTITUTE(  INDEX(   $A$1:$AJ$39, MATCH($A364,$A$1:$A$39,0),MATCH(  D$362,$A$362:$AP$362,0  )  ),"榮",""),"x","")," ",""),"時",")"),  ""  )  )           ))</f>
        <v/>
      </c>
      <c r="E364" s="66" t="str">
        <f t="shared" si="228"/>
        <v/>
      </c>
      <c r="F364" s="66" t="str">
        <f t="shared" si="228"/>
        <v/>
      </c>
      <c r="G364" s="66" t="str">
        <f t="shared" si="228"/>
        <v/>
      </c>
      <c r="H364" s="66" t="str">
        <f t="shared" si="228"/>
        <v/>
      </c>
      <c r="I364" s="66" t="str">
        <f t="shared" si="228"/>
        <v/>
      </c>
      <c r="J364" s="66" t="str">
        <f t="shared" si="228"/>
        <v/>
      </c>
      <c r="K364" s="66" t="str">
        <f t="shared" si="228"/>
        <v/>
      </c>
      <c r="L364" s="66" t="str">
        <f t="shared" si="228"/>
        <v/>
      </c>
      <c r="M364" s="66" t="str">
        <f t="shared" si="228"/>
        <v/>
      </c>
      <c r="N364" s="66" t="str">
        <f t="shared" si="228"/>
        <v/>
      </c>
      <c r="O364" s="66" t="str">
        <f t="shared" si="228"/>
        <v/>
      </c>
      <c r="P364" s="66" t="str">
        <f t="shared" si="228"/>
        <v/>
      </c>
      <c r="Q364" s="66" t="str">
        <f t="shared" si="228"/>
        <v/>
      </c>
      <c r="R364" s="66" t="str">
        <f t="shared" si="228"/>
        <v/>
      </c>
      <c r="S364" s="66" t="str">
        <f t="shared" si="228"/>
        <v/>
      </c>
      <c r="T364" s="66" t="str">
        <f t="shared" si="228"/>
        <v/>
      </c>
      <c r="U364" s="66" t="str">
        <f t="shared" si="228"/>
        <v/>
      </c>
      <c r="V364" s="66" t="str">
        <f t="shared" si="228"/>
        <v/>
      </c>
      <c r="W364" s="66" t="str">
        <f t="shared" si="228"/>
        <v/>
      </c>
      <c r="X364" s="66" t="str">
        <f t="shared" si="228"/>
        <v/>
      </c>
      <c r="Y364" s="66" t="str">
        <f t="shared" si="228"/>
        <v/>
      </c>
      <c r="Z364" s="66" t="str">
        <f t="shared" si="228"/>
        <v/>
      </c>
      <c r="AA364" s="66" t="str">
        <f t="shared" si="228"/>
        <v/>
      </c>
      <c r="AB364" s="66" t="str">
        <f t="shared" si="228"/>
        <v/>
      </c>
      <c r="AC364" s="66" t="str">
        <f t="shared" si="228"/>
        <v/>
      </c>
      <c r="AD364" s="66" t="str">
        <f t="shared" si="228"/>
        <v/>
      </c>
      <c r="AE364" s="66" t="str">
        <f t="shared" si="228"/>
        <v/>
      </c>
      <c r="AF364" s="66" t="str">
        <f t="shared" si="228"/>
        <v/>
      </c>
      <c r="AG364" s="66" t="str">
        <f t="shared" si="228"/>
        <v/>
      </c>
      <c r="AH364" s="66" t="str">
        <f t="shared" si="228"/>
        <v/>
      </c>
      <c r="AI364" s="66" t="str">
        <f t="shared" si="228"/>
        <v/>
      </c>
      <c r="AJ364" s="66" t="str">
        <f t="shared" si="228"/>
        <v/>
      </c>
    </row>
    <row r="365" spans="1:55">
      <c r="A365" s="66">
        <f t="shared" si="225"/>
        <v>3</v>
      </c>
      <c r="B365" s="66" t="str">
        <f t="shared" si="225"/>
        <v>王敍安</v>
      </c>
      <c r="C365" s="66" t="str">
        <f t="shared" si="227"/>
        <v/>
      </c>
      <c r="D365" s="66" t="str">
        <f t="shared" ref="D365:D397" si="229">IF(    AND( D4="榮",  LEN(D364)&gt;=2 ),        "" &amp; $A365,    IF(         AND( D4="榮" ),       $A365,        IF(  OR(  LEN(D364)&gt;=2  ),  CONCATENATE(  ".",  IF(  AND(  LEN(  INDEX(   $A$1:$AJ$39, MATCH($A365,$A$1:$A$39,0),MATCH(  D$362,$A$1:$AP$1,0  )  )  )&gt;LEN(  SUBSTITUTE(  INDEX(   $A$1:$AJ$39, MATCH($A365,$A$1:$A$39,0),MATCH(  D$362,$A$1:$AP$1,0  )  ),"榮","")  ),  LEN(  INDEX(   $A$1:$AJ$39, MATCH($A365,$A$1:$A$39,0),MATCH(  D$362,$A$1:$AP$1,0  )  )  )&gt;LEN(  SUBSTITUTE(  INDEX(   $A$1:$AJ$39, MATCH($A365,$A$1:$A$39,0),MATCH(  D$362,$A$1:$AP$1,0  )  ),"-","")  )  ),  CONCATENATE(  $A365,"(",   SUBSTITUTE(   SUBSTITUTE(  SUBSTITUTE(  INDEX(   $A$1:$AJ$39, MATCH($A365,$A$1:$A$39,0),MATCH(  D$362,$A$362:$AP$362,0  )  ),"榮",""),"x","")," ",""),"時",")"),  ""  )  ),  IF(  AND(  LEN(  INDEX(   $A$1:$AJ$39, MATCH($A365,$A$1:$A$39,0),MATCH(  D$362,$A$1:$AP$1,0  )  )  )&gt;LEN(  SUBSTITUTE(  INDEX(   $A$1:$AJ$39, MATCH($A365,$A$1:$A$39,0),MATCH(  D$362,$A$1:$AP$1,0  )  ),"榮","")  ),  LEN(  INDEX(   $A$1:$AJ$39, MATCH($A365,$A$1:$A$39,0),MATCH(  D$362,$A$1:$AP$1,0  )  )  )&gt;LEN(  SUBSTITUTE(  INDEX(   $A$1:$AJ$39, MATCH($A365,$A$1:$A$39,0),MATCH(  D$362,$A$1:$AP$1,0  )  ),"-","")  )  ),  CONCATENATE(  $A365,"(",   SUBSTITUTE(   SUBSTITUTE(  SUBSTITUTE(  INDEX(   $A$1:$AJ$39, MATCH($A365,$A$1:$A$39,0),MATCH(  D$362,$A$362:$AP$362,0  )  ),"榮",""),"x","")," ",""),"時",")"),  ""  )  )           ))</f>
        <v/>
      </c>
      <c r="E365" s="66" t="str">
        <f t="shared" ref="E365:E397" si="230">IF(    AND( E4="榮",  LEN(E364)&gt;=2 ),        "" &amp; $A365,    IF(         AND( E4="榮" ),       $A365,        IF(  OR(  LEN(E364)&gt;=2  ),  CONCATENATE(  ".",  IF(  AND(  LEN(  INDEX(   $A$1:$AJ$39, MATCH($A365,$A$1:$A$39,0),MATCH(  E$362,$A$1:$AP$1,0  )  )  )&gt;LEN(  SUBSTITUTE(  INDEX(   $A$1:$AJ$39, MATCH($A365,$A$1:$A$39,0),MATCH(  E$362,$A$1:$AP$1,0  )  ),"榮","")  ),  LEN(  INDEX(   $A$1:$AJ$39, MATCH($A365,$A$1:$A$39,0),MATCH(  E$362,$A$1:$AP$1,0  )  )  )&gt;LEN(  SUBSTITUTE(  INDEX(   $A$1:$AJ$39, MATCH($A365,$A$1:$A$39,0),MATCH(  E$362,$A$1:$AP$1,0  )  ),"-","")  )  ),  CONCATENATE(  $A365,"(",   SUBSTITUTE(   SUBSTITUTE(  SUBSTITUTE(  INDEX(   $A$1:$AJ$39, MATCH($A365,$A$1:$A$39,0),MATCH(  E$362,$A$362:$AP$362,0  )  ),"榮",""),"x","")," ",""),"時",")"),  ""  )  ),  IF(  AND(  LEN(  INDEX(   $A$1:$AJ$39, MATCH($A365,$A$1:$A$39,0),MATCH(  E$362,$A$1:$AP$1,0  )  )  )&gt;LEN(  SUBSTITUTE(  INDEX(   $A$1:$AJ$39, MATCH($A365,$A$1:$A$39,0),MATCH(  E$362,$A$1:$AP$1,0  )  ),"榮","")  ),  LEN(  INDEX(   $A$1:$AJ$39, MATCH($A365,$A$1:$A$39,0),MATCH(  E$362,$A$1:$AP$1,0  )  )  )&gt;LEN(  SUBSTITUTE(  INDEX(   $A$1:$AJ$39, MATCH($A365,$A$1:$A$39,0),MATCH(  E$362,$A$1:$AP$1,0  )  ),"-","")  )  ),  CONCATENATE(  $A365,"(",   SUBSTITUTE(   SUBSTITUTE(  SUBSTITUTE(  INDEX(   $A$1:$AJ$39, MATCH($A365,$A$1:$A$39,0),MATCH(  E$362,$A$362:$AP$362,0  )  ),"榮",""),"x","")," ",""),"時",")"),  ""  )  )           ))</f>
        <v/>
      </c>
      <c r="F365" s="66" t="str">
        <f t="shared" ref="F365:F397" si="231">IF(    AND( F4="榮",  LEN(F364)&gt;=2 ),        "" &amp; $A365,    IF(         AND( F4="榮" ),       $A365,        IF(  OR(  LEN(F364)&gt;=2  ),  CONCATENATE(  ".",  IF(  AND(  LEN(  INDEX(   $A$1:$AJ$39, MATCH($A365,$A$1:$A$39,0),MATCH(  F$362,$A$1:$AP$1,0  )  )  )&gt;LEN(  SUBSTITUTE(  INDEX(   $A$1:$AJ$39, MATCH($A365,$A$1:$A$39,0),MATCH(  F$362,$A$1:$AP$1,0  )  ),"榮","")  ),  LEN(  INDEX(   $A$1:$AJ$39, MATCH($A365,$A$1:$A$39,0),MATCH(  F$362,$A$1:$AP$1,0  )  )  )&gt;LEN(  SUBSTITUTE(  INDEX(   $A$1:$AJ$39, MATCH($A365,$A$1:$A$39,0),MATCH(  F$362,$A$1:$AP$1,0  )  ),"-","")  )  ),  CONCATENATE(  $A365,"(",   SUBSTITUTE(   SUBSTITUTE(  SUBSTITUTE(  INDEX(   $A$1:$AJ$39, MATCH($A365,$A$1:$A$39,0),MATCH(  F$362,$A$362:$AP$362,0  )  ),"榮",""),"x","")," ",""),"時",")"),  ""  )  ),  IF(  AND(  LEN(  INDEX(   $A$1:$AJ$39, MATCH($A365,$A$1:$A$39,0),MATCH(  F$362,$A$1:$AP$1,0  )  )  )&gt;LEN(  SUBSTITUTE(  INDEX(   $A$1:$AJ$39, MATCH($A365,$A$1:$A$39,0),MATCH(  F$362,$A$1:$AP$1,0  )  ),"榮","")  ),  LEN(  INDEX(   $A$1:$AJ$39, MATCH($A365,$A$1:$A$39,0),MATCH(  F$362,$A$1:$AP$1,0  )  )  )&gt;LEN(  SUBSTITUTE(  INDEX(   $A$1:$AJ$39, MATCH($A365,$A$1:$A$39,0),MATCH(  F$362,$A$1:$AP$1,0  )  ),"-","")  )  ),  CONCATENATE(  $A365,"(",   SUBSTITUTE(   SUBSTITUTE(  SUBSTITUTE(  INDEX(   $A$1:$AJ$39, MATCH($A365,$A$1:$A$39,0),MATCH(  F$362,$A$362:$AP$362,0  )  ),"榮",""),"x","")," ",""),"時",")"),  ""  )  )           ))</f>
        <v/>
      </c>
      <c r="G365" s="66" t="str">
        <f t="shared" ref="G365:G397" si="232">IF(    AND( G4="榮",  LEN(G364)&gt;=2 ),        "" &amp; $A365,    IF(         AND( G4="榮" ),       $A365,        IF(  OR(  LEN(G364)&gt;=2  ),  CONCATENATE(  ".",  IF(  AND(  LEN(  INDEX(   $A$1:$AJ$39, MATCH($A365,$A$1:$A$39,0),MATCH(  G$362,$A$1:$AP$1,0  )  )  )&gt;LEN(  SUBSTITUTE(  INDEX(   $A$1:$AJ$39, MATCH($A365,$A$1:$A$39,0),MATCH(  G$362,$A$1:$AP$1,0  )  ),"榮","")  ),  LEN(  INDEX(   $A$1:$AJ$39, MATCH($A365,$A$1:$A$39,0),MATCH(  G$362,$A$1:$AP$1,0  )  )  )&gt;LEN(  SUBSTITUTE(  INDEX(   $A$1:$AJ$39, MATCH($A365,$A$1:$A$39,0),MATCH(  G$362,$A$1:$AP$1,0  )  ),"-","")  )  ),  CONCATENATE(  $A365,"(",   SUBSTITUTE(   SUBSTITUTE(  SUBSTITUTE(  INDEX(   $A$1:$AJ$39, MATCH($A365,$A$1:$A$39,0),MATCH(  G$362,$A$362:$AP$362,0  )  ),"榮",""),"x","")," ",""),"時",")"),  ""  )  ),  IF(  AND(  LEN(  INDEX(   $A$1:$AJ$39, MATCH($A365,$A$1:$A$39,0),MATCH(  G$362,$A$1:$AP$1,0  )  )  )&gt;LEN(  SUBSTITUTE(  INDEX(   $A$1:$AJ$39, MATCH($A365,$A$1:$A$39,0),MATCH(  G$362,$A$1:$AP$1,0  )  ),"榮","")  ),  LEN(  INDEX(   $A$1:$AJ$39, MATCH($A365,$A$1:$A$39,0),MATCH(  G$362,$A$1:$AP$1,0  )  )  )&gt;LEN(  SUBSTITUTE(  INDEX(   $A$1:$AJ$39, MATCH($A365,$A$1:$A$39,0),MATCH(  G$362,$A$1:$AP$1,0  )  ),"-","")  )  ),  CONCATENATE(  $A365,"(",   SUBSTITUTE(   SUBSTITUTE(  SUBSTITUTE(  INDEX(   $A$1:$AJ$39, MATCH($A365,$A$1:$A$39,0),MATCH(  G$362,$A$362:$AP$362,0  )  ),"榮",""),"x","")," ",""),"時",")"),  ""  )  )           ))</f>
        <v/>
      </c>
      <c r="H365" s="66" t="str">
        <f t="shared" ref="H365:H397" si="233">IF(    AND( H4="榮",  LEN(H364)&gt;=2 ),        "" &amp; $A365,    IF(         AND( H4="榮" ),       $A365,        IF(  OR(  LEN(H364)&gt;=2  ),  CONCATENATE(  ".",  IF(  AND(  LEN(  INDEX(   $A$1:$AJ$39, MATCH($A365,$A$1:$A$39,0),MATCH(  H$362,$A$1:$AP$1,0  )  )  )&gt;LEN(  SUBSTITUTE(  INDEX(   $A$1:$AJ$39, MATCH($A365,$A$1:$A$39,0),MATCH(  H$362,$A$1:$AP$1,0  )  ),"榮","")  ),  LEN(  INDEX(   $A$1:$AJ$39, MATCH($A365,$A$1:$A$39,0),MATCH(  H$362,$A$1:$AP$1,0  )  )  )&gt;LEN(  SUBSTITUTE(  INDEX(   $A$1:$AJ$39, MATCH($A365,$A$1:$A$39,0),MATCH(  H$362,$A$1:$AP$1,0  )  ),"-","")  )  ),  CONCATENATE(  $A365,"(",   SUBSTITUTE(   SUBSTITUTE(  SUBSTITUTE(  INDEX(   $A$1:$AJ$39, MATCH($A365,$A$1:$A$39,0),MATCH(  H$362,$A$362:$AP$362,0  )  ),"榮",""),"x","")," ",""),"時",")"),  ""  )  ),  IF(  AND(  LEN(  INDEX(   $A$1:$AJ$39, MATCH($A365,$A$1:$A$39,0),MATCH(  H$362,$A$1:$AP$1,0  )  )  )&gt;LEN(  SUBSTITUTE(  INDEX(   $A$1:$AJ$39, MATCH($A365,$A$1:$A$39,0),MATCH(  H$362,$A$1:$AP$1,0  )  ),"榮","")  ),  LEN(  INDEX(   $A$1:$AJ$39, MATCH($A365,$A$1:$A$39,0),MATCH(  H$362,$A$1:$AP$1,0  )  )  )&gt;LEN(  SUBSTITUTE(  INDEX(   $A$1:$AJ$39, MATCH($A365,$A$1:$A$39,0),MATCH(  H$362,$A$1:$AP$1,0  )  ),"-","")  )  ),  CONCATENATE(  $A365,"(",   SUBSTITUTE(   SUBSTITUTE(  SUBSTITUTE(  INDEX(   $A$1:$AJ$39, MATCH($A365,$A$1:$A$39,0),MATCH(  H$362,$A$362:$AP$362,0  )  ),"榮",""),"x","")," ",""),"時",")"),  ""  )  )           ))</f>
        <v/>
      </c>
      <c r="I365" s="66" t="str">
        <f t="shared" ref="I365:I397" si="234">IF(    AND( I4="榮",  LEN(I364)&gt;=2 ),        "" &amp; $A365,    IF(         AND( I4="榮" ),       $A365,        IF(  OR(  LEN(I364)&gt;=2  ),  CONCATENATE(  ".",  IF(  AND(  LEN(  INDEX(   $A$1:$AJ$39, MATCH($A365,$A$1:$A$39,0),MATCH(  I$362,$A$1:$AP$1,0  )  )  )&gt;LEN(  SUBSTITUTE(  INDEX(   $A$1:$AJ$39, MATCH($A365,$A$1:$A$39,0),MATCH(  I$362,$A$1:$AP$1,0  )  ),"榮","")  ),  LEN(  INDEX(   $A$1:$AJ$39, MATCH($A365,$A$1:$A$39,0),MATCH(  I$362,$A$1:$AP$1,0  )  )  )&gt;LEN(  SUBSTITUTE(  INDEX(   $A$1:$AJ$39, MATCH($A365,$A$1:$A$39,0),MATCH(  I$362,$A$1:$AP$1,0  )  ),"-","")  )  ),  CONCATENATE(  $A365,"(",   SUBSTITUTE(   SUBSTITUTE(  SUBSTITUTE(  INDEX(   $A$1:$AJ$39, MATCH($A365,$A$1:$A$39,0),MATCH(  I$362,$A$362:$AP$362,0  )  ),"榮",""),"x","")," ",""),"時",")"),  ""  )  ),  IF(  AND(  LEN(  INDEX(   $A$1:$AJ$39, MATCH($A365,$A$1:$A$39,0),MATCH(  I$362,$A$1:$AP$1,0  )  )  )&gt;LEN(  SUBSTITUTE(  INDEX(   $A$1:$AJ$39, MATCH($A365,$A$1:$A$39,0),MATCH(  I$362,$A$1:$AP$1,0  )  ),"榮","")  ),  LEN(  INDEX(   $A$1:$AJ$39, MATCH($A365,$A$1:$A$39,0),MATCH(  I$362,$A$1:$AP$1,0  )  )  )&gt;LEN(  SUBSTITUTE(  INDEX(   $A$1:$AJ$39, MATCH($A365,$A$1:$A$39,0),MATCH(  I$362,$A$1:$AP$1,0  )  ),"-","")  )  ),  CONCATENATE(  $A365,"(",   SUBSTITUTE(   SUBSTITUTE(  SUBSTITUTE(  INDEX(   $A$1:$AJ$39, MATCH($A365,$A$1:$A$39,0),MATCH(  I$362,$A$362:$AP$362,0  )  ),"榮",""),"x","")," ",""),"時",")"),  ""  )  )           ))</f>
        <v/>
      </c>
      <c r="J365" s="66" t="str">
        <f t="shared" ref="J365:J397" si="235">IF(    AND( J4="榮",  LEN(J364)&gt;=2 ),        "" &amp; $A365,    IF(         AND( J4="榮" ),       $A365,        IF(  OR(  LEN(J364)&gt;=2  ),  CONCATENATE(  ".",  IF(  AND(  LEN(  INDEX(   $A$1:$AJ$39, MATCH($A365,$A$1:$A$39,0),MATCH(  J$362,$A$1:$AP$1,0  )  )  )&gt;LEN(  SUBSTITUTE(  INDEX(   $A$1:$AJ$39, MATCH($A365,$A$1:$A$39,0),MATCH(  J$362,$A$1:$AP$1,0  )  ),"榮","")  ),  LEN(  INDEX(   $A$1:$AJ$39, MATCH($A365,$A$1:$A$39,0),MATCH(  J$362,$A$1:$AP$1,0  )  )  )&gt;LEN(  SUBSTITUTE(  INDEX(   $A$1:$AJ$39, MATCH($A365,$A$1:$A$39,0),MATCH(  J$362,$A$1:$AP$1,0  )  ),"-","")  )  ),  CONCATENATE(  $A365,"(",   SUBSTITUTE(   SUBSTITUTE(  SUBSTITUTE(  INDEX(   $A$1:$AJ$39, MATCH($A365,$A$1:$A$39,0),MATCH(  J$362,$A$362:$AP$362,0  )  ),"榮",""),"x","")," ",""),"時",")"),  ""  )  ),  IF(  AND(  LEN(  INDEX(   $A$1:$AJ$39, MATCH($A365,$A$1:$A$39,0),MATCH(  J$362,$A$1:$AP$1,0  )  )  )&gt;LEN(  SUBSTITUTE(  INDEX(   $A$1:$AJ$39, MATCH($A365,$A$1:$A$39,0),MATCH(  J$362,$A$1:$AP$1,0  )  ),"榮","")  ),  LEN(  INDEX(   $A$1:$AJ$39, MATCH($A365,$A$1:$A$39,0),MATCH(  J$362,$A$1:$AP$1,0  )  )  )&gt;LEN(  SUBSTITUTE(  INDEX(   $A$1:$AJ$39, MATCH($A365,$A$1:$A$39,0),MATCH(  J$362,$A$1:$AP$1,0  )  ),"-","")  )  ),  CONCATENATE(  $A365,"(",   SUBSTITUTE(   SUBSTITUTE(  SUBSTITUTE(  INDEX(   $A$1:$AJ$39, MATCH($A365,$A$1:$A$39,0),MATCH(  J$362,$A$362:$AP$362,0  )  ),"榮",""),"x","")," ",""),"時",")"),  ""  )  )           ))</f>
        <v/>
      </c>
      <c r="K365" s="66" t="str">
        <f t="shared" ref="K365:K397" si="236">IF(    AND( K4="榮",  LEN(K364)&gt;=2 ),        "" &amp; $A365,    IF(         AND( K4="榮" ),       $A365,        IF(  OR(  LEN(K364)&gt;=2  ),  CONCATENATE(  ".",  IF(  AND(  LEN(  INDEX(   $A$1:$AJ$39, MATCH($A365,$A$1:$A$39,0),MATCH(  K$362,$A$1:$AP$1,0  )  )  )&gt;LEN(  SUBSTITUTE(  INDEX(   $A$1:$AJ$39, MATCH($A365,$A$1:$A$39,0),MATCH(  K$362,$A$1:$AP$1,0  )  ),"榮","")  ),  LEN(  INDEX(   $A$1:$AJ$39, MATCH($A365,$A$1:$A$39,0),MATCH(  K$362,$A$1:$AP$1,0  )  )  )&gt;LEN(  SUBSTITUTE(  INDEX(   $A$1:$AJ$39, MATCH($A365,$A$1:$A$39,0),MATCH(  K$362,$A$1:$AP$1,0  )  ),"-","")  )  ),  CONCATENATE(  $A365,"(",   SUBSTITUTE(   SUBSTITUTE(  SUBSTITUTE(  INDEX(   $A$1:$AJ$39, MATCH($A365,$A$1:$A$39,0),MATCH(  K$362,$A$362:$AP$362,0  )  ),"榮",""),"x","")," ",""),"時",")"),  ""  )  ),  IF(  AND(  LEN(  INDEX(   $A$1:$AJ$39, MATCH($A365,$A$1:$A$39,0),MATCH(  K$362,$A$1:$AP$1,0  )  )  )&gt;LEN(  SUBSTITUTE(  INDEX(   $A$1:$AJ$39, MATCH($A365,$A$1:$A$39,0),MATCH(  K$362,$A$1:$AP$1,0  )  ),"榮","")  ),  LEN(  INDEX(   $A$1:$AJ$39, MATCH($A365,$A$1:$A$39,0),MATCH(  K$362,$A$1:$AP$1,0  )  )  )&gt;LEN(  SUBSTITUTE(  INDEX(   $A$1:$AJ$39, MATCH($A365,$A$1:$A$39,0),MATCH(  K$362,$A$1:$AP$1,0  )  ),"-","")  )  ),  CONCATENATE(  $A365,"(",   SUBSTITUTE(   SUBSTITUTE(  SUBSTITUTE(  INDEX(   $A$1:$AJ$39, MATCH($A365,$A$1:$A$39,0),MATCH(  K$362,$A$362:$AP$362,0  )  ),"榮",""),"x","")," ",""),"時",")"),  ""  )  )           ))</f>
        <v/>
      </c>
      <c r="L365" s="66" t="str">
        <f t="shared" ref="L365:L397" si="237">IF(    AND( L4="榮",  LEN(L364)&gt;=2 ),        "" &amp; $A365,    IF(         AND( L4="榮" ),       $A365,        IF(  OR(  LEN(L364)&gt;=2  ),  CONCATENATE(  ".",  IF(  AND(  LEN(  INDEX(   $A$1:$AJ$39, MATCH($A365,$A$1:$A$39,0),MATCH(  L$362,$A$1:$AP$1,0  )  )  )&gt;LEN(  SUBSTITUTE(  INDEX(   $A$1:$AJ$39, MATCH($A365,$A$1:$A$39,0),MATCH(  L$362,$A$1:$AP$1,0  )  ),"榮","")  ),  LEN(  INDEX(   $A$1:$AJ$39, MATCH($A365,$A$1:$A$39,0),MATCH(  L$362,$A$1:$AP$1,0  )  )  )&gt;LEN(  SUBSTITUTE(  INDEX(   $A$1:$AJ$39, MATCH($A365,$A$1:$A$39,0),MATCH(  L$362,$A$1:$AP$1,0  )  ),"-","")  )  ),  CONCATENATE(  $A365,"(",   SUBSTITUTE(   SUBSTITUTE(  SUBSTITUTE(  INDEX(   $A$1:$AJ$39, MATCH($A365,$A$1:$A$39,0),MATCH(  L$362,$A$362:$AP$362,0  )  ),"榮",""),"x","")," ",""),"時",")"),  ""  )  ),  IF(  AND(  LEN(  INDEX(   $A$1:$AJ$39, MATCH($A365,$A$1:$A$39,0),MATCH(  L$362,$A$1:$AP$1,0  )  )  )&gt;LEN(  SUBSTITUTE(  INDEX(   $A$1:$AJ$39, MATCH($A365,$A$1:$A$39,0),MATCH(  L$362,$A$1:$AP$1,0  )  ),"榮","")  ),  LEN(  INDEX(   $A$1:$AJ$39, MATCH($A365,$A$1:$A$39,0),MATCH(  L$362,$A$1:$AP$1,0  )  )  )&gt;LEN(  SUBSTITUTE(  INDEX(   $A$1:$AJ$39, MATCH($A365,$A$1:$A$39,0),MATCH(  L$362,$A$1:$AP$1,0  )  ),"-","")  )  ),  CONCATENATE(  $A365,"(",   SUBSTITUTE(   SUBSTITUTE(  SUBSTITUTE(  INDEX(   $A$1:$AJ$39, MATCH($A365,$A$1:$A$39,0),MATCH(  L$362,$A$362:$AP$362,0  )  ),"榮",""),"x","")," ",""),"時",")"),  ""  )  )           ))</f>
        <v/>
      </c>
      <c r="M365" s="66" t="str">
        <f t="shared" ref="M365:M397" si="238">IF(    AND( M4="榮",  LEN(M364)&gt;=2 ),        "" &amp; $A365,    IF(         AND( M4="榮" ),       $A365,        IF(  OR(  LEN(M364)&gt;=2  ),  CONCATENATE(  ".",  IF(  AND(  LEN(  INDEX(   $A$1:$AJ$39, MATCH($A365,$A$1:$A$39,0),MATCH(  M$362,$A$1:$AP$1,0  )  )  )&gt;LEN(  SUBSTITUTE(  INDEX(   $A$1:$AJ$39, MATCH($A365,$A$1:$A$39,0),MATCH(  M$362,$A$1:$AP$1,0  )  ),"榮","")  ),  LEN(  INDEX(   $A$1:$AJ$39, MATCH($A365,$A$1:$A$39,0),MATCH(  M$362,$A$1:$AP$1,0  )  )  )&gt;LEN(  SUBSTITUTE(  INDEX(   $A$1:$AJ$39, MATCH($A365,$A$1:$A$39,0),MATCH(  M$362,$A$1:$AP$1,0  )  ),"-","")  )  ),  CONCATENATE(  $A365,"(",   SUBSTITUTE(   SUBSTITUTE(  SUBSTITUTE(  INDEX(   $A$1:$AJ$39, MATCH($A365,$A$1:$A$39,0),MATCH(  M$362,$A$362:$AP$362,0  )  ),"榮",""),"x","")," ",""),"時",")"),  ""  )  ),  IF(  AND(  LEN(  INDEX(   $A$1:$AJ$39, MATCH($A365,$A$1:$A$39,0),MATCH(  M$362,$A$1:$AP$1,0  )  )  )&gt;LEN(  SUBSTITUTE(  INDEX(   $A$1:$AJ$39, MATCH($A365,$A$1:$A$39,0),MATCH(  M$362,$A$1:$AP$1,0  )  ),"榮","")  ),  LEN(  INDEX(   $A$1:$AJ$39, MATCH($A365,$A$1:$A$39,0),MATCH(  M$362,$A$1:$AP$1,0  )  )  )&gt;LEN(  SUBSTITUTE(  INDEX(   $A$1:$AJ$39, MATCH($A365,$A$1:$A$39,0),MATCH(  M$362,$A$1:$AP$1,0  )  ),"-","")  )  ),  CONCATENATE(  $A365,"(",   SUBSTITUTE(   SUBSTITUTE(  SUBSTITUTE(  INDEX(   $A$1:$AJ$39, MATCH($A365,$A$1:$A$39,0),MATCH(  M$362,$A$362:$AP$362,0  )  ),"榮",""),"x","")," ",""),"時",")"),  ""  )  )           ))</f>
        <v/>
      </c>
      <c r="N365" s="66" t="str">
        <f t="shared" ref="N365:N397" si="239">IF(    AND( N4="榮",  LEN(N364)&gt;=2 ),        "" &amp; $A365,    IF(         AND( N4="榮" ),       $A365,        IF(  OR(  LEN(N364)&gt;=2  ),  CONCATENATE(  ".",  IF(  AND(  LEN(  INDEX(   $A$1:$AJ$39, MATCH($A365,$A$1:$A$39,0),MATCH(  N$362,$A$1:$AP$1,0  )  )  )&gt;LEN(  SUBSTITUTE(  INDEX(   $A$1:$AJ$39, MATCH($A365,$A$1:$A$39,0),MATCH(  N$362,$A$1:$AP$1,0  )  ),"榮","")  ),  LEN(  INDEX(   $A$1:$AJ$39, MATCH($A365,$A$1:$A$39,0),MATCH(  N$362,$A$1:$AP$1,0  )  )  )&gt;LEN(  SUBSTITUTE(  INDEX(   $A$1:$AJ$39, MATCH($A365,$A$1:$A$39,0),MATCH(  N$362,$A$1:$AP$1,0  )  ),"-","")  )  ),  CONCATENATE(  $A365,"(",   SUBSTITUTE(   SUBSTITUTE(  SUBSTITUTE(  INDEX(   $A$1:$AJ$39, MATCH($A365,$A$1:$A$39,0),MATCH(  N$362,$A$362:$AP$362,0  )  ),"榮",""),"x","")," ",""),"時",")"),  ""  )  ),  IF(  AND(  LEN(  INDEX(   $A$1:$AJ$39, MATCH($A365,$A$1:$A$39,0),MATCH(  N$362,$A$1:$AP$1,0  )  )  )&gt;LEN(  SUBSTITUTE(  INDEX(   $A$1:$AJ$39, MATCH($A365,$A$1:$A$39,0),MATCH(  N$362,$A$1:$AP$1,0  )  ),"榮","")  ),  LEN(  INDEX(   $A$1:$AJ$39, MATCH($A365,$A$1:$A$39,0),MATCH(  N$362,$A$1:$AP$1,0  )  )  )&gt;LEN(  SUBSTITUTE(  INDEX(   $A$1:$AJ$39, MATCH($A365,$A$1:$A$39,0),MATCH(  N$362,$A$1:$AP$1,0  )  ),"-","")  )  ),  CONCATENATE(  $A365,"(",   SUBSTITUTE(   SUBSTITUTE(  SUBSTITUTE(  INDEX(   $A$1:$AJ$39, MATCH($A365,$A$1:$A$39,0),MATCH(  N$362,$A$362:$AP$362,0  )  ),"榮",""),"x","")," ",""),"時",")"),  ""  )  )           ))</f>
        <v/>
      </c>
      <c r="O365" s="66" t="str">
        <f t="shared" ref="O365:O397" si="240">IF(    AND( O4="榮",  LEN(O364)&gt;=2 ),        "" &amp; $A365,    IF(         AND( O4="榮" ),       $A365,        IF(  OR(  LEN(O364)&gt;=2  ),  CONCATENATE(  ".",  IF(  AND(  LEN(  INDEX(   $A$1:$AJ$39, MATCH($A365,$A$1:$A$39,0),MATCH(  O$362,$A$1:$AP$1,0  )  )  )&gt;LEN(  SUBSTITUTE(  INDEX(   $A$1:$AJ$39, MATCH($A365,$A$1:$A$39,0),MATCH(  O$362,$A$1:$AP$1,0  )  ),"榮","")  ),  LEN(  INDEX(   $A$1:$AJ$39, MATCH($A365,$A$1:$A$39,0),MATCH(  O$362,$A$1:$AP$1,0  )  )  )&gt;LEN(  SUBSTITUTE(  INDEX(   $A$1:$AJ$39, MATCH($A365,$A$1:$A$39,0),MATCH(  O$362,$A$1:$AP$1,0  )  ),"-","")  )  ),  CONCATENATE(  $A365,"(",   SUBSTITUTE(   SUBSTITUTE(  SUBSTITUTE(  INDEX(   $A$1:$AJ$39, MATCH($A365,$A$1:$A$39,0),MATCH(  O$362,$A$362:$AP$362,0  )  ),"榮",""),"x","")," ",""),"時",")"),  ""  )  ),  IF(  AND(  LEN(  INDEX(   $A$1:$AJ$39, MATCH($A365,$A$1:$A$39,0),MATCH(  O$362,$A$1:$AP$1,0  )  )  )&gt;LEN(  SUBSTITUTE(  INDEX(   $A$1:$AJ$39, MATCH($A365,$A$1:$A$39,0),MATCH(  O$362,$A$1:$AP$1,0  )  ),"榮","")  ),  LEN(  INDEX(   $A$1:$AJ$39, MATCH($A365,$A$1:$A$39,0),MATCH(  O$362,$A$1:$AP$1,0  )  )  )&gt;LEN(  SUBSTITUTE(  INDEX(   $A$1:$AJ$39, MATCH($A365,$A$1:$A$39,0),MATCH(  O$362,$A$1:$AP$1,0  )  ),"-","")  )  ),  CONCATENATE(  $A365,"(",   SUBSTITUTE(   SUBSTITUTE(  SUBSTITUTE(  INDEX(   $A$1:$AJ$39, MATCH($A365,$A$1:$A$39,0),MATCH(  O$362,$A$362:$AP$362,0  )  ),"榮",""),"x","")," ",""),"時",")"),  ""  )  )           ))</f>
        <v/>
      </c>
      <c r="P365" s="66" t="str">
        <f t="shared" ref="P365:P397" si="241">IF(    AND( P4="榮",  LEN(P364)&gt;=2 ),        "" &amp; $A365,    IF(         AND( P4="榮" ),       $A365,        IF(  OR(  LEN(P364)&gt;=2  ),  CONCATENATE(  ".",  IF(  AND(  LEN(  INDEX(   $A$1:$AJ$39, MATCH($A365,$A$1:$A$39,0),MATCH(  P$362,$A$1:$AP$1,0  )  )  )&gt;LEN(  SUBSTITUTE(  INDEX(   $A$1:$AJ$39, MATCH($A365,$A$1:$A$39,0),MATCH(  P$362,$A$1:$AP$1,0  )  ),"榮","")  ),  LEN(  INDEX(   $A$1:$AJ$39, MATCH($A365,$A$1:$A$39,0),MATCH(  P$362,$A$1:$AP$1,0  )  )  )&gt;LEN(  SUBSTITUTE(  INDEX(   $A$1:$AJ$39, MATCH($A365,$A$1:$A$39,0),MATCH(  P$362,$A$1:$AP$1,0  )  ),"-","")  )  ),  CONCATENATE(  $A365,"(",   SUBSTITUTE(   SUBSTITUTE(  SUBSTITUTE(  INDEX(   $A$1:$AJ$39, MATCH($A365,$A$1:$A$39,0),MATCH(  P$362,$A$362:$AP$362,0  )  ),"榮",""),"x","")," ",""),"時",")"),  ""  )  ),  IF(  AND(  LEN(  INDEX(   $A$1:$AJ$39, MATCH($A365,$A$1:$A$39,0),MATCH(  P$362,$A$1:$AP$1,0  )  )  )&gt;LEN(  SUBSTITUTE(  INDEX(   $A$1:$AJ$39, MATCH($A365,$A$1:$A$39,0),MATCH(  P$362,$A$1:$AP$1,0  )  ),"榮","")  ),  LEN(  INDEX(   $A$1:$AJ$39, MATCH($A365,$A$1:$A$39,0),MATCH(  P$362,$A$1:$AP$1,0  )  )  )&gt;LEN(  SUBSTITUTE(  INDEX(   $A$1:$AJ$39, MATCH($A365,$A$1:$A$39,0),MATCH(  P$362,$A$1:$AP$1,0  )  ),"-","")  )  ),  CONCATENATE(  $A365,"(",   SUBSTITUTE(   SUBSTITUTE(  SUBSTITUTE(  INDEX(   $A$1:$AJ$39, MATCH($A365,$A$1:$A$39,0),MATCH(  P$362,$A$362:$AP$362,0  )  ),"榮",""),"x","")," ",""),"時",")"),  ""  )  )           ))</f>
        <v/>
      </c>
      <c r="Q365" s="66" t="str">
        <f t="shared" ref="Q365:Q397" si="242">IF(    AND( Q4="榮",  LEN(Q364)&gt;=2 ),        "" &amp; $A365,    IF(         AND( Q4="榮" ),       $A365,        IF(  OR(  LEN(Q364)&gt;=2  ),  CONCATENATE(  ".",  IF(  AND(  LEN(  INDEX(   $A$1:$AJ$39, MATCH($A365,$A$1:$A$39,0),MATCH(  Q$362,$A$1:$AP$1,0  )  )  )&gt;LEN(  SUBSTITUTE(  INDEX(   $A$1:$AJ$39, MATCH($A365,$A$1:$A$39,0),MATCH(  Q$362,$A$1:$AP$1,0  )  ),"榮","")  ),  LEN(  INDEX(   $A$1:$AJ$39, MATCH($A365,$A$1:$A$39,0),MATCH(  Q$362,$A$1:$AP$1,0  )  )  )&gt;LEN(  SUBSTITUTE(  INDEX(   $A$1:$AJ$39, MATCH($A365,$A$1:$A$39,0),MATCH(  Q$362,$A$1:$AP$1,0  )  ),"-","")  )  ),  CONCATENATE(  $A365,"(",   SUBSTITUTE(   SUBSTITUTE(  SUBSTITUTE(  INDEX(   $A$1:$AJ$39, MATCH($A365,$A$1:$A$39,0),MATCH(  Q$362,$A$362:$AP$362,0  )  ),"榮",""),"x","")," ",""),"時",")"),  ""  )  ),  IF(  AND(  LEN(  INDEX(   $A$1:$AJ$39, MATCH($A365,$A$1:$A$39,0),MATCH(  Q$362,$A$1:$AP$1,0  )  )  )&gt;LEN(  SUBSTITUTE(  INDEX(   $A$1:$AJ$39, MATCH($A365,$A$1:$A$39,0),MATCH(  Q$362,$A$1:$AP$1,0  )  ),"榮","")  ),  LEN(  INDEX(   $A$1:$AJ$39, MATCH($A365,$A$1:$A$39,0),MATCH(  Q$362,$A$1:$AP$1,0  )  )  )&gt;LEN(  SUBSTITUTE(  INDEX(   $A$1:$AJ$39, MATCH($A365,$A$1:$A$39,0),MATCH(  Q$362,$A$1:$AP$1,0  )  ),"-","")  )  ),  CONCATENATE(  $A365,"(",   SUBSTITUTE(   SUBSTITUTE(  SUBSTITUTE(  INDEX(   $A$1:$AJ$39, MATCH($A365,$A$1:$A$39,0),MATCH(  Q$362,$A$362:$AP$362,0  )  ),"榮",""),"x","")," ",""),"時",")"),  ""  )  )           ))</f>
        <v/>
      </c>
      <c r="R365" s="66" t="str">
        <f t="shared" ref="R365:R397" si="243">IF(    AND( R4="榮",  LEN(R364)&gt;=2 ),        "" &amp; $A365,    IF(         AND( R4="榮" ),       $A365,        IF(  OR(  LEN(R364)&gt;=2  ),  CONCATENATE(  ".",  IF(  AND(  LEN(  INDEX(   $A$1:$AJ$39, MATCH($A365,$A$1:$A$39,0),MATCH(  R$362,$A$1:$AP$1,0  )  )  )&gt;LEN(  SUBSTITUTE(  INDEX(   $A$1:$AJ$39, MATCH($A365,$A$1:$A$39,0),MATCH(  R$362,$A$1:$AP$1,0  )  ),"榮","")  ),  LEN(  INDEX(   $A$1:$AJ$39, MATCH($A365,$A$1:$A$39,0),MATCH(  R$362,$A$1:$AP$1,0  )  )  )&gt;LEN(  SUBSTITUTE(  INDEX(   $A$1:$AJ$39, MATCH($A365,$A$1:$A$39,0),MATCH(  R$362,$A$1:$AP$1,0  )  ),"-","")  )  ),  CONCATENATE(  $A365,"(",   SUBSTITUTE(   SUBSTITUTE(  SUBSTITUTE(  INDEX(   $A$1:$AJ$39, MATCH($A365,$A$1:$A$39,0),MATCH(  R$362,$A$362:$AP$362,0  )  ),"榮",""),"x","")," ",""),"時",")"),  ""  )  ),  IF(  AND(  LEN(  INDEX(   $A$1:$AJ$39, MATCH($A365,$A$1:$A$39,0),MATCH(  R$362,$A$1:$AP$1,0  )  )  )&gt;LEN(  SUBSTITUTE(  INDEX(   $A$1:$AJ$39, MATCH($A365,$A$1:$A$39,0),MATCH(  R$362,$A$1:$AP$1,0  )  ),"榮","")  ),  LEN(  INDEX(   $A$1:$AJ$39, MATCH($A365,$A$1:$A$39,0),MATCH(  R$362,$A$1:$AP$1,0  )  )  )&gt;LEN(  SUBSTITUTE(  INDEX(   $A$1:$AJ$39, MATCH($A365,$A$1:$A$39,0),MATCH(  R$362,$A$1:$AP$1,0  )  ),"-","")  )  ),  CONCATENATE(  $A365,"(",   SUBSTITUTE(   SUBSTITUTE(  SUBSTITUTE(  INDEX(   $A$1:$AJ$39, MATCH($A365,$A$1:$A$39,0),MATCH(  R$362,$A$362:$AP$362,0  )  ),"榮",""),"x","")," ",""),"時",")"),  ""  )  )           ))</f>
        <v/>
      </c>
      <c r="S365" s="66" t="str">
        <f t="shared" ref="S365:S397" si="244">IF(    AND( S4="榮",  LEN(S364)&gt;=2 ),        "" &amp; $A365,    IF(         AND( S4="榮" ),       $A365,        IF(  OR(  LEN(S364)&gt;=2  ),  CONCATENATE(  ".",  IF(  AND(  LEN(  INDEX(   $A$1:$AJ$39, MATCH($A365,$A$1:$A$39,0),MATCH(  S$362,$A$1:$AP$1,0  )  )  )&gt;LEN(  SUBSTITUTE(  INDEX(   $A$1:$AJ$39, MATCH($A365,$A$1:$A$39,0),MATCH(  S$362,$A$1:$AP$1,0  )  ),"榮","")  ),  LEN(  INDEX(   $A$1:$AJ$39, MATCH($A365,$A$1:$A$39,0),MATCH(  S$362,$A$1:$AP$1,0  )  )  )&gt;LEN(  SUBSTITUTE(  INDEX(   $A$1:$AJ$39, MATCH($A365,$A$1:$A$39,0),MATCH(  S$362,$A$1:$AP$1,0  )  ),"-","")  )  ),  CONCATENATE(  $A365,"(",   SUBSTITUTE(   SUBSTITUTE(  SUBSTITUTE(  INDEX(   $A$1:$AJ$39, MATCH($A365,$A$1:$A$39,0),MATCH(  S$362,$A$362:$AP$362,0  )  ),"榮",""),"x","")," ",""),"時",")"),  ""  )  ),  IF(  AND(  LEN(  INDEX(   $A$1:$AJ$39, MATCH($A365,$A$1:$A$39,0),MATCH(  S$362,$A$1:$AP$1,0  )  )  )&gt;LEN(  SUBSTITUTE(  INDEX(   $A$1:$AJ$39, MATCH($A365,$A$1:$A$39,0),MATCH(  S$362,$A$1:$AP$1,0  )  ),"榮","")  ),  LEN(  INDEX(   $A$1:$AJ$39, MATCH($A365,$A$1:$A$39,0),MATCH(  S$362,$A$1:$AP$1,0  )  )  )&gt;LEN(  SUBSTITUTE(  INDEX(   $A$1:$AJ$39, MATCH($A365,$A$1:$A$39,0),MATCH(  S$362,$A$1:$AP$1,0  )  ),"-","")  )  ),  CONCATENATE(  $A365,"(",   SUBSTITUTE(   SUBSTITUTE(  SUBSTITUTE(  INDEX(   $A$1:$AJ$39, MATCH($A365,$A$1:$A$39,0),MATCH(  S$362,$A$362:$AP$362,0  )  ),"榮",""),"x","")," ",""),"時",")"),  ""  )  )           ))</f>
        <v/>
      </c>
      <c r="T365" s="66" t="str">
        <f t="shared" ref="T365:T397" si="245">IF(    AND( T4="榮",  LEN(T364)&gt;=2 ),        "" &amp; $A365,    IF(         AND( T4="榮" ),       $A365,        IF(  OR(  LEN(T364)&gt;=2  ),  CONCATENATE(  ".",  IF(  AND(  LEN(  INDEX(   $A$1:$AJ$39, MATCH($A365,$A$1:$A$39,0),MATCH(  T$362,$A$1:$AP$1,0  )  )  )&gt;LEN(  SUBSTITUTE(  INDEX(   $A$1:$AJ$39, MATCH($A365,$A$1:$A$39,0),MATCH(  T$362,$A$1:$AP$1,0  )  ),"榮","")  ),  LEN(  INDEX(   $A$1:$AJ$39, MATCH($A365,$A$1:$A$39,0),MATCH(  T$362,$A$1:$AP$1,0  )  )  )&gt;LEN(  SUBSTITUTE(  INDEX(   $A$1:$AJ$39, MATCH($A365,$A$1:$A$39,0),MATCH(  T$362,$A$1:$AP$1,0  )  ),"-","")  )  ),  CONCATENATE(  $A365,"(",   SUBSTITUTE(   SUBSTITUTE(  SUBSTITUTE(  INDEX(   $A$1:$AJ$39, MATCH($A365,$A$1:$A$39,0),MATCH(  T$362,$A$362:$AP$362,0  )  ),"榮",""),"x","")," ",""),"時",")"),  ""  )  ),  IF(  AND(  LEN(  INDEX(   $A$1:$AJ$39, MATCH($A365,$A$1:$A$39,0),MATCH(  T$362,$A$1:$AP$1,0  )  )  )&gt;LEN(  SUBSTITUTE(  INDEX(   $A$1:$AJ$39, MATCH($A365,$A$1:$A$39,0),MATCH(  T$362,$A$1:$AP$1,0  )  ),"榮","")  ),  LEN(  INDEX(   $A$1:$AJ$39, MATCH($A365,$A$1:$A$39,0),MATCH(  T$362,$A$1:$AP$1,0  )  )  )&gt;LEN(  SUBSTITUTE(  INDEX(   $A$1:$AJ$39, MATCH($A365,$A$1:$A$39,0),MATCH(  T$362,$A$1:$AP$1,0  )  ),"-","")  )  ),  CONCATENATE(  $A365,"(",   SUBSTITUTE(   SUBSTITUTE(  SUBSTITUTE(  INDEX(   $A$1:$AJ$39, MATCH($A365,$A$1:$A$39,0),MATCH(  T$362,$A$362:$AP$362,0  )  ),"榮",""),"x","")," ",""),"時",")"),  ""  )  )           ))</f>
        <v/>
      </c>
      <c r="U365" s="66" t="str">
        <f t="shared" ref="U365:U397" si="246">IF(    AND( U4="榮",  LEN(U364)&gt;=2 ),        "" &amp; $A365,    IF(         AND( U4="榮" ),       $A365,        IF(  OR(  LEN(U364)&gt;=2  ),  CONCATENATE(  ".",  IF(  AND(  LEN(  INDEX(   $A$1:$AJ$39, MATCH($A365,$A$1:$A$39,0),MATCH(  U$362,$A$1:$AP$1,0  )  )  )&gt;LEN(  SUBSTITUTE(  INDEX(   $A$1:$AJ$39, MATCH($A365,$A$1:$A$39,0),MATCH(  U$362,$A$1:$AP$1,0  )  ),"榮","")  ),  LEN(  INDEX(   $A$1:$AJ$39, MATCH($A365,$A$1:$A$39,0),MATCH(  U$362,$A$1:$AP$1,0  )  )  )&gt;LEN(  SUBSTITUTE(  INDEX(   $A$1:$AJ$39, MATCH($A365,$A$1:$A$39,0),MATCH(  U$362,$A$1:$AP$1,0  )  ),"-","")  )  ),  CONCATENATE(  $A365,"(",   SUBSTITUTE(   SUBSTITUTE(  SUBSTITUTE(  INDEX(   $A$1:$AJ$39, MATCH($A365,$A$1:$A$39,0),MATCH(  U$362,$A$362:$AP$362,0  )  ),"榮",""),"x","")," ",""),"時",")"),  ""  )  ),  IF(  AND(  LEN(  INDEX(   $A$1:$AJ$39, MATCH($A365,$A$1:$A$39,0),MATCH(  U$362,$A$1:$AP$1,0  )  )  )&gt;LEN(  SUBSTITUTE(  INDEX(   $A$1:$AJ$39, MATCH($A365,$A$1:$A$39,0),MATCH(  U$362,$A$1:$AP$1,0  )  ),"榮","")  ),  LEN(  INDEX(   $A$1:$AJ$39, MATCH($A365,$A$1:$A$39,0),MATCH(  U$362,$A$1:$AP$1,0  )  )  )&gt;LEN(  SUBSTITUTE(  INDEX(   $A$1:$AJ$39, MATCH($A365,$A$1:$A$39,0),MATCH(  U$362,$A$1:$AP$1,0  )  ),"-","")  )  ),  CONCATENATE(  $A365,"(",   SUBSTITUTE(   SUBSTITUTE(  SUBSTITUTE(  INDEX(   $A$1:$AJ$39, MATCH($A365,$A$1:$A$39,0),MATCH(  U$362,$A$362:$AP$362,0  )  ),"榮",""),"x","")," ",""),"時",")"),  ""  )  )           ))</f>
        <v/>
      </c>
      <c r="V365" s="66" t="str">
        <f t="shared" ref="V365:V397" si="247">IF(    AND( V4="榮",  LEN(V364)&gt;=2 ),        "" &amp; $A365,    IF(         AND( V4="榮" ),       $A365,        IF(  OR(  LEN(V364)&gt;=2  ),  CONCATENATE(  ".",  IF(  AND(  LEN(  INDEX(   $A$1:$AJ$39, MATCH($A365,$A$1:$A$39,0),MATCH(  V$362,$A$1:$AP$1,0  )  )  )&gt;LEN(  SUBSTITUTE(  INDEX(   $A$1:$AJ$39, MATCH($A365,$A$1:$A$39,0),MATCH(  V$362,$A$1:$AP$1,0  )  ),"榮","")  ),  LEN(  INDEX(   $A$1:$AJ$39, MATCH($A365,$A$1:$A$39,0),MATCH(  V$362,$A$1:$AP$1,0  )  )  )&gt;LEN(  SUBSTITUTE(  INDEX(   $A$1:$AJ$39, MATCH($A365,$A$1:$A$39,0),MATCH(  V$362,$A$1:$AP$1,0  )  ),"-","")  )  ),  CONCATENATE(  $A365,"(",   SUBSTITUTE(   SUBSTITUTE(  SUBSTITUTE(  INDEX(   $A$1:$AJ$39, MATCH($A365,$A$1:$A$39,0),MATCH(  V$362,$A$362:$AP$362,0  )  ),"榮",""),"x","")," ",""),"時",")"),  ""  )  ),  IF(  AND(  LEN(  INDEX(   $A$1:$AJ$39, MATCH($A365,$A$1:$A$39,0),MATCH(  V$362,$A$1:$AP$1,0  )  )  )&gt;LEN(  SUBSTITUTE(  INDEX(   $A$1:$AJ$39, MATCH($A365,$A$1:$A$39,0),MATCH(  V$362,$A$1:$AP$1,0  )  ),"榮","")  ),  LEN(  INDEX(   $A$1:$AJ$39, MATCH($A365,$A$1:$A$39,0),MATCH(  V$362,$A$1:$AP$1,0  )  )  )&gt;LEN(  SUBSTITUTE(  INDEX(   $A$1:$AJ$39, MATCH($A365,$A$1:$A$39,0),MATCH(  V$362,$A$1:$AP$1,0  )  ),"-","")  )  ),  CONCATENATE(  $A365,"(",   SUBSTITUTE(   SUBSTITUTE(  SUBSTITUTE(  INDEX(   $A$1:$AJ$39, MATCH($A365,$A$1:$A$39,0),MATCH(  V$362,$A$362:$AP$362,0  )  ),"榮",""),"x","")," ",""),"時",")"),  ""  )  )           ))</f>
        <v/>
      </c>
      <c r="W365" s="66" t="str">
        <f t="shared" ref="W365:W397" si="248">IF(    AND( W4="榮",  LEN(W364)&gt;=2 ),        "" &amp; $A365,    IF(         AND( W4="榮" ),       $A365,        IF(  OR(  LEN(W364)&gt;=2  ),  CONCATENATE(  ".",  IF(  AND(  LEN(  INDEX(   $A$1:$AJ$39, MATCH($A365,$A$1:$A$39,0),MATCH(  W$362,$A$1:$AP$1,0  )  )  )&gt;LEN(  SUBSTITUTE(  INDEX(   $A$1:$AJ$39, MATCH($A365,$A$1:$A$39,0),MATCH(  W$362,$A$1:$AP$1,0  )  ),"榮","")  ),  LEN(  INDEX(   $A$1:$AJ$39, MATCH($A365,$A$1:$A$39,0),MATCH(  W$362,$A$1:$AP$1,0  )  )  )&gt;LEN(  SUBSTITUTE(  INDEX(   $A$1:$AJ$39, MATCH($A365,$A$1:$A$39,0),MATCH(  W$362,$A$1:$AP$1,0  )  ),"-","")  )  ),  CONCATENATE(  $A365,"(",   SUBSTITUTE(   SUBSTITUTE(  SUBSTITUTE(  INDEX(   $A$1:$AJ$39, MATCH($A365,$A$1:$A$39,0),MATCH(  W$362,$A$362:$AP$362,0  )  ),"榮",""),"x","")," ",""),"時",")"),  ""  )  ),  IF(  AND(  LEN(  INDEX(   $A$1:$AJ$39, MATCH($A365,$A$1:$A$39,0),MATCH(  W$362,$A$1:$AP$1,0  )  )  )&gt;LEN(  SUBSTITUTE(  INDEX(   $A$1:$AJ$39, MATCH($A365,$A$1:$A$39,0),MATCH(  W$362,$A$1:$AP$1,0  )  ),"榮","")  ),  LEN(  INDEX(   $A$1:$AJ$39, MATCH($A365,$A$1:$A$39,0),MATCH(  W$362,$A$1:$AP$1,0  )  )  )&gt;LEN(  SUBSTITUTE(  INDEX(   $A$1:$AJ$39, MATCH($A365,$A$1:$A$39,0),MATCH(  W$362,$A$1:$AP$1,0  )  ),"-","")  )  ),  CONCATENATE(  $A365,"(",   SUBSTITUTE(   SUBSTITUTE(  SUBSTITUTE(  INDEX(   $A$1:$AJ$39, MATCH($A365,$A$1:$A$39,0),MATCH(  W$362,$A$362:$AP$362,0  )  ),"榮",""),"x","")," ",""),"時",")"),  ""  )  )           ))</f>
        <v/>
      </c>
      <c r="X365" s="66" t="str">
        <f t="shared" ref="X365:X397" si="249">IF(    AND( X4="榮",  LEN(X364)&gt;=2 ),        "" &amp; $A365,    IF(         AND( X4="榮" ),       $A365,        IF(  OR(  LEN(X364)&gt;=2  ),  CONCATENATE(  ".",  IF(  AND(  LEN(  INDEX(   $A$1:$AJ$39, MATCH($A365,$A$1:$A$39,0),MATCH(  X$362,$A$1:$AP$1,0  )  )  )&gt;LEN(  SUBSTITUTE(  INDEX(   $A$1:$AJ$39, MATCH($A365,$A$1:$A$39,0),MATCH(  X$362,$A$1:$AP$1,0  )  ),"榮","")  ),  LEN(  INDEX(   $A$1:$AJ$39, MATCH($A365,$A$1:$A$39,0),MATCH(  X$362,$A$1:$AP$1,0  )  )  )&gt;LEN(  SUBSTITUTE(  INDEX(   $A$1:$AJ$39, MATCH($A365,$A$1:$A$39,0),MATCH(  X$362,$A$1:$AP$1,0  )  ),"-","")  )  ),  CONCATENATE(  $A365,"(",   SUBSTITUTE(   SUBSTITUTE(  SUBSTITUTE(  INDEX(   $A$1:$AJ$39, MATCH($A365,$A$1:$A$39,0),MATCH(  X$362,$A$362:$AP$362,0  )  ),"榮",""),"x","")," ",""),"時",")"),  ""  )  ),  IF(  AND(  LEN(  INDEX(   $A$1:$AJ$39, MATCH($A365,$A$1:$A$39,0),MATCH(  X$362,$A$1:$AP$1,0  )  )  )&gt;LEN(  SUBSTITUTE(  INDEX(   $A$1:$AJ$39, MATCH($A365,$A$1:$A$39,0),MATCH(  X$362,$A$1:$AP$1,0  )  ),"榮","")  ),  LEN(  INDEX(   $A$1:$AJ$39, MATCH($A365,$A$1:$A$39,0),MATCH(  X$362,$A$1:$AP$1,0  )  )  )&gt;LEN(  SUBSTITUTE(  INDEX(   $A$1:$AJ$39, MATCH($A365,$A$1:$A$39,0),MATCH(  X$362,$A$1:$AP$1,0  )  ),"-","")  )  ),  CONCATENATE(  $A365,"(",   SUBSTITUTE(   SUBSTITUTE(  SUBSTITUTE(  INDEX(   $A$1:$AJ$39, MATCH($A365,$A$1:$A$39,0),MATCH(  X$362,$A$362:$AP$362,0  )  ),"榮",""),"x","")," ",""),"時",")"),  ""  )  )           ))</f>
        <v/>
      </c>
      <c r="Y365" s="66" t="str">
        <f t="shared" ref="Y365:Y397" si="250">IF(    AND( Y4="榮",  LEN(Y364)&gt;=2 ),        "" &amp; $A365,    IF(         AND( Y4="榮" ),       $A365,        IF(  OR(  LEN(Y364)&gt;=2  ),  CONCATENATE(  ".",  IF(  AND(  LEN(  INDEX(   $A$1:$AJ$39, MATCH($A365,$A$1:$A$39,0),MATCH(  Y$362,$A$1:$AP$1,0  )  )  )&gt;LEN(  SUBSTITUTE(  INDEX(   $A$1:$AJ$39, MATCH($A365,$A$1:$A$39,0),MATCH(  Y$362,$A$1:$AP$1,0  )  ),"榮","")  ),  LEN(  INDEX(   $A$1:$AJ$39, MATCH($A365,$A$1:$A$39,0),MATCH(  Y$362,$A$1:$AP$1,0  )  )  )&gt;LEN(  SUBSTITUTE(  INDEX(   $A$1:$AJ$39, MATCH($A365,$A$1:$A$39,0),MATCH(  Y$362,$A$1:$AP$1,0  )  ),"-","")  )  ),  CONCATENATE(  $A365,"(",   SUBSTITUTE(   SUBSTITUTE(  SUBSTITUTE(  INDEX(   $A$1:$AJ$39, MATCH($A365,$A$1:$A$39,0),MATCH(  Y$362,$A$362:$AP$362,0  )  ),"榮",""),"x","")," ",""),"時",")"),  ""  )  ),  IF(  AND(  LEN(  INDEX(   $A$1:$AJ$39, MATCH($A365,$A$1:$A$39,0),MATCH(  Y$362,$A$1:$AP$1,0  )  )  )&gt;LEN(  SUBSTITUTE(  INDEX(   $A$1:$AJ$39, MATCH($A365,$A$1:$A$39,0),MATCH(  Y$362,$A$1:$AP$1,0  )  ),"榮","")  ),  LEN(  INDEX(   $A$1:$AJ$39, MATCH($A365,$A$1:$A$39,0),MATCH(  Y$362,$A$1:$AP$1,0  )  )  )&gt;LEN(  SUBSTITUTE(  INDEX(   $A$1:$AJ$39, MATCH($A365,$A$1:$A$39,0),MATCH(  Y$362,$A$1:$AP$1,0  )  ),"-","")  )  ),  CONCATENATE(  $A365,"(",   SUBSTITUTE(   SUBSTITUTE(  SUBSTITUTE(  INDEX(   $A$1:$AJ$39, MATCH($A365,$A$1:$A$39,0),MATCH(  Y$362,$A$362:$AP$362,0  )  ),"榮",""),"x","")," ",""),"時",")"),  ""  )  )           ))</f>
        <v/>
      </c>
      <c r="Z365" s="66" t="str">
        <f t="shared" ref="Z365:Z397" si="251">IF(    AND( Z4="榮",  LEN(Z364)&gt;=2 ),        "" &amp; $A365,    IF(         AND( Z4="榮" ),       $A365,        IF(  OR(  LEN(Z364)&gt;=2  ),  CONCATENATE(  ".",  IF(  AND(  LEN(  INDEX(   $A$1:$AJ$39, MATCH($A365,$A$1:$A$39,0),MATCH(  Z$362,$A$1:$AP$1,0  )  )  )&gt;LEN(  SUBSTITUTE(  INDEX(   $A$1:$AJ$39, MATCH($A365,$A$1:$A$39,0),MATCH(  Z$362,$A$1:$AP$1,0  )  ),"榮","")  ),  LEN(  INDEX(   $A$1:$AJ$39, MATCH($A365,$A$1:$A$39,0),MATCH(  Z$362,$A$1:$AP$1,0  )  )  )&gt;LEN(  SUBSTITUTE(  INDEX(   $A$1:$AJ$39, MATCH($A365,$A$1:$A$39,0),MATCH(  Z$362,$A$1:$AP$1,0  )  ),"-","")  )  ),  CONCATENATE(  $A365,"(",   SUBSTITUTE(   SUBSTITUTE(  SUBSTITUTE(  INDEX(   $A$1:$AJ$39, MATCH($A365,$A$1:$A$39,0),MATCH(  Z$362,$A$362:$AP$362,0  )  ),"榮",""),"x","")," ",""),"時",")"),  ""  )  ),  IF(  AND(  LEN(  INDEX(   $A$1:$AJ$39, MATCH($A365,$A$1:$A$39,0),MATCH(  Z$362,$A$1:$AP$1,0  )  )  )&gt;LEN(  SUBSTITUTE(  INDEX(   $A$1:$AJ$39, MATCH($A365,$A$1:$A$39,0),MATCH(  Z$362,$A$1:$AP$1,0  )  ),"榮","")  ),  LEN(  INDEX(   $A$1:$AJ$39, MATCH($A365,$A$1:$A$39,0),MATCH(  Z$362,$A$1:$AP$1,0  )  )  )&gt;LEN(  SUBSTITUTE(  INDEX(   $A$1:$AJ$39, MATCH($A365,$A$1:$A$39,0),MATCH(  Z$362,$A$1:$AP$1,0  )  ),"-","")  )  ),  CONCATENATE(  $A365,"(",   SUBSTITUTE(   SUBSTITUTE(  SUBSTITUTE(  INDEX(   $A$1:$AJ$39, MATCH($A365,$A$1:$A$39,0),MATCH(  Z$362,$A$362:$AP$362,0  )  ),"榮",""),"x","")," ",""),"時",")"),  ""  )  )           ))</f>
        <v/>
      </c>
      <c r="AA365" s="66" t="str">
        <f t="shared" ref="AA365:AA397" si="252">IF(    AND( AA4="榮",  LEN(AA364)&gt;=2 ),        "" &amp; $A365,    IF(         AND( AA4="榮" ),       $A365,        IF(  OR(  LEN(AA364)&gt;=2  ),  CONCATENATE(  ".",  IF(  AND(  LEN(  INDEX(   $A$1:$AJ$39, MATCH($A365,$A$1:$A$39,0),MATCH(  AA$362,$A$1:$AP$1,0  )  )  )&gt;LEN(  SUBSTITUTE(  INDEX(   $A$1:$AJ$39, MATCH($A365,$A$1:$A$39,0),MATCH(  AA$362,$A$1:$AP$1,0  )  ),"榮","")  ),  LEN(  INDEX(   $A$1:$AJ$39, MATCH($A365,$A$1:$A$39,0),MATCH(  AA$362,$A$1:$AP$1,0  )  )  )&gt;LEN(  SUBSTITUTE(  INDEX(   $A$1:$AJ$39, MATCH($A365,$A$1:$A$39,0),MATCH(  AA$362,$A$1:$AP$1,0  )  ),"-","")  )  ),  CONCATENATE(  $A365,"(",   SUBSTITUTE(   SUBSTITUTE(  SUBSTITUTE(  INDEX(   $A$1:$AJ$39, MATCH($A365,$A$1:$A$39,0),MATCH(  AA$362,$A$362:$AP$362,0  )  ),"榮",""),"x","")," ",""),"時",")"),  ""  )  ),  IF(  AND(  LEN(  INDEX(   $A$1:$AJ$39, MATCH($A365,$A$1:$A$39,0),MATCH(  AA$362,$A$1:$AP$1,0  )  )  )&gt;LEN(  SUBSTITUTE(  INDEX(   $A$1:$AJ$39, MATCH($A365,$A$1:$A$39,0),MATCH(  AA$362,$A$1:$AP$1,0  )  ),"榮","")  ),  LEN(  INDEX(   $A$1:$AJ$39, MATCH($A365,$A$1:$A$39,0),MATCH(  AA$362,$A$1:$AP$1,0  )  )  )&gt;LEN(  SUBSTITUTE(  INDEX(   $A$1:$AJ$39, MATCH($A365,$A$1:$A$39,0),MATCH(  AA$362,$A$1:$AP$1,0  )  ),"-","")  )  ),  CONCATENATE(  $A365,"(",   SUBSTITUTE(   SUBSTITUTE(  SUBSTITUTE(  INDEX(   $A$1:$AJ$39, MATCH($A365,$A$1:$A$39,0),MATCH(  AA$362,$A$362:$AP$362,0  )  ),"榮",""),"x","")," ",""),"時",")"),  ""  )  )           ))</f>
        <v/>
      </c>
      <c r="AB365" s="66" t="str">
        <f t="shared" ref="AB365:AB397" si="253">IF(    AND( AB4="榮",  LEN(AB364)&gt;=2 ),        "" &amp; $A365,    IF(         AND( AB4="榮" ),       $A365,        IF(  OR(  LEN(AB364)&gt;=2  ),  CONCATENATE(  ".",  IF(  AND(  LEN(  INDEX(   $A$1:$AJ$39, MATCH($A365,$A$1:$A$39,0),MATCH(  AB$362,$A$1:$AP$1,0  )  )  )&gt;LEN(  SUBSTITUTE(  INDEX(   $A$1:$AJ$39, MATCH($A365,$A$1:$A$39,0),MATCH(  AB$362,$A$1:$AP$1,0  )  ),"榮","")  ),  LEN(  INDEX(   $A$1:$AJ$39, MATCH($A365,$A$1:$A$39,0),MATCH(  AB$362,$A$1:$AP$1,0  )  )  )&gt;LEN(  SUBSTITUTE(  INDEX(   $A$1:$AJ$39, MATCH($A365,$A$1:$A$39,0),MATCH(  AB$362,$A$1:$AP$1,0  )  ),"-","")  )  ),  CONCATENATE(  $A365,"(",   SUBSTITUTE(   SUBSTITUTE(  SUBSTITUTE(  INDEX(   $A$1:$AJ$39, MATCH($A365,$A$1:$A$39,0),MATCH(  AB$362,$A$362:$AP$362,0  )  ),"榮",""),"x","")," ",""),"時",")"),  ""  )  ),  IF(  AND(  LEN(  INDEX(   $A$1:$AJ$39, MATCH($A365,$A$1:$A$39,0),MATCH(  AB$362,$A$1:$AP$1,0  )  )  )&gt;LEN(  SUBSTITUTE(  INDEX(   $A$1:$AJ$39, MATCH($A365,$A$1:$A$39,0),MATCH(  AB$362,$A$1:$AP$1,0  )  ),"榮","")  ),  LEN(  INDEX(   $A$1:$AJ$39, MATCH($A365,$A$1:$A$39,0),MATCH(  AB$362,$A$1:$AP$1,0  )  )  )&gt;LEN(  SUBSTITUTE(  INDEX(   $A$1:$AJ$39, MATCH($A365,$A$1:$A$39,0),MATCH(  AB$362,$A$1:$AP$1,0  )  ),"-","")  )  ),  CONCATENATE(  $A365,"(",   SUBSTITUTE(   SUBSTITUTE(  SUBSTITUTE(  INDEX(   $A$1:$AJ$39, MATCH($A365,$A$1:$A$39,0),MATCH(  AB$362,$A$362:$AP$362,0  )  ),"榮",""),"x","")," ",""),"時",")"),  ""  )  )           ))</f>
        <v/>
      </c>
      <c r="AC365" s="66" t="str">
        <f t="shared" ref="AC365:AC397" si="254">IF(    AND( AC4="榮",  LEN(AC364)&gt;=2 ),        "" &amp; $A365,    IF(         AND( AC4="榮" ),       $A365,        IF(  OR(  LEN(AC364)&gt;=2  ),  CONCATENATE(  ".",  IF(  AND(  LEN(  INDEX(   $A$1:$AJ$39, MATCH($A365,$A$1:$A$39,0),MATCH(  AC$362,$A$1:$AP$1,0  )  )  )&gt;LEN(  SUBSTITUTE(  INDEX(   $A$1:$AJ$39, MATCH($A365,$A$1:$A$39,0),MATCH(  AC$362,$A$1:$AP$1,0  )  ),"榮","")  ),  LEN(  INDEX(   $A$1:$AJ$39, MATCH($A365,$A$1:$A$39,0),MATCH(  AC$362,$A$1:$AP$1,0  )  )  )&gt;LEN(  SUBSTITUTE(  INDEX(   $A$1:$AJ$39, MATCH($A365,$A$1:$A$39,0),MATCH(  AC$362,$A$1:$AP$1,0  )  ),"-","")  )  ),  CONCATENATE(  $A365,"(",   SUBSTITUTE(   SUBSTITUTE(  SUBSTITUTE(  INDEX(   $A$1:$AJ$39, MATCH($A365,$A$1:$A$39,0),MATCH(  AC$362,$A$362:$AP$362,0  )  ),"榮",""),"x","")," ",""),"時",")"),  ""  )  ),  IF(  AND(  LEN(  INDEX(   $A$1:$AJ$39, MATCH($A365,$A$1:$A$39,0),MATCH(  AC$362,$A$1:$AP$1,0  )  )  )&gt;LEN(  SUBSTITUTE(  INDEX(   $A$1:$AJ$39, MATCH($A365,$A$1:$A$39,0),MATCH(  AC$362,$A$1:$AP$1,0  )  ),"榮","")  ),  LEN(  INDEX(   $A$1:$AJ$39, MATCH($A365,$A$1:$A$39,0),MATCH(  AC$362,$A$1:$AP$1,0  )  )  )&gt;LEN(  SUBSTITUTE(  INDEX(   $A$1:$AJ$39, MATCH($A365,$A$1:$A$39,0),MATCH(  AC$362,$A$1:$AP$1,0  )  ),"-","")  )  ),  CONCATENATE(  $A365,"(",   SUBSTITUTE(   SUBSTITUTE(  SUBSTITUTE(  INDEX(   $A$1:$AJ$39, MATCH($A365,$A$1:$A$39,0),MATCH(  AC$362,$A$362:$AP$362,0  )  ),"榮",""),"x","")," ",""),"時",")"),  ""  )  )           ))</f>
        <v/>
      </c>
      <c r="AD365" s="66" t="str">
        <f t="shared" ref="AD365:AD397" si="255">IF(    AND( AD4="榮",  LEN(AD364)&gt;=2 ),        "" &amp; $A365,    IF(         AND( AD4="榮" ),       $A365,        IF(  OR(  LEN(AD364)&gt;=2  ),  CONCATENATE(  ".",  IF(  AND(  LEN(  INDEX(   $A$1:$AJ$39, MATCH($A365,$A$1:$A$39,0),MATCH(  AD$362,$A$1:$AP$1,0  )  )  )&gt;LEN(  SUBSTITUTE(  INDEX(   $A$1:$AJ$39, MATCH($A365,$A$1:$A$39,0),MATCH(  AD$362,$A$1:$AP$1,0  )  ),"榮","")  ),  LEN(  INDEX(   $A$1:$AJ$39, MATCH($A365,$A$1:$A$39,0),MATCH(  AD$362,$A$1:$AP$1,0  )  )  )&gt;LEN(  SUBSTITUTE(  INDEX(   $A$1:$AJ$39, MATCH($A365,$A$1:$A$39,0),MATCH(  AD$362,$A$1:$AP$1,0  )  ),"-","")  )  ),  CONCATENATE(  $A365,"(",   SUBSTITUTE(   SUBSTITUTE(  SUBSTITUTE(  INDEX(   $A$1:$AJ$39, MATCH($A365,$A$1:$A$39,0),MATCH(  AD$362,$A$362:$AP$362,0  )  ),"榮",""),"x","")," ",""),"時",")"),  ""  )  ),  IF(  AND(  LEN(  INDEX(   $A$1:$AJ$39, MATCH($A365,$A$1:$A$39,0),MATCH(  AD$362,$A$1:$AP$1,0  )  )  )&gt;LEN(  SUBSTITUTE(  INDEX(   $A$1:$AJ$39, MATCH($A365,$A$1:$A$39,0),MATCH(  AD$362,$A$1:$AP$1,0  )  ),"榮","")  ),  LEN(  INDEX(   $A$1:$AJ$39, MATCH($A365,$A$1:$A$39,0),MATCH(  AD$362,$A$1:$AP$1,0  )  )  )&gt;LEN(  SUBSTITUTE(  INDEX(   $A$1:$AJ$39, MATCH($A365,$A$1:$A$39,0),MATCH(  AD$362,$A$1:$AP$1,0  )  ),"-","")  )  ),  CONCATENATE(  $A365,"(",   SUBSTITUTE(   SUBSTITUTE(  SUBSTITUTE(  INDEX(   $A$1:$AJ$39, MATCH($A365,$A$1:$A$39,0),MATCH(  AD$362,$A$362:$AP$362,0  )  ),"榮",""),"x","")," ",""),"時",")"),  ""  )  )           ))</f>
        <v/>
      </c>
      <c r="AE365" s="66" t="str">
        <f t="shared" ref="AE365:AE397" si="256">IF(    AND( AE4="榮",  LEN(AE364)&gt;=2 ),        "" &amp; $A365,    IF(         AND( AE4="榮" ),       $A365,        IF(  OR(  LEN(AE364)&gt;=2  ),  CONCATENATE(  ".",  IF(  AND(  LEN(  INDEX(   $A$1:$AJ$39, MATCH($A365,$A$1:$A$39,0),MATCH(  AE$362,$A$1:$AP$1,0  )  )  )&gt;LEN(  SUBSTITUTE(  INDEX(   $A$1:$AJ$39, MATCH($A365,$A$1:$A$39,0),MATCH(  AE$362,$A$1:$AP$1,0  )  ),"榮","")  ),  LEN(  INDEX(   $A$1:$AJ$39, MATCH($A365,$A$1:$A$39,0),MATCH(  AE$362,$A$1:$AP$1,0  )  )  )&gt;LEN(  SUBSTITUTE(  INDEX(   $A$1:$AJ$39, MATCH($A365,$A$1:$A$39,0),MATCH(  AE$362,$A$1:$AP$1,0  )  ),"-","")  )  ),  CONCATENATE(  $A365,"(",   SUBSTITUTE(   SUBSTITUTE(  SUBSTITUTE(  INDEX(   $A$1:$AJ$39, MATCH($A365,$A$1:$A$39,0),MATCH(  AE$362,$A$362:$AP$362,0  )  ),"榮",""),"x","")," ",""),"時",")"),  ""  )  ),  IF(  AND(  LEN(  INDEX(   $A$1:$AJ$39, MATCH($A365,$A$1:$A$39,0),MATCH(  AE$362,$A$1:$AP$1,0  )  )  )&gt;LEN(  SUBSTITUTE(  INDEX(   $A$1:$AJ$39, MATCH($A365,$A$1:$A$39,0),MATCH(  AE$362,$A$1:$AP$1,0  )  ),"榮","")  ),  LEN(  INDEX(   $A$1:$AJ$39, MATCH($A365,$A$1:$A$39,0),MATCH(  AE$362,$A$1:$AP$1,0  )  )  )&gt;LEN(  SUBSTITUTE(  INDEX(   $A$1:$AJ$39, MATCH($A365,$A$1:$A$39,0),MATCH(  AE$362,$A$1:$AP$1,0  )  ),"-","")  )  ),  CONCATENATE(  $A365,"(",   SUBSTITUTE(   SUBSTITUTE(  SUBSTITUTE(  INDEX(   $A$1:$AJ$39, MATCH($A365,$A$1:$A$39,0),MATCH(  AE$362,$A$362:$AP$362,0  )  ),"榮",""),"x","")," ",""),"時",")"),  ""  )  )           ))</f>
        <v/>
      </c>
      <c r="AF365" s="66" t="str">
        <f t="shared" ref="AF365:AF397" si="257">IF(    AND( AF4="榮",  LEN(AF364)&gt;=2 ),        "" &amp; $A365,    IF(         AND( AF4="榮" ),       $A365,        IF(  OR(  LEN(AF364)&gt;=2  ),  CONCATENATE(  ".",  IF(  AND(  LEN(  INDEX(   $A$1:$AJ$39, MATCH($A365,$A$1:$A$39,0),MATCH(  AF$362,$A$1:$AP$1,0  )  )  )&gt;LEN(  SUBSTITUTE(  INDEX(   $A$1:$AJ$39, MATCH($A365,$A$1:$A$39,0),MATCH(  AF$362,$A$1:$AP$1,0  )  ),"榮","")  ),  LEN(  INDEX(   $A$1:$AJ$39, MATCH($A365,$A$1:$A$39,0),MATCH(  AF$362,$A$1:$AP$1,0  )  )  )&gt;LEN(  SUBSTITUTE(  INDEX(   $A$1:$AJ$39, MATCH($A365,$A$1:$A$39,0),MATCH(  AF$362,$A$1:$AP$1,0  )  ),"-","")  )  ),  CONCATENATE(  $A365,"(",   SUBSTITUTE(   SUBSTITUTE(  SUBSTITUTE(  INDEX(   $A$1:$AJ$39, MATCH($A365,$A$1:$A$39,0),MATCH(  AF$362,$A$362:$AP$362,0  )  ),"榮",""),"x","")," ",""),"時",")"),  ""  )  ),  IF(  AND(  LEN(  INDEX(   $A$1:$AJ$39, MATCH($A365,$A$1:$A$39,0),MATCH(  AF$362,$A$1:$AP$1,0  )  )  )&gt;LEN(  SUBSTITUTE(  INDEX(   $A$1:$AJ$39, MATCH($A365,$A$1:$A$39,0),MATCH(  AF$362,$A$1:$AP$1,0  )  ),"榮","")  ),  LEN(  INDEX(   $A$1:$AJ$39, MATCH($A365,$A$1:$A$39,0),MATCH(  AF$362,$A$1:$AP$1,0  )  )  )&gt;LEN(  SUBSTITUTE(  INDEX(   $A$1:$AJ$39, MATCH($A365,$A$1:$A$39,0),MATCH(  AF$362,$A$1:$AP$1,0  )  ),"-","")  )  ),  CONCATENATE(  $A365,"(",   SUBSTITUTE(   SUBSTITUTE(  SUBSTITUTE(  INDEX(   $A$1:$AJ$39, MATCH($A365,$A$1:$A$39,0),MATCH(  AF$362,$A$362:$AP$362,0  )  ),"榮",""),"x","")," ",""),"時",")"),  ""  )  )           ))</f>
        <v/>
      </c>
      <c r="AG365" s="66" t="str">
        <f t="shared" ref="AG365:AG397" si="258">IF(    AND( AG4="榮",  LEN(AG364)&gt;=2 ),        "" &amp; $A365,    IF(         AND( AG4="榮" ),       $A365,        IF(  OR(  LEN(AG364)&gt;=2  ),  CONCATENATE(  ".",  IF(  AND(  LEN(  INDEX(   $A$1:$AJ$39, MATCH($A365,$A$1:$A$39,0),MATCH(  AG$362,$A$1:$AP$1,0  )  )  )&gt;LEN(  SUBSTITUTE(  INDEX(   $A$1:$AJ$39, MATCH($A365,$A$1:$A$39,0),MATCH(  AG$362,$A$1:$AP$1,0  )  ),"榮","")  ),  LEN(  INDEX(   $A$1:$AJ$39, MATCH($A365,$A$1:$A$39,0),MATCH(  AG$362,$A$1:$AP$1,0  )  )  )&gt;LEN(  SUBSTITUTE(  INDEX(   $A$1:$AJ$39, MATCH($A365,$A$1:$A$39,0),MATCH(  AG$362,$A$1:$AP$1,0  )  ),"-","")  )  ),  CONCATENATE(  $A365,"(",   SUBSTITUTE(   SUBSTITUTE(  SUBSTITUTE(  INDEX(   $A$1:$AJ$39, MATCH($A365,$A$1:$A$39,0),MATCH(  AG$362,$A$362:$AP$362,0  )  ),"榮",""),"x","")," ",""),"時",")"),  ""  )  ),  IF(  AND(  LEN(  INDEX(   $A$1:$AJ$39, MATCH($A365,$A$1:$A$39,0),MATCH(  AG$362,$A$1:$AP$1,0  )  )  )&gt;LEN(  SUBSTITUTE(  INDEX(   $A$1:$AJ$39, MATCH($A365,$A$1:$A$39,0),MATCH(  AG$362,$A$1:$AP$1,0  )  ),"榮","")  ),  LEN(  INDEX(   $A$1:$AJ$39, MATCH($A365,$A$1:$A$39,0),MATCH(  AG$362,$A$1:$AP$1,0  )  )  )&gt;LEN(  SUBSTITUTE(  INDEX(   $A$1:$AJ$39, MATCH($A365,$A$1:$A$39,0),MATCH(  AG$362,$A$1:$AP$1,0  )  ),"-","")  )  ),  CONCATENATE(  $A365,"(",   SUBSTITUTE(   SUBSTITUTE(  SUBSTITUTE(  INDEX(   $A$1:$AJ$39, MATCH($A365,$A$1:$A$39,0),MATCH(  AG$362,$A$362:$AP$362,0  )  ),"榮",""),"x","")," ",""),"時",")"),  ""  )  )           ))</f>
        <v/>
      </c>
      <c r="AH365" s="66" t="str">
        <f t="shared" ref="AH365:AH397" si="259">IF(    AND( AH4="榮",  LEN(AH364)&gt;=2 ),        "" &amp; $A365,    IF(         AND( AH4="榮" ),       $A365,        IF(  OR(  LEN(AH364)&gt;=2  ),  CONCATENATE(  ".",  IF(  AND(  LEN(  INDEX(   $A$1:$AJ$39, MATCH($A365,$A$1:$A$39,0),MATCH(  AH$362,$A$1:$AP$1,0  )  )  )&gt;LEN(  SUBSTITUTE(  INDEX(   $A$1:$AJ$39, MATCH($A365,$A$1:$A$39,0),MATCH(  AH$362,$A$1:$AP$1,0  )  ),"榮","")  ),  LEN(  INDEX(   $A$1:$AJ$39, MATCH($A365,$A$1:$A$39,0),MATCH(  AH$362,$A$1:$AP$1,0  )  )  )&gt;LEN(  SUBSTITUTE(  INDEX(   $A$1:$AJ$39, MATCH($A365,$A$1:$A$39,0),MATCH(  AH$362,$A$1:$AP$1,0  )  ),"-","")  )  ),  CONCATENATE(  $A365,"(",   SUBSTITUTE(   SUBSTITUTE(  SUBSTITUTE(  INDEX(   $A$1:$AJ$39, MATCH($A365,$A$1:$A$39,0),MATCH(  AH$362,$A$362:$AP$362,0  )  ),"榮",""),"x","")," ",""),"時",")"),  ""  )  ),  IF(  AND(  LEN(  INDEX(   $A$1:$AJ$39, MATCH($A365,$A$1:$A$39,0),MATCH(  AH$362,$A$1:$AP$1,0  )  )  )&gt;LEN(  SUBSTITUTE(  INDEX(   $A$1:$AJ$39, MATCH($A365,$A$1:$A$39,0),MATCH(  AH$362,$A$1:$AP$1,0  )  ),"榮","")  ),  LEN(  INDEX(   $A$1:$AJ$39, MATCH($A365,$A$1:$A$39,0),MATCH(  AH$362,$A$1:$AP$1,0  )  )  )&gt;LEN(  SUBSTITUTE(  INDEX(   $A$1:$AJ$39, MATCH($A365,$A$1:$A$39,0),MATCH(  AH$362,$A$1:$AP$1,0  )  ),"-","")  )  ),  CONCATENATE(  $A365,"(",   SUBSTITUTE(   SUBSTITUTE(  SUBSTITUTE(  INDEX(   $A$1:$AJ$39, MATCH($A365,$A$1:$A$39,0),MATCH(  AH$362,$A$362:$AP$362,0  )  ),"榮",""),"x","")," ",""),"時",")"),  ""  )  )           ))</f>
        <v/>
      </c>
      <c r="AI365" s="66" t="str">
        <f t="shared" ref="AI365:AI397" si="260">IF(    AND( AI4="榮",  LEN(AI364)&gt;=2 ),        "" &amp; $A365,    IF(         AND( AI4="榮" ),       $A365,        IF(  OR(  LEN(AI364)&gt;=2  ),  CONCATENATE(  ".",  IF(  AND(  LEN(  INDEX(   $A$1:$AJ$39, MATCH($A365,$A$1:$A$39,0),MATCH(  AI$362,$A$1:$AP$1,0  )  )  )&gt;LEN(  SUBSTITUTE(  INDEX(   $A$1:$AJ$39, MATCH($A365,$A$1:$A$39,0),MATCH(  AI$362,$A$1:$AP$1,0  )  ),"榮","")  ),  LEN(  INDEX(   $A$1:$AJ$39, MATCH($A365,$A$1:$A$39,0),MATCH(  AI$362,$A$1:$AP$1,0  )  )  )&gt;LEN(  SUBSTITUTE(  INDEX(   $A$1:$AJ$39, MATCH($A365,$A$1:$A$39,0),MATCH(  AI$362,$A$1:$AP$1,0  )  ),"-","")  )  ),  CONCATENATE(  $A365,"(",   SUBSTITUTE(   SUBSTITUTE(  SUBSTITUTE(  INDEX(   $A$1:$AJ$39, MATCH($A365,$A$1:$A$39,0),MATCH(  AI$362,$A$362:$AP$362,0  )  ),"榮",""),"x","")," ",""),"時",")"),  ""  )  ),  IF(  AND(  LEN(  INDEX(   $A$1:$AJ$39, MATCH($A365,$A$1:$A$39,0),MATCH(  AI$362,$A$1:$AP$1,0  )  )  )&gt;LEN(  SUBSTITUTE(  INDEX(   $A$1:$AJ$39, MATCH($A365,$A$1:$A$39,0),MATCH(  AI$362,$A$1:$AP$1,0  )  ),"榮","")  ),  LEN(  INDEX(   $A$1:$AJ$39, MATCH($A365,$A$1:$A$39,0),MATCH(  AI$362,$A$1:$AP$1,0  )  )  )&gt;LEN(  SUBSTITUTE(  INDEX(   $A$1:$AJ$39, MATCH($A365,$A$1:$A$39,0),MATCH(  AI$362,$A$1:$AP$1,0  )  ),"-","")  )  ),  CONCATENATE(  $A365,"(",   SUBSTITUTE(   SUBSTITUTE(  SUBSTITUTE(  INDEX(   $A$1:$AJ$39, MATCH($A365,$A$1:$A$39,0),MATCH(  AI$362,$A$362:$AP$362,0  )  ),"榮",""),"x","")," ",""),"時",")"),  ""  )  )           ))</f>
        <v/>
      </c>
      <c r="AJ365" s="66" t="str">
        <f t="shared" ref="AJ365:AJ397" si="261">IF(    AND( AJ4="榮",  LEN(AJ364)&gt;=2 ),        "" &amp; $A365,    IF(         AND( AJ4="榮" ),       $A365,        IF(  OR(  LEN(AJ364)&gt;=2  ),  CONCATENATE(  ".",  IF(  AND(  LEN(  INDEX(   $A$1:$AJ$39, MATCH($A365,$A$1:$A$39,0),MATCH(  AJ$362,$A$1:$AP$1,0  )  )  )&gt;LEN(  SUBSTITUTE(  INDEX(   $A$1:$AJ$39, MATCH($A365,$A$1:$A$39,0),MATCH(  AJ$362,$A$1:$AP$1,0  )  ),"榮","")  ),  LEN(  INDEX(   $A$1:$AJ$39, MATCH($A365,$A$1:$A$39,0),MATCH(  AJ$362,$A$1:$AP$1,0  )  )  )&gt;LEN(  SUBSTITUTE(  INDEX(   $A$1:$AJ$39, MATCH($A365,$A$1:$A$39,0),MATCH(  AJ$362,$A$1:$AP$1,0  )  ),"-","")  )  ),  CONCATENATE(  $A365,"(",   SUBSTITUTE(   SUBSTITUTE(  SUBSTITUTE(  INDEX(   $A$1:$AJ$39, MATCH($A365,$A$1:$A$39,0),MATCH(  AJ$362,$A$362:$AP$362,0  )  ),"榮",""),"x","")," ",""),"時",")"),  ""  )  ),  IF(  AND(  LEN(  INDEX(   $A$1:$AJ$39, MATCH($A365,$A$1:$A$39,0),MATCH(  AJ$362,$A$1:$AP$1,0  )  )  )&gt;LEN(  SUBSTITUTE(  INDEX(   $A$1:$AJ$39, MATCH($A365,$A$1:$A$39,0),MATCH(  AJ$362,$A$1:$AP$1,0  )  ),"榮","")  ),  LEN(  INDEX(   $A$1:$AJ$39, MATCH($A365,$A$1:$A$39,0),MATCH(  AJ$362,$A$1:$AP$1,0  )  )  )&gt;LEN(  SUBSTITUTE(  INDEX(   $A$1:$AJ$39, MATCH($A365,$A$1:$A$39,0),MATCH(  AJ$362,$A$1:$AP$1,0  )  ),"-","")  )  ),  CONCATENATE(  $A365,"(",   SUBSTITUTE(   SUBSTITUTE(  SUBSTITUTE(  INDEX(   $A$1:$AJ$39, MATCH($A365,$A$1:$A$39,0),MATCH(  AJ$362,$A$362:$AP$362,0  )  ),"榮",""),"x","")," ",""),"時",")"),  ""  )  )           ))</f>
        <v/>
      </c>
    </row>
    <row r="366" spans="1:55">
      <c r="A366" s="66">
        <f t="shared" si="225"/>
        <v>4</v>
      </c>
      <c r="B366" s="66" t="str">
        <f t="shared" si="225"/>
        <v>鄭凱文</v>
      </c>
      <c r="C366" s="66" t="str">
        <f t="shared" si="227"/>
        <v/>
      </c>
      <c r="D366" s="66" t="str">
        <f t="shared" si="229"/>
        <v/>
      </c>
      <c r="E366" s="66" t="str">
        <f t="shared" si="230"/>
        <v/>
      </c>
      <c r="F366" s="66" t="str">
        <f t="shared" si="231"/>
        <v/>
      </c>
      <c r="G366" s="66" t="str">
        <f t="shared" si="232"/>
        <v/>
      </c>
      <c r="H366" s="66" t="str">
        <f t="shared" si="233"/>
        <v/>
      </c>
      <c r="I366" s="66" t="str">
        <f t="shared" si="234"/>
        <v/>
      </c>
      <c r="J366" s="66" t="str">
        <f t="shared" si="235"/>
        <v/>
      </c>
      <c r="K366" s="66" t="str">
        <f t="shared" si="236"/>
        <v/>
      </c>
      <c r="L366" s="66" t="str">
        <f t="shared" si="237"/>
        <v/>
      </c>
      <c r="M366" s="66" t="str">
        <f t="shared" si="238"/>
        <v/>
      </c>
      <c r="N366" s="66" t="str">
        <f t="shared" si="239"/>
        <v/>
      </c>
      <c r="O366" s="66" t="str">
        <f t="shared" si="240"/>
        <v/>
      </c>
      <c r="P366" s="66" t="str">
        <f t="shared" si="241"/>
        <v/>
      </c>
      <c r="Q366" s="66" t="str">
        <f t="shared" si="242"/>
        <v/>
      </c>
      <c r="R366" s="66" t="str">
        <f t="shared" si="243"/>
        <v/>
      </c>
      <c r="S366" s="66" t="str">
        <f t="shared" si="244"/>
        <v/>
      </c>
      <c r="T366" s="66" t="str">
        <f t="shared" si="245"/>
        <v/>
      </c>
      <c r="U366" s="66" t="str">
        <f t="shared" si="246"/>
        <v/>
      </c>
      <c r="V366" s="66" t="str">
        <f t="shared" si="247"/>
        <v/>
      </c>
      <c r="W366" s="66" t="str">
        <f t="shared" si="248"/>
        <v/>
      </c>
      <c r="X366" s="66" t="str">
        <f t="shared" si="249"/>
        <v/>
      </c>
      <c r="Y366" s="66" t="str">
        <f t="shared" si="250"/>
        <v/>
      </c>
      <c r="Z366" s="66" t="str">
        <f t="shared" si="251"/>
        <v/>
      </c>
      <c r="AA366" s="66" t="str">
        <f t="shared" si="252"/>
        <v/>
      </c>
      <c r="AB366" s="66" t="str">
        <f t="shared" si="253"/>
        <v/>
      </c>
      <c r="AC366" s="66" t="str">
        <f t="shared" si="254"/>
        <v/>
      </c>
      <c r="AD366" s="66" t="str">
        <f t="shared" si="255"/>
        <v/>
      </c>
      <c r="AE366" s="66" t="str">
        <f t="shared" si="256"/>
        <v/>
      </c>
      <c r="AF366" s="66" t="str">
        <f t="shared" si="257"/>
        <v/>
      </c>
      <c r="AG366" s="66" t="str">
        <f t="shared" si="258"/>
        <v/>
      </c>
      <c r="AH366" s="66" t="str">
        <f t="shared" si="259"/>
        <v/>
      </c>
      <c r="AI366" s="66" t="str">
        <f t="shared" si="260"/>
        <v/>
      </c>
      <c r="AJ366" s="66" t="str">
        <f t="shared" si="261"/>
        <v/>
      </c>
    </row>
    <row r="367" spans="1:55">
      <c r="A367" s="66">
        <f t="shared" si="225"/>
        <v>5</v>
      </c>
      <c r="B367" s="66" t="str">
        <f t="shared" si="225"/>
        <v>蔡政倫</v>
      </c>
      <c r="C367" s="66" t="str">
        <f t="shared" si="227"/>
        <v/>
      </c>
      <c r="D367" s="66" t="str">
        <f t="shared" si="229"/>
        <v/>
      </c>
      <c r="E367" s="66" t="str">
        <f t="shared" si="230"/>
        <v/>
      </c>
      <c r="F367" s="66" t="str">
        <f t="shared" si="231"/>
        <v/>
      </c>
      <c r="G367" s="66" t="str">
        <f t="shared" si="232"/>
        <v/>
      </c>
      <c r="H367" s="66" t="str">
        <f t="shared" si="233"/>
        <v/>
      </c>
      <c r="I367" s="66" t="str">
        <f t="shared" si="234"/>
        <v/>
      </c>
      <c r="J367" s="66" t="str">
        <f t="shared" si="235"/>
        <v/>
      </c>
      <c r="K367" s="66" t="str">
        <f t="shared" si="236"/>
        <v/>
      </c>
      <c r="L367" s="66" t="str">
        <f t="shared" si="237"/>
        <v/>
      </c>
      <c r="M367" s="66" t="str">
        <f t="shared" si="238"/>
        <v/>
      </c>
      <c r="N367" s="66" t="str">
        <f t="shared" si="239"/>
        <v/>
      </c>
      <c r="O367" s="66" t="str">
        <f t="shared" si="240"/>
        <v/>
      </c>
      <c r="P367" s="66" t="str">
        <f t="shared" si="241"/>
        <v/>
      </c>
      <c r="Q367" s="66" t="str">
        <f t="shared" si="242"/>
        <v/>
      </c>
      <c r="R367" s="66" t="str">
        <f t="shared" si="243"/>
        <v/>
      </c>
      <c r="S367" s="66" t="str">
        <f t="shared" si="244"/>
        <v/>
      </c>
      <c r="T367" s="66" t="str">
        <f t="shared" si="245"/>
        <v/>
      </c>
      <c r="U367" s="66" t="str">
        <f t="shared" si="246"/>
        <v/>
      </c>
      <c r="V367" s="66" t="str">
        <f t="shared" si="247"/>
        <v/>
      </c>
      <c r="W367" s="66" t="str">
        <f t="shared" si="248"/>
        <v/>
      </c>
      <c r="X367" s="66" t="str">
        <f t="shared" si="249"/>
        <v/>
      </c>
      <c r="Y367" s="66" t="str">
        <f t="shared" si="250"/>
        <v/>
      </c>
      <c r="Z367" s="66" t="str">
        <f t="shared" si="251"/>
        <v/>
      </c>
      <c r="AA367" s="66" t="str">
        <f t="shared" si="252"/>
        <v/>
      </c>
      <c r="AB367" s="66" t="str">
        <f t="shared" si="253"/>
        <v/>
      </c>
      <c r="AC367" s="66" t="str">
        <f t="shared" si="254"/>
        <v/>
      </c>
      <c r="AD367" s="66" t="str">
        <f t="shared" si="255"/>
        <v/>
      </c>
      <c r="AE367" s="66" t="str">
        <f t="shared" si="256"/>
        <v/>
      </c>
      <c r="AF367" s="66" t="str">
        <f t="shared" si="257"/>
        <v/>
      </c>
      <c r="AG367" s="66" t="str">
        <f t="shared" si="258"/>
        <v/>
      </c>
      <c r="AH367" s="66" t="str">
        <f t="shared" si="259"/>
        <v/>
      </c>
      <c r="AI367" s="66" t="str">
        <f t="shared" si="260"/>
        <v/>
      </c>
      <c r="AJ367" s="66" t="str">
        <f t="shared" si="261"/>
        <v/>
      </c>
    </row>
    <row r="368" spans="1:55">
      <c r="A368" s="66">
        <f t="shared" si="225"/>
        <v>6</v>
      </c>
      <c r="B368" s="66" t="str">
        <f t="shared" si="225"/>
        <v>邱昱銘</v>
      </c>
      <c r="C368" s="66" t="str">
        <f t="shared" si="227"/>
        <v/>
      </c>
      <c r="D368" s="66" t="str">
        <f t="shared" si="229"/>
        <v/>
      </c>
      <c r="E368" s="66" t="str">
        <f t="shared" si="230"/>
        <v/>
      </c>
      <c r="F368" s="66" t="str">
        <f t="shared" si="231"/>
        <v/>
      </c>
      <c r="G368" s="66" t="str">
        <f t="shared" si="232"/>
        <v/>
      </c>
      <c r="H368" s="66" t="str">
        <f t="shared" si="233"/>
        <v/>
      </c>
      <c r="I368" s="66" t="str">
        <f t="shared" si="234"/>
        <v/>
      </c>
      <c r="J368" s="66" t="str">
        <f t="shared" si="235"/>
        <v/>
      </c>
      <c r="K368" s="66" t="str">
        <f t="shared" si="236"/>
        <v/>
      </c>
      <c r="L368" s="66" t="str">
        <f t="shared" si="237"/>
        <v/>
      </c>
      <c r="M368" s="66" t="str">
        <f t="shared" si="238"/>
        <v/>
      </c>
      <c r="N368" s="66" t="str">
        <f t="shared" si="239"/>
        <v/>
      </c>
      <c r="O368" s="66" t="str">
        <f t="shared" si="240"/>
        <v/>
      </c>
      <c r="P368" s="66" t="str">
        <f t="shared" si="241"/>
        <v/>
      </c>
      <c r="Q368" s="66" t="str">
        <f t="shared" si="242"/>
        <v/>
      </c>
      <c r="R368" s="66" t="str">
        <f t="shared" si="243"/>
        <v/>
      </c>
      <c r="S368" s="66" t="str">
        <f t="shared" si="244"/>
        <v/>
      </c>
      <c r="T368" s="66" t="str">
        <f t="shared" si="245"/>
        <v/>
      </c>
      <c r="U368" s="66" t="str">
        <f t="shared" si="246"/>
        <v/>
      </c>
      <c r="V368" s="66" t="str">
        <f t="shared" si="247"/>
        <v/>
      </c>
      <c r="W368" s="66" t="str">
        <f t="shared" si="248"/>
        <v/>
      </c>
      <c r="X368" s="66" t="str">
        <f t="shared" si="249"/>
        <v/>
      </c>
      <c r="Y368" s="66" t="str">
        <f t="shared" si="250"/>
        <v/>
      </c>
      <c r="Z368" s="66" t="str">
        <f t="shared" si="251"/>
        <v/>
      </c>
      <c r="AA368" s="66" t="str">
        <f t="shared" si="252"/>
        <v/>
      </c>
      <c r="AB368" s="66" t="str">
        <f t="shared" si="253"/>
        <v/>
      </c>
      <c r="AC368" s="66" t="str">
        <f t="shared" si="254"/>
        <v/>
      </c>
      <c r="AD368" s="66" t="str">
        <f t="shared" si="255"/>
        <v/>
      </c>
      <c r="AE368" s="66" t="str">
        <f t="shared" si="256"/>
        <v/>
      </c>
      <c r="AF368" s="66" t="str">
        <f t="shared" si="257"/>
        <v/>
      </c>
      <c r="AG368" s="66" t="str">
        <f t="shared" si="258"/>
        <v/>
      </c>
      <c r="AH368" s="66" t="str">
        <f t="shared" si="259"/>
        <v/>
      </c>
      <c r="AI368" s="66" t="str">
        <f t="shared" si="260"/>
        <v/>
      </c>
      <c r="AJ368" s="66" t="str">
        <f t="shared" si="261"/>
        <v/>
      </c>
    </row>
    <row r="369" spans="1:36">
      <c r="A369" s="66">
        <f t="shared" si="225"/>
        <v>7</v>
      </c>
      <c r="B369" s="66" t="str">
        <f t="shared" si="225"/>
        <v>洪長昇</v>
      </c>
      <c r="C369" s="66" t="str">
        <f t="shared" si="227"/>
        <v/>
      </c>
      <c r="D369" s="66" t="str">
        <f t="shared" si="229"/>
        <v/>
      </c>
      <c r="E369" s="66" t="str">
        <f t="shared" si="230"/>
        <v/>
      </c>
      <c r="F369" s="66" t="str">
        <f t="shared" si="231"/>
        <v/>
      </c>
      <c r="G369" s="66" t="str">
        <f t="shared" si="232"/>
        <v/>
      </c>
      <c r="H369" s="66" t="str">
        <f t="shared" si="233"/>
        <v/>
      </c>
      <c r="I369" s="66" t="str">
        <f t="shared" si="234"/>
        <v/>
      </c>
      <c r="J369" s="66" t="str">
        <f t="shared" si="235"/>
        <v/>
      </c>
      <c r="K369" s="66" t="str">
        <f t="shared" si="236"/>
        <v/>
      </c>
      <c r="L369" s="66" t="str">
        <f t="shared" si="237"/>
        <v/>
      </c>
      <c r="M369" s="66" t="str">
        <f t="shared" si="238"/>
        <v/>
      </c>
      <c r="N369" s="66" t="str">
        <f t="shared" si="239"/>
        <v/>
      </c>
      <c r="O369" s="66" t="str">
        <f t="shared" si="240"/>
        <v/>
      </c>
      <c r="P369" s="66" t="str">
        <f t="shared" si="241"/>
        <v/>
      </c>
      <c r="Q369" s="66" t="str">
        <f t="shared" si="242"/>
        <v/>
      </c>
      <c r="R369" s="66" t="str">
        <f t="shared" si="243"/>
        <v/>
      </c>
      <c r="S369" s="66" t="str">
        <f t="shared" si="244"/>
        <v/>
      </c>
      <c r="T369" s="66" t="str">
        <f t="shared" si="245"/>
        <v/>
      </c>
      <c r="U369" s="66" t="str">
        <f t="shared" si="246"/>
        <v/>
      </c>
      <c r="V369" s="66" t="str">
        <f t="shared" si="247"/>
        <v/>
      </c>
      <c r="W369" s="66" t="str">
        <f t="shared" si="248"/>
        <v/>
      </c>
      <c r="X369" s="66" t="str">
        <f t="shared" si="249"/>
        <v/>
      </c>
      <c r="Y369" s="66" t="str">
        <f t="shared" si="250"/>
        <v/>
      </c>
      <c r="Z369" s="66" t="str">
        <f t="shared" si="251"/>
        <v/>
      </c>
      <c r="AA369" s="66" t="str">
        <f t="shared" si="252"/>
        <v/>
      </c>
      <c r="AB369" s="66" t="str">
        <f t="shared" si="253"/>
        <v/>
      </c>
      <c r="AC369" s="66" t="str">
        <f t="shared" si="254"/>
        <v/>
      </c>
      <c r="AD369" s="66" t="str">
        <f t="shared" si="255"/>
        <v/>
      </c>
      <c r="AE369" s="66" t="str">
        <f t="shared" si="256"/>
        <v/>
      </c>
      <c r="AF369" s="66" t="str">
        <f t="shared" si="257"/>
        <v/>
      </c>
      <c r="AG369" s="66" t="str">
        <f t="shared" si="258"/>
        <v/>
      </c>
      <c r="AH369" s="66" t="str">
        <f t="shared" si="259"/>
        <v/>
      </c>
      <c r="AI369" s="66" t="str">
        <f t="shared" si="260"/>
        <v/>
      </c>
      <c r="AJ369" s="66" t="str">
        <f t="shared" si="261"/>
        <v/>
      </c>
    </row>
    <row r="370" spans="1:36">
      <c r="A370" s="66">
        <f t="shared" si="225"/>
        <v>8</v>
      </c>
      <c r="B370" s="66" t="str">
        <f t="shared" si="225"/>
        <v>許翊呈</v>
      </c>
      <c r="C370" s="66" t="str">
        <f t="shared" si="227"/>
        <v/>
      </c>
      <c r="D370" s="66" t="str">
        <f t="shared" si="229"/>
        <v/>
      </c>
      <c r="E370" s="66" t="str">
        <f t="shared" si="230"/>
        <v/>
      </c>
      <c r="F370" s="66" t="str">
        <f t="shared" si="231"/>
        <v/>
      </c>
      <c r="G370" s="66" t="str">
        <f t="shared" si="232"/>
        <v/>
      </c>
      <c r="H370" s="66" t="str">
        <f t="shared" si="233"/>
        <v/>
      </c>
      <c r="I370" s="66" t="str">
        <f t="shared" si="234"/>
        <v/>
      </c>
      <c r="J370" s="66" t="str">
        <f t="shared" si="235"/>
        <v/>
      </c>
      <c r="K370" s="66" t="str">
        <f t="shared" si="236"/>
        <v/>
      </c>
      <c r="L370" s="66" t="str">
        <f t="shared" si="237"/>
        <v/>
      </c>
      <c r="M370" s="66" t="str">
        <f t="shared" si="238"/>
        <v/>
      </c>
      <c r="N370" s="66" t="str">
        <f t="shared" si="239"/>
        <v/>
      </c>
      <c r="O370" s="66" t="str">
        <f t="shared" si="240"/>
        <v/>
      </c>
      <c r="P370" s="66" t="str">
        <f t="shared" si="241"/>
        <v/>
      </c>
      <c r="Q370" s="66" t="str">
        <f t="shared" si="242"/>
        <v/>
      </c>
      <c r="R370" s="66" t="str">
        <f t="shared" si="243"/>
        <v/>
      </c>
      <c r="S370" s="66" t="str">
        <f t="shared" si="244"/>
        <v/>
      </c>
      <c r="T370" s="66" t="str">
        <f t="shared" si="245"/>
        <v/>
      </c>
      <c r="U370" s="66" t="str">
        <f t="shared" si="246"/>
        <v/>
      </c>
      <c r="V370" s="66" t="str">
        <f t="shared" si="247"/>
        <v/>
      </c>
      <c r="W370" s="66" t="str">
        <f t="shared" si="248"/>
        <v/>
      </c>
      <c r="X370" s="66" t="str">
        <f t="shared" si="249"/>
        <v/>
      </c>
      <c r="Y370" s="66" t="str">
        <f t="shared" si="250"/>
        <v/>
      </c>
      <c r="Z370" s="66" t="str">
        <f t="shared" si="251"/>
        <v/>
      </c>
      <c r="AA370" s="66" t="str">
        <f t="shared" si="252"/>
        <v/>
      </c>
      <c r="AB370" s="66" t="str">
        <f t="shared" si="253"/>
        <v/>
      </c>
      <c r="AC370" s="66" t="str">
        <f t="shared" si="254"/>
        <v/>
      </c>
      <c r="AD370" s="66" t="str">
        <f t="shared" si="255"/>
        <v/>
      </c>
      <c r="AE370" s="66" t="str">
        <f t="shared" si="256"/>
        <v/>
      </c>
      <c r="AF370" s="66" t="str">
        <f t="shared" si="257"/>
        <v/>
      </c>
      <c r="AG370" s="66" t="str">
        <f t="shared" si="258"/>
        <v/>
      </c>
      <c r="AH370" s="66" t="str">
        <f t="shared" si="259"/>
        <v/>
      </c>
      <c r="AI370" s="66" t="str">
        <f t="shared" si="260"/>
        <v/>
      </c>
      <c r="AJ370" s="66" t="str">
        <f t="shared" si="261"/>
        <v/>
      </c>
    </row>
    <row r="371" spans="1:36">
      <c r="A371" s="66">
        <f t="shared" si="225"/>
        <v>9</v>
      </c>
      <c r="B371" s="66" t="str">
        <f t="shared" si="225"/>
        <v>李政聰</v>
      </c>
      <c r="C371" s="66" t="str">
        <f t="shared" si="227"/>
        <v/>
      </c>
      <c r="D371" s="66" t="str">
        <f t="shared" si="229"/>
        <v/>
      </c>
      <c r="E371" s="66" t="str">
        <f t="shared" si="230"/>
        <v/>
      </c>
      <c r="F371" s="66" t="str">
        <f t="shared" si="231"/>
        <v/>
      </c>
      <c r="G371" s="66" t="str">
        <f t="shared" si="232"/>
        <v/>
      </c>
      <c r="H371" s="66" t="str">
        <f t="shared" si="233"/>
        <v/>
      </c>
      <c r="I371" s="66" t="str">
        <f t="shared" si="234"/>
        <v/>
      </c>
      <c r="J371" s="66" t="str">
        <f t="shared" si="235"/>
        <v/>
      </c>
      <c r="K371" s="66" t="str">
        <f t="shared" si="236"/>
        <v/>
      </c>
      <c r="L371" s="66" t="str">
        <f t="shared" si="237"/>
        <v/>
      </c>
      <c r="M371" s="66" t="str">
        <f t="shared" si="238"/>
        <v/>
      </c>
      <c r="N371" s="66" t="str">
        <f t="shared" si="239"/>
        <v/>
      </c>
      <c r="O371" s="66" t="str">
        <f t="shared" si="240"/>
        <v/>
      </c>
      <c r="P371" s="66" t="str">
        <f t="shared" si="241"/>
        <v/>
      </c>
      <c r="Q371" s="66" t="str">
        <f t="shared" si="242"/>
        <v/>
      </c>
      <c r="R371" s="66" t="str">
        <f t="shared" si="243"/>
        <v/>
      </c>
      <c r="S371" s="66" t="str">
        <f t="shared" si="244"/>
        <v/>
      </c>
      <c r="T371" s="66" t="str">
        <f t="shared" si="245"/>
        <v/>
      </c>
      <c r="U371" s="66" t="str">
        <f t="shared" si="246"/>
        <v/>
      </c>
      <c r="V371" s="66" t="str">
        <f t="shared" si="247"/>
        <v/>
      </c>
      <c r="W371" s="66" t="str">
        <f t="shared" si="248"/>
        <v/>
      </c>
      <c r="X371" s="66" t="str">
        <f t="shared" si="249"/>
        <v/>
      </c>
      <c r="Y371" s="66" t="str">
        <f t="shared" si="250"/>
        <v/>
      </c>
      <c r="Z371" s="66" t="str">
        <f t="shared" si="251"/>
        <v/>
      </c>
      <c r="AA371" s="66" t="str">
        <f t="shared" si="252"/>
        <v/>
      </c>
      <c r="AB371" s="66" t="str">
        <f t="shared" si="253"/>
        <v/>
      </c>
      <c r="AC371" s="66" t="str">
        <f t="shared" si="254"/>
        <v/>
      </c>
      <c r="AD371" s="66" t="str">
        <f t="shared" si="255"/>
        <v/>
      </c>
      <c r="AE371" s="66" t="str">
        <f t="shared" si="256"/>
        <v/>
      </c>
      <c r="AF371" s="66" t="str">
        <f t="shared" si="257"/>
        <v/>
      </c>
      <c r="AG371" s="66" t="str">
        <f t="shared" si="258"/>
        <v/>
      </c>
      <c r="AH371" s="66" t="str">
        <f t="shared" si="259"/>
        <v/>
      </c>
      <c r="AI371" s="66" t="str">
        <f t="shared" si="260"/>
        <v/>
      </c>
      <c r="AJ371" s="66" t="str">
        <f t="shared" si="261"/>
        <v/>
      </c>
    </row>
    <row r="372" spans="1:36">
      <c r="A372" s="66">
        <f t="shared" si="225"/>
        <v>10</v>
      </c>
      <c r="B372" s="66" t="str">
        <f t="shared" si="225"/>
        <v>劉威志</v>
      </c>
      <c r="C372" s="66" t="str">
        <f t="shared" si="227"/>
        <v/>
      </c>
      <c r="D372" s="66" t="str">
        <f t="shared" si="229"/>
        <v/>
      </c>
      <c r="E372" s="66" t="str">
        <f t="shared" si="230"/>
        <v/>
      </c>
      <c r="F372" s="66" t="str">
        <f t="shared" si="231"/>
        <v/>
      </c>
      <c r="G372" s="66" t="str">
        <f t="shared" si="232"/>
        <v/>
      </c>
      <c r="H372" s="66" t="str">
        <f t="shared" si="233"/>
        <v/>
      </c>
      <c r="I372" s="66" t="str">
        <f t="shared" si="234"/>
        <v/>
      </c>
      <c r="J372" s="66" t="str">
        <f t="shared" si="235"/>
        <v/>
      </c>
      <c r="K372" s="66" t="str">
        <f t="shared" si="236"/>
        <v/>
      </c>
      <c r="L372" s="66" t="str">
        <f t="shared" si="237"/>
        <v/>
      </c>
      <c r="M372" s="66" t="str">
        <f t="shared" si="238"/>
        <v/>
      </c>
      <c r="N372" s="66" t="str">
        <f t="shared" si="239"/>
        <v/>
      </c>
      <c r="O372" s="66" t="str">
        <f t="shared" si="240"/>
        <v/>
      </c>
      <c r="P372" s="66" t="str">
        <f t="shared" si="241"/>
        <v/>
      </c>
      <c r="Q372" s="66" t="str">
        <f t="shared" si="242"/>
        <v/>
      </c>
      <c r="R372" s="66" t="str">
        <f t="shared" si="243"/>
        <v/>
      </c>
      <c r="S372" s="66" t="str">
        <f t="shared" si="244"/>
        <v/>
      </c>
      <c r="T372" s="66" t="str">
        <f t="shared" si="245"/>
        <v/>
      </c>
      <c r="U372" s="66" t="str">
        <f t="shared" si="246"/>
        <v/>
      </c>
      <c r="V372" s="66" t="str">
        <f t="shared" si="247"/>
        <v/>
      </c>
      <c r="W372" s="66" t="str">
        <f t="shared" si="248"/>
        <v/>
      </c>
      <c r="X372" s="66" t="str">
        <f t="shared" si="249"/>
        <v/>
      </c>
      <c r="Y372" s="66" t="str">
        <f t="shared" si="250"/>
        <v/>
      </c>
      <c r="Z372" s="66" t="str">
        <f t="shared" si="251"/>
        <v/>
      </c>
      <c r="AA372" s="66" t="str">
        <f t="shared" si="252"/>
        <v/>
      </c>
      <c r="AB372" s="66" t="str">
        <f t="shared" si="253"/>
        <v/>
      </c>
      <c r="AC372" s="66" t="str">
        <f t="shared" si="254"/>
        <v/>
      </c>
      <c r="AD372" s="66" t="str">
        <f t="shared" si="255"/>
        <v/>
      </c>
      <c r="AE372" s="66" t="str">
        <f t="shared" si="256"/>
        <v/>
      </c>
      <c r="AF372" s="66" t="str">
        <f t="shared" si="257"/>
        <v/>
      </c>
      <c r="AG372" s="66" t="str">
        <f t="shared" si="258"/>
        <v/>
      </c>
      <c r="AH372" s="66" t="str">
        <f t="shared" si="259"/>
        <v/>
      </c>
      <c r="AI372" s="66" t="str">
        <f t="shared" si="260"/>
        <v/>
      </c>
      <c r="AJ372" s="66" t="str">
        <f t="shared" si="261"/>
        <v/>
      </c>
    </row>
    <row r="373" spans="1:36">
      <c r="A373" s="66">
        <f t="shared" si="225"/>
        <v>11</v>
      </c>
      <c r="B373" s="66" t="str">
        <f t="shared" si="225"/>
        <v>梁展碩</v>
      </c>
      <c r="C373" s="66" t="str">
        <f t="shared" si="227"/>
        <v/>
      </c>
      <c r="D373" s="66" t="str">
        <f t="shared" si="229"/>
        <v/>
      </c>
      <c r="E373" s="66" t="str">
        <f t="shared" si="230"/>
        <v/>
      </c>
      <c r="F373" s="66" t="str">
        <f t="shared" si="231"/>
        <v/>
      </c>
      <c r="G373" s="66" t="str">
        <f t="shared" si="232"/>
        <v/>
      </c>
      <c r="H373" s="66" t="str">
        <f t="shared" si="233"/>
        <v/>
      </c>
      <c r="I373" s="66" t="str">
        <f t="shared" si="234"/>
        <v/>
      </c>
      <c r="J373" s="66" t="str">
        <f t="shared" si="235"/>
        <v/>
      </c>
      <c r="K373" s="66" t="str">
        <f t="shared" si="236"/>
        <v/>
      </c>
      <c r="L373" s="66" t="str">
        <f t="shared" si="237"/>
        <v/>
      </c>
      <c r="M373" s="66" t="str">
        <f t="shared" si="238"/>
        <v/>
      </c>
      <c r="N373" s="66" t="str">
        <f t="shared" si="239"/>
        <v/>
      </c>
      <c r="O373" s="66" t="str">
        <f t="shared" si="240"/>
        <v/>
      </c>
      <c r="P373" s="66" t="str">
        <f t="shared" si="241"/>
        <v/>
      </c>
      <c r="Q373" s="66" t="str">
        <f t="shared" si="242"/>
        <v/>
      </c>
      <c r="R373" s="66" t="str">
        <f t="shared" si="243"/>
        <v/>
      </c>
      <c r="S373" s="66" t="str">
        <f t="shared" si="244"/>
        <v/>
      </c>
      <c r="T373" s="66" t="str">
        <f t="shared" si="245"/>
        <v/>
      </c>
      <c r="U373" s="66" t="str">
        <f t="shared" si="246"/>
        <v/>
      </c>
      <c r="V373" s="66" t="str">
        <f t="shared" si="247"/>
        <v/>
      </c>
      <c r="W373" s="66" t="str">
        <f t="shared" si="248"/>
        <v/>
      </c>
      <c r="X373" s="66" t="str">
        <f t="shared" si="249"/>
        <v/>
      </c>
      <c r="Y373" s="66" t="str">
        <f t="shared" si="250"/>
        <v/>
      </c>
      <c r="Z373" s="66" t="str">
        <f t="shared" si="251"/>
        <v/>
      </c>
      <c r="AA373" s="66" t="str">
        <f t="shared" si="252"/>
        <v/>
      </c>
      <c r="AB373" s="66" t="str">
        <f t="shared" si="253"/>
        <v/>
      </c>
      <c r="AC373" s="66" t="str">
        <f t="shared" si="254"/>
        <v/>
      </c>
      <c r="AD373" s="66" t="str">
        <f t="shared" si="255"/>
        <v/>
      </c>
      <c r="AE373" s="66" t="str">
        <f t="shared" si="256"/>
        <v/>
      </c>
      <c r="AF373" s="66" t="str">
        <f t="shared" si="257"/>
        <v/>
      </c>
      <c r="AG373" s="66" t="str">
        <f t="shared" si="258"/>
        <v/>
      </c>
      <c r="AH373" s="66" t="str">
        <f t="shared" si="259"/>
        <v/>
      </c>
      <c r="AI373" s="66" t="str">
        <f t="shared" si="260"/>
        <v/>
      </c>
      <c r="AJ373" s="66" t="str">
        <f t="shared" si="261"/>
        <v/>
      </c>
    </row>
    <row r="374" spans="1:36">
      <c r="A374" s="66">
        <f t="shared" si="225"/>
        <v>12</v>
      </c>
      <c r="B374" s="66" t="str">
        <f t="shared" si="225"/>
        <v>何奕諠</v>
      </c>
      <c r="C374" s="66" t="str">
        <f t="shared" si="227"/>
        <v/>
      </c>
      <c r="D374" s="66" t="str">
        <f t="shared" si="229"/>
        <v/>
      </c>
      <c r="E374" s="66" t="str">
        <f t="shared" si="230"/>
        <v/>
      </c>
      <c r="F374" s="66" t="str">
        <f t="shared" si="231"/>
        <v/>
      </c>
      <c r="G374" s="66" t="str">
        <f t="shared" si="232"/>
        <v/>
      </c>
      <c r="H374" s="66" t="str">
        <f t="shared" si="233"/>
        <v/>
      </c>
      <c r="I374" s="66" t="str">
        <f t="shared" si="234"/>
        <v/>
      </c>
      <c r="J374" s="66" t="str">
        <f t="shared" si="235"/>
        <v/>
      </c>
      <c r="K374" s="66" t="str">
        <f t="shared" si="236"/>
        <v/>
      </c>
      <c r="L374" s="66" t="str">
        <f t="shared" si="237"/>
        <v/>
      </c>
      <c r="M374" s="66" t="str">
        <f t="shared" si="238"/>
        <v/>
      </c>
      <c r="N374" s="66" t="str">
        <f t="shared" si="239"/>
        <v/>
      </c>
      <c r="O374" s="66" t="str">
        <f t="shared" si="240"/>
        <v/>
      </c>
      <c r="P374" s="66" t="str">
        <f t="shared" si="241"/>
        <v/>
      </c>
      <c r="Q374" s="66" t="str">
        <f t="shared" si="242"/>
        <v/>
      </c>
      <c r="R374" s="66" t="str">
        <f t="shared" si="243"/>
        <v/>
      </c>
      <c r="S374" s="66" t="str">
        <f t="shared" si="244"/>
        <v/>
      </c>
      <c r="T374" s="66" t="str">
        <f t="shared" si="245"/>
        <v/>
      </c>
      <c r="U374" s="66" t="str">
        <f t="shared" si="246"/>
        <v/>
      </c>
      <c r="V374" s="66" t="str">
        <f t="shared" si="247"/>
        <v/>
      </c>
      <c r="W374" s="66" t="str">
        <f t="shared" si="248"/>
        <v/>
      </c>
      <c r="X374" s="66" t="str">
        <f t="shared" si="249"/>
        <v/>
      </c>
      <c r="Y374" s="66" t="str">
        <f t="shared" si="250"/>
        <v/>
      </c>
      <c r="Z374" s="66" t="str">
        <f t="shared" si="251"/>
        <v/>
      </c>
      <c r="AA374" s="66" t="str">
        <f t="shared" si="252"/>
        <v/>
      </c>
      <c r="AB374" s="66" t="str">
        <f t="shared" si="253"/>
        <v/>
      </c>
      <c r="AC374" s="66" t="str">
        <f t="shared" si="254"/>
        <v/>
      </c>
      <c r="AD374" s="66" t="str">
        <f t="shared" si="255"/>
        <v/>
      </c>
      <c r="AE374" s="66" t="str">
        <f t="shared" si="256"/>
        <v/>
      </c>
      <c r="AF374" s="66" t="str">
        <f t="shared" si="257"/>
        <v/>
      </c>
      <c r="AG374" s="66" t="str">
        <f t="shared" si="258"/>
        <v/>
      </c>
      <c r="AH374" s="66" t="str">
        <f t="shared" si="259"/>
        <v/>
      </c>
      <c r="AI374" s="66" t="str">
        <f t="shared" si="260"/>
        <v/>
      </c>
      <c r="AJ374" s="66" t="str">
        <f t="shared" si="261"/>
        <v/>
      </c>
    </row>
    <row r="375" spans="1:36">
      <c r="A375" s="66">
        <f t="shared" si="225"/>
        <v>13</v>
      </c>
      <c r="B375" s="66" t="str">
        <f t="shared" si="225"/>
        <v>楊瑞麟</v>
      </c>
      <c r="C375" s="66" t="str">
        <f t="shared" si="227"/>
        <v/>
      </c>
      <c r="D375" s="66" t="str">
        <f t="shared" si="229"/>
        <v/>
      </c>
      <c r="E375" s="66" t="str">
        <f t="shared" si="230"/>
        <v/>
      </c>
      <c r="F375" s="66" t="str">
        <f t="shared" si="231"/>
        <v/>
      </c>
      <c r="G375" s="66" t="str">
        <f t="shared" si="232"/>
        <v/>
      </c>
      <c r="H375" s="66" t="str">
        <f t="shared" si="233"/>
        <v/>
      </c>
      <c r="I375" s="66" t="str">
        <f t="shared" si="234"/>
        <v/>
      </c>
      <c r="J375" s="66" t="str">
        <f t="shared" si="235"/>
        <v/>
      </c>
      <c r="K375" s="66" t="str">
        <f t="shared" si="236"/>
        <v/>
      </c>
      <c r="L375" s="66" t="str">
        <f t="shared" si="237"/>
        <v/>
      </c>
      <c r="M375" s="66" t="str">
        <f t="shared" si="238"/>
        <v/>
      </c>
      <c r="N375" s="66" t="str">
        <f t="shared" si="239"/>
        <v/>
      </c>
      <c r="O375" s="66" t="str">
        <f t="shared" si="240"/>
        <v/>
      </c>
      <c r="P375" s="66" t="str">
        <f t="shared" si="241"/>
        <v/>
      </c>
      <c r="Q375" s="66" t="str">
        <f t="shared" si="242"/>
        <v/>
      </c>
      <c r="R375" s="66" t="str">
        <f t="shared" si="243"/>
        <v/>
      </c>
      <c r="S375" s="66" t="str">
        <f t="shared" si="244"/>
        <v/>
      </c>
      <c r="T375" s="66" t="str">
        <f t="shared" si="245"/>
        <v/>
      </c>
      <c r="U375" s="66" t="str">
        <f t="shared" si="246"/>
        <v/>
      </c>
      <c r="V375" s="66" t="str">
        <f t="shared" si="247"/>
        <v/>
      </c>
      <c r="W375" s="66" t="str">
        <f t="shared" si="248"/>
        <v/>
      </c>
      <c r="X375" s="66" t="str">
        <f t="shared" si="249"/>
        <v/>
      </c>
      <c r="Y375" s="66" t="str">
        <f t="shared" si="250"/>
        <v/>
      </c>
      <c r="Z375" s="66" t="str">
        <f t="shared" si="251"/>
        <v/>
      </c>
      <c r="AA375" s="66" t="str">
        <f t="shared" si="252"/>
        <v/>
      </c>
      <c r="AB375" s="66" t="str">
        <f t="shared" si="253"/>
        <v/>
      </c>
      <c r="AC375" s="66" t="str">
        <f t="shared" si="254"/>
        <v/>
      </c>
      <c r="AD375" s="66" t="str">
        <f t="shared" si="255"/>
        <v/>
      </c>
      <c r="AE375" s="66" t="str">
        <f t="shared" si="256"/>
        <v/>
      </c>
      <c r="AF375" s="66" t="str">
        <f t="shared" si="257"/>
        <v/>
      </c>
      <c r="AG375" s="66" t="str">
        <f t="shared" si="258"/>
        <v/>
      </c>
      <c r="AH375" s="66" t="str">
        <f t="shared" si="259"/>
        <v/>
      </c>
      <c r="AI375" s="66" t="str">
        <f t="shared" si="260"/>
        <v/>
      </c>
      <c r="AJ375" s="66" t="str">
        <f t="shared" si="261"/>
        <v/>
      </c>
    </row>
    <row r="376" spans="1:36">
      <c r="A376" s="66">
        <f t="shared" si="225"/>
        <v>14</v>
      </c>
      <c r="B376" s="66" t="str">
        <f t="shared" si="225"/>
        <v>鄭品豪</v>
      </c>
      <c r="C376" s="66" t="str">
        <f t="shared" si="227"/>
        <v/>
      </c>
      <c r="D376" s="66" t="str">
        <f t="shared" si="229"/>
        <v/>
      </c>
      <c r="E376" s="66" t="str">
        <f t="shared" si="230"/>
        <v/>
      </c>
      <c r="F376" s="66" t="str">
        <f t="shared" si="231"/>
        <v/>
      </c>
      <c r="G376" s="66" t="str">
        <f t="shared" si="232"/>
        <v/>
      </c>
      <c r="H376" s="66" t="str">
        <f t="shared" si="233"/>
        <v/>
      </c>
      <c r="I376" s="66" t="str">
        <f t="shared" si="234"/>
        <v/>
      </c>
      <c r="J376" s="66" t="str">
        <f t="shared" si="235"/>
        <v/>
      </c>
      <c r="K376" s="66" t="str">
        <f t="shared" si="236"/>
        <v/>
      </c>
      <c r="L376" s="66" t="str">
        <f t="shared" si="237"/>
        <v/>
      </c>
      <c r="M376" s="66" t="str">
        <f t="shared" si="238"/>
        <v/>
      </c>
      <c r="N376" s="66" t="str">
        <f t="shared" si="239"/>
        <v/>
      </c>
      <c r="O376" s="66" t="str">
        <f t="shared" si="240"/>
        <v/>
      </c>
      <c r="P376" s="66" t="str">
        <f t="shared" si="241"/>
        <v/>
      </c>
      <c r="Q376" s="66" t="str">
        <f t="shared" si="242"/>
        <v/>
      </c>
      <c r="R376" s="66" t="str">
        <f t="shared" si="243"/>
        <v/>
      </c>
      <c r="S376" s="66" t="str">
        <f t="shared" si="244"/>
        <v/>
      </c>
      <c r="T376" s="66" t="str">
        <f t="shared" si="245"/>
        <v/>
      </c>
      <c r="U376" s="66" t="str">
        <f t="shared" si="246"/>
        <v/>
      </c>
      <c r="V376" s="66" t="str">
        <f t="shared" si="247"/>
        <v/>
      </c>
      <c r="W376" s="66" t="str">
        <f t="shared" si="248"/>
        <v/>
      </c>
      <c r="X376" s="66" t="str">
        <f t="shared" si="249"/>
        <v/>
      </c>
      <c r="Y376" s="66" t="str">
        <f t="shared" si="250"/>
        <v/>
      </c>
      <c r="Z376" s="66" t="str">
        <f t="shared" si="251"/>
        <v/>
      </c>
      <c r="AA376" s="66" t="str">
        <f t="shared" si="252"/>
        <v/>
      </c>
      <c r="AB376" s="66" t="str">
        <f t="shared" si="253"/>
        <v/>
      </c>
      <c r="AC376" s="66" t="str">
        <f t="shared" si="254"/>
        <v/>
      </c>
      <c r="AD376" s="66" t="str">
        <f t="shared" si="255"/>
        <v/>
      </c>
      <c r="AE376" s="66" t="str">
        <f t="shared" si="256"/>
        <v/>
      </c>
      <c r="AF376" s="66" t="str">
        <f t="shared" si="257"/>
        <v/>
      </c>
      <c r="AG376" s="66" t="str">
        <f t="shared" si="258"/>
        <v/>
      </c>
      <c r="AH376" s="66" t="str">
        <f t="shared" si="259"/>
        <v/>
      </c>
      <c r="AI376" s="66" t="str">
        <f t="shared" si="260"/>
        <v/>
      </c>
      <c r="AJ376" s="66" t="str">
        <f t="shared" si="261"/>
        <v/>
      </c>
    </row>
    <row r="377" spans="1:36">
      <c r="A377" s="66">
        <f t="shared" si="225"/>
        <v>15</v>
      </c>
      <c r="B377" s="66" t="str">
        <f t="shared" si="225"/>
        <v>林晉弘</v>
      </c>
      <c r="C377" s="66" t="str">
        <f t="shared" si="227"/>
        <v/>
      </c>
      <c r="D377" s="66" t="str">
        <f t="shared" si="229"/>
        <v/>
      </c>
      <c r="E377" s="66" t="str">
        <f t="shared" si="230"/>
        <v/>
      </c>
      <c r="F377" s="66" t="str">
        <f t="shared" si="231"/>
        <v/>
      </c>
      <c r="G377" s="66" t="str">
        <f t="shared" si="232"/>
        <v/>
      </c>
      <c r="H377" s="66" t="str">
        <f t="shared" si="233"/>
        <v/>
      </c>
      <c r="I377" s="66" t="str">
        <f t="shared" si="234"/>
        <v/>
      </c>
      <c r="J377" s="66" t="str">
        <f t="shared" si="235"/>
        <v/>
      </c>
      <c r="K377" s="66" t="str">
        <f t="shared" si="236"/>
        <v/>
      </c>
      <c r="L377" s="66" t="str">
        <f t="shared" si="237"/>
        <v/>
      </c>
      <c r="M377" s="66" t="str">
        <f t="shared" si="238"/>
        <v/>
      </c>
      <c r="N377" s="66" t="str">
        <f t="shared" si="239"/>
        <v/>
      </c>
      <c r="O377" s="66" t="str">
        <f t="shared" si="240"/>
        <v/>
      </c>
      <c r="P377" s="66" t="str">
        <f t="shared" si="241"/>
        <v/>
      </c>
      <c r="Q377" s="66" t="str">
        <f t="shared" si="242"/>
        <v/>
      </c>
      <c r="R377" s="66" t="str">
        <f t="shared" si="243"/>
        <v/>
      </c>
      <c r="S377" s="66" t="str">
        <f t="shared" si="244"/>
        <v/>
      </c>
      <c r="T377" s="66" t="str">
        <f t="shared" si="245"/>
        <v/>
      </c>
      <c r="U377" s="66" t="str">
        <f t="shared" si="246"/>
        <v/>
      </c>
      <c r="V377" s="66" t="str">
        <f t="shared" si="247"/>
        <v/>
      </c>
      <c r="W377" s="66" t="str">
        <f t="shared" si="248"/>
        <v/>
      </c>
      <c r="X377" s="66" t="str">
        <f t="shared" si="249"/>
        <v/>
      </c>
      <c r="Y377" s="66" t="str">
        <f t="shared" si="250"/>
        <v/>
      </c>
      <c r="Z377" s="66" t="str">
        <f t="shared" si="251"/>
        <v/>
      </c>
      <c r="AA377" s="66" t="str">
        <f t="shared" si="252"/>
        <v/>
      </c>
      <c r="AB377" s="66" t="str">
        <f t="shared" si="253"/>
        <v/>
      </c>
      <c r="AC377" s="66" t="str">
        <f t="shared" si="254"/>
        <v/>
      </c>
      <c r="AD377" s="66" t="str">
        <f t="shared" si="255"/>
        <v/>
      </c>
      <c r="AE377" s="66" t="str">
        <f t="shared" si="256"/>
        <v/>
      </c>
      <c r="AF377" s="66" t="str">
        <f t="shared" si="257"/>
        <v/>
      </c>
      <c r="AG377" s="66" t="str">
        <f t="shared" si="258"/>
        <v/>
      </c>
      <c r="AH377" s="66" t="str">
        <f t="shared" si="259"/>
        <v/>
      </c>
      <c r="AI377" s="66" t="str">
        <f t="shared" si="260"/>
        <v/>
      </c>
      <c r="AJ377" s="66" t="str">
        <f t="shared" si="261"/>
        <v/>
      </c>
    </row>
    <row r="378" spans="1:36">
      <c r="A378" s="66">
        <f t="shared" si="225"/>
        <v>16</v>
      </c>
      <c r="B378" s="66" t="str">
        <f t="shared" si="225"/>
        <v>張恩齊</v>
      </c>
      <c r="C378" s="66" t="str">
        <f t="shared" si="227"/>
        <v/>
      </c>
      <c r="D378" s="66" t="str">
        <f t="shared" si="229"/>
        <v/>
      </c>
      <c r="E378" s="66" t="str">
        <f t="shared" si="230"/>
        <v/>
      </c>
      <c r="F378" s="66" t="str">
        <f t="shared" si="231"/>
        <v/>
      </c>
      <c r="G378" s="66" t="str">
        <f t="shared" si="232"/>
        <v/>
      </c>
      <c r="H378" s="66" t="str">
        <f t="shared" si="233"/>
        <v/>
      </c>
      <c r="I378" s="66" t="str">
        <f t="shared" si="234"/>
        <v/>
      </c>
      <c r="J378" s="66" t="str">
        <f t="shared" si="235"/>
        <v/>
      </c>
      <c r="K378" s="66" t="str">
        <f t="shared" si="236"/>
        <v/>
      </c>
      <c r="L378" s="66" t="str">
        <f t="shared" si="237"/>
        <v/>
      </c>
      <c r="M378" s="66" t="str">
        <f t="shared" si="238"/>
        <v/>
      </c>
      <c r="N378" s="66" t="str">
        <f t="shared" si="239"/>
        <v/>
      </c>
      <c r="O378" s="66" t="str">
        <f t="shared" si="240"/>
        <v/>
      </c>
      <c r="P378" s="66" t="str">
        <f t="shared" si="241"/>
        <v/>
      </c>
      <c r="Q378" s="66" t="str">
        <f t="shared" si="242"/>
        <v/>
      </c>
      <c r="R378" s="66" t="str">
        <f t="shared" si="243"/>
        <v/>
      </c>
      <c r="S378" s="66" t="str">
        <f t="shared" si="244"/>
        <v/>
      </c>
      <c r="T378" s="66" t="str">
        <f t="shared" si="245"/>
        <v/>
      </c>
      <c r="U378" s="66" t="str">
        <f t="shared" si="246"/>
        <v/>
      </c>
      <c r="V378" s="66" t="str">
        <f t="shared" si="247"/>
        <v/>
      </c>
      <c r="W378" s="66" t="str">
        <f t="shared" si="248"/>
        <v/>
      </c>
      <c r="X378" s="66" t="str">
        <f t="shared" si="249"/>
        <v/>
      </c>
      <c r="Y378" s="66" t="str">
        <f t="shared" si="250"/>
        <v/>
      </c>
      <c r="Z378" s="66" t="str">
        <f t="shared" si="251"/>
        <v/>
      </c>
      <c r="AA378" s="66" t="str">
        <f t="shared" si="252"/>
        <v/>
      </c>
      <c r="AB378" s="66" t="str">
        <f t="shared" si="253"/>
        <v/>
      </c>
      <c r="AC378" s="66" t="str">
        <f t="shared" si="254"/>
        <v/>
      </c>
      <c r="AD378" s="66" t="str">
        <f t="shared" si="255"/>
        <v/>
      </c>
      <c r="AE378" s="66" t="str">
        <f t="shared" si="256"/>
        <v/>
      </c>
      <c r="AF378" s="66" t="str">
        <f t="shared" si="257"/>
        <v/>
      </c>
      <c r="AG378" s="66" t="str">
        <f t="shared" si="258"/>
        <v/>
      </c>
      <c r="AH378" s="66" t="str">
        <f t="shared" si="259"/>
        <v/>
      </c>
      <c r="AI378" s="66" t="str">
        <f t="shared" si="260"/>
        <v/>
      </c>
      <c r="AJ378" s="66" t="str">
        <f t="shared" si="261"/>
        <v/>
      </c>
    </row>
    <row r="379" spans="1:36">
      <c r="A379" s="66">
        <f t="shared" ref="A379:B394" si="262">A339</f>
        <v>17</v>
      </c>
      <c r="B379" s="66" t="str">
        <f t="shared" si="262"/>
        <v>周承澔</v>
      </c>
      <c r="C379" s="66" t="str">
        <f t="shared" si="227"/>
        <v/>
      </c>
      <c r="D379" s="66" t="str">
        <f t="shared" si="229"/>
        <v/>
      </c>
      <c r="E379" s="66" t="str">
        <f t="shared" si="230"/>
        <v/>
      </c>
      <c r="F379" s="66" t="str">
        <f t="shared" si="231"/>
        <v/>
      </c>
      <c r="G379" s="66" t="str">
        <f t="shared" si="232"/>
        <v/>
      </c>
      <c r="H379" s="66" t="str">
        <f t="shared" si="233"/>
        <v/>
      </c>
      <c r="I379" s="66" t="str">
        <f t="shared" si="234"/>
        <v/>
      </c>
      <c r="J379" s="66" t="str">
        <f t="shared" si="235"/>
        <v/>
      </c>
      <c r="K379" s="66" t="str">
        <f t="shared" si="236"/>
        <v/>
      </c>
      <c r="L379" s="66" t="str">
        <f t="shared" si="237"/>
        <v/>
      </c>
      <c r="M379" s="66" t="str">
        <f t="shared" si="238"/>
        <v/>
      </c>
      <c r="N379" s="66" t="str">
        <f t="shared" si="239"/>
        <v/>
      </c>
      <c r="O379" s="66" t="str">
        <f t="shared" si="240"/>
        <v/>
      </c>
      <c r="P379" s="66" t="str">
        <f t="shared" si="241"/>
        <v/>
      </c>
      <c r="Q379" s="66" t="str">
        <f t="shared" si="242"/>
        <v/>
      </c>
      <c r="R379" s="66" t="str">
        <f t="shared" si="243"/>
        <v/>
      </c>
      <c r="S379" s="66" t="str">
        <f t="shared" si="244"/>
        <v/>
      </c>
      <c r="T379" s="66" t="str">
        <f t="shared" si="245"/>
        <v/>
      </c>
      <c r="U379" s="66" t="str">
        <f t="shared" si="246"/>
        <v/>
      </c>
      <c r="V379" s="66" t="str">
        <f t="shared" si="247"/>
        <v/>
      </c>
      <c r="W379" s="66" t="str">
        <f t="shared" si="248"/>
        <v/>
      </c>
      <c r="X379" s="66" t="str">
        <f t="shared" si="249"/>
        <v/>
      </c>
      <c r="Y379" s="66" t="str">
        <f t="shared" si="250"/>
        <v/>
      </c>
      <c r="Z379" s="66" t="str">
        <f t="shared" si="251"/>
        <v/>
      </c>
      <c r="AA379" s="66" t="str">
        <f t="shared" si="252"/>
        <v/>
      </c>
      <c r="AB379" s="66" t="str">
        <f t="shared" si="253"/>
        <v/>
      </c>
      <c r="AC379" s="66" t="str">
        <f t="shared" si="254"/>
        <v/>
      </c>
      <c r="AD379" s="66" t="str">
        <f t="shared" si="255"/>
        <v/>
      </c>
      <c r="AE379" s="66" t="str">
        <f t="shared" si="256"/>
        <v/>
      </c>
      <c r="AF379" s="66" t="str">
        <f t="shared" si="257"/>
        <v/>
      </c>
      <c r="AG379" s="66" t="str">
        <f t="shared" si="258"/>
        <v/>
      </c>
      <c r="AH379" s="66" t="str">
        <f t="shared" si="259"/>
        <v/>
      </c>
      <c r="AI379" s="66" t="str">
        <f t="shared" si="260"/>
        <v/>
      </c>
      <c r="AJ379" s="66" t="str">
        <f t="shared" si="261"/>
        <v/>
      </c>
    </row>
    <row r="380" spans="1:36">
      <c r="A380" s="66">
        <f t="shared" si="262"/>
        <v>18</v>
      </c>
      <c r="B380" s="66" t="str">
        <f t="shared" si="262"/>
        <v>蔡政倫</v>
      </c>
      <c r="C380" s="66" t="str">
        <f t="shared" si="227"/>
        <v/>
      </c>
      <c r="D380" s="66" t="str">
        <f t="shared" si="229"/>
        <v/>
      </c>
      <c r="E380" s="66" t="str">
        <f t="shared" si="230"/>
        <v/>
      </c>
      <c r="F380" s="66" t="str">
        <f t="shared" si="231"/>
        <v/>
      </c>
      <c r="G380" s="66" t="str">
        <f t="shared" si="232"/>
        <v/>
      </c>
      <c r="H380" s="66" t="str">
        <f t="shared" si="233"/>
        <v/>
      </c>
      <c r="I380" s="66" t="str">
        <f t="shared" si="234"/>
        <v/>
      </c>
      <c r="J380" s="66" t="str">
        <f t="shared" si="235"/>
        <v/>
      </c>
      <c r="K380" s="66" t="str">
        <f t="shared" si="236"/>
        <v/>
      </c>
      <c r="L380" s="66" t="str">
        <f t="shared" si="237"/>
        <v/>
      </c>
      <c r="M380" s="66" t="str">
        <f t="shared" si="238"/>
        <v/>
      </c>
      <c r="N380" s="66" t="str">
        <f t="shared" si="239"/>
        <v/>
      </c>
      <c r="O380" s="66" t="str">
        <f t="shared" si="240"/>
        <v/>
      </c>
      <c r="P380" s="66" t="str">
        <f t="shared" si="241"/>
        <v/>
      </c>
      <c r="Q380" s="66" t="str">
        <f t="shared" si="242"/>
        <v/>
      </c>
      <c r="R380" s="66" t="str">
        <f t="shared" si="243"/>
        <v/>
      </c>
      <c r="S380" s="66" t="str">
        <f t="shared" si="244"/>
        <v/>
      </c>
      <c r="T380" s="66" t="str">
        <f t="shared" si="245"/>
        <v/>
      </c>
      <c r="U380" s="66" t="str">
        <f t="shared" si="246"/>
        <v/>
      </c>
      <c r="V380" s="66" t="str">
        <f t="shared" si="247"/>
        <v/>
      </c>
      <c r="W380" s="66" t="str">
        <f t="shared" si="248"/>
        <v/>
      </c>
      <c r="X380" s="66" t="str">
        <f t="shared" si="249"/>
        <v/>
      </c>
      <c r="Y380" s="66" t="str">
        <f t="shared" si="250"/>
        <v/>
      </c>
      <c r="Z380" s="66" t="str">
        <f t="shared" si="251"/>
        <v/>
      </c>
      <c r="AA380" s="66" t="str">
        <f t="shared" si="252"/>
        <v/>
      </c>
      <c r="AB380" s="66" t="str">
        <f t="shared" si="253"/>
        <v/>
      </c>
      <c r="AC380" s="66" t="str">
        <f t="shared" si="254"/>
        <v/>
      </c>
      <c r="AD380" s="66" t="str">
        <f t="shared" si="255"/>
        <v/>
      </c>
      <c r="AE380" s="66" t="str">
        <f t="shared" si="256"/>
        <v/>
      </c>
      <c r="AF380" s="66" t="str">
        <f t="shared" si="257"/>
        <v/>
      </c>
      <c r="AG380" s="66" t="str">
        <f t="shared" si="258"/>
        <v/>
      </c>
      <c r="AH380" s="66" t="str">
        <f t="shared" si="259"/>
        <v/>
      </c>
      <c r="AI380" s="66" t="str">
        <f t="shared" si="260"/>
        <v/>
      </c>
      <c r="AJ380" s="66" t="str">
        <f t="shared" si="261"/>
        <v/>
      </c>
    </row>
    <row r="381" spans="1:36">
      <c r="A381" s="66">
        <f t="shared" si="262"/>
        <v>19</v>
      </c>
      <c r="B381" s="66" t="str">
        <f t="shared" si="262"/>
        <v>蕭敬哲</v>
      </c>
      <c r="C381" s="66" t="str">
        <f t="shared" si="227"/>
        <v/>
      </c>
      <c r="D381" s="66" t="str">
        <f t="shared" si="229"/>
        <v/>
      </c>
      <c r="E381" s="66" t="str">
        <f t="shared" si="230"/>
        <v/>
      </c>
      <c r="F381" s="66" t="str">
        <f t="shared" si="231"/>
        <v/>
      </c>
      <c r="G381" s="66" t="str">
        <f t="shared" si="232"/>
        <v/>
      </c>
      <c r="H381" s="66" t="str">
        <f t="shared" si="233"/>
        <v/>
      </c>
      <c r="I381" s="66" t="str">
        <f t="shared" si="234"/>
        <v/>
      </c>
      <c r="J381" s="66" t="str">
        <f t="shared" si="235"/>
        <v/>
      </c>
      <c r="K381" s="66" t="str">
        <f t="shared" si="236"/>
        <v/>
      </c>
      <c r="L381" s="66" t="str">
        <f t="shared" si="237"/>
        <v/>
      </c>
      <c r="M381" s="66" t="str">
        <f t="shared" si="238"/>
        <v/>
      </c>
      <c r="N381" s="66" t="str">
        <f t="shared" si="239"/>
        <v/>
      </c>
      <c r="O381" s="66" t="str">
        <f t="shared" si="240"/>
        <v/>
      </c>
      <c r="P381" s="66" t="str">
        <f t="shared" si="241"/>
        <v/>
      </c>
      <c r="Q381" s="66" t="str">
        <f t="shared" si="242"/>
        <v/>
      </c>
      <c r="R381" s="66" t="str">
        <f t="shared" si="243"/>
        <v/>
      </c>
      <c r="S381" s="66" t="str">
        <f t="shared" si="244"/>
        <v/>
      </c>
      <c r="T381" s="66" t="str">
        <f t="shared" si="245"/>
        <v/>
      </c>
      <c r="U381" s="66" t="str">
        <f t="shared" si="246"/>
        <v/>
      </c>
      <c r="V381" s="66" t="str">
        <f t="shared" si="247"/>
        <v/>
      </c>
      <c r="W381" s="66" t="str">
        <f t="shared" si="248"/>
        <v/>
      </c>
      <c r="X381" s="66" t="str">
        <f t="shared" si="249"/>
        <v/>
      </c>
      <c r="Y381" s="66" t="str">
        <f t="shared" si="250"/>
        <v/>
      </c>
      <c r="Z381" s="66" t="str">
        <f t="shared" si="251"/>
        <v/>
      </c>
      <c r="AA381" s="66" t="str">
        <f t="shared" si="252"/>
        <v/>
      </c>
      <c r="AB381" s="66" t="str">
        <f t="shared" si="253"/>
        <v/>
      </c>
      <c r="AC381" s="66" t="str">
        <f t="shared" si="254"/>
        <v/>
      </c>
      <c r="AD381" s="66" t="str">
        <f t="shared" si="255"/>
        <v/>
      </c>
      <c r="AE381" s="66" t="str">
        <f t="shared" si="256"/>
        <v/>
      </c>
      <c r="AF381" s="66" t="str">
        <f t="shared" si="257"/>
        <v/>
      </c>
      <c r="AG381" s="66" t="str">
        <f t="shared" si="258"/>
        <v/>
      </c>
      <c r="AH381" s="66" t="str">
        <f t="shared" si="259"/>
        <v/>
      </c>
      <c r="AI381" s="66" t="str">
        <f t="shared" si="260"/>
        <v/>
      </c>
      <c r="AJ381" s="66" t="str">
        <f t="shared" si="261"/>
        <v/>
      </c>
    </row>
    <row r="382" spans="1:36">
      <c r="A382" s="66">
        <f t="shared" si="262"/>
        <v>20</v>
      </c>
      <c r="B382" s="66" t="str">
        <f t="shared" si="262"/>
        <v>楊鈞翔</v>
      </c>
      <c r="C382" s="66" t="str">
        <f t="shared" si="227"/>
        <v/>
      </c>
      <c r="D382" s="66" t="str">
        <f t="shared" si="229"/>
        <v/>
      </c>
      <c r="E382" s="66" t="str">
        <f t="shared" si="230"/>
        <v>20(18-22時)</v>
      </c>
      <c r="F382" s="66" t="str">
        <f t="shared" si="231"/>
        <v/>
      </c>
      <c r="G382" s="66" t="str">
        <f t="shared" si="232"/>
        <v/>
      </c>
      <c r="H382" s="66" t="str">
        <f t="shared" si="233"/>
        <v/>
      </c>
      <c r="I382" s="66" t="str">
        <f t="shared" si="234"/>
        <v/>
      </c>
      <c r="J382" s="66" t="str">
        <f t="shared" si="235"/>
        <v/>
      </c>
      <c r="K382" s="66" t="str">
        <f t="shared" si="236"/>
        <v/>
      </c>
      <c r="L382" s="66" t="str">
        <f t="shared" si="237"/>
        <v/>
      </c>
      <c r="M382" s="66" t="str">
        <f t="shared" si="238"/>
        <v/>
      </c>
      <c r="N382" s="66" t="str">
        <f t="shared" si="239"/>
        <v/>
      </c>
      <c r="O382" s="66" t="str">
        <f t="shared" si="240"/>
        <v/>
      </c>
      <c r="P382" s="66" t="str">
        <f t="shared" si="241"/>
        <v/>
      </c>
      <c r="Q382" s="66" t="str">
        <f t="shared" si="242"/>
        <v/>
      </c>
      <c r="R382" s="66" t="str">
        <f t="shared" si="243"/>
        <v/>
      </c>
      <c r="S382" s="66" t="str">
        <f t="shared" si="244"/>
        <v/>
      </c>
      <c r="T382" s="66" t="str">
        <f t="shared" si="245"/>
        <v/>
      </c>
      <c r="U382" s="66" t="str">
        <f t="shared" si="246"/>
        <v/>
      </c>
      <c r="V382" s="66" t="str">
        <f t="shared" si="247"/>
        <v/>
      </c>
      <c r="W382" s="66" t="str">
        <f t="shared" si="248"/>
        <v>20(14-22時)</v>
      </c>
      <c r="X382" s="66" t="str">
        <f t="shared" si="249"/>
        <v/>
      </c>
      <c r="Y382" s="66" t="str">
        <f t="shared" si="250"/>
        <v/>
      </c>
      <c r="Z382" s="66" t="str">
        <f t="shared" si="251"/>
        <v>20(18-22時)</v>
      </c>
      <c r="AA382" s="66" t="str">
        <f t="shared" si="252"/>
        <v/>
      </c>
      <c r="AB382" s="66" t="str">
        <f t="shared" si="253"/>
        <v/>
      </c>
      <c r="AC382" s="66" t="str">
        <f t="shared" si="254"/>
        <v/>
      </c>
      <c r="AD382" s="66" t="str">
        <f t="shared" si="255"/>
        <v/>
      </c>
      <c r="AE382" s="66" t="str">
        <f t="shared" si="256"/>
        <v/>
      </c>
      <c r="AF382" s="66" t="str">
        <f t="shared" si="257"/>
        <v/>
      </c>
      <c r="AG382" s="66" t="str">
        <f t="shared" si="258"/>
        <v>20(18-22時)</v>
      </c>
      <c r="AH382" s="66" t="str">
        <f t="shared" si="259"/>
        <v/>
      </c>
      <c r="AI382" s="66" t="str">
        <f t="shared" si="260"/>
        <v/>
      </c>
      <c r="AJ382" s="66" t="str">
        <f t="shared" si="261"/>
        <v/>
      </c>
    </row>
    <row r="383" spans="1:36">
      <c r="A383" s="66">
        <f t="shared" si="262"/>
        <v>21</v>
      </c>
      <c r="B383" s="66" t="str">
        <f t="shared" si="262"/>
        <v>邱俊閎</v>
      </c>
      <c r="C383" s="66" t="str">
        <f t="shared" si="227"/>
        <v/>
      </c>
      <c r="D383" s="66" t="str">
        <f t="shared" si="229"/>
        <v/>
      </c>
      <c r="E383" s="66" t="str">
        <f t="shared" si="230"/>
        <v>.</v>
      </c>
      <c r="F383" s="66" t="str">
        <f t="shared" si="231"/>
        <v/>
      </c>
      <c r="G383" s="66" t="str">
        <f t="shared" si="232"/>
        <v/>
      </c>
      <c r="H383" s="66" t="str">
        <f t="shared" si="233"/>
        <v/>
      </c>
      <c r="I383" s="66" t="str">
        <f t="shared" si="234"/>
        <v/>
      </c>
      <c r="J383" s="66" t="str">
        <f t="shared" si="235"/>
        <v/>
      </c>
      <c r="K383" s="66" t="str">
        <f t="shared" si="236"/>
        <v/>
      </c>
      <c r="L383" s="66" t="str">
        <f t="shared" si="237"/>
        <v/>
      </c>
      <c r="M383" s="66" t="str">
        <f t="shared" si="238"/>
        <v/>
      </c>
      <c r="N383" s="66" t="str">
        <f t="shared" si="239"/>
        <v/>
      </c>
      <c r="O383" s="66" t="str">
        <f t="shared" si="240"/>
        <v/>
      </c>
      <c r="P383" s="66" t="str">
        <f t="shared" si="241"/>
        <v/>
      </c>
      <c r="Q383" s="66" t="str">
        <f t="shared" si="242"/>
        <v/>
      </c>
      <c r="R383" s="66" t="str">
        <f t="shared" si="243"/>
        <v/>
      </c>
      <c r="S383" s="66" t="str">
        <f t="shared" si="244"/>
        <v/>
      </c>
      <c r="T383" s="66" t="str">
        <f t="shared" si="245"/>
        <v/>
      </c>
      <c r="U383" s="66" t="str">
        <f t="shared" si="246"/>
        <v/>
      </c>
      <c r="V383" s="66" t="str">
        <f t="shared" si="247"/>
        <v/>
      </c>
      <c r="W383" s="66" t="str">
        <f t="shared" si="248"/>
        <v>.</v>
      </c>
      <c r="X383" s="66" t="str">
        <f t="shared" si="249"/>
        <v/>
      </c>
      <c r="Y383" s="66" t="str">
        <f t="shared" si="250"/>
        <v/>
      </c>
      <c r="Z383" s="66" t="str">
        <f t="shared" si="251"/>
        <v>.</v>
      </c>
      <c r="AA383" s="66" t="str">
        <f t="shared" si="252"/>
        <v/>
      </c>
      <c r="AB383" s="66" t="str">
        <f t="shared" si="253"/>
        <v/>
      </c>
      <c r="AC383" s="66" t="str">
        <f t="shared" si="254"/>
        <v/>
      </c>
      <c r="AD383" s="66" t="str">
        <f t="shared" si="255"/>
        <v/>
      </c>
      <c r="AE383" s="66" t="str">
        <f t="shared" si="256"/>
        <v/>
      </c>
      <c r="AF383" s="66" t="str">
        <f t="shared" si="257"/>
        <v/>
      </c>
      <c r="AG383" s="66" t="str">
        <f t="shared" si="258"/>
        <v>.</v>
      </c>
      <c r="AH383" s="66" t="str">
        <f t="shared" si="259"/>
        <v/>
      </c>
      <c r="AI383" s="66" t="str">
        <f t="shared" si="260"/>
        <v/>
      </c>
      <c r="AJ383" s="66" t="str">
        <f t="shared" si="261"/>
        <v/>
      </c>
    </row>
    <row r="384" spans="1:36">
      <c r="A384" s="66">
        <f t="shared" si="262"/>
        <v>22</v>
      </c>
      <c r="B384" s="66" t="str">
        <f t="shared" si="262"/>
        <v>陳奕欣</v>
      </c>
      <c r="C384" s="66" t="str">
        <f t="shared" si="227"/>
        <v/>
      </c>
      <c r="D384" s="66" t="str">
        <f t="shared" si="229"/>
        <v/>
      </c>
      <c r="E384" s="66" t="str">
        <f t="shared" si="230"/>
        <v/>
      </c>
      <c r="F384" s="66" t="str">
        <f t="shared" si="231"/>
        <v>22(18-22時)</v>
      </c>
      <c r="G384" s="66" t="str">
        <f t="shared" si="232"/>
        <v/>
      </c>
      <c r="H384" s="66" t="str">
        <f t="shared" si="233"/>
        <v/>
      </c>
      <c r="I384" s="66" t="str">
        <f t="shared" si="234"/>
        <v/>
      </c>
      <c r="J384" s="66" t="str">
        <f t="shared" si="235"/>
        <v/>
      </c>
      <c r="K384" s="66" t="str">
        <f t="shared" si="236"/>
        <v/>
      </c>
      <c r="L384" s="66" t="str">
        <f t="shared" si="237"/>
        <v/>
      </c>
      <c r="M384" s="66" t="str">
        <f t="shared" si="238"/>
        <v/>
      </c>
      <c r="N384" s="66" t="str">
        <f t="shared" si="239"/>
        <v/>
      </c>
      <c r="O384" s="66" t="str">
        <f t="shared" si="240"/>
        <v/>
      </c>
      <c r="P384" s="66" t="str">
        <f t="shared" si="241"/>
        <v/>
      </c>
      <c r="Q384" s="66" t="str">
        <f t="shared" si="242"/>
        <v/>
      </c>
      <c r="R384" s="66" t="str">
        <f t="shared" si="243"/>
        <v>22(14-18時)</v>
      </c>
      <c r="S384" s="66" t="str">
        <f t="shared" si="244"/>
        <v/>
      </c>
      <c r="T384" s="66" t="str">
        <f t="shared" si="245"/>
        <v>22(18-22時)</v>
      </c>
      <c r="U384" s="66" t="str">
        <f t="shared" si="246"/>
        <v/>
      </c>
      <c r="V384" s="66" t="str">
        <f t="shared" si="247"/>
        <v/>
      </c>
      <c r="W384" s="66" t="str">
        <f t="shared" si="248"/>
        <v>22(14-22時)</v>
      </c>
      <c r="X384" s="66" t="str">
        <f t="shared" si="249"/>
        <v/>
      </c>
      <c r="Y384" s="66" t="str">
        <f t="shared" si="250"/>
        <v/>
      </c>
      <c r="Z384" s="66" t="str">
        <f t="shared" si="251"/>
        <v/>
      </c>
      <c r="AA384" s="66" t="str">
        <f t="shared" si="252"/>
        <v/>
      </c>
      <c r="AB384" s="66" t="str">
        <f t="shared" si="253"/>
        <v/>
      </c>
      <c r="AC384" s="66" t="str">
        <f t="shared" si="254"/>
        <v/>
      </c>
      <c r="AD384" s="66" t="str">
        <f t="shared" si="255"/>
        <v/>
      </c>
      <c r="AE384" s="66" t="str">
        <f t="shared" si="256"/>
        <v/>
      </c>
      <c r="AF384" s="66" t="str">
        <f t="shared" si="257"/>
        <v/>
      </c>
      <c r="AG384" s="66" t="str">
        <f t="shared" si="258"/>
        <v/>
      </c>
      <c r="AH384" s="66" t="str">
        <f t="shared" si="259"/>
        <v/>
      </c>
      <c r="AI384" s="66" t="str">
        <f t="shared" si="260"/>
        <v/>
      </c>
      <c r="AJ384" s="66" t="str">
        <f t="shared" si="261"/>
        <v/>
      </c>
    </row>
    <row r="385" spans="1:55">
      <c r="A385" s="66">
        <f t="shared" si="262"/>
        <v>23</v>
      </c>
      <c r="B385" s="66" t="str">
        <f t="shared" si="262"/>
        <v>阮成山</v>
      </c>
      <c r="C385" s="66" t="str">
        <f t="shared" si="227"/>
        <v/>
      </c>
      <c r="D385" s="66" t="str">
        <f t="shared" si="229"/>
        <v/>
      </c>
      <c r="E385" s="66" t="str">
        <f t="shared" si="230"/>
        <v/>
      </c>
      <c r="F385" s="66" t="str">
        <f t="shared" si="231"/>
        <v>.</v>
      </c>
      <c r="G385" s="66" t="str">
        <f t="shared" si="232"/>
        <v/>
      </c>
      <c r="H385" s="66" t="str">
        <f t="shared" si="233"/>
        <v/>
      </c>
      <c r="I385" s="66" t="str">
        <f t="shared" si="234"/>
        <v/>
      </c>
      <c r="J385" s="66" t="str">
        <f t="shared" si="235"/>
        <v/>
      </c>
      <c r="K385" s="66" t="str">
        <f t="shared" si="236"/>
        <v/>
      </c>
      <c r="L385" s="66" t="str">
        <f t="shared" si="237"/>
        <v/>
      </c>
      <c r="M385" s="66" t="str">
        <f t="shared" si="238"/>
        <v/>
      </c>
      <c r="N385" s="66" t="str">
        <f t="shared" si="239"/>
        <v/>
      </c>
      <c r="O385" s="66" t="str">
        <f t="shared" si="240"/>
        <v/>
      </c>
      <c r="P385" s="66" t="str">
        <f t="shared" si="241"/>
        <v/>
      </c>
      <c r="Q385" s="66" t="str">
        <f t="shared" si="242"/>
        <v/>
      </c>
      <c r="R385" s="66" t="str">
        <f t="shared" si="243"/>
        <v>.</v>
      </c>
      <c r="S385" s="66" t="str">
        <f t="shared" si="244"/>
        <v/>
      </c>
      <c r="T385" s="66" t="str">
        <f t="shared" si="245"/>
        <v>.</v>
      </c>
      <c r="U385" s="66" t="str">
        <f t="shared" si="246"/>
        <v/>
      </c>
      <c r="V385" s="66" t="str">
        <f t="shared" si="247"/>
        <v/>
      </c>
      <c r="W385" s="66" t="str">
        <f t="shared" si="248"/>
        <v>.</v>
      </c>
      <c r="X385" s="66" t="str">
        <f t="shared" si="249"/>
        <v/>
      </c>
      <c r="Y385" s="66" t="str">
        <f t="shared" si="250"/>
        <v/>
      </c>
      <c r="Z385" s="66" t="str">
        <f t="shared" si="251"/>
        <v/>
      </c>
      <c r="AA385" s="66" t="str">
        <f t="shared" si="252"/>
        <v/>
      </c>
      <c r="AB385" s="66" t="str">
        <f t="shared" si="253"/>
        <v/>
      </c>
      <c r="AC385" s="66" t="str">
        <f t="shared" si="254"/>
        <v/>
      </c>
      <c r="AD385" s="66" t="str">
        <f t="shared" si="255"/>
        <v/>
      </c>
      <c r="AE385" s="66" t="str">
        <f t="shared" si="256"/>
        <v/>
      </c>
      <c r="AF385" s="66" t="str">
        <f t="shared" si="257"/>
        <v>23(12-18時)</v>
      </c>
      <c r="AG385" s="66" t="str">
        <f t="shared" si="258"/>
        <v/>
      </c>
      <c r="AH385" s="66" t="str">
        <f t="shared" si="259"/>
        <v/>
      </c>
      <c r="AI385" s="66" t="str">
        <f t="shared" si="260"/>
        <v/>
      </c>
      <c r="AJ385" s="66" t="str">
        <f t="shared" si="261"/>
        <v/>
      </c>
    </row>
    <row r="386" spans="1:55">
      <c r="A386" s="66">
        <f t="shared" si="262"/>
        <v>24</v>
      </c>
      <c r="B386" s="66" t="str">
        <f t="shared" si="262"/>
        <v>黃品傑</v>
      </c>
      <c r="C386" s="66" t="str">
        <f t="shared" si="227"/>
        <v/>
      </c>
      <c r="D386" s="66" t="str">
        <f t="shared" si="229"/>
        <v/>
      </c>
      <c r="E386" s="66" t="str">
        <f t="shared" si="230"/>
        <v>24(18-22時)</v>
      </c>
      <c r="F386" s="66" t="str">
        <f t="shared" si="231"/>
        <v/>
      </c>
      <c r="G386" s="66" t="str">
        <f t="shared" si="232"/>
        <v/>
      </c>
      <c r="H386" s="66" t="str">
        <f t="shared" si="233"/>
        <v/>
      </c>
      <c r="I386" s="66" t="str">
        <f t="shared" si="234"/>
        <v/>
      </c>
      <c r="J386" s="66" t="str">
        <f t="shared" si="235"/>
        <v/>
      </c>
      <c r="K386" s="66" t="str">
        <f t="shared" si="236"/>
        <v/>
      </c>
      <c r="L386" s="66" t="str">
        <f t="shared" si="237"/>
        <v/>
      </c>
      <c r="M386" s="66" t="str">
        <f t="shared" si="238"/>
        <v/>
      </c>
      <c r="N386" s="66" t="str">
        <f t="shared" si="239"/>
        <v/>
      </c>
      <c r="O386" s="66" t="str">
        <f t="shared" si="240"/>
        <v/>
      </c>
      <c r="P386" s="66" t="str">
        <f t="shared" si="241"/>
        <v/>
      </c>
      <c r="Q386" s="66" t="str">
        <f t="shared" si="242"/>
        <v/>
      </c>
      <c r="R386" s="66" t="str">
        <f t="shared" si="243"/>
        <v/>
      </c>
      <c r="S386" s="66" t="str">
        <f t="shared" si="244"/>
        <v/>
      </c>
      <c r="T386" s="66" t="str">
        <f t="shared" si="245"/>
        <v/>
      </c>
      <c r="U386" s="66" t="str">
        <f t="shared" si="246"/>
        <v/>
      </c>
      <c r="V386" s="66" t="str">
        <f t="shared" si="247"/>
        <v/>
      </c>
      <c r="W386" s="66" t="str">
        <f t="shared" si="248"/>
        <v/>
      </c>
      <c r="X386" s="66" t="str">
        <f t="shared" si="249"/>
        <v/>
      </c>
      <c r="Y386" s="66" t="str">
        <f t="shared" si="250"/>
        <v>24(18-22時)</v>
      </c>
      <c r="Z386" s="66" t="str">
        <f t="shared" si="251"/>
        <v/>
      </c>
      <c r="AA386" s="66" t="str">
        <f t="shared" si="252"/>
        <v/>
      </c>
      <c r="AB386" s="66" t="str">
        <f t="shared" si="253"/>
        <v/>
      </c>
      <c r="AC386" s="66" t="str">
        <f t="shared" si="254"/>
        <v/>
      </c>
      <c r="AD386" s="66" t="str">
        <f t="shared" si="255"/>
        <v/>
      </c>
      <c r="AE386" s="66" t="str">
        <f t="shared" si="256"/>
        <v/>
      </c>
      <c r="AF386" s="66" t="str">
        <f t="shared" si="257"/>
        <v>.</v>
      </c>
      <c r="AG386" s="66" t="str">
        <f t="shared" si="258"/>
        <v/>
      </c>
      <c r="AH386" s="66" t="str">
        <f t="shared" si="259"/>
        <v/>
      </c>
      <c r="AI386" s="66" t="str">
        <f t="shared" si="260"/>
        <v/>
      </c>
      <c r="AJ386" s="66" t="str">
        <f t="shared" si="261"/>
        <v/>
      </c>
    </row>
    <row r="387" spans="1:55">
      <c r="A387" s="66">
        <f t="shared" si="262"/>
        <v>25</v>
      </c>
      <c r="B387" s="66" t="str">
        <f t="shared" si="262"/>
        <v>唐正瑋</v>
      </c>
      <c r="C387" s="66" t="str">
        <f t="shared" si="227"/>
        <v/>
      </c>
      <c r="D387" s="66" t="str">
        <f t="shared" si="229"/>
        <v/>
      </c>
      <c r="E387" s="66" t="str">
        <f t="shared" si="230"/>
        <v>.</v>
      </c>
      <c r="F387" s="66" t="str">
        <f t="shared" si="231"/>
        <v/>
      </c>
      <c r="G387" s="66" t="str">
        <f t="shared" si="232"/>
        <v/>
      </c>
      <c r="H387" s="66" t="str">
        <f t="shared" si="233"/>
        <v/>
      </c>
      <c r="I387" s="66" t="str">
        <f t="shared" si="234"/>
        <v/>
      </c>
      <c r="J387" s="66" t="str">
        <f t="shared" si="235"/>
        <v/>
      </c>
      <c r="K387" s="66" t="str">
        <f t="shared" si="236"/>
        <v/>
      </c>
      <c r="L387" s="66" t="str">
        <f t="shared" si="237"/>
        <v/>
      </c>
      <c r="M387" s="66" t="str">
        <f t="shared" si="238"/>
        <v/>
      </c>
      <c r="N387" s="66" t="str">
        <f t="shared" si="239"/>
        <v/>
      </c>
      <c r="O387" s="66" t="str">
        <f t="shared" si="240"/>
        <v/>
      </c>
      <c r="P387" s="66" t="str">
        <f t="shared" si="241"/>
        <v/>
      </c>
      <c r="Q387" s="66" t="str">
        <f t="shared" si="242"/>
        <v/>
      </c>
      <c r="R387" s="66" t="str">
        <f t="shared" si="243"/>
        <v/>
      </c>
      <c r="S387" s="66" t="str">
        <f t="shared" si="244"/>
        <v/>
      </c>
      <c r="T387" s="66" t="str">
        <f t="shared" si="245"/>
        <v/>
      </c>
      <c r="U387" s="66" t="str">
        <f t="shared" si="246"/>
        <v/>
      </c>
      <c r="V387" s="66" t="str">
        <f t="shared" si="247"/>
        <v/>
      </c>
      <c r="W387" s="66" t="str">
        <f t="shared" si="248"/>
        <v/>
      </c>
      <c r="X387" s="66" t="str">
        <f t="shared" si="249"/>
        <v/>
      </c>
      <c r="Y387" s="66" t="str">
        <f t="shared" si="250"/>
        <v>.</v>
      </c>
      <c r="Z387" s="66" t="str">
        <f t="shared" si="251"/>
        <v/>
      </c>
      <c r="AA387" s="66" t="str">
        <f t="shared" si="252"/>
        <v/>
      </c>
      <c r="AB387" s="66" t="str">
        <f t="shared" si="253"/>
        <v/>
      </c>
      <c r="AC387" s="66" t="str">
        <f t="shared" si="254"/>
        <v/>
      </c>
      <c r="AD387" s="66" t="str">
        <f t="shared" si="255"/>
        <v/>
      </c>
      <c r="AE387" s="66" t="str">
        <f t="shared" si="256"/>
        <v/>
      </c>
      <c r="AF387" s="66" t="str">
        <f t="shared" si="257"/>
        <v/>
      </c>
      <c r="AG387" s="66" t="str">
        <f t="shared" si="258"/>
        <v/>
      </c>
      <c r="AH387" s="66" t="str">
        <f t="shared" si="259"/>
        <v/>
      </c>
      <c r="AI387" s="66" t="str">
        <f t="shared" si="260"/>
        <v/>
      </c>
      <c r="AJ387" s="66" t="str">
        <f t="shared" si="261"/>
        <v/>
      </c>
    </row>
    <row r="388" spans="1:55">
      <c r="A388" s="66">
        <f t="shared" si="262"/>
        <v>26</v>
      </c>
      <c r="B388" s="66" t="str">
        <f t="shared" si="262"/>
        <v>曾慶鈞</v>
      </c>
      <c r="C388" s="66" t="str">
        <f t="shared" si="227"/>
        <v/>
      </c>
      <c r="D388" s="66" t="str">
        <f t="shared" si="229"/>
        <v/>
      </c>
      <c r="E388" s="66" t="str">
        <f t="shared" si="230"/>
        <v/>
      </c>
      <c r="F388" s="66" t="str">
        <f t="shared" si="231"/>
        <v/>
      </c>
      <c r="G388" s="66" t="str">
        <f t="shared" si="232"/>
        <v/>
      </c>
      <c r="H388" s="66" t="str">
        <f t="shared" si="233"/>
        <v/>
      </c>
      <c r="I388" s="66" t="str">
        <f t="shared" si="234"/>
        <v/>
      </c>
      <c r="J388" s="66" t="str">
        <f t="shared" si="235"/>
        <v/>
      </c>
      <c r="K388" s="66" t="str">
        <f t="shared" si="236"/>
        <v/>
      </c>
      <c r="L388" s="66" t="str">
        <f t="shared" si="237"/>
        <v/>
      </c>
      <c r="M388" s="66" t="str">
        <f t="shared" si="238"/>
        <v/>
      </c>
      <c r="N388" s="66" t="str">
        <f t="shared" si="239"/>
        <v/>
      </c>
      <c r="O388" s="66" t="str">
        <f t="shared" si="240"/>
        <v/>
      </c>
      <c r="P388" s="66" t="str">
        <f t="shared" si="241"/>
        <v/>
      </c>
      <c r="Q388" s="66" t="str">
        <f t="shared" si="242"/>
        <v/>
      </c>
      <c r="R388" s="66" t="str">
        <f t="shared" si="243"/>
        <v/>
      </c>
      <c r="S388" s="66" t="str">
        <f t="shared" si="244"/>
        <v/>
      </c>
      <c r="T388" s="66" t="str">
        <f t="shared" si="245"/>
        <v/>
      </c>
      <c r="U388" s="66" t="str">
        <f t="shared" si="246"/>
        <v/>
      </c>
      <c r="V388" s="66" t="str">
        <f t="shared" si="247"/>
        <v/>
      </c>
      <c r="W388" s="66" t="str">
        <f t="shared" si="248"/>
        <v/>
      </c>
      <c r="X388" s="66" t="str">
        <f t="shared" si="249"/>
        <v/>
      </c>
      <c r="Y388" s="66" t="str">
        <f t="shared" si="250"/>
        <v/>
      </c>
      <c r="Z388" s="66" t="str">
        <f t="shared" si="251"/>
        <v/>
      </c>
      <c r="AA388" s="66" t="str">
        <f t="shared" si="252"/>
        <v/>
      </c>
      <c r="AB388" s="66" t="str">
        <f t="shared" si="253"/>
        <v/>
      </c>
      <c r="AC388" s="66" t="str">
        <f t="shared" si="254"/>
        <v/>
      </c>
      <c r="AD388" s="66" t="str">
        <f t="shared" si="255"/>
        <v/>
      </c>
      <c r="AE388" s="66" t="str">
        <f t="shared" si="256"/>
        <v/>
      </c>
      <c r="AF388" s="66" t="str">
        <f t="shared" si="257"/>
        <v/>
      </c>
      <c r="AG388" s="66" t="str">
        <f t="shared" si="258"/>
        <v/>
      </c>
      <c r="AH388" s="66" t="str">
        <f t="shared" si="259"/>
        <v/>
      </c>
      <c r="AI388" s="66" t="str">
        <f t="shared" si="260"/>
        <v/>
      </c>
      <c r="AJ388" s="66" t="str">
        <f t="shared" si="261"/>
        <v/>
      </c>
    </row>
    <row r="389" spans="1:55">
      <c r="A389" s="66">
        <f t="shared" si="262"/>
        <v>27</v>
      </c>
      <c r="B389" s="66" t="str">
        <f t="shared" si="262"/>
        <v>游瀚翔</v>
      </c>
      <c r="C389" s="66" t="str">
        <f t="shared" si="227"/>
        <v/>
      </c>
      <c r="D389" s="66" t="str">
        <f t="shared" si="229"/>
        <v/>
      </c>
      <c r="E389" s="66" t="str">
        <f t="shared" si="230"/>
        <v/>
      </c>
      <c r="F389" s="66" t="str">
        <f t="shared" si="231"/>
        <v/>
      </c>
      <c r="G389" s="66" t="str">
        <f t="shared" si="232"/>
        <v/>
      </c>
      <c r="H389" s="66" t="str">
        <f t="shared" si="233"/>
        <v/>
      </c>
      <c r="I389" s="66" t="str">
        <f t="shared" si="234"/>
        <v/>
      </c>
      <c r="J389" s="66" t="str">
        <f t="shared" si="235"/>
        <v/>
      </c>
      <c r="K389" s="66" t="str">
        <f t="shared" si="236"/>
        <v/>
      </c>
      <c r="L389" s="66" t="str">
        <f t="shared" si="237"/>
        <v>27(18-22時)</v>
      </c>
      <c r="M389" s="66" t="str">
        <f t="shared" si="238"/>
        <v/>
      </c>
      <c r="N389" s="66" t="str">
        <f t="shared" si="239"/>
        <v>27(18-22時)</v>
      </c>
      <c r="O389" s="66" t="str">
        <f t="shared" si="240"/>
        <v/>
      </c>
      <c r="P389" s="66" t="str">
        <f t="shared" si="241"/>
        <v/>
      </c>
      <c r="Q389" s="66" t="str">
        <f t="shared" si="242"/>
        <v/>
      </c>
      <c r="R389" s="66" t="str">
        <f t="shared" si="243"/>
        <v/>
      </c>
      <c r="S389" s="66" t="str">
        <f t="shared" si="244"/>
        <v>27(18-22時)</v>
      </c>
      <c r="T389" s="66" t="str">
        <f t="shared" si="245"/>
        <v/>
      </c>
      <c r="U389" s="66" t="str">
        <f t="shared" si="246"/>
        <v/>
      </c>
      <c r="V389" s="66" t="str">
        <f t="shared" si="247"/>
        <v>27(18-22時)</v>
      </c>
      <c r="W389" s="66" t="str">
        <f t="shared" si="248"/>
        <v/>
      </c>
      <c r="X389" s="66" t="str">
        <f t="shared" si="249"/>
        <v/>
      </c>
      <c r="Y389" s="66" t="str">
        <f t="shared" si="250"/>
        <v/>
      </c>
      <c r="Z389" s="66" t="str">
        <f t="shared" si="251"/>
        <v/>
      </c>
      <c r="AA389" s="66" t="str">
        <f t="shared" si="252"/>
        <v/>
      </c>
      <c r="AB389" s="66" t="str">
        <f t="shared" si="253"/>
        <v/>
      </c>
      <c r="AC389" s="66" t="str">
        <f t="shared" si="254"/>
        <v/>
      </c>
      <c r="AD389" s="66" t="str">
        <f t="shared" si="255"/>
        <v/>
      </c>
      <c r="AE389" s="66" t="str">
        <f t="shared" si="256"/>
        <v/>
      </c>
      <c r="AF389" s="66" t="str">
        <f t="shared" si="257"/>
        <v/>
      </c>
      <c r="AG389" s="66" t="str">
        <f t="shared" si="258"/>
        <v>27(18-22時)</v>
      </c>
      <c r="AH389" s="66" t="str">
        <f t="shared" si="259"/>
        <v/>
      </c>
      <c r="AI389" s="66" t="str">
        <f t="shared" si="260"/>
        <v/>
      </c>
      <c r="AJ389" s="66" t="str">
        <f t="shared" si="261"/>
        <v/>
      </c>
    </row>
    <row r="390" spans="1:55">
      <c r="A390" s="66">
        <f t="shared" si="262"/>
        <v>28</v>
      </c>
      <c r="B390" s="66" t="str">
        <f t="shared" si="262"/>
        <v>高仲廷</v>
      </c>
      <c r="C390" s="66" t="str">
        <f t="shared" si="227"/>
        <v/>
      </c>
      <c r="D390" s="66" t="str">
        <f t="shared" si="229"/>
        <v/>
      </c>
      <c r="E390" s="66" t="str">
        <f t="shared" si="230"/>
        <v/>
      </c>
      <c r="F390" s="66" t="str">
        <f t="shared" si="231"/>
        <v>28(18-22時)</v>
      </c>
      <c r="G390" s="66" t="str">
        <f t="shared" si="232"/>
        <v/>
      </c>
      <c r="H390" s="66" t="str">
        <f t="shared" si="233"/>
        <v/>
      </c>
      <c r="I390" s="66" t="str">
        <f t="shared" si="234"/>
        <v/>
      </c>
      <c r="J390" s="66" t="str">
        <f t="shared" si="235"/>
        <v/>
      </c>
      <c r="K390" s="66" t="str">
        <f t="shared" si="236"/>
        <v/>
      </c>
      <c r="L390" s="66" t="str">
        <f t="shared" si="237"/>
        <v>.</v>
      </c>
      <c r="M390" s="66" t="str">
        <f t="shared" si="238"/>
        <v/>
      </c>
      <c r="N390" s="66" t="str">
        <f t="shared" si="239"/>
        <v>.28(18-22時)</v>
      </c>
      <c r="O390" s="66" t="str">
        <f t="shared" si="240"/>
        <v/>
      </c>
      <c r="P390" s="66" t="str">
        <f t="shared" si="241"/>
        <v/>
      </c>
      <c r="Q390" s="66" t="str">
        <f t="shared" si="242"/>
        <v/>
      </c>
      <c r="R390" s="66" t="str">
        <f t="shared" si="243"/>
        <v/>
      </c>
      <c r="S390" s="66" t="str">
        <f t="shared" si="244"/>
        <v>.</v>
      </c>
      <c r="T390" s="66" t="str">
        <f t="shared" si="245"/>
        <v/>
      </c>
      <c r="U390" s="66" t="str">
        <f t="shared" si="246"/>
        <v>28(18-22時)</v>
      </c>
      <c r="V390" s="66" t="str">
        <f t="shared" si="247"/>
        <v>.</v>
      </c>
      <c r="W390" s="66" t="str">
        <f t="shared" si="248"/>
        <v>28(14-22時)</v>
      </c>
      <c r="X390" s="66" t="str">
        <f t="shared" si="249"/>
        <v>28(14-18時)</v>
      </c>
      <c r="Y390" s="66" t="str">
        <f t="shared" si="250"/>
        <v/>
      </c>
      <c r="Z390" s="66" t="str">
        <f t="shared" si="251"/>
        <v/>
      </c>
      <c r="AA390" s="66" t="str">
        <f t="shared" si="252"/>
        <v/>
      </c>
      <c r="AB390" s="66" t="str">
        <f t="shared" si="253"/>
        <v/>
      </c>
      <c r="AC390" s="66" t="str">
        <f t="shared" si="254"/>
        <v/>
      </c>
      <c r="AD390" s="66" t="str">
        <f t="shared" si="255"/>
        <v/>
      </c>
      <c r="AE390" s="66" t="str">
        <f t="shared" si="256"/>
        <v/>
      </c>
      <c r="AF390" s="66" t="str">
        <f t="shared" si="257"/>
        <v/>
      </c>
      <c r="AG390" s="66" t="str">
        <f t="shared" si="258"/>
        <v>.</v>
      </c>
      <c r="AH390" s="66" t="str">
        <f t="shared" si="259"/>
        <v/>
      </c>
      <c r="AI390" s="66" t="str">
        <f t="shared" si="260"/>
        <v/>
      </c>
      <c r="AJ390" s="66" t="str">
        <f t="shared" si="261"/>
        <v/>
      </c>
    </row>
    <row r="391" spans="1:55">
      <c r="A391" s="66">
        <f t="shared" si="262"/>
        <v>29</v>
      </c>
      <c r="B391" s="66" t="str">
        <f t="shared" si="262"/>
        <v>陳羲</v>
      </c>
      <c r="C391" s="66" t="str">
        <f t="shared" si="227"/>
        <v/>
      </c>
      <c r="D391" s="66" t="str">
        <f t="shared" si="229"/>
        <v/>
      </c>
      <c r="E391" s="66" t="str">
        <f t="shared" si="230"/>
        <v/>
      </c>
      <c r="F391" s="66" t="str">
        <f t="shared" si="231"/>
        <v>.</v>
      </c>
      <c r="G391" s="66" t="str">
        <f t="shared" si="232"/>
        <v/>
      </c>
      <c r="H391" s="66" t="str">
        <f t="shared" si="233"/>
        <v/>
      </c>
      <c r="I391" s="66" t="str">
        <f t="shared" si="234"/>
        <v>29(18-22時)</v>
      </c>
      <c r="J391" s="66" t="str">
        <f t="shared" si="235"/>
        <v/>
      </c>
      <c r="K391" s="66" t="str">
        <f t="shared" si="236"/>
        <v/>
      </c>
      <c r="L391" s="66" t="str">
        <f t="shared" si="237"/>
        <v/>
      </c>
      <c r="M391" s="66" t="str">
        <f t="shared" si="238"/>
        <v/>
      </c>
      <c r="N391" s="66" t="str">
        <f t="shared" si="239"/>
        <v>.</v>
      </c>
      <c r="O391" s="66" t="str">
        <f t="shared" si="240"/>
        <v/>
      </c>
      <c r="P391" s="66" t="str">
        <f t="shared" si="241"/>
        <v/>
      </c>
      <c r="Q391" s="66" t="str">
        <f t="shared" si="242"/>
        <v/>
      </c>
      <c r="R391" s="66" t="str">
        <f t="shared" si="243"/>
        <v/>
      </c>
      <c r="S391" s="66" t="str">
        <f t="shared" si="244"/>
        <v/>
      </c>
      <c r="T391" s="66" t="str">
        <f t="shared" si="245"/>
        <v/>
      </c>
      <c r="U391" s="66" t="str">
        <f t="shared" si="246"/>
        <v>.</v>
      </c>
      <c r="V391" s="66" t="str">
        <f t="shared" si="247"/>
        <v/>
      </c>
      <c r="W391" s="66" t="str">
        <f t="shared" si="248"/>
        <v>.29(18-22時)</v>
      </c>
      <c r="X391" s="66" t="str">
        <f t="shared" si="249"/>
        <v>.</v>
      </c>
      <c r="Y391" s="66" t="str">
        <f t="shared" si="250"/>
        <v/>
      </c>
      <c r="Z391" s="66" t="str">
        <f t="shared" si="251"/>
        <v/>
      </c>
      <c r="AA391" s="66" t="str">
        <f t="shared" si="252"/>
        <v/>
      </c>
      <c r="AB391" s="66" t="str">
        <f t="shared" si="253"/>
        <v/>
      </c>
      <c r="AC391" s="66" t="str">
        <f t="shared" si="254"/>
        <v/>
      </c>
      <c r="AD391" s="66" t="str">
        <f t="shared" si="255"/>
        <v/>
      </c>
      <c r="AE391" s="66" t="str">
        <f t="shared" si="256"/>
        <v/>
      </c>
      <c r="AF391" s="66" t="str">
        <f t="shared" si="257"/>
        <v/>
      </c>
      <c r="AG391" s="66" t="str">
        <f t="shared" si="258"/>
        <v/>
      </c>
      <c r="AH391" s="66" t="str">
        <f t="shared" si="259"/>
        <v/>
      </c>
      <c r="AI391" s="66" t="str">
        <f t="shared" si="260"/>
        <v/>
      </c>
      <c r="AJ391" s="66" t="str">
        <f t="shared" si="261"/>
        <v/>
      </c>
    </row>
    <row r="392" spans="1:55">
      <c r="A392" s="66">
        <f t="shared" si="262"/>
        <v>30</v>
      </c>
      <c r="B392" s="66" t="str">
        <f t="shared" si="262"/>
        <v>謝昕融</v>
      </c>
      <c r="C392" s="66" t="str">
        <f t="shared" si="227"/>
        <v/>
      </c>
      <c r="D392" s="66" t="str">
        <f t="shared" si="229"/>
        <v/>
      </c>
      <c r="E392" s="66" t="str">
        <f t="shared" si="230"/>
        <v/>
      </c>
      <c r="F392" s="66" t="str">
        <f t="shared" si="231"/>
        <v/>
      </c>
      <c r="G392" s="66" t="str">
        <f t="shared" si="232"/>
        <v/>
      </c>
      <c r="H392" s="66" t="str">
        <f t="shared" si="233"/>
        <v/>
      </c>
      <c r="I392" s="66" t="str">
        <f t="shared" si="234"/>
        <v>.</v>
      </c>
      <c r="J392" s="66" t="str">
        <f t="shared" si="235"/>
        <v/>
      </c>
      <c r="K392" s="66" t="str">
        <f t="shared" si="236"/>
        <v/>
      </c>
      <c r="L392" s="66" t="str">
        <f t="shared" si="237"/>
        <v/>
      </c>
      <c r="M392" s="66" t="str">
        <f t="shared" si="238"/>
        <v/>
      </c>
      <c r="N392" s="66" t="str">
        <f t="shared" si="239"/>
        <v/>
      </c>
      <c r="O392" s="66" t="str">
        <f t="shared" si="240"/>
        <v/>
      </c>
      <c r="P392" s="66" t="str">
        <f t="shared" si="241"/>
        <v/>
      </c>
      <c r="Q392" s="66" t="str">
        <f t="shared" si="242"/>
        <v/>
      </c>
      <c r="R392" s="66" t="str">
        <f t="shared" si="243"/>
        <v/>
      </c>
      <c r="S392" s="66" t="str">
        <f t="shared" si="244"/>
        <v/>
      </c>
      <c r="T392" s="66" t="str">
        <f t="shared" si="245"/>
        <v/>
      </c>
      <c r="U392" s="66" t="str">
        <f t="shared" si="246"/>
        <v/>
      </c>
      <c r="V392" s="66" t="str">
        <f t="shared" si="247"/>
        <v/>
      </c>
      <c r="W392" s="66" t="str">
        <f t="shared" si="248"/>
        <v>.</v>
      </c>
      <c r="X392" s="66" t="str">
        <f t="shared" si="249"/>
        <v/>
      </c>
      <c r="Y392" s="66" t="str">
        <f t="shared" si="250"/>
        <v/>
      </c>
      <c r="Z392" s="66" t="str">
        <f t="shared" si="251"/>
        <v/>
      </c>
      <c r="AA392" s="66" t="str">
        <f t="shared" si="252"/>
        <v/>
      </c>
      <c r="AB392" s="66" t="str">
        <f t="shared" si="253"/>
        <v/>
      </c>
      <c r="AC392" s="66" t="str">
        <f t="shared" si="254"/>
        <v/>
      </c>
      <c r="AD392" s="66" t="str">
        <f t="shared" si="255"/>
        <v/>
      </c>
      <c r="AE392" s="66" t="str">
        <f t="shared" si="256"/>
        <v/>
      </c>
      <c r="AF392" s="66" t="str">
        <f t="shared" si="257"/>
        <v/>
      </c>
      <c r="AG392" s="66" t="str">
        <f t="shared" si="258"/>
        <v/>
      </c>
      <c r="AH392" s="66" t="str">
        <f t="shared" si="259"/>
        <v/>
      </c>
      <c r="AI392" s="66" t="str">
        <f t="shared" si="260"/>
        <v/>
      </c>
      <c r="AJ392" s="66" t="str">
        <f t="shared" si="261"/>
        <v/>
      </c>
    </row>
    <row r="393" spans="1:55">
      <c r="A393" s="66">
        <f t="shared" si="262"/>
        <v>31</v>
      </c>
      <c r="B393" s="66" t="str">
        <f t="shared" si="262"/>
        <v>許峰銘</v>
      </c>
      <c r="C393" s="66" t="str">
        <f t="shared" si="227"/>
        <v/>
      </c>
      <c r="D393" s="66" t="str">
        <f t="shared" si="229"/>
        <v/>
      </c>
      <c r="E393" s="66" t="str">
        <f t="shared" si="230"/>
        <v>31(14-18時)</v>
      </c>
      <c r="F393" s="66" t="str">
        <f t="shared" si="231"/>
        <v/>
      </c>
      <c r="G393" s="66" t="str">
        <f t="shared" si="232"/>
        <v/>
      </c>
      <c r="H393" s="66" t="str">
        <f t="shared" si="233"/>
        <v/>
      </c>
      <c r="I393" s="66" t="str">
        <f t="shared" si="234"/>
        <v/>
      </c>
      <c r="J393" s="66" t="str">
        <f t="shared" si="235"/>
        <v/>
      </c>
      <c r="K393" s="66" t="str">
        <f t="shared" si="236"/>
        <v/>
      </c>
      <c r="L393" s="66" t="str">
        <f t="shared" si="237"/>
        <v/>
      </c>
      <c r="M393" s="66" t="str">
        <f t="shared" si="238"/>
        <v/>
      </c>
      <c r="N393" s="66" t="str">
        <f t="shared" si="239"/>
        <v/>
      </c>
      <c r="O393" s="66" t="str">
        <f t="shared" si="240"/>
        <v/>
      </c>
      <c r="P393" s="66" t="str">
        <f t="shared" si="241"/>
        <v/>
      </c>
      <c r="Q393" s="66" t="str">
        <f t="shared" si="242"/>
        <v/>
      </c>
      <c r="R393" s="66" t="str">
        <f t="shared" si="243"/>
        <v/>
      </c>
      <c r="S393" s="66" t="str">
        <f t="shared" si="244"/>
        <v/>
      </c>
      <c r="T393" s="66" t="str">
        <f t="shared" si="245"/>
        <v/>
      </c>
      <c r="U393" s="66" t="str">
        <f t="shared" si="246"/>
        <v/>
      </c>
      <c r="V393" s="66" t="str">
        <f t="shared" si="247"/>
        <v/>
      </c>
      <c r="W393" s="66" t="str">
        <f t="shared" si="248"/>
        <v/>
      </c>
      <c r="X393" s="66" t="str">
        <f t="shared" si="249"/>
        <v/>
      </c>
      <c r="Y393" s="66" t="str">
        <f t="shared" si="250"/>
        <v/>
      </c>
      <c r="Z393" s="66" t="str">
        <f t="shared" si="251"/>
        <v/>
      </c>
      <c r="AA393" s="66" t="str">
        <f t="shared" si="252"/>
        <v/>
      </c>
      <c r="AB393" s="66" t="str">
        <f t="shared" si="253"/>
        <v/>
      </c>
      <c r="AC393" s="66" t="str">
        <f t="shared" si="254"/>
        <v/>
      </c>
      <c r="AD393" s="66" t="str">
        <f t="shared" si="255"/>
        <v/>
      </c>
      <c r="AE393" s="66" t="str">
        <f t="shared" si="256"/>
        <v/>
      </c>
      <c r="AF393" s="66" t="str">
        <f t="shared" si="257"/>
        <v/>
      </c>
      <c r="AG393" s="66" t="str">
        <f t="shared" si="258"/>
        <v/>
      </c>
      <c r="AH393" s="66" t="str">
        <f t="shared" si="259"/>
        <v/>
      </c>
      <c r="AI393" s="66" t="str">
        <f t="shared" si="260"/>
        <v/>
      </c>
      <c r="AJ393" s="66" t="str">
        <f t="shared" si="261"/>
        <v/>
      </c>
    </row>
    <row r="394" spans="1:55">
      <c r="A394" s="66">
        <f t="shared" si="262"/>
        <v>32</v>
      </c>
      <c r="B394" s="66" t="str">
        <f t="shared" si="262"/>
        <v>莊博竣</v>
      </c>
      <c r="C394" s="66" t="str">
        <f t="shared" si="227"/>
        <v/>
      </c>
      <c r="D394" s="66" t="str">
        <f t="shared" si="229"/>
        <v/>
      </c>
      <c r="E394" s="66" t="str">
        <f t="shared" si="230"/>
        <v>.</v>
      </c>
      <c r="F394" s="66" t="str">
        <f t="shared" si="231"/>
        <v/>
      </c>
      <c r="G394" s="66" t="str">
        <f t="shared" si="232"/>
        <v/>
      </c>
      <c r="H394" s="66" t="str">
        <f t="shared" si="233"/>
        <v/>
      </c>
      <c r="I394" s="66" t="str">
        <f t="shared" si="234"/>
        <v/>
      </c>
      <c r="J394" s="66" t="str">
        <f t="shared" si="235"/>
        <v/>
      </c>
      <c r="K394" s="66" t="str">
        <f t="shared" si="236"/>
        <v/>
      </c>
      <c r="L394" s="66" t="str">
        <f t="shared" si="237"/>
        <v/>
      </c>
      <c r="M394" s="66" t="str">
        <f t="shared" si="238"/>
        <v/>
      </c>
      <c r="N394" s="66" t="str">
        <f t="shared" si="239"/>
        <v/>
      </c>
      <c r="O394" s="66" t="str">
        <f t="shared" si="240"/>
        <v/>
      </c>
      <c r="P394" s="66" t="str">
        <f t="shared" si="241"/>
        <v/>
      </c>
      <c r="Q394" s="66" t="str">
        <f t="shared" si="242"/>
        <v/>
      </c>
      <c r="R394" s="66" t="str">
        <f t="shared" si="243"/>
        <v/>
      </c>
      <c r="S394" s="66" t="str">
        <f t="shared" si="244"/>
        <v/>
      </c>
      <c r="T394" s="66" t="str">
        <f t="shared" si="245"/>
        <v/>
      </c>
      <c r="U394" s="66" t="str">
        <f t="shared" si="246"/>
        <v/>
      </c>
      <c r="V394" s="66" t="str">
        <f t="shared" si="247"/>
        <v/>
      </c>
      <c r="W394" s="66" t="str">
        <f t="shared" si="248"/>
        <v/>
      </c>
      <c r="X394" s="66" t="str">
        <f t="shared" si="249"/>
        <v/>
      </c>
      <c r="Y394" s="66" t="str">
        <f t="shared" si="250"/>
        <v/>
      </c>
      <c r="Z394" s="66" t="str">
        <f t="shared" si="251"/>
        <v/>
      </c>
      <c r="AA394" s="66" t="str">
        <f t="shared" si="252"/>
        <v/>
      </c>
      <c r="AB394" s="66" t="str">
        <f t="shared" si="253"/>
        <v/>
      </c>
      <c r="AC394" s="66" t="str">
        <f t="shared" si="254"/>
        <v/>
      </c>
      <c r="AD394" s="66" t="str">
        <f t="shared" si="255"/>
        <v/>
      </c>
      <c r="AE394" s="66" t="str">
        <f t="shared" si="256"/>
        <v/>
      </c>
      <c r="AF394" s="66" t="str">
        <f t="shared" si="257"/>
        <v/>
      </c>
      <c r="AG394" s="66" t="str">
        <f t="shared" si="258"/>
        <v/>
      </c>
      <c r="AH394" s="66" t="str">
        <f t="shared" si="259"/>
        <v/>
      </c>
      <c r="AI394" s="66" t="str">
        <f t="shared" si="260"/>
        <v/>
      </c>
      <c r="AJ394" s="66" t="str">
        <f t="shared" si="261"/>
        <v/>
      </c>
    </row>
    <row r="395" spans="1:55">
      <c r="A395" s="66">
        <f t="shared" ref="A395:B398" si="263">A355</f>
        <v>33</v>
      </c>
      <c r="B395" s="66" t="str">
        <f t="shared" si="263"/>
        <v/>
      </c>
      <c r="C395" s="66" t="str">
        <f t="shared" si="227"/>
        <v/>
      </c>
      <c r="D395" s="66" t="str">
        <f t="shared" si="229"/>
        <v/>
      </c>
      <c r="E395" s="66" t="str">
        <f t="shared" si="230"/>
        <v/>
      </c>
      <c r="F395" s="66" t="str">
        <f t="shared" si="231"/>
        <v/>
      </c>
      <c r="G395" s="66" t="str">
        <f t="shared" si="232"/>
        <v/>
      </c>
      <c r="H395" s="66" t="str">
        <f t="shared" si="233"/>
        <v/>
      </c>
      <c r="I395" s="66" t="str">
        <f t="shared" si="234"/>
        <v/>
      </c>
      <c r="J395" s="66" t="str">
        <f t="shared" si="235"/>
        <v/>
      </c>
      <c r="K395" s="66" t="str">
        <f t="shared" si="236"/>
        <v/>
      </c>
      <c r="L395" s="66" t="str">
        <f t="shared" si="237"/>
        <v/>
      </c>
      <c r="M395" s="66" t="str">
        <f t="shared" si="238"/>
        <v/>
      </c>
      <c r="N395" s="66" t="str">
        <f t="shared" si="239"/>
        <v/>
      </c>
      <c r="O395" s="66" t="str">
        <f t="shared" si="240"/>
        <v/>
      </c>
      <c r="P395" s="66" t="str">
        <f t="shared" si="241"/>
        <v/>
      </c>
      <c r="Q395" s="66" t="str">
        <f t="shared" si="242"/>
        <v/>
      </c>
      <c r="R395" s="66" t="str">
        <f t="shared" si="243"/>
        <v/>
      </c>
      <c r="S395" s="66" t="str">
        <f t="shared" si="244"/>
        <v/>
      </c>
      <c r="T395" s="66" t="str">
        <f t="shared" si="245"/>
        <v/>
      </c>
      <c r="U395" s="66" t="str">
        <f t="shared" si="246"/>
        <v/>
      </c>
      <c r="V395" s="66" t="str">
        <f t="shared" si="247"/>
        <v/>
      </c>
      <c r="W395" s="66" t="str">
        <f t="shared" si="248"/>
        <v/>
      </c>
      <c r="X395" s="66" t="str">
        <f t="shared" si="249"/>
        <v/>
      </c>
      <c r="Y395" s="66" t="str">
        <f t="shared" si="250"/>
        <v/>
      </c>
      <c r="Z395" s="66" t="str">
        <f t="shared" si="251"/>
        <v/>
      </c>
      <c r="AA395" s="66" t="str">
        <f t="shared" si="252"/>
        <v/>
      </c>
      <c r="AB395" s="66" t="str">
        <f t="shared" si="253"/>
        <v/>
      </c>
      <c r="AC395" s="66" t="str">
        <f t="shared" si="254"/>
        <v/>
      </c>
      <c r="AD395" s="66" t="str">
        <f t="shared" si="255"/>
        <v/>
      </c>
      <c r="AE395" s="66" t="str">
        <f t="shared" si="256"/>
        <v/>
      </c>
      <c r="AF395" s="66" t="str">
        <f t="shared" si="257"/>
        <v/>
      </c>
      <c r="AG395" s="66" t="str">
        <f t="shared" si="258"/>
        <v/>
      </c>
      <c r="AH395" s="66" t="str">
        <f t="shared" si="259"/>
        <v/>
      </c>
      <c r="AI395" s="66" t="str">
        <f t="shared" si="260"/>
        <v/>
      </c>
      <c r="AJ395" s="66" t="str">
        <f t="shared" si="261"/>
        <v/>
      </c>
    </row>
    <row r="396" spans="1:55">
      <c r="A396" s="66">
        <f t="shared" si="263"/>
        <v>34</v>
      </c>
      <c r="B396" s="66" t="str">
        <f t="shared" si="263"/>
        <v/>
      </c>
      <c r="C396" s="66" t="str">
        <f t="shared" si="227"/>
        <v/>
      </c>
      <c r="D396" s="66" t="str">
        <f t="shared" si="229"/>
        <v/>
      </c>
      <c r="E396" s="66" t="str">
        <f t="shared" si="230"/>
        <v/>
      </c>
      <c r="F396" s="66" t="str">
        <f t="shared" si="231"/>
        <v/>
      </c>
      <c r="G396" s="66" t="str">
        <f t="shared" si="232"/>
        <v/>
      </c>
      <c r="H396" s="66" t="str">
        <f t="shared" si="233"/>
        <v/>
      </c>
      <c r="I396" s="66" t="str">
        <f t="shared" si="234"/>
        <v/>
      </c>
      <c r="J396" s="66" t="str">
        <f t="shared" si="235"/>
        <v/>
      </c>
      <c r="K396" s="66" t="str">
        <f t="shared" si="236"/>
        <v/>
      </c>
      <c r="L396" s="66" t="str">
        <f t="shared" si="237"/>
        <v/>
      </c>
      <c r="M396" s="66" t="str">
        <f t="shared" si="238"/>
        <v/>
      </c>
      <c r="N396" s="66" t="str">
        <f t="shared" si="239"/>
        <v/>
      </c>
      <c r="O396" s="66" t="str">
        <f t="shared" si="240"/>
        <v/>
      </c>
      <c r="P396" s="66" t="str">
        <f t="shared" si="241"/>
        <v/>
      </c>
      <c r="Q396" s="66" t="str">
        <f t="shared" si="242"/>
        <v/>
      </c>
      <c r="R396" s="66" t="str">
        <f t="shared" si="243"/>
        <v/>
      </c>
      <c r="S396" s="66" t="str">
        <f t="shared" si="244"/>
        <v/>
      </c>
      <c r="T396" s="66" t="str">
        <f t="shared" si="245"/>
        <v/>
      </c>
      <c r="U396" s="66" t="str">
        <f t="shared" si="246"/>
        <v/>
      </c>
      <c r="V396" s="66" t="str">
        <f t="shared" si="247"/>
        <v/>
      </c>
      <c r="W396" s="66" t="str">
        <f t="shared" si="248"/>
        <v/>
      </c>
      <c r="X396" s="66" t="str">
        <f t="shared" si="249"/>
        <v/>
      </c>
      <c r="Y396" s="66" t="str">
        <f t="shared" si="250"/>
        <v/>
      </c>
      <c r="Z396" s="66" t="str">
        <f t="shared" si="251"/>
        <v/>
      </c>
      <c r="AA396" s="66" t="str">
        <f t="shared" si="252"/>
        <v/>
      </c>
      <c r="AB396" s="66" t="str">
        <f t="shared" si="253"/>
        <v/>
      </c>
      <c r="AC396" s="66" t="str">
        <f t="shared" si="254"/>
        <v/>
      </c>
      <c r="AD396" s="66" t="str">
        <f t="shared" si="255"/>
        <v/>
      </c>
      <c r="AE396" s="66" t="str">
        <f t="shared" si="256"/>
        <v/>
      </c>
      <c r="AF396" s="66" t="str">
        <f t="shared" si="257"/>
        <v/>
      </c>
      <c r="AG396" s="66" t="str">
        <f t="shared" si="258"/>
        <v/>
      </c>
      <c r="AH396" s="66" t="str">
        <f t="shared" si="259"/>
        <v/>
      </c>
      <c r="AI396" s="66" t="str">
        <f t="shared" si="260"/>
        <v/>
      </c>
      <c r="AJ396" s="66" t="str">
        <f t="shared" si="261"/>
        <v/>
      </c>
    </row>
    <row r="397" spans="1:55">
      <c r="A397" s="66">
        <f t="shared" si="263"/>
        <v>35</v>
      </c>
      <c r="B397" s="66" t="str">
        <f t="shared" si="263"/>
        <v/>
      </c>
      <c r="C397" s="66" t="str">
        <f t="shared" si="227"/>
        <v/>
      </c>
      <c r="D397" s="66" t="str">
        <f t="shared" si="229"/>
        <v/>
      </c>
      <c r="E397" s="66" t="str">
        <f t="shared" si="230"/>
        <v/>
      </c>
      <c r="F397" s="66" t="str">
        <f t="shared" si="231"/>
        <v/>
      </c>
      <c r="G397" s="66" t="str">
        <f t="shared" si="232"/>
        <v/>
      </c>
      <c r="H397" s="66" t="str">
        <f t="shared" si="233"/>
        <v/>
      </c>
      <c r="I397" s="66" t="str">
        <f t="shared" si="234"/>
        <v/>
      </c>
      <c r="J397" s="66" t="str">
        <f t="shared" si="235"/>
        <v/>
      </c>
      <c r="K397" s="66" t="str">
        <f t="shared" si="236"/>
        <v/>
      </c>
      <c r="L397" s="66" t="str">
        <f t="shared" si="237"/>
        <v/>
      </c>
      <c r="M397" s="66" t="str">
        <f t="shared" si="238"/>
        <v/>
      </c>
      <c r="N397" s="66" t="str">
        <f t="shared" si="239"/>
        <v/>
      </c>
      <c r="O397" s="66" t="str">
        <f t="shared" si="240"/>
        <v/>
      </c>
      <c r="P397" s="66" t="str">
        <f t="shared" si="241"/>
        <v/>
      </c>
      <c r="Q397" s="66" t="str">
        <f t="shared" si="242"/>
        <v/>
      </c>
      <c r="R397" s="66" t="str">
        <f t="shared" si="243"/>
        <v/>
      </c>
      <c r="S397" s="66" t="str">
        <f t="shared" si="244"/>
        <v/>
      </c>
      <c r="T397" s="66" t="str">
        <f t="shared" si="245"/>
        <v/>
      </c>
      <c r="U397" s="66" t="str">
        <f t="shared" si="246"/>
        <v/>
      </c>
      <c r="V397" s="66" t="str">
        <f t="shared" si="247"/>
        <v/>
      </c>
      <c r="W397" s="66" t="str">
        <f t="shared" si="248"/>
        <v/>
      </c>
      <c r="X397" s="66" t="str">
        <f t="shared" si="249"/>
        <v/>
      </c>
      <c r="Y397" s="66" t="str">
        <f t="shared" si="250"/>
        <v/>
      </c>
      <c r="Z397" s="66" t="str">
        <f t="shared" si="251"/>
        <v/>
      </c>
      <c r="AA397" s="66" t="str">
        <f t="shared" si="252"/>
        <v/>
      </c>
      <c r="AB397" s="66" t="str">
        <f t="shared" si="253"/>
        <v/>
      </c>
      <c r="AC397" s="66" t="str">
        <f t="shared" si="254"/>
        <v/>
      </c>
      <c r="AD397" s="66" t="str">
        <f t="shared" si="255"/>
        <v/>
      </c>
      <c r="AE397" s="66" t="str">
        <f t="shared" si="256"/>
        <v/>
      </c>
      <c r="AF397" s="66" t="str">
        <f t="shared" si="257"/>
        <v/>
      </c>
      <c r="AG397" s="66" t="str">
        <f t="shared" si="258"/>
        <v/>
      </c>
      <c r="AH397" s="66" t="str">
        <f t="shared" si="259"/>
        <v/>
      </c>
      <c r="AI397" s="66" t="str">
        <f t="shared" si="260"/>
        <v/>
      </c>
      <c r="AJ397" s="66" t="str">
        <f t="shared" si="261"/>
        <v/>
      </c>
    </row>
    <row r="398" spans="1:55">
      <c r="A398" s="66">
        <f t="shared" si="263"/>
        <v>37</v>
      </c>
      <c r="B398" s="66" t="str">
        <f t="shared" si="263"/>
        <v/>
      </c>
      <c r="C398" s="66" t="str">
        <f t="shared" ref="C398:AJ398" si="264">IF(    AND( C38="榮",  LEN(C397)&gt;=2 ),        "" &amp; $A398,    IF(         AND( C38="榮" ),       $A398,        IF(  OR(  LEN(C397)&gt;=2  ),  CONCATENATE(  ".",  IF(  AND(  LEN(  INDEX(   $A$1:$AJ$39, MATCH($A398,$A$1:$A$39,0),MATCH(  C$362,$A$1:$AP$1,0  )  )  )&gt;LEN(  SUBSTITUTE(  INDEX(   $A$1:$AJ$39, MATCH($A398,$A$1:$A$39,0),MATCH(  C$362,$A$1:$AP$1,0  )  ),"榮","")  ),  LEN(  INDEX(   $A$1:$AJ$39, MATCH($A398,$A$1:$A$39,0),MATCH(  C$362,$A$1:$AP$1,0  )  )  )&gt;LEN(  SUBSTITUTE(  INDEX(   $A$1:$AJ$39, MATCH($A398,$A$1:$A$39,0),MATCH(  C$362,$A$1:$AP$1,0  )  ),"-","")  )  ),  CONCATENATE(  $A398,"(",   SUBSTITUTE(   SUBSTITUTE(  SUBSTITUTE(  INDEX(   $A$1:$AJ$39, MATCH($A398,$A$1:$A$39,0),MATCH(  C$362,$A$362:$AP$362,0  )  ),"榮",""),"x","")," ",""),"時",")"),  ""  )  ),  IF(  AND(  LEN(  INDEX(   $A$1:$AJ$39, MATCH($A398,$A$1:$A$39,0),MATCH(  C$362,$A$1:$AP$1,0  )  )  )&gt;LEN(  SUBSTITUTE(  INDEX(   $A$1:$AJ$39, MATCH($A398,$A$1:$A$39,0),MATCH(  C$362,$A$1:$AP$1,0  )  ),"榮","")  ),  LEN(  INDEX(   $A$1:$AJ$39, MATCH($A398,$A$1:$A$39,0),MATCH(  C$362,$A$1:$AP$1,0  )  )  )&gt;LEN(  SUBSTITUTE(  INDEX(   $A$1:$AJ$39, MATCH($A398,$A$1:$A$39,0),MATCH(  C$362,$A$1:$AP$1,0  )  ),"-","")  )  ),  CONCATENATE(  $A398,"(",   SUBSTITUTE(   SUBSTITUTE(  SUBSTITUTE(  INDEX(   $A$1:$AJ$39, MATCH($A398,$A$1:$A$39,0),MATCH(  C$362,$A$362:$AP$362,0  )  ),"榮",""),"x","")," ",""),"時",")"),  ""  )  )           ))</f>
        <v/>
      </c>
      <c r="D398" s="66" t="str">
        <f t="shared" si="264"/>
        <v/>
      </c>
      <c r="E398" s="66" t="str">
        <f t="shared" si="264"/>
        <v/>
      </c>
      <c r="F398" s="66" t="str">
        <f t="shared" si="264"/>
        <v/>
      </c>
      <c r="G398" s="66" t="str">
        <f t="shared" si="264"/>
        <v/>
      </c>
      <c r="H398" s="66" t="str">
        <f t="shared" si="264"/>
        <v/>
      </c>
      <c r="I398" s="66" t="str">
        <f t="shared" si="264"/>
        <v/>
      </c>
      <c r="J398" s="66" t="str">
        <f t="shared" si="264"/>
        <v/>
      </c>
      <c r="K398" s="66" t="str">
        <f t="shared" si="264"/>
        <v/>
      </c>
      <c r="L398" s="66" t="str">
        <f t="shared" si="264"/>
        <v/>
      </c>
      <c r="M398" s="66" t="str">
        <f t="shared" si="264"/>
        <v/>
      </c>
      <c r="N398" s="66" t="str">
        <f t="shared" si="264"/>
        <v/>
      </c>
      <c r="O398" s="66" t="str">
        <f t="shared" si="264"/>
        <v/>
      </c>
      <c r="P398" s="66" t="str">
        <f t="shared" si="264"/>
        <v/>
      </c>
      <c r="Q398" s="66" t="str">
        <f t="shared" si="264"/>
        <v/>
      </c>
      <c r="R398" s="66" t="str">
        <f t="shared" si="264"/>
        <v/>
      </c>
      <c r="S398" s="66" t="str">
        <f t="shared" si="264"/>
        <v/>
      </c>
      <c r="T398" s="66" t="str">
        <f t="shared" si="264"/>
        <v/>
      </c>
      <c r="U398" s="66" t="str">
        <f t="shared" si="264"/>
        <v/>
      </c>
      <c r="V398" s="66" t="str">
        <f t="shared" si="264"/>
        <v/>
      </c>
      <c r="W398" s="66" t="str">
        <f t="shared" si="264"/>
        <v/>
      </c>
      <c r="X398" s="66" t="str">
        <f t="shared" si="264"/>
        <v/>
      </c>
      <c r="Y398" s="66" t="str">
        <f t="shared" si="264"/>
        <v/>
      </c>
      <c r="Z398" s="66" t="str">
        <f t="shared" si="264"/>
        <v/>
      </c>
      <c r="AA398" s="66" t="str">
        <f t="shared" si="264"/>
        <v/>
      </c>
      <c r="AB398" s="66" t="str">
        <f t="shared" si="264"/>
        <v/>
      </c>
      <c r="AC398" s="66" t="str">
        <f t="shared" si="264"/>
        <v/>
      </c>
      <c r="AD398" s="66" t="str">
        <f t="shared" si="264"/>
        <v/>
      </c>
      <c r="AE398" s="66" t="str">
        <f t="shared" si="264"/>
        <v/>
      </c>
      <c r="AF398" s="66" t="str">
        <f t="shared" si="264"/>
        <v/>
      </c>
      <c r="AG398" s="66" t="str">
        <f t="shared" si="264"/>
        <v/>
      </c>
      <c r="AH398" s="66" t="str">
        <f t="shared" si="264"/>
        <v/>
      </c>
      <c r="AI398" s="66" t="str">
        <f t="shared" si="264"/>
        <v/>
      </c>
      <c r="AJ398" s="66" t="str">
        <f t="shared" si="264"/>
        <v/>
      </c>
    </row>
    <row r="399" spans="1:55">
      <c r="A399" s="66"/>
      <c r="B399" s="66"/>
      <c r="C399" s="66" t="str">
        <f xml:space="preserve">    IF(  AND(  COUNTIF(勤務分配!$E$3:$E$44,"榮譽假")&gt;=1,  IFERROR(  LEFT(  CONCATENATE(C363,C364,C365,C366,C367,C368,C369,C370,C371,C372,C373,C374,C375,C376,C377,C378,C379,C380,C381,C382,C383,C384,C385,C386,C387,C388,C389,C390,C391,C392,C393,C394,C395,C396,C397,C398),LEN(  CONCATENATE(C363,C364,C365,C366,C367,C368,C369,C370,C371,C372,C373,C374,C375,C376,C377,C378,C379,C380,C381,C382,C383,C384,C385,C386,C387,C388,C389,C390,C391,C392,C393,C394,C395,C396,C397,C398)  )-1),"")&lt;&gt;""   ),"." &amp; IFERROR(  LEFT(  CONCATENATE(C363,C364,C365,C366,C367,C368,C369,C370,C371,C372,C373,C374,C375,C376,C377,C378,C379,C380,C381,C382,C383,C384,C385,C386,C387,C388,C389,C390,C391,C392,C393,C394,C395,C396,C397,C398),LEN(  CONCATENATE(C363,C364,C365,C366,C367,C368,C369,C370,C371,C372,C373,C374,C375,C376,C377,C378,C379,C380,C381,C382,C383,C384,C385,C386,C387,C388,C389,C390,C391,C392,C393,C394,C395,C396,C397,C398)  )-1),""),                             IFERROR(  LEFT(  CONCATENATE(C363,C364,C365,C366,C367,C368,C369,C370,C371,C372,C373,C374,C375,C376,C377,C378,C379,C380,C381,C382,C383,C384,C385,C386,C387,C388,C389,C390,C391,C392,C393,C394,C395,C396,C397,C398),LEN(  CONCATENATE(C363,C364,C365,C366,C367,C368,C369,C370,C371,C372,C373,C374,C375,C376,C377,C378,C379,C380,C381,C382,C383,C384,C385,C386,C387,C388,C389,C390,C391,C392,C393,C394,C395,C396,C397,C398)  )-1),"")        )</f>
        <v/>
      </c>
      <c r="D399" s="66" t="str">
        <f xml:space="preserve">    IF(  AND(  COUNTIF(勤務分配!$E$3:$E$44,"榮譽假")&gt;=1,  IFERROR(  LEFT(  CONCATENATE(D363,D364,D365,D366,D367,D368,D369,D370,D371,D372,D373,D374,D375,D376,D377,D378,D379,D380,D381,D382,D383,D384,D385,D386,D387,D388,D389,D390,D391,D392,D393,D394,D395,D396,D397,D398),LEN(  CONCATENATE(D363,D364,D365,D366,D367,D368,D369,D370,D371,D372,D373,D374,D375,D376,D377,D378,D379,D380,D381,D382,D383,D384,D385,D386,D387,D388,D389,D390,D391,D392,D393,D394,D395,D396,D397,D398)  )-1),"")&lt;&gt;""   ),"." &amp; IFERROR(  LEFT(  CONCATENATE(D363,D364,D365,D366,D367,D368,D369,D370,D371,D372,D373,D374,D375,D376,D377,D378,D379,D380,D381,D382,D383,D384,D385,D386,D387,D388,D389,D390,D391,D392,D393,D394,D395,D396,D397,D398),LEN(  CONCATENATE(D363,D364,D365,D366,D367,D368,D369,D370,D371,D372,D373,D374,D375,D376,D377,D378,D379,D380,D381,D382,D383,D384,D385,D386,D387,D388,D389,D390,D391,D392,D393,D394,D395,D396,D397,D398)  )-1),""),                             IFERROR(  LEFT(  CONCATENATE(D363,D364,D365,D366,D367,D368,D369,D370,D371,D372,D373,D374,D375,D376,D377,D378,D379,D380,D381,D382,D383,D384,D385,D386,D387,D388,D389,D390,D391,D392,D393,D394,D395,D396,D397,D398),LEN(  CONCATENATE(D363,D364,D365,D366,D367,D368,D369,D370,D371,D372,D373,D374,D375,D376,D377,D378,D379,D380,D381,D382,D383,D384,D385,D386,D387,D388,D389,D390,D391,D392,D393,D394,D395,D396,D397,D398)  )-1),"")        )</f>
        <v/>
      </c>
      <c r="E399" s="66" t="str">
        <f xml:space="preserve">    IF(  AND(  COUNTIF(勤務分配!$E$3:$E$44,"榮譽假")&gt;=1,  IFERROR(  LEFT(  CONCATENATE(E363,E364,E365,E366,E367,E368,E369,E370,E371,E372,E373,E374,E375,E376,E377,E378,E379,E380,E381,E382,E383,E384,E385,E386,E387,E388,E389,E390,E391,E392,E393,E394,E395,E396,E397,E398),LEN(  CONCATENATE(E363,E364,E365,E366,E367,E368,E369,E370,E371,E372,E373,E374,E375,E376,E377,E378,E379,E380,E381,E382,E383,E384,E385,E386,E387,E388,E389,E390,E391,E392,E393,E394,E395,E396,E397,E398)  )-1),"")&lt;&gt;""   ),"." &amp; IFERROR(  LEFT(  CONCATENATE(E363,E364,E365,E366,E367,E368,E369,E370,E371,E372,E373,E374,E375,E376,E377,E378,E379,E380,E381,E382,E383,E384,E385,E386,E387,E388,E389,E390,E391,E392,E393,E394,E395,E396,E397,E398),LEN(  CONCATENATE(E363,E364,E365,E366,E367,E368,E369,E370,E371,E372,E373,E374,E375,E376,E377,E378,E379,E380,E381,E382,E383,E384,E385,E386,E387,E388,E389,E390,E391,E392,E393,E394,E395,E396,E397,E398)  )-1),""),                             IFERROR(  LEFT(  CONCATENATE(E363,E364,E365,E366,E367,E368,E369,E370,E371,E372,E373,E374,E375,E376,E377,E378,E379,E380,E381,E382,E383,E384,E385,E386,E387,E388,E389,E390,E391,E392,E393,E394,E395,E396,E397,E398),LEN(  CONCATENATE(E363,E364,E365,E366,E367,E368,E369,E370,E371,E372,E373,E374,E375,E376,E377,E378,E379,E380,E381,E382,E383,E384,E385,E386,E387,E388,E389,E390,E391,E392,E393,E394,E395,E396,E397,E398)  )-1),"")        )</f>
        <v>20(18-22時).24(18-22時).31(14-18時)</v>
      </c>
      <c r="F399" s="66" t="str">
        <f xml:space="preserve">    IF(  AND(  COUNTIF(勤務分配!$E$3:$E$44,"榮譽假")&gt;=1,  IFERROR(  LEFT(  CONCATENATE(F363,F364,F365,F366,F367,F368,F369,F370,F371,F372,F373,F374,F375,F376,F377,F378,F379,F380,F381,F382,F383,F384,F385,F386,F387,F388,F389,F390,F391,F392,F393,F394,F395,F396,F397,F398),LEN(  CONCATENATE(F363,F364,F365,F366,F367,F368,F369,F370,F371,F372,F373,F374,F375,F376,F377,F378,F379,F380,F381,F382,F383,F384,F385,F386,F387,F388,F389,F390,F391,F392,F393,F394,F395,F396,F397,F398)  )-1),"")&lt;&gt;""   ),"." &amp; IFERROR(  LEFT(  CONCATENATE(F363,F364,F365,F366,F367,F368,F369,F370,F371,F372,F373,F374,F375,F376,F377,F378,F379,F380,F381,F382,F383,F384,F385,F386,F387,F388,F389,F390,F391,F392,F393,F394,F395,F396,F397,F398),LEN(  CONCATENATE(F363,F364,F365,F366,F367,F368,F369,F370,F371,F372,F373,F374,F375,F376,F377,F378,F379,F380,F381,F382,F383,F384,F385,F386,F387,F388,F389,F390,F391,F392,F393,F394,F395,F396,F397,F398)  )-1),""),                             IFERROR(  LEFT(  CONCATENATE(F363,F364,F365,F366,F367,F368,F369,F370,F371,F372,F373,F374,F375,F376,F377,F378,F379,F380,F381,F382,F383,F384,F385,F386,F387,F388,F389,F390,F391,F392,F393,F394,F395,F396,F397,F398),LEN(  CONCATENATE(F363,F364,F365,F366,F367,F368,F369,F370,F371,F372,F373,F374,F375,F376,F377,F378,F379,F380,F381,F382,F383,F384,F385,F386,F387,F388,F389,F390,F391,F392,F393,F394,F395,F396,F397,F398)  )-1),"")        )</f>
        <v>22(18-22時).28(18-22時)</v>
      </c>
      <c r="G399" s="66" t="str">
        <f xml:space="preserve">    IF(  AND(  COUNTIF(勤務分配!$E$3:$E$44,"榮譽假")&gt;=1,  IFERROR(  LEFT(  CONCATENATE(G363,G364,G365,G366,G367,G368,G369,G370,G371,G372,G373,G374,G375,G376,G377,G378,G379,G380,G381,G382,G383,G384,G385,G386,G387,G388,G389,G390,G391,G392,G393,G394,G395,G396,G397,G398),LEN(  CONCATENATE(G363,G364,G365,G366,G367,G368,G369,G370,G371,G372,G373,G374,G375,G376,G377,G378,G379,G380,G381,G382,G383,G384,G385,G386,G387,G388,G389,G390,G391,G392,G393,G394,G395,G396,G397,G398)  )-1),"")&lt;&gt;""   ),"." &amp; IFERROR(  LEFT(  CONCATENATE(G363,G364,G365,G366,G367,G368,G369,G370,G371,G372,G373,G374,G375,G376,G377,G378,G379,G380,G381,G382,G383,G384,G385,G386,G387,G388,G389,G390,G391,G392,G393,G394,G395,G396,G397,G398),LEN(  CONCATENATE(G363,G364,G365,G366,G367,G368,G369,G370,G371,G372,G373,G374,G375,G376,G377,G378,G379,G380,G381,G382,G383,G384,G385,G386,G387,G388,G389,G390,G391,G392,G393,G394,G395,G396,G397,G398)  )-1),""),                             IFERROR(  LEFT(  CONCATENATE(G363,G364,G365,G366,G367,G368,G369,G370,G371,G372,G373,G374,G375,G376,G377,G378,G379,G380,G381,G382,G383,G384,G385,G386,G387,G388,G389,G390,G391,G392,G393,G394,G395,G396,G397,G398),LEN(  CONCATENATE(G363,G364,G365,G366,G367,G368,G369,G370,G371,G372,G373,G374,G375,G376,G377,G378,G379,G380,G381,G382,G383,G384,G385,G386,G387,G388,G389,G390,G391,G392,G393,G394,G395,G396,G397,G398)  )-1),"")        )</f>
        <v/>
      </c>
      <c r="H399" s="66" t="str">
        <f xml:space="preserve">    IF(  AND(  COUNTIF(勤務分配!$E$3:$E$44,"榮譽假")&gt;=1,  IFERROR(  LEFT(  CONCATENATE(H363,H364,H365,H366,H367,H368,H369,H370,H371,H372,H373,H374,H375,H376,H377,H378,H379,H380,H381,H382,H383,H384,H385,H386,H387,H388,H389,H390,H391,H392,H393,H394,H395,H396,H397,H398),LEN(  CONCATENATE(H363,H364,H365,H366,H367,H368,H369,H370,H371,H372,H373,H374,H375,H376,H377,H378,H379,H380,H381,H382,H383,H384,H385,H386,H387,H388,H389,H390,H391,H392,H393,H394,H395,H396,H397,H398)  )-1),"")&lt;&gt;""   ),"." &amp; IFERROR(  LEFT(  CONCATENATE(H363,H364,H365,H366,H367,H368,H369,H370,H371,H372,H373,H374,H375,H376,H377,H378,H379,H380,H381,H382,H383,H384,H385,H386,H387,H388,H389,H390,H391,H392,H393,H394,H395,H396,H397,H398),LEN(  CONCATENATE(H363,H364,H365,H366,H367,H368,H369,H370,H371,H372,H373,H374,H375,H376,H377,H378,H379,H380,H381,H382,H383,H384,H385,H386,H387,H388,H389,H390,H391,H392,H393,H394,H395,H396,H397,H398)  )-1),""),                             IFERROR(  LEFT(  CONCATENATE(H363,H364,H365,H366,H367,H368,H369,H370,H371,H372,H373,H374,H375,H376,H377,H378,H379,H380,H381,H382,H383,H384,H385,H386,H387,H388,H389,H390,H391,H392,H393,H394,H395,H396,H397,H398),LEN(  CONCATENATE(H363,H364,H365,H366,H367,H368,H369,H370,H371,H372,H373,H374,H375,H376,H377,H378,H379,H380,H381,H382,H383,H384,H385,H386,H387,H388,H389,H390,H391,H392,H393,H394,H395,H396,H397,H398)  )-1),"")        )</f>
        <v/>
      </c>
      <c r="I399" s="66" t="str">
        <f xml:space="preserve">    IF(  AND(  COUNTIF(勤務分配!$E$3:$E$44,"榮譽假")&gt;=1,  IFERROR(  LEFT(  CONCATENATE(I363,I364,I365,I366,I367,I368,I369,I370,I371,I372,I373,I374,I375,I376,I377,I378,I379,I380,I381,I382,I383,I384,I385,I386,I387,I388,I389,I390,I391,I392,I393,I394,I395,I396,I397,I398),LEN(  CONCATENATE(I363,I364,I365,I366,I367,I368,I369,I370,I371,I372,I373,I374,I375,I376,I377,I378,I379,I380,I381,I382,I383,I384,I385,I386,I387,I388,I389,I390,I391,I392,I393,I394,I395,I396,I397,I398)  )-1),"")&lt;&gt;""   ),"." &amp; IFERROR(  LEFT(  CONCATENATE(I363,I364,I365,I366,I367,I368,I369,I370,I371,I372,I373,I374,I375,I376,I377,I378,I379,I380,I381,I382,I383,I384,I385,I386,I387,I388,I389,I390,I391,I392,I393,I394,I395,I396,I397,I398),LEN(  CONCATENATE(I363,I364,I365,I366,I367,I368,I369,I370,I371,I372,I373,I374,I375,I376,I377,I378,I379,I380,I381,I382,I383,I384,I385,I386,I387,I388,I389,I390,I391,I392,I393,I394,I395,I396,I397,I398)  )-1),""),                             IFERROR(  LEFT(  CONCATENATE(I363,I364,I365,I366,I367,I368,I369,I370,I371,I372,I373,I374,I375,I376,I377,I378,I379,I380,I381,I382,I383,I384,I385,I386,I387,I388,I389,I390,I391,I392,I393,I394,I395,I396,I397,I398),LEN(  CONCATENATE(I363,I364,I365,I366,I367,I368,I369,I370,I371,I372,I373,I374,I375,I376,I377,I378,I379,I380,I381,I382,I383,I384,I385,I386,I387,I388,I389,I390,I391,I392,I393,I394,I395,I396,I397,I398)  )-1),"")        )</f>
        <v>29(18-22時)</v>
      </c>
      <c r="J399" s="66" t="str">
        <f xml:space="preserve">    IF(  AND(  COUNTIF(勤務分配!$E$3:$E$44,"榮譽假")&gt;=1,  IFERROR(  LEFT(  CONCATENATE(J363,J364,J365,J366,J367,J368,J369,J370,J371,J372,J373,J374,J375,J376,J377,J378,J379,J380,J381,J382,J383,J384,J385,J386,J387,J388,J389,J390,J391,J392,J393,J394,J395,J396,J397,J398),LEN(  CONCATENATE(J363,J364,J365,J366,J367,J368,J369,J370,J371,J372,J373,J374,J375,J376,J377,J378,J379,J380,J381,J382,J383,J384,J385,J386,J387,J388,J389,J390,J391,J392,J393,J394,J395,J396,J397,J398)  )-1),"")&lt;&gt;""   ),"." &amp; IFERROR(  LEFT(  CONCATENATE(J363,J364,J365,J366,J367,J368,J369,J370,J371,J372,J373,J374,J375,J376,J377,J378,J379,J380,J381,J382,J383,J384,J385,J386,J387,J388,J389,J390,J391,J392,J393,J394,J395,J396,J397,J398),LEN(  CONCATENATE(J363,J364,J365,J366,J367,J368,J369,J370,J371,J372,J373,J374,J375,J376,J377,J378,J379,J380,J381,J382,J383,J384,J385,J386,J387,J388,J389,J390,J391,J392,J393,J394,J395,J396,J397,J398)  )-1),""),                             IFERROR(  LEFT(  CONCATENATE(J363,J364,J365,J366,J367,J368,J369,J370,J371,J372,J373,J374,J375,J376,J377,J378,J379,J380,J381,J382,J383,J384,J385,J386,J387,J388,J389,J390,J391,J392,J393,J394,J395,J396,J397,J398),LEN(  CONCATENATE(J363,J364,J365,J366,J367,J368,J369,J370,J371,J372,J373,J374,J375,J376,J377,J378,J379,J380,J381,J382,J383,J384,J385,J386,J387,J388,J389,J390,J391,J392,J393,J394,J395,J396,J397,J398)  )-1),"")        )</f>
        <v/>
      </c>
      <c r="K399" s="66" t="str">
        <f xml:space="preserve">    IF(  AND(  COUNTIF(勤務分配!$E$3:$E$44,"榮譽假")&gt;=1,  IFERROR(  LEFT(  CONCATENATE(K363,K364,K365,K366,K367,K368,K369,K370,K371,K372,K373,K374,K375,K376,K377,K378,K379,K380,K381,K382,K383,K384,K385,K386,K387,K388,K389,K390,K391,K392,K393,K394,K395,K396,K397,K398),LEN(  CONCATENATE(K363,K364,K365,K366,K367,K368,K369,K370,K371,K372,K373,K374,K375,K376,K377,K378,K379,K380,K381,K382,K383,K384,K385,K386,K387,K388,K389,K390,K391,K392,K393,K394,K395,K396,K397,K398)  )-1),"")&lt;&gt;""   ),"." &amp; IFERROR(  LEFT(  CONCATENATE(K363,K364,K365,K366,K367,K368,K369,K370,K371,K372,K373,K374,K375,K376,K377,K378,K379,K380,K381,K382,K383,K384,K385,K386,K387,K388,K389,K390,K391,K392,K393,K394,K395,K396,K397,K398),LEN(  CONCATENATE(K363,K364,K365,K366,K367,K368,K369,K370,K371,K372,K373,K374,K375,K376,K377,K378,K379,K380,K381,K382,K383,K384,K385,K386,K387,K388,K389,K390,K391,K392,K393,K394,K395,K396,K397,K398)  )-1),""),                             IFERROR(  LEFT(  CONCATENATE(K363,K364,K365,K366,K367,K368,K369,K370,K371,K372,K373,K374,K375,K376,K377,K378,K379,K380,K381,K382,K383,K384,K385,K386,K387,K388,K389,K390,K391,K392,K393,K394,K395,K396,K397,K398),LEN(  CONCATENATE(K363,K364,K365,K366,K367,K368,K369,K370,K371,K372,K373,K374,K375,K376,K377,K378,K379,K380,K381,K382,K383,K384,K385,K386,K387,K388,K389,K390,K391,K392,K393,K394,K395,K396,K397,K398)  )-1),"")        )</f>
        <v/>
      </c>
      <c r="L399" s="66" t="str">
        <f xml:space="preserve">    IF(  AND(  COUNTIF(勤務分配!$E$3:$E$44,"榮譽假")&gt;=1,  IFERROR(  LEFT(  CONCATENATE(L363,L364,L365,L366,L367,L368,L369,L370,L371,L372,L373,L374,L375,L376,L377,L378,L379,L380,L381,L382,L383,L384,L385,L386,L387,L388,L389,L390,L391,L392,L393,L394,L395,L396,L397,L398),LEN(  CONCATENATE(L363,L364,L365,L366,L367,L368,L369,L370,L371,L372,L373,L374,L375,L376,L377,L378,L379,L380,L381,L382,L383,L384,L385,L386,L387,L388,L389,L390,L391,L392,L393,L394,L395,L396,L397,L398)  )-1),"")&lt;&gt;""   ),"." &amp; IFERROR(  LEFT(  CONCATENATE(L363,L364,L365,L366,L367,L368,L369,L370,L371,L372,L373,L374,L375,L376,L377,L378,L379,L380,L381,L382,L383,L384,L385,L386,L387,L388,L389,L390,L391,L392,L393,L394,L395,L396,L397,L398),LEN(  CONCATENATE(L363,L364,L365,L366,L367,L368,L369,L370,L371,L372,L373,L374,L375,L376,L377,L378,L379,L380,L381,L382,L383,L384,L385,L386,L387,L388,L389,L390,L391,L392,L393,L394,L395,L396,L397,L398)  )-1),""),                             IFERROR(  LEFT(  CONCATENATE(L363,L364,L365,L366,L367,L368,L369,L370,L371,L372,L373,L374,L375,L376,L377,L378,L379,L380,L381,L382,L383,L384,L385,L386,L387,L388,L389,L390,L391,L392,L393,L394,L395,L396,L397,L398),LEN(  CONCATENATE(L363,L364,L365,L366,L367,L368,L369,L370,L371,L372,L373,L374,L375,L376,L377,L378,L379,L380,L381,L382,L383,L384,L385,L386,L387,L388,L389,L390,L391,L392,L393,L394,L395,L396,L397,L398)  )-1),"")        )</f>
        <v>27(18-22時)</v>
      </c>
      <c r="M399" s="66" t="str">
        <f xml:space="preserve">    IF(  AND(  COUNTIF(勤務分配!$E$3:$E$44,"榮譽假")&gt;=1,  IFERROR(  LEFT(  CONCATENATE(M363,M364,M365,M366,M367,M368,M369,M370,M371,M372,M373,M374,M375,M376,M377,M378,M379,M380,M381,M382,M383,M384,M385,M386,M387,M388,M389,M390,M391,M392,M393,M394,M395,M396,M397,M398),LEN(  CONCATENATE(M363,M364,M365,M366,M367,M368,M369,M370,M371,M372,M373,M374,M375,M376,M377,M378,M379,M380,M381,M382,M383,M384,M385,M386,M387,M388,M389,M390,M391,M392,M393,M394,M395,M396,M397,M398)  )-1),"")&lt;&gt;""   ),"." &amp; IFERROR(  LEFT(  CONCATENATE(M363,M364,M365,M366,M367,M368,M369,M370,M371,M372,M373,M374,M375,M376,M377,M378,M379,M380,M381,M382,M383,M384,M385,M386,M387,M388,M389,M390,M391,M392,M393,M394,M395,M396,M397,M398),LEN(  CONCATENATE(M363,M364,M365,M366,M367,M368,M369,M370,M371,M372,M373,M374,M375,M376,M377,M378,M379,M380,M381,M382,M383,M384,M385,M386,M387,M388,M389,M390,M391,M392,M393,M394,M395,M396,M397,M398)  )-1),""),                             IFERROR(  LEFT(  CONCATENATE(M363,M364,M365,M366,M367,M368,M369,M370,M371,M372,M373,M374,M375,M376,M377,M378,M379,M380,M381,M382,M383,M384,M385,M386,M387,M388,M389,M390,M391,M392,M393,M394,M395,M396,M397,M398),LEN(  CONCATENATE(M363,M364,M365,M366,M367,M368,M369,M370,M371,M372,M373,M374,M375,M376,M377,M378,M379,M380,M381,M382,M383,M384,M385,M386,M387,M388,M389,M390,M391,M392,M393,M394,M395,M396,M397,M398)  )-1),"")        )</f>
        <v/>
      </c>
      <c r="N399" s="66" t="str">
        <f xml:space="preserve">    IF(  AND(  COUNTIF(勤務分配!$E$3:$E$44,"榮譽假")&gt;=1,  IFERROR(  LEFT(  CONCATENATE(N363,N364,N365,N366,N367,N368,N369,N370,N371,N372,N373,N374,N375,N376,N377,N378,N379,N380,N381,N382,N383,N384,N385,N386,N387,N388,N389,N390,N391,N392,N393,N394,N395,N396,N397,N398),LEN(  CONCATENATE(N363,N364,N365,N366,N367,N368,N369,N370,N371,N372,N373,N374,N375,N376,N377,N378,N379,N380,N381,N382,N383,N384,N385,N386,N387,N388,N389,N390,N391,N392,N393,N394,N395,N396,N397,N398)  )-1),"")&lt;&gt;""   ),"." &amp; IFERROR(  LEFT(  CONCATENATE(N363,N364,N365,N366,N367,N368,N369,N370,N371,N372,N373,N374,N375,N376,N377,N378,N379,N380,N381,N382,N383,N384,N385,N386,N387,N388,N389,N390,N391,N392,N393,N394,N395,N396,N397,N398),LEN(  CONCATENATE(N363,N364,N365,N366,N367,N368,N369,N370,N371,N372,N373,N374,N375,N376,N377,N378,N379,N380,N381,N382,N383,N384,N385,N386,N387,N388,N389,N390,N391,N392,N393,N394,N395,N396,N397,N398)  )-1),""),                             IFERROR(  LEFT(  CONCATENATE(N363,N364,N365,N366,N367,N368,N369,N370,N371,N372,N373,N374,N375,N376,N377,N378,N379,N380,N381,N382,N383,N384,N385,N386,N387,N388,N389,N390,N391,N392,N393,N394,N395,N396,N397,N398),LEN(  CONCATENATE(N363,N364,N365,N366,N367,N368,N369,N370,N371,N372,N373,N374,N375,N376,N377,N378,N379,N380,N381,N382,N383,N384,N385,N386,N387,N388,N389,N390,N391,N392,N393,N394,N395,N396,N397,N398)  )-1),"")        )</f>
        <v>27(18-22時).28(18-22時)</v>
      </c>
      <c r="O399" s="66" t="str">
        <f xml:space="preserve">    IF(  AND(  COUNTIF(勤務分配!$E$3:$E$44,"榮譽假")&gt;=1,  IFERROR(  LEFT(  CONCATENATE(O363,O364,O365,O366,O367,O368,O369,O370,O371,O372,O373,O374,O375,O376,O377,O378,O379,O380,O381,O382,O383,O384,O385,O386,O387,O388,O389,O390,O391,O392,O393,O394,O395,O396,O397,O398),LEN(  CONCATENATE(O363,O364,O365,O366,O367,O368,O369,O370,O371,O372,O373,O374,O375,O376,O377,O378,O379,O380,O381,O382,O383,O384,O385,O386,O387,O388,O389,O390,O391,O392,O393,O394,O395,O396,O397,O398)  )-1),"")&lt;&gt;""   ),"." &amp; IFERROR(  LEFT(  CONCATENATE(O363,O364,O365,O366,O367,O368,O369,O370,O371,O372,O373,O374,O375,O376,O377,O378,O379,O380,O381,O382,O383,O384,O385,O386,O387,O388,O389,O390,O391,O392,O393,O394,O395,O396,O397,O398),LEN(  CONCATENATE(O363,O364,O365,O366,O367,O368,O369,O370,O371,O372,O373,O374,O375,O376,O377,O378,O379,O380,O381,O382,O383,O384,O385,O386,O387,O388,O389,O390,O391,O392,O393,O394,O395,O396,O397,O398)  )-1),""),                             IFERROR(  LEFT(  CONCATENATE(O363,O364,O365,O366,O367,O368,O369,O370,O371,O372,O373,O374,O375,O376,O377,O378,O379,O380,O381,O382,O383,O384,O385,O386,O387,O388,O389,O390,O391,O392,O393,O394,O395,O396,O397,O398),LEN(  CONCATENATE(O363,O364,O365,O366,O367,O368,O369,O370,O371,O372,O373,O374,O375,O376,O377,O378,O379,O380,O381,O382,O383,O384,O385,O386,O387,O388,O389,O390,O391,O392,O393,O394,O395,O396,O397,O398)  )-1),"")        )</f>
        <v/>
      </c>
      <c r="P399" s="66" t="str">
        <f xml:space="preserve">    IF(  AND(  COUNTIF(勤務分配!$E$3:$E$44,"榮譽假")&gt;=1,  IFERROR(  LEFT(  CONCATENATE(P363,P364,P365,P366,P367,P368,P369,P370,P371,P372,P373,P374,P375,P376,P377,P378,P379,P380,P381,P382,P383,P384,P385,P386,P387,P388,P389,P390,P391,P392,P393,P394,P395,P396,P397,P398),LEN(  CONCATENATE(P363,P364,P365,P366,P367,P368,P369,P370,P371,P372,P373,P374,P375,P376,P377,P378,P379,P380,P381,P382,P383,P384,P385,P386,P387,P388,P389,P390,P391,P392,P393,P394,P395,P396,P397,P398)  )-1),"")&lt;&gt;""   ),"." &amp; IFERROR(  LEFT(  CONCATENATE(P363,P364,P365,P366,P367,P368,P369,P370,P371,P372,P373,P374,P375,P376,P377,P378,P379,P380,P381,P382,P383,P384,P385,P386,P387,P388,P389,P390,P391,P392,P393,P394,P395,P396,P397,P398),LEN(  CONCATENATE(P363,P364,P365,P366,P367,P368,P369,P370,P371,P372,P373,P374,P375,P376,P377,P378,P379,P380,P381,P382,P383,P384,P385,P386,P387,P388,P389,P390,P391,P392,P393,P394,P395,P396,P397,P398)  )-1),""),                             IFERROR(  LEFT(  CONCATENATE(P363,P364,P365,P366,P367,P368,P369,P370,P371,P372,P373,P374,P375,P376,P377,P378,P379,P380,P381,P382,P383,P384,P385,P386,P387,P388,P389,P390,P391,P392,P393,P394,P395,P396,P397,P398),LEN(  CONCATENATE(P363,P364,P365,P366,P367,P368,P369,P370,P371,P372,P373,P374,P375,P376,P377,P378,P379,P380,P381,P382,P383,P384,P385,P386,P387,P388,P389,P390,P391,P392,P393,P394,P395,P396,P397,P398)  )-1),"")        )</f>
        <v/>
      </c>
      <c r="Q399" s="66" t="str">
        <f xml:space="preserve">    IF(  AND(  COUNTIF(勤務分配!$E$3:$E$44,"榮譽假")&gt;=1,  IFERROR(  LEFT(  CONCATENATE(Q363,Q364,Q365,Q366,Q367,Q368,Q369,Q370,Q371,Q372,Q373,Q374,Q375,Q376,Q377,Q378,Q379,Q380,Q381,Q382,Q383,Q384,Q385,Q386,Q387,Q388,Q389,Q390,Q391,Q392,Q393,Q394,Q395,Q396,Q397,Q398),LEN(  CONCATENATE(Q363,Q364,Q365,Q366,Q367,Q368,Q369,Q370,Q371,Q372,Q373,Q374,Q375,Q376,Q377,Q378,Q379,Q380,Q381,Q382,Q383,Q384,Q385,Q386,Q387,Q388,Q389,Q390,Q391,Q392,Q393,Q394,Q395,Q396,Q397,Q398)  )-1),"")&lt;&gt;""   ),"." &amp; IFERROR(  LEFT(  CONCATENATE(Q363,Q364,Q365,Q366,Q367,Q368,Q369,Q370,Q371,Q372,Q373,Q374,Q375,Q376,Q377,Q378,Q379,Q380,Q381,Q382,Q383,Q384,Q385,Q386,Q387,Q388,Q389,Q390,Q391,Q392,Q393,Q394,Q395,Q396,Q397,Q398),LEN(  CONCATENATE(Q363,Q364,Q365,Q366,Q367,Q368,Q369,Q370,Q371,Q372,Q373,Q374,Q375,Q376,Q377,Q378,Q379,Q380,Q381,Q382,Q383,Q384,Q385,Q386,Q387,Q388,Q389,Q390,Q391,Q392,Q393,Q394,Q395,Q396,Q397,Q398)  )-1),""),                             IFERROR(  LEFT(  CONCATENATE(Q363,Q364,Q365,Q366,Q367,Q368,Q369,Q370,Q371,Q372,Q373,Q374,Q375,Q376,Q377,Q378,Q379,Q380,Q381,Q382,Q383,Q384,Q385,Q386,Q387,Q388,Q389,Q390,Q391,Q392,Q393,Q394,Q395,Q396,Q397,Q398),LEN(  CONCATENATE(Q363,Q364,Q365,Q366,Q367,Q368,Q369,Q370,Q371,Q372,Q373,Q374,Q375,Q376,Q377,Q378,Q379,Q380,Q381,Q382,Q383,Q384,Q385,Q386,Q387,Q388,Q389,Q390,Q391,Q392,Q393,Q394,Q395,Q396,Q397,Q398)  )-1),"")        )</f>
        <v/>
      </c>
      <c r="R399" s="66" t="str">
        <f xml:space="preserve">    IF(  AND(  COUNTIF(勤務分配!$E$3:$E$44,"榮譽假")&gt;=1,  IFERROR(  LEFT(  CONCATENATE(R363,R364,R365,R366,R367,R368,R369,R370,R371,R372,R373,R374,R375,R376,R377,R378,R379,R380,R381,R382,R383,R384,R385,R386,R387,R388,R389,R390,R391,R392,R393,R394,R395,R396,R397,R398),LEN(  CONCATENATE(R363,R364,R365,R366,R367,R368,R369,R370,R371,R372,R373,R374,R375,R376,R377,R378,R379,R380,R381,R382,R383,R384,R385,R386,R387,R388,R389,R390,R391,R392,R393,R394,R395,R396,R397,R398)  )-1),"")&lt;&gt;""   ),"." &amp; IFERROR(  LEFT(  CONCATENATE(R363,R364,R365,R366,R367,R368,R369,R370,R371,R372,R373,R374,R375,R376,R377,R378,R379,R380,R381,R382,R383,R384,R385,R386,R387,R388,R389,R390,R391,R392,R393,R394,R395,R396,R397,R398),LEN(  CONCATENATE(R363,R364,R365,R366,R367,R368,R369,R370,R371,R372,R373,R374,R375,R376,R377,R378,R379,R380,R381,R382,R383,R384,R385,R386,R387,R388,R389,R390,R391,R392,R393,R394,R395,R396,R397,R398)  )-1),""),                             IFERROR(  LEFT(  CONCATENATE(R363,R364,R365,R366,R367,R368,R369,R370,R371,R372,R373,R374,R375,R376,R377,R378,R379,R380,R381,R382,R383,R384,R385,R386,R387,R388,R389,R390,R391,R392,R393,R394,R395,R396,R397,R398),LEN(  CONCATENATE(R363,R364,R365,R366,R367,R368,R369,R370,R371,R372,R373,R374,R375,R376,R377,R378,R379,R380,R381,R382,R383,R384,R385,R386,R387,R388,R389,R390,R391,R392,R393,R394,R395,R396,R397,R398)  )-1),"")        )</f>
        <v>22(14-18時)</v>
      </c>
      <c r="S399" s="66" t="str">
        <f xml:space="preserve">    IF(  AND(  COUNTIF(勤務分配!$E$3:$E$44,"榮譽假")&gt;=1,  IFERROR(  LEFT(  CONCATENATE(S363,S364,S365,S366,S367,S368,S369,S370,S371,S372,S373,S374,S375,S376,S377,S378,S379,S380,S381,S382,S383,S384,S385,S386,S387,S388,S389,S390,S391,S392,S393,S394,S395,S396,S397,S398),LEN(  CONCATENATE(S363,S364,S365,S366,S367,S368,S369,S370,S371,S372,S373,S374,S375,S376,S377,S378,S379,S380,S381,S382,S383,S384,S385,S386,S387,S388,S389,S390,S391,S392,S393,S394,S395,S396,S397,S398)  )-1),"")&lt;&gt;""   ),"." &amp; IFERROR(  LEFT(  CONCATENATE(S363,S364,S365,S366,S367,S368,S369,S370,S371,S372,S373,S374,S375,S376,S377,S378,S379,S380,S381,S382,S383,S384,S385,S386,S387,S388,S389,S390,S391,S392,S393,S394,S395,S396,S397,S398),LEN(  CONCATENATE(S363,S364,S365,S366,S367,S368,S369,S370,S371,S372,S373,S374,S375,S376,S377,S378,S379,S380,S381,S382,S383,S384,S385,S386,S387,S388,S389,S390,S391,S392,S393,S394,S395,S396,S397,S398)  )-1),""),                             IFERROR(  LEFT(  CONCATENATE(S363,S364,S365,S366,S367,S368,S369,S370,S371,S372,S373,S374,S375,S376,S377,S378,S379,S380,S381,S382,S383,S384,S385,S386,S387,S388,S389,S390,S391,S392,S393,S394,S395,S396,S397,S398),LEN(  CONCATENATE(S363,S364,S365,S366,S367,S368,S369,S370,S371,S372,S373,S374,S375,S376,S377,S378,S379,S380,S381,S382,S383,S384,S385,S386,S387,S388,S389,S390,S391,S392,S393,S394,S395,S396,S397,S398)  )-1),"")        )</f>
        <v>27(18-22時)</v>
      </c>
      <c r="T399" s="66" t="str">
        <f xml:space="preserve">    IF(  AND(  COUNTIF(勤務分配!$E$3:$E$44,"榮譽假")&gt;=1,  IFERROR(  LEFT(  CONCATENATE(T363,T364,T365,T366,T367,T368,T369,T370,T371,T372,T373,T374,T375,T376,T377,T378,T379,T380,T381,T382,T383,T384,T385,T386,T387,T388,T389,T390,T391,T392,T393,T394,T395,T396,T397,T398),LEN(  CONCATENATE(T363,T364,T365,T366,T367,T368,T369,T370,T371,T372,T373,T374,T375,T376,T377,T378,T379,T380,T381,T382,T383,T384,T385,T386,T387,T388,T389,T390,T391,T392,T393,T394,T395,T396,T397,T398)  )-1),"")&lt;&gt;""   ),"." &amp; IFERROR(  LEFT(  CONCATENATE(T363,T364,T365,T366,T367,T368,T369,T370,T371,T372,T373,T374,T375,T376,T377,T378,T379,T380,T381,T382,T383,T384,T385,T386,T387,T388,T389,T390,T391,T392,T393,T394,T395,T396,T397,T398),LEN(  CONCATENATE(T363,T364,T365,T366,T367,T368,T369,T370,T371,T372,T373,T374,T375,T376,T377,T378,T379,T380,T381,T382,T383,T384,T385,T386,T387,T388,T389,T390,T391,T392,T393,T394,T395,T396,T397,T398)  )-1),""),                             IFERROR(  LEFT(  CONCATENATE(T363,T364,T365,T366,T367,T368,T369,T370,T371,T372,T373,T374,T375,T376,T377,T378,T379,T380,T381,T382,T383,T384,T385,T386,T387,T388,T389,T390,T391,T392,T393,T394,T395,T396,T397,T398),LEN(  CONCATENATE(T363,T364,T365,T366,T367,T368,T369,T370,T371,T372,T373,T374,T375,T376,T377,T378,T379,T380,T381,T382,T383,T384,T385,T386,T387,T388,T389,T390,T391,T392,T393,T394,T395,T396,T397,T398)  )-1),"")        )</f>
        <v>22(18-22時)</v>
      </c>
      <c r="U399" s="66" t="str">
        <f xml:space="preserve">    IF(  AND(  COUNTIF(勤務分配!$E$3:$E$44,"榮譽假")&gt;=1,  IFERROR(  LEFT(  CONCATENATE(U363,U364,U365,U366,U367,U368,U369,U370,U371,U372,U373,U374,U375,U376,U377,U378,U379,U380,U381,U382,U383,U384,U385,U386,U387,U388,U389,U390,U391,U392,U393,U394,U395,U396,U397,U398),LEN(  CONCATENATE(U363,U364,U365,U366,U367,U368,U369,U370,U371,U372,U373,U374,U375,U376,U377,U378,U379,U380,U381,U382,U383,U384,U385,U386,U387,U388,U389,U390,U391,U392,U393,U394,U395,U396,U397,U398)  )-1),"")&lt;&gt;""   ),"." &amp; IFERROR(  LEFT(  CONCATENATE(U363,U364,U365,U366,U367,U368,U369,U370,U371,U372,U373,U374,U375,U376,U377,U378,U379,U380,U381,U382,U383,U384,U385,U386,U387,U388,U389,U390,U391,U392,U393,U394,U395,U396,U397,U398),LEN(  CONCATENATE(U363,U364,U365,U366,U367,U368,U369,U370,U371,U372,U373,U374,U375,U376,U377,U378,U379,U380,U381,U382,U383,U384,U385,U386,U387,U388,U389,U390,U391,U392,U393,U394,U395,U396,U397,U398)  )-1),""),                             IFERROR(  LEFT(  CONCATENATE(U363,U364,U365,U366,U367,U368,U369,U370,U371,U372,U373,U374,U375,U376,U377,U378,U379,U380,U381,U382,U383,U384,U385,U386,U387,U388,U389,U390,U391,U392,U393,U394,U395,U396,U397,U398),LEN(  CONCATENATE(U363,U364,U365,U366,U367,U368,U369,U370,U371,U372,U373,U374,U375,U376,U377,U378,U379,U380,U381,U382,U383,U384,U385,U386,U387,U388,U389,U390,U391,U392,U393,U394,U395,U396,U397,U398)  )-1),"")        )</f>
        <v>28(18-22時)</v>
      </c>
      <c r="V399" s="66" t="str">
        <f xml:space="preserve">    IF(  AND(  COUNTIF(勤務分配!$E$3:$E$44,"榮譽假")&gt;=1,  IFERROR(  LEFT(  CONCATENATE(V363,V364,V365,V366,V367,V368,V369,V370,V371,V372,V373,V374,V375,V376,V377,V378,V379,V380,V381,V382,V383,V384,V385,V386,V387,V388,V389,V390,V391,V392,V393,V394,V395,V396,V397,V398),LEN(  CONCATENATE(V363,V364,V365,V366,V367,V368,V369,V370,V371,V372,V373,V374,V375,V376,V377,V378,V379,V380,V381,V382,V383,V384,V385,V386,V387,V388,V389,V390,V391,V392,V393,V394,V395,V396,V397,V398)  )-1),"")&lt;&gt;""   ),"." &amp; IFERROR(  LEFT(  CONCATENATE(V363,V364,V365,V366,V367,V368,V369,V370,V371,V372,V373,V374,V375,V376,V377,V378,V379,V380,V381,V382,V383,V384,V385,V386,V387,V388,V389,V390,V391,V392,V393,V394,V395,V396,V397,V398),LEN(  CONCATENATE(V363,V364,V365,V366,V367,V368,V369,V370,V371,V372,V373,V374,V375,V376,V377,V378,V379,V380,V381,V382,V383,V384,V385,V386,V387,V388,V389,V390,V391,V392,V393,V394,V395,V396,V397,V398)  )-1),""),                             IFERROR(  LEFT(  CONCATENATE(V363,V364,V365,V366,V367,V368,V369,V370,V371,V372,V373,V374,V375,V376,V377,V378,V379,V380,V381,V382,V383,V384,V385,V386,V387,V388,V389,V390,V391,V392,V393,V394,V395,V396,V397,V398),LEN(  CONCATENATE(V363,V364,V365,V366,V367,V368,V369,V370,V371,V372,V373,V374,V375,V376,V377,V378,V379,V380,V381,V382,V383,V384,V385,V386,V387,V388,V389,V390,V391,V392,V393,V394,V395,V396,V397,V398)  )-1),"")        )</f>
        <v>27(18-22時)</v>
      </c>
      <c r="W399" s="66" t="str">
        <f xml:space="preserve">    IF(  AND(  COUNTIF(勤務分配!$E$3:$E$44,"榮譽假")&gt;=1,  IFERROR(  LEFT(  CONCATENATE(W363,W364,W365,W366,W367,W368,W369,W370,W371,W372,W373,W374,W375,W376,W377,W378,W379,W380,W381,W382,W383,W384,W385,W386,W387,W388,W389,W390,W391,W392,W393,W394,W395,W396,W397,W398),LEN(  CONCATENATE(W363,W364,W365,W366,W367,W368,W369,W370,W371,W372,W373,W374,W375,W376,W377,W378,W379,W380,W381,W382,W383,W384,W385,W386,W387,W388,W389,W390,W391,W392,W393,W394,W395,W396,W397,W398)  )-1),"")&lt;&gt;""   ),"." &amp; IFERROR(  LEFT(  CONCATENATE(W363,W364,W365,W366,W367,W368,W369,W370,W371,W372,W373,W374,W375,W376,W377,W378,W379,W380,W381,W382,W383,W384,W385,W386,W387,W388,W389,W390,W391,W392,W393,W394,W395,W396,W397,W398),LEN(  CONCATENATE(W363,W364,W365,W366,W367,W368,W369,W370,W371,W372,W373,W374,W375,W376,W377,W378,W379,W380,W381,W382,W383,W384,W385,W386,W387,W388,W389,W390,W391,W392,W393,W394,W395,W396,W397,W398)  )-1),""),                             IFERROR(  LEFT(  CONCATENATE(W363,W364,W365,W366,W367,W368,W369,W370,W371,W372,W373,W374,W375,W376,W377,W378,W379,W380,W381,W382,W383,W384,W385,W386,W387,W388,W389,W390,W391,W392,W393,W394,W395,W396,W397,W398),LEN(  CONCATENATE(W363,W364,W365,W366,W367,W368,W369,W370,W371,W372,W373,W374,W375,W376,W377,W378,W379,W380,W381,W382,W383,W384,W385,W386,W387,W388,W389,W390,W391,W392,W393,W394,W395,W396,W397,W398)  )-1),"")        )</f>
        <v>20(14-22時).22(14-22時).28(14-22時).29(18-22時)</v>
      </c>
      <c r="X399" s="66" t="str">
        <f xml:space="preserve">    IF(  AND(  COUNTIF(勤務分配!$E$3:$E$44,"榮譽假")&gt;=1,  IFERROR(  LEFT(  CONCATENATE(X363,X364,X365,X366,X367,X368,X369,X370,X371,X372,X373,X374,X375,X376,X377,X378,X379,X380,X381,X382,X383,X384,X385,X386,X387,X388,X389,X390,X391,X392,X393,X394,X395,X396,X397,X398),LEN(  CONCATENATE(X363,X364,X365,X366,X367,X368,X369,X370,X371,X372,X373,X374,X375,X376,X377,X378,X379,X380,X381,X382,X383,X384,X385,X386,X387,X388,X389,X390,X391,X392,X393,X394,X395,X396,X397,X398)  )-1),"")&lt;&gt;""   ),"." &amp; IFERROR(  LEFT(  CONCATENATE(X363,X364,X365,X366,X367,X368,X369,X370,X371,X372,X373,X374,X375,X376,X377,X378,X379,X380,X381,X382,X383,X384,X385,X386,X387,X388,X389,X390,X391,X392,X393,X394,X395,X396,X397,X398),LEN(  CONCATENATE(X363,X364,X365,X366,X367,X368,X369,X370,X371,X372,X373,X374,X375,X376,X377,X378,X379,X380,X381,X382,X383,X384,X385,X386,X387,X388,X389,X390,X391,X392,X393,X394,X395,X396,X397,X398)  )-1),""),                             IFERROR(  LEFT(  CONCATENATE(X363,X364,X365,X366,X367,X368,X369,X370,X371,X372,X373,X374,X375,X376,X377,X378,X379,X380,X381,X382,X383,X384,X385,X386,X387,X388,X389,X390,X391,X392,X393,X394,X395,X396,X397,X398),LEN(  CONCATENATE(X363,X364,X365,X366,X367,X368,X369,X370,X371,X372,X373,X374,X375,X376,X377,X378,X379,X380,X381,X382,X383,X384,X385,X386,X387,X388,X389,X390,X391,X392,X393,X394,X395,X396,X397,X398)  )-1),"")        )</f>
        <v>28(14-18時)</v>
      </c>
      <c r="Y399" s="66" t="str">
        <f xml:space="preserve">    IF(  AND(  COUNTIF(勤務分配!$E$3:$E$44,"榮譽假")&gt;=1,  IFERROR(  LEFT(  CONCATENATE(Y363,Y364,Y365,Y366,Y367,Y368,Y369,Y370,Y371,Y372,Y373,Y374,Y375,Y376,Y377,Y378,Y379,Y380,Y381,Y382,Y383,Y384,Y385,Y386,Y387,Y388,Y389,Y390,Y391,Y392,Y393,Y394,Y395,Y396,Y397,Y398),LEN(  CONCATENATE(Y363,Y364,Y365,Y366,Y367,Y368,Y369,Y370,Y371,Y372,Y373,Y374,Y375,Y376,Y377,Y378,Y379,Y380,Y381,Y382,Y383,Y384,Y385,Y386,Y387,Y388,Y389,Y390,Y391,Y392,Y393,Y394,Y395,Y396,Y397,Y398)  )-1),"")&lt;&gt;""   ),"." &amp; IFERROR(  LEFT(  CONCATENATE(Y363,Y364,Y365,Y366,Y367,Y368,Y369,Y370,Y371,Y372,Y373,Y374,Y375,Y376,Y377,Y378,Y379,Y380,Y381,Y382,Y383,Y384,Y385,Y386,Y387,Y388,Y389,Y390,Y391,Y392,Y393,Y394,Y395,Y396,Y397,Y398),LEN(  CONCATENATE(Y363,Y364,Y365,Y366,Y367,Y368,Y369,Y370,Y371,Y372,Y373,Y374,Y375,Y376,Y377,Y378,Y379,Y380,Y381,Y382,Y383,Y384,Y385,Y386,Y387,Y388,Y389,Y390,Y391,Y392,Y393,Y394,Y395,Y396,Y397,Y398)  )-1),""),                             IFERROR(  LEFT(  CONCATENATE(Y363,Y364,Y365,Y366,Y367,Y368,Y369,Y370,Y371,Y372,Y373,Y374,Y375,Y376,Y377,Y378,Y379,Y380,Y381,Y382,Y383,Y384,Y385,Y386,Y387,Y388,Y389,Y390,Y391,Y392,Y393,Y394,Y395,Y396,Y397,Y398),LEN(  CONCATENATE(Y363,Y364,Y365,Y366,Y367,Y368,Y369,Y370,Y371,Y372,Y373,Y374,Y375,Y376,Y377,Y378,Y379,Y380,Y381,Y382,Y383,Y384,Y385,Y386,Y387,Y388,Y389,Y390,Y391,Y392,Y393,Y394,Y395,Y396,Y397,Y398)  )-1),"")        )</f>
        <v>24(18-22時)</v>
      </c>
      <c r="Z399" s="66" t="str">
        <f xml:space="preserve">    IF(  AND(  COUNTIF(勤務分配!$E$3:$E$44,"榮譽假")&gt;=1,  IFERROR(  LEFT(  CONCATENATE(Z363,Z364,Z365,Z366,Z367,Z368,Z369,Z370,Z371,Z372,Z373,Z374,Z375,Z376,Z377,Z378,Z379,Z380,Z381,Z382,Z383,Z384,Z385,Z386,Z387,Z388,Z389,Z390,Z391,Z392,Z393,Z394,Z395,Z396,Z397,Z398),LEN(  CONCATENATE(Z363,Z364,Z365,Z366,Z367,Z368,Z369,Z370,Z371,Z372,Z373,Z374,Z375,Z376,Z377,Z378,Z379,Z380,Z381,Z382,Z383,Z384,Z385,Z386,Z387,Z388,Z389,Z390,Z391,Z392,Z393,Z394,Z395,Z396,Z397,Z398)  )-1),"")&lt;&gt;""   ),"." &amp; IFERROR(  LEFT(  CONCATENATE(Z363,Z364,Z365,Z366,Z367,Z368,Z369,Z370,Z371,Z372,Z373,Z374,Z375,Z376,Z377,Z378,Z379,Z380,Z381,Z382,Z383,Z384,Z385,Z386,Z387,Z388,Z389,Z390,Z391,Z392,Z393,Z394,Z395,Z396,Z397,Z398),LEN(  CONCATENATE(Z363,Z364,Z365,Z366,Z367,Z368,Z369,Z370,Z371,Z372,Z373,Z374,Z375,Z376,Z377,Z378,Z379,Z380,Z381,Z382,Z383,Z384,Z385,Z386,Z387,Z388,Z389,Z390,Z391,Z392,Z393,Z394,Z395,Z396,Z397,Z398)  )-1),""),                             IFERROR(  LEFT(  CONCATENATE(Z363,Z364,Z365,Z366,Z367,Z368,Z369,Z370,Z371,Z372,Z373,Z374,Z375,Z376,Z377,Z378,Z379,Z380,Z381,Z382,Z383,Z384,Z385,Z386,Z387,Z388,Z389,Z390,Z391,Z392,Z393,Z394,Z395,Z396,Z397,Z398),LEN(  CONCATENATE(Z363,Z364,Z365,Z366,Z367,Z368,Z369,Z370,Z371,Z372,Z373,Z374,Z375,Z376,Z377,Z378,Z379,Z380,Z381,Z382,Z383,Z384,Z385,Z386,Z387,Z388,Z389,Z390,Z391,Z392,Z393,Z394,Z395,Z396,Z397,Z398)  )-1),"")        )</f>
        <v>20(18-22時)</v>
      </c>
      <c r="AA399" s="66" t="str">
        <f xml:space="preserve">    IF(  AND(  COUNTIF(勤務分配!$E$3:$E$44,"榮譽假")&gt;=1,  IFERROR(  LEFT(  CONCATENATE(AA363,AA364,AA365,AA366,AA367,AA368,AA369,AA370,AA371,AA372,AA373,AA374,AA375,AA376,AA377,AA378,AA379,AA380,AA381,AA382,AA383,AA384,AA385,AA386,AA387,AA388,AA389,AA390,AA391,AA392,AA393,AA394,AA395,AA396,AA397,AA398),LEN(  CONCATENATE(AA363,AA364,AA365,AA366,AA367,AA368,AA369,AA370,AA371,AA372,AA373,AA374,AA375,AA376,AA377,AA378,AA379,AA380,AA381,AA382,AA383,AA384,AA385,AA386,AA387,AA388,AA389,AA390,AA391,AA392,AA393,AA394,AA395,AA396,AA397,AA398)  )-1),"")&lt;&gt;""   ),"." &amp; IFERROR(  LEFT(  CONCATENATE(AA363,AA364,AA365,AA366,AA367,AA368,AA369,AA370,AA371,AA372,AA373,AA374,AA375,AA376,AA377,AA378,AA379,AA380,AA381,AA382,AA383,AA384,AA385,AA386,AA387,AA388,AA389,AA390,AA391,AA392,AA393,AA394,AA395,AA396,AA397,AA398),LEN(  CONCATENATE(AA363,AA364,AA365,AA366,AA367,AA368,AA369,AA370,AA371,AA372,AA373,AA374,AA375,AA376,AA377,AA378,AA379,AA380,AA381,AA382,AA383,AA384,AA385,AA386,AA387,AA388,AA389,AA390,AA391,AA392,AA393,AA394,AA395,AA396,AA397,AA398)  )-1),""),                             IFERROR(  LEFT(  CONCATENATE(AA363,AA364,AA365,AA366,AA367,AA368,AA369,AA370,AA371,AA372,AA373,AA374,AA375,AA376,AA377,AA378,AA379,AA380,AA381,AA382,AA383,AA384,AA385,AA386,AA387,AA388,AA389,AA390,AA391,AA392,AA393,AA394,AA395,AA396,AA397,AA398),LEN(  CONCATENATE(AA363,AA364,AA365,AA366,AA367,AA368,AA369,AA370,AA371,AA372,AA373,AA374,AA375,AA376,AA377,AA378,AA379,AA380,AA381,AA382,AA383,AA384,AA385,AA386,AA387,AA388,AA389,AA390,AA391,AA392,AA393,AA394,AA395,AA396,AA397,AA398)  )-1),"")        )</f>
        <v/>
      </c>
      <c r="AB399" s="66" t="str">
        <f xml:space="preserve">    IF(  AND(  COUNTIF(勤務分配!$E$3:$E$44,"榮譽假")&gt;=1,  IFERROR(  LEFT(  CONCATENATE(AB363,AB364,AB365,AB366,AB367,AB368,AB369,AB370,AB371,AB372,AB373,AB374,AB375,AB376,AB377,AB378,AB379,AB380,AB381,AB382,AB383,AB384,AB385,AB386,AB387,AB388,AB389,AB390,AB391,AB392,AB393,AB394,AB395,AB396,AB397,AB398),LEN(  CONCATENATE(AB363,AB364,AB365,AB366,AB367,AB368,AB369,AB370,AB371,AB372,AB373,AB374,AB375,AB376,AB377,AB378,AB379,AB380,AB381,AB382,AB383,AB384,AB385,AB386,AB387,AB388,AB389,AB390,AB391,AB392,AB393,AB394,AB395,AB396,AB397,AB398)  )-1),"")&lt;&gt;""   ),"." &amp; IFERROR(  LEFT(  CONCATENATE(AB363,AB364,AB365,AB366,AB367,AB368,AB369,AB370,AB371,AB372,AB373,AB374,AB375,AB376,AB377,AB378,AB379,AB380,AB381,AB382,AB383,AB384,AB385,AB386,AB387,AB388,AB389,AB390,AB391,AB392,AB393,AB394,AB395,AB396,AB397,AB398),LEN(  CONCATENATE(AB363,AB364,AB365,AB366,AB367,AB368,AB369,AB370,AB371,AB372,AB373,AB374,AB375,AB376,AB377,AB378,AB379,AB380,AB381,AB382,AB383,AB384,AB385,AB386,AB387,AB388,AB389,AB390,AB391,AB392,AB393,AB394,AB395,AB396,AB397,AB398)  )-1),""),                             IFERROR(  LEFT(  CONCATENATE(AB363,AB364,AB365,AB366,AB367,AB368,AB369,AB370,AB371,AB372,AB373,AB374,AB375,AB376,AB377,AB378,AB379,AB380,AB381,AB382,AB383,AB384,AB385,AB386,AB387,AB388,AB389,AB390,AB391,AB392,AB393,AB394,AB395,AB396,AB397,AB398),LEN(  CONCATENATE(AB363,AB364,AB365,AB366,AB367,AB368,AB369,AB370,AB371,AB372,AB373,AB374,AB375,AB376,AB377,AB378,AB379,AB380,AB381,AB382,AB383,AB384,AB385,AB386,AB387,AB388,AB389,AB390,AB391,AB392,AB393,AB394,AB395,AB396,AB397,AB398)  )-1),"")        )</f>
        <v/>
      </c>
      <c r="AC399" s="66" t="str">
        <f xml:space="preserve">    IF(  AND(  COUNTIF(勤務分配!$E$3:$E$44,"榮譽假")&gt;=1,  IFERROR(  LEFT(  CONCATENATE(AC363,AC364,AC365,AC366,AC367,AC368,AC369,AC370,AC371,AC372,AC373,AC374,AC375,AC376,AC377,AC378,AC379,AC380,AC381,AC382,AC383,AC384,AC385,AC386,AC387,AC388,AC389,AC390,AC391,AC392,AC393,AC394,AC395,AC396,AC397,AC398),LEN(  CONCATENATE(AC363,AC364,AC365,AC366,AC367,AC368,AC369,AC370,AC371,AC372,AC373,AC374,AC375,AC376,AC377,AC378,AC379,AC380,AC381,AC382,AC383,AC384,AC385,AC386,AC387,AC388,AC389,AC390,AC391,AC392,AC393,AC394,AC395,AC396,AC397,AC398)  )-1),"")&lt;&gt;""   ),"." &amp; IFERROR(  LEFT(  CONCATENATE(AC363,AC364,AC365,AC366,AC367,AC368,AC369,AC370,AC371,AC372,AC373,AC374,AC375,AC376,AC377,AC378,AC379,AC380,AC381,AC382,AC383,AC384,AC385,AC386,AC387,AC388,AC389,AC390,AC391,AC392,AC393,AC394,AC395,AC396,AC397,AC398),LEN(  CONCATENATE(AC363,AC364,AC365,AC366,AC367,AC368,AC369,AC370,AC371,AC372,AC373,AC374,AC375,AC376,AC377,AC378,AC379,AC380,AC381,AC382,AC383,AC384,AC385,AC386,AC387,AC388,AC389,AC390,AC391,AC392,AC393,AC394,AC395,AC396,AC397,AC398)  )-1),""),                             IFERROR(  LEFT(  CONCATENATE(AC363,AC364,AC365,AC366,AC367,AC368,AC369,AC370,AC371,AC372,AC373,AC374,AC375,AC376,AC377,AC378,AC379,AC380,AC381,AC382,AC383,AC384,AC385,AC386,AC387,AC388,AC389,AC390,AC391,AC392,AC393,AC394,AC395,AC396,AC397,AC398),LEN(  CONCATENATE(AC363,AC364,AC365,AC366,AC367,AC368,AC369,AC370,AC371,AC372,AC373,AC374,AC375,AC376,AC377,AC378,AC379,AC380,AC381,AC382,AC383,AC384,AC385,AC386,AC387,AC388,AC389,AC390,AC391,AC392,AC393,AC394,AC395,AC396,AC397,AC398)  )-1),"")        )</f>
        <v/>
      </c>
      <c r="AD399" s="66" t="str">
        <f xml:space="preserve">    IF(  AND(  COUNTIF(勤務分配!$E$3:$E$44,"榮譽假")&gt;=1,  IFERROR(  LEFT(  CONCATENATE(AD363,AD364,AD365,AD366,AD367,AD368,AD369,AD370,AD371,AD372,AD373,AD374,AD375,AD376,AD377,AD378,AD379,AD380,AD381,AD382,AD383,AD384,AD385,AD386,AD387,AD388,AD389,AD390,AD391,AD392,AD393,AD394,AD395,AD396,AD397,AD398),LEN(  CONCATENATE(AD363,AD364,AD365,AD366,AD367,AD368,AD369,AD370,AD371,AD372,AD373,AD374,AD375,AD376,AD377,AD378,AD379,AD380,AD381,AD382,AD383,AD384,AD385,AD386,AD387,AD388,AD389,AD390,AD391,AD392,AD393,AD394,AD395,AD396,AD397,AD398)  )-1),"")&lt;&gt;""   ),"." &amp; IFERROR(  LEFT(  CONCATENATE(AD363,AD364,AD365,AD366,AD367,AD368,AD369,AD370,AD371,AD372,AD373,AD374,AD375,AD376,AD377,AD378,AD379,AD380,AD381,AD382,AD383,AD384,AD385,AD386,AD387,AD388,AD389,AD390,AD391,AD392,AD393,AD394,AD395,AD396,AD397,AD398),LEN(  CONCATENATE(AD363,AD364,AD365,AD366,AD367,AD368,AD369,AD370,AD371,AD372,AD373,AD374,AD375,AD376,AD377,AD378,AD379,AD380,AD381,AD382,AD383,AD384,AD385,AD386,AD387,AD388,AD389,AD390,AD391,AD392,AD393,AD394,AD395,AD396,AD397,AD398)  )-1),""),                             IFERROR(  LEFT(  CONCATENATE(AD363,AD364,AD365,AD366,AD367,AD368,AD369,AD370,AD371,AD372,AD373,AD374,AD375,AD376,AD377,AD378,AD379,AD380,AD381,AD382,AD383,AD384,AD385,AD386,AD387,AD388,AD389,AD390,AD391,AD392,AD393,AD394,AD395,AD396,AD397,AD398),LEN(  CONCATENATE(AD363,AD364,AD365,AD366,AD367,AD368,AD369,AD370,AD371,AD372,AD373,AD374,AD375,AD376,AD377,AD378,AD379,AD380,AD381,AD382,AD383,AD384,AD385,AD386,AD387,AD388,AD389,AD390,AD391,AD392,AD393,AD394,AD395,AD396,AD397,AD398)  )-1),"")        )</f>
        <v/>
      </c>
      <c r="AE399" s="66" t="str">
        <f xml:space="preserve">    IF(  AND(  COUNTIF(勤務分配!$E$3:$E$44,"榮譽假")&gt;=1,  IFERROR(  LEFT(  CONCATENATE(AE363,AE364,AE365,AE366,AE367,AE368,AE369,AE370,AE371,AE372,AE373,AE374,AE375,AE376,AE377,AE378,AE379,AE380,AE381,AE382,AE383,AE384,AE385,AE386,AE387,AE388,AE389,AE390,AE391,AE392,AE393,AE394,AE395,AE396,AE397,AE398),LEN(  CONCATENATE(AE363,AE364,AE365,AE366,AE367,AE368,AE369,AE370,AE371,AE372,AE373,AE374,AE375,AE376,AE377,AE378,AE379,AE380,AE381,AE382,AE383,AE384,AE385,AE386,AE387,AE388,AE389,AE390,AE391,AE392,AE393,AE394,AE395,AE396,AE397,AE398)  )-1),"")&lt;&gt;""   ),"." &amp; IFERROR(  LEFT(  CONCATENATE(AE363,AE364,AE365,AE366,AE367,AE368,AE369,AE370,AE371,AE372,AE373,AE374,AE375,AE376,AE377,AE378,AE379,AE380,AE381,AE382,AE383,AE384,AE385,AE386,AE387,AE388,AE389,AE390,AE391,AE392,AE393,AE394,AE395,AE396,AE397,AE398),LEN(  CONCATENATE(AE363,AE364,AE365,AE366,AE367,AE368,AE369,AE370,AE371,AE372,AE373,AE374,AE375,AE376,AE377,AE378,AE379,AE380,AE381,AE382,AE383,AE384,AE385,AE386,AE387,AE388,AE389,AE390,AE391,AE392,AE393,AE394,AE395,AE396,AE397,AE398)  )-1),""),                             IFERROR(  LEFT(  CONCATENATE(AE363,AE364,AE365,AE366,AE367,AE368,AE369,AE370,AE371,AE372,AE373,AE374,AE375,AE376,AE377,AE378,AE379,AE380,AE381,AE382,AE383,AE384,AE385,AE386,AE387,AE388,AE389,AE390,AE391,AE392,AE393,AE394,AE395,AE396,AE397,AE398),LEN(  CONCATENATE(AE363,AE364,AE365,AE366,AE367,AE368,AE369,AE370,AE371,AE372,AE373,AE374,AE375,AE376,AE377,AE378,AE379,AE380,AE381,AE382,AE383,AE384,AE385,AE386,AE387,AE388,AE389,AE390,AE391,AE392,AE393,AE394,AE395,AE396,AE397,AE398)  )-1),"")        )</f>
        <v/>
      </c>
      <c r="AF399" s="66" t="str">
        <f xml:space="preserve">    IF(  AND(  COUNTIF(勤務分配!$E$3:$E$44,"榮譽假")&gt;=1,  IFERROR(  LEFT(  CONCATENATE(AF363,AF364,AF365,AF366,AF367,AF368,AF369,AF370,AF371,AF372,AF373,AF374,AF375,AF376,AF377,AF378,AF379,AF380,AF381,AF382,AF383,AF384,AF385,AF386,AF387,AF388,AF389,AF390,AF391,AF392,AF393,AF394,AF395,AF396,AF397,AF398),LEN(  CONCATENATE(AF363,AF364,AF365,AF366,AF367,AF368,AF369,AF370,AF371,AF372,AF373,AF374,AF375,AF376,AF377,AF378,AF379,AF380,AF381,AF382,AF383,AF384,AF385,AF386,AF387,AF388,AF389,AF390,AF391,AF392,AF393,AF394,AF395,AF396,AF397,AF398)  )-1),"")&lt;&gt;""   ),"." &amp; IFERROR(  LEFT(  CONCATENATE(AF363,AF364,AF365,AF366,AF367,AF368,AF369,AF370,AF371,AF372,AF373,AF374,AF375,AF376,AF377,AF378,AF379,AF380,AF381,AF382,AF383,AF384,AF385,AF386,AF387,AF388,AF389,AF390,AF391,AF392,AF393,AF394,AF395,AF396,AF397,AF398),LEN(  CONCATENATE(AF363,AF364,AF365,AF366,AF367,AF368,AF369,AF370,AF371,AF372,AF373,AF374,AF375,AF376,AF377,AF378,AF379,AF380,AF381,AF382,AF383,AF384,AF385,AF386,AF387,AF388,AF389,AF390,AF391,AF392,AF393,AF394,AF395,AF396,AF397,AF398)  )-1),""),                             IFERROR(  LEFT(  CONCATENATE(AF363,AF364,AF365,AF366,AF367,AF368,AF369,AF370,AF371,AF372,AF373,AF374,AF375,AF376,AF377,AF378,AF379,AF380,AF381,AF382,AF383,AF384,AF385,AF386,AF387,AF388,AF389,AF390,AF391,AF392,AF393,AF394,AF395,AF396,AF397,AF398),LEN(  CONCATENATE(AF363,AF364,AF365,AF366,AF367,AF368,AF369,AF370,AF371,AF372,AF373,AF374,AF375,AF376,AF377,AF378,AF379,AF380,AF381,AF382,AF383,AF384,AF385,AF386,AF387,AF388,AF389,AF390,AF391,AF392,AF393,AF394,AF395,AF396,AF397,AF398)  )-1),"")        )</f>
        <v>23(12-18時)</v>
      </c>
      <c r="AG399" s="66" t="str">
        <f xml:space="preserve">    IF(  AND(  COUNTIF(勤務分配!$E$3:$E$44,"榮譽假")&gt;=1,  IFERROR(  LEFT(  CONCATENATE(AG363,AG364,AG365,AG366,AG367,AG368,AG369,AG370,AG371,AG372,AG373,AG374,AG375,AG376,AG377,AG378,AG379,AG380,AG381,AG382,AG383,AG384,AG385,AG386,AG387,AG388,AG389,AG390,AG391,AG392,AG393,AG394,AG395,AG396,AG397,AG398),LEN(  CONCATENATE(AG363,AG364,AG365,AG366,AG367,AG368,AG369,AG370,AG371,AG372,AG373,AG374,AG375,AG376,AG377,AG378,AG379,AG380,AG381,AG382,AG383,AG384,AG385,AG386,AG387,AG388,AG389,AG390,AG391,AG392,AG393,AG394,AG395,AG396,AG397,AG398)  )-1),"")&lt;&gt;""   ),"." &amp; IFERROR(  LEFT(  CONCATENATE(AG363,AG364,AG365,AG366,AG367,AG368,AG369,AG370,AG371,AG372,AG373,AG374,AG375,AG376,AG377,AG378,AG379,AG380,AG381,AG382,AG383,AG384,AG385,AG386,AG387,AG388,AG389,AG390,AG391,AG392,AG393,AG394,AG395,AG396,AG397,AG398),LEN(  CONCATENATE(AG363,AG364,AG365,AG366,AG367,AG368,AG369,AG370,AG371,AG372,AG373,AG374,AG375,AG376,AG377,AG378,AG379,AG380,AG381,AG382,AG383,AG384,AG385,AG386,AG387,AG388,AG389,AG390,AG391,AG392,AG393,AG394,AG395,AG396,AG397,AG398)  )-1),""),                             IFERROR(  LEFT(  CONCATENATE(AG363,AG364,AG365,AG366,AG367,AG368,AG369,AG370,AG371,AG372,AG373,AG374,AG375,AG376,AG377,AG378,AG379,AG380,AG381,AG382,AG383,AG384,AG385,AG386,AG387,AG388,AG389,AG390,AG391,AG392,AG393,AG394,AG395,AG396,AG397,AG398),LEN(  CONCATENATE(AG363,AG364,AG365,AG366,AG367,AG368,AG369,AG370,AG371,AG372,AG373,AG374,AG375,AG376,AG377,AG378,AG379,AG380,AG381,AG382,AG383,AG384,AG385,AG386,AG387,AG388,AG389,AG390,AG391,AG392,AG393,AG394,AG395,AG396,AG397,AG398)  )-1),"")        )</f>
        <v>20(18-22時).27(18-22時)</v>
      </c>
      <c r="AH399" s="66" t="str">
        <f xml:space="preserve">    IF(  AND(  COUNTIF(勤務分配!$E$3:$E$44,"榮譽假")&gt;=1,  IFERROR(  LEFT(  CONCATENATE(AH363,AH364,AH365,AH366,AH367,AH368,AH369,AH370,AH371,AH372,AH373,AH374,AH375,AH376,AH377,AH378,AH379,AH380,AH381,AH382,AH383,AH384,AH385,AH386,AH387,AH388,AH389,AH390,AH391,AH392,AH393,AH394,AH395,AH396,AH397,AH398),LEN(  CONCATENATE(AH363,AH364,AH365,AH366,AH367,AH368,AH369,AH370,AH371,AH372,AH373,AH374,AH375,AH376,AH377,AH378,AH379,AH380,AH381,AH382,AH383,AH384,AH385,AH386,AH387,AH388,AH389,AH390,AH391,AH392,AH393,AH394,AH395,AH396,AH397,AH398)  )-1),"")&lt;&gt;""   ),"." &amp; IFERROR(  LEFT(  CONCATENATE(AH363,AH364,AH365,AH366,AH367,AH368,AH369,AH370,AH371,AH372,AH373,AH374,AH375,AH376,AH377,AH378,AH379,AH380,AH381,AH382,AH383,AH384,AH385,AH386,AH387,AH388,AH389,AH390,AH391,AH392,AH393,AH394,AH395,AH396,AH397,AH398),LEN(  CONCATENATE(AH363,AH364,AH365,AH366,AH367,AH368,AH369,AH370,AH371,AH372,AH373,AH374,AH375,AH376,AH377,AH378,AH379,AH380,AH381,AH382,AH383,AH384,AH385,AH386,AH387,AH388,AH389,AH390,AH391,AH392,AH393,AH394,AH395,AH396,AH397,AH398)  )-1),""),                             IFERROR(  LEFT(  CONCATENATE(AH363,AH364,AH365,AH366,AH367,AH368,AH369,AH370,AH371,AH372,AH373,AH374,AH375,AH376,AH377,AH378,AH379,AH380,AH381,AH382,AH383,AH384,AH385,AH386,AH387,AH388,AH389,AH390,AH391,AH392,AH393,AH394,AH395,AH396,AH397,AH398),LEN(  CONCATENATE(AH363,AH364,AH365,AH366,AH367,AH368,AH369,AH370,AH371,AH372,AH373,AH374,AH375,AH376,AH377,AH378,AH379,AH380,AH381,AH382,AH383,AH384,AH385,AH386,AH387,AH388,AH389,AH390,AH391,AH392,AH393,AH394,AH395,AH396,AH397,AH398)  )-1),"")        )</f>
        <v/>
      </c>
      <c r="AI399" s="66" t="str">
        <f xml:space="preserve">    IF(  AND(  COUNTIF(勤務分配!$E$3:$E$44,"榮譽假")&gt;=1,  IFERROR(  LEFT(  CONCATENATE(AI363,AI364,AI365,AI366,AI367,AI368,AI369,AI370,AI371,AI372,AI373,AI374,AI375,AI376,AI377,AI378,AI379,AI380,AI381,AI382,AI383,AI384,AI385,AI386,AI387,AI388,AI389,AI390,AI391,AI392,AI393,AI394,AI395,AI396,AI397,AI398),LEN(  CONCATENATE(AI363,AI364,AI365,AI366,AI367,AI368,AI369,AI370,AI371,AI372,AI373,AI374,AI375,AI376,AI377,AI378,AI379,AI380,AI381,AI382,AI383,AI384,AI385,AI386,AI387,AI388,AI389,AI390,AI391,AI392,AI393,AI394,AI395,AI396,AI397,AI398)  )-1),"")&lt;&gt;""   ),"." &amp; IFERROR(  LEFT(  CONCATENATE(AI363,AI364,AI365,AI366,AI367,AI368,AI369,AI370,AI371,AI372,AI373,AI374,AI375,AI376,AI377,AI378,AI379,AI380,AI381,AI382,AI383,AI384,AI385,AI386,AI387,AI388,AI389,AI390,AI391,AI392,AI393,AI394,AI395,AI396,AI397,AI398),LEN(  CONCATENATE(AI363,AI364,AI365,AI366,AI367,AI368,AI369,AI370,AI371,AI372,AI373,AI374,AI375,AI376,AI377,AI378,AI379,AI380,AI381,AI382,AI383,AI384,AI385,AI386,AI387,AI388,AI389,AI390,AI391,AI392,AI393,AI394,AI395,AI396,AI397,AI398)  )-1),""),                             IFERROR(  LEFT(  CONCATENATE(AI363,AI364,AI365,AI366,AI367,AI368,AI369,AI370,AI371,AI372,AI373,AI374,AI375,AI376,AI377,AI378,AI379,AI380,AI381,AI382,AI383,AI384,AI385,AI386,AI387,AI388,AI389,AI390,AI391,AI392,AI393,AI394,AI395,AI396,AI397,AI398),LEN(  CONCATENATE(AI363,AI364,AI365,AI366,AI367,AI368,AI369,AI370,AI371,AI372,AI373,AI374,AI375,AI376,AI377,AI378,AI379,AI380,AI381,AI382,AI383,AI384,AI385,AI386,AI387,AI388,AI389,AI390,AI391,AI392,AI393,AI394,AI395,AI396,AI397,AI398)  )-1),"")        )</f>
        <v/>
      </c>
      <c r="AJ399" s="66" t="str">
        <f xml:space="preserve">    IF(  AND(  COUNTIF(勤務分配!$E$3:$E$44,"榮譽假")&gt;=1,  IFERROR(  LEFT(  CONCATENATE(AJ363,AJ364,AJ365,AJ366,AJ367,AJ368,AJ369,AJ370,AJ371,AJ372,AJ373,AJ374,AJ375,AJ376,AJ377,AJ378,AJ379,AJ380,AJ381,AJ382,AJ383,AJ384,AJ385,AJ386,AJ387,AJ388,AJ389,AJ390,AJ391,AJ392,AJ393,AJ394,AJ395,AJ396,AJ397,AJ398),LEN(  CONCATENATE(AJ363,AJ364,AJ365,AJ366,AJ367,AJ368,AJ369,AJ370,AJ371,AJ372,AJ373,AJ374,AJ375,AJ376,AJ377,AJ378,AJ379,AJ380,AJ381,AJ382,AJ383,AJ384,AJ385,AJ386,AJ387,AJ388,AJ389,AJ390,AJ391,AJ392,AJ393,AJ394,AJ395,AJ396,AJ397,AJ398)  )-1),"")&lt;&gt;""   ),"." &amp; IFERROR(  LEFT(  CONCATENATE(AJ363,AJ364,AJ365,AJ366,AJ367,AJ368,AJ369,AJ370,AJ371,AJ372,AJ373,AJ374,AJ375,AJ376,AJ377,AJ378,AJ379,AJ380,AJ381,AJ382,AJ383,AJ384,AJ385,AJ386,AJ387,AJ388,AJ389,AJ390,AJ391,AJ392,AJ393,AJ394,AJ395,AJ396,AJ397,AJ398),LEN(  CONCATENATE(AJ363,AJ364,AJ365,AJ366,AJ367,AJ368,AJ369,AJ370,AJ371,AJ372,AJ373,AJ374,AJ375,AJ376,AJ377,AJ378,AJ379,AJ380,AJ381,AJ382,AJ383,AJ384,AJ385,AJ386,AJ387,AJ388,AJ389,AJ390,AJ391,AJ392,AJ393,AJ394,AJ395,AJ396,AJ397,AJ398)  )-1),""),                             IFERROR(  LEFT(  CONCATENATE(AJ363,AJ364,AJ365,AJ366,AJ367,AJ368,AJ369,AJ370,AJ371,AJ372,AJ373,AJ374,AJ375,AJ376,AJ377,AJ378,AJ379,AJ380,AJ381,AJ382,AJ383,AJ384,AJ385,AJ386,AJ387,AJ388,AJ389,AJ390,AJ391,AJ392,AJ393,AJ394,AJ395,AJ396,AJ397,AJ398),LEN(  CONCATENATE(AJ363,AJ364,AJ365,AJ366,AJ367,AJ368,AJ369,AJ370,AJ371,AJ372,AJ373,AJ374,AJ375,AJ376,AJ377,AJ378,AJ379,AJ380,AJ381,AJ382,AJ383,AJ384,AJ385,AJ386,AJ387,AJ388,AJ389,AJ390,AJ391,AJ392,AJ393,AJ394,AJ395,AJ396,AJ397,AJ398)  )-1),"")        )</f>
        <v/>
      </c>
    </row>
    <row r="400" spans="1:55" s="289" customFormat="1">
      <c r="AP400" s="303"/>
      <c r="AU400" s="303"/>
      <c r="AV400" s="303"/>
      <c r="AY400" s="303"/>
      <c r="AZ400" s="303"/>
      <c r="BA400" s="303"/>
      <c r="BB400" s="303"/>
      <c r="BC400" s="303"/>
    </row>
    <row r="401" spans="1:36">
      <c r="A401" s="289" t="s">
        <v>136</v>
      </c>
    </row>
    <row r="402" spans="1:36">
      <c r="A402" s="66" t="str">
        <f>A362</f>
        <v>番號</v>
      </c>
      <c r="B402" s="66" t="str">
        <f t="shared" ref="B402:AJ402" si="265">B362</f>
        <v xml:space="preserve"> 姓名</v>
      </c>
      <c r="C402" s="66">
        <f t="shared" si="265"/>
        <v>1</v>
      </c>
      <c r="D402" s="66">
        <f t="shared" si="265"/>
        <v>2</v>
      </c>
      <c r="E402" s="66">
        <f t="shared" si="265"/>
        <v>3</v>
      </c>
      <c r="F402" s="66">
        <f t="shared" si="265"/>
        <v>4</v>
      </c>
      <c r="G402" s="66">
        <f t="shared" si="265"/>
        <v>5</v>
      </c>
      <c r="H402" s="66">
        <f t="shared" si="265"/>
        <v>6</v>
      </c>
      <c r="I402" s="66">
        <f t="shared" si="265"/>
        <v>7</v>
      </c>
      <c r="J402" s="66">
        <f t="shared" si="265"/>
        <v>8</v>
      </c>
      <c r="K402" s="66">
        <f t="shared" si="265"/>
        <v>9</v>
      </c>
      <c r="L402" s="66">
        <f t="shared" si="265"/>
        <v>10</v>
      </c>
      <c r="M402" s="66">
        <f t="shared" si="265"/>
        <v>11</v>
      </c>
      <c r="N402" s="66">
        <f t="shared" si="265"/>
        <v>12</v>
      </c>
      <c r="O402" s="66">
        <f t="shared" si="265"/>
        <v>13</v>
      </c>
      <c r="P402" s="66">
        <f t="shared" si="265"/>
        <v>14</v>
      </c>
      <c r="Q402" s="66">
        <f t="shared" si="265"/>
        <v>15</v>
      </c>
      <c r="R402" s="66">
        <f t="shared" si="265"/>
        <v>16</v>
      </c>
      <c r="S402" s="66">
        <f t="shared" si="265"/>
        <v>17</v>
      </c>
      <c r="T402" s="66">
        <f t="shared" si="265"/>
        <v>18</v>
      </c>
      <c r="U402" s="66">
        <f t="shared" si="265"/>
        <v>19</v>
      </c>
      <c r="V402" s="66">
        <f t="shared" si="265"/>
        <v>20</v>
      </c>
      <c r="W402" s="66">
        <f t="shared" si="265"/>
        <v>21</v>
      </c>
      <c r="X402" s="66">
        <f t="shared" si="265"/>
        <v>22</v>
      </c>
      <c r="Y402" s="66">
        <f t="shared" si="265"/>
        <v>23</v>
      </c>
      <c r="Z402" s="66">
        <f t="shared" si="265"/>
        <v>24</v>
      </c>
      <c r="AA402" s="66">
        <f t="shared" si="265"/>
        <v>25</v>
      </c>
      <c r="AB402" s="66">
        <f t="shared" si="265"/>
        <v>26</v>
      </c>
      <c r="AC402" s="66">
        <f t="shared" si="265"/>
        <v>27</v>
      </c>
      <c r="AD402" s="66">
        <f t="shared" si="265"/>
        <v>28</v>
      </c>
      <c r="AE402" s="66">
        <f t="shared" si="265"/>
        <v>29</v>
      </c>
      <c r="AF402" s="66">
        <f t="shared" si="265"/>
        <v>30</v>
      </c>
      <c r="AG402" s="66">
        <f t="shared" si="265"/>
        <v>31</v>
      </c>
      <c r="AH402" s="66">
        <f t="shared" si="265"/>
        <v>32</v>
      </c>
      <c r="AI402" s="66">
        <f t="shared" si="265"/>
        <v>33</v>
      </c>
      <c r="AJ402" s="66">
        <f t="shared" si="265"/>
        <v>34</v>
      </c>
    </row>
    <row r="403" spans="1:36">
      <c r="A403" s="66">
        <f t="shared" ref="A403:B418" si="266">A363</f>
        <v>1</v>
      </c>
      <c r="B403" s="66" t="str">
        <f t="shared" si="266"/>
        <v>葉家豪</v>
      </c>
      <c r="C403" s="66" t="str">
        <f>IF(    AND( C2="喪",  LEN(C402)&gt;=2 ),        "" &amp; $A403,    IF(         AND( C2="喪" ),       $A403,        IF(  OR(  LEN(C402)&gt;=2  ),  CONCATENATE(  "",  IF(  AND(  LEN(  INDEX(   $A$1:$AJ$39, MATCH($A403,$A$1:$A$39,0),MATCH(  C$402,$A$1:$AP$1,0  )  )  )&gt;LEN(  SUBSTITUTE(  INDEX(   $A$1:$AJ$39, MATCH($A403,$A$1:$A$39,0),MATCH(  C$402,$A$1:$AP$1,0  )  ),"病","")  ),  LEN(  INDEX(   $A$1:$AJ$39, MATCH($A403,$A$1:$A$39,0),MATCH(  C$402,$A$1:$AP$1,0  )  )  )&gt;LEN(  SUBSTITUTE(  INDEX(   $A$1:$AJ$39, MATCH($A403,$A$1:$A$39,0),MATCH(  C$402,$A$1:$AP$1,0  )  ),"-","")  )  ),  CONCATENATE(  $A403,"(",   SUBSTITUTE(   SUBSTITUTE(  SUBSTITUTE(  INDEX(   $A$1:$AJ$39, MATCH($A403,$A$1:$A$39,0),MATCH(  C$402,$A$402:$AP$402,0  )  ),"喪",""),"x","")," ",""),"時",")"),  ""  )  ),  IF(  AND(  LEN(  INDEX(   $A$1:$AJ$39, MATCH($A403,$A$1:$A$39,0),MATCH(  C$402,$A$1:$AP$1,0  )  )  )&gt;LEN(  SUBSTITUTE(  INDEX(   $A$1:$AJ$39, MATCH($A403,$A$1:$A$39,0),MATCH(  C$402,$A$1:$AP$1,0  )  ),"喪","")  ),  LEN(  INDEX(   $A$1:$AJ$39, MATCH($A403,$A$1:$A$39,0),MATCH(  C$402,$A$1:$AP$1,0  )  )  )&gt;LEN(  SUBSTITUTE(  INDEX(   $A$1:$AJ$39, MATCH($A403,$A$1:$A$39,0),MATCH(  C$402,$A$1:$AP$1,0  )  ),"-","")  )  ),  CONCATENATE(  $A403,"(",   SUBSTITUTE(   SUBSTITUTE(  SUBSTITUTE(  INDEX(   $A$1:$AJ$39, MATCH($A403,$A$1:$A$39,0),MATCH(  C$402,$A$402:$AP$402,0  )  ),"喪",""),"x","")," ",""),"時",")"),  ""  )  )           ))</f>
        <v/>
      </c>
      <c r="D403" s="66" t="str">
        <f t="shared" ref="D403:AJ403" si="267">IF(    AND( D2="喪",  LEN(D402)&gt;=2 ),        "" &amp; $A403,    IF(         AND( D2="喪" ),       $A403,        IF(  OR(  LEN(D402)&gt;=2  ),  CONCATENATE(  "",  IF(  AND(  LEN(  INDEX(   $A$1:$AJ$39, MATCH($A403,$A$1:$A$39,0),MATCH(  D$402,$A$1:$AP$1,0  )  )  )&gt;LEN(  SUBSTITUTE(  INDEX(   $A$1:$AJ$39, MATCH($A403,$A$1:$A$39,0),MATCH(  D$402,$A$1:$AP$1,0  )  ),"病","")  ),  LEN(  INDEX(   $A$1:$AJ$39, MATCH($A403,$A$1:$A$39,0),MATCH(  D$402,$A$1:$AP$1,0  )  )  )&gt;LEN(  SUBSTITUTE(  INDEX(   $A$1:$AJ$39, MATCH($A403,$A$1:$A$39,0),MATCH(  D$402,$A$1:$AP$1,0  )  ),"-","")  )  ),  CONCATENATE(  $A403,"(",   SUBSTITUTE(   SUBSTITUTE(  SUBSTITUTE(  INDEX(   $A$1:$AJ$39, MATCH($A403,$A$1:$A$39,0),MATCH(  D$402,$A$402:$AP$402,0  )  ),"喪",""),"x","")," ",""),"時",")"),  ""  )  ),  IF(  AND(  LEN(  INDEX(   $A$1:$AJ$39, MATCH($A403,$A$1:$A$39,0),MATCH(  D$402,$A$1:$AP$1,0  )  )  )&gt;LEN(  SUBSTITUTE(  INDEX(   $A$1:$AJ$39, MATCH($A403,$A$1:$A$39,0),MATCH(  D$402,$A$1:$AP$1,0  )  ),"喪","")  ),  LEN(  INDEX(   $A$1:$AJ$39, MATCH($A403,$A$1:$A$39,0),MATCH(  D$402,$A$1:$AP$1,0  )  )  )&gt;LEN(  SUBSTITUTE(  INDEX(   $A$1:$AJ$39, MATCH($A403,$A$1:$A$39,0),MATCH(  D$402,$A$1:$AP$1,0  )  ),"-","")  )  ),  CONCATENATE(  $A403,"(",   SUBSTITUTE(   SUBSTITUTE(  SUBSTITUTE(  INDEX(   $A$1:$AJ$39, MATCH($A403,$A$1:$A$39,0),MATCH(  D$402,$A$402:$AP$402,0  )  ),"喪",""),"x","")," ",""),"時",")"),  ""  )  )           ))</f>
        <v/>
      </c>
      <c r="E403" s="66" t="str">
        <f t="shared" si="267"/>
        <v/>
      </c>
      <c r="F403" s="66" t="str">
        <f t="shared" si="267"/>
        <v/>
      </c>
      <c r="G403" s="66" t="str">
        <f t="shared" si="267"/>
        <v/>
      </c>
      <c r="H403" s="66" t="str">
        <f t="shared" si="267"/>
        <v/>
      </c>
      <c r="I403" s="66" t="str">
        <f t="shared" si="267"/>
        <v/>
      </c>
      <c r="J403" s="66" t="str">
        <f t="shared" si="267"/>
        <v/>
      </c>
      <c r="K403" s="66" t="str">
        <f t="shared" si="267"/>
        <v/>
      </c>
      <c r="L403" s="66" t="str">
        <f t="shared" si="267"/>
        <v/>
      </c>
      <c r="M403" s="66" t="str">
        <f t="shared" si="267"/>
        <v/>
      </c>
      <c r="N403" s="66" t="str">
        <f t="shared" si="267"/>
        <v/>
      </c>
      <c r="O403" s="66" t="str">
        <f t="shared" si="267"/>
        <v/>
      </c>
      <c r="P403" s="66" t="str">
        <f t="shared" si="267"/>
        <v/>
      </c>
      <c r="Q403" s="66" t="str">
        <f t="shared" si="267"/>
        <v/>
      </c>
      <c r="R403" s="66" t="str">
        <f t="shared" si="267"/>
        <v/>
      </c>
      <c r="S403" s="66" t="str">
        <f t="shared" si="267"/>
        <v/>
      </c>
      <c r="T403" s="66" t="str">
        <f t="shared" si="267"/>
        <v/>
      </c>
      <c r="U403" s="66" t="str">
        <f t="shared" si="267"/>
        <v/>
      </c>
      <c r="V403" s="66" t="str">
        <f t="shared" si="267"/>
        <v/>
      </c>
      <c r="W403" s="66" t="str">
        <f t="shared" si="267"/>
        <v/>
      </c>
      <c r="X403" s="66" t="str">
        <f t="shared" si="267"/>
        <v/>
      </c>
      <c r="Y403" s="66" t="str">
        <f t="shared" si="267"/>
        <v/>
      </c>
      <c r="Z403" s="66" t="str">
        <f t="shared" si="267"/>
        <v/>
      </c>
      <c r="AA403" s="66" t="str">
        <f t="shared" si="267"/>
        <v/>
      </c>
      <c r="AB403" s="66" t="str">
        <f t="shared" si="267"/>
        <v/>
      </c>
      <c r="AC403" s="66" t="str">
        <f t="shared" si="267"/>
        <v/>
      </c>
      <c r="AD403" s="66" t="str">
        <f t="shared" si="267"/>
        <v/>
      </c>
      <c r="AE403" s="66" t="str">
        <f t="shared" si="267"/>
        <v/>
      </c>
      <c r="AF403" s="66" t="str">
        <f t="shared" si="267"/>
        <v/>
      </c>
      <c r="AG403" s="66" t="str">
        <f t="shared" si="267"/>
        <v/>
      </c>
      <c r="AH403" s="66" t="str">
        <f t="shared" si="267"/>
        <v/>
      </c>
      <c r="AI403" s="66" t="str">
        <f t="shared" si="267"/>
        <v/>
      </c>
      <c r="AJ403" s="66" t="str">
        <f t="shared" si="267"/>
        <v/>
      </c>
    </row>
    <row r="404" spans="1:36">
      <c r="A404" s="66">
        <f t="shared" si="266"/>
        <v>2</v>
      </c>
      <c r="B404" s="66" t="str">
        <f t="shared" si="266"/>
        <v>鄭智謙</v>
      </c>
      <c r="C404" s="66" t="str">
        <f t="shared" ref="C404:C437" si="268">IF(    AND( C3="喪",  LEN(C403)&gt;=2 ),        "" &amp; $A404,    IF(         AND( C3="喪" ),       $A404,        IF(  OR(  LEN(C403)&gt;=2  ),  CONCATENATE(  ".",  IF(  AND(  LEN(  INDEX(   $A$1:$AJ$39, MATCH($A404,$A$1:$A$39,0),MATCH(  C$402,$A$1:$AP$1,0  )  )  )&gt;LEN(  SUBSTITUTE(  INDEX(   $A$1:$AJ$39, MATCH($A404,$A$1:$A$39,0),MATCH(  C$402,$A$1:$AP$1,0  )  ),"病","")  ),  LEN(  INDEX(   $A$1:$AJ$39, MATCH($A404,$A$1:$A$39,0),MATCH(  C$402,$A$1:$AP$1,0  )  )  )&gt;LEN(  SUBSTITUTE(  INDEX(   $A$1:$AJ$39, MATCH($A404,$A$1:$A$39,0),MATCH(  C$402,$A$1:$AP$1,0  )  ),"-","")  )  ),  CONCATENATE(  $A404,"(",   SUBSTITUTE(   SUBSTITUTE(  SUBSTITUTE(  INDEX(   $A$1:$AJ$39, MATCH($A404,$A$1:$A$39,0),MATCH(  C$402,$A$402:$AP$402,0  )  ),"喪",""),"x","")," ",""),"時",")"),  ""  )  ),  IF(  AND(  LEN(  INDEX(   $A$1:$AJ$39, MATCH($A404,$A$1:$A$39,0),MATCH(  C$402,$A$1:$AP$1,0  )  )  )&gt;LEN(  SUBSTITUTE(  INDEX(   $A$1:$AJ$39, MATCH($A404,$A$1:$A$39,0),MATCH(  C$402,$A$1:$AP$1,0  )  ),"喪","")  ),  LEN(  INDEX(   $A$1:$AJ$39, MATCH($A404,$A$1:$A$39,0),MATCH(  C$402,$A$1:$AP$1,0  )  )  )&gt;LEN(  SUBSTITUTE(  INDEX(   $A$1:$AJ$39, MATCH($A404,$A$1:$A$39,0),MATCH(  C$402,$A$1:$AP$1,0  )  ),"-","")  )  ),  CONCATENATE(  $A404,"(",   SUBSTITUTE(   SUBSTITUTE(  SUBSTITUTE(  INDEX(   $A$1:$AJ$39, MATCH($A404,$A$1:$A$39,0),MATCH(  C$402,$A$402:$AP$402,0  )  ),"喪",""),"x","")," ",""),"時",")"),  ""  )  )           ))</f>
        <v/>
      </c>
      <c r="D404" s="66" t="str">
        <f t="shared" ref="D404:AJ404" si="269">IF(    AND( D3="喪",  LEN(D403)&gt;=2 ),        "" &amp; $A404,    IF(         AND( D3="喪" ),       $A404,        IF(  OR(  LEN(D403)&gt;=2  ),  CONCATENATE(  ".",  IF(  AND(  LEN(  INDEX(   $A$1:$AJ$39, MATCH($A404,$A$1:$A$39,0),MATCH(  D$402,$A$1:$AP$1,0  )  )  )&gt;LEN(  SUBSTITUTE(  INDEX(   $A$1:$AJ$39, MATCH($A404,$A$1:$A$39,0),MATCH(  D$402,$A$1:$AP$1,0  )  ),"病","")  ),  LEN(  INDEX(   $A$1:$AJ$39, MATCH($A404,$A$1:$A$39,0),MATCH(  D$402,$A$1:$AP$1,0  )  )  )&gt;LEN(  SUBSTITUTE(  INDEX(   $A$1:$AJ$39, MATCH($A404,$A$1:$A$39,0),MATCH(  D$402,$A$1:$AP$1,0  )  ),"-","")  )  ),  CONCATENATE(  $A404,"(",   SUBSTITUTE(   SUBSTITUTE(  SUBSTITUTE(  INDEX(   $A$1:$AJ$39, MATCH($A404,$A$1:$A$39,0),MATCH(  D$402,$A$402:$AP$402,0  )  ),"喪",""),"x","")," ",""),"時",")"),  ""  )  ),  IF(  AND(  LEN(  INDEX(   $A$1:$AJ$39, MATCH($A404,$A$1:$A$39,0),MATCH(  D$402,$A$1:$AP$1,0  )  )  )&gt;LEN(  SUBSTITUTE(  INDEX(   $A$1:$AJ$39, MATCH($A404,$A$1:$A$39,0),MATCH(  D$402,$A$1:$AP$1,0  )  ),"喪","")  ),  LEN(  INDEX(   $A$1:$AJ$39, MATCH($A404,$A$1:$A$39,0),MATCH(  D$402,$A$1:$AP$1,0  )  )  )&gt;LEN(  SUBSTITUTE(  INDEX(   $A$1:$AJ$39, MATCH($A404,$A$1:$A$39,0),MATCH(  D$402,$A$1:$AP$1,0  )  ),"-","")  )  ),  CONCATENATE(  $A404,"(",   SUBSTITUTE(   SUBSTITUTE(  SUBSTITUTE(  INDEX(   $A$1:$AJ$39, MATCH($A404,$A$1:$A$39,0),MATCH(  D$402,$A$402:$AP$402,0  )  ),"喪",""),"x","")," ",""),"時",")"),  ""  )  )           ))</f>
        <v/>
      </c>
      <c r="E404" s="66" t="str">
        <f t="shared" si="269"/>
        <v/>
      </c>
      <c r="F404" s="66" t="str">
        <f t="shared" si="269"/>
        <v/>
      </c>
      <c r="G404" s="66" t="str">
        <f t="shared" si="269"/>
        <v/>
      </c>
      <c r="H404" s="66" t="str">
        <f t="shared" si="269"/>
        <v/>
      </c>
      <c r="I404" s="66" t="str">
        <f t="shared" si="269"/>
        <v/>
      </c>
      <c r="J404" s="66" t="str">
        <f t="shared" si="269"/>
        <v/>
      </c>
      <c r="K404" s="66" t="str">
        <f t="shared" si="269"/>
        <v/>
      </c>
      <c r="L404" s="66" t="str">
        <f t="shared" si="269"/>
        <v/>
      </c>
      <c r="M404" s="66" t="str">
        <f t="shared" si="269"/>
        <v/>
      </c>
      <c r="N404" s="66" t="str">
        <f t="shared" si="269"/>
        <v/>
      </c>
      <c r="O404" s="66" t="str">
        <f t="shared" si="269"/>
        <v/>
      </c>
      <c r="P404" s="66" t="str">
        <f t="shared" si="269"/>
        <v/>
      </c>
      <c r="Q404" s="66" t="str">
        <f t="shared" si="269"/>
        <v/>
      </c>
      <c r="R404" s="66" t="str">
        <f t="shared" si="269"/>
        <v/>
      </c>
      <c r="S404" s="66" t="str">
        <f t="shared" si="269"/>
        <v/>
      </c>
      <c r="T404" s="66" t="str">
        <f t="shared" si="269"/>
        <v/>
      </c>
      <c r="U404" s="66" t="str">
        <f t="shared" si="269"/>
        <v/>
      </c>
      <c r="V404" s="66" t="str">
        <f t="shared" si="269"/>
        <v/>
      </c>
      <c r="W404" s="66" t="str">
        <f t="shared" si="269"/>
        <v/>
      </c>
      <c r="X404" s="66" t="str">
        <f t="shared" si="269"/>
        <v/>
      </c>
      <c r="Y404" s="66" t="str">
        <f t="shared" si="269"/>
        <v/>
      </c>
      <c r="Z404" s="66" t="str">
        <f t="shared" si="269"/>
        <v/>
      </c>
      <c r="AA404" s="66" t="str">
        <f t="shared" si="269"/>
        <v/>
      </c>
      <c r="AB404" s="66" t="str">
        <f t="shared" si="269"/>
        <v/>
      </c>
      <c r="AC404" s="66" t="str">
        <f t="shared" si="269"/>
        <v/>
      </c>
      <c r="AD404" s="66" t="str">
        <f t="shared" si="269"/>
        <v/>
      </c>
      <c r="AE404" s="66" t="str">
        <f t="shared" si="269"/>
        <v/>
      </c>
      <c r="AF404" s="66" t="str">
        <f t="shared" si="269"/>
        <v/>
      </c>
      <c r="AG404" s="66" t="str">
        <f t="shared" si="269"/>
        <v/>
      </c>
      <c r="AH404" s="66" t="str">
        <f t="shared" si="269"/>
        <v/>
      </c>
      <c r="AI404" s="66" t="str">
        <f t="shared" si="269"/>
        <v/>
      </c>
      <c r="AJ404" s="66" t="str">
        <f t="shared" si="269"/>
        <v/>
      </c>
    </row>
    <row r="405" spans="1:36">
      <c r="A405" s="66">
        <f t="shared" si="266"/>
        <v>3</v>
      </c>
      <c r="B405" s="66" t="str">
        <f t="shared" si="266"/>
        <v>王敍安</v>
      </c>
      <c r="C405" s="66" t="str">
        <f t="shared" si="268"/>
        <v/>
      </c>
      <c r="D405" s="66" t="str">
        <f t="shared" ref="D405:D437" si="270">IF(    AND( D4="喪",  LEN(D404)&gt;=2 ),        "" &amp; $A405,    IF(         AND( D4="喪" ),       $A405,        IF(  OR(  LEN(D404)&gt;=2  ),  CONCATENATE(  ".",  IF(  AND(  LEN(  INDEX(   $A$1:$AJ$39, MATCH($A405,$A$1:$A$39,0),MATCH(  D$402,$A$1:$AP$1,0  )  )  )&gt;LEN(  SUBSTITUTE(  INDEX(   $A$1:$AJ$39, MATCH($A405,$A$1:$A$39,0),MATCH(  D$402,$A$1:$AP$1,0  )  ),"病","")  ),  LEN(  INDEX(   $A$1:$AJ$39, MATCH($A405,$A$1:$A$39,0),MATCH(  D$402,$A$1:$AP$1,0  )  )  )&gt;LEN(  SUBSTITUTE(  INDEX(   $A$1:$AJ$39, MATCH($A405,$A$1:$A$39,0),MATCH(  D$402,$A$1:$AP$1,0  )  ),"-","")  )  ),  CONCATENATE(  $A405,"(",   SUBSTITUTE(   SUBSTITUTE(  SUBSTITUTE(  INDEX(   $A$1:$AJ$39, MATCH($A405,$A$1:$A$39,0),MATCH(  D$402,$A$402:$AP$402,0  )  ),"喪",""),"x","")," ",""),"時",")"),  ""  )  ),  IF(  AND(  LEN(  INDEX(   $A$1:$AJ$39, MATCH($A405,$A$1:$A$39,0),MATCH(  D$402,$A$1:$AP$1,0  )  )  )&gt;LEN(  SUBSTITUTE(  INDEX(   $A$1:$AJ$39, MATCH($A405,$A$1:$A$39,0),MATCH(  D$402,$A$1:$AP$1,0  )  ),"喪","")  ),  LEN(  INDEX(   $A$1:$AJ$39, MATCH($A405,$A$1:$A$39,0),MATCH(  D$402,$A$1:$AP$1,0  )  )  )&gt;LEN(  SUBSTITUTE(  INDEX(   $A$1:$AJ$39, MATCH($A405,$A$1:$A$39,0),MATCH(  D$402,$A$1:$AP$1,0  )  ),"-","")  )  ),  CONCATENATE(  $A405,"(",   SUBSTITUTE(   SUBSTITUTE(  SUBSTITUTE(  INDEX(   $A$1:$AJ$39, MATCH($A405,$A$1:$A$39,0),MATCH(  D$402,$A$402:$AP$402,0  )  ),"喪",""),"x","")," ",""),"時",")"),  ""  )  )           ))</f>
        <v/>
      </c>
      <c r="E405" s="66" t="str">
        <f t="shared" ref="E405:E437" si="271">IF(    AND( E4="喪",  LEN(E404)&gt;=2 ),        "" &amp; $A405,    IF(         AND( E4="喪" ),       $A405,        IF(  OR(  LEN(E404)&gt;=2  ),  CONCATENATE(  ".",  IF(  AND(  LEN(  INDEX(   $A$1:$AJ$39, MATCH($A405,$A$1:$A$39,0),MATCH(  E$402,$A$1:$AP$1,0  )  )  )&gt;LEN(  SUBSTITUTE(  INDEX(   $A$1:$AJ$39, MATCH($A405,$A$1:$A$39,0),MATCH(  E$402,$A$1:$AP$1,0  )  ),"病","")  ),  LEN(  INDEX(   $A$1:$AJ$39, MATCH($A405,$A$1:$A$39,0),MATCH(  E$402,$A$1:$AP$1,0  )  )  )&gt;LEN(  SUBSTITUTE(  INDEX(   $A$1:$AJ$39, MATCH($A405,$A$1:$A$39,0),MATCH(  E$402,$A$1:$AP$1,0  )  ),"-","")  )  ),  CONCATENATE(  $A405,"(",   SUBSTITUTE(   SUBSTITUTE(  SUBSTITUTE(  INDEX(   $A$1:$AJ$39, MATCH($A405,$A$1:$A$39,0),MATCH(  E$402,$A$402:$AP$402,0  )  ),"喪",""),"x","")," ",""),"時",")"),  ""  )  ),  IF(  AND(  LEN(  INDEX(   $A$1:$AJ$39, MATCH($A405,$A$1:$A$39,0),MATCH(  E$402,$A$1:$AP$1,0  )  )  )&gt;LEN(  SUBSTITUTE(  INDEX(   $A$1:$AJ$39, MATCH($A405,$A$1:$A$39,0),MATCH(  E$402,$A$1:$AP$1,0  )  ),"喪","")  ),  LEN(  INDEX(   $A$1:$AJ$39, MATCH($A405,$A$1:$A$39,0),MATCH(  E$402,$A$1:$AP$1,0  )  )  )&gt;LEN(  SUBSTITUTE(  INDEX(   $A$1:$AJ$39, MATCH($A405,$A$1:$A$39,0),MATCH(  E$402,$A$1:$AP$1,0  )  ),"-","")  )  ),  CONCATENATE(  $A405,"(",   SUBSTITUTE(   SUBSTITUTE(  SUBSTITUTE(  INDEX(   $A$1:$AJ$39, MATCH($A405,$A$1:$A$39,0),MATCH(  E$402,$A$402:$AP$402,0  )  ),"喪",""),"x","")," ",""),"時",")"),  ""  )  )           ))</f>
        <v/>
      </c>
      <c r="F405" s="66" t="str">
        <f t="shared" ref="F405:F437" si="272">IF(    AND( F4="喪",  LEN(F404)&gt;=2 ),        "" &amp; $A405,    IF(         AND( F4="喪" ),       $A405,        IF(  OR(  LEN(F404)&gt;=2  ),  CONCATENATE(  ".",  IF(  AND(  LEN(  INDEX(   $A$1:$AJ$39, MATCH($A405,$A$1:$A$39,0),MATCH(  F$402,$A$1:$AP$1,0  )  )  )&gt;LEN(  SUBSTITUTE(  INDEX(   $A$1:$AJ$39, MATCH($A405,$A$1:$A$39,0),MATCH(  F$402,$A$1:$AP$1,0  )  ),"病","")  ),  LEN(  INDEX(   $A$1:$AJ$39, MATCH($A405,$A$1:$A$39,0),MATCH(  F$402,$A$1:$AP$1,0  )  )  )&gt;LEN(  SUBSTITUTE(  INDEX(   $A$1:$AJ$39, MATCH($A405,$A$1:$A$39,0),MATCH(  F$402,$A$1:$AP$1,0  )  ),"-","")  )  ),  CONCATENATE(  $A405,"(",   SUBSTITUTE(   SUBSTITUTE(  SUBSTITUTE(  INDEX(   $A$1:$AJ$39, MATCH($A405,$A$1:$A$39,0),MATCH(  F$402,$A$402:$AP$402,0  )  ),"喪",""),"x","")," ",""),"時",")"),  ""  )  ),  IF(  AND(  LEN(  INDEX(   $A$1:$AJ$39, MATCH($A405,$A$1:$A$39,0),MATCH(  F$402,$A$1:$AP$1,0  )  )  )&gt;LEN(  SUBSTITUTE(  INDEX(   $A$1:$AJ$39, MATCH($A405,$A$1:$A$39,0),MATCH(  F$402,$A$1:$AP$1,0  )  ),"喪","")  ),  LEN(  INDEX(   $A$1:$AJ$39, MATCH($A405,$A$1:$A$39,0),MATCH(  F$402,$A$1:$AP$1,0  )  )  )&gt;LEN(  SUBSTITUTE(  INDEX(   $A$1:$AJ$39, MATCH($A405,$A$1:$A$39,0),MATCH(  F$402,$A$1:$AP$1,0  )  ),"-","")  )  ),  CONCATENATE(  $A405,"(",   SUBSTITUTE(   SUBSTITUTE(  SUBSTITUTE(  INDEX(   $A$1:$AJ$39, MATCH($A405,$A$1:$A$39,0),MATCH(  F$402,$A$402:$AP$402,0  )  ),"喪",""),"x","")," ",""),"時",")"),  ""  )  )           ))</f>
        <v/>
      </c>
      <c r="G405" s="66" t="str">
        <f t="shared" ref="G405:G437" si="273">IF(    AND( G4="喪",  LEN(G404)&gt;=2 ),        "" &amp; $A405,    IF(         AND( G4="喪" ),       $A405,        IF(  OR(  LEN(G404)&gt;=2  ),  CONCATENATE(  ".",  IF(  AND(  LEN(  INDEX(   $A$1:$AJ$39, MATCH($A405,$A$1:$A$39,0),MATCH(  G$402,$A$1:$AP$1,0  )  )  )&gt;LEN(  SUBSTITUTE(  INDEX(   $A$1:$AJ$39, MATCH($A405,$A$1:$A$39,0),MATCH(  G$402,$A$1:$AP$1,0  )  ),"病","")  ),  LEN(  INDEX(   $A$1:$AJ$39, MATCH($A405,$A$1:$A$39,0),MATCH(  G$402,$A$1:$AP$1,0  )  )  )&gt;LEN(  SUBSTITUTE(  INDEX(   $A$1:$AJ$39, MATCH($A405,$A$1:$A$39,0),MATCH(  G$402,$A$1:$AP$1,0  )  ),"-","")  )  ),  CONCATENATE(  $A405,"(",   SUBSTITUTE(   SUBSTITUTE(  SUBSTITUTE(  INDEX(   $A$1:$AJ$39, MATCH($A405,$A$1:$A$39,0),MATCH(  G$402,$A$402:$AP$402,0  )  ),"喪",""),"x","")," ",""),"時",")"),  ""  )  ),  IF(  AND(  LEN(  INDEX(   $A$1:$AJ$39, MATCH($A405,$A$1:$A$39,0),MATCH(  G$402,$A$1:$AP$1,0  )  )  )&gt;LEN(  SUBSTITUTE(  INDEX(   $A$1:$AJ$39, MATCH($A405,$A$1:$A$39,0),MATCH(  G$402,$A$1:$AP$1,0  )  ),"喪","")  ),  LEN(  INDEX(   $A$1:$AJ$39, MATCH($A405,$A$1:$A$39,0),MATCH(  G$402,$A$1:$AP$1,0  )  )  )&gt;LEN(  SUBSTITUTE(  INDEX(   $A$1:$AJ$39, MATCH($A405,$A$1:$A$39,0),MATCH(  G$402,$A$1:$AP$1,0  )  ),"-","")  )  ),  CONCATENATE(  $A405,"(",   SUBSTITUTE(   SUBSTITUTE(  SUBSTITUTE(  INDEX(   $A$1:$AJ$39, MATCH($A405,$A$1:$A$39,0),MATCH(  G$402,$A$402:$AP$402,0  )  ),"喪",""),"x","")," ",""),"時",")"),  ""  )  )           ))</f>
        <v/>
      </c>
      <c r="H405" s="66" t="str">
        <f t="shared" ref="H405:H437" si="274">IF(    AND( H4="喪",  LEN(H404)&gt;=2 ),        "" &amp; $A405,    IF(         AND( H4="喪" ),       $A405,        IF(  OR(  LEN(H404)&gt;=2  ),  CONCATENATE(  ".",  IF(  AND(  LEN(  INDEX(   $A$1:$AJ$39, MATCH($A405,$A$1:$A$39,0),MATCH(  H$402,$A$1:$AP$1,0  )  )  )&gt;LEN(  SUBSTITUTE(  INDEX(   $A$1:$AJ$39, MATCH($A405,$A$1:$A$39,0),MATCH(  H$402,$A$1:$AP$1,0  )  ),"病","")  ),  LEN(  INDEX(   $A$1:$AJ$39, MATCH($A405,$A$1:$A$39,0),MATCH(  H$402,$A$1:$AP$1,0  )  )  )&gt;LEN(  SUBSTITUTE(  INDEX(   $A$1:$AJ$39, MATCH($A405,$A$1:$A$39,0),MATCH(  H$402,$A$1:$AP$1,0  )  ),"-","")  )  ),  CONCATENATE(  $A405,"(",   SUBSTITUTE(   SUBSTITUTE(  SUBSTITUTE(  INDEX(   $A$1:$AJ$39, MATCH($A405,$A$1:$A$39,0),MATCH(  H$402,$A$402:$AP$402,0  )  ),"喪",""),"x","")," ",""),"時",")"),  ""  )  ),  IF(  AND(  LEN(  INDEX(   $A$1:$AJ$39, MATCH($A405,$A$1:$A$39,0),MATCH(  H$402,$A$1:$AP$1,0  )  )  )&gt;LEN(  SUBSTITUTE(  INDEX(   $A$1:$AJ$39, MATCH($A405,$A$1:$A$39,0),MATCH(  H$402,$A$1:$AP$1,0  )  ),"喪","")  ),  LEN(  INDEX(   $A$1:$AJ$39, MATCH($A405,$A$1:$A$39,0),MATCH(  H$402,$A$1:$AP$1,0  )  )  )&gt;LEN(  SUBSTITUTE(  INDEX(   $A$1:$AJ$39, MATCH($A405,$A$1:$A$39,0),MATCH(  H$402,$A$1:$AP$1,0  )  ),"-","")  )  ),  CONCATENATE(  $A405,"(",   SUBSTITUTE(   SUBSTITUTE(  SUBSTITUTE(  INDEX(   $A$1:$AJ$39, MATCH($A405,$A$1:$A$39,0),MATCH(  H$402,$A$402:$AP$402,0  )  ),"喪",""),"x","")," ",""),"時",")"),  ""  )  )           ))</f>
        <v/>
      </c>
      <c r="I405" s="66" t="str">
        <f t="shared" ref="I405:I437" si="275">IF(    AND( I4="喪",  LEN(I404)&gt;=2 ),        "" &amp; $A405,    IF(         AND( I4="喪" ),       $A405,        IF(  OR(  LEN(I404)&gt;=2  ),  CONCATENATE(  ".",  IF(  AND(  LEN(  INDEX(   $A$1:$AJ$39, MATCH($A405,$A$1:$A$39,0),MATCH(  I$402,$A$1:$AP$1,0  )  )  )&gt;LEN(  SUBSTITUTE(  INDEX(   $A$1:$AJ$39, MATCH($A405,$A$1:$A$39,0),MATCH(  I$402,$A$1:$AP$1,0  )  ),"病","")  ),  LEN(  INDEX(   $A$1:$AJ$39, MATCH($A405,$A$1:$A$39,0),MATCH(  I$402,$A$1:$AP$1,0  )  )  )&gt;LEN(  SUBSTITUTE(  INDEX(   $A$1:$AJ$39, MATCH($A405,$A$1:$A$39,0),MATCH(  I$402,$A$1:$AP$1,0  )  ),"-","")  )  ),  CONCATENATE(  $A405,"(",   SUBSTITUTE(   SUBSTITUTE(  SUBSTITUTE(  INDEX(   $A$1:$AJ$39, MATCH($A405,$A$1:$A$39,0),MATCH(  I$402,$A$402:$AP$402,0  )  ),"喪",""),"x","")," ",""),"時",")"),  ""  )  ),  IF(  AND(  LEN(  INDEX(   $A$1:$AJ$39, MATCH($A405,$A$1:$A$39,0),MATCH(  I$402,$A$1:$AP$1,0  )  )  )&gt;LEN(  SUBSTITUTE(  INDEX(   $A$1:$AJ$39, MATCH($A405,$A$1:$A$39,0),MATCH(  I$402,$A$1:$AP$1,0  )  ),"喪","")  ),  LEN(  INDEX(   $A$1:$AJ$39, MATCH($A405,$A$1:$A$39,0),MATCH(  I$402,$A$1:$AP$1,0  )  )  )&gt;LEN(  SUBSTITUTE(  INDEX(   $A$1:$AJ$39, MATCH($A405,$A$1:$A$39,0),MATCH(  I$402,$A$1:$AP$1,0  )  ),"-","")  )  ),  CONCATENATE(  $A405,"(",   SUBSTITUTE(   SUBSTITUTE(  SUBSTITUTE(  INDEX(   $A$1:$AJ$39, MATCH($A405,$A$1:$A$39,0),MATCH(  I$402,$A$402:$AP$402,0  )  ),"喪",""),"x","")," ",""),"時",")"),  ""  )  )           ))</f>
        <v/>
      </c>
      <c r="J405" s="66" t="str">
        <f t="shared" ref="J405:J437" si="276">IF(    AND( J4="喪",  LEN(J404)&gt;=2 ),        "" &amp; $A405,    IF(         AND( J4="喪" ),       $A405,        IF(  OR(  LEN(J404)&gt;=2  ),  CONCATENATE(  ".",  IF(  AND(  LEN(  INDEX(   $A$1:$AJ$39, MATCH($A405,$A$1:$A$39,0),MATCH(  J$402,$A$1:$AP$1,0  )  )  )&gt;LEN(  SUBSTITUTE(  INDEX(   $A$1:$AJ$39, MATCH($A405,$A$1:$A$39,0),MATCH(  J$402,$A$1:$AP$1,0  )  ),"病","")  ),  LEN(  INDEX(   $A$1:$AJ$39, MATCH($A405,$A$1:$A$39,0),MATCH(  J$402,$A$1:$AP$1,0  )  )  )&gt;LEN(  SUBSTITUTE(  INDEX(   $A$1:$AJ$39, MATCH($A405,$A$1:$A$39,0),MATCH(  J$402,$A$1:$AP$1,0  )  ),"-","")  )  ),  CONCATENATE(  $A405,"(",   SUBSTITUTE(   SUBSTITUTE(  SUBSTITUTE(  INDEX(   $A$1:$AJ$39, MATCH($A405,$A$1:$A$39,0),MATCH(  J$402,$A$402:$AP$402,0  )  ),"喪",""),"x","")," ",""),"時",")"),  ""  )  ),  IF(  AND(  LEN(  INDEX(   $A$1:$AJ$39, MATCH($A405,$A$1:$A$39,0),MATCH(  J$402,$A$1:$AP$1,0  )  )  )&gt;LEN(  SUBSTITUTE(  INDEX(   $A$1:$AJ$39, MATCH($A405,$A$1:$A$39,0),MATCH(  J$402,$A$1:$AP$1,0  )  ),"喪","")  ),  LEN(  INDEX(   $A$1:$AJ$39, MATCH($A405,$A$1:$A$39,0),MATCH(  J$402,$A$1:$AP$1,0  )  )  )&gt;LEN(  SUBSTITUTE(  INDEX(   $A$1:$AJ$39, MATCH($A405,$A$1:$A$39,0),MATCH(  J$402,$A$1:$AP$1,0  )  ),"-","")  )  ),  CONCATENATE(  $A405,"(",   SUBSTITUTE(   SUBSTITUTE(  SUBSTITUTE(  INDEX(   $A$1:$AJ$39, MATCH($A405,$A$1:$A$39,0),MATCH(  J$402,$A$402:$AP$402,0  )  ),"喪",""),"x","")," ",""),"時",")"),  ""  )  )           ))</f>
        <v/>
      </c>
      <c r="K405" s="66" t="str">
        <f t="shared" ref="K405:K437" si="277">IF(    AND( K4="喪",  LEN(K404)&gt;=2 ),        "" &amp; $A405,    IF(         AND( K4="喪" ),       $A405,        IF(  OR(  LEN(K404)&gt;=2  ),  CONCATENATE(  ".",  IF(  AND(  LEN(  INDEX(   $A$1:$AJ$39, MATCH($A405,$A$1:$A$39,0),MATCH(  K$402,$A$1:$AP$1,0  )  )  )&gt;LEN(  SUBSTITUTE(  INDEX(   $A$1:$AJ$39, MATCH($A405,$A$1:$A$39,0),MATCH(  K$402,$A$1:$AP$1,0  )  ),"病","")  ),  LEN(  INDEX(   $A$1:$AJ$39, MATCH($A405,$A$1:$A$39,0),MATCH(  K$402,$A$1:$AP$1,0  )  )  )&gt;LEN(  SUBSTITUTE(  INDEX(   $A$1:$AJ$39, MATCH($A405,$A$1:$A$39,0),MATCH(  K$402,$A$1:$AP$1,0  )  ),"-","")  )  ),  CONCATENATE(  $A405,"(",   SUBSTITUTE(   SUBSTITUTE(  SUBSTITUTE(  INDEX(   $A$1:$AJ$39, MATCH($A405,$A$1:$A$39,0),MATCH(  K$402,$A$402:$AP$402,0  )  ),"喪",""),"x","")," ",""),"時",")"),  ""  )  ),  IF(  AND(  LEN(  INDEX(   $A$1:$AJ$39, MATCH($A405,$A$1:$A$39,0),MATCH(  K$402,$A$1:$AP$1,0  )  )  )&gt;LEN(  SUBSTITUTE(  INDEX(   $A$1:$AJ$39, MATCH($A405,$A$1:$A$39,0),MATCH(  K$402,$A$1:$AP$1,0  )  ),"喪","")  ),  LEN(  INDEX(   $A$1:$AJ$39, MATCH($A405,$A$1:$A$39,0),MATCH(  K$402,$A$1:$AP$1,0  )  )  )&gt;LEN(  SUBSTITUTE(  INDEX(   $A$1:$AJ$39, MATCH($A405,$A$1:$A$39,0),MATCH(  K$402,$A$1:$AP$1,0  )  ),"-","")  )  ),  CONCATENATE(  $A405,"(",   SUBSTITUTE(   SUBSTITUTE(  SUBSTITUTE(  INDEX(   $A$1:$AJ$39, MATCH($A405,$A$1:$A$39,0),MATCH(  K$402,$A$402:$AP$402,0  )  ),"喪",""),"x","")," ",""),"時",")"),  ""  )  )           ))</f>
        <v/>
      </c>
      <c r="L405" s="66" t="str">
        <f t="shared" ref="L405:L437" si="278">IF(    AND( L4="喪",  LEN(L404)&gt;=2 ),        "" &amp; $A405,    IF(         AND( L4="喪" ),       $A405,        IF(  OR(  LEN(L404)&gt;=2  ),  CONCATENATE(  ".",  IF(  AND(  LEN(  INDEX(   $A$1:$AJ$39, MATCH($A405,$A$1:$A$39,0),MATCH(  L$402,$A$1:$AP$1,0  )  )  )&gt;LEN(  SUBSTITUTE(  INDEX(   $A$1:$AJ$39, MATCH($A405,$A$1:$A$39,0),MATCH(  L$402,$A$1:$AP$1,0  )  ),"病","")  ),  LEN(  INDEX(   $A$1:$AJ$39, MATCH($A405,$A$1:$A$39,0),MATCH(  L$402,$A$1:$AP$1,0  )  )  )&gt;LEN(  SUBSTITUTE(  INDEX(   $A$1:$AJ$39, MATCH($A405,$A$1:$A$39,0),MATCH(  L$402,$A$1:$AP$1,0  )  ),"-","")  )  ),  CONCATENATE(  $A405,"(",   SUBSTITUTE(   SUBSTITUTE(  SUBSTITUTE(  INDEX(   $A$1:$AJ$39, MATCH($A405,$A$1:$A$39,0),MATCH(  L$402,$A$402:$AP$402,0  )  ),"喪",""),"x","")," ",""),"時",")"),  ""  )  ),  IF(  AND(  LEN(  INDEX(   $A$1:$AJ$39, MATCH($A405,$A$1:$A$39,0),MATCH(  L$402,$A$1:$AP$1,0  )  )  )&gt;LEN(  SUBSTITUTE(  INDEX(   $A$1:$AJ$39, MATCH($A405,$A$1:$A$39,0),MATCH(  L$402,$A$1:$AP$1,0  )  ),"喪","")  ),  LEN(  INDEX(   $A$1:$AJ$39, MATCH($A405,$A$1:$A$39,0),MATCH(  L$402,$A$1:$AP$1,0  )  )  )&gt;LEN(  SUBSTITUTE(  INDEX(   $A$1:$AJ$39, MATCH($A405,$A$1:$A$39,0),MATCH(  L$402,$A$1:$AP$1,0  )  ),"-","")  )  ),  CONCATENATE(  $A405,"(",   SUBSTITUTE(   SUBSTITUTE(  SUBSTITUTE(  INDEX(   $A$1:$AJ$39, MATCH($A405,$A$1:$A$39,0),MATCH(  L$402,$A$402:$AP$402,0  )  ),"喪",""),"x","")," ",""),"時",")"),  ""  )  )           ))</f>
        <v/>
      </c>
      <c r="M405" s="66" t="str">
        <f t="shared" ref="M405:M437" si="279">IF(    AND( M4="喪",  LEN(M404)&gt;=2 ),        "" &amp; $A405,    IF(         AND( M4="喪" ),       $A405,        IF(  OR(  LEN(M404)&gt;=2  ),  CONCATENATE(  ".",  IF(  AND(  LEN(  INDEX(   $A$1:$AJ$39, MATCH($A405,$A$1:$A$39,0),MATCH(  M$402,$A$1:$AP$1,0  )  )  )&gt;LEN(  SUBSTITUTE(  INDEX(   $A$1:$AJ$39, MATCH($A405,$A$1:$A$39,0),MATCH(  M$402,$A$1:$AP$1,0  )  ),"病","")  ),  LEN(  INDEX(   $A$1:$AJ$39, MATCH($A405,$A$1:$A$39,0),MATCH(  M$402,$A$1:$AP$1,0  )  )  )&gt;LEN(  SUBSTITUTE(  INDEX(   $A$1:$AJ$39, MATCH($A405,$A$1:$A$39,0),MATCH(  M$402,$A$1:$AP$1,0  )  ),"-","")  )  ),  CONCATENATE(  $A405,"(",   SUBSTITUTE(   SUBSTITUTE(  SUBSTITUTE(  INDEX(   $A$1:$AJ$39, MATCH($A405,$A$1:$A$39,0),MATCH(  M$402,$A$402:$AP$402,0  )  ),"喪",""),"x","")," ",""),"時",")"),  ""  )  ),  IF(  AND(  LEN(  INDEX(   $A$1:$AJ$39, MATCH($A405,$A$1:$A$39,0),MATCH(  M$402,$A$1:$AP$1,0  )  )  )&gt;LEN(  SUBSTITUTE(  INDEX(   $A$1:$AJ$39, MATCH($A405,$A$1:$A$39,0),MATCH(  M$402,$A$1:$AP$1,0  )  ),"喪","")  ),  LEN(  INDEX(   $A$1:$AJ$39, MATCH($A405,$A$1:$A$39,0),MATCH(  M$402,$A$1:$AP$1,0  )  )  )&gt;LEN(  SUBSTITUTE(  INDEX(   $A$1:$AJ$39, MATCH($A405,$A$1:$A$39,0),MATCH(  M$402,$A$1:$AP$1,0  )  ),"-","")  )  ),  CONCATENATE(  $A405,"(",   SUBSTITUTE(   SUBSTITUTE(  SUBSTITUTE(  INDEX(   $A$1:$AJ$39, MATCH($A405,$A$1:$A$39,0),MATCH(  M$402,$A$402:$AP$402,0  )  ),"喪",""),"x","")," ",""),"時",")"),  ""  )  )           ))</f>
        <v/>
      </c>
      <c r="N405" s="66" t="str">
        <f t="shared" ref="N405:N437" si="280">IF(    AND( N4="喪",  LEN(N404)&gt;=2 ),        "" &amp; $A405,    IF(         AND( N4="喪" ),       $A405,        IF(  OR(  LEN(N404)&gt;=2  ),  CONCATENATE(  ".",  IF(  AND(  LEN(  INDEX(   $A$1:$AJ$39, MATCH($A405,$A$1:$A$39,0),MATCH(  N$402,$A$1:$AP$1,0  )  )  )&gt;LEN(  SUBSTITUTE(  INDEX(   $A$1:$AJ$39, MATCH($A405,$A$1:$A$39,0),MATCH(  N$402,$A$1:$AP$1,0  )  ),"病","")  ),  LEN(  INDEX(   $A$1:$AJ$39, MATCH($A405,$A$1:$A$39,0),MATCH(  N$402,$A$1:$AP$1,0  )  )  )&gt;LEN(  SUBSTITUTE(  INDEX(   $A$1:$AJ$39, MATCH($A405,$A$1:$A$39,0),MATCH(  N$402,$A$1:$AP$1,0  )  ),"-","")  )  ),  CONCATENATE(  $A405,"(",   SUBSTITUTE(   SUBSTITUTE(  SUBSTITUTE(  INDEX(   $A$1:$AJ$39, MATCH($A405,$A$1:$A$39,0),MATCH(  N$402,$A$402:$AP$402,0  )  ),"喪",""),"x","")," ",""),"時",")"),  ""  )  ),  IF(  AND(  LEN(  INDEX(   $A$1:$AJ$39, MATCH($A405,$A$1:$A$39,0),MATCH(  N$402,$A$1:$AP$1,0  )  )  )&gt;LEN(  SUBSTITUTE(  INDEX(   $A$1:$AJ$39, MATCH($A405,$A$1:$A$39,0),MATCH(  N$402,$A$1:$AP$1,0  )  ),"喪","")  ),  LEN(  INDEX(   $A$1:$AJ$39, MATCH($A405,$A$1:$A$39,0),MATCH(  N$402,$A$1:$AP$1,0  )  )  )&gt;LEN(  SUBSTITUTE(  INDEX(   $A$1:$AJ$39, MATCH($A405,$A$1:$A$39,0),MATCH(  N$402,$A$1:$AP$1,0  )  ),"-","")  )  ),  CONCATENATE(  $A405,"(",   SUBSTITUTE(   SUBSTITUTE(  SUBSTITUTE(  INDEX(   $A$1:$AJ$39, MATCH($A405,$A$1:$A$39,0),MATCH(  N$402,$A$402:$AP$402,0  )  ),"喪",""),"x","")," ",""),"時",")"),  ""  )  )           ))</f>
        <v/>
      </c>
      <c r="O405" s="66" t="str">
        <f t="shared" ref="O405:O437" si="281">IF(    AND( O4="喪",  LEN(O404)&gt;=2 ),        "" &amp; $A405,    IF(         AND( O4="喪" ),       $A405,        IF(  OR(  LEN(O404)&gt;=2  ),  CONCATENATE(  ".",  IF(  AND(  LEN(  INDEX(   $A$1:$AJ$39, MATCH($A405,$A$1:$A$39,0),MATCH(  O$402,$A$1:$AP$1,0  )  )  )&gt;LEN(  SUBSTITUTE(  INDEX(   $A$1:$AJ$39, MATCH($A405,$A$1:$A$39,0),MATCH(  O$402,$A$1:$AP$1,0  )  ),"病","")  ),  LEN(  INDEX(   $A$1:$AJ$39, MATCH($A405,$A$1:$A$39,0),MATCH(  O$402,$A$1:$AP$1,0  )  )  )&gt;LEN(  SUBSTITUTE(  INDEX(   $A$1:$AJ$39, MATCH($A405,$A$1:$A$39,0),MATCH(  O$402,$A$1:$AP$1,0  )  ),"-","")  )  ),  CONCATENATE(  $A405,"(",   SUBSTITUTE(   SUBSTITUTE(  SUBSTITUTE(  INDEX(   $A$1:$AJ$39, MATCH($A405,$A$1:$A$39,0),MATCH(  O$402,$A$402:$AP$402,0  )  ),"喪",""),"x","")," ",""),"時",")"),  ""  )  ),  IF(  AND(  LEN(  INDEX(   $A$1:$AJ$39, MATCH($A405,$A$1:$A$39,0),MATCH(  O$402,$A$1:$AP$1,0  )  )  )&gt;LEN(  SUBSTITUTE(  INDEX(   $A$1:$AJ$39, MATCH($A405,$A$1:$A$39,0),MATCH(  O$402,$A$1:$AP$1,0  )  ),"喪","")  ),  LEN(  INDEX(   $A$1:$AJ$39, MATCH($A405,$A$1:$A$39,0),MATCH(  O$402,$A$1:$AP$1,0  )  )  )&gt;LEN(  SUBSTITUTE(  INDEX(   $A$1:$AJ$39, MATCH($A405,$A$1:$A$39,0),MATCH(  O$402,$A$1:$AP$1,0  )  ),"-","")  )  ),  CONCATENATE(  $A405,"(",   SUBSTITUTE(   SUBSTITUTE(  SUBSTITUTE(  INDEX(   $A$1:$AJ$39, MATCH($A405,$A$1:$A$39,0),MATCH(  O$402,$A$402:$AP$402,0  )  ),"喪",""),"x","")," ",""),"時",")"),  ""  )  )           ))</f>
        <v/>
      </c>
      <c r="P405" s="66" t="str">
        <f t="shared" ref="P405:P437" si="282">IF(    AND( P4="喪",  LEN(P404)&gt;=2 ),        "" &amp; $A405,    IF(         AND( P4="喪" ),       $A405,        IF(  OR(  LEN(P404)&gt;=2  ),  CONCATENATE(  ".",  IF(  AND(  LEN(  INDEX(   $A$1:$AJ$39, MATCH($A405,$A$1:$A$39,0),MATCH(  P$402,$A$1:$AP$1,0  )  )  )&gt;LEN(  SUBSTITUTE(  INDEX(   $A$1:$AJ$39, MATCH($A405,$A$1:$A$39,0),MATCH(  P$402,$A$1:$AP$1,0  )  ),"病","")  ),  LEN(  INDEX(   $A$1:$AJ$39, MATCH($A405,$A$1:$A$39,0),MATCH(  P$402,$A$1:$AP$1,0  )  )  )&gt;LEN(  SUBSTITUTE(  INDEX(   $A$1:$AJ$39, MATCH($A405,$A$1:$A$39,0),MATCH(  P$402,$A$1:$AP$1,0  )  ),"-","")  )  ),  CONCATENATE(  $A405,"(",   SUBSTITUTE(   SUBSTITUTE(  SUBSTITUTE(  INDEX(   $A$1:$AJ$39, MATCH($A405,$A$1:$A$39,0),MATCH(  P$402,$A$402:$AP$402,0  )  ),"喪",""),"x","")," ",""),"時",")"),  ""  )  ),  IF(  AND(  LEN(  INDEX(   $A$1:$AJ$39, MATCH($A405,$A$1:$A$39,0),MATCH(  P$402,$A$1:$AP$1,0  )  )  )&gt;LEN(  SUBSTITUTE(  INDEX(   $A$1:$AJ$39, MATCH($A405,$A$1:$A$39,0),MATCH(  P$402,$A$1:$AP$1,0  )  ),"喪","")  ),  LEN(  INDEX(   $A$1:$AJ$39, MATCH($A405,$A$1:$A$39,0),MATCH(  P$402,$A$1:$AP$1,0  )  )  )&gt;LEN(  SUBSTITUTE(  INDEX(   $A$1:$AJ$39, MATCH($A405,$A$1:$A$39,0),MATCH(  P$402,$A$1:$AP$1,0  )  ),"-","")  )  ),  CONCATENATE(  $A405,"(",   SUBSTITUTE(   SUBSTITUTE(  SUBSTITUTE(  INDEX(   $A$1:$AJ$39, MATCH($A405,$A$1:$A$39,0),MATCH(  P$402,$A$402:$AP$402,0  )  ),"喪",""),"x","")," ",""),"時",")"),  ""  )  )           ))</f>
        <v/>
      </c>
      <c r="Q405" s="66" t="str">
        <f t="shared" ref="Q405:Q437" si="283">IF(    AND( Q4="喪",  LEN(Q404)&gt;=2 ),        "" &amp; $A405,    IF(         AND( Q4="喪" ),       $A405,        IF(  OR(  LEN(Q404)&gt;=2  ),  CONCATENATE(  ".",  IF(  AND(  LEN(  INDEX(   $A$1:$AJ$39, MATCH($A405,$A$1:$A$39,0),MATCH(  Q$402,$A$1:$AP$1,0  )  )  )&gt;LEN(  SUBSTITUTE(  INDEX(   $A$1:$AJ$39, MATCH($A405,$A$1:$A$39,0),MATCH(  Q$402,$A$1:$AP$1,0  )  ),"病","")  ),  LEN(  INDEX(   $A$1:$AJ$39, MATCH($A405,$A$1:$A$39,0),MATCH(  Q$402,$A$1:$AP$1,0  )  )  )&gt;LEN(  SUBSTITUTE(  INDEX(   $A$1:$AJ$39, MATCH($A405,$A$1:$A$39,0),MATCH(  Q$402,$A$1:$AP$1,0  )  ),"-","")  )  ),  CONCATENATE(  $A405,"(",   SUBSTITUTE(   SUBSTITUTE(  SUBSTITUTE(  INDEX(   $A$1:$AJ$39, MATCH($A405,$A$1:$A$39,0),MATCH(  Q$402,$A$402:$AP$402,0  )  ),"喪",""),"x","")," ",""),"時",")"),  ""  )  ),  IF(  AND(  LEN(  INDEX(   $A$1:$AJ$39, MATCH($A405,$A$1:$A$39,0),MATCH(  Q$402,$A$1:$AP$1,0  )  )  )&gt;LEN(  SUBSTITUTE(  INDEX(   $A$1:$AJ$39, MATCH($A405,$A$1:$A$39,0),MATCH(  Q$402,$A$1:$AP$1,0  )  ),"喪","")  ),  LEN(  INDEX(   $A$1:$AJ$39, MATCH($A405,$A$1:$A$39,0),MATCH(  Q$402,$A$1:$AP$1,0  )  )  )&gt;LEN(  SUBSTITUTE(  INDEX(   $A$1:$AJ$39, MATCH($A405,$A$1:$A$39,0),MATCH(  Q$402,$A$1:$AP$1,0  )  ),"-","")  )  ),  CONCATENATE(  $A405,"(",   SUBSTITUTE(   SUBSTITUTE(  SUBSTITUTE(  INDEX(   $A$1:$AJ$39, MATCH($A405,$A$1:$A$39,0),MATCH(  Q$402,$A$402:$AP$402,0  )  ),"喪",""),"x","")," ",""),"時",")"),  ""  )  )           ))</f>
        <v/>
      </c>
      <c r="R405" s="66" t="str">
        <f t="shared" ref="R405:R437" si="284">IF(    AND( R4="喪",  LEN(R404)&gt;=2 ),        "" &amp; $A405,    IF(         AND( R4="喪" ),       $A405,        IF(  OR(  LEN(R404)&gt;=2  ),  CONCATENATE(  ".",  IF(  AND(  LEN(  INDEX(   $A$1:$AJ$39, MATCH($A405,$A$1:$A$39,0),MATCH(  R$402,$A$1:$AP$1,0  )  )  )&gt;LEN(  SUBSTITUTE(  INDEX(   $A$1:$AJ$39, MATCH($A405,$A$1:$A$39,0),MATCH(  R$402,$A$1:$AP$1,0  )  ),"病","")  ),  LEN(  INDEX(   $A$1:$AJ$39, MATCH($A405,$A$1:$A$39,0),MATCH(  R$402,$A$1:$AP$1,0  )  )  )&gt;LEN(  SUBSTITUTE(  INDEX(   $A$1:$AJ$39, MATCH($A405,$A$1:$A$39,0),MATCH(  R$402,$A$1:$AP$1,0  )  ),"-","")  )  ),  CONCATENATE(  $A405,"(",   SUBSTITUTE(   SUBSTITUTE(  SUBSTITUTE(  INDEX(   $A$1:$AJ$39, MATCH($A405,$A$1:$A$39,0),MATCH(  R$402,$A$402:$AP$402,0  )  ),"喪",""),"x","")," ",""),"時",")"),  ""  )  ),  IF(  AND(  LEN(  INDEX(   $A$1:$AJ$39, MATCH($A405,$A$1:$A$39,0),MATCH(  R$402,$A$1:$AP$1,0  )  )  )&gt;LEN(  SUBSTITUTE(  INDEX(   $A$1:$AJ$39, MATCH($A405,$A$1:$A$39,0),MATCH(  R$402,$A$1:$AP$1,0  )  ),"喪","")  ),  LEN(  INDEX(   $A$1:$AJ$39, MATCH($A405,$A$1:$A$39,0),MATCH(  R$402,$A$1:$AP$1,0  )  )  )&gt;LEN(  SUBSTITUTE(  INDEX(   $A$1:$AJ$39, MATCH($A405,$A$1:$A$39,0),MATCH(  R$402,$A$1:$AP$1,0  )  ),"-","")  )  ),  CONCATENATE(  $A405,"(",   SUBSTITUTE(   SUBSTITUTE(  SUBSTITUTE(  INDEX(   $A$1:$AJ$39, MATCH($A405,$A$1:$A$39,0),MATCH(  R$402,$A$402:$AP$402,0  )  ),"喪",""),"x","")," ",""),"時",")"),  ""  )  )           ))</f>
        <v/>
      </c>
      <c r="S405" s="66" t="str">
        <f t="shared" ref="S405:S437" si="285">IF(    AND( S4="喪",  LEN(S404)&gt;=2 ),        "" &amp; $A405,    IF(         AND( S4="喪" ),       $A405,        IF(  OR(  LEN(S404)&gt;=2  ),  CONCATENATE(  ".",  IF(  AND(  LEN(  INDEX(   $A$1:$AJ$39, MATCH($A405,$A$1:$A$39,0),MATCH(  S$402,$A$1:$AP$1,0  )  )  )&gt;LEN(  SUBSTITUTE(  INDEX(   $A$1:$AJ$39, MATCH($A405,$A$1:$A$39,0),MATCH(  S$402,$A$1:$AP$1,0  )  ),"病","")  ),  LEN(  INDEX(   $A$1:$AJ$39, MATCH($A405,$A$1:$A$39,0),MATCH(  S$402,$A$1:$AP$1,0  )  )  )&gt;LEN(  SUBSTITUTE(  INDEX(   $A$1:$AJ$39, MATCH($A405,$A$1:$A$39,0),MATCH(  S$402,$A$1:$AP$1,0  )  ),"-","")  )  ),  CONCATENATE(  $A405,"(",   SUBSTITUTE(   SUBSTITUTE(  SUBSTITUTE(  INDEX(   $A$1:$AJ$39, MATCH($A405,$A$1:$A$39,0),MATCH(  S$402,$A$402:$AP$402,0  )  ),"喪",""),"x","")," ",""),"時",")"),  ""  )  ),  IF(  AND(  LEN(  INDEX(   $A$1:$AJ$39, MATCH($A405,$A$1:$A$39,0),MATCH(  S$402,$A$1:$AP$1,0  )  )  )&gt;LEN(  SUBSTITUTE(  INDEX(   $A$1:$AJ$39, MATCH($A405,$A$1:$A$39,0),MATCH(  S$402,$A$1:$AP$1,0  )  ),"喪","")  ),  LEN(  INDEX(   $A$1:$AJ$39, MATCH($A405,$A$1:$A$39,0),MATCH(  S$402,$A$1:$AP$1,0  )  )  )&gt;LEN(  SUBSTITUTE(  INDEX(   $A$1:$AJ$39, MATCH($A405,$A$1:$A$39,0),MATCH(  S$402,$A$1:$AP$1,0  )  ),"-","")  )  ),  CONCATENATE(  $A405,"(",   SUBSTITUTE(   SUBSTITUTE(  SUBSTITUTE(  INDEX(   $A$1:$AJ$39, MATCH($A405,$A$1:$A$39,0),MATCH(  S$402,$A$402:$AP$402,0  )  ),"喪",""),"x","")," ",""),"時",")"),  ""  )  )           ))</f>
        <v/>
      </c>
      <c r="T405" s="66" t="str">
        <f t="shared" ref="T405:T437" si="286">IF(    AND( T4="喪",  LEN(T404)&gt;=2 ),        "" &amp; $A405,    IF(         AND( T4="喪" ),       $A405,        IF(  OR(  LEN(T404)&gt;=2  ),  CONCATENATE(  ".",  IF(  AND(  LEN(  INDEX(   $A$1:$AJ$39, MATCH($A405,$A$1:$A$39,0),MATCH(  T$402,$A$1:$AP$1,0  )  )  )&gt;LEN(  SUBSTITUTE(  INDEX(   $A$1:$AJ$39, MATCH($A405,$A$1:$A$39,0),MATCH(  T$402,$A$1:$AP$1,0  )  ),"病","")  ),  LEN(  INDEX(   $A$1:$AJ$39, MATCH($A405,$A$1:$A$39,0),MATCH(  T$402,$A$1:$AP$1,0  )  )  )&gt;LEN(  SUBSTITUTE(  INDEX(   $A$1:$AJ$39, MATCH($A405,$A$1:$A$39,0),MATCH(  T$402,$A$1:$AP$1,0  )  ),"-","")  )  ),  CONCATENATE(  $A405,"(",   SUBSTITUTE(   SUBSTITUTE(  SUBSTITUTE(  INDEX(   $A$1:$AJ$39, MATCH($A405,$A$1:$A$39,0),MATCH(  T$402,$A$402:$AP$402,0  )  ),"喪",""),"x","")," ",""),"時",")"),  ""  )  ),  IF(  AND(  LEN(  INDEX(   $A$1:$AJ$39, MATCH($A405,$A$1:$A$39,0),MATCH(  T$402,$A$1:$AP$1,0  )  )  )&gt;LEN(  SUBSTITUTE(  INDEX(   $A$1:$AJ$39, MATCH($A405,$A$1:$A$39,0),MATCH(  T$402,$A$1:$AP$1,0  )  ),"喪","")  ),  LEN(  INDEX(   $A$1:$AJ$39, MATCH($A405,$A$1:$A$39,0),MATCH(  T$402,$A$1:$AP$1,0  )  )  )&gt;LEN(  SUBSTITUTE(  INDEX(   $A$1:$AJ$39, MATCH($A405,$A$1:$A$39,0),MATCH(  T$402,$A$1:$AP$1,0  )  ),"-","")  )  ),  CONCATENATE(  $A405,"(",   SUBSTITUTE(   SUBSTITUTE(  SUBSTITUTE(  INDEX(   $A$1:$AJ$39, MATCH($A405,$A$1:$A$39,0),MATCH(  T$402,$A$402:$AP$402,0  )  ),"喪",""),"x","")," ",""),"時",")"),  ""  )  )           ))</f>
        <v/>
      </c>
      <c r="U405" s="66" t="str">
        <f t="shared" ref="U405:U437" si="287">IF(    AND( U4="喪",  LEN(U404)&gt;=2 ),        "" &amp; $A405,    IF(         AND( U4="喪" ),       $A405,        IF(  OR(  LEN(U404)&gt;=2  ),  CONCATENATE(  ".",  IF(  AND(  LEN(  INDEX(   $A$1:$AJ$39, MATCH($A405,$A$1:$A$39,0),MATCH(  U$402,$A$1:$AP$1,0  )  )  )&gt;LEN(  SUBSTITUTE(  INDEX(   $A$1:$AJ$39, MATCH($A405,$A$1:$A$39,0),MATCH(  U$402,$A$1:$AP$1,0  )  ),"病","")  ),  LEN(  INDEX(   $A$1:$AJ$39, MATCH($A405,$A$1:$A$39,0),MATCH(  U$402,$A$1:$AP$1,0  )  )  )&gt;LEN(  SUBSTITUTE(  INDEX(   $A$1:$AJ$39, MATCH($A405,$A$1:$A$39,0),MATCH(  U$402,$A$1:$AP$1,0  )  ),"-","")  )  ),  CONCATENATE(  $A405,"(",   SUBSTITUTE(   SUBSTITUTE(  SUBSTITUTE(  INDEX(   $A$1:$AJ$39, MATCH($A405,$A$1:$A$39,0),MATCH(  U$402,$A$402:$AP$402,0  )  ),"喪",""),"x","")," ",""),"時",")"),  ""  )  ),  IF(  AND(  LEN(  INDEX(   $A$1:$AJ$39, MATCH($A405,$A$1:$A$39,0),MATCH(  U$402,$A$1:$AP$1,0  )  )  )&gt;LEN(  SUBSTITUTE(  INDEX(   $A$1:$AJ$39, MATCH($A405,$A$1:$A$39,0),MATCH(  U$402,$A$1:$AP$1,0  )  ),"喪","")  ),  LEN(  INDEX(   $A$1:$AJ$39, MATCH($A405,$A$1:$A$39,0),MATCH(  U$402,$A$1:$AP$1,0  )  )  )&gt;LEN(  SUBSTITUTE(  INDEX(   $A$1:$AJ$39, MATCH($A405,$A$1:$A$39,0),MATCH(  U$402,$A$1:$AP$1,0  )  ),"-","")  )  ),  CONCATENATE(  $A405,"(",   SUBSTITUTE(   SUBSTITUTE(  SUBSTITUTE(  INDEX(   $A$1:$AJ$39, MATCH($A405,$A$1:$A$39,0),MATCH(  U$402,$A$402:$AP$402,0  )  ),"喪",""),"x","")," ",""),"時",")"),  ""  )  )           ))</f>
        <v/>
      </c>
      <c r="V405" s="66" t="str">
        <f t="shared" ref="V405:V437" si="288">IF(    AND( V4="喪",  LEN(V404)&gt;=2 ),        "" &amp; $A405,    IF(         AND( V4="喪" ),       $A405,        IF(  OR(  LEN(V404)&gt;=2  ),  CONCATENATE(  ".",  IF(  AND(  LEN(  INDEX(   $A$1:$AJ$39, MATCH($A405,$A$1:$A$39,0),MATCH(  V$402,$A$1:$AP$1,0  )  )  )&gt;LEN(  SUBSTITUTE(  INDEX(   $A$1:$AJ$39, MATCH($A405,$A$1:$A$39,0),MATCH(  V$402,$A$1:$AP$1,0  )  ),"病","")  ),  LEN(  INDEX(   $A$1:$AJ$39, MATCH($A405,$A$1:$A$39,0),MATCH(  V$402,$A$1:$AP$1,0  )  )  )&gt;LEN(  SUBSTITUTE(  INDEX(   $A$1:$AJ$39, MATCH($A405,$A$1:$A$39,0),MATCH(  V$402,$A$1:$AP$1,0  )  ),"-","")  )  ),  CONCATENATE(  $A405,"(",   SUBSTITUTE(   SUBSTITUTE(  SUBSTITUTE(  INDEX(   $A$1:$AJ$39, MATCH($A405,$A$1:$A$39,0),MATCH(  V$402,$A$402:$AP$402,0  )  ),"喪",""),"x","")," ",""),"時",")"),  ""  )  ),  IF(  AND(  LEN(  INDEX(   $A$1:$AJ$39, MATCH($A405,$A$1:$A$39,0),MATCH(  V$402,$A$1:$AP$1,0  )  )  )&gt;LEN(  SUBSTITUTE(  INDEX(   $A$1:$AJ$39, MATCH($A405,$A$1:$A$39,0),MATCH(  V$402,$A$1:$AP$1,0  )  ),"喪","")  ),  LEN(  INDEX(   $A$1:$AJ$39, MATCH($A405,$A$1:$A$39,0),MATCH(  V$402,$A$1:$AP$1,0  )  )  )&gt;LEN(  SUBSTITUTE(  INDEX(   $A$1:$AJ$39, MATCH($A405,$A$1:$A$39,0),MATCH(  V$402,$A$1:$AP$1,0  )  ),"-","")  )  ),  CONCATENATE(  $A405,"(",   SUBSTITUTE(   SUBSTITUTE(  SUBSTITUTE(  INDEX(   $A$1:$AJ$39, MATCH($A405,$A$1:$A$39,0),MATCH(  V$402,$A$402:$AP$402,0  )  ),"喪",""),"x","")," ",""),"時",")"),  ""  )  )           ))</f>
        <v/>
      </c>
      <c r="W405" s="66" t="str">
        <f t="shared" ref="W405:W437" si="289">IF(    AND( W4="喪",  LEN(W404)&gt;=2 ),        "" &amp; $A405,    IF(         AND( W4="喪" ),       $A405,        IF(  OR(  LEN(W404)&gt;=2  ),  CONCATENATE(  ".",  IF(  AND(  LEN(  INDEX(   $A$1:$AJ$39, MATCH($A405,$A$1:$A$39,0),MATCH(  W$402,$A$1:$AP$1,0  )  )  )&gt;LEN(  SUBSTITUTE(  INDEX(   $A$1:$AJ$39, MATCH($A405,$A$1:$A$39,0),MATCH(  W$402,$A$1:$AP$1,0  )  ),"病","")  ),  LEN(  INDEX(   $A$1:$AJ$39, MATCH($A405,$A$1:$A$39,0),MATCH(  W$402,$A$1:$AP$1,0  )  )  )&gt;LEN(  SUBSTITUTE(  INDEX(   $A$1:$AJ$39, MATCH($A405,$A$1:$A$39,0),MATCH(  W$402,$A$1:$AP$1,0  )  ),"-","")  )  ),  CONCATENATE(  $A405,"(",   SUBSTITUTE(   SUBSTITUTE(  SUBSTITUTE(  INDEX(   $A$1:$AJ$39, MATCH($A405,$A$1:$A$39,0),MATCH(  W$402,$A$402:$AP$402,0  )  ),"喪",""),"x","")," ",""),"時",")"),  ""  )  ),  IF(  AND(  LEN(  INDEX(   $A$1:$AJ$39, MATCH($A405,$A$1:$A$39,0),MATCH(  W$402,$A$1:$AP$1,0  )  )  )&gt;LEN(  SUBSTITUTE(  INDEX(   $A$1:$AJ$39, MATCH($A405,$A$1:$A$39,0),MATCH(  W$402,$A$1:$AP$1,0  )  ),"喪","")  ),  LEN(  INDEX(   $A$1:$AJ$39, MATCH($A405,$A$1:$A$39,0),MATCH(  W$402,$A$1:$AP$1,0  )  )  )&gt;LEN(  SUBSTITUTE(  INDEX(   $A$1:$AJ$39, MATCH($A405,$A$1:$A$39,0),MATCH(  W$402,$A$1:$AP$1,0  )  ),"-","")  )  ),  CONCATENATE(  $A405,"(",   SUBSTITUTE(   SUBSTITUTE(  SUBSTITUTE(  INDEX(   $A$1:$AJ$39, MATCH($A405,$A$1:$A$39,0),MATCH(  W$402,$A$402:$AP$402,0  )  ),"喪",""),"x","")," ",""),"時",")"),  ""  )  )           ))</f>
        <v/>
      </c>
      <c r="X405" s="66" t="str">
        <f t="shared" ref="X405:X437" si="290">IF(    AND( X4="喪",  LEN(X404)&gt;=2 ),        "" &amp; $A405,    IF(         AND( X4="喪" ),       $A405,        IF(  OR(  LEN(X404)&gt;=2  ),  CONCATENATE(  ".",  IF(  AND(  LEN(  INDEX(   $A$1:$AJ$39, MATCH($A405,$A$1:$A$39,0),MATCH(  X$402,$A$1:$AP$1,0  )  )  )&gt;LEN(  SUBSTITUTE(  INDEX(   $A$1:$AJ$39, MATCH($A405,$A$1:$A$39,0),MATCH(  X$402,$A$1:$AP$1,0  )  ),"病","")  ),  LEN(  INDEX(   $A$1:$AJ$39, MATCH($A405,$A$1:$A$39,0),MATCH(  X$402,$A$1:$AP$1,0  )  )  )&gt;LEN(  SUBSTITUTE(  INDEX(   $A$1:$AJ$39, MATCH($A405,$A$1:$A$39,0),MATCH(  X$402,$A$1:$AP$1,0  )  ),"-","")  )  ),  CONCATENATE(  $A405,"(",   SUBSTITUTE(   SUBSTITUTE(  SUBSTITUTE(  INDEX(   $A$1:$AJ$39, MATCH($A405,$A$1:$A$39,0),MATCH(  X$402,$A$402:$AP$402,0  )  ),"喪",""),"x","")," ",""),"時",")"),  ""  )  ),  IF(  AND(  LEN(  INDEX(   $A$1:$AJ$39, MATCH($A405,$A$1:$A$39,0),MATCH(  X$402,$A$1:$AP$1,0  )  )  )&gt;LEN(  SUBSTITUTE(  INDEX(   $A$1:$AJ$39, MATCH($A405,$A$1:$A$39,0),MATCH(  X$402,$A$1:$AP$1,0  )  ),"喪","")  ),  LEN(  INDEX(   $A$1:$AJ$39, MATCH($A405,$A$1:$A$39,0),MATCH(  X$402,$A$1:$AP$1,0  )  )  )&gt;LEN(  SUBSTITUTE(  INDEX(   $A$1:$AJ$39, MATCH($A405,$A$1:$A$39,0),MATCH(  X$402,$A$1:$AP$1,0  )  ),"-","")  )  ),  CONCATENATE(  $A405,"(",   SUBSTITUTE(   SUBSTITUTE(  SUBSTITUTE(  INDEX(   $A$1:$AJ$39, MATCH($A405,$A$1:$A$39,0),MATCH(  X$402,$A$402:$AP$402,0  )  ),"喪",""),"x","")," ",""),"時",")"),  ""  )  )           ))</f>
        <v/>
      </c>
      <c r="Y405" s="66" t="str">
        <f t="shared" ref="Y405:Y437" si="291">IF(    AND( Y4="喪",  LEN(Y404)&gt;=2 ),        "" &amp; $A405,    IF(         AND( Y4="喪" ),       $A405,        IF(  OR(  LEN(Y404)&gt;=2  ),  CONCATENATE(  ".",  IF(  AND(  LEN(  INDEX(   $A$1:$AJ$39, MATCH($A405,$A$1:$A$39,0),MATCH(  Y$402,$A$1:$AP$1,0  )  )  )&gt;LEN(  SUBSTITUTE(  INDEX(   $A$1:$AJ$39, MATCH($A405,$A$1:$A$39,0),MATCH(  Y$402,$A$1:$AP$1,0  )  ),"病","")  ),  LEN(  INDEX(   $A$1:$AJ$39, MATCH($A405,$A$1:$A$39,0),MATCH(  Y$402,$A$1:$AP$1,0  )  )  )&gt;LEN(  SUBSTITUTE(  INDEX(   $A$1:$AJ$39, MATCH($A405,$A$1:$A$39,0),MATCH(  Y$402,$A$1:$AP$1,0  )  ),"-","")  )  ),  CONCATENATE(  $A405,"(",   SUBSTITUTE(   SUBSTITUTE(  SUBSTITUTE(  INDEX(   $A$1:$AJ$39, MATCH($A405,$A$1:$A$39,0),MATCH(  Y$402,$A$402:$AP$402,0  )  ),"喪",""),"x","")," ",""),"時",")"),  ""  )  ),  IF(  AND(  LEN(  INDEX(   $A$1:$AJ$39, MATCH($A405,$A$1:$A$39,0),MATCH(  Y$402,$A$1:$AP$1,0  )  )  )&gt;LEN(  SUBSTITUTE(  INDEX(   $A$1:$AJ$39, MATCH($A405,$A$1:$A$39,0),MATCH(  Y$402,$A$1:$AP$1,0  )  ),"喪","")  ),  LEN(  INDEX(   $A$1:$AJ$39, MATCH($A405,$A$1:$A$39,0),MATCH(  Y$402,$A$1:$AP$1,0  )  )  )&gt;LEN(  SUBSTITUTE(  INDEX(   $A$1:$AJ$39, MATCH($A405,$A$1:$A$39,0),MATCH(  Y$402,$A$1:$AP$1,0  )  ),"-","")  )  ),  CONCATENATE(  $A405,"(",   SUBSTITUTE(   SUBSTITUTE(  SUBSTITUTE(  INDEX(   $A$1:$AJ$39, MATCH($A405,$A$1:$A$39,0),MATCH(  Y$402,$A$402:$AP$402,0  )  ),"喪",""),"x","")," ",""),"時",")"),  ""  )  )           ))</f>
        <v/>
      </c>
      <c r="Z405" s="66" t="str">
        <f t="shared" ref="Z405:Z437" si="292">IF(    AND( Z4="喪",  LEN(Z404)&gt;=2 ),        "" &amp; $A405,    IF(         AND( Z4="喪" ),       $A405,        IF(  OR(  LEN(Z404)&gt;=2  ),  CONCATENATE(  ".",  IF(  AND(  LEN(  INDEX(   $A$1:$AJ$39, MATCH($A405,$A$1:$A$39,0),MATCH(  Z$402,$A$1:$AP$1,0  )  )  )&gt;LEN(  SUBSTITUTE(  INDEX(   $A$1:$AJ$39, MATCH($A405,$A$1:$A$39,0),MATCH(  Z$402,$A$1:$AP$1,0  )  ),"病","")  ),  LEN(  INDEX(   $A$1:$AJ$39, MATCH($A405,$A$1:$A$39,0),MATCH(  Z$402,$A$1:$AP$1,0  )  )  )&gt;LEN(  SUBSTITUTE(  INDEX(   $A$1:$AJ$39, MATCH($A405,$A$1:$A$39,0),MATCH(  Z$402,$A$1:$AP$1,0  )  ),"-","")  )  ),  CONCATENATE(  $A405,"(",   SUBSTITUTE(   SUBSTITUTE(  SUBSTITUTE(  INDEX(   $A$1:$AJ$39, MATCH($A405,$A$1:$A$39,0),MATCH(  Z$402,$A$402:$AP$402,0  )  ),"喪",""),"x","")," ",""),"時",")"),  ""  )  ),  IF(  AND(  LEN(  INDEX(   $A$1:$AJ$39, MATCH($A405,$A$1:$A$39,0),MATCH(  Z$402,$A$1:$AP$1,0  )  )  )&gt;LEN(  SUBSTITUTE(  INDEX(   $A$1:$AJ$39, MATCH($A405,$A$1:$A$39,0),MATCH(  Z$402,$A$1:$AP$1,0  )  ),"喪","")  ),  LEN(  INDEX(   $A$1:$AJ$39, MATCH($A405,$A$1:$A$39,0),MATCH(  Z$402,$A$1:$AP$1,0  )  )  )&gt;LEN(  SUBSTITUTE(  INDEX(   $A$1:$AJ$39, MATCH($A405,$A$1:$A$39,0),MATCH(  Z$402,$A$1:$AP$1,0  )  ),"-","")  )  ),  CONCATENATE(  $A405,"(",   SUBSTITUTE(   SUBSTITUTE(  SUBSTITUTE(  INDEX(   $A$1:$AJ$39, MATCH($A405,$A$1:$A$39,0),MATCH(  Z$402,$A$402:$AP$402,0  )  ),"喪",""),"x","")," ",""),"時",")"),  ""  )  )           ))</f>
        <v/>
      </c>
      <c r="AA405" s="66" t="str">
        <f t="shared" ref="AA405:AA437" si="293">IF(    AND( AA4="喪",  LEN(AA404)&gt;=2 ),        "" &amp; $A405,    IF(         AND( AA4="喪" ),       $A405,        IF(  OR(  LEN(AA404)&gt;=2  ),  CONCATENATE(  ".",  IF(  AND(  LEN(  INDEX(   $A$1:$AJ$39, MATCH($A405,$A$1:$A$39,0),MATCH(  AA$402,$A$1:$AP$1,0  )  )  )&gt;LEN(  SUBSTITUTE(  INDEX(   $A$1:$AJ$39, MATCH($A405,$A$1:$A$39,0),MATCH(  AA$402,$A$1:$AP$1,0  )  ),"病","")  ),  LEN(  INDEX(   $A$1:$AJ$39, MATCH($A405,$A$1:$A$39,0),MATCH(  AA$402,$A$1:$AP$1,0  )  )  )&gt;LEN(  SUBSTITUTE(  INDEX(   $A$1:$AJ$39, MATCH($A405,$A$1:$A$39,0),MATCH(  AA$402,$A$1:$AP$1,0  )  ),"-","")  )  ),  CONCATENATE(  $A405,"(",   SUBSTITUTE(   SUBSTITUTE(  SUBSTITUTE(  INDEX(   $A$1:$AJ$39, MATCH($A405,$A$1:$A$39,0),MATCH(  AA$402,$A$402:$AP$402,0  )  ),"喪",""),"x","")," ",""),"時",")"),  ""  )  ),  IF(  AND(  LEN(  INDEX(   $A$1:$AJ$39, MATCH($A405,$A$1:$A$39,0),MATCH(  AA$402,$A$1:$AP$1,0  )  )  )&gt;LEN(  SUBSTITUTE(  INDEX(   $A$1:$AJ$39, MATCH($A405,$A$1:$A$39,0),MATCH(  AA$402,$A$1:$AP$1,0  )  ),"喪","")  ),  LEN(  INDEX(   $A$1:$AJ$39, MATCH($A405,$A$1:$A$39,0),MATCH(  AA$402,$A$1:$AP$1,0  )  )  )&gt;LEN(  SUBSTITUTE(  INDEX(   $A$1:$AJ$39, MATCH($A405,$A$1:$A$39,0),MATCH(  AA$402,$A$1:$AP$1,0  )  ),"-","")  )  ),  CONCATENATE(  $A405,"(",   SUBSTITUTE(   SUBSTITUTE(  SUBSTITUTE(  INDEX(   $A$1:$AJ$39, MATCH($A405,$A$1:$A$39,0),MATCH(  AA$402,$A$402:$AP$402,0  )  ),"喪",""),"x","")," ",""),"時",")"),  ""  )  )           ))</f>
        <v/>
      </c>
      <c r="AB405" s="66" t="str">
        <f t="shared" ref="AB405:AB437" si="294">IF(    AND( AB4="喪",  LEN(AB404)&gt;=2 ),        "" &amp; $A405,    IF(         AND( AB4="喪" ),       $A405,        IF(  OR(  LEN(AB404)&gt;=2  ),  CONCATENATE(  ".",  IF(  AND(  LEN(  INDEX(   $A$1:$AJ$39, MATCH($A405,$A$1:$A$39,0),MATCH(  AB$402,$A$1:$AP$1,0  )  )  )&gt;LEN(  SUBSTITUTE(  INDEX(   $A$1:$AJ$39, MATCH($A405,$A$1:$A$39,0),MATCH(  AB$402,$A$1:$AP$1,0  )  ),"病","")  ),  LEN(  INDEX(   $A$1:$AJ$39, MATCH($A405,$A$1:$A$39,0),MATCH(  AB$402,$A$1:$AP$1,0  )  )  )&gt;LEN(  SUBSTITUTE(  INDEX(   $A$1:$AJ$39, MATCH($A405,$A$1:$A$39,0),MATCH(  AB$402,$A$1:$AP$1,0  )  ),"-","")  )  ),  CONCATENATE(  $A405,"(",   SUBSTITUTE(   SUBSTITUTE(  SUBSTITUTE(  INDEX(   $A$1:$AJ$39, MATCH($A405,$A$1:$A$39,0),MATCH(  AB$402,$A$402:$AP$402,0  )  ),"喪",""),"x","")," ",""),"時",")"),  ""  )  ),  IF(  AND(  LEN(  INDEX(   $A$1:$AJ$39, MATCH($A405,$A$1:$A$39,0),MATCH(  AB$402,$A$1:$AP$1,0  )  )  )&gt;LEN(  SUBSTITUTE(  INDEX(   $A$1:$AJ$39, MATCH($A405,$A$1:$A$39,0),MATCH(  AB$402,$A$1:$AP$1,0  )  ),"喪","")  ),  LEN(  INDEX(   $A$1:$AJ$39, MATCH($A405,$A$1:$A$39,0),MATCH(  AB$402,$A$1:$AP$1,0  )  )  )&gt;LEN(  SUBSTITUTE(  INDEX(   $A$1:$AJ$39, MATCH($A405,$A$1:$A$39,0),MATCH(  AB$402,$A$1:$AP$1,0  )  ),"-","")  )  ),  CONCATENATE(  $A405,"(",   SUBSTITUTE(   SUBSTITUTE(  SUBSTITUTE(  INDEX(   $A$1:$AJ$39, MATCH($A405,$A$1:$A$39,0),MATCH(  AB$402,$A$402:$AP$402,0  )  ),"喪",""),"x","")," ",""),"時",")"),  ""  )  )           ))</f>
        <v/>
      </c>
      <c r="AC405" s="66" t="str">
        <f t="shared" ref="AC405:AC437" si="295">IF(    AND( AC4="喪",  LEN(AC404)&gt;=2 ),        "" &amp; $A405,    IF(         AND( AC4="喪" ),       $A405,        IF(  OR(  LEN(AC404)&gt;=2  ),  CONCATENATE(  ".",  IF(  AND(  LEN(  INDEX(   $A$1:$AJ$39, MATCH($A405,$A$1:$A$39,0),MATCH(  AC$402,$A$1:$AP$1,0  )  )  )&gt;LEN(  SUBSTITUTE(  INDEX(   $A$1:$AJ$39, MATCH($A405,$A$1:$A$39,0),MATCH(  AC$402,$A$1:$AP$1,0  )  ),"病","")  ),  LEN(  INDEX(   $A$1:$AJ$39, MATCH($A405,$A$1:$A$39,0),MATCH(  AC$402,$A$1:$AP$1,0  )  )  )&gt;LEN(  SUBSTITUTE(  INDEX(   $A$1:$AJ$39, MATCH($A405,$A$1:$A$39,0),MATCH(  AC$402,$A$1:$AP$1,0  )  ),"-","")  )  ),  CONCATENATE(  $A405,"(",   SUBSTITUTE(   SUBSTITUTE(  SUBSTITUTE(  INDEX(   $A$1:$AJ$39, MATCH($A405,$A$1:$A$39,0),MATCH(  AC$402,$A$402:$AP$402,0  )  ),"喪",""),"x","")," ",""),"時",")"),  ""  )  ),  IF(  AND(  LEN(  INDEX(   $A$1:$AJ$39, MATCH($A405,$A$1:$A$39,0),MATCH(  AC$402,$A$1:$AP$1,0  )  )  )&gt;LEN(  SUBSTITUTE(  INDEX(   $A$1:$AJ$39, MATCH($A405,$A$1:$A$39,0),MATCH(  AC$402,$A$1:$AP$1,0  )  ),"喪","")  ),  LEN(  INDEX(   $A$1:$AJ$39, MATCH($A405,$A$1:$A$39,0),MATCH(  AC$402,$A$1:$AP$1,0  )  )  )&gt;LEN(  SUBSTITUTE(  INDEX(   $A$1:$AJ$39, MATCH($A405,$A$1:$A$39,0),MATCH(  AC$402,$A$1:$AP$1,0  )  ),"-","")  )  ),  CONCATENATE(  $A405,"(",   SUBSTITUTE(   SUBSTITUTE(  SUBSTITUTE(  INDEX(   $A$1:$AJ$39, MATCH($A405,$A$1:$A$39,0),MATCH(  AC$402,$A$402:$AP$402,0  )  ),"喪",""),"x","")," ",""),"時",")"),  ""  )  )           ))</f>
        <v/>
      </c>
      <c r="AD405" s="66" t="str">
        <f t="shared" ref="AD405:AD437" si="296">IF(    AND( AD4="喪",  LEN(AD404)&gt;=2 ),        "" &amp; $A405,    IF(         AND( AD4="喪" ),       $A405,        IF(  OR(  LEN(AD404)&gt;=2  ),  CONCATENATE(  ".",  IF(  AND(  LEN(  INDEX(   $A$1:$AJ$39, MATCH($A405,$A$1:$A$39,0),MATCH(  AD$402,$A$1:$AP$1,0  )  )  )&gt;LEN(  SUBSTITUTE(  INDEX(   $A$1:$AJ$39, MATCH($A405,$A$1:$A$39,0),MATCH(  AD$402,$A$1:$AP$1,0  )  ),"病","")  ),  LEN(  INDEX(   $A$1:$AJ$39, MATCH($A405,$A$1:$A$39,0),MATCH(  AD$402,$A$1:$AP$1,0  )  )  )&gt;LEN(  SUBSTITUTE(  INDEX(   $A$1:$AJ$39, MATCH($A405,$A$1:$A$39,0),MATCH(  AD$402,$A$1:$AP$1,0  )  ),"-","")  )  ),  CONCATENATE(  $A405,"(",   SUBSTITUTE(   SUBSTITUTE(  SUBSTITUTE(  INDEX(   $A$1:$AJ$39, MATCH($A405,$A$1:$A$39,0),MATCH(  AD$402,$A$402:$AP$402,0  )  ),"喪",""),"x","")," ",""),"時",")"),  ""  )  ),  IF(  AND(  LEN(  INDEX(   $A$1:$AJ$39, MATCH($A405,$A$1:$A$39,0),MATCH(  AD$402,$A$1:$AP$1,0  )  )  )&gt;LEN(  SUBSTITUTE(  INDEX(   $A$1:$AJ$39, MATCH($A405,$A$1:$A$39,0),MATCH(  AD$402,$A$1:$AP$1,0  )  ),"喪","")  ),  LEN(  INDEX(   $A$1:$AJ$39, MATCH($A405,$A$1:$A$39,0),MATCH(  AD$402,$A$1:$AP$1,0  )  )  )&gt;LEN(  SUBSTITUTE(  INDEX(   $A$1:$AJ$39, MATCH($A405,$A$1:$A$39,0),MATCH(  AD$402,$A$1:$AP$1,0  )  ),"-","")  )  ),  CONCATENATE(  $A405,"(",   SUBSTITUTE(   SUBSTITUTE(  SUBSTITUTE(  INDEX(   $A$1:$AJ$39, MATCH($A405,$A$1:$A$39,0),MATCH(  AD$402,$A$402:$AP$402,0  )  ),"喪",""),"x","")," ",""),"時",")"),  ""  )  )           ))</f>
        <v/>
      </c>
      <c r="AE405" s="66" t="str">
        <f t="shared" ref="AE405:AE437" si="297">IF(    AND( AE4="喪",  LEN(AE404)&gt;=2 ),        "" &amp; $A405,    IF(         AND( AE4="喪" ),       $A405,        IF(  OR(  LEN(AE404)&gt;=2  ),  CONCATENATE(  ".",  IF(  AND(  LEN(  INDEX(   $A$1:$AJ$39, MATCH($A405,$A$1:$A$39,0),MATCH(  AE$402,$A$1:$AP$1,0  )  )  )&gt;LEN(  SUBSTITUTE(  INDEX(   $A$1:$AJ$39, MATCH($A405,$A$1:$A$39,0),MATCH(  AE$402,$A$1:$AP$1,0  )  ),"病","")  ),  LEN(  INDEX(   $A$1:$AJ$39, MATCH($A405,$A$1:$A$39,0),MATCH(  AE$402,$A$1:$AP$1,0  )  )  )&gt;LEN(  SUBSTITUTE(  INDEX(   $A$1:$AJ$39, MATCH($A405,$A$1:$A$39,0),MATCH(  AE$402,$A$1:$AP$1,0  )  ),"-","")  )  ),  CONCATENATE(  $A405,"(",   SUBSTITUTE(   SUBSTITUTE(  SUBSTITUTE(  INDEX(   $A$1:$AJ$39, MATCH($A405,$A$1:$A$39,0),MATCH(  AE$402,$A$402:$AP$402,0  )  ),"喪",""),"x","")," ",""),"時",")"),  ""  )  ),  IF(  AND(  LEN(  INDEX(   $A$1:$AJ$39, MATCH($A405,$A$1:$A$39,0),MATCH(  AE$402,$A$1:$AP$1,0  )  )  )&gt;LEN(  SUBSTITUTE(  INDEX(   $A$1:$AJ$39, MATCH($A405,$A$1:$A$39,0),MATCH(  AE$402,$A$1:$AP$1,0  )  ),"喪","")  ),  LEN(  INDEX(   $A$1:$AJ$39, MATCH($A405,$A$1:$A$39,0),MATCH(  AE$402,$A$1:$AP$1,0  )  )  )&gt;LEN(  SUBSTITUTE(  INDEX(   $A$1:$AJ$39, MATCH($A405,$A$1:$A$39,0),MATCH(  AE$402,$A$1:$AP$1,0  )  ),"-","")  )  ),  CONCATENATE(  $A405,"(",   SUBSTITUTE(   SUBSTITUTE(  SUBSTITUTE(  INDEX(   $A$1:$AJ$39, MATCH($A405,$A$1:$A$39,0),MATCH(  AE$402,$A$402:$AP$402,0  )  ),"喪",""),"x","")," ",""),"時",")"),  ""  )  )           ))</f>
        <v/>
      </c>
      <c r="AF405" s="66" t="str">
        <f t="shared" ref="AF405:AF437" si="298">IF(    AND( AF4="喪",  LEN(AF404)&gt;=2 ),        "" &amp; $A405,    IF(         AND( AF4="喪" ),       $A405,        IF(  OR(  LEN(AF404)&gt;=2  ),  CONCATENATE(  ".",  IF(  AND(  LEN(  INDEX(   $A$1:$AJ$39, MATCH($A405,$A$1:$A$39,0),MATCH(  AF$402,$A$1:$AP$1,0  )  )  )&gt;LEN(  SUBSTITUTE(  INDEX(   $A$1:$AJ$39, MATCH($A405,$A$1:$A$39,0),MATCH(  AF$402,$A$1:$AP$1,0  )  ),"病","")  ),  LEN(  INDEX(   $A$1:$AJ$39, MATCH($A405,$A$1:$A$39,0),MATCH(  AF$402,$A$1:$AP$1,0  )  )  )&gt;LEN(  SUBSTITUTE(  INDEX(   $A$1:$AJ$39, MATCH($A405,$A$1:$A$39,0),MATCH(  AF$402,$A$1:$AP$1,0  )  ),"-","")  )  ),  CONCATENATE(  $A405,"(",   SUBSTITUTE(   SUBSTITUTE(  SUBSTITUTE(  INDEX(   $A$1:$AJ$39, MATCH($A405,$A$1:$A$39,0),MATCH(  AF$402,$A$402:$AP$402,0  )  ),"喪",""),"x","")," ",""),"時",")"),  ""  )  ),  IF(  AND(  LEN(  INDEX(   $A$1:$AJ$39, MATCH($A405,$A$1:$A$39,0),MATCH(  AF$402,$A$1:$AP$1,0  )  )  )&gt;LEN(  SUBSTITUTE(  INDEX(   $A$1:$AJ$39, MATCH($A405,$A$1:$A$39,0),MATCH(  AF$402,$A$1:$AP$1,0  )  ),"喪","")  ),  LEN(  INDEX(   $A$1:$AJ$39, MATCH($A405,$A$1:$A$39,0),MATCH(  AF$402,$A$1:$AP$1,0  )  )  )&gt;LEN(  SUBSTITUTE(  INDEX(   $A$1:$AJ$39, MATCH($A405,$A$1:$A$39,0),MATCH(  AF$402,$A$1:$AP$1,0  )  ),"-","")  )  ),  CONCATENATE(  $A405,"(",   SUBSTITUTE(   SUBSTITUTE(  SUBSTITUTE(  INDEX(   $A$1:$AJ$39, MATCH($A405,$A$1:$A$39,0),MATCH(  AF$402,$A$402:$AP$402,0  )  ),"喪",""),"x","")," ",""),"時",")"),  ""  )  )           ))</f>
        <v/>
      </c>
      <c r="AG405" s="66" t="str">
        <f t="shared" ref="AG405:AG437" si="299">IF(    AND( AG4="喪",  LEN(AG404)&gt;=2 ),        "" &amp; $A405,    IF(         AND( AG4="喪" ),       $A405,        IF(  OR(  LEN(AG404)&gt;=2  ),  CONCATENATE(  ".",  IF(  AND(  LEN(  INDEX(   $A$1:$AJ$39, MATCH($A405,$A$1:$A$39,0),MATCH(  AG$402,$A$1:$AP$1,0  )  )  )&gt;LEN(  SUBSTITUTE(  INDEX(   $A$1:$AJ$39, MATCH($A405,$A$1:$A$39,0),MATCH(  AG$402,$A$1:$AP$1,0  )  ),"病","")  ),  LEN(  INDEX(   $A$1:$AJ$39, MATCH($A405,$A$1:$A$39,0),MATCH(  AG$402,$A$1:$AP$1,0  )  )  )&gt;LEN(  SUBSTITUTE(  INDEX(   $A$1:$AJ$39, MATCH($A405,$A$1:$A$39,0),MATCH(  AG$402,$A$1:$AP$1,0  )  ),"-","")  )  ),  CONCATENATE(  $A405,"(",   SUBSTITUTE(   SUBSTITUTE(  SUBSTITUTE(  INDEX(   $A$1:$AJ$39, MATCH($A405,$A$1:$A$39,0),MATCH(  AG$402,$A$402:$AP$402,0  )  ),"喪",""),"x","")," ",""),"時",")"),  ""  )  ),  IF(  AND(  LEN(  INDEX(   $A$1:$AJ$39, MATCH($A405,$A$1:$A$39,0),MATCH(  AG$402,$A$1:$AP$1,0  )  )  )&gt;LEN(  SUBSTITUTE(  INDEX(   $A$1:$AJ$39, MATCH($A405,$A$1:$A$39,0),MATCH(  AG$402,$A$1:$AP$1,0  )  ),"喪","")  ),  LEN(  INDEX(   $A$1:$AJ$39, MATCH($A405,$A$1:$A$39,0),MATCH(  AG$402,$A$1:$AP$1,0  )  )  )&gt;LEN(  SUBSTITUTE(  INDEX(   $A$1:$AJ$39, MATCH($A405,$A$1:$A$39,0),MATCH(  AG$402,$A$1:$AP$1,0  )  ),"-","")  )  ),  CONCATENATE(  $A405,"(",   SUBSTITUTE(   SUBSTITUTE(  SUBSTITUTE(  INDEX(   $A$1:$AJ$39, MATCH($A405,$A$1:$A$39,0),MATCH(  AG$402,$A$402:$AP$402,0  )  ),"喪",""),"x","")," ",""),"時",")"),  ""  )  )           ))</f>
        <v/>
      </c>
      <c r="AH405" s="66" t="str">
        <f t="shared" ref="AH405:AH437" si="300">IF(    AND( AH4="喪",  LEN(AH404)&gt;=2 ),        "" &amp; $A405,    IF(         AND( AH4="喪" ),       $A405,        IF(  OR(  LEN(AH404)&gt;=2  ),  CONCATENATE(  ".",  IF(  AND(  LEN(  INDEX(   $A$1:$AJ$39, MATCH($A405,$A$1:$A$39,0),MATCH(  AH$402,$A$1:$AP$1,0  )  )  )&gt;LEN(  SUBSTITUTE(  INDEX(   $A$1:$AJ$39, MATCH($A405,$A$1:$A$39,0),MATCH(  AH$402,$A$1:$AP$1,0  )  ),"病","")  ),  LEN(  INDEX(   $A$1:$AJ$39, MATCH($A405,$A$1:$A$39,0),MATCH(  AH$402,$A$1:$AP$1,0  )  )  )&gt;LEN(  SUBSTITUTE(  INDEX(   $A$1:$AJ$39, MATCH($A405,$A$1:$A$39,0),MATCH(  AH$402,$A$1:$AP$1,0  )  ),"-","")  )  ),  CONCATENATE(  $A405,"(",   SUBSTITUTE(   SUBSTITUTE(  SUBSTITUTE(  INDEX(   $A$1:$AJ$39, MATCH($A405,$A$1:$A$39,0),MATCH(  AH$402,$A$402:$AP$402,0  )  ),"喪",""),"x","")," ",""),"時",")"),  ""  )  ),  IF(  AND(  LEN(  INDEX(   $A$1:$AJ$39, MATCH($A405,$A$1:$A$39,0),MATCH(  AH$402,$A$1:$AP$1,0  )  )  )&gt;LEN(  SUBSTITUTE(  INDEX(   $A$1:$AJ$39, MATCH($A405,$A$1:$A$39,0),MATCH(  AH$402,$A$1:$AP$1,0  )  ),"喪","")  ),  LEN(  INDEX(   $A$1:$AJ$39, MATCH($A405,$A$1:$A$39,0),MATCH(  AH$402,$A$1:$AP$1,0  )  )  )&gt;LEN(  SUBSTITUTE(  INDEX(   $A$1:$AJ$39, MATCH($A405,$A$1:$A$39,0),MATCH(  AH$402,$A$1:$AP$1,0  )  ),"-","")  )  ),  CONCATENATE(  $A405,"(",   SUBSTITUTE(   SUBSTITUTE(  SUBSTITUTE(  INDEX(   $A$1:$AJ$39, MATCH($A405,$A$1:$A$39,0),MATCH(  AH$402,$A$402:$AP$402,0  )  ),"喪",""),"x","")," ",""),"時",")"),  ""  )  )           ))</f>
        <v/>
      </c>
      <c r="AI405" s="66" t="str">
        <f t="shared" ref="AI405:AI437" si="301">IF(    AND( AI4="喪",  LEN(AI404)&gt;=2 ),        "" &amp; $A405,    IF(         AND( AI4="喪" ),       $A405,        IF(  OR(  LEN(AI404)&gt;=2  ),  CONCATENATE(  ".",  IF(  AND(  LEN(  INDEX(   $A$1:$AJ$39, MATCH($A405,$A$1:$A$39,0),MATCH(  AI$402,$A$1:$AP$1,0  )  )  )&gt;LEN(  SUBSTITUTE(  INDEX(   $A$1:$AJ$39, MATCH($A405,$A$1:$A$39,0),MATCH(  AI$402,$A$1:$AP$1,0  )  ),"病","")  ),  LEN(  INDEX(   $A$1:$AJ$39, MATCH($A405,$A$1:$A$39,0),MATCH(  AI$402,$A$1:$AP$1,0  )  )  )&gt;LEN(  SUBSTITUTE(  INDEX(   $A$1:$AJ$39, MATCH($A405,$A$1:$A$39,0),MATCH(  AI$402,$A$1:$AP$1,0  )  ),"-","")  )  ),  CONCATENATE(  $A405,"(",   SUBSTITUTE(   SUBSTITUTE(  SUBSTITUTE(  INDEX(   $A$1:$AJ$39, MATCH($A405,$A$1:$A$39,0),MATCH(  AI$402,$A$402:$AP$402,0  )  ),"喪",""),"x","")," ",""),"時",")"),  ""  )  ),  IF(  AND(  LEN(  INDEX(   $A$1:$AJ$39, MATCH($A405,$A$1:$A$39,0),MATCH(  AI$402,$A$1:$AP$1,0  )  )  )&gt;LEN(  SUBSTITUTE(  INDEX(   $A$1:$AJ$39, MATCH($A405,$A$1:$A$39,0),MATCH(  AI$402,$A$1:$AP$1,0  )  ),"喪","")  ),  LEN(  INDEX(   $A$1:$AJ$39, MATCH($A405,$A$1:$A$39,0),MATCH(  AI$402,$A$1:$AP$1,0  )  )  )&gt;LEN(  SUBSTITUTE(  INDEX(   $A$1:$AJ$39, MATCH($A405,$A$1:$A$39,0),MATCH(  AI$402,$A$1:$AP$1,0  )  ),"-","")  )  ),  CONCATENATE(  $A405,"(",   SUBSTITUTE(   SUBSTITUTE(  SUBSTITUTE(  INDEX(   $A$1:$AJ$39, MATCH($A405,$A$1:$A$39,0),MATCH(  AI$402,$A$402:$AP$402,0  )  ),"喪",""),"x","")," ",""),"時",")"),  ""  )  )           ))</f>
        <v/>
      </c>
      <c r="AJ405" s="66" t="str">
        <f t="shared" ref="AJ405:AJ437" si="302">IF(    AND( AJ4="喪",  LEN(AJ404)&gt;=2 ),        "" &amp; $A405,    IF(         AND( AJ4="喪" ),       $A405,        IF(  OR(  LEN(AJ404)&gt;=2  ),  CONCATENATE(  ".",  IF(  AND(  LEN(  INDEX(   $A$1:$AJ$39, MATCH($A405,$A$1:$A$39,0),MATCH(  AJ$402,$A$1:$AP$1,0  )  )  )&gt;LEN(  SUBSTITUTE(  INDEX(   $A$1:$AJ$39, MATCH($A405,$A$1:$A$39,0),MATCH(  AJ$402,$A$1:$AP$1,0  )  ),"病","")  ),  LEN(  INDEX(   $A$1:$AJ$39, MATCH($A405,$A$1:$A$39,0),MATCH(  AJ$402,$A$1:$AP$1,0  )  )  )&gt;LEN(  SUBSTITUTE(  INDEX(   $A$1:$AJ$39, MATCH($A405,$A$1:$A$39,0),MATCH(  AJ$402,$A$1:$AP$1,0  )  ),"-","")  )  ),  CONCATENATE(  $A405,"(",   SUBSTITUTE(   SUBSTITUTE(  SUBSTITUTE(  INDEX(   $A$1:$AJ$39, MATCH($A405,$A$1:$A$39,0),MATCH(  AJ$402,$A$402:$AP$402,0  )  ),"喪",""),"x","")," ",""),"時",")"),  ""  )  ),  IF(  AND(  LEN(  INDEX(   $A$1:$AJ$39, MATCH($A405,$A$1:$A$39,0),MATCH(  AJ$402,$A$1:$AP$1,0  )  )  )&gt;LEN(  SUBSTITUTE(  INDEX(   $A$1:$AJ$39, MATCH($A405,$A$1:$A$39,0),MATCH(  AJ$402,$A$1:$AP$1,0  )  ),"喪","")  ),  LEN(  INDEX(   $A$1:$AJ$39, MATCH($A405,$A$1:$A$39,0),MATCH(  AJ$402,$A$1:$AP$1,0  )  )  )&gt;LEN(  SUBSTITUTE(  INDEX(   $A$1:$AJ$39, MATCH($A405,$A$1:$A$39,0),MATCH(  AJ$402,$A$1:$AP$1,0  )  ),"-","")  )  ),  CONCATENATE(  $A405,"(",   SUBSTITUTE(   SUBSTITUTE(  SUBSTITUTE(  INDEX(   $A$1:$AJ$39, MATCH($A405,$A$1:$A$39,0),MATCH(  AJ$402,$A$402:$AP$402,0  )  ),"喪",""),"x","")," ",""),"時",")"),  ""  )  )           ))</f>
        <v/>
      </c>
    </row>
    <row r="406" spans="1:36">
      <c r="A406" s="66">
        <f t="shared" si="266"/>
        <v>4</v>
      </c>
      <c r="B406" s="66" t="str">
        <f t="shared" si="266"/>
        <v>鄭凱文</v>
      </c>
      <c r="C406" s="66" t="str">
        <f t="shared" si="268"/>
        <v/>
      </c>
      <c r="D406" s="66" t="str">
        <f t="shared" si="270"/>
        <v/>
      </c>
      <c r="E406" s="66" t="str">
        <f t="shared" si="271"/>
        <v/>
      </c>
      <c r="F406" s="66" t="str">
        <f t="shared" si="272"/>
        <v/>
      </c>
      <c r="G406" s="66" t="str">
        <f t="shared" si="273"/>
        <v/>
      </c>
      <c r="H406" s="66" t="str">
        <f t="shared" si="274"/>
        <v/>
      </c>
      <c r="I406" s="66" t="str">
        <f t="shared" si="275"/>
        <v/>
      </c>
      <c r="J406" s="66" t="str">
        <f t="shared" si="276"/>
        <v/>
      </c>
      <c r="K406" s="66" t="str">
        <f t="shared" si="277"/>
        <v/>
      </c>
      <c r="L406" s="66" t="str">
        <f t="shared" si="278"/>
        <v/>
      </c>
      <c r="M406" s="66" t="str">
        <f t="shared" si="279"/>
        <v/>
      </c>
      <c r="N406" s="66" t="str">
        <f t="shared" si="280"/>
        <v/>
      </c>
      <c r="O406" s="66" t="str">
        <f t="shared" si="281"/>
        <v/>
      </c>
      <c r="P406" s="66" t="str">
        <f t="shared" si="282"/>
        <v/>
      </c>
      <c r="Q406" s="66" t="str">
        <f t="shared" si="283"/>
        <v/>
      </c>
      <c r="R406" s="66" t="str">
        <f t="shared" si="284"/>
        <v/>
      </c>
      <c r="S406" s="66" t="str">
        <f t="shared" si="285"/>
        <v/>
      </c>
      <c r="T406" s="66" t="str">
        <f t="shared" si="286"/>
        <v/>
      </c>
      <c r="U406" s="66" t="str">
        <f t="shared" si="287"/>
        <v/>
      </c>
      <c r="V406" s="66" t="str">
        <f t="shared" si="288"/>
        <v/>
      </c>
      <c r="W406" s="66" t="str">
        <f t="shared" si="289"/>
        <v/>
      </c>
      <c r="X406" s="66" t="str">
        <f t="shared" si="290"/>
        <v/>
      </c>
      <c r="Y406" s="66" t="str">
        <f t="shared" si="291"/>
        <v/>
      </c>
      <c r="Z406" s="66" t="str">
        <f t="shared" si="292"/>
        <v/>
      </c>
      <c r="AA406" s="66" t="str">
        <f t="shared" si="293"/>
        <v/>
      </c>
      <c r="AB406" s="66" t="str">
        <f t="shared" si="294"/>
        <v/>
      </c>
      <c r="AC406" s="66" t="str">
        <f t="shared" si="295"/>
        <v/>
      </c>
      <c r="AD406" s="66" t="str">
        <f t="shared" si="296"/>
        <v/>
      </c>
      <c r="AE406" s="66" t="str">
        <f t="shared" si="297"/>
        <v/>
      </c>
      <c r="AF406" s="66" t="str">
        <f t="shared" si="298"/>
        <v/>
      </c>
      <c r="AG406" s="66" t="str">
        <f t="shared" si="299"/>
        <v/>
      </c>
      <c r="AH406" s="66" t="str">
        <f t="shared" si="300"/>
        <v/>
      </c>
      <c r="AI406" s="66" t="str">
        <f t="shared" si="301"/>
        <v/>
      </c>
      <c r="AJ406" s="66" t="str">
        <f t="shared" si="302"/>
        <v/>
      </c>
    </row>
    <row r="407" spans="1:36">
      <c r="A407" s="66">
        <f t="shared" si="266"/>
        <v>5</v>
      </c>
      <c r="B407" s="66" t="str">
        <f t="shared" si="266"/>
        <v>蔡政倫</v>
      </c>
      <c r="C407" s="66" t="str">
        <f t="shared" si="268"/>
        <v/>
      </c>
      <c r="D407" s="66" t="str">
        <f t="shared" si="270"/>
        <v/>
      </c>
      <c r="E407" s="66" t="str">
        <f t="shared" si="271"/>
        <v/>
      </c>
      <c r="F407" s="66" t="str">
        <f t="shared" si="272"/>
        <v/>
      </c>
      <c r="G407" s="66" t="str">
        <f t="shared" si="273"/>
        <v/>
      </c>
      <c r="H407" s="66" t="str">
        <f t="shared" si="274"/>
        <v/>
      </c>
      <c r="I407" s="66" t="str">
        <f t="shared" si="275"/>
        <v/>
      </c>
      <c r="J407" s="66" t="str">
        <f t="shared" si="276"/>
        <v/>
      </c>
      <c r="K407" s="66" t="str">
        <f t="shared" si="277"/>
        <v/>
      </c>
      <c r="L407" s="66" t="str">
        <f t="shared" si="278"/>
        <v/>
      </c>
      <c r="M407" s="66" t="str">
        <f t="shared" si="279"/>
        <v/>
      </c>
      <c r="N407" s="66" t="str">
        <f t="shared" si="280"/>
        <v/>
      </c>
      <c r="O407" s="66" t="str">
        <f t="shared" si="281"/>
        <v/>
      </c>
      <c r="P407" s="66" t="str">
        <f t="shared" si="282"/>
        <v/>
      </c>
      <c r="Q407" s="66" t="str">
        <f t="shared" si="283"/>
        <v/>
      </c>
      <c r="R407" s="66" t="str">
        <f t="shared" si="284"/>
        <v/>
      </c>
      <c r="S407" s="66" t="str">
        <f t="shared" si="285"/>
        <v/>
      </c>
      <c r="T407" s="66" t="str">
        <f t="shared" si="286"/>
        <v/>
      </c>
      <c r="U407" s="66" t="str">
        <f t="shared" si="287"/>
        <v/>
      </c>
      <c r="V407" s="66" t="str">
        <f t="shared" si="288"/>
        <v/>
      </c>
      <c r="W407" s="66" t="str">
        <f t="shared" si="289"/>
        <v/>
      </c>
      <c r="X407" s="66" t="str">
        <f t="shared" si="290"/>
        <v/>
      </c>
      <c r="Y407" s="66" t="str">
        <f t="shared" si="291"/>
        <v/>
      </c>
      <c r="Z407" s="66" t="str">
        <f t="shared" si="292"/>
        <v/>
      </c>
      <c r="AA407" s="66" t="str">
        <f t="shared" si="293"/>
        <v/>
      </c>
      <c r="AB407" s="66" t="str">
        <f t="shared" si="294"/>
        <v/>
      </c>
      <c r="AC407" s="66" t="str">
        <f t="shared" si="295"/>
        <v/>
      </c>
      <c r="AD407" s="66" t="str">
        <f t="shared" si="296"/>
        <v/>
      </c>
      <c r="AE407" s="66" t="str">
        <f t="shared" si="297"/>
        <v/>
      </c>
      <c r="AF407" s="66" t="str">
        <f t="shared" si="298"/>
        <v/>
      </c>
      <c r="AG407" s="66" t="str">
        <f t="shared" si="299"/>
        <v/>
      </c>
      <c r="AH407" s="66" t="str">
        <f t="shared" si="300"/>
        <v/>
      </c>
      <c r="AI407" s="66" t="str">
        <f t="shared" si="301"/>
        <v/>
      </c>
      <c r="AJ407" s="66" t="str">
        <f t="shared" si="302"/>
        <v/>
      </c>
    </row>
    <row r="408" spans="1:36">
      <c r="A408" s="66">
        <f t="shared" si="266"/>
        <v>6</v>
      </c>
      <c r="B408" s="66" t="str">
        <f t="shared" si="266"/>
        <v>邱昱銘</v>
      </c>
      <c r="C408" s="66" t="str">
        <f t="shared" si="268"/>
        <v/>
      </c>
      <c r="D408" s="66" t="str">
        <f t="shared" si="270"/>
        <v/>
      </c>
      <c r="E408" s="66" t="str">
        <f t="shared" si="271"/>
        <v/>
      </c>
      <c r="F408" s="66" t="str">
        <f t="shared" si="272"/>
        <v/>
      </c>
      <c r="G408" s="66" t="str">
        <f t="shared" si="273"/>
        <v/>
      </c>
      <c r="H408" s="66" t="str">
        <f t="shared" si="274"/>
        <v/>
      </c>
      <c r="I408" s="66" t="str">
        <f t="shared" si="275"/>
        <v/>
      </c>
      <c r="J408" s="66" t="str">
        <f t="shared" si="276"/>
        <v/>
      </c>
      <c r="K408" s="66" t="str">
        <f t="shared" si="277"/>
        <v/>
      </c>
      <c r="L408" s="66" t="str">
        <f t="shared" si="278"/>
        <v/>
      </c>
      <c r="M408" s="66" t="str">
        <f t="shared" si="279"/>
        <v/>
      </c>
      <c r="N408" s="66" t="str">
        <f t="shared" si="280"/>
        <v/>
      </c>
      <c r="O408" s="66" t="str">
        <f t="shared" si="281"/>
        <v/>
      </c>
      <c r="P408" s="66" t="str">
        <f t="shared" si="282"/>
        <v/>
      </c>
      <c r="Q408" s="66" t="str">
        <f t="shared" si="283"/>
        <v/>
      </c>
      <c r="R408" s="66" t="str">
        <f t="shared" si="284"/>
        <v/>
      </c>
      <c r="S408" s="66" t="str">
        <f t="shared" si="285"/>
        <v/>
      </c>
      <c r="T408" s="66" t="str">
        <f t="shared" si="286"/>
        <v/>
      </c>
      <c r="U408" s="66" t="str">
        <f t="shared" si="287"/>
        <v/>
      </c>
      <c r="V408" s="66" t="str">
        <f t="shared" si="288"/>
        <v/>
      </c>
      <c r="W408" s="66" t="str">
        <f t="shared" si="289"/>
        <v/>
      </c>
      <c r="X408" s="66" t="str">
        <f t="shared" si="290"/>
        <v/>
      </c>
      <c r="Y408" s="66" t="str">
        <f t="shared" si="291"/>
        <v/>
      </c>
      <c r="Z408" s="66" t="str">
        <f t="shared" si="292"/>
        <v/>
      </c>
      <c r="AA408" s="66" t="str">
        <f t="shared" si="293"/>
        <v/>
      </c>
      <c r="AB408" s="66" t="str">
        <f t="shared" si="294"/>
        <v/>
      </c>
      <c r="AC408" s="66" t="str">
        <f t="shared" si="295"/>
        <v/>
      </c>
      <c r="AD408" s="66" t="str">
        <f t="shared" si="296"/>
        <v/>
      </c>
      <c r="AE408" s="66" t="str">
        <f t="shared" si="297"/>
        <v/>
      </c>
      <c r="AF408" s="66" t="str">
        <f t="shared" si="298"/>
        <v/>
      </c>
      <c r="AG408" s="66" t="str">
        <f t="shared" si="299"/>
        <v/>
      </c>
      <c r="AH408" s="66" t="str">
        <f t="shared" si="300"/>
        <v/>
      </c>
      <c r="AI408" s="66" t="str">
        <f t="shared" si="301"/>
        <v/>
      </c>
      <c r="AJ408" s="66" t="str">
        <f t="shared" si="302"/>
        <v/>
      </c>
    </row>
    <row r="409" spans="1:36">
      <c r="A409" s="66">
        <f t="shared" si="266"/>
        <v>7</v>
      </c>
      <c r="B409" s="66" t="str">
        <f t="shared" si="266"/>
        <v>洪長昇</v>
      </c>
      <c r="C409" s="66" t="str">
        <f t="shared" si="268"/>
        <v/>
      </c>
      <c r="D409" s="66" t="str">
        <f t="shared" si="270"/>
        <v/>
      </c>
      <c r="E409" s="66" t="str">
        <f t="shared" si="271"/>
        <v/>
      </c>
      <c r="F409" s="66" t="str">
        <f t="shared" si="272"/>
        <v/>
      </c>
      <c r="G409" s="66" t="str">
        <f t="shared" si="273"/>
        <v/>
      </c>
      <c r="H409" s="66" t="str">
        <f t="shared" si="274"/>
        <v/>
      </c>
      <c r="I409" s="66" t="str">
        <f t="shared" si="275"/>
        <v/>
      </c>
      <c r="J409" s="66" t="str">
        <f t="shared" si="276"/>
        <v/>
      </c>
      <c r="K409" s="66" t="str">
        <f t="shared" si="277"/>
        <v/>
      </c>
      <c r="L409" s="66" t="str">
        <f t="shared" si="278"/>
        <v/>
      </c>
      <c r="M409" s="66" t="str">
        <f t="shared" si="279"/>
        <v/>
      </c>
      <c r="N409" s="66" t="str">
        <f t="shared" si="280"/>
        <v/>
      </c>
      <c r="O409" s="66" t="str">
        <f t="shared" si="281"/>
        <v/>
      </c>
      <c r="P409" s="66" t="str">
        <f t="shared" si="282"/>
        <v/>
      </c>
      <c r="Q409" s="66" t="str">
        <f t="shared" si="283"/>
        <v/>
      </c>
      <c r="R409" s="66" t="str">
        <f t="shared" si="284"/>
        <v/>
      </c>
      <c r="S409" s="66" t="str">
        <f t="shared" si="285"/>
        <v/>
      </c>
      <c r="T409" s="66" t="str">
        <f t="shared" si="286"/>
        <v/>
      </c>
      <c r="U409" s="66" t="str">
        <f t="shared" si="287"/>
        <v/>
      </c>
      <c r="V409" s="66" t="str">
        <f t="shared" si="288"/>
        <v/>
      </c>
      <c r="W409" s="66" t="str">
        <f t="shared" si="289"/>
        <v/>
      </c>
      <c r="X409" s="66" t="str">
        <f t="shared" si="290"/>
        <v/>
      </c>
      <c r="Y409" s="66" t="str">
        <f t="shared" si="291"/>
        <v/>
      </c>
      <c r="Z409" s="66" t="str">
        <f t="shared" si="292"/>
        <v/>
      </c>
      <c r="AA409" s="66" t="str">
        <f t="shared" si="293"/>
        <v/>
      </c>
      <c r="AB409" s="66" t="str">
        <f t="shared" si="294"/>
        <v/>
      </c>
      <c r="AC409" s="66" t="str">
        <f t="shared" si="295"/>
        <v/>
      </c>
      <c r="AD409" s="66" t="str">
        <f t="shared" si="296"/>
        <v/>
      </c>
      <c r="AE409" s="66" t="str">
        <f t="shared" si="297"/>
        <v/>
      </c>
      <c r="AF409" s="66" t="str">
        <f t="shared" si="298"/>
        <v/>
      </c>
      <c r="AG409" s="66" t="str">
        <f t="shared" si="299"/>
        <v/>
      </c>
      <c r="AH409" s="66" t="str">
        <f t="shared" si="300"/>
        <v/>
      </c>
      <c r="AI409" s="66" t="str">
        <f t="shared" si="301"/>
        <v/>
      </c>
      <c r="AJ409" s="66" t="str">
        <f t="shared" si="302"/>
        <v/>
      </c>
    </row>
    <row r="410" spans="1:36">
      <c r="A410" s="66">
        <f t="shared" si="266"/>
        <v>8</v>
      </c>
      <c r="B410" s="66" t="str">
        <f t="shared" si="266"/>
        <v>許翊呈</v>
      </c>
      <c r="C410" s="66" t="str">
        <f t="shared" si="268"/>
        <v/>
      </c>
      <c r="D410" s="66" t="str">
        <f t="shared" si="270"/>
        <v/>
      </c>
      <c r="E410" s="66" t="str">
        <f t="shared" si="271"/>
        <v/>
      </c>
      <c r="F410" s="66" t="str">
        <f t="shared" si="272"/>
        <v/>
      </c>
      <c r="G410" s="66" t="str">
        <f t="shared" si="273"/>
        <v/>
      </c>
      <c r="H410" s="66" t="str">
        <f t="shared" si="274"/>
        <v/>
      </c>
      <c r="I410" s="66" t="str">
        <f t="shared" si="275"/>
        <v/>
      </c>
      <c r="J410" s="66" t="str">
        <f t="shared" si="276"/>
        <v/>
      </c>
      <c r="K410" s="66" t="str">
        <f t="shared" si="277"/>
        <v/>
      </c>
      <c r="L410" s="66" t="str">
        <f t="shared" si="278"/>
        <v/>
      </c>
      <c r="M410" s="66" t="str">
        <f t="shared" si="279"/>
        <v/>
      </c>
      <c r="N410" s="66" t="str">
        <f t="shared" si="280"/>
        <v/>
      </c>
      <c r="O410" s="66" t="str">
        <f t="shared" si="281"/>
        <v/>
      </c>
      <c r="P410" s="66" t="str">
        <f t="shared" si="282"/>
        <v/>
      </c>
      <c r="Q410" s="66" t="str">
        <f t="shared" si="283"/>
        <v/>
      </c>
      <c r="R410" s="66" t="str">
        <f t="shared" si="284"/>
        <v/>
      </c>
      <c r="S410" s="66" t="str">
        <f t="shared" si="285"/>
        <v/>
      </c>
      <c r="T410" s="66" t="str">
        <f t="shared" si="286"/>
        <v/>
      </c>
      <c r="U410" s="66" t="str">
        <f t="shared" si="287"/>
        <v/>
      </c>
      <c r="V410" s="66" t="str">
        <f t="shared" si="288"/>
        <v/>
      </c>
      <c r="W410" s="66" t="str">
        <f t="shared" si="289"/>
        <v/>
      </c>
      <c r="X410" s="66" t="str">
        <f t="shared" si="290"/>
        <v/>
      </c>
      <c r="Y410" s="66" t="str">
        <f t="shared" si="291"/>
        <v/>
      </c>
      <c r="Z410" s="66" t="str">
        <f t="shared" si="292"/>
        <v/>
      </c>
      <c r="AA410" s="66" t="str">
        <f t="shared" si="293"/>
        <v/>
      </c>
      <c r="AB410" s="66" t="str">
        <f t="shared" si="294"/>
        <v/>
      </c>
      <c r="AC410" s="66" t="str">
        <f t="shared" si="295"/>
        <v/>
      </c>
      <c r="AD410" s="66" t="str">
        <f t="shared" si="296"/>
        <v/>
      </c>
      <c r="AE410" s="66" t="str">
        <f t="shared" si="297"/>
        <v/>
      </c>
      <c r="AF410" s="66" t="str">
        <f t="shared" si="298"/>
        <v/>
      </c>
      <c r="AG410" s="66" t="str">
        <f t="shared" si="299"/>
        <v/>
      </c>
      <c r="AH410" s="66" t="str">
        <f t="shared" si="300"/>
        <v/>
      </c>
      <c r="AI410" s="66" t="str">
        <f t="shared" si="301"/>
        <v/>
      </c>
      <c r="AJ410" s="66" t="str">
        <f t="shared" si="302"/>
        <v/>
      </c>
    </row>
    <row r="411" spans="1:36">
      <c r="A411" s="66">
        <f t="shared" si="266"/>
        <v>9</v>
      </c>
      <c r="B411" s="66" t="str">
        <f t="shared" si="266"/>
        <v>李政聰</v>
      </c>
      <c r="C411" s="66" t="str">
        <f t="shared" si="268"/>
        <v/>
      </c>
      <c r="D411" s="66" t="str">
        <f t="shared" si="270"/>
        <v/>
      </c>
      <c r="E411" s="66" t="str">
        <f t="shared" si="271"/>
        <v/>
      </c>
      <c r="F411" s="66" t="str">
        <f t="shared" si="272"/>
        <v/>
      </c>
      <c r="G411" s="66" t="str">
        <f t="shared" si="273"/>
        <v/>
      </c>
      <c r="H411" s="66" t="str">
        <f t="shared" si="274"/>
        <v/>
      </c>
      <c r="I411" s="66" t="str">
        <f t="shared" si="275"/>
        <v/>
      </c>
      <c r="J411" s="66" t="str">
        <f t="shared" si="276"/>
        <v/>
      </c>
      <c r="K411" s="66" t="str">
        <f t="shared" si="277"/>
        <v/>
      </c>
      <c r="L411" s="66" t="str">
        <f t="shared" si="278"/>
        <v/>
      </c>
      <c r="M411" s="66" t="str">
        <f t="shared" si="279"/>
        <v/>
      </c>
      <c r="N411" s="66" t="str">
        <f t="shared" si="280"/>
        <v/>
      </c>
      <c r="O411" s="66" t="str">
        <f t="shared" si="281"/>
        <v/>
      </c>
      <c r="P411" s="66" t="str">
        <f t="shared" si="282"/>
        <v/>
      </c>
      <c r="Q411" s="66" t="str">
        <f t="shared" si="283"/>
        <v/>
      </c>
      <c r="R411" s="66" t="str">
        <f t="shared" si="284"/>
        <v/>
      </c>
      <c r="S411" s="66" t="str">
        <f t="shared" si="285"/>
        <v/>
      </c>
      <c r="T411" s="66" t="str">
        <f t="shared" si="286"/>
        <v/>
      </c>
      <c r="U411" s="66" t="str">
        <f t="shared" si="287"/>
        <v/>
      </c>
      <c r="V411" s="66" t="str">
        <f t="shared" si="288"/>
        <v/>
      </c>
      <c r="W411" s="66" t="str">
        <f t="shared" si="289"/>
        <v/>
      </c>
      <c r="X411" s="66" t="str">
        <f t="shared" si="290"/>
        <v/>
      </c>
      <c r="Y411" s="66" t="str">
        <f t="shared" si="291"/>
        <v/>
      </c>
      <c r="Z411" s="66" t="str">
        <f t="shared" si="292"/>
        <v/>
      </c>
      <c r="AA411" s="66" t="str">
        <f t="shared" si="293"/>
        <v/>
      </c>
      <c r="AB411" s="66" t="str">
        <f t="shared" si="294"/>
        <v/>
      </c>
      <c r="AC411" s="66" t="str">
        <f t="shared" si="295"/>
        <v/>
      </c>
      <c r="AD411" s="66" t="str">
        <f t="shared" si="296"/>
        <v/>
      </c>
      <c r="AE411" s="66" t="str">
        <f t="shared" si="297"/>
        <v/>
      </c>
      <c r="AF411" s="66" t="str">
        <f t="shared" si="298"/>
        <v/>
      </c>
      <c r="AG411" s="66" t="str">
        <f t="shared" si="299"/>
        <v/>
      </c>
      <c r="AH411" s="66" t="str">
        <f t="shared" si="300"/>
        <v/>
      </c>
      <c r="AI411" s="66" t="str">
        <f t="shared" si="301"/>
        <v/>
      </c>
      <c r="AJ411" s="66" t="str">
        <f t="shared" si="302"/>
        <v/>
      </c>
    </row>
    <row r="412" spans="1:36">
      <c r="A412" s="66">
        <f t="shared" si="266"/>
        <v>10</v>
      </c>
      <c r="B412" s="66" t="str">
        <f t="shared" si="266"/>
        <v>劉威志</v>
      </c>
      <c r="C412" s="66" t="str">
        <f t="shared" si="268"/>
        <v/>
      </c>
      <c r="D412" s="66" t="str">
        <f t="shared" si="270"/>
        <v/>
      </c>
      <c r="E412" s="66" t="str">
        <f t="shared" si="271"/>
        <v/>
      </c>
      <c r="F412" s="66" t="str">
        <f t="shared" si="272"/>
        <v/>
      </c>
      <c r="G412" s="66" t="str">
        <f t="shared" si="273"/>
        <v/>
      </c>
      <c r="H412" s="66" t="str">
        <f t="shared" si="274"/>
        <v/>
      </c>
      <c r="I412" s="66" t="str">
        <f t="shared" si="275"/>
        <v/>
      </c>
      <c r="J412" s="66" t="str">
        <f t="shared" si="276"/>
        <v/>
      </c>
      <c r="K412" s="66" t="str">
        <f t="shared" si="277"/>
        <v/>
      </c>
      <c r="L412" s="66" t="str">
        <f t="shared" si="278"/>
        <v/>
      </c>
      <c r="M412" s="66" t="str">
        <f t="shared" si="279"/>
        <v/>
      </c>
      <c r="N412" s="66" t="str">
        <f t="shared" si="280"/>
        <v/>
      </c>
      <c r="O412" s="66" t="str">
        <f t="shared" si="281"/>
        <v/>
      </c>
      <c r="P412" s="66" t="str">
        <f t="shared" si="282"/>
        <v/>
      </c>
      <c r="Q412" s="66" t="str">
        <f t="shared" si="283"/>
        <v/>
      </c>
      <c r="R412" s="66" t="str">
        <f t="shared" si="284"/>
        <v/>
      </c>
      <c r="S412" s="66" t="str">
        <f t="shared" si="285"/>
        <v/>
      </c>
      <c r="T412" s="66" t="str">
        <f t="shared" si="286"/>
        <v/>
      </c>
      <c r="U412" s="66" t="str">
        <f t="shared" si="287"/>
        <v/>
      </c>
      <c r="V412" s="66" t="str">
        <f t="shared" si="288"/>
        <v/>
      </c>
      <c r="W412" s="66" t="str">
        <f t="shared" si="289"/>
        <v/>
      </c>
      <c r="X412" s="66" t="str">
        <f t="shared" si="290"/>
        <v/>
      </c>
      <c r="Y412" s="66" t="str">
        <f t="shared" si="291"/>
        <v/>
      </c>
      <c r="Z412" s="66" t="str">
        <f t="shared" si="292"/>
        <v/>
      </c>
      <c r="AA412" s="66" t="str">
        <f t="shared" si="293"/>
        <v/>
      </c>
      <c r="AB412" s="66" t="str">
        <f t="shared" si="294"/>
        <v/>
      </c>
      <c r="AC412" s="66" t="str">
        <f t="shared" si="295"/>
        <v/>
      </c>
      <c r="AD412" s="66" t="str">
        <f t="shared" si="296"/>
        <v/>
      </c>
      <c r="AE412" s="66" t="str">
        <f t="shared" si="297"/>
        <v/>
      </c>
      <c r="AF412" s="66" t="str">
        <f t="shared" si="298"/>
        <v/>
      </c>
      <c r="AG412" s="66" t="str">
        <f t="shared" si="299"/>
        <v/>
      </c>
      <c r="AH412" s="66" t="str">
        <f t="shared" si="300"/>
        <v/>
      </c>
      <c r="AI412" s="66" t="str">
        <f t="shared" si="301"/>
        <v/>
      </c>
      <c r="AJ412" s="66" t="str">
        <f t="shared" si="302"/>
        <v/>
      </c>
    </row>
    <row r="413" spans="1:36">
      <c r="A413" s="66">
        <f t="shared" si="266"/>
        <v>11</v>
      </c>
      <c r="B413" s="66" t="str">
        <f t="shared" si="266"/>
        <v>梁展碩</v>
      </c>
      <c r="C413" s="66" t="str">
        <f t="shared" si="268"/>
        <v/>
      </c>
      <c r="D413" s="66" t="str">
        <f t="shared" si="270"/>
        <v/>
      </c>
      <c r="E413" s="66" t="str">
        <f t="shared" si="271"/>
        <v/>
      </c>
      <c r="F413" s="66" t="str">
        <f t="shared" si="272"/>
        <v/>
      </c>
      <c r="G413" s="66" t="str">
        <f t="shared" si="273"/>
        <v/>
      </c>
      <c r="H413" s="66" t="str">
        <f t="shared" si="274"/>
        <v/>
      </c>
      <c r="I413" s="66" t="str">
        <f t="shared" si="275"/>
        <v/>
      </c>
      <c r="J413" s="66" t="str">
        <f t="shared" si="276"/>
        <v/>
      </c>
      <c r="K413" s="66" t="str">
        <f t="shared" si="277"/>
        <v/>
      </c>
      <c r="L413" s="66" t="str">
        <f t="shared" si="278"/>
        <v/>
      </c>
      <c r="M413" s="66" t="str">
        <f t="shared" si="279"/>
        <v/>
      </c>
      <c r="N413" s="66" t="str">
        <f t="shared" si="280"/>
        <v/>
      </c>
      <c r="O413" s="66" t="str">
        <f t="shared" si="281"/>
        <v/>
      </c>
      <c r="P413" s="66" t="str">
        <f t="shared" si="282"/>
        <v/>
      </c>
      <c r="Q413" s="66" t="str">
        <f t="shared" si="283"/>
        <v/>
      </c>
      <c r="R413" s="66" t="str">
        <f t="shared" si="284"/>
        <v/>
      </c>
      <c r="S413" s="66" t="str">
        <f t="shared" si="285"/>
        <v/>
      </c>
      <c r="T413" s="66" t="str">
        <f t="shared" si="286"/>
        <v/>
      </c>
      <c r="U413" s="66" t="str">
        <f t="shared" si="287"/>
        <v/>
      </c>
      <c r="V413" s="66" t="str">
        <f t="shared" si="288"/>
        <v/>
      </c>
      <c r="W413" s="66" t="str">
        <f t="shared" si="289"/>
        <v/>
      </c>
      <c r="X413" s="66" t="str">
        <f t="shared" si="290"/>
        <v/>
      </c>
      <c r="Y413" s="66" t="str">
        <f t="shared" si="291"/>
        <v/>
      </c>
      <c r="Z413" s="66" t="str">
        <f t="shared" si="292"/>
        <v/>
      </c>
      <c r="AA413" s="66" t="str">
        <f t="shared" si="293"/>
        <v/>
      </c>
      <c r="AB413" s="66" t="str">
        <f t="shared" si="294"/>
        <v/>
      </c>
      <c r="AC413" s="66" t="str">
        <f t="shared" si="295"/>
        <v/>
      </c>
      <c r="AD413" s="66" t="str">
        <f t="shared" si="296"/>
        <v/>
      </c>
      <c r="AE413" s="66" t="str">
        <f t="shared" si="297"/>
        <v/>
      </c>
      <c r="AF413" s="66" t="str">
        <f t="shared" si="298"/>
        <v/>
      </c>
      <c r="AG413" s="66" t="str">
        <f t="shared" si="299"/>
        <v/>
      </c>
      <c r="AH413" s="66" t="str">
        <f t="shared" si="300"/>
        <v/>
      </c>
      <c r="AI413" s="66" t="str">
        <f t="shared" si="301"/>
        <v/>
      </c>
      <c r="AJ413" s="66" t="str">
        <f t="shared" si="302"/>
        <v/>
      </c>
    </row>
    <row r="414" spans="1:36">
      <c r="A414" s="66">
        <f t="shared" si="266"/>
        <v>12</v>
      </c>
      <c r="B414" s="66" t="str">
        <f t="shared" si="266"/>
        <v>何奕諠</v>
      </c>
      <c r="C414" s="66" t="str">
        <f t="shared" si="268"/>
        <v/>
      </c>
      <c r="D414" s="66" t="str">
        <f t="shared" si="270"/>
        <v/>
      </c>
      <c r="E414" s="66" t="str">
        <f t="shared" si="271"/>
        <v/>
      </c>
      <c r="F414" s="66" t="str">
        <f t="shared" si="272"/>
        <v/>
      </c>
      <c r="G414" s="66" t="str">
        <f t="shared" si="273"/>
        <v/>
      </c>
      <c r="H414" s="66" t="str">
        <f t="shared" si="274"/>
        <v/>
      </c>
      <c r="I414" s="66" t="str">
        <f t="shared" si="275"/>
        <v/>
      </c>
      <c r="J414" s="66" t="str">
        <f t="shared" si="276"/>
        <v/>
      </c>
      <c r="K414" s="66" t="str">
        <f t="shared" si="277"/>
        <v/>
      </c>
      <c r="L414" s="66" t="str">
        <f t="shared" si="278"/>
        <v/>
      </c>
      <c r="M414" s="66" t="str">
        <f t="shared" si="279"/>
        <v/>
      </c>
      <c r="N414" s="66" t="str">
        <f t="shared" si="280"/>
        <v/>
      </c>
      <c r="O414" s="66" t="str">
        <f t="shared" si="281"/>
        <v/>
      </c>
      <c r="P414" s="66" t="str">
        <f t="shared" si="282"/>
        <v/>
      </c>
      <c r="Q414" s="66" t="str">
        <f t="shared" si="283"/>
        <v/>
      </c>
      <c r="R414" s="66" t="str">
        <f t="shared" si="284"/>
        <v/>
      </c>
      <c r="S414" s="66" t="str">
        <f t="shared" si="285"/>
        <v/>
      </c>
      <c r="T414" s="66" t="str">
        <f t="shared" si="286"/>
        <v/>
      </c>
      <c r="U414" s="66" t="str">
        <f t="shared" si="287"/>
        <v/>
      </c>
      <c r="V414" s="66" t="str">
        <f t="shared" si="288"/>
        <v/>
      </c>
      <c r="W414" s="66" t="str">
        <f t="shared" si="289"/>
        <v/>
      </c>
      <c r="X414" s="66" t="str">
        <f t="shared" si="290"/>
        <v/>
      </c>
      <c r="Y414" s="66" t="str">
        <f t="shared" si="291"/>
        <v/>
      </c>
      <c r="Z414" s="66" t="str">
        <f t="shared" si="292"/>
        <v/>
      </c>
      <c r="AA414" s="66" t="str">
        <f t="shared" si="293"/>
        <v/>
      </c>
      <c r="AB414" s="66" t="str">
        <f t="shared" si="294"/>
        <v/>
      </c>
      <c r="AC414" s="66" t="str">
        <f t="shared" si="295"/>
        <v/>
      </c>
      <c r="AD414" s="66" t="str">
        <f t="shared" si="296"/>
        <v/>
      </c>
      <c r="AE414" s="66" t="str">
        <f t="shared" si="297"/>
        <v/>
      </c>
      <c r="AF414" s="66" t="str">
        <f t="shared" si="298"/>
        <v/>
      </c>
      <c r="AG414" s="66" t="str">
        <f t="shared" si="299"/>
        <v/>
      </c>
      <c r="AH414" s="66" t="str">
        <f t="shared" si="300"/>
        <v/>
      </c>
      <c r="AI414" s="66" t="str">
        <f t="shared" si="301"/>
        <v/>
      </c>
      <c r="AJ414" s="66" t="str">
        <f t="shared" si="302"/>
        <v/>
      </c>
    </row>
    <row r="415" spans="1:36">
      <c r="A415" s="66">
        <f t="shared" si="266"/>
        <v>13</v>
      </c>
      <c r="B415" s="66" t="str">
        <f t="shared" si="266"/>
        <v>楊瑞麟</v>
      </c>
      <c r="C415" s="66" t="str">
        <f t="shared" si="268"/>
        <v/>
      </c>
      <c r="D415" s="66" t="str">
        <f t="shared" si="270"/>
        <v/>
      </c>
      <c r="E415" s="66" t="str">
        <f t="shared" si="271"/>
        <v/>
      </c>
      <c r="F415" s="66" t="str">
        <f t="shared" si="272"/>
        <v/>
      </c>
      <c r="G415" s="66" t="str">
        <f t="shared" si="273"/>
        <v/>
      </c>
      <c r="H415" s="66" t="str">
        <f t="shared" si="274"/>
        <v/>
      </c>
      <c r="I415" s="66" t="str">
        <f t="shared" si="275"/>
        <v/>
      </c>
      <c r="J415" s="66" t="str">
        <f t="shared" si="276"/>
        <v/>
      </c>
      <c r="K415" s="66" t="str">
        <f t="shared" si="277"/>
        <v/>
      </c>
      <c r="L415" s="66" t="str">
        <f t="shared" si="278"/>
        <v/>
      </c>
      <c r="M415" s="66" t="str">
        <f t="shared" si="279"/>
        <v/>
      </c>
      <c r="N415" s="66" t="str">
        <f t="shared" si="280"/>
        <v/>
      </c>
      <c r="O415" s="66" t="str">
        <f t="shared" si="281"/>
        <v/>
      </c>
      <c r="P415" s="66" t="str">
        <f t="shared" si="282"/>
        <v/>
      </c>
      <c r="Q415" s="66" t="str">
        <f t="shared" si="283"/>
        <v/>
      </c>
      <c r="R415" s="66" t="str">
        <f t="shared" si="284"/>
        <v/>
      </c>
      <c r="S415" s="66" t="str">
        <f t="shared" si="285"/>
        <v/>
      </c>
      <c r="T415" s="66" t="str">
        <f t="shared" si="286"/>
        <v/>
      </c>
      <c r="U415" s="66" t="str">
        <f t="shared" si="287"/>
        <v/>
      </c>
      <c r="V415" s="66" t="str">
        <f t="shared" si="288"/>
        <v/>
      </c>
      <c r="W415" s="66" t="str">
        <f t="shared" si="289"/>
        <v/>
      </c>
      <c r="X415" s="66" t="str">
        <f t="shared" si="290"/>
        <v/>
      </c>
      <c r="Y415" s="66" t="str">
        <f t="shared" si="291"/>
        <v/>
      </c>
      <c r="Z415" s="66" t="str">
        <f t="shared" si="292"/>
        <v/>
      </c>
      <c r="AA415" s="66" t="str">
        <f t="shared" si="293"/>
        <v/>
      </c>
      <c r="AB415" s="66" t="str">
        <f t="shared" si="294"/>
        <v/>
      </c>
      <c r="AC415" s="66" t="str">
        <f t="shared" si="295"/>
        <v/>
      </c>
      <c r="AD415" s="66" t="str">
        <f t="shared" si="296"/>
        <v/>
      </c>
      <c r="AE415" s="66" t="str">
        <f t="shared" si="297"/>
        <v/>
      </c>
      <c r="AF415" s="66" t="str">
        <f t="shared" si="298"/>
        <v/>
      </c>
      <c r="AG415" s="66" t="str">
        <f t="shared" si="299"/>
        <v/>
      </c>
      <c r="AH415" s="66" t="str">
        <f t="shared" si="300"/>
        <v/>
      </c>
      <c r="AI415" s="66" t="str">
        <f t="shared" si="301"/>
        <v/>
      </c>
      <c r="AJ415" s="66" t="str">
        <f t="shared" si="302"/>
        <v/>
      </c>
    </row>
    <row r="416" spans="1:36">
      <c r="A416" s="66">
        <f t="shared" si="266"/>
        <v>14</v>
      </c>
      <c r="B416" s="66" t="str">
        <f t="shared" si="266"/>
        <v>鄭品豪</v>
      </c>
      <c r="C416" s="66" t="str">
        <f t="shared" si="268"/>
        <v/>
      </c>
      <c r="D416" s="66" t="str">
        <f t="shared" si="270"/>
        <v/>
      </c>
      <c r="E416" s="66" t="str">
        <f t="shared" si="271"/>
        <v/>
      </c>
      <c r="F416" s="66" t="str">
        <f t="shared" si="272"/>
        <v/>
      </c>
      <c r="G416" s="66" t="str">
        <f t="shared" si="273"/>
        <v/>
      </c>
      <c r="H416" s="66" t="str">
        <f t="shared" si="274"/>
        <v/>
      </c>
      <c r="I416" s="66" t="str">
        <f t="shared" si="275"/>
        <v/>
      </c>
      <c r="J416" s="66" t="str">
        <f t="shared" si="276"/>
        <v/>
      </c>
      <c r="K416" s="66" t="str">
        <f t="shared" si="277"/>
        <v/>
      </c>
      <c r="L416" s="66" t="str">
        <f t="shared" si="278"/>
        <v/>
      </c>
      <c r="M416" s="66" t="str">
        <f t="shared" si="279"/>
        <v/>
      </c>
      <c r="N416" s="66" t="str">
        <f t="shared" si="280"/>
        <v/>
      </c>
      <c r="O416" s="66" t="str">
        <f t="shared" si="281"/>
        <v/>
      </c>
      <c r="P416" s="66" t="str">
        <f t="shared" si="282"/>
        <v/>
      </c>
      <c r="Q416" s="66" t="str">
        <f t="shared" si="283"/>
        <v/>
      </c>
      <c r="R416" s="66" t="str">
        <f t="shared" si="284"/>
        <v/>
      </c>
      <c r="S416" s="66" t="str">
        <f t="shared" si="285"/>
        <v/>
      </c>
      <c r="T416" s="66" t="str">
        <f t="shared" si="286"/>
        <v/>
      </c>
      <c r="U416" s="66" t="str">
        <f t="shared" si="287"/>
        <v/>
      </c>
      <c r="V416" s="66" t="str">
        <f t="shared" si="288"/>
        <v/>
      </c>
      <c r="W416" s="66" t="str">
        <f t="shared" si="289"/>
        <v/>
      </c>
      <c r="X416" s="66" t="str">
        <f t="shared" si="290"/>
        <v/>
      </c>
      <c r="Y416" s="66" t="str">
        <f t="shared" si="291"/>
        <v/>
      </c>
      <c r="Z416" s="66" t="str">
        <f t="shared" si="292"/>
        <v/>
      </c>
      <c r="AA416" s="66" t="str">
        <f t="shared" si="293"/>
        <v/>
      </c>
      <c r="AB416" s="66" t="str">
        <f t="shared" si="294"/>
        <v/>
      </c>
      <c r="AC416" s="66" t="str">
        <f t="shared" si="295"/>
        <v/>
      </c>
      <c r="AD416" s="66" t="str">
        <f t="shared" si="296"/>
        <v/>
      </c>
      <c r="AE416" s="66" t="str">
        <f t="shared" si="297"/>
        <v/>
      </c>
      <c r="AF416" s="66" t="str">
        <f t="shared" si="298"/>
        <v/>
      </c>
      <c r="AG416" s="66" t="str">
        <f t="shared" si="299"/>
        <v/>
      </c>
      <c r="AH416" s="66" t="str">
        <f t="shared" si="300"/>
        <v/>
      </c>
      <c r="AI416" s="66" t="str">
        <f t="shared" si="301"/>
        <v/>
      </c>
      <c r="AJ416" s="66" t="str">
        <f t="shared" si="302"/>
        <v/>
      </c>
    </row>
    <row r="417" spans="1:36">
      <c r="A417" s="66">
        <f t="shared" si="266"/>
        <v>15</v>
      </c>
      <c r="B417" s="66" t="str">
        <f t="shared" si="266"/>
        <v>林晉弘</v>
      </c>
      <c r="C417" s="66" t="str">
        <f t="shared" si="268"/>
        <v/>
      </c>
      <c r="D417" s="66" t="str">
        <f t="shared" si="270"/>
        <v/>
      </c>
      <c r="E417" s="66" t="str">
        <f t="shared" si="271"/>
        <v/>
      </c>
      <c r="F417" s="66" t="str">
        <f t="shared" si="272"/>
        <v/>
      </c>
      <c r="G417" s="66" t="str">
        <f t="shared" si="273"/>
        <v/>
      </c>
      <c r="H417" s="66" t="str">
        <f t="shared" si="274"/>
        <v/>
      </c>
      <c r="I417" s="66" t="str">
        <f t="shared" si="275"/>
        <v/>
      </c>
      <c r="J417" s="66" t="str">
        <f t="shared" si="276"/>
        <v/>
      </c>
      <c r="K417" s="66" t="str">
        <f t="shared" si="277"/>
        <v/>
      </c>
      <c r="L417" s="66" t="str">
        <f t="shared" si="278"/>
        <v/>
      </c>
      <c r="M417" s="66" t="str">
        <f t="shared" si="279"/>
        <v/>
      </c>
      <c r="N417" s="66" t="str">
        <f t="shared" si="280"/>
        <v/>
      </c>
      <c r="O417" s="66" t="str">
        <f t="shared" si="281"/>
        <v/>
      </c>
      <c r="P417" s="66" t="str">
        <f t="shared" si="282"/>
        <v/>
      </c>
      <c r="Q417" s="66" t="str">
        <f t="shared" si="283"/>
        <v/>
      </c>
      <c r="R417" s="66" t="str">
        <f t="shared" si="284"/>
        <v/>
      </c>
      <c r="S417" s="66" t="str">
        <f t="shared" si="285"/>
        <v/>
      </c>
      <c r="T417" s="66" t="str">
        <f t="shared" si="286"/>
        <v/>
      </c>
      <c r="U417" s="66" t="str">
        <f t="shared" si="287"/>
        <v/>
      </c>
      <c r="V417" s="66" t="str">
        <f t="shared" si="288"/>
        <v/>
      </c>
      <c r="W417" s="66" t="str">
        <f t="shared" si="289"/>
        <v/>
      </c>
      <c r="X417" s="66" t="str">
        <f t="shared" si="290"/>
        <v/>
      </c>
      <c r="Y417" s="66" t="str">
        <f t="shared" si="291"/>
        <v/>
      </c>
      <c r="Z417" s="66" t="str">
        <f t="shared" si="292"/>
        <v/>
      </c>
      <c r="AA417" s="66" t="str">
        <f t="shared" si="293"/>
        <v/>
      </c>
      <c r="AB417" s="66" t="str">
        <f t="shared" si="294"/>
        <v/>
      </c>
      <c r="AC417" s="66" t="str">
        <f t="shared" si="295"/>
        <v/>
      </c>
      <c r="AD417" s="66" t="str">
        <f t="shared" si="296"/>
        <v/>
      </c>
      <c r="AE417" s="66" t="str">
        <f t="shared" si="297"/>
        <v/>
      </c>
      <c r="AF417" s="66" t="str">
        <f t="shared" si="298"/>
        <v/>
      </c>
      <c r="AG417" s="66" t="str">
        <f t="shared" si="299"/>
        <v/>
      </c>
      <c r="AH417" s="66" t="str">
        <f t="shared" si="300"/>
        <v/>
      </c>
      <c r="AI417" s="66" t="str">
        <f t="shared" si="301"/>
        <v/>
      </c>
      <c r="AJ417" s="66" t="str">
        <f t="shared" si="302"/>
        <v/>
      </c>
    </row>
    <row r="418" spans="1:36">
      <c r="A418" s="66">
        <f t="shared" si="266"/>
        <v>16</v>
      </c>
      <c r="B418" s="66" t="str">
        <f t="shared" si="266"/>
        <v>張恩齊</v>
      </c>
      <c r="C418" s="66" t="str">
        <f t="shared" si="268"/>
        <v/>
      </c>
      <c r="D418" s="66" t="str">
        <f t="shared" si="270"/>
        <v/>
      </c>
      <c r="E418" s="66" t="str">
        <f t="shared" si="271"/>
        <v/>
      </c>
      <c r="F418" s="66" t="str">
        <f t="shared" si="272"/>
        <v/>
      </c>
      <c r="G418" s="66" t="str">
        <f t="shared" si="273"/>
        <v/>
      </c>
      <c r="H418" s="66" t="str">
        <f t="shared" si="274"/>
        <v/>
      </c>
      <c r="I418" s="66" t="str">
        <f t="shared" si="275"/>
        <v/>
      </c>
      <c r="J418" s="66" t="str">
        <f t="shared" si="276"/>
        <v/>
      </c>
      <c r="K418" s="66" t="str">
        <f t="shared" si="277"/>
        <v/>
      </c>
      <c r="L418" s="66" t="str">
        <f t="shared" si="278"/>
        <v/>
      </c>
      <c r="M418" s="66" t="str">
        <f t="shared" si="279"/>
        <v/>
      </c>
      <c r="N418" s="66" t="str">
        <f t="shared" si="280"/>
        <v/>
      </c>
      <c r="O418" s="66" t="str">
        <f t="shared" si="281"/>
        <v/>
      </c>
      <c r="P418" s="66" t="str">
        <f t="shared" si="282"/>
        <v/>
      </c>
      <c r="Q418" s="66" t="str">
        <f t="shared" si="283"/>
        <v/>
      </c>
      <c r="R418" s="66" t="str">
        <f t="shared" si="284"/>
        <v/>
      </c>
      <c r="S418" s="66" t="str">
        <f t="shared" si="285"/>
        <v/>
      </c>
      <c r="T418" s="66" t="str">
        <f t="shared" si="286"/>
        <v/>
      </c>
      <c r="U418" s="66" t="str">
        <f t="shared" si="287"/>
        <v/>
      </c>
      <c r="V418" s="66" t="str">
        <f t="shared" si="288"/>
        <v/>
      </c>
      <c r="W418" s="66" t="str">
        <f t="shared" si="289"/>
        <v/>
      </c>
      <c r="X418" s="66" t="str">
        <f t="shared" si="290"/>
        <v/>
      </c>
      <c r="Y418" s="66" t="str">
        <f t="shared" si="291"/>
        <v/>
      </c>
      <c r="Z418" s="66" t="str">
        <f t="shared" si="292"/>
        <v/>
      </c>
      <c r="AA418" s="66" t="str">
        <f t="shared" si="293"/>
        <v/>
      </c>
      <c r="AB418" s="66" t="str">
        <f t="shared" si="294"/>
        <v/>
      </c>
      <c r="AC418" s="66" t="str">
        <f t="shared" si="295"/>
        <v/>
      </c>
      <c r="AD418" s="66" t="str">
        <f t="shared" si="296"/>
        <v/>
      </c>
      <c r="AE418" s="66" t="str">
        <f t="shared" si="297"/>
        <v/>
      </c>
      <c r="AF418" s="66" t="str">
        <f t="shared" si="298"/>
        <v/>
      </c>
      <c r="AG418" s="66" t="str">
        <f t="shared" si="299"/>
        <v/>
      </c>
      <c r="AH418" s="66" t="str">
        <f t="shared" si="300"/>
        <v/>
      </c>
      <c r="AI418" s="66" t="str">
        <f t="shared" si="301"/>
        <v/>
      </c>
      <c r="AJ418" s="66" t="str">
        <f t="shared" si="302"/>
        <v/>
      </c>
    </row>
    <row r="419" spans="1:36">
      <c r="A419" s="66">
        <f t="shared" ref="A419:B434" si="303">A379</f>
        <v>17</v>
      </c>
      <c r="B419" s="66" t="str">
        <f t="shared" si="303"/>
        <v>周承澔</v>
      </c>
      <c r="C419" s="66" t="str">
        <f t="shared" si="268"/>
        <v/>
      </c>
      <c r="D419" s="66" t="str">
        <f t="shared" si="270"/>
        <v/>
      </c>
      <c r="E419" s="66" t="str">
        <f t="shared" si="271"/>
        <v/>
      </c>
      <c r="F419" s="66" t="str">
        <f t="shared" si="272"/>
        <v/>
      </c>
      <c r="G419" s="66" t="str">
        <f t="shared" si="273"/>
        <v/>
      </c>
      <c r="H419" s="66" t="str">
        <f t="shared" si="274"/>
        <v/>
      </c>
      <c r="I419" s="66" t="str">
        <f t="shared" si="275"/>
        <v/>
      </c>
      <c r="J419" s="66" t="str">
        <f t="shared" si="276"/>
        <v/>
      </c>
      <c r="K419" s="66" t="str">
        <f t="shared" si="277"/>
        <v/>
      </c>
      <c r="L419" s="66" t="str">
        <f t="shared" si="278"/>
        <v/>
      </c>
      <c r="M419" s="66" t="str">
        <f t="shared" si="279"/>
        <v/>
      </c>
      <c r="N419" s="66" t="str">
        <f t="shared" si="280"/>
        <v/>
      </c>
      <c r="O419" s="66" t="str">
        <f t="shared" si="281"/>
        <v/>
      </c>
      <c r="P419" s="66" t="str">
        <f t="shared" si="282"/>
        <v/>
      </c>
      <c r="Q419" s="66" t="str">
        <f t="shared" si="283"/>
        <v/>
      </c>
      <c r="R419" s="66" t="str">
        <f t="shared" si="284"/>
        <v/>
      </c>
      <c r="S419" s="66" t="str">
        <f t="shared" si="285"/>
        <v/>
      </c>
      <c r="T419" s="66" t="str">
        <f t="shared" si="286"/>
        <v/>
      </c>
      <c r="U419" s="66" t="str">
        <f t="shared" si="287"/>
        <v/>
      </c>
      <c r="V419" s="66" t="str">
        <f t="shared" si="288"/>
        <v/>
      </c>
      <c r="W419" s="66" t="str">
        <f t="shared" si="289"/>
        <v/>
      </c>
      <c r="X419" s="66" t="str">
        <f t="shared" si="290"/>
        <v/>
      </c>
      <c r="Y419" s="66" t="str">
        <f t="shared" si="291"/>
        <v/>
      </c>
      <c r="Z419" s="66" t="str">
        <f t="shared" si="292"/>
        <v/>
      </c>
      <c r="AA419" s="66" t="str">
        <f t="shared" si="293"/>
        <v/>
      </c>
      <c r="AB419" s="66" t="str">
        <f t="shared" si="294"/>
        <v/>
      </c>
      <c r="AC419" s="66" t="str">
        <f t="shared" si="295"/>
        <v/>
      </c>
      <c r="AD419" s="66" t="str">
        <f t="shared" si="296"/>
        <v/>
      </c>
      <c r="AE419" s="66" t="str">
        <f t="shared" si="297"/>
        <v/>
      </c>
      <c r="AF419" s="66" t="str">
        <f t="shared" si="298"/>
        <v/>
      </c>
      <c r="AG419" s="66" t="str">
        <f t="shared" si="299"/>
        <v/>
      </c>
      <c r="AH419" s="66" t="str">
        <f t="shared" si="300"/>
        <v/>
      </c>
      <c r="AI419" s="66" t="str">
        <f t="shared" si="301"/>
        <v/>
      </c>
      <c r="AJ419" s="66" t="str">
        <f t="shared" si="302"/>
        <v/>
      </c>
    </row>
    <row r="420" spans="1:36">
      <c r="A420" s="66">
        <f t="shared" si="303"/>
        <v>18</v>
      </c>
      <c r="B420" s="66" t="str">
        <f t="shared" si="303"/>
        <v>蔡政倫</v>
      </c>
      <c r="C420" s="66" t="str">
        <f t="shared" si="268"/>
        <v/>
      </c>
      <c r="D420" s="66" t="str">
        <f t="shared" si="270"/>
        <v/>
      </c>
      <c r="E420" s="66" t="str">
        <f t="shared" si="271"/>
        <v/>
      </c>
      <c r="F420" s="66" t="str">
        <f t="shared" si="272"/>
        <v/>
      </c>
      <c r="G420" s="66" t="str">
        <f t="shared" si="273"/>
        <v/>
      </c>
      <c r="H420" s="66" t="str">
        <f t="shared" si="274"/>
        <v/>
      </c>
      <c r="I420" s="66" t="str">
        <f t="shared" si="275"/>
        <v/>
      </c>
      <c r="J420" s="66" t="str">
        <f t="shared" si="276"/>
        <v/>
      </c>
      <c r="K420" s="66" t="str">
        <f t="shared" si="277"/>
        <v/>
      </c>
      <c r="L420" s="66" t="str">
        <f t="shared" si="278"/>
        <v/>
      </c>
      <c r="M420" s="66" t="str">
        <f t="shared" si="279"/>
        <v/>
      </c>
      <c r="N420" s="66" t="str">
        <f t="shared" si="280"/>
        <v/>
      </c>
      <c r="O420" s="66" t="str">
        <f t="shared" si="281"/>
        <v/>
      </c>
      <c r="P420" s="66" t="str">
        <f t="shared" si="282"/>
        <v/>
      </c>
      <c r="Q420" s="66" t="str">
        <f t="shared" si="283"/>
        <v/>
      </c>
      <c r="R420" s="66" t="str">
        <f t="shared" si="284"/>
        <v/>
      </c>
      <c r="S420" s="66" t="str">
        <f t="shared" si="285"/>
        <v/>
      </c>
      <c r="T420" s="66" t="str">
        <f t="shared" si="286"/>
        <v/>
      </c>
      <c r="U420" s="66" t="str">
        <f t="shared" si="287"/>
        <v/>
      </c>
      <c r="V420" s="66" t="str">
        <f t="shared" si="288"/>
        <v/>
      </c>
      <c r="W420" s="66" t="str">
        <f t="shared" si="289"/>
        <v/>
      </c>
      <c r="X420" s="66" t="str">
        <f t="shared" si="290"/>
        <v/>
      </c>
      <c r="Y420" s="66" t="str">
        <f t="shared" si="291"/>
        <v/>
      </c>
      <c r="Z420" s="66" t="str">
        <f t="shared" si="292"/>
        <v/>
      </c>
      <c r="AA420" s="66" t="str">
        <f t="shared" si="293"/>
        <v/>
      </c>
      <c r="AB420" s="66" t="str">
        <f t="shared" si="294"/>
        <v/>
      </c>
      <c r="AC420" s="66" t="str">
        <f t="shared" si="295"/>
        <v/>
      </c>
      <c r="AD420" s="66" t="str">
        <f t="shared" si="296"/>
        <v/>
      </c>
      <c r="AE420" s="66" t="str">
        <f t="shared" si="297"/>
        <v/>
      </c>
      <c r="AF420" s="66" t="str">
        <f t="shared" si="298"/>
        <v/>
      </c>
      <c r="AG420" s="66" t="str">
        <f t="shared" si="299"/>
        <v/>
      </c>
      <c r="AH420" s="66" t="str">
        <f t="shared" si="300"/>
        <v/>
      </c>
      <c r="AI420" s="66" t="str">
        <f t="shared" si="301"/>
        <v/>
      </c>
      <c r="AJ420" s="66" t="str">
        <f t="shared" si="302"/>
        <v/>
      </c>
    </row>
    <row r="421" spans="1:36">
      <c r="A421" s="66">
        <f t="shared" si="303"/>
        <v>19</v>
      </c>
      <c r="B421" s="66" t="str">
        <f t="shared" si="303"/>
        <v>蕭敬哲</v>
      </c>
      <c r="C421" s="66" t="str">
        <f t="shared" si="268"/>
        <v/>
      </c>
      <c r="D421" s="66" t="str">
        <f t="shared" si="270"/>
        <v/>
      </c>
      <c r="E421" s="66" t="str">
        <f t="shared" si="271"/>
        <v/>
      </c>
      <c r="F421" s="66" t="str">
        <f t="shared" si="272"/>
        <v/>
      </c>
      <c r="G421" s="66" t="str">
        <f t="shared" si="273"/>
        <v/>
      </c>
      <c r="H421" s="66" t="str">
        <f t="shared" si="274"/>
        <v/>
      </c>
      <c r="I421" s="66" t="str">
        <f t="shared" si="275"/>
        <v/>
      </c>
      <c r="J421" s="66" t="str">
        <f t="shared" si="276"/>
        <v/>
      </c>
      <c r="K421" s="66" t="str">
        <f t="shared" si="277"/>
        <v/>
      </c>
      <c r="L421" s="66" t="str">
        <f t="shared" si="278"/>
        <v/>
      </c>
      <c r="M421" s="66" t="str">
        <f t="shared" si="279"/>
        <v/>
      </c>
      <c r="N421" s="66" t="str">
        <f t="shared" si="280"/>
        <v/>
      </c>
      <c r="O421" s="66" t="str">
        <f t="shared" si="281"/>
        <v/>
      </c>
      <c r="P421" s="66" t="str">
        <f t="shared" si="282"/>
        <v/>
      </c>
      <c r="Q421" s="66" t="str">
        <f t="shared" si="283"/>
        <v/>
      </c>
      <c r="R421" s="66" t="str">
        <f t="shared" si="284"/>
        <v/>
      </c>
      <c r="S421" s="66" t="str">
        <f t="shared" si="285"/>
        <v/>
      </c>
      <c r="T421" s="66" t="str">
        <f t="shared" si="286"/>
        <v/>
      </c>
      <c r="U421" s="66" t="str">
        <f t="shared" si="287"/>
        <v/>
      </c>
      <c r="V421" s="66" t="str">
        <f t="shared" si="288"/>
        <v/>
      </c>
      <c r="W421" s="66" t="str">
        <f t="shared" si="289"/>
        <v/>
      </c>
      <c r="X421" s="66" t="str">
        <f t="shared" si="290"/>
        <v/>
      </c>
      <c r="Y421" s="66" t="str">
        <f t="shared" si="291"/>
        <v/>
      </c>
      <c r="Z421" s="66" t="str">
        <f t="shared" si="292"/>
        <v/>
      </c>
      <c r="AA421" s="66" t="str">
        <f t="shared" si="293"/>
        <v/>
      </c>
      <c r="AB421" s="66" t="str">
        <f t="shared" si="294"/>
        <v/>
      </c>
      <c r="AC421" s="66" t="str">
        <f t="shared" si="295"/>
        <v/>
      </c>
      <c r="AD421" s="66" t="str">
        <f t="shared" si="296"/>
        <v/>
      </c>
      <c r="AE421" s="66" t="str">
        <f t="shared" si="297"/>
        <v/>
      </c>
      <c r="AF421" s="66" t="str">
        <f t="shared" si="298"/>
        <v/>
      </c>
      <c r="AG421" s="66" t="str">
        <f t="shared" si="299"/>
        <v/>
      </c>
      <c r="AH421" s="66" t="str">
        <f t="shared" si="300"/>
        <v/>
      </c>
      <c r="AI421" s="66" t="str">
        <f t="shared" si="301"/>
        <v/>
      </c>
      <c r="AJ421" s="66" t="str">
        <f t="shared" si="302"/>
        <v/>
      </c>
    </row>
    <row r="422" spans="1:36">
      <c r="A422" s="66">
        <f t="shared" si="303"/>
        <v>20</v>
      </c>
      <c r="B422" s="66" t="str">
        <f t="shared" si="303"/>
        <v>楊鈞翔</v>
      </c>
      <c r="C422" s="66" t="str">
        <f t="shared" si="268"/>
        <v/>
      </c>
      <c r="D422" s="66" t="str">
        <f t="shared" si="270"/>
        <v/>
      </c>
      <c r="E422" s="66" t="str">
        <f t="shared" si="271"/>
        <v/>
      </c>
      <c r="F422" s="66" t="str">
        <f t="shared" si="272"/>
        <v/>
      </c>
      <c r="G422" s="66" t="str">
        <f t="shared" si="273"/>
        <v/>
      </c>
      <c r="H422" s="66" t="str">
        <f t="shared" si="274"/>
        <v/>
      </c>
      <c r="I422" s="66" t="str">
        <f t="shared" si="275"/>
        <v/>
      </c>
      <c r="J422" s="66" t="str">
        <f t="shared" si="276"/>
        <v/>
      </c>
      <c r="K422" s="66" t="str">
        <f t="shared" si="277"/>
        <v/>
      </c>
      <c r="L422" s="66" t="str">
        <f t="shared" si="278"/>
        <v/>
      </c>
      <c r="M422" s="66" t="str">
        <f t="shared" si="279"/>
        <v/>
      </c>
      <c r="N422" s="66" t="str">
        <f t="shared" si="280"/>
        <v/>
      </c>
      <c r="O422" s="66" t="str">
        <f t="shared" si="281"/>
        <v/>
      </c>
      <c r="P422" s="66" t="str">
        <f t="shared" si="282"/>
        <v/>
      </c>
      <c r="Q422" s="66" t="str">
        <f t="shared" si="283"/>
        <v/>
      </c>
      <c r="R422" s="66" t="str">
        <f t="shared" si="284"/>
        <v/>
      </c>
      <c r="S422" s="66" t="str">
        <f t="shared" si="285"/>
        <v/>
      </c>
      <c r="T422" s="66" t="str">
        <f t="shared" si="286"/>
        <v/>
      </c>
      <c r="U422" s="66" t="str">
        <f t="shared" si="287"/>
        <v/>
      </c>
      <c r="V422" s="66" t="str">
        <f t="shared" si="288"/>
        <v/>
      </c>
      <c r="W422" s="66" t="str">
        <f t="shared" si="289"/>
        <v/>
      </c>
      <c r="X422" s="66" t="str">
        <f t="shared" si="290"/>
        <v/>
      </c>
      <c r="Y422" s="66" t="str">
        <f t="shared" si="291"/>
        <v/>
      </c>
      <c r="Z422" s="66" t="str">
        <f t="shared" si="292"/>
        <v/>
      </c>
      <c r="AA422" s="66" t="str">
        <f t="shared" si="293"/>
        <v/>
      </c>
      <c r="AB422" s="66" t="str">
        <f t="shared" si="294"/>
        <v/>
      </c>
      <c r="AC422" s="66" t="str">
        <f t="shared" si="295"/>
        <v/>
      </c>
      <c r="AD422" s="66" t="str">
        <f t="shared" si="296"/>
        <v/>
      </c>
      <c r="AE422" s="66" t="str">
        <f t="shared" si="297"/>
        <v/>
      </c>
      <c r="AF422" s="66" t="str">
        <f t="shared" si="298"/>
        <v/>
      </c>
      <c r="AG422" s="66" t="str">
        <f t="shared" si="299"/>
        <v/>
      </c>
      <c r="AH422" s="66" t="str">
        <f t="shared" si="300"/>
        <v/>
      </c>
      <c r="AI422" s="66" t="str">
        <f t="shared" si="301"/>
        <v/>
      </c>
      <c r="AJ422" s="66" t="str">
        <f t="shared" si="302"/>
        <v/>
      </c>
    </row>
    <row r="423" spans="1:36">
      <c r="A423" s="66">
        <f t="shared" si="303"/>
        <v>21</v>
      </c>
      <c r="B423" s="66" t="str">
        <f t="shared" si="303"/>
        <v>邱俊閎</v>
      </c>
      <c r="C423" s="66" t="str">
        <f t="shared" si="268"/>
        <v/>
      </c>
      <c r="D423" s="66" t="str">
        <f t="shared" si="270"/>
        <v/>
      </c>
      <c r="E423" s="66" t="str">
        <f t="shared" si="271"/>
        <v/>
      </c>
      <c r="F423" s="66" t="str">
        <f t="shared" si="272"/>
        <v/>
      </c>
      <c r="G423" s="66" t="str">
        <f t="shared" si="273"/>
        <v/>
      </c>
      <c r="H423" s="66" t="str">
        <f t="shared" si="274"/>
        <v/>
      </c>
      <c r="I423" s="66" t="str">
        <f t="shared" si="275"/>
        <v/>
      </c>
      <c r="J423" s="66" t="str">
        <f t="shared" si="276"/>
        <v/>
      </c>
      <c r="K423" s="66" t="str">
        <f t="shared" si="277"/>
        <v/>
      </c>
      <c r="L423" s="66" t="str">
        <f t="shared" si="278"/>
        <v/>
      </c>
      <c r="M423" s="66" t="str">
        <f t="shared" si="279"/>
        <v/>
      </c>
      <c r="N423" s="66" t="str">
        <f t="shared" si="280"/>
        <v/>
      </c>
      <c r="O423" s="66" t="str">
        <f t="shared" si="281"/>
        <v/>
      </c>
      <c r="P423" s="66" t="str">
        <f t="shared" si="282"/>
        <v/>
      </c>
      <c r="Q423" s="66" t="str">
        <f t="shared" si="283"/>
        <v/>
      </c>
      <c r="R423" s="66" t="str">
        <f t="shared" si="284"/>
        <v/>
      </c>
      <c r="S423" s="66" t="str">
        <f t="shared" si="285"/>
        <v/>
      </c>
      <c r="T423" s="66" t="str">
        <f t="shared" si="286"/>
        <v/>
      </c>
      <c r="U423" s="66" t="str">
        <f t="shared" si="287"/>
        <v/>
      </c>
      <c r="V423" s="66" t="str">
        <f t="shared" si="288"/>
        <v/>
      </c>
      <c r="W423" s="66" t="str">
        <f t="shared" si="289"/>
        <v/>
      </c>
      <c r="X423" s="66" t="str">
        <f t="shared" si="290"/>
        <v/>
      </c>
      <c r="Y423" s="66" t="str">
        <f t="shared" si="291"/>
        <v/>
      </c>
      <c r="Z423" s="66" t="str">
        <f t="shared" si="292"/>
        <v/>
      </c>
      <c r="AA423" s="66" t="str">
        <f t="shared" si="293"/>
        <v/>
      </c>
      <c r="AB423" s="66" t="str">
        <f t="shared" si="294"/>
        <v/>
      </c>
      <c r="AC423" s="66" t="str">
        <f t="shared" si="295"/>
        <v/>
      </c>
      <c r="AD423" s="66" t="str">
        <f t="shared" si="296"/>
        <v/>
      </c>
      <c r="AE423" s="66" t="str">
        <f t="shared" si="297"/>
        <v/>
      </c>
      <c r="AF423" s="66" t="str">
        <f t="shared" si="298"/>
        <v/>
      </c>
      <c r="AG423" s="66" t="str">
        <f t="shared" si="299"/>
        <v/>
      </c>
      <c r="AH423" s="66" t="str">
        <f t="shared" si="300"/>
        <v/>
      </c>
      <c r="AI423" s="66" t="str">
        <f t="shared" si="301"/>
        <v/>
      </c>
      <c r="AJ423" s="66" t="str">
        <f t="shared" si="302"/>
        <v/>
      </c>
    </row>
    <row r="424" spans="1:36">
      <c r="A424" s="66">
        <f t="shared" si="303"/>
        <v>22</v>
      </c>
      <c r="B424" s="66" t="str">
        <f t="shared" si="303"/>
        <v>陳奕欣</v>
      </c>
      <c r="C424" s="66" t="str">
        <f t="shared" si="268"/>
        <v/>
      </c>
      <c r="D424" s="66" t="str">
        <f t="shared" si="270"/>
        <v/>
      </c>
      <c r="E424" s="66" t="str">
        <f t="shared" si="271"/>
        <v/>
      </c>
      <c r="F424" s="66" t="str">
        <f t="shared" si="272"/>
        <v/>
      </c>
      <c r="G424" s="66" t="str">
        <f t="shared" si="273"/>
        <v/>
      </c>
      <c r="H424" s="66" t="str">
        <f t="shared" si="274"/>
        <v/>
      </c>
      <c r="I424" s="66" t="str">
        <f t="shared" si="275"/>
        <v/>
      </c>
      <c r="J424" s="66" t="str">
        <f t="shared" si="276"/>
        <v/>
      </c>
      <c r="K424" s="66" t="str">
        <f t="shared" si="277"/>
        <v/>
      </c>
      <c r="L424" s="66" t="str">
        <f t="shared" si="278"/>
        <v/>
      </c>
      <c r="M424" s="66" t="str">
        <f t="shared" si="279"/>
        <v/>
      </c>
      <c r="N424" s="66" t="str">
        <f t="shared" si="280"/>
        <v/>
      </c>
      <c r="O424" s="66" t="str">
        <f t="shared" si="281"/>
        <v/>
      </c>
      <c r="P424" s="66" t="str">
        <f t="shared" si="282"/>
        <v/>
      </c>
      <c r="Q424" s="66" t="str">
        <f t="shared" si="283"/>
        <v/>
      </c>
      <c r="R424" s="66" t="str">
        <f t="shared" si="284"/>
        <v/>
      </c>
      <c r="S424" s="66" t="str">
        <f t="shared" si="285"/>
        <v/>
      </c>
      <c r="T424" s="66" t="str">
        <f t="shared" si="286"/>
        <v/>
      </c>
      <c r="U424" s="66" t="str">
        <f t="shared" si="287"/>
        <v/>
      </c>
      <c r="V424" s="66" t="str">
        <f t="shared" si="288"/>
        <v/>
      </c>
      <c r="W424" s="66" t="str">
        <f t="shared" si="289"/>
        <v/>
      </c>
      <c r="X424" s="66" t="str">
        <f t="shared" si="290"/>
        <v/>
      </c>
      <c r="Y424" s="66" t="str">
        <f t="shared" si="291"/>
        <v/>
      </c>
      <c r="Z424" s="66" t="str">
        <f t="shared" si="292"/>
        <v/>
      </c>
      <c r="AA424" s="66" t="str">
        <f t="shared" si="293"/>
        <v/>
      </c>
      <c r="AB424" s="66" t="str">
        <f t="shared" si="294"/>
        <v/>
      </c>
      <c r="AC424" s="66" t="str">
        <f t="shared" si="295"/>
        <v/>
      </c>
      <c r="AD424" s="66" t="str">
        <f t="shared" si="296"/>
        <v/>
      </c>
      <c r="AE424" s="66" t="str">
        <f t="shared" si="297"/>
        <v/>
      </c>
      <c r="AF424" s="66" t="str">
        <f t="shared" si="298"/>
        <v/>
      </c>
      <c r="AG424" s="66" t="str">
        <f t="shared" si="299"/>
        <v/>
      </c>
      <c r="AH424" s="66" t="str">
        <f t="shared" si="300"/>
        <v/>
      </c>
      <c r="AI424" s="66" t="str">
        <f t="shared" si="301"/>
        <v/>
      </c>
      <c r="AJ424" s="66" t="str">
        <f t="shared" si="302"/>
        <v/>
      </c>
    </row>
    <row r="425" spans="1:36">
      <c r="A425" s="66">
        <f t="shared" si="303"/>
        <v>23</v>
      </c>
      <c r="B425" s="66" t="str">
        <f t="shared" si="303"/>
        <v>阮成山</v>
      </c>
      <c r="C425" s="66" t="str">
        <f t="shared" si="268"/>
        <v/>
      </c>
      <c r="D425" s="66" t="str">
        <f t="shared" si="270"/>
        <v/>
      </c>
      <c r="E425" s="66" t="str">
        <f t="shared" si="271"/>
        <v/>
      </c>
      <c r="F425" s="66" t="str">
        <f t="shared" si="272"/>
        <v/>
      </c>
      <c r="G425" s="66" t="str">
        <f t="shared" si="273"/>
        <v/>
      </c>
      <c r="H425" s="66" t="str">
        <f t="shared" si="274"/>
        <v/>
      </c>
      <c r="I425" s="66" t="str">
        <f t="shared" si="275"/>
        <v/>
      </c>
      <c r="J425" s="66" t="str">
        <f t="shared" si="276"/>
        <v/>
      </c>
      <c r="K425" s="66" t="str">
        <f t="shared" si="277"/>
        <v/>
      </c>
      <c r="L425" s="66" t="str">
        <f t="shared" si="278"/>
        <v/>
      </c>
      <c r="M425" s="66" t="str">
        <f t="shared" si="279"/>
        <v/>
      </c>
      <c r="N425" s="66" t="str">
        <f t="shared" si="280"/>
        <v/>
      </c>
      <c r="O425" s="66" t="str">
        <f t="shared" si="281"/>
        <v/>
      </c>
      <c r="P425" s="66" t="str">
        <f t="shared" si="282"/>
        <v/>
      </c>
      <c r="Q425" s="66" t="str">
        <f t="shared" si="283"/>
        <v/>
      </c>
      <c r="R425" s="66" t="str">
        <f t="shared" si="284"/>
        <v/>
      </c>
      <c r="S425" s="66" t="str">
        <f t="shared" si="285"/>
        <v/>
      </c>
      <c r="T425" s="66" t="str">
        <f t="shared" si="286"/>
        <v/>
      </c>
      <c r="U425" s="66" t="str">
        <f t="shared" si="287"/>
        <v/>
      </c>
      <c r="V425" s="66" t="str">
        <f t="shared" si="288"/>
        <v/>
      </c>
      <c r="W425" s="66" t="str">
        <f t="shared" si="289"/>
        <v/>
      </c>
      <c r="X425" s="66" t="str">
        <f t="shared" si="290"/>
        <v/>
      </c>
      <c r="Y425" s="66" t="str">
        <f t="shared" si="291"/>
        <v/>
      </c>
      <c r="Z425" s="66" t="str">
        <f t="shared" si="292"/>
        <v/>
      </c>
      <c r="AA425" s="66" t="str">
        <f t="shared" si="293"/>
        <v/>
      </c>
      <c r="AB425" s="66" t="str">
        <f t="shared" si="294"/>
        <v/>
      </c>
      <c r="AC425" s="66" t="str">
        <f t="shared" si="295"/>
        <v/>
      </c>
      <c r="AD425" s="66" t="str">
        <f t="shared" si="296"/>
        <v/>
      </c>
      <c r="AE425" s="66" t="str">
        <f t="shared" si="297"/>
        <v/>
      </c>
      <c r="AF425" s="66" t="str">
        <f t="shared" si="298"/>
        <v/>
      </c>
      <c r="AG425" s="66" t="str">
        <f t="shared" si="299"/>
        <v/>
      </c>
      <c r="AH425" s="66" t="str">
        <f t="shared" si="300"/>
        <v/>
      </c>
      <c r="AI425" s="66" t="str">
        <f t="shared" si="301"/>
        <v/>
      </c>
      <c r="AJ425" s="66" t="str">
        <f t="shared" si="302"/>
        <v/>
      </c>
    </row>
    <row r="426" spans="1:36">
      <c r="A426" s="66">
        <f t="shared" si="303"/>
        <v>24</v>
      </c>
      <c r="B426" s="66" t="str">
        <f t="shared" si="303"/>
        <v>黃品傑</v>
      </c>
      <c r="C426" s="66" t="str">
        <f t="shared" si="268"/>
        <v/>
      </c>
      <c r="D426" s="66" t="str">
        <f t="shared" si="270"/>
        <v/>
      </c>
      <c r="E426" s="66" t="str">
        <f t="shared" si="271"/>
        <v/>
      </c>
      <c r="F426" s="66" t="str">
        <f t="shared" si="272"/>
        <v/>
      </c>
      <c r="G426" s="66" t="str">
        <f t="shared" si="273"/>
        <v/>
      </c>
      <c r="H426" s="66" t="str">
        <f t="shared" si="274"/>
        <v/>
      </c>
      <c r="I426" s="66" t="str">
        <f t="shared" si="275"/>
        <v/>
      </c>
      <c r="J426" s="66" t="str">
        <f t="shared" si="276"/>
        <v/>
      </c>
      <c r="K426" s="66" t="str">
        <f t="shared" si="277"/>
        <v/>
      </c>
      <c r="L426" s="66" t="str">
        <f t="shared" si="278"/>
        <v/>
      </c>
      <c r="M426" s="66" t="str">
        <f t="shared" si="279"/>
        <v/>
      </c>
      <c r="N426" s="66" t="str">
        <f t="shared" si="280"/>
        <v/>
      </c>
      <c r="O426" s="66" t="str">
        <f t="shared" si="281"/>
        <v/>
      </c>
      <c r="P426" s="66" t="str">
        <f t="shared" si="282"/>
        <v/>
      </c>
      <c r="Q426" s="66" t="str">
        <f t="shared" si="283"/>
        <v/>
      </c>
      <c r="R426" s="66" t="str">
        <f t="shared" si="284"/>
        <v/>
      </c>
      <c r="S426" s="66" t="str">
        <f t="shared" si="285"/>
        <v/>
      </c>
      <c r="T426" s="66" t="str">
        <f t="shared" si="286"/>
        <v/>
      </c>
      <c r="U426" s="66" t="str">
        <f t="shared" si="287"/>
        <v/>
      </c>
      <c r="V426" s="66" t="str">
        <f t="shared" si="288"/>
        <v/>
      </c>
      <c r="W426" s="66" t="str">
        <f t="shared" si="289"/>
        <v/>
      </c>
      <c r="X426" s="66" t="str">
        <f t="shared" si="290"/>
        <v/>
      </c>
      <c r="Y426" s="66" t="str">
        <f t="shared" si="291"/>
        <v/>
      </c>
      <c r="Z426" s="66" t="str">
        <f t="shared" si="292"/>
        <v/>
      </c>
      <c r="AA426" s="66" t="str">
        <f t="shared" si="293"/>
        <v/>
      </c>
      <c r="AB426" s="66" t="str">
        <f t="shared" si="294"/>
        <v/>
      </c>
      <c r="AC426" s="66" t="str">
        <f t="shared" si="295"/>
        <v/>
      </c>
      <c r="AD426" s="66" t="str">
        <f t="shared" si="296"/>
        <v/>
      </c>
      <c r="AE426" s="66" t="str">
        <f t="shared" si="297"/>
        <v/>
      </c>
      <c r="AF426" s="66" t="str">
        <f t="shared" si="298"/>
        <v/>
      </c>
      <c r="AG426" s="66" t="str">
        <f t="shared" si="299"/>
        <v/>
      </c>
      <c r="AH426" s="66" t="str">
        <f t="shared" si="300"/>
        <v/>
      </c>
      <c r="AI426" s="66" t="str">
        <f t="shared" si="301"/>
        <v/>
      </c>
      <c r="AJ426" s="66" t="str">
        <f t="shared" si="302"/>
        <v/>
      </c>
    </row>
    <row r="427" spans="1:36">
      <c r="A427" s="66">
        <f t="shared" si="303"/>
        <v>25</v>
      </c>
      <c r="B427" s="66" t="str">
        <f t="shared" si="303"/>
        <v>唐正瑋</v>
      </c>
      <c r="C427" s="66" t="str">
        <f t="shared" si="268"/>
        <v/>
      </c>
      <c r="D427" s="66" t="str">
        <f t="shared" si="270"/>
        <v/>
      </c>
      <c r="E427" s="66" t="str">
        <f t="shared" si="271"/>
        <v/>
      </c>
      <c r="F427" s="66" t="str">
        <f t="shared" si="272"/>
        <v/>
      </c>
      <c r="G427" s="66" t="str">
        <f t="shared" si="273"/>
        <v/>
      </c>
      <c r="H427" s="66" t="str">
        <f t="shared" si="274"/>
        <v/>
      </c>
      <c r="I427" s="66" t="str">
        <f t="shared" si="275"/>
        <v/>
      </c>
      <c r="J427" s="66" t="str">
        <f t="shared" si="276"/>
        <v/>
      </c>
      <c r="K427" s="66" t="str">
        <f t="shared" si="277"/>
        <v/>
      </c>
      <c r="L427" s="66" t="str">
        <f t="shared" si="278"/>
        <v/>
      </c>
      <c r="M427" s="66" t="str">
        <f t="shared" si="279"/>
        <v/>
      </c>
      <c r="N427" s="66" t="str">
        <f t="shared" si="280"/>
        <v/>
      </c>
      <c r="O427" s="66" t="str">
        <f t="shared" si="281"/>
        <v/>
      </c>
      <c r="P427" s="66" t="str">
        <f t="shared" si="282"/>
        <v/>
      </c>
      <c r="Q427" s="66" t="str">
        <f t="shared" si="283"/>
        <v/>
      </c>
      <c r="R427" s="66" t="str">
        <f t="shared" si="284"/>
        <v/>
      </c>
      <c r="S427" s="66" t="str">
        <f t="shared" si="285"/>
        <v/>
      </c>
      <c r="T427" s="66" t="str">
        <f t="shared" si="286"/>
        <v/>
      </c>
      <c r="U427" s="66" t="str">
        <f t="shared" si="287"/>
        <v/>
      </c>
      <c r="V427" s="66" t="str">
        <f t="shared" si="288"/>
        <v/>
      </c>
      <c r="W427" s="66" t="str">
        <f t="shared" si="289"/>
        <v/>
      </c>
      <c r="X427" s="66" t="str">
        <f t="shared" si="290"/>
        <v/>
      </c>
      <c r="Y427" s="66" t="str">
        <f t="shared" si="291"/>
        <v/>
      </c>
      <c r="Z427" s="66" t="str">
        <f t="shared" si="292"/>
        <v/>
      </c>
      <c r="AA427" s="66" t="str">
        <f t="shared" si="293"/>
        <v/>
      </c>
      <c r="AB427" s="66" t="str">
        <f t="shared" si="294"/>
        <v/>
      </c>
      <c r="AC427" s="66" t="str">
        <f t="shared" si="295"/>
        <v/>
      </c>
      <c r="AD427" s="66" t="str">
        <f t="shared" si="296"/>
        <v/>
      </c>
      <c r="AE427" s="66" t="str">
        <f t="shared" si="297"/>
        <v/>
      </c>
      <c r="AF427" s="66" t="str">
        <f t="shared" si="298"/>
        <v/>
      </c>
      <c r="AG427" s="66" t="str">
        <f t="shared" si="299"/>
        <v/>
      </c>
      <c r="AH427" s="66" t="str">
        <f t="shared" si="300"/>
        <v/>
      </c>
      <c r="AI427" s="66" t="str">
        <f t="shared" si="301"/>
        <v/>
      </c>
      <c r="AJ427" s="66" t="str">
        <f t="shared" si="302"/>
        <v/>
      </c>
    </row>
    <row r="428" spans="1:36">
      <c r="A428" s="66">
        <f t="shared" si="303"/>
        <v>26</v>
      </c>
      <c r="B428" s="66" t="str">
        <f t="shared" si="303"/>
        <v>曾慶鈞</v>
      </c>
      <c r="C428" s="66" t="str">
        <f t="shared" si="268"/>
        <v/>
      </c>
      <c r="D428" s="66" t="str">
        <f t="shared" si="270"/>
        <v/>
      </c>
      <c r="E428" s="66" t="str">
        <f t="shared" si="271"/>
        <v/>
      </c>
      <c r="F428" s="66" t="str">
        <f t="shared" si="272"/>
        <v/>
      </c>
      <c r="G428" s="66" t="str">
        <f t="shared" si="273"/>
        <v/>
      </c>
      <c r="H428" s="66" t="str">
        <f t="shared" si="274"/>
        <v/>
      </c>
      <c r="I428" s="66" t="str">
        <f t="shared" si="275"/>
        <v/>
      </c>
      <c r="J428" s="66" t="str">
        <f t="shared" si="276"/>
        <v/>
      </c>
      <c r="K428" s="66" t="str">
        <f t="shared" si="277"/>
        <v/>
      </c>
      <c r="L428" s="66" t="str">
        <f t="shared" si="278"/>
        <v/>
      </c>
      <c r="M428" s="66" t="str">
        <f t="shared" si="279"/>
        <v/>
      </c>
      <c r="N428" s="66" t="str">
        <f t="shared" si="280"/>
        <v/>
      </c>
      <c r="O428" s="66" t="str">
        <f t="shared" si="281"/>
        <v/>
      </c>
      <c r="P428" s="66" t="str">
        <f t="shared" si="282"/>
        <v/>
      </c>
      <c r="Q428" s="66" t="str">
        <f t="shared" si="283"/>
        <v/>
      </c>
      <c r="R428" s="66" t="str">
        <f t="shared" si="284"/>
        <v/>
      </c>
      <c r="S428" s="66" t="str">
        <f t="shared" si="285"/>
        <v/>
      </c>
      <c r="T428" s="66" t="str">
        <f t="shared" si="286"/>
        <v/>
      </c>
      <c r="U428" s="66" t="str">
        <f t="shared" si="287"/>
        <v/>
      </c>
      <c r="V428" s="66" t="str">
        <f t="shared" si="288"/>
        <v/>
      </c>
      <c r="W428" s="66" t="str">
        <f t="shared" si="289"/>
        <v/>
      </c>
      <c r="X428" s="66" t="str">
        <f t="shared" si="290"/>
        <v/>
      </c>
      <c r="Y428" s="66" t="str">
        <f t="shared" si="291"/>
        <v/>
      </c>
      <c r="Z428" s="66" t="str">
        <f t="shared" si="292"/>
        <v/>
      </c>
      <c r="AA428" s="66" t="str">
        <f t="shared" si="293"/>
        <v/>
      </c>
      <c r="AB428" s="66" t="str">
        <f t="shared" si="294"/>
        <v/>
      </c>
      <c r="AC428" s="66" t="str">
        <f t="shared" si="295"/>
        <v/>
      </c>
      <c r="AD428" s="66" t="str">
        <f t="shared" si="296"/>
        <v/>
      </c>
      <c r="AE428" s="66" t="str">
        <f t="shared" si="297"/>
        <v/>
      </c>
      <c r="AF428" s="66" t="str">
        <f t="shared" si="298"/>
        <v/>
      </c>
      <c r="AG428" s="66" t="str">
        <f t="shared" si="299"/>
        <v/>
      </c>
      <c r="AH428" s="66" t="str">
        <f t="shared" si="300"/>
        <v/>
      </c>
      <c r="AI428" s="66" t="str">
        <f t="shared" si="301"/>
        <v/>
      </c>
      <c r="AJ428" s="66" t="str">
        <f t="shared" si="302"/>
        <v/>
      </c>
    </row>
    <row r="429" spans="1:36">
      <c r="A429" s="66">
        <f t="shared" si="303"/>
        <v>27</v>
      </c>
      <c r="B429" s="66" t="str">
        <f t="shared" si="303"/>
        <v>游瀚翔</v>
      </c>
      <c r="C429" s="66" t="str">
        <f t="shared" si="268"/>
        <v/>
      </c>
      <c r="D429" s="66" t="str">
        <f t="shared" si="270"/>
        <v/>
      </c>
      <c r="E429" s="66" t="str">
        <f t="shared" si="271"/>
        <v/>
      </c>
      <c r="F429" s="66" t="str">
        <f t="shared" si="272"/>
        <v/>
      </c>
      <c r="G429" s="66" t="str">
        <f t="shared" si="273"/>
        <v/>
      </c>
      <c r="H429" s="66" t="str">
        <f t="shared" si="274"/>
        <v/>
      </c>
      <c r="I429" s="66" t="str">
        <f t="shared" si="275"/>
        <v/>
      </c>
      <c r="J429" s="66" t="str">
        <f t="shared" si="276"/>
        <v/>
      </c>
      <c r="K429" s="66" t="str">
        <f t="shared" si="277"/>
        <v/>
      </c>
      <c r="L429" s="66" t="str">
        <f t="shared" si="278"/>
        <v/>
      </c>
      <c r="M429" s="66" t="str">
        <f t="shared" si="279"/>
        <v/>
      </c>
      <c r="N429" s="66" t="str">
        <f t="shared" si="280"/>
        <v/>
      </c>
      <c r="O429" s="66" t="str">
        <f t="shared" si="281"/>
        <v/>
      </c>
      <c r="P429" s="66" t="str">
        <f t="shared" si="282"/>
        <v/>
      </c>
      <c r="Q429" s="66" t="str">
        <f t="shared" si="283"/>
        <v/>
      </c>
      <c r="R429" s="66" t="str">
        <f t="shared" si="284"/>
        <v/>
      </c>
      <c r="S429" s="66" t="str">
        <f t="shared" si="285"/>
        <v/>
      </c>
      <c r="T429" s="66" t="str">
        <f t="shared" si="286"/>
        <v/>
      </c>
      <c r="U429" s="66" t="str">
        <f t="shared" si="287"/>
        <v/>
      </c>
      <c r="V429" s="66" t="str">
        <f t="shared" si="288"/>
        <v/>
      </c>
      <c r="W429" s="66" t="str">
        <f t="shared" si="289"/>
        <v/>
      </c>
      <c r="X429" s="66" t="str">
        <f t="shared" si="290"/>
        <v/>
      </c>
      <c r="Y429" s="66" t="str">
        <f t="shared" si="291"/>
        <v/>
      </c>
      <c r="Z429" s="66" t="str">
        <f t="shared" si="292"/>
        <v/>
      </c>
      <c r="AA429" s="66" t="str">
        <f t="shared" si="293"/>
        <v/>
      </c>
      <c r="AB429" s="66" t="str">
        <f t="shared" si="294"/>
        <v/>
      </c>
      <c r="AC429" s="66" t="str">
        <f t="shared" si="295"/>
        <v/>
      </c>
      <c r="AD429" s="66" t="str">
        <f t="shared" si="296"/>
        <v/>
      </c>
      <c r="AE429" s="66" t="str">
        <f t="shared" si="297"/>
        <v/>
      </c>
      <c r="AF429" s="66" t="str">
        <f t="shared" si="298"/>
        <v/>
      </c>
      <c r="AG429" s="66" t="str">
        <f t="shared" si="299"/>
        <v/>
      </c>
      <c r="AH429" s="66" t="str">
        <f t="shared" si="300"/>
        <v/>
      </c>
      <c r="AI429" s="66" t="str">
        <f t="shared" si="301"/>
        <v/>
      </c>
      <c r="AJ429" s="66" t="str">
        <f t="shared" si="302"/>
        <v/>
      </c>
    </row>
    <row r="430" spans="1:36">
      <c r="A430" s="66">
        <f t="shared" si="303"/>
        <v>28</v>
      </c>
      <c r="B430" s="66" t="str">
        <f t="shared" si="303"/>
        <v>高仲廷</v>
      </c>
      <c r="C430" s="66" t="str">
        <f t="shared" si="268"/>
        <v/>
      </c>
      <c r="D430" s="66" t="str">
        <f t="shared" si="270"/>
        <v/>
      </c>
      <c r="E430" s="66" t="str">
        <f t="shared" si="271"/>
        <v/>
      </c>
      <c r="F430" s="66" t="str">
        <f t="shared" si="272"/>
        <v/>
      </c>
      <c r="G430" s="66" t="str">
        <f t="shared" si="273"/>
        <v/>
      </c>
      <c r="H430" s="66" t="str">
        <f t="shared" si="274"/>
        <v/>
      </c>
      <c r="I430" s="66" t="str">
        <f t="shared" si="275"/>
        <v/>
      </c>
      <c r="J430" s="66" t="str">
        <f t="shared" si="276"/>
        <v/>
      </c>
      <c r="K430" s="66" t="str">
        <f t="shared" si="277"/>
        <v/>
      </c>
      <c r="L430" s="66" t="str">
        <f t="shared" si="278"/>
        <v/>
      </c>
      <c r="M430" s="66" t="str">
        <f t="shared" si="279"/>
        <v/>
      </c>
      <c r="N430" s="66" t="str">
        <f t="shared" si="280"/>
        <v/>
      </c>
      <c r="O430" s="66" t="str">
        <f t="shared" si="281"/>
        <v/>
      </c>
      <c r="P430" s="66" t="str">
        <f t="shared" si="282"/>
        <v/>
      </c>
      <c r="Q430" s="66" t="str">
        <f t="shared" si="283"/>
        <v/>
      </c>
      <c r="R430" s="66" t="str">
        <f t="shared" si="284"/>
        <v/>
      </c>
      <c r="S430" s="66" t="str">
        <f t="shared" si="285"/>
        <v/>
      </c>
      <c r="T430" s="66" t="str">
        <f t="shared" si="286"/>
        <v/>
      </c>
      <c r="U430" s="66" t="str">
        <f t="shared" si="287"/>
        <v/>
      </c>
      <c r="V430" s="66" t="str">
        <f t="shared" si="288"/>
        <v/>
      </c>
      <c r="W430" s="66" t="str">
        <f t="shared" si="289"/>
        <v/>
      </c>
      <c r="X430" s="66" t="str">
        <f t="shared" si="290"/>
        <v/>
      </c>
      <c r="Y430" s="66" t="str">
        <f t="shared" si="291"/>
        <v/>
      </c>
      <c r="Z430" s="66" t="str">
        <f t="shared" si="292"/>
        <v/>
      </c>
      <c r="AA430" s="66" t="str">
        <f t="shared" si="293"/>
        <v/>
      </c>
      <c r="AB430" s="66" t="str">
        <f t="shared" si="294"/>
        <v/>
      </c>
      <c r="AC430" s="66" t="str">
        <f t="shared" si="295"/>
        <v/>
      </c>
      <c r="AD430" s="66" t="str">
        <f t="shared" si="296"/>
        <v/>
      </c>
      <c r="AE430" s="66" t="str">
        <f t="shared" si="297"/>
        <v/>
      </c>
      <c r="AF430" s="66" t="str">
        <f t="shared" si="298"/>
        <v/>
      </c>
      <c r="AG430" s="66" t="str">
        <f t="shared" si="299"/>
        <v/>
      </c>
      <c r="AH430" s="66" t="str">
        <f t="shared" si="300"/>
        <v/>
      </c>
      <c r="AI430" s="66" t="str">
        <f t="shared" si="301"/>
        <v/>
      </c>
      <c r="AJ430" s="66" t="str">
        <f t="shared" si="302"/>
        <v/>
      </c>
    </row>
    <row r="431" spans="1:36">
      <c r="A431" s="66">
        <f t="shared" si="303"/>
        <v>29</v>
      </c>
      <c r="B431" s="66" t="str">
        <f t="shared" si="303"/>
        <v>陳羲</v>
      </c>
      <c r="C431" s="66" t="str">
        <f t="shared" si="268"/>
        <v/>
      </c>
      <c r="D431" s="66" t="str">
        <f t="shared" si="270"/>
        <v/>
      </c>
      <c r="E431" s="66" t="str">
        <f t="shared" si="271"/>
        <v/>
      </c>
      <c r="F431" s="66" t="str">
        <f t="shared" si="272"/>
        <v/>
      </c>
      <c r="G431" s="66" t="str">
        <f t="shared" si="273"/>
        <v/>
      </c>
      <c r="H431" s="66" t="str">
        <f t="shared" si="274"/>
        <v/>
      </c>
      <c r="I431" s="66" t="str">
        <f t="shared" si="275"/>
        <v/>
      </c>
      <c r="J431" s="66" t="str">
        <f t="shared" si="276"/>
        <v/>
      </c>
      <c r="K431" s="66" t="str">
        <f t="shared" si="277"/>
        <v/>
      </c>
      <c r="L431" s="66" t="str">
        <f t="shared" si="278"/>
        <v/>
      </c>
      <c r="M431" s="66" t="str">
        <f t="shared" si="279"/>
        <v/>
      </c>
      <c r="N431" s="66" t="str">
        <f t="shared" si="280"/>
        <v/>
      </c>
      <c r="O431" s="66" t="str">
        <f t="shared" si="281"/>
        <v/>
      </c>
      <c r="P431" s="66" t="str">
        <f t="shared" si="282"/>
        <v/>
      </c>
      <c r="Q431" s="66" t="str">
        <f t="shared" si="283"/>
        <v/>
      </c>
      <c r="R431" s="66" t="str">
        <f t="shared" si="284"/>
        <v/>
      </c>
      <c r="S431" s="66" t="str">
        <f t="shared" si="285"/>
        <v/>
      </c>
      <c r="T431" s="66" t="str">
        <f t="shared" si="286"/>
        <v/>
      </c>
      <c r="U431" s="66" t="str">
        <f t="shared" si="287"/>
        <v/>
      </c>
      <c r="V431" s="66" t="str">
        <f t="shared" si="288"/>
        <v/>
      </c>
      <c r="W431" s="66" t="str">
        <f t="shared" si="289"/>
        <v/>
      </c>
      <c r="X431" s="66" t="str">
        <f t="shared" si="290"/>
        <v/>
      </c>
      <c r="Y431" s="66" t="str">
        <f t="shared" si="291"/>
        <v/>
      </c>
      <c r="Z431" s="66" t="str">
        <f t="shared" si="292"/>
        <v/>
      </c>
      <c r="AA431" s="66" t="str">
        <f t="shared" si="293"/>
        <v/>
      </c>
      <c r="AB431" s="66" t="str">
        <f t="shared" si="294"/>
        <v/>
      </c>
      <c r="AC431" s="66" t="str">
        <f t="shared" si="295"/>
        <v/>
      </c>
      <c r="AD431" s="66" t="str">
        <f t="shared" si="296"/>
        <v/>
      </c>
      <c r="AE431" s="66" t="str">
        <f t="shared" si="297"/>
        <v/>
      </c>
      <c r="AF431" s="66" t="str">
        <f t="shared" si="298"/>
        <v/>
      </c>
      <c r="AG431" s="66" t="str">
        <f t="shared" si="299"/>
        <v/>
      </c>
      <c r="AH431" s="66" t="str">
        <f t="shared" si="300"/>
        <v/>
      </c>
      <c r="AI431" s="66" t="str">
        <f t="shared" si="301"/>
        <v/>
      </c>
      <c r="AJ431" s="66" t="str">
        <f t="shared" si="302"/>
        <v/>
      </c>
    </row>
    <row r="432" spans="1:36">
      <c r="A432" s="66">
        <f t="shared" si="303"/>
        <v>30</v>
      </c>
      <c r="B432" s="66" t="str">
        <f t="shared" si="303"/>
        <v>謝昕融</v>
      </c>
      <c r="C432" s="66" t="str">
        <f t="shared" si="268"/>
        <v/>
      </c>
      <c r="D432" s="66" t="str">
        <f t="shared" si="270"/>
        <v/>
      </c>
      <c r="E432" s="66" t="str">
        <f t="shared" si="271"/>
        <v/>
      </c>
      <c r="F432" s="66" t="str">
        <f t="shared" si="272"/>
        <v/>
      </c>
      <c r="G432" s="66" t="str">
        <f t="shared" si="273"/>
        <v/>
      </c>
      <c r="H432" s="66" t="str">
        <f t="shared" si="274"/>
        <v/>
      </c>
      <c r="I432" s="66" t="str">
        <f t="shared" si="275"/>
        <v/>
      </c>
      <c r="J432" s="66" t="str">
        <f t="shared" si="276"/>
        <v/>
      </c>
      <c r="K432" s="66" t="str">
        <f t="shared" si="277"/>
        <v/>
      </c>
      <c r="L432" s="66" t="str">
        <f t="shared" si="278"/>
        <v/>
      </c>
      <c r="M432" s="66" t="str">
        <f t="shared" si="279"/>
        <v/>
      </c>
      <c r="N432" s="66" t="str">
        <f t="shared" si="280"/>
        <v/>
      </c>
      <c r="O432" s="66" t="str">
        <f t="shared" si="281"/>
        <v/>
      </c>
      <c r="P432" s="66" t="str">
        <f t="shared" si="282"/>
        <v/>
      </c>
      <c r="Q432" s="66" t="str">
        <f t="shared" si="283"/>
        <v/>
      </c>
      <c r="R432" s="66" t="str">
        <f t="shared" si="284"/>
        <v/>
      </c>
      <c r="S432" s="66" t="str">
        <f t="shared" si="285"/>
        <v/>
      </c>
      <c r="T432" s="66" t="str">
        <f t="shared" si="286"/>
        <v/>
      </c>
      <c r="U432" s="66" t="str">
        <f t="shared" si="287"/>
        <v/>
      </c>
      <c r="V432" s="66" t="str">
        <f t="shared" si="288"/>
        <v/>
      </c>
      <c r="W432" s="66" t="str">
        <f t="shared" si="289"/>
        <v/>
      </c>
      <c r="X432" s="66" t="str">
        <f t="shared" si="290"/>
        <v/>
      </c>
      <c r="Y432" s="66" t="str">
        <f t="shared" si="291"/>
        <v/>
      </c>
      <c r="Z432" s="66" t="str">
        <f t="shared" si="292"/>
        <v/>
      </c>
      <c r="AA432" s="66" t="str">
        <f t="shared" si="293"/>
        <v/>
      </c>
      <c r="AB432" s="66" t="str">
        <f t="shared" si="294"/>
        <v/>
      </c>
      <c r="AC432" s="66" t="str">
        <f t="shared" si="295"/>
        <v/>
      </c>
      <c r="AD432" s="66" t="str">
        <f t="shared" si="296"/>
        <v/>
      </c>
      <c r="AE432" s="66" t="str">
        <f t="shared" si="297"/>
        <v/>
      </c>
      <c r="AF432" s="66" t="str">
        <f t="shared" si="298"/>
        <v/>
      </c>
      <c r="AG432" s="66" t="str">
        <f t="shared" si="299"/>
        <v/>
      </c>
      <c r="AH432" s="66" t="str">
        <f t="shared" si="300"/>
        <v/>
      </c>
      <c r="AI432" s="66" t="str">
        <f t="shared" si="301"/>
        <v/>
      </c>
      <c r="AJ432" s="66" t="str">
        <f t="shared" si="302"/>
        <v/>
      </c>
    </row>
    <row r="433" spans="1:55">
      <c r="A433" s="66">
        <f t="shared" si="303"/>
        <v>31</v>
      </c>
      <c r="B433" s="66" t="str">
        <f t="shared" si="303"/>
        <v>許峰銘</v>
      </c>
      <c r="C433" s="66" t="str">
        <f t="shared" si="268"/>
        <v/>
      </c>
      <c r="D433" s="66" t="str">
        <f t="shared" si="270"/>
        <v/>
      </c>
      <c r="E433" s="66" t="str">
        <f t="shared" si="271"/>
        <v/>
      </c>
      <c r="F433" s="66" t="str">
        <f t="shared" si="272"/>
        <v/>
      </c>
      <c r="G433" s="66" t="str">
        <f t="shared" si="273"/>
        <v/>
      </c>
      <c r="H433" s="66" t="str">
        <f t="shared" si="274"/>
        <v/>
      </c>
      <c r="I433" s="66" t="str">
        <f t="shared" si="275"/>
        <v/>
      </c>
      <c r="J433" s="66" t="str">
        <f t="shared" si="276"/>
        <v/>
      </c>
      <c r="K433" s="66" t="str">
        <f t="shared" si="277"/>
        <v/>
      </c>
      <c r="L433" s="66" t="str">
        <f t="shared" si="278"/>
        <v/>
      </c>
      <c r="M433" s="66" t="str">
        <f t="shared" si="279"/>
        <v/>
      </c>
      <c r="N433" s="66" t="str">
        <f t="shared" si="280"/>
        <v/>
      </c>
      <c r="O433" s="66" t="str">
        <f t="shared" si="281"/>
        <v/>
      </c>
      <c r="P433" s="66" t="str">
        <f t="shared" si="282"/>
        <v/>
      </c>
      <c r="Q433" s="66" t="str">
        <f t="shared" si="283"/>
        <v/>
      </c>
      <c r="R433" s="66" t="str">
        <f t="shared" si="284"/>
        <v/>
      </c>
      <c r="S433" s="66" t="str">
        <f t="shared" si="285"/>
        <v/>
      </c>
      <c r="T433" s="66" t="str">
        <f t="shared" si="286"/>
        <v/>
      </c>
      <c r="U433" s="66" t="str">
        <f t="shared" si="287"/>
        <v/>
      </c>
      <c r="V433" s="66" t="str">
        <f t="shared" si="288"/>
        <v/>
      </c>
      <c r="W433" s="66" t="str">
        <f t="shared" si="289"/>
        <v/>
      </c>
      <c r="X433" s="66" t="str">
        <f t="shared" si="290"/>
        <v/>
      </c>
      <c r="Y433" s="66" t="str">
        <f t="shared" si="291"/>
        <v/>
      </c>
      <c r="Z433" s="66" t="str">
        <f t="shared" si="292"/>
        <v/>
      </c>
      <c r="AA433" s="66" t="str">
        <f t="shared" si="293"/>
        <v/>
      </c>
      <c r="AB433" s="66" t="str">
        <f t="shared" si="294"/>
        <v/>
      </c>
      <c r="AC433" s="66" t="str">
        <f t="shared" si="295"/>
        <v/>
      </c>
      <c r="AD433" s="66" t="str">
        <f t="shared" si="296"/>
        <v/>
      </c>
      <c r="AE433" s="66" t="str">
        <f t="shared" si="297"/>
        <v/>
      </c>
      <c r="AF433" s="66" t="str">
        <f t="shared" si="298"/>
        <v/>
      </c>
      <c r="AG433" s="66" t="str">
        <f t="shared" si="299"/>
        <v/>
      </c>
      <c r="AH433" s="66" t="str">
        <f t="shared" si="300"/>
        <v/>
      </c>
      <c r="AI433" s="66" t="str">
        <f t="shared" si="301"/>
        <v/>
      </c>
      <c r="AJ433" s="66" t="str">
        <f t="shared" si="302"/>
        <v/>
      </c>
    </row>
    <row r="434" spans="1:55">
      <c r="A434" s="66">
        <f t="shared" si="303"/>
        <v>32</v>
      </c>
      <c r="B434" s="66" t="str">
        <f t="shared" si="303"/>
        <v>莊博竣</v>
      </c>
      <c r="C434" s="66" t="str">
        <f t="shared" si="268"/>
        <v/>
      </c>
      <c r="D434" s="66" t="str">
        <f t="shared" si="270"/>
        <v/>
      </c>
      <c r="E434" s="66" t="str">
        <f t="shared" si="271"/>
        <v/>
      </c>
      <c r="F434" s="66" t="str">
        <f t="shared" si="272"/>
        <v/>
      </c>
      <c r="G434" s="66" t="str">
        <f t="shared" si="273"/>
        <v/>
      </c>
      <c r="H434" s="66" t="str">
        <f t="shared" si="274"/>
        <v/>
      </c>
      <c r="I434" s="66" t="str">
        <f t="shared" si="275"/>
        <v/>
      </c>
      <c r="J434" s="66" t="str">
        <f t="shared" si="276"/>
        <v/>
      </c>
      <c r="K434" s="66" t="str">
        <f t="shared" si="277"/>
        <v/>
      </c>
      <c r="L434" s="66" t="str">
        <f t="shared" si="278"/>
        <v/>
      </c>
      <c r="M434" s="66" t="str">
        <f t="shared" si="279"/>
        <v/>
      </c>
      <c r="N434" s="66" t="str">
        <f t="shared" si="280"/>
        <v/>
      </c>
      <c r="O434" s="66" t="str">
        <f t="shared" si="281"/>
        <v/>
      </c>
      <c r="P434" s="66" t="str">
        <f t="shared" si="282"/>
        <v/>
      </c>
      <c r="Q434" s="66" t="str">
        <f t="shared" si="283"/>
        <v/>
      </c>
      <c r="R434" s="66" t="str">
        <f t="shared" si="284"/>
        <v/>
      </c>
      <c r="S434" s="66" t="str">
        <f t="shared" si="285"/>
        <v/>
      </c>
      <c r="T434" s="66" t="str">
        <f t="shared" si="286"/>
        <v/>
      </c>
      <c r="U434" s="66" t="str">
        <f t="shared" si="287"/>
        <v/>
      </c>
      <c r="V434" s="66" t="str">
        <f t="shared" si="288"/>
        <v/>
      </c>
      <c r="W434" s="66" t="str">
        <f t="shared" si="289"/>
        <v/>
      </c>
      <c r="X434" s="66" t="str">
        <f t="shared" si="290"/>
        <v/>
      </c>
      <c r="Y434" s="66" t="str">
        <f t="shared" si="291"/>
        <v/>
      </c>
      <c r="Z434" s="66" t="str">
        <f t="shared" si="292"/>
        <v/>
      </c>
      <c r="AA434" s="66" t="str">
        <f t="shared" si="293"/>
        <v/>
      </c>
      <c r="AB434" s="66" t="str">
        <f t="shared" si="294"/>
        <v/>
      </c>
      <c r="AC434" s="66" t="str">
        <f t="shared" si="295"/>
        <v/>
      </c>
      <c r="AD434" s="66" t="str">
        <f t="shared" si="296"/>
        <v/>
      </c>
      <c r="AE434" s="66" t="str">
        <f t="shared" si="297"/>
        <v/>
      </c>
      <c r="AF434" s="66" t="str">
        <f t="shared" si="298"/>
        <v/>
      </c>
      <c r="AG434" s="66" t="str">
        <f t="shared" si="299"/>
        <v/>
      </c>
      <c r="AH434" s="66" t="str">
        <f t="shared" si="300"/>
        <v/>
      </c>
      <c r="AI434" s="66" t="str">
        <f t="shared" si="301"/>
        <v/>
      </c>
      <c r="AJ434" s="66" t="str">
        <f t="shared" si="302"/>
        <v/>
      </c>
    </row>
    <row r="435" spans="1:55">
      <c r="A435" s="66">
        <f t="shared" ref="A435:B438" si="304">A395</f>
        <v>33</v>
      </c>
      <c r="B435" s="66" t="str">
        <f t="shared" si="304"/>
        <v/>
      </c>
      <c r="C435" s="66" t="str">
        <f t="shared" si="268"/>
        <v/>
      </c>
      <c r="D435" s="66" t="str">
        <f t="shared" si="270"/>
        <v/>
      </c>
      <c r="E435" s="66" t="str">
        <f t="shared" si="271"/>
        <v/>
      </c>
      <c r="F435" s="66" t="str">
        <f t="shared" si="272"/>
        <v/>
      </c>
      <c r="G435" s="66" t="str">
        <f t="shared" si="273"/>
        <v/>
      </c>
      <c r="H435" s="66" t="str">
        <f t="shared" si="274"/>
        <v/>
      </c>
      <c r="I435" s="66" t="str">
        <f t="shared" si="275"/>
        <v/>
      </c>
      <c r="J435" s="66" t="str">
        <f t="shared" si="276"/>
        <v/>
      </c>
      <c r="K435" s="66" t="str">
        <f t="shared" si="277"/>
        <v/>
      </c>
      <c r="L435" s="66" t="str">
        <f t="shared" si="278"/>
        <v/>
      </c>
      <c r="M435" s="66" t="str">
        <f t="shared" si="279"/>
        <v/>
      </c>
      <c r="N435" s="66" t="str">
        <f t="shared" si="280"/>
        <v/>
      </c>
      <c r="O435" s="66" t="str">
        <f t="shared" si="281"/>
        <v/>
      </c>
      <c r="P435" s="66" t="str">
        <f t="shared" si="282"/>
        <v/>
      </c>
      <c r="Q435" s="66" t="str">
        <f t="shared" si="283"/>
        <v/>
      </c>
      <c r="R435" s="66" t="str">
        <f t="shared" si="284"/>
        <v/>
      </c>
      <c r="S435" s="66" t="str">
        <f t="shared" si="285"/>
        <v/>
      </c>
      <c r="T435" s="66" t="str">
        <f t="shared" si="286"/>
        <v/>
      </c>
      <c r="U435" s="66" t="str">
        <f t="shared" si="287"/>
        <v/>
      </c>
      <c r="V435" s="66" t="str">
        <f t="shared" si="288"/>
        <v/>
      </c>
      <c r="W435" s="66" t="str">
        <f t="shared" si="289"/>
        <v/>
      </c>
      <c r="X435" s="66" t="str">
        <f t="shared" si="290"/>
        <v/>
      </c>
      <c r="Y435" s="66" t="str">
        <f t="shared" si="291"/>
        <v/>
      </c>
      <c r="Z435" s="66" t="str">
        <f t="shared" si="292"/>
        <v/>
      </c>
      <c r="AA435" s="66" t="str">
        <f t="shared" si="293"/>
        <v/>
      </c>
      <c r="AB435" s="66" t="str">
        <f t="shared" si="294"/>
        <v/>
      </c>
      <c r="AC435" s="66" t="str">
        <f t="shared" si="295"/>
        <v/>
      </c>
      <c r="AD435" s="66" t="str">
        <f t="shared" si="296"/>
        <v/>
      </c>
      <c r="AE435" s="66" t="str">
        <f t="shared" si="297"/>
        <v/>
      </c>
      <c r="AF435" s="66" t="str">
        <f t="shared" si="298"/>
        <v/>
      </c>
      <c r="AG435" s="66" t="str">
        <f t="shared" si="299"/>
        <v/>
      </c>
      <c r="AH435" s="66" t="str">
        <f t="shared" si="300"/>
        <v/>
      </c>
      <c r="AI435" s="66" t="str">
        <f t="shared" si="301"/>
        <v/>
      </c>
      <c r="AJ435" s="66" t="str">
        <f t="shared" si="302"/>
        <v/>
      </c>
    </row>
    <row r="436" spans="1:55">
      <c r="A436" s="66">
        <f t="shared" si="304"/>
        <v>34</v>
      </c>
      <c r="B436" s="66" t="str">
        <f t="shared" si="304"/>
        <v/>
      </c>
      <c r="C436" s="66" t="str">
        <f t="shared" si="268"/>
        <v/>
      </c>
      <c r="D436" s="66" t="str">
        <f t="shared" si="270"/>
        <v/>
      </c>
      <c r="E436" s="66" t="str">
        <f t="shared" si="271"/>
        <v/>
      </c>
      <c r="F436" s="66" t="str">
        <f t="shared" si="272"/>
        <v/>
      </c>
      <c r="G436" s="66" t="str">
        <f t="shared" si="273"/>
        <v/>
      </c>
      <c r="H436" s="66" t="str">
        <f t="shared" si="274"/>
        <v/>
      </c>
      <c r="I436" s="66" t="str">
        <f t="shared" si="275"/>
        <v/>
      </c>
      <c r="J436" s="66" t="str">
        <f t="shared" si="276"/>
        <v/>
      </c>
      <c r="K436" s="66" t="str">
        <f t="shared" si="277"/>
        <v/>
      </c>
      <c r="L436" s="66" t="str">
        <f t="shared" si="278"/>
        <v/>
      </c>
      <c r="M436" s="66" t="str">
        <f t="shared" si="279"/>
        <v/>
      </c>
      <c r="N436" s="66" t="str">
        <f t="shared" si="280"/>
        <v/>
      </c>
      <c r="O436" s="66" t="str">
        <f t="shared" si="281"/>
        <v/>
      </c>
      <c r="P436" s="66" t="str">
        <f t="shared" si="282"/>
        <v/>
      </c>
      <c r="Q436" s="66" t="str">
        <f t="shared" si="283"/>
        <v/>
      </c>
      <c r="R436" s="66" t="str">
        <f t="shared" si="284"/>
        <v/>
      </c>
      <c r="S436" s="66" t="str">
        <f t="shared" si="285"/>
        <v/>
      </c>
      <c r="T436" s="66" t="str">
        <f t="shared" si="286"/>
        <v/>
      </c>
      <c r="U436" s="66" t="str">
        <f t="shared" si="287"/>
        <v/>
      </c>
      <c r="V436" s="66" t="str">
        <f t="shared" si="288"/>
        <v/>
      </c>
      <c r="W436" s="66" t="str">
        <f t="shared" si="289"/>
        <v/>
      </c>
      <c r="X436" s="66" t="str">
        <f t="shared" si="290"/>
        <v/>
      </c>
      <c r="Y436" s="66" t="str">
        <f t="shared" si="291"/>
        <v/>
      </c>
      <c r="Z436" s="66" t="str">
        <f t="shared" si="292"/>
        <v/>
      </c>
      <c r="AA436" s="66" t="str">
        <f t="shared" si="293"/>
        <v/>
      </c>
      <c r="AB436" s="66" t="str">
        <f t="shared" si="294"/>
        <v/>
      </c>
      <c r="AC436" s="66" t="str">
        <f t="shared" si="295"/>
        <v/>
      </c>
      <c r="AD436" s="66" t="str">
        <f t="shared" si="296"/>
        <v/>
      </c>
      <c r="AE436" s="66" t="str">
        <f t="shared" si="297"/>
        <v/>
      </c>
      <c r="AF436" s="66" t="str">
        <f t="shared" si="298"/>
        <v/>
      </c>
      <c r="AG436" s="66" t="str">
        <f t="shared" si="299"/>
        <v/>
      </c>
      <c r="AH436" s="66" t="str">
        <f t="shared" si="300"/>
        <v/>
      </c>
      <c r="AI436" s="66" t="str">
        <f t="shared" si="301"/>
        <v/>
      </c>
      <c r="AJ436" s="66" t="str">
        <f t="shared" si="302"/>
        <v/>
      </c>
    </row>
    <row r="437" spans="1:55">
      <c r="A437" s="66">
        <f t="shared" si="304"/>
        <v>35</v>
      </c>
      <c r="B437" s="66" t="str">
        <f t="shared" si="304"/>
        <v/>
      </c>
      <c r="C437" s="66" t="str">
        <f t="shared" si="268"/>
        <v/>
      </c>
      <c r="D437" s="66" t="str">
        <f t="shared" si="270"/>
        <v/>
      </c>
      <c r="E437" s="66" t="str">
        <f t="shared" si="271"/>
        <v/>
      </c>
      <c r="F437" s="66" t="str">
        <f t="shared" si="272"/>
        <v/>
      </c>
      <c r="G437" s="66" t="str">
        <f t="shared" si="273"/>
        <v/>
      </c>
      <c r="H437" s="66" t="str">
        <f t="shared" si="274"/>
        <v/>
      </c>
      <c r="I437" s="66" t="str">
        <f t="shared" si="275"/>
        <v/>
      </c>
      <c r="J437" s="66" t="str">
        <f t="shared" si="276"/>
        <v/>
      </c>
      <c r="K437" s="66" t="str">
        <f t="shared" si="277"/>
        <v/>
      </c>
      <c r="L437" s="66" t="str">
        <f t="shared" si="278"/>
        <v/>
      </c>
      <c r="M437" s="66" t="str">
        <f t="shared" si="279"/>
        <v/>
      </c>
      <c r="N437" s="66" t="str">
        <f t="shared" si="280"/>
        <v/>
      </c>
      <c r="O437" s="66" t="str">
        <f t="shared" si="281"/>
        <v/>
      </c>
      <c r="P437" s="66" t="str">
        <f t="shared" si="282"/>
        <v/>
      </c>
      <c r="Q437" s="66" t="str">
        <f t="shared" si="283"/>
        <v/>
      </c>
      <c r="R437" s="66" t="str">
        <f t="shared" si="284"/>
        <v/>
      </c>
      <c r="S437" s="66" t="str">
        <f t="shared" si="285"/>
        <v/>
      </c>
      <c r="T437" s="66" t="str">
        <f t="shared" si="286"/>
        <v/>
      </c>
      <c r="U437" s="66" t="str">
        <f t="shared" si="287"/>
        <v/>
      </c>
      <c r="V437" s="66" t="str">
        <f t="shared" si="288"/>
        <v/>
      </c>
      <c r="W437" s="66" t="str">
        <f t="shared" si="289"/>
        <v/>
      </c>
      <c r="X437" s="66" t="str">
        <f t="shared" si="290"/>
        <v/>
      </c>
      <c r="Y437" s="66" t="str">
        <f t="shared" si="291"/>
        <v/>
      </c>
      <c r="Z437" s="66" t="str">
        <f t="shared" si="292"/>
        <v/>
      </c>
      <c r="AA437" s="66" t="str">
        <f t="shared" si="293"/>
        <v/>
      </c>
      <c r="AB437" s="66" t="str">
        <f t="shared" si="294"/>
        <v/>
      </c>
      <c r="AC437" s="66" t="str">
        <f t="shared" si="295"/>
        <v/>
      </c>
      <c r="AD437" s="66" t="str">
        <f t="shared" si="296"/>
        <v/>
      </c>
      <c r="AE437" s="66" t="str">
        <f t="shared" si="297"/>
        <v/>
      </c>
      <c r="AF437" s="66" t="str">
        <f t="shared" si="298"/>
        <v/>
      </c>
      <c r="AG437" s="66" t="str">
        <f t="shared" si="299"/>
        <v/>
      </c>
      <c r="AH437" s="66" t="str">
        <f t="shared" si="300"/>
        <v/>
      </c>
      <c r="AI437" s="66" t="str">
        <f t="shared" si="301"/>
        <v/>
      </c>
      <c r="AJ437" s="66" t="str">
        <f t="shared" si="302"/>
        <v/>
      </c>
    </row>
    <row r="438" spans="1:55">
      <c r="A438" s="66">
        <f t="shared" si="304"/>
        <v>37</v>
      </c>
      <c r="B438" s="66" t="str">
        <f t="shared" si="304"/>
        <v/>
      </c>
      <c r="C438" s="66" t="str">
        <f t="shared" ref="C438:AJ438" si="305">IF(    AND( C38="喪",  LEN(C437)&gt;=2 ),        "" &amp; $A438,    IF(         AND( C38="喪" ),       $A438,        IF(  OR(  LEN(C437)&gt;=2  ),  CONCATENATE(  ".",  IF(  AND(  LEN(  INDEX(   $A$1:$AJ$39, MATCH($A438,$A$1:$A$39,0),MATCH(  C$402,$A$1:$AP$1,0  )  )  )&gt;LEN(  SUBSTITUTE(  INDEX(   $A$1:$AJ$39, MATCH($A438,$A$1:$A$39,0),MATCH(  C$402,$A$1:$AP$1,0  )  ),"病","")  ),  LEN(  INDEX(   $A$1:$AJ$39, MATCH($A438,$A$1:$A$39,0),MATCH(  C$402,$A$1:$AP$1,0  )  )  )&gt;LEN(  SUBSTITUTE(  INDEX(   $A$1:$AJ$39, MATCH($A438,$A$1:$A$39,0),MATCH(  C$402,$A$1:$AP$1,0  )  ),"-","")  )  ),  CONCATENATE(  $A438,"(",   SUBSTITUTE(   SUBSTITUTE(  SUBSTITUTE(  INDEX(   $A$1:$AJ$39, MATCH($A438,$A$1:$A$39,0),MATCH(  C$402,$A$402:$AP$402,0  )  ),"喪",""),"x","")," ",""),"時",")"),  ""  )  ),  IF(  AND(  LEN(  INDEX(   $A$1:$AJ$39, MATCH($A438,$A$1:$A$39,0),MATCH(  C$402,$A$1:$AP$1,0  )  )  )&gt;LEN(  SUBSTITUTE(  INDEX(   $A$1:$AJ$39, MATCH($A438,$A$1:$A$39,0),MATCH(  C$402,$A$1:$AP$1,0  )  ),"喪","")  ),  LEN(  INDEX(   $A$1:$AJ$39, MATCH($A438,$A$1:$A$39,0),MATCH(  C$402,$A$1:$AP$1,0  )  )  )&gt;LEN(  SUBSTITUTE(  INDEX(   $A$1:$AJ$39, MATCH($A438,$A$1:$A$39,0),MATCH(  C$402,$A$1:$AP$1,0  )  ),"-","")  )  ),  CONCATENATE(  $A438,"(",   SUBSTITUTE(   SUBSTITUTE(  SUBSTITUTE(  INDEX(   $A$1:$AJ$39, MATCH($A438,$A$1:$A$39,0),MATCH(  C$402,$A$402:$AP$402,0  )  ),"喪",""),"x","")," ",""),"時",")"),  ""  )  )           ))</f>
        <v/>
      </c>
      <c r="D438" s="66" t="str">
        <f t="shared" si="305"/>
        <v/>
      </c>
      <c r="E438" s="66" t="str">
        <f t="shared" si="305"/>
        <v/>
      </c>
      <c r="F438" s="66" t="str">
        <f t="shared" si="305"/>
        <v/>
      </c>
      <c r="G438" s="66" t="str">
        <f t="shared" si="305"/>
        <v/>
      </c>
      <c r="H438" s="66" t="str">
        <f t="shared" si="305"/>
        <v/>
      </c>
      <c r="I438" s="66" t="str">
        <f t="shared" si="305"/>
        <v/>
      </c>
      <c r="J438" s="66" t="str">
        <f t="shared" si="305"/>
        <v/>
      </c>
      <c r="K438" s="66" t="str">
        <f t="shared" si="305"/>
        <v/>
      </c>
      <c r="L438" s="66" t="str">
        <f t="shared" si="305"/>
        <v/>
      </c>
      <c r="M438" s="66" t="str">
        <f t="shared" si="305"/>
        <v/>
      </c>
      <c r="N438" s="66" t="str">
        <f t="shared" si="305"/>
        <v/>
      </c>
      <c r="O438" s="66" t="str">
        <f t="shared" si="305"/>
        <v/>
      </c>
      <c r="P438" s="66" t="str">
        <f t="shared" si="305"/>
        <v/>
      </c>
      <c r="Q438" s="66" t="str">
        <f t="shared" si="305"/>
        <v/>
      </c>
      <c r="R438" s="66" t="str">
        <f t="shared" si="305"/>
        <v/>
      </c>
      <c r="S438" s="66" t="str">
        <f t="shared" si="305"/>
        <v/>
      </c>
      <c r="T438" s="66" t="str">
        <f t="shared" si="305"/>
        <v/>
      </c>
      <c r="U438" s="66" t="str">
        <f t="shared" si="305"/>
        <v/>
      </c>
      <c r="V438" s="66" t="str">
        <f t="shared" si="305"/>
        <v/>
      </c>
      <c r="W438" s="66" t="str">
        <f t="shared" si="305"/>
        <v/>
      </c>
      <c r="X438" s="66" t="str">
        <f t="shared" si="305"/>
        <v/>
      </c>
      <c r="Y438" s="66" t="str">
        <f t="shared" si="305"/>
        <v/>
      </c>
      <c r="Z438" s="66" t="str">
        <f t="shared" si="305"/>
        <v/>
      </c>
      <c r="AA438" s="66" t="str">
        <f t="shared" si="305"/>
        <v/>
      </c>
      <c r="AB438" s="66" t="str">
        <f t="shared" si="305"/>
        <v/>
      </c>
      <c r="AC438" s="66" t="str">
        <f t="shared" si="305"/>
        <v/>
      </c>
      <c r="AD438" s="66" t="str">
        <f t="shared" si="305"/>
        <v/>
      </c>
      <c r="AE438" s="66" t="str">
        <f t="shared" si="305"/>
        <v/>
      </c>
      <c r="AF438" s="66" t="str">
        <f t="shared" si="305"/>
        <v/>
      </c>
      <c r="AG438" s="66" t="str">
        <f t="shared" si="305"/>
        <v/>
      </c>
      <c r="AH438" s="66" t="str">
        <f t="shared" si="305"/>
        <v/>
      </c>
      <c r="AI438" s="66" t="str">
        <f t="shared" si="305"/>
        <v/>
      </c>
      <c r="AJ438" s="66" t="str">
        <f t="shared" si="305"/>
        <v/>
      </c>
    </row>
    <row r="439" spans="1:55">
      <c r="A439" s="66"/>
      <c r="B439" s="66"/>
      <c r="C439" s="66" t="str">
        <f xml:space="preserve">    IF(  AND(  COUNTIF(勤務分配!$E$3:$E$44,"喪假")&gt;=1,  IFERROR(  LEFT(  CONCATENATE(C403,C404,C405,C406,C407,C408,C409,C410,C411,C412,C413,C414,C415,C416,C417,C418,C419,C420,C421,C422,C423,C424,C425,C426,C427,C428,C429,C430,C431,C432,C433,C434,C435,C436,C437,C438),LEN(  CONCATENATE(C403,C404,C405,C406,C407,C408,C409,C410,C411,C412,C413,C414,C415,C416,C417,C418,C419,C420,C421,C422,C423,C424,C425,C426,C427,C428,C429,C430,C431,C432,C433,C434,C435,C436,C437,C438)  )-1),"")&lt;&gt;""   ),"." &amp; IFERROR(  LEFT(  CONCATENATE(C403,C404,C405,C406,C407,C408,C409,C410,C411,C412,C413,C414,C415,C416,C417,C418,C419,C420,C421,C422,C423,C424,C425,C426,C427,C428,C429,C430,C431,C432,C433,C434,C435,C436,C437,C438),LEN(  CONCATENATE(C403,C404,C405,C406,C407,C408,C409,C410,C411,C412,C413,C414,C415,C416,C417,C418,C419,C420,C421,C422,C423,C424,C425,C426,C427,C428,C429,C430,C431,C432,C433,C434,C435,C436,C437,C438)  )-1),""),                             IFERROR(  LEFT(  CONCATENATE(C403,C404,C405,C406,C407,C408,C409,C410,C411,C412,C413,C414,C415,C416,C417,C418,C419,C420,C421,C422,C423,C424,C425,C426,C427,C428,C429,C430,C431,C432,C433,C434,C435,C436,C437,C438),LEN(  CONCATENATE(C403,C404,C405,C406,C407,C408,C409,C410,C411,C412,C413,C414,C415,C416,C417,C418,C419,C420,C421,C422,C423,C424,C425,C426,C427,C428,C429,C430,C431,C432,C433,C434,C435,C436,C437,C438)  )-1),"")        )</f>
        <v/>
      </c>
      <c r="D439" s="66" t="str">
        <f xml:space="preserve">    IF(  AND(  COUNTIF(勤務分配!$E$3:$E$44,"喪假")&gt;=1,  IFERROR(  LEFT(  CONCATENATE(D403,D404,D405,D406,D407,D408,D409,D410,D411,D412,D413,D414,D415,D416,D417,D418,D419,D420,D421,D422,D423,D424,D425,D426,D427,D428,D429,D430,D431,D432,D433,D434,D435,D436,D437,D438),LEN(  CONCATENATE(D403,D404,D405,D406,D407,D408,D409,D410,D411,D412,D413,D414,D415,D416,D417,D418,D419,D420,D421,D422,D423,D424,D425,D426,D427,D428,D429,D430,D431,D432,D433,D434,D435,D436,D437,D438)  )-1),"")&lt;&gt;""   ),"." &amp; IFERROR(  LEFT(  CONCATENATE(D403,D404,D405,D406,D407,D408,D409,D410,D411,D412,D413,D414,D415,D416,D417,D418,D419,D420,D421,D422,D423,D424,D425,D426,D427,D428,D429,D430,D431,D432,D433,D434,D435,D436,D437,D438),LEN(  CONCATENATE(D403,D404,D405,D406,D407,D408,D409,D410,D411,D412,D413,D414,D415,D416,D417,D418,D419,D420,D421,D422,D423,D424,D425,D426,D427,D428,D429,D430,D431,D432,D433,D434,D435,D436,D437,D438)  )-1),""),                             IFERROR(  LEFT(  CONCATENATE(D403,D404,D405,D406,D407,D408,D409,D410,D411,D412,D413,D414,D415,D416,D417,D418,D419,D420,D421,D422,D423,D424,D425,D426,D427,D428,D429,D430,D431,D432,D433,D434,D435,D436,D437,D438),LEN(  CONCATENATE(D403,D404,D405,D406,D407,D408,D409,D410,D411,D412,D413,D414,D415,D416,D417,D418,D419,D420,D421,D422,D423,D424,D425,D426,D427,D428,D429,D430,D431,D432,D433,D434,D435,D436,D437,D438)  )-1),"")        )</f>
        <v/>
      </c>
      <c r="E439" s="66" t="str">
        <f xml:space="preserve">    IF(  AND(  COUNTIF(勤務分配!$E$3:$E$44,"喪假")&gt;=1,  IFERROR(  LEFT(  CONCATENATE(E403,E404,E405,E406,E407,E408,E409,E410,E411,E412,E413,E414,E415,E416,E417,E418,E419,E420,E421,E422,E423,E424,E425,E426,E427,E428,E429,E430,E431,E432,E433,E434,E435,E436,E437,E438),LEN(  CONCATENATE(E403,E404,E405,E406,E407,E408,E409,E410,E411,E412,E413,E414,E415,E416,E417,E418,E419,E420,E421,E422,E423,E424,E425,E426,E427,E428,E429,E430,E431,E432,E433,E434,E435,E436,E437,E438)  )-1),"")&lt;&gt;""   ),"." &amp; IFERROR(  LEFT(  CONCATENATE(E403,E404,E405,E406,E407,E408,E409,E410,E411,E412,E413,E414,E415,E416,E417,E418,E419,E420,E421,E422,E423,E424,E425,E426,E427,E428,E429,E430,E431,E432,E433,E434,E435,E436,E437,E438),LEN(  CONCATENATE(E403,E404,E405,E406,E407,E408,E409,E410,E411,E412,E413,E414,E415,E416,E417,E418,E419,E420,E421,E422,E423,E424,E425,E426,E427,E428,E429,E430,E431,E432,E433,E434,E435,E436,E437,E438)  )-1),""),                             IFERROR(  LEFT(  CONCATENATE(E403,E404,E405,E406,E407,E408,E409,E410,E411,E412,E413,E414,E415,E416,E417,E418,E419,E420,E421,E422,E423,E424,E425,E426,E427,E428,E429,E430,E431,E432,E433,E434,E435,E436,E437,E438),LEN(  CONCATENATE(E403,E404,E405,E406,E407,E408,E409,E410,E411,E412,E413,E414,E415,E416,E417,E418,E419,E420,E421,E422,E423,E424,E425,E426,E427,E428,E429,E430,E431,E432,E433,E434,E435,E436,E437,E438)  )-1),"")        )</f>
        <v/>
      </c>
      <c r="F439" s="66" t="str">
        <f xml:space="preserve">    IF(  AND(  COUNTIF(勤務分配!$E$3:$E$44,"喪假")&gt;=1,  IFERROR(  LEFT(  CONCATENATE(F403,F404,F405,F406,F407,F408,F409,F410,F411,F412,F413,F414,F415,F416,F417,F418,F419,F420,F421,F422,F423,F424,F425,F426,F427,F428,F429,F430,F431,F432,F433,F434,F435,F436,F437,F438),LEN(  CONCATENATE(F403,F404,F405,F406,F407,F408,F409,F410,F411,F412,F413,F414,F415,F416,F417,F418,F419,F420,F421,F422,F423,F424,F425,F426,F427,F428,F429,F430,F431,F432,F433,F434,F435,F436,F437,F438)  )-1),"")&lt;&gt;""   ),"." &amp; IFERROR(  LEFT(  CONCATENATE(F403,F404,F405,F406,F407,F408,F409,F410,F411,F412,F413,F414,F415,F416,F417,F418,F419,F420,F421,F422,F423,F424,F425,F426,F427,F428,F429,F430,F431,F432,F433,F434,F435,F436,F437,F438),LEN(  CONCATENATE(F403,F404,F405,F406,F407,F408,F409,F410,F411,F412,F413,F414,F415,F416,F417,F418,F419,F420,F421,F422,F423,F424,F425,F426,F427,F428,F429,F430,F431,F432,F433,F434,F435,F436,F437,F438)  )-1),""),                             IFERROR(  LEFT(  CONCATENATE(F403,F404,F405,F406,F407,F408,F409,F410,F411,F412,F413,F414,F415,F416,F417,F418,F419,F420,F421,F422,F423,F424,F425,F426,F427,F428,F429,F430,F431,F432,F433,F434,F435,F436,F437,F438),LEN(  CONCATENATE(F403,F404,F405,F406,F407,F408,F409,F410,F411,F412,F413,F414,F415,F416,F417,F418,F419,F420,F421,F422,F423,F424,F425,F426,F427,F428,F429,F430,F431,F432,F433,F434,F435,F436,F437,F438)  )-1),"")        )</f>
        <v/>
      </c>
      <c r="G439" s="66" t="str">
        <f xml:space="preserve">    IF(  AND(  COUNTIF(勤務分配!$E$3:$E$44,"喪假")&gt;=1,  IFERROR(  LEFT(  CONCATENATE(G403,G404,G405,G406,G407,G408,G409,G410,G411,G412,G413,G414,G415,G416,G417,G418,G419,G420,G421,G422,G423,G424,G425,G426,G427,G428,G429,G430,G431,G432,G433,G434,G435,G436,G437,G438),LEN(  CONCATENATE(G403,G404,G405,G406,G407,G408,G409,G410,G411,G412,G413,G414,G415,G416,G417,G418,G419,G420,G421,G422,G423,G424,G425,G426,G427,G428,G429,G430,G431,G432,G433,G434,G435,G436,G437,G438)  )-1),"")&lt;&gt;""   ),"." &amp; IFERROR(  LEFT(  CONCATENATE(G403,G404,G405,G406,G407,G408,G409,G410,G411,G412,G413,G414,G415,G416,G417,G418,G419,G420,G421,G422,G423,G424,G425,G426,G427,G428,G429,G430,G431,G432,G433,G434,G435,G436,G437,G438),LEN(  CONCATENATE(G403,G404,G405,G406,G407,G408,G409,G410,G411,G412,G413,G414,G415,G416,G417,G418,G419,G420,G421,G422,G423,G424,G425,G426,G427,G428,G429,G430,G431,G432,G433,G434,G435,G436,G437,G438)  )-1),""),                             IFERROR(  LEFT(  CONCATENATE(G403,G404,G405,G406,G407,G408,G409,G410,G411,G412,G413,G414,G415,G416,G417,G418,G419,G420,G421,G422,G423,G424,G425,G426,G427,G428,G429,G430,G431,G432,G433,G434,G435,G436,G437,G438),LEN(  CONCATENATE(G403,G404,G405,G406,G407,G408,G409,G410,G411,G412,G413,G414,G415,G416,G417,G418,G419,G420,G421,G422,G423,G424,G425,G426,G427,G428,G429,G430,G431,G432,G433,G434,G435,G436,G437,G438)  )-1),"")        )</f>
        <v/>
      </c>
      <c r="H439" s="66" t="str">
        <f xml:space="preserve">    IF(  AND(  COUNTIF(勤務分配!$E$3:$E$44,"喪假")&gt;=1,  IFERROR(  LEFT(  CONCATENATE(H403,H404,H405,H406,H407,H408,H409,H410,H411,H412,H413,H414,H415,H416,H417,H418,H419,H420,H421,H422,H423,H424,H425,H426,H427,H428,H429,H430,H431,H432,H433,H434,H435,H436,H437,H438),LEN(  CONCATENATE(H403,H404,H405,H406,H407,H408,H409,H410,H411,H412,H413,H414,H415,H416,H417,H418,H419,H420,H421,H422,H423,H424,H425,H426,H427,H428,H429,H430,H431,H432,H433,H434,H435,H436,H437,H438)  )-1),"")&lt;&gt;""   ),"." &amp; IFERROR(  LEFT(  CONCATENATE(H403,H404,H405,H406,H407,H408,H409,H410,H411,H412,H413,H414,H415,H416,H417,H418,H419,H420,H421,H422,H423,H424,H425,H426,H427,H428,H429,H430,H431,H432,H433,H434,H435,H436,H437,H438),LEN(  CONCATENATE(H403,H404,H405,H406,H407,H408,H409,H410,H411,H412,H413,H414,H415,H416,H417,H418,H419,H420,H421,H422,H423,H424,H425,H426,H427,H428,H429,H430,H431,H432,H433,H434,H435,H436,H437,H438)  )-1),""),                             IFERROR(  LEFT(  CONCATENATE(H403,H404,H405,H406,H407,H408,H409,H410,H411,H412,H413,H414,H415,H416,H417,H418,H419,H420,H421,H422,H423,H424,H425,H426,H427,H428,H429,H430,H431,H432,H433,H434,H435,H436,H437,H438),LEN(  CONCATENATE(H403,H404,H405,H406,H407,H408,H409,H410,H411,H412,H413,H414,H415,H416,H417,H418,H419,H420,H421,H422,H423,H424,H425,H426,H427,H428,H429,H430,H431,H432,H433,H434,H435,H436,H437,H438)  )-1),"")        )</f>
        <v/>
      </c>
      <c r="I439" s="66" t="str">
        <f xml:space="preserve">    IF(  AND(  COUNTIF(勤務分配!$E$3:$E$44,"喪假")&gt;=1,  IFERROR(  LEFT(  CONCATENATE(I403,I404,I405,I406,I407,I408,I409,I410,I411,I412,I413,I414,I415,I416,I417,I418,I419,I420,I421,I422,I423,I424,I425,I426,I427,I428,I429,I430,I431,I432,I433,I434,I435,I436,I437,I438),LEN(  CONCATENATE(I403,I404,I405,I406,I407,I408,I409,I410,I411,I412,I413,I414,I415,I416,I417,I418,I419,I420,I421,I422,I423,I424,I425,I426,I427,I428,I429,I430,I431,I432,I433,I434,I435,I436,I437,I438)  )-1),"")&lt;&gt;""   ),"." &amp; IFERROR(  LEFT(  CONCATENATE(I403,I404,I405,I406,I407,I408,I409,I410,I411,I412,I413,I414,I415,I416,I417,I418,I419,I420,I421,I422,I423,I424,I425,I426,I427,I428,I429,I430,I431,I432,I433,I434,I435,I436,I437,I438),LEN(  CONCATENATE(I403,I404,I405,I406,I407,I408,I409,I410,I411,I412,I413,I414,I415,I416,I417,I418,I419,I420,I421,I422,I423,I424,I425,I426,I427,I428,I429,I430,I431,I432,I433,I434,I435,I436,I437,I438)  )-1),""),                             IFERROR(  LEFT(  CONCATENATE(I403,I404,I405,I406,I407,I408,I409,I410,I411,I412,I413,I414,I415,I416,I417,I418,I419,I420,I421,I422,I423,I424,I425,I426,I427,I428,I429,I430,I431,I432,I433,I434,I435,I436,I437,I438),LEN(  CONCATENATE(I403,I404,I405,I406,I407,I408,I409,I410,I411,I412,I413,I414,I415,I416,I417,I418,I419,I420,I421,I422,I423,I424,I425,I426,I427,I428,I429,I430,I431,I432,I433,I434,I435,I436,I437,I438)  )-1),"")        )</f>
        <v/>
      </c>
      <c r="J439" s="66" t="str">
        <f xml:space="preserve">    IF(  AND(  COUNTIF(勤務分配!$E$3:$E$44,"喪假")&gt;=1,  IFERROR(  LEFT(  CONCATENATE(J403,J404,J405,J406,J407,J408,J409,J410,J411,J412,J413,J414,J415,J416,J417,J418,J419,J420,J421,J422,J423,J424,J425,J426,J427,J428,J429,J430,J431,J432,J433,J434,J435,J436,J437,J438),LEN(  CONCATENATE(J403,J404,J405,J406,J407,J408,J409,J410,J411,J412,J413,J414,J415,J416,J417,J418,J419,J420,J421,J422,J423,J424,J425,J426,J427,J428,J429,J430,J431,J432,J433,J434,J435,J436,J437,J438)  )-1),"")&lt;&gt;""   ),"." &amp; IFERROR(  LEFT(  CONCATENATE(J403,J404,J405,J406,J407,J408,J409,J410,J411,J412,J413,J414,J415,J416,J417,J418,J419,J420,J421,J422,J423,J424,J425,J426,J427,J428,J429,J430,J431,J432,J433,J434,J435,J436,J437,J438),LEN(  CONCATENATE(J403,J404,J405,J406,J407,J408,J409,J410,J411,J412,J413,J414,J415,J416,J417,J418,J419,J420,J421,J422,J423,J424,J425,J426,J427,J428,J429,J430,J431,J432,J433,J434,J435,J436,J437,J438)  )-1),""),                             IFERROR(  LEFT(  CONCATENATE(J403,J404,J405,J406,J407,J408,J409,J410,J411,J412,J413,J414,J415,J416,J417,J418,J419,J420,J421,J422,J423,J424,J425,J426,J427,J428,J429,J430,J431,J432,J433,J434,J435,J436,J437,J438),LEN(  CONCATENATE(J403,J404,J405,J406,J407,J408,J409,J410,J411,J412,J413,J414,J415,J416,J417,J418,J419,J420,J421,J422,J423,J424,J425,J426,J427,J428,J429,J430,J431,J432,J433,J434,J435,J436,J437,J438)  )-1),"")        )</f>
        <v/>
      </c>
      <c r="K439" s="66" t="str">
        <f xml:space="preserve">    IF(  AND(  COUNTIF(勤務分配!$E$3:$E$44,"喪假")&gt;=1,  IFERROR(  LEFT(  CONCATENATE(K403,K404,K405,K406,K407,K408,K409,K410,K411,K412,K413,K414,K415,K416,K417,K418,K419,K420,K421,K422,K423,K424,K425,K426,K427,K428,K429,K430,K431,K432,K433,K434,K435,K436,K437,K438),LEN(  CONCATENATE(K403,K404,K405,K406,K407,K408,K409,K410,K411,K412,K413,K414,K415,K416,K417,K418,K419,K420,K421,K422,K423,K424,K425,K426,K427,K428,K429,K430,K431,K432,K433,K434,K435,K436,K437,K438)  )-1),"")&lt;&gt;""   ),"." &amp; IFERROR(  LEFT(  CONCATENATE(K403,K404,K405,K406,K407,K408,K409,K410,K411,K412,K413,K414,K415,K416,K417,K418,K419,K420,K421,K422,K423,K424,K425,K426,K427,K428,K429,K430,K431,K432,K433,K434,K435,K436,K437,K438),LEN(  CONCATENATE(K403,K404,K405,K406,K407,K408,K409,K410,K411,K412,K413,K414,K415,K416,K417,K418,K419,K420,K421,K422,K423,K424,K425,K426,K427,K428,K429,K430,K431,K432,K433,K434,K435,K436,K437,K438)  )-1),""),                             IFERROR(  LEFT(  CONCATENATE(K403,K404,K405,K406,K407,K408,K409,K410,K411,K412,K413,K414,K415,K416,K417,K418,K419,K420,K421,K422,K423,K424,K425,K426,K427,K428,K429,K430,K431,K432,K433,K434,K435,K436,K437,K438),LEN(  CONCATENATE(K403,K404,K405,K406,K407,K408,K409,K410,K411,K412,K413,K414,K415,K416,K417,K418,K419,K420,K421,K422,K423,K424,K425,K426,K427,K428,K429,K430,K431,K432,K433,K434,K435,K436,K437,K438)  )-1),"")        )</f>
        <v/>
      </c>
      <c r="L439" s="66" t="str">
        <f xml:space="preserve">    IF(  AND(  COUNTIF(勤務分配!$E$3:$E$44,"喪假")&gt;=1,  IFERROR(  LEFT(  CONCATENATE(L403,L404,L405,L406,L407,L408,L409,L410,L411,L412,L413,L414,L415,L416,L417,L418,L419,L420,L421,L422,L423,L424,L425,L426,L427,L428,L429,L430,L431,L432,L433,L434,L435,L436,L437,L438),LEN(  CONCATENATE(L403,L404,L405,L406,L407,L408,L409,L410,L411,L412,L413,L414,L415,L416,L417,L418,L419,L420,L421,L422,L423,L424,L425,L426,L427,L428,L429,L430,L431,L432,L433,L434,L435,L436,L437,L438)  )-1),"")&lt;&gt;""   ),"." &amp; IFERROR(  LEFT(  CONCATENATE(L403,L404,L405,L406,L407,L408,L409,L410,L411,L412,L413,L414,L415,L416,L417,L418,L419,L420,L421,L422,L423,L424,L425,L426,L427,L428,L429,L430,L431,L432,L433,L434,L435,L436,L437,L438),LEN(  CONCATENATE(L403,L404,L405,L406,L407,L408,L409,L410,L411,L412,L413,L414,L415,L416,L417,L418,L419,L420,L421,L422,L423,L424,L425,L426,L427,L428,L429,L430,L431,L432,L433,L434,L435,L436,L437,L438)  )-1),""),                             IFERROR(  LEFT(  CONCATENATE(L403,L404,L405,L406,L407,L408,L409,L410,L411,L412,L413,L414,L415,L416,L417,L418,L419,L420,L421,L422,L423,L424,L425,L426,L427,L428,L429,L430,L431,L432,L433,L434,L435,L436,L437,L438),LEN(  CONCATENATE(L403,L404,L405,L406,L407,L408,L409,L410,L411,L412,L413,L414,L415,L416,L417,L418,L419,L420,L421,L422,L423,L424,L425,L426,L427,L428,L429,L430,L431,L432,L433,L434,L435,L436,L437,L438)  )-1),"")        )</f>
        <v/>
      </c>
      <c r="M439" s="66" t="str">
        <f xml:space="preserve">    IF(  AND(  COUNTIF(勤務分配!$E$3:$E$44,"喪假")&gt;=1,  IFERROR(  LEFT(  CONCATENATE(M403,M404,M405,M406,M407,M408,M409,M410,M411,M412,M413,M414,M415,M416,M417,M418,M419,M420,M421,M422,M423,M424,M425,M426,M427,M428,M429,M430,M431,M432,M433,M434,M435,M436,M437,M438),LEN(  CONCATENATE(M403,M404,M405,M406,M407,M408,M409,M410,M411,M412,M413,M414,M415,M416,M417,M418,M419,M420,M421,M422,M423,M424,M425,M426,M427,M428,M429,M430,M431,M432,M433,M434,M435,M436,M437,M438)  )-1),"")&lt;&gt;""   ),"." &amp; IFERROR(  LEFT(  CONCATENATE(M403,M404,M405,M406,M407,M408,M409,M410,M411,M412,M413,M414,M415,M416,M417,M418,M419,M420,M421,M422,M423,M424,M425,M426,M427,M428,M429,M430,M431,M432,M433,M434,M435,M436,M437,M438),LEN(  CONCATENATE(M403,M404,M405,M406,M407,M408,M409,M410,M411,M412,M413,M414,M415,M416,M417,M418,M419,M420,M421,M422,M423,M424,M425,M426,M427,M428,M429,M430,M431,M432,M433,M434,M435,M436,M437,M438)  )-1),""),                             IFERROR(  LEFT(  CONCATENATE(M403,M404,M405,M406,M407,M408,M409,M410,M411,M412,M413,M414,M415,M416,M417,M418,M419,M420,M421,M422,M423,M424,M425,M426,M427,M428,M429,M430,M431,M432,M433,M434,M435,M436,M437,M438),LEN(  CONCATENATE(M403,M404,M405,M406,M407,M408,M409,M410,M411,M412,M413,M414,M415,M416,M417,M418,M419,M420,M421,M422,M423,M424,M425,M426,M427,M428,M429,M430,M431,M432,M433,M434,M435,M436,M437,M438)  )-1),"")        )</f>
        <v/>
      </c>
      <c r="N439" s="66" t="str">
        <f xml:space="preserve">    IF(  AND(  COUNTIF(勤務分配!$E$3:$E$44,"喪假")&gt;=1,  IFERROR(  LEFT(  CONCATENATE(N403,N404,N405,N406,N407,N408,N409,N410,N411,N412,N413,N414,N415,N416,N417,N418,N419,N420,N421,N422,N423,N424,N425,N426,N427,N428,N429,N430,N431,N432,N433,N434,N435,N436,N437,N438),LEN(  CONCATENATE(N403,N404,N405,N406,N407,N408,N409,N410,N411,N412,N413,N414,N415,N416,N417,N418,N419,N420,N421,N422,N423,N424,N425,N426,N427,N428,N429,N430,N431,N432,N433,N434,N435,N436,N437,N438)  )-1),"")&lt;&gt;""   ),"." &amp; IFERROR(  LEFT(  CONCATENATE(N403,N404,N405,N406,N407,N408,N409,N410,N411,N412,N413,N414,N415,N416,N417,N418,N419,N420,N421,N422,N423,N424,N425,N426,N427,N428,N429,N430,N431,N432,N433,N434,N435,N436,N437,N438),LEN(  CONCATENATE(N403,N404,N405,N406,N407,N408,N409,N410,N411,N412,N413,N414,N415,N416,N417,N418,N419,N420,N421,N422,N423,N424,N425,N426,N427,N428,N429,N430,N431,N432,N433,N434,N435,N436,N437,N438)  )-1),""),                             IFERROR(  LEFT(  CONCATENATE(N403,N404,N405,N406,N407,N408,N409,N410,N411,N412,N413,N414,N415,N416,N417,N418,N419,N420,N421,N422,N423,N424,N425,N426,N427,N428,N429,N430,N431,N432,N433,N434,N435,N436,N437,N438),LEN(  CONCATENATE(N403,N404,N405,N406,N407,N408,N409,N410,N411,N412,N413,N414,N415,N416,N417,N418,N419,N420,N421,N422,N423,N424,N425,N426,N427,N428,N429,N430,N431,N432,N433,N434,N435,N436,N437,N438)  )-1),"")        )</f>
        <v/>
      </c>
      <c r="O439" s="66" t="str">
        <f xml:space="preserve">    IF(  AND(  COUNTIF(勤務分配!$E$3:$E$44,"喪假")&gt;=1,  IFERROR(  LEFT(  CONCATENATE(O403,O404,O405,O406,O407,O408,O409,O410,O411,O412,O413,O414,O415,O416,O417,O418,O419,O420,O421,O422,O423,O424,O425,O426,O427,O428,O429,O430,O431,O432,O433,O434,O435,O436,O437,O438),LEN(  CONCATENATE(O403,O404,O405,O406,O407,O408,O409,O410,O411,O412,O413,O414,O415,O416,O417,O418,O419,O420,O421,O422,O423,O424,O425,O426,O427,O428,O429,O430,O431,O432,O433,O434,O435,O436,O437,O438)  )-1),"")&lt;&gt;""   ),"." &amp; IFERROR(  LEFT(  CONCATENATE(O403,O404,O405,O406,O407,O408,O409,O410,O411,O412,O413,O414,O415,O416,O417,O418,O419,O420,O421,O422,O423,O424,O425,O426,O427,O428,O429,O430,O431,O432,O433,O434,O435,O436,O437,O438),LEN(  CONCATENATE(O403,O404,O405,O406,O407,O408,O409,O410,O411,O412,O413,O414,O415,O416,O417,O418,O419,O420,O421,O422,O423,O424,O425,O426,O427,O428,O429,O430,O431,O432,O433,O434,O435,O436,O437,O438)  )-1),""),                             IFERROR(  LEFT(  CONCATENATE(O403,O404,O405,O406,O407,O408,O409,O410,O411,O412,O413,O414,O415,O416,O417,O418,O419,O420,O421,O422,O423,O424,O425,O426,O427,O428,O429,O430,O431,O432,O433,O434,O435,O436,O437,O438),LEN(  CONCATENATE(O403,O404,O405,O406,O407,O408,O409,O410,O411,O412,O413,O414,O415,O416,O417,O418,O419,O420,O421,O422,O423,O424,O425,O426,O427,O428,O429,O430,O431,O432,O433,O434,O435,O436,O437,O438)  )-1),"")        )</f>
        <v/>
      </c>
      <c r="P439" s="66" t="str">
        <f xml:space="preserve">    IF(  AND(  COUNTIF(勤務分配!$E$3:$E$44,"喪假")&gt;=1,  IFERROR(  LEFT(  CONCATENATE(P403,P404,P405,P406,P407,P408,P409,P410,P411,P412,P413,P414,P415,P416,P417,P418,P419,P420,P421,P422,P423,P424,P425,P426,P427,P428,P429,P430,P431,P432,P433,P434,P435,P436,P437,P438),LEN(  CONCATENATE(P403,P404,P405,P406,P407,P408,P409,P410,P411,P412,P413,P414,P415,P416,P417,P418,P419,P420,P421,P422,P423,P424,P425,P426,P427,P428,P429,P430,P431,P432,P433,P434,P435,P436,P437,P438)  )-1),"")&lt;&gt;""   ),"." &amp; IFERROR(  LEFT(  CONCATENATE(P403,P404,P405,P406,P407,P408,P409,P410,P411,P412,P413,P414,P415,P416,P417,P418,P419,P420,P421,P422,P423,P424,P425,P426,P427,P428,P429,P430,P431,P432,P433,P434,P435,P436,P437,P438),LEN(  CONCATENATE(P403,P404,P405,P406,P407,P408,P409,P410,P411,P412,P413,P414,P415,P416,P417,P418,P419,P420,P421,P422,P423,P424,P425,P426,P427,P428,P429,P430,P431,P432,P433,P434,P435,P436,P437,P438)  )-1),""),                             IFERROR(  LEFT(  CONCATENATE(P403,P404,P405,P406,P407,P408,P409,P410,P411,P412,P413,P414,P415,P416,P417,P418,P419,P420,P421,P422,P423,P424,P425,P426,P427,P428,P429,P430,P431,P432,P433,P434,P435,P436,P437,P438),LEN(  CONCATENATE(P403,P404,P405,P406,P407,P408,P409,P410,P411,P412,P413,P414,P415,P416,P417,P418,P419,P420,P421,P422,P423,P424,P425,P426,P427,P428,P429,P430,P431,P432,P433,P434,P435,P436,P437,P438)  )-1),"")        )</f>
        <v/>
      </c>
      <c r="Q439" s="66" t="str">
        <f xml:space="preserve">    IF(  AND(  COUNTIF(勤務分配!$E$3:$E$44,"喪假")&gt;=1,  IFERROR(  LEFT(  CONCATENATE(Q403,Q404,Q405,Q406,Q407,Q408,Q409,Q410,Q411,Q412,Q413,Q414,Q415,Q416,Q417,Q418,Q419,Q420,Q421,Q422,Q423,Q424,Q425,Q426,Q427,Q428,Q429,Q430,Q431,Q432,Q433,Q434,Q435,Q436,Q437,Q438),LEN(  CONCATENATE(Q403,Q404,Q405,Q406,Q407,Q408,Q409,Q410,Q411,Q412,Q413,Q414,Q415,Q416,Q417,Q418,Q419,Q420,Q421,Q422,Q423,Q424,Q425,Q426,Q427,Q428,Q429,Q430,Q431,Q432,Q433,Q434,Q435,Q436,Q437,Q438)  )-1),"")&lt;&gt;""   ),"." &amp; IFERROR(  LEFT(  CONCATENATE(Q403,Q404,Q405,Q406,Q407,Q408,Q409,Q410,Q411,Q412,Q413,Q414,Q415,Q416,Q417,Q418,Q419,Q420,Q421,Q422,Q423,Q424,Q425,Q426,Q427,Q428,Q429,Q430,Q431,Q432,Q433,Q434,Q435,Q436,Q437,Q438),LEN(  CONCATENATE(Q403,Q404,Q405,Q406,Q407,Q408,Q409,Q410,Q411,Q412,Q413,Q414,Q415,Q416,Q417,Q418,Q419,Q420,Q421,Q422,Q423,Q424,Q425,Q426,Q427,Q428,Q429,Q430,Q431,Q432,Q433,Q434,Q435,Q436,Q437,Q438)  )-1),""),                             IFERROR(  LEFT(  CONCATENATE(Q403,Q404,Q405,Q406,Q407,Q408,Q409,Q410,Q411,Q412,Q413,Q414,Q415,Q416,Q417,Q418,Q419,Q420,Q421,Q422,Q423,Q424,Q425,Q426,Q427,Q428,Q429,Q430,Q431,Q432,Q433,Q434,Q435,Q436,Q437,Q438),LEN(  CONCATENATE(Q403,Q404,Q405,Q406,Q407,Q408,Q409,Q410,Q411,Q412,Q413,Q414,Q415,Q416,Q417,Q418,Q419,Q420,Q421,Q422,Q423,Q424,Q425,Q426,Q427,Q428,Q429,Q430,Q431,Q432,Q433,Q434,Q435,Q436,Q437,Q438)  )-1),"")        )</f>
        <v/>
      </c>
      <c r="R439" s="66" t="str">
        <f xml:space="preserve">    IF(  AND(  COUNTIF(勤務分配!$E$3:$E$44,"喪假")&gt;=1,  IFERROR(  LEFT(  CONCATENATE(R403,R404,R405,R406,R407,R408,R409,R410,R411,R412,R413,R414,R415,R416,R417,R418,R419,R420,R421,R422,R423,R424,R425,R426,R427,R428,R429,R430,R431,R432,R433,R434,R435,R436,R437,R438),LEN(  CONCATENATE(R403,R404,R405,R406,R407,R408,R409,R410,R411,R412,R413,R414,R415,R416,R417,R418,R419,R420,R421,R422,R423,R424,R425,R426,R427,R428,R429,R430,R431,R432,R433,R434,R435,R436,R437,R438)  )-1),"")&lt;&gt;""   ),"." &amp; IFERROR(  LEFT(  CONCATENATE(R403,R404,R405,R406,R407,R408,R409,R410,R411,R412,R413,R414,R415,R416,R417,R418,R419,R420,R421,R422,R423,R424,R425,R426,R427,R428,R429,R430,R431,R432,R433,R434,R435,R436,R437,R438),LEN(  CONCATENATE(R403,R404,R405,R406,R407,R408,R409,R410,R411,R412,R413,R414,R415,R416,R417,R418,R419,R420,R421,R422,R423,R424,R425,R426,R427,R428,R429,R430,R431,R432,R433,R434,R435,R436,R437,R438)  )-1),""),                             IFERROR(  LEFT(  CONCATENATE(R403,R404,R405,R406,R407,R408,R409,R410,R411,R412,R413,R414,R415,R416,R417,R418,R419,R420,R421,R422,R423,R424,R425,R426,R427,R428,R429,R430,R431,R432,R433,R434,R435,R436,R437,R438),LEN(  CONCATENATE(R403,R404,R405,R406,R407,R408,R409,R410,R411,R412,R413,R414,R415,R416,R417,R418,R419,R420,R421,R422,R423,R424,R425,R426,R427,R428,R429,R430,R431,R432,R433,R434,R435,R436,R437,R438)  )-1),"")        )</f>
        <v/>
      </c>
      <c r="S439" s="66" t="str">
        <f xml:space="preserve">    IF(  AND(  COUNTIF(勤務分配!$E$3:$E$44,"喪假")&gt;=1,  IFERROR(  LEFT(  CONCATENATE(S403,S404,S405,S406,S407,S408,S409,S410,S411,S412,S413,S414,S415,S416,S417,S418,S419,S420,S421,S422,S423,S424,S425,S426,S427,S428,S429,S430,S431,S432,S433,S434,S435,S436,S437,S438),LEN(  CONCATENATE(S403,S404,S405,S406,S407,S408,S409,S410,S411,S412,S413,S414,S415,S416,S417,S418,S419,S420,S421,S422,S423,S424,S425,S426,S427,S428,S429,S430,S431,S432,S433,S434,S435,S436,S437,S438)  )-1),"")&lt;&gt;""   ),"." &amp; IFERROR(  LEFT(  CONCATENATE(S403,S404,S405,S406,S407,S408,S409,S410,S411,S412,S413,S414,S415,S416,S417,S418,S419,S420,S421,S422,S423,S424,S425,S426,S427,S428,S429,S430,S431,S432,S433,S434,S435,S436,S437,S438),LEN(  CONCATENATE(S403,S404,S405,S406,S407,S408,S409,S410,S411,S412,S413,S414,S415,S416,S417,S418,S419,S420,S421,S422,S423,S424,S425,S426,S427,S428,S429,S430,S431,S432,S433,S434,S435,S436,S437,S438)  )-1),""),                             IFERROR(  LEFT(  CONCATENATE(S403,S404,S405,S406,S407,S408,S409,S410,S411,S412,S413,S414,S415,S416,S417,S418,S419,S420,S421,S422,S423,S424,S425,S426,S427,S428,S429,S430,S431,S432,S433,S434,S435,S436,S437,S438),LEN(  CONCATENATE(S403,S404,S405,S406,S407,S408,S409,S410,S411,S412,S413,S414,S415,S416,S417,S418,S419,S420,S421,S422,S423,S424,S425,S426,S427,S428,S429,S430,S431,S432,S433,S434,S435,S436,S437,S438)  )-1),"")        )</f>
        <v/>
      </c>
      <c r="T439" s="66" t="str">
        <f xml:space="preserve">    IF(  AND(  COUNTIF(勤務分配!$E$3:$E$44,"喪假")&gt;=1,  IFERROR(  LEFT(  CONCATENATE(T403,T404,T405,T406,T407,T408,T409,T410,T411,T412,T413,T414,T415,T416,T417,T418,T419,T420,T421,T422,T423,T424,T425,T426,T427,T428,T429,T430,T431,T432,T433,T434,T435,T436,T437,T438),LEN(  CONCATENATE(T403,T404,T405,T406,T407,T408,T409,T410,T411,T412,T413,T414,T415,T416,T417,T418,T419,T420,T421,T422,T423,T424,T425,T426,T427,T428,T429,T430,T431,T432,T433,T434,T435,T436,T437,T438)  )-1),"")&lt;&gt;""   ),"." &amp; IFERROR(  LEFT(  CONCATENATE(T403,T404,T405,T406,T407,T408,T409,T410,T411,T412,T413,T414,T415,T416,T417,T418,T419,T420,T421,T422,T423,T424,T425,T426,T427,T428,T429,T430,T431,T432,T433,T434,T435,T436,T437,T438),LEN(  CONCATENATE(T403,T404,T405,T406,T407,T408,T409,T410,T411,T412,T413,T414,T415,T416,T417,T418,T419,T420,T421,T422,T423,T424,T425,T426,T427,T428,T429,T430,T431,T432,T433,T434,T435,T436,T437,T438)  )-1),""),                             IFERROR(  LEFT(  CONCATENATE(T403,T404,T405,T406,T407,T408,T409,T410,T411,T412,T413,T414,T415,T416,T417,T418,T419,T420,T421,T422,T423,T424,T425,T426,T427,T428,T429,T430,T431,T432,T433,T434,T435,T436,T437,T438),LEN(  CONCATENATE(T403,T404,T405,T406,T407,T408,T409,T410,T411,T412,T413,T414,T415,T416,T417,T418,T419,T420,T421,T422,T423,T424,T425,T426,T427,T428,T429,T430,T431,T432,T433,T434,T435,T436,T437,T438)  )-1),"")        )</f>
        <v/>
      </c>
      <c r="U439" s="66" t="str">
        <f xml:space="preserve">    IF(  AND(  COUNTIF(勤務分配!$E$3:$E$44,"喪假")&gt;=1,  IFERROR(  LEFT(  CONCATENATE(U403,U404,U405,U406,U407,U408,U409,U410,U411,U412,U413,U414,U415,U416,U417,U418,U419,U420,U421,U422,U423,U424,U425,U426,U427,U428,U429,U430,U431,U432,U433,U434,U435,U436,U437,U438),LEN(  CONCATENATE(U403,U404,U405,U406,U407,U408,U409,U410,U411,U412,U413,U414,U415,U416,U417,U418,U419,U420,U421,U422,U423,U424,U425,U426,U427,U428,U429,U430,U431,U432,U433,U434,U435,U436,U437,U438)  )-1),"")&lt;&gt;""   ),"." &amp; IFERROR(  LEFT(  CONCATENATE(U403,U404,U405,U406,U407,U408,U409,U410,U411,U412,U413,U414,U415,U416,U417,U418,U419,U420,U421,U422,U423,U424,U425,U426,U427,U428,U429,U430,U431,U432,U433,U434,U435,U436,U437,U438),LEN(  CONCATENATE(U403,U404,U405,U406,U407,U408,U409,U410,U411,U412,U413,U414,U415,U416,U417,U418,U419,U420,U421,U422,U423,U424,U425,U426,U427,U428,U429,U430,U431,U432,U433,U434,U435,U436,U437,U438)  )-1),""),                             IFERROR(  LEFT(  CONCATENATE(U403,U404,U405,U406,U407,U408,U409,U410,U411,U412,U413,U414,U415,U416,U417,U418,U419,U420,U421,U422,U423,U424,U425,U426,U427,U428,U429,U430,U431,U432,U433,U434,U435,U436,U437,U438),LEN(  CONCATENATE(U403,U404,U405,U406,U407,U408,U409,U410,U411,U412,U413,U414,U415,U416,U417,U418,U419,U420,U421,U422,U423,U424,U425,U426,U427,U428,U429,U430,U431,U432,U433,U434,U435,U436,U437,U438)  )-1),"")        )</f>
        <v/>
      </c>
      <c r="V439" s="66" t="str">
        <f xml:space="preserve">    IF(  AND(  COUNTIF(勤務分配!$E$3:$E$44,"喪假")&gt;=1,  IFERROR(  LEFT(  CONCATENATE(V403,V404,V405,V406,V407,V408,V409,V410,V411,V412,V413,V414,V415,V416,V417,V418,V419,V420,V421,V422,V423,V424,V425,V426,V427,V428,V429,V430,V431,V432,V433,V434,V435,V436,V437,V438),LEN(  CONCATENATE(V403,V404,V405,V406,V407,V408,V409,V410,V411,V412,V413,V414,V415,V416,V417,V418,V419,V420,V421,V422,V423,V424,V425,V426,V427,V428,V429,V430,V431,V432,V433,V434,V435,V436,V437,V438)  )-1),"")&lt;&gt;""   ),"." &amp; IFERROR(  LEFT(  CONCATENATE(V403,V404,V405,V406,V407,V408,V409,V410,V411,V412,V413,V414,V415,V416,V417,V418,V419,V420,V421,V422,V423,V424,V425,V426,V427,V428,V429,V430,V431,V432,V433,V434,V435,V436,V437,V438),LEN(  CONCATENATE(V403,V404,V405,V406,V407,V408,V409,V410,V411,V412,V413,V414,V415,V416,V417,V418,V419,V420,V421,V422,V423,V424,V425,V426,V427,V428,V429,V430,V431,V432,V433,V434,V435,V436,V437,V438)  )-1),""),                             IFERROR(  LEFT(  CONCATENATE(V403,V404,V405,V406,V407,V408,V409,V410,V411,V412,V413,V414,V415,V416,V417,V418,V419,V420,V421,V422,V423,V424,V425,V426,V427,V428,V429,V430,V431,V432,V433,V434,V435,V436,V437,V438),LEN(  CONCATENATE(V403,V404,V405,V406,V407,V408,V409,V410,V411,V412,V413,V414,V415,V416,V417,V418,V419,V420,V421,V422,V423,V424,V425,V426,V427,V428,V429,V430,V431,V432,V433,V434,V435,V436,V437,V438)  )-1),"")        )</f>
        <v/>
      </c>
      <c r="W439" s="66" t="str">
        <f xml:space="preserve">    IF(  AND(  COUNTIF(勤務分配!$E$3:$E$44,"喪假")&gt;=1,  IFERROR(  LEFT(  CONCATENATE(W403,W404,W405,W406,W407,W408,W409,W410,W411,W412,W413,W414,W415,W416,W417,W418,W419,W420,W421,W422,W423,W424,W425,W426,W427,W428,W429,W430,W431,W432,W433,W434,W435,W436,W437,W438),LEN(  CONCATENATE(W403,W404,W405,W406,W407,W408,W409,W410,W411,W412,W413,W414,W415,W416,W417,W418,W419,W420,W421,W422,W423,W424,W425,W426,W427,W428,W429,W430,W431,W432,W433,W434,W435,W436,W437,W438)  )-1),"")&lt;&gt;""   ),"." &amp; IFERROR(  LEFT(  CONCATENATE(W403,W404,W405,W406,W407,W408,W409,W410,W411,W412,W413,W414,W415,W416,W417,W418,W419,W420,W421,W422,W423,W424,W425,W426,W427,W428,W429,W430,W431,W432,W433,W434,W435,W436,W437,W438),LEN(  CONCATENATE(W403,W404,W405,W406,W407,W408,W409,W410,W411,W412,W413,W414,W415,W416,W417,W418,W419,W420,W421,W422,W423,W424,W425,W426,W427,W428,W429,W430,W431,W432,W433,W434,W435,W436,W437,W438)  )-1),""),                             IFERROR(  LEFT(  CONCATENATE(W403,W404,W405,W406,W407,W408,W409,W410,W411,W412,W413,W414,W415,W416,W417,W418,W419,W420,W421,W422,W423,W424,W425,W426,W427,W428,W429,W430,W431,W432,W433,W434,W435,W436,W437,W438),LEN(  CONCATENATE(W403,W404,W405,W406,W407,W408,W409,W410,W411,W412,W413,W414,W415,W416,W417,W418,W419,W420,W421,W422,W423,W424,W425,W426,W427,W428,W429,W430,W431,W432,W433,W434,W435,W436,W437,W438)  )-1),"")        )</f>
        <v/>
      </c>
      <c r="X439" s="66" t="str">
        <f xml:space="preserve">    IF(  AND(  COUNTIF(勤務分配!$E$3:$E$44,"喪假")&gt;=1,  IFERROR(  LEFT(  CONCATENATE(X403,X404,X405,X406,X407,X408,X409,X410,X411,X412,X413,X414,X415,X416,X417,X418,X419,X420,X421,X422,X423,X424,X425,X426,X427,X428,X429,X430,X431,X432,X433,X434,X435,X436,X437,X438),LEN(  CONCATENATE(X403,X404,X405,X406,X407,X408,X409,X410,X411,X412,X413,X414,X415,X416,X417,X418,X419,X420,X421,X422,X423,X424,X425,X426,X427,X428,X429,X430,X431,X432,X433,X434,X435,X436,X437,X438)  )-1),"")&lt;&gt;""   ),"." &amp; IFERROR(  LEFT(  CONCATENATE(X403,X404,X405,X406,X407,X408,X409,X410,X411,X412,X413,X414,X415,X416,X417,X418,X419,X420,X421,X422,X423,X424,X425,X426,X427,X428,X429,X430,X431,X432,X433,X434,X435,X436,X437,X438),LEN(  CONCATENATE(X403,X404,X405,X406,X407,X408,X409,X410,X411,X412,X413,X414,X415,X416,X417,X418,X419,X420,X421,X422,X423,X424,X425,X426,X427,X428,X429,X430,X431,X432,X433,X434,X435,X436,X437,X438)  )-1),""),                             IFERROR(  LEFT(  CONCATENATE(X403,X404,X405,X406,X407,X408,X409,X410,X411,X412,X413,X414,X415,X416,X417,X418,X419,X420,X421,X422,X423,X424,X425,X426,X427,X428,X429,X430,X431,X432,X433,X434,X435,X436,X437,X438),LEN(  CONCATENATE(X403,X404,X405,X406,X407,X408,X409,X410,X411,X412,X413,X414,X415,X416,X417,X418,X419,X420,X421,X422,X423,X424,X425,X426,X427,X428,X429,X430,X431,X432,X433,X434,X435,X436,X437,X438)  )-1),"")        )</f>
        <v/>
      </c>
      <c r="Y439" s="66" t="str">
        <f xml:space="preserve">    IF(  AND(  COUNTIF(勤務分配!$E$3:$E$44,"喪假")&gt;=1,  IFERROR(  LEFT(  CONCATENATE(Y403,Y404,Y405,Y406,Y407,Y408,Y409,Y410,Y411,Y412,Y413,Y414,Y415,Y416,Y417,Y418,Y419,Y420,Y421,Y422,Y423,Y424,Y425,Y426,Y427,Y428,Y429,Y430,Y431,Y432,Y433,Y434,Y435,Y436,Y437,Y438),LEN(  CONCATENATE(Y403,Y404,Y405,Y406,Y407,Y408,Y409,Y410,Y411,Y412,Y413,Y414,Y415,Y416,Y417,Y418,Y419,Y420,Y421,Y422,Y423,Y424,Y425,Y426,Y427,Y428,Y429,Y430,Y431,Y432,Y433,Y434,Y435,Y436,Y437,Y438)  )-1),"")&lt;&gt;""   ),"." &amp; IFERROR(  LEFT(  CONCATENATE(Y403,Y404,Y405,Y406,Y407,Y408,Y409,Y410,Y411,Y412,Y413,Y414,Y415,Y416,Y417,Y418,Y419,Y420,Y421,Y422,Y423,Y424,Y425,Y426,Y427,Y428,Y429,Y430,Y431,Y432,Y433,Y434,Y435,Y436,Y437,Y438),LEN(  CONCATENATE(Y403,Y404,Y405,Y406,Y407,Y408,Y409,Y410,Y411,Y412,Y413,Y414,Y415,Y416,Y417,Y418,Y419,Y420,Y421,Y422,Y423,Y424,Y425,Y426,Y427,Y428,Y429,Y430,Y431,Y432,Y433,Y434,Y435,Y436,Y437,Y438)  )-1),""),                             IFERROR(  LEFT(  CONCATENATE(Y403,Y404,Y405,Y406,Y407,Y408,Y409,Y410,Y411,Y412,Y413,Y414,Y415,Y416,Y417,Y418,Y419,Y420,Y421,Y422,Y423,Y424,Y425,Y426,Y427,Y428,Y429,Y430,Y431,Y432,Y433,Y434,Y435,Y436,Y437,Y438),LEN(  CONCATENATE(Y403,Y404,Y405,Y406,Y407,Y408,Y409,Y410,Y411,Y412,Y413,Y414,Y415,Y416,Y417,Y418,Y419,Y420,Y421,Y422,Y423,Y424,Y425,Y426,Y427,Y428,Y429,Y430,Y431,Y432,Y433,Y434,Y435,Y436,Y437,Y438)  )-1),"")        )</f>
        <v/>
      </c>
      <c r="Z439" s="66" t="str">
        <f xml:space="preserve">    IF(  AND(  COUNTIF(勤務分配!$E$3:$E$44,"喪假")&gt;=1,  IFERROR(  LEFT(  CONCATENATE(Z403,Z404,Z405,Z406,Z407,Z408,Z409,Z410,Z411,Z412,Z413,Z414,Z415,Z416,Z417,Z418,Z419,Z420,Z421,Z422,Z423,Z424,Z425,Z426,Z427,Z428,Z429,Z430,Z431,Z432,Z433,Z434,Z435,Z436,Z437,Z438),LEN(  CONCATENATE(Z403,Z404,Z405,Z406,Z407,Z408,Z409,Z410,Z411,Z412,Z413,Z414,Z415,Z416,Z417,Z418,Z419,Z420,Z421,Z422,Z423,Z424,Z425,Z426,Z427,Z428,Z429,Z430,Z431,Z432,Z433,Z434,Z435,Z436,Z437,Z438)  )-1),"")&lt;&gt;""   ),"." &amp; IFERROR(  LEFT(  CONCATENATE(Z403,Z404,Z405,Z406,Z407,Z408,Z409,Z410,Z411,Z412,Z413,Z414,Z415,Z416,Z417,Z418,Z419,Z420,Z421,Z422,Z423,Z424,Z425,Z426,Z427,Z428,Z429,Z430,Z431,Z432,Z433,Z434,Z435,Z436,Z437,Z438),LEN(  CONCATENATE(Z403,Z404,Z405,Z406,Z407,Z408,Z409,Z410,Z411,Z412,Z413,Z414,Z415,Z416,Z417,Z418,Z419,Z420,Z421,Z422,Z423,Z424,Z425,Z426,Z427,Z428,Z429,Z430,Z431,Z432,Z433,Z434,Z435,Z436,Z437,Z438)  )-1),""),                             IFERROR(  LEFT(  CONCATENATE(Z403,Z404,Z405,Z406,Z407,Z408,Z409,Z410,Z411,Z412,Z413,Z414,Z415,Z416,Z417,Z418,Z419,Z420,Z421,Z422,Z423,Z424,Z425,Z426,Z427,Z428,Z429,Z430,Z431,Z432,Z433,Z434,Z435,Z436,Z437,Z438),LEN(  CONCATENATE(Z403,Z404,Z405,Z406,Z407,Z408,Z409,Z410,Z411,Z412,Z413,Z414,Z415,Z416,Z417,Z418,Z419,Z420,Z421,Z422,Z423,Z424,Z425,Z426,Z427,Z428,Z429,Z430,Z431,Z432,Z433,Z434,Z435,Z436,Z437,Z438)  )-1),"")        )</f>
        <v/>
      </c>
      <c r="AA439" s="66" t="str">
        <f xml:space="preserve">    IF(  AND(  COUNTIF(勤務分配!$E$3:$E$44,"喪假")&gt;=1,  IFERROR(  LEFT(  CONCATENATE(AA403,AA404,AA405,AA406,AA407,AA408,AA409,AA410,AA411,AA412,AA413,AA414,AA415,AA416,AA417,AA418,AA419,AA420,AA421,AA422,AA423,AA424,AA425,AA426,AA427,AA428,AA429,AA430,AA431,AA432,AA433,AA434,AA435,AA436,AA437,AA438),LEN(  CONCATENATE(AA403,AA404,AA405,AA406,AA407,AA408,AA409,AA410,AA411,AA412,AA413,AA414,AA415,AA416,AA417,AA418,AA419,AA420,AA421,AA422,AA423,AA424,AA425,AA426,AA427,AA428,AA429,AA430,AA431,AA432,AA433,AA434,AA435,AA436,AA437,AA438)  )-1),"")&lt;&gt;""   ),"." &amp; IFERROR(  LEFT(  CONCATENATE(AA403,AA404,AA405,AA406,AA407,AA408,AA409,AA410,AA411,AA412,AA413,AA414,AA415,AA416,AA417,AA418,AA419,AA420,AA421,AA422,AA423,AA424,AA425,AA426,AA427,AA428,AA429,AA430,AA431,AA432,AA433,AA434,AA435,AA436,AA437,AA438),LEN(  CONCATENATE(AA403,AA404,AA405,AA406,AA407,AA408,AA409,AA410,AA411,AA412,AA413,AA414,AA415,AA416,AA417,AA418,AA419,AA420,AA421,AA422,AA423,AA424,AA425,AA426,AA427,AA428,AA429,AA430,AA431,AA432,AA433,AA434,AA435,AA436,AA437,AA438)  )-1),""),                             IFERROR(  LEFT(  CONCATENATE(AA403,AA404,AA405,AA406,AA407,AA408,AA409,AA410,AA411,AA412,AA413,AA414,AA415,AA416,AA417,AA418,AA419,AA420,AA421,AA422,AA423,AA424,AA425,AA426,AA427,AA428,AA429,AA430,AA431,AA432,AA433,AA434,AA435,AA436,AA437,AA438),LEN(  CONCATENATE(AA403,AA404,AA405,AA406,AA407,AA408,AA409,AA410,AA411,AA412,AA413,AA414,AA415,AA416,AA417,AA418,AA419,AA420,AA421,AA422,AA423,AA424,AA425,AA426,AA427,AA428,AA429,AA430,AA431,AA432,AA433,AA434,AA435,AA436,AA437,AA438)  )-1),"")        )</f>
        <v/>
      </c>
      <c r="AB439" s="66" t="str">
        <f xml:space="preserve">    IF(  AND(  COUNTIF(勤務分配!$E$3:$E$44,"喪假")&gt;=1,  IFERROR(  LEFT(  CONCATENATE(AB403,AB404,AB405,AB406,AB407,AB408,AB409,AB410,AB411,AB412,AB413,AB414,AB415,AB416,AB417,AB418,AB419,AB420,AB421,AB422,AB423,AB424,AB425,AB426,AB427,AB428,AB429,AB430,AB431,AB432,AB433,AB434,AB435,AB436,AB437,AB438),LEN(  CONCATENATE(AB403,AB404,AB405,AB406,AB407,AB408,AB409,AB410,AB411,AB412,AB413,AB414,AB415,AB416,AB417,AB418,AB419,AB420,AB421,AB422,AB423,AB424,AB425,AB426,AB427,AB428,AB429,AB430,AB431,AB432,AB433,AB434,AB435,AB436,AB437,AB438)  )-1),"")&lt;&gt;""   ),"." &amp; IFERROR(  LEFT(  CONCATENATE(AB403,AB404,AB405,AB406,AB407,AB408,AB409,AB410,AB411,AB412,AB413,AB414,AB415,AB416,AB417,AB418,AB419,AB420,AB421,AB422,AB423,AB424,AB425,AB426,AB427,AB428,AB429,AB430,AB431,AB432,AB433,AB434,AB435,AB436,AB437,AB438),LEN(  CONCATENATE(AB403,AB404,AB405,AB406,AB407,AB408,AB409,AB410,AB411,AB412,AB413,AB414,AB415,AB416,AB417,AB418,AB419,AB420,AB421,AB422,AB423,AB424,AB425,AB426,AB427,AB428,AB429,AB430,AB431,AB432,AB433,AB434,AB435,AB436,AB437,AB438)  )-1),""),                             IFERROR(  LEFT(  CONCATENATE(AB403,AB404,AB405,AB406,AB407,AB408,AB409,AB410,AB411,AB412,AB413,AB414,AB415,AB416,AB417,AB418,AB419,AB420,AB421,AB422,AB423,AB424,AB425,AB426,AB427,AB428,AB429,AB430,AB431,AB432,AB433,AB434,AB435,AB436,AB437,AB438),LEN(  CONCATENATE(AB403,AB404,AB405,AB406,AB407,AB408,AB409,AB410,AB411,AB412,AB413,AB414,AB415,AB416,AB417,AB418,AB419,AB420,AB421,AB422,AB423,AB424,AB425,AB426,AB427,AB428,AB429,AB430,AB431,AB432,AB433,AB434,AB435,AB436,AB437,AB438)  )-1),"")        )</f>
        <v/>
      </c>
      <c r="AC439" s="66" t="str">
        <f xml:space="preserve">    IF(  AND(  COUNTIF(勤務分配!$E$3:$E$44,"喪假")&gt;=1,  IFERROR(  LEFT(  CONCATENATE(AC403,AC404,AC405,AC406,AC407,AC408,AC409,AC410,AC411,AC412,AC413,AC414,AC415,AC416,AC417,AC418,AC419,AC420,AC421,AC422,AC423,AC424,AC425,AC426,AC427,AC428,AC429,AC430,AC431,AC432,AC433,AC434,AC435,AC436,AC437,AC438),LEN(  CONCATENATE(AC403,AC404,AC405,AC406,AC407,AC408,AC409,AC410,AC411,AC412,AC413,AC414,AC415,AC416,AC417,AC418,AC419,AC420,AC421,AC422,AC423,AC424,AC425,AC426,AC427,AC428,AC429,AC430,AC431,AC432,AC433,AC434,AC435,AC436,AC437,AC438)  )-1),"")&lt;&gt;""   ),"." &amp; IFERROR(  LEFT(  CONCATENATE(AC403,AC404,AC405,AC406,AC407,AC408,AC409,AC410,AC411,AC412,AC413,AC414,AC415,AC416,AC417,AC418,AC419,AC420,AC421,AC422,AC423,AC424,AC425,AC426,AC427,AC428,AC429,AC430,AC431,AC432,AC433,AC434,AC435,AC436,AC437,AC438),LEN(  CONCATENATE(AC403,AC404,AC405,AC406,AC407,AC408,AC409,AC410,AC411,AC412,AC413,AC414,AC415,AC416,AC417,AC418,AC419,AC420,AC421,AC422,AC423,AC424,AC425,AC426,AC427,AC428,AC429,AC430,AC431,AC432,AC433,AC434,AC435,AC436,AC437,AC438)  )-1),""),                             IFERROR(  LEFT(  CONCATENATE(AC403,AC404,AC405,AC406,AC407,AC408,AC409,AC410,AC411,AC412,AC413,AC414,AC415,AC416,AC417,AC418,AC419,AC420,AC421,AC422,AC423,AC424,AC425,AC426,AC427,AC428,AC429,AC430,AC431,AC432,AC433,AC434,AC435,AC436,AC437,AC438),LEN(  CONCATENATE(AC403,AC404,AC405,AC406,AC407,AC408,AC409,AC410,AC411,AC412,AC413,AC414,AC415,AC416,AC417,AC418,AC419,AC420,AC421,AC422,AC423,AC424,AC425,AC426,AC427,AC428,AC429,AC430,AC431,AC432,AC433,AC434,AC435,AC436,AC437,AC438)  )-1),"")        )</f>
        <v/>
      </c>
      <c r="AD439" s="66" t="str">
        <f xml:space="preserve">    IF(  AND(  COUNTIF(勤務分配!$E$3:$E$44,"喪假")&gt;=1,  IFERROR(  LEFT(  CONCATENATE(AD403,AD404,AD405,AD406,AD407,AD408,AD409,AD410,AD411,AD412,AD413,AD414,AD415,AD416,AD417,AD418,AD419,AD420,AD421,AD422,AD423,AD424,AD425,AD426,AD427,AD428,AD429,AD430,AD431,AD432,AD433,AD434,AD435,AD436,AD437,AD438),LEN(  CONCATENATE(AD403,AD404,AD405,AD406,AD407,AD408,AD409,AD410,AD411,AD412,AD413,AD414,AD415,AD416,AD417,AD418,AD419,AD420,AD421,AD422,AD423,AD424,AD425,AD426,AD427,AD428,AD429,AD430,AD431,AD432,AD433,AD434,AD435,AD436,AD437,AD438)  )-1),"")&lt;&gt;""   ),"." &amp; IFERROR(  LEFT(  CONCATENATE(AD403,AD404,AD405,AD406,AD407,AD408,AD409,AD410,AD411,AD412,AD413,AD414,AD415,AD416,AD417,AD418,AD419,AD420,AD421,AD422,AD423,AD424,AD425,AD426,AD427,AD428,AD429,AD430,AD431,AD432,AD433,AD434,AD435,AD436,AD437,AD438),LEN(  CONCATENATE(AD403,AD404,AD405,AD406,AD407,AD408,AD409,AD410,AD411,AD412,AD413,AD414,AD415,AD416,AD417,AD418,AD419,AD420,AD421,AD422,AD423,AD424,AD425,AD426,AD427,AD428,AD429,AD430,AD431,AD432,AD433,AD434,AD435,AD436,AD437,AD438)  )-1),""),                             IFERROR(  LEFT(  CONCATENATE(AD403,AD404,AD405,AD406,AD407,AD408,AD409,AD410,AD411,AD412,AD413,AD414,AD415,AD416,AD417,AD418,AD419,AD420,AD421,AD422,AD423,AD424,AD425,AD426,AD427,AD428,AD429,AD430,AD431,AD432,AD433,AD434,AD435,AD436,AD437,AD438),LEN(  CONCATENATE(AD403,AD404,AD405,AD406,AD407,AD408,AD409,AD410,AD411,AD412,AD413,AD414,AD415,AD416,AD417,AD418,AD419,AD420,AD421,AD422,AD423,AD424,AD425,AD426,AD427,AD428,AD429,AD430,AD431,AD432,AD433,AD434,AD435,AD436,AD437,AD438)  )-1),"")        )</f>
        <v/>
      </c>
      <c r="AE439" s="66" t="str">
        <f xml:space="preserve">    IF(  AND(  COUNTIF(勤務分配!$E$3:$E$44,"喪假")&gt;=1,  IFERROR(  LEFT(  CONCATENATE(AE403,AE404,AE405,AE406,AE407,AE408,AE409,AE410,AE411,AE412,AE413,AE414,AE415,AE416,AE417,AE418,AE419,AE420,AE421,AE422,AE423,AE424,AE425,AE426,AE427,AE428,AE429,AE430,AE431,AE432,AE433,AE434,AE435,AE436,AE437,AE438),LEN(  CONCATENATE(AE403,AE404,AE405,AE406,AE407,AE408,AE409,AE410,AE411,AE412,AE413,AE414,AE415,AE416,AE417,AE418,AE419,AE420,AE421,AE422,AE423,AE424,AE425,AE426,AE427,AE428,AE429,AE430,AE431,AE432,AE433,AE434,AE435,AE436,AE437,AE438)  )-1),"")&lt;&gt;""   ),"." &amp; IFERROR(  LEFT(  CONCATENATE(AE403,AE404,AE405,AE406,AE407,AE408,AE409,AE410,AE411,AE412,AE413,AE414,AE415,AE416,AE417,AE418,AE419,AE420,AE421,AE422,AE423,AE424,AE425,AE426,AE427,AE428,AE429,AE430,AE431,AE432,AE433,AE434,AE435,AE436,AE437,AE438),LEN(  CONCATENATE(AE403,AE404,AE405,AE406,AE407,AE408,AE409,AE410,AE411,AE412,AE413,AE414,AE415,AE416,AE417,AE418,AE419,AE420,AE421,AE422,AE423,AE424,AE425,AE426,AE427,AE428,AE429,AE430,AE431,AE432,AE433,AE434,AE435,AE436,AE437,AE438)  )-1),""),                             IFERROR(  LEFT(  CONCATENATE(AE403,AE404,AE405,AE406,AE407,AE408,AE409,AE410,AE411,AE412,AE413,AE414,AE415,AE416,AE417,AE418,AE419,AE420,AE421,AE422,AE423,AE424,AE425,AE426,AE427,AE428,AE429,AE430,AE431,AE432,AE433,AE434,AE435,AE436,AE437,AE438),LEN(  CONCATENATE(AE403,AE404,AE405,AE406,AE407,AE408,AE409,AE410,AE411,AE412,AE413,AE414,AE415,AE416,AE417,AE418,AE419,AE420,AE421,AE422,AE423,AE424,AE425,AE426,AE427,AE428,AE429,AE430,AE431,AE432,AE433,AE434,AE435,AE436,AE437,AE438)  )-1),"")        )</f>
        <v/>
      </c>
      <c r="AF439" s="66" t="str">
        <f xml:space="preserve">    IF(  AND(  COUNTIF(勤務分配!$E$3:$E$44,"喪假")&gt;=1,  IFERROR(  LEFT(  CONCATENATE(AF403,AF404,AF405,AF406,AF407,AF408,AF409,AF410,AF411,AF412,AF413,AF414,AF415,AF416,AF417,AF418,AF419,AF420,AF421,AF422,AF423,AF424,AF425,AF426,AF427,AF428,AF429,AF430,AF431,AF432,AF433,AF434,AF435,AF436,AF437,AF438),LEN(  CONCATENATE(AF403,AF404,AF405,AF406,AF407,AF408,AF409,AF410,AF411,AF412,AF413,AF414,AF415,AF416,AF417,AF418,AF419,AF420,AF421,AF422,AF423,AF424,AF425,AF426,AF427,AF428,AF429,AF430,AF431,AF432,AF433,AF434,AF435,AF436,AF437,AF438)  )-1),"")&lt;&gt;""   ),"." &amp; IFERROR(  LEFT(  CONCATENATE(AF403,AF404,AF405,AF406,AF407,AF408,AF409,AF410,AF411,AF412,AF413,AF414,AF415,AF416,AF417,AF418,AF419,AF420,AF421,AF422,AF423,AF424,AF425,AF426,AF427,AF428,AF429,AF430,AF431,AF432,AF433,AF434,AF435,AF436,AF437,AF438),LEN(  CONCATENATE(AF403,AF404,AF405,AF406,AF407,AF408,AF409,AF410,AF411,AF412,AF413,AF414,AF415,AF416,AF417,AF418,AF419,AF420,AF421,AF422,AF423,AF424,AF425,AF426,AF427,AF428,AF429,AF430,AF431,AF432,AF433,AF434,AF435,AF436,AF437,AF438)  )-1),""),                             IFERROR(  LEFT(  CONCATENATE(AF403,AF404,AF405,AF406,AF407,AF408,AF409,AF410,AF411,AF412,AF413,AF414,AF415,AF416,AF417,AF418,AF419,AF420,AF421,AF422,AF423,AF424,AF425,AF426,AF427,AF428,AF429,AF430,AF431,AF432,AF433,AF434,AF435,AF436,AF437,AF438),LEN(  CONCATENATE(AF403,AF404,AF405,AF406,AF407,AF408,AF409,AF410,AF411,AF412,AF413,AF414,AF415,AF416,AF417,AF418,AF419,AF420,AF421,AF422,AF423,AF424,AF425,AF426,AF427,AF428,AF429,AF430,AF431,AF432,AF433,AF434,AF435,AF436,AF437,AF438)  )-1),"")        )</f>
        <v/>
      </c>
      <c r="AG439" s="66" t="str">
        <f xml:space="preserve">    IF(  AND(  COUNTIF(勤務分配!$E$3:$E$44,"喪假")&gt;=1,  IFERROR(  LEFT(  CONCATENATE(AG403,AG404,AG405,AG406,AG407,AG408,AG409,AG410,AG411,AG412,AG413,AG414,AG415,AG416,AG417,AG418,AG419,AG420,AG421,AG422,AG423,AG424,AG425,AG426,AG427,AG428,AG429,AG430,AG431,AG432,AG433,AG434,AG435,AG436,AG437,AG438),LEN(  CONCATENATE(AG403,AG404,AG405,AG406,AG407,AG408,AG409,AG410,AG411,AG412,AG413,AG414,AG415,AG416,AG417,AG418,AG419,AG420,AG421,AG422,AG423,AG424,AG425,AG426,AG427,AG428,AG429,AG430,AG431,AG432,AG433,AG434,AG435,AG436,AG437,AG438)  )-1),"")&lt;&gt;""   ),"." &amp; IFERROR(  LEFT(  CONCATENATE(AG403,AG404,AG405,AG406,AG407,AG408,AG409,AG410,AG411,AG412,AG413,AG414,AG415,AG416,AG417,AG418,AG419,AG420,AG421,AG422,AG423,AG424,AG425,AG426,AG427,AG428,AG429,AG430,AG431,AG432,AG433,AG434,AG435,AG436,AG437,AG438),LEN(  CONCATENATE(AG403,AG404,AG405,AG406,AG407,AG408,AG409,AG410,AG411,AG412,AG413,AG414,AG415,AG416,AG417,AG418,AG419,AG420,AG421,AG422,AG423,AG424,AG425,AG426,AG427,AG428,AG429,AG430,AG431,AG432,AG433,AG434,AG435,AG436,AG437,AG438)  )-1),""),                             IFERROR(  LEFT(  CONCATENATE(AG403,AG404,AG405,AG406,AG407,AG408,AG409,AG410,AG411,AG412,AG413,AG414,AG415,AG416,AG417,AG418,AG419,AG420,AG421,AG422,AG423,AG424,AG425,AG426,AG427,AG428,AG429,AG430,AG431,AG432,AG433,AG434,AG435,AG436,AG437,AG438),LEN(  CONCATENATE(AG403,AG404,AG405,AG406,AG407,AG408,AG409,AG410,AG411,AG412,AG413,AG414,AG415,AG416,AG417,AG418,AG419,AG420,AG421,AG422,AG423,AG424,AG425,AG426,AG427,AG428,AG429,AG430,AG431,AG432,AG433,AG434,AG435,AG436,AG437,AG438)  )-1),"")        )</f>
        <v/>
      </c>
      <c r="AH439" s="66" t="str">
        <f xml:space="preserve">    IF(  AND(  COUNTIF(勤務分配!$E$3:$E$44,"喪假")&gt;=1,  IFERROR(  LEFT(  CONCATENATE(AH403,AH404,AH405,AH406,AH407,AH408,AH409,AH410,AH411,AH412,AH413,AH414,AH415,AH416,AH417,AH418,AH419,AH420,AH421,AH422,AH423,AH424,AH425,AH426,AH427,AH428,AH429,AH430,AH431,AH432,AH433,AH434,AH435,AH436,AH437,AH438),LEN(  CONCATENATE(AH403,AH404,AH405,AH406,AH407,AH408,AH409,AH410,AH411,AH412,AH413,AH414,AH415,AH416,AH417,AH418,AH419,AH420,AH421,AH422,AH423,AH424,AH425,AH426,AH427,AH428,AH429,AH430,AH431,AH432,AH433,AH434,AH435,AH436,AH437,AH438)  )-1),"")&lt;&gt;""   ),"." &amp; IFERROR(  LEFT(  CONCATENATE(AH403,AH404,AH405,AH406,AH407,AH408,AH409,AH410,AH411,AH412,AH413,AH414,AH415,AH416,AH417,AH418,AH419,AH420,AH421,AH422,AH423,AH424,AH425,AH426,AH427,AH428,AH429,AH430,AH431,AH432,AH433,AH434,AH435,AH436,AH437,AH438),LEN(  CONCATENATE(AH403,AH404,AH405,AH406,AH407,AH408,AH409,AH410,AH411,AH412,AH413,AH414,AH415,AH416,AH417,AH418,AH419,AH420,AH421,AH422,AH423,AH424,AH425,AH426,AH427,AH428,AH429,AH430,AH431,AH432,AH433,AH434,AH435,AH436,AH437,AH438)  )-1),""),                             IFERROR(  LEFT(  CONCATENATE(AH403,AH404,AH405,AH406,AH407,AH408,AH409,AH410,AH411,AH412,AH413,AH414,AH415,AH416,AH417,AH418,AH419,AH420,AH421,AH422,AH423,AH424,AH425,AH426,AH427,AH428,AH429,AH430,AH431,AH432,AH433,AH434,AH435,AH436,AH437,AH438),LEN(  CONCATENATE(AH403,AH404,AH405,AH406,AH407,AH408,AH409,AH410,AH411,AH412,AH413,AH414,AH415,AH416,AH417,AH418,AH419,AH420,AH421,AH422,AH423,AH424,AH425,AH426,AH427,AH428,AH429,AH430,AH431,AH432,AH433,AH434,AH435,AH436,AH437,AH438)  )-1),"")        )</f>
        <v/>
      </c>
      <c r="AI439" s="66" t="str">
        <f xml:space="preserve">    IF(  AND(  COUNTIF(勤務分配!$E$3:$E$44,"喪假")&gt;=1,  IFERROR(  LEFT(  CONCATENATE(AI403,AI404,AI405,AI406,AI407,AI408,AI409,AI410,AI411,AI412,AI413,AI414,AI415,AI416,AI417,AI418,AI419,AI420,AI421,AI422,AI423,AI424,AI425,AI426,AI427,AI428,AI429,AI430,AI431,AI432,AI433,AI434,AI435,AI436,AI437,AI438),LEN(  CONCATENATE(AI403,AI404,AI405,AI406,AI407,AI408,AI409,AI410,AI411,AI412,AI413,AI414,AI415,AI416,AI417,AI418,AI419,AI420,AI421,AI422,AI423,AI424,AI425,AI426,AI427,AI428,AI429,AI430,AI431,AI432,AI433,AI434,AI435,AI436,AI437,AI438)  )-1),"")&lt;&gt;""   ),"." &amp; IFERROR(  LEFT(  CONCATENATE(AI403,AI404,AI405,AI406,AI407,AI408,AI409,AI410,AI411,AI412,AI413,AI414,AI415,AI416,AI417,AI418,AI419,AI420,AI421,AI422,AI423,AI424,AI425,AI426,AI427,AI428,AI429,AI430,AI431,AI432,AI433,AI434,AI435,AI436,AI437,AI438),LEN(  CONCATENATE(AI403,AI404,AI405,AI406,AI407,AI408,AI409,AI410,AI411,AI412,AI413,AI414,AI415,AI416,AI417,AI418,AI419,AI420,AI421,AI422,AI423,AI424,AI425,AI426,AI427,AI428,AI429,AI430,AI431,AI432,AI433,AI434,AI435,AI436,AI437,AI438)  )-1),""),                             IFERROR(  LEFT(  CONCATENATE(AI403,AI404,AI405,AI406,AI407,AI408,AI409,AI410,AI411,AI412,AI413,AI414,AI415,AI416,AI417,AI418,AI419,AI420,AI421,AI422,AI423,AI424,AI425,AI426,AI427,AI428,AI429,AI430,AI431,AI432,AI433,AI434,AI435,AI436,AI437,AI438),LEN(  CONCATENATE(AI403,AI404,AI405,AI406,AI407,AI408,AI409,AI410,AI411,AI412,AI413,AI414,AI415,AI416,AI417,AI418,AI419,AI420,AI421,AI422,AI423,AI424,AI425,AI426,AI427,AI428,AI429,AI430,AI431,AI432,AI433,AI434,AI435,AI436,AI437,AI438)  )-1),"")        )</f>
        <v/>
      </c>
      <c r="AJ439" s="66" t="str">
        <f xml:space="preserve">    IF(  AND(  COUNTIF(勤務分配!$E$3:$E$44,"喪假")&gt;=1,  IFERROR(  LEFT(  CONCATENATE(AJ403,AJ404,AJ405,AJ406,AJ407,AJ408,AJ409,AJ410,AJ411,AJ412,AJ413,AJ414,AJ415,AJ416,AJ417,AJ418,AJ419,AJ420,AJ421,AJ422,AJ423,AJ424,AJ425,AJ426,AJ427,AJ428,AJ429,AJ430,AJ431,AJ432,AJ433,AJ434,AJ435,AJ436,AJ437,AJ438),LEN(  CONCATENATE(AJ403,AJ404,AJ405,AJ406,AJ407,AJ408,AJ409,AJ410,AJ411,AJ412,AJ413,AJ414,AJ415,AJ416,AJ417,AJ418,AJ419,AJ420,AJ421,AJ422,AJ423,AJ424,AJ425,AJ426,AJ427,AJ428,AJ429,AJ430,AJ431,AJ432,AJ433,AJ434,AJ435,AJ436,AJ437,AJ438)  )-1),"")&lt;&gt;""   ),"." &amp; IFERROR(  LEFT(  CONCATENATE(AJ403,AJ404,AJ405,AJ406,AJ407,AJ408,AJ409,AJ410,AJ411,AJ412,AJ413,AJ414,AJ415,AJ416,AJ417,AJ418,AJ419,AJ420,AJ421,AJ422,AJ423,AJ424,AJ425,AJ426,AJ427,AJ428,AJ429,AJ430,AJ431,AJ432,AJ433,AJ434,AJ435,AJ436,AJ437,AJ438),LEN(  CONCATENATE(AJ403,AJ404,AJ405,AJ406,AJ407,AJ408,AJ409,AJ410,AJ411,AJ412,AJ413,AJ414,AJ415,AJ416,AJ417,AJ418,AJ419,AJ420,AJ421,AJ422,AJ423,AJ424,AJ425,AJ426,AJ427,AJ428,AJ429,AJ430,AJ431,AJ432,AJ433,AJ434,AJ435,AJ436,AJ437,AJ438)  )-1),""),                             IFERROR(  LEFT(  CONCATENATE(AJ403,AJ404,AJ405,AJ406,AJ407,AJ408,AJ409,AJ410,AJ411,AJ412,AJ413,AJ414,AJ415,AJ416,AJ417,AJ418,AJ419,AJ420,AJ421,AJ422,AJ423,AJ424,AJ425,AJ426,AJ427,AJ428,AJ429,AJ430,AJ431,AJ432,AJ433,AJ434,AJ435,AJ436,AJ437,AJ438),LEN(  CONCATENATE(AJ403,AJ404,AJ405,AJ406,AJ407,AJ408,AJ409,AJ410,AJ411,AJ412,AJ413,AJ414,AJ415,AJ416,AJ417,AJ418,AJ419,AJ420,AJ421,AJ422,AJ423,AJ424,AJ425,AJ426,AJ427,AJ428,AJ429,AJ430,AJ431,AJ432,AJ433,AJ434,AJ435,AJ436,AJ437,AJ438)  )-1),"")        )</f>
        <v/>
      </c>
    </row>
    <row r="440" spans="1:55" s="289" customFormat="1">
      <c r="AP440" s="303"/>
      <c r="AU440" s="303"/>
      <c r="AV440" s="303"/>
      <c r="AY440" s="303"/>
      <c r="AZ440" s="303"/>
      <c r="BA440" s="303"/>
      <c r="BB440" s="303"/>
      <c r="BC440" s="303"/>
    </row>
    <row r="441" spans="1:55">
      <c r="A441" s="289" t="s">
        <v>137</v>
      </c>
    </row>
    <row r="442" spans="1:55">
      <c r="A442" s="66" t="str">
        <f>A402</f>
        <v>番號</v>
      </c>
      <c r="B442" s="66" t="str">
        <f t="shared" ref="B442:AJ442" si="306">B402</f>
        <v xml:space="preserve"> 姓名</v>
      </c>
      <c r="C442" s="66">
        <f t="shared" si="306"/>
        <v>1</v>
      </c>
      <c r="D442" s="66">
        <f t="shared" si="306"/>
        <v>2</v>
      </c>
      <c r="E442" s="66">
        <f t="shared" si="306"/>
        <v>3</v>
      </c>
      <c r="F442" s="66">
        <f t="shared" si="306"/>
        <v>4</v>
      </c>
      <c r="G442" s="66">
        <f t="shared" si="306"/>
        <v>5</v>
      </c>
      <c r="H442" s="66">
        <f t="shared" si="306"/>
        <v>6</v>
      </c>
      <c r="I442" s="66">
        <f t="shared" si="306"/>
        <v>7</v>
      </c>
      <c r="J442" s="66">
        <f t="shared" si="306"/>
        <v>8</v>
      </c>
      <c r="K442" s="66">
        <f t="shared" si="306"/>
        <v>9</v>
      </c>
      <c r="L442" s="66">
        <f t="shared" si="306"/>
        <v>10</v>
      </c>
      <c r="M442" s="66">
        <f t="shared" si="306"/>
        <v>11</v>
      </c>
      <c r="N442" s="66">
        <f t="shared" si="306"/>
        <v>12</v>
      </c>
      <c r="O442" s="66">
        <f t="shared" si="306"/>
        <v>13</v>
      </c>
      <c r="P442" s="66">
        <f t="shared" si="306"/>
        <v>14</v>
      </c>
      <c r="Q442" s="66">
        <f t="shared" si="306"/>
        <v>15</v>
      </c>
      <c r="R442" s="66">
        <f t="shared" si="306"/>
        <v>16</v>
      </c>
      <c r="S442" s="66">
        <f t="shared" si="306"/>
        <v>17</v>
      </c>
      <c r="T442" s="66">
        <f t="shared" si="306"/>
        <v>18</v>
      </c>
      <c r="U442" s="66">
        <f t="shared" si="306"/>
        <v>19</v>
      </c>
      <c r="V442" s="66">
        <f t="shared" si="306"/>
        <v>20</v>
      </c>
      <c r="W442" s="66">
        <f t="shared" si="306"/>
        <v>21</v>
      </c>
      <c r="X442" s="66">
        <f t="shared" si="306"/>
        <v>22</v>
      </c>
      <c r="Y442" s="66">
        <f t="shared" si="306"/>
        <v>23</v>
      </c>
      <c r="Z442" s="66">
        <f t="shared" si="306"/>
        <v>24</v>
      </c>
      <c r="AA442" s="66">
        <f t="shared" si="306"/>
        <v>25</v>
      </c>
      <c r="AB442" s="66">
        <f t="shared" si="306"/>
        <v>26</v>
      </c>
      <c r="AC442" s="66">
        <f t="shared" si="306"/>
        <v>27</v>
      </c>
      <c r="AD442" s="66">
        <f t="shared" si="306"/>
        <v>28</v>
      </c>
      <c r="AE442" s="66">
        <f t="shared" si="306"/>
        <v>29</v>
      </c>
      <c r="AF442" s="66">
        <f t="shared" si="306"/>
        <v>30</v>
      </c>
      <c r="AG442" s="66">
        <f t="shared" si="306"/>
        <v>31</v>
      </c>
      <c r="AH442" s="66">
        <f t="shared" si="306"/>
        <v>32</v>
      </c>
      <c r="AI442" s="66">
        <f t="shared" si="306"/>
        <v>33</v>
      </c>
      <c r="AJ442" s="66">
        <f t="shared" si="306"/>
        <v>34</v>
      </c>
    </row>
    <row r="443" spans="1:55">
      <c r="A443" s="66">
        <f t="shared" ref="A443:B458" si="307">A403</f>
        <v>1</v>
      </c>
      <c r="B443" s="66" t="str">
        <f t="shared" si="307"/>
        <v>葉家豪</v>
      </c>
      <c r="C443" s="66" t="str">
        <f>IF(    AND( C2="公",  LEN(C442)&gt;=2 ),        "" &amp; $A443,    IF(         AND( C2="公" ),       $A443,        IF(  OR(  LEN(C442)&gt;=2  ),  CONCATENATE(  "",  IF(  AND(  LEN(  INDEX(   $A$1:$AJ$39, MATCH($A443,$A$1:$A$39,0),MATCH(  C$442,$A$1:$AP$1,0  )  )  )&gt;LEN(  SUBSTITUTE(  INDEX(   $A$1:$AJ$39, MATCH($A443,$A$1:$A$39,0),MATCH(  C$442,$A$1:$AP$1,0  )  ),"公","")  ),  LEN(  INDEX(   $A$1:$AJ$39, MATCH($A443,$A$1:$A$39,0),MATCH(  C$442,$A$1:$AP$1,0  )  )  )&gt;LEN(  SUBSTITUTE(  INDEX(   $A$1:$AJ$39, MATCH($A443,$A$1:$A$39,0),MATCH(  C$442,$A$1:$AP$1,0  )  ),"-","")  )  ),  CONCATENATE(  $A443,"(",   SUBSTITUTE(   SUBSTITUTE(  SUBSTITUTE(  INDEX(   $A$1:$AJ$39, MATCH($A443,$A$1:$A$39,0),MATCH(  C$442,$A$442:$AP$442,0  )  ),"公",""),"x","")," ",""),"時",")"),  ""  )  ),  IF(  AND(  LEN(  INDEX(   $A$1:$AJ$39, MATCH($A443,$A$1:$A$39,0),MATCH(  C$442,$A$1:$AP$1,0  )  )  )&gt;LEN(  SUBSTITUTE(  INDEX(   $A$1:$AJ$39, MATCH($A443,$A$1:$A$39,0),MATCH(  C$442,$A$1:$AP$1,0  )  ),"公","")  ),  LEN(  INDEX(   $A$1:$AJ$39, MATCH($A443,$A$1:$A$39,0),MATCH(  C$442,$A$1:$AP$1,0  )  )  )&gt;LEN(  SUBSTITUTE(  INDEX(   $A$1:$AJ$39, MATCH($A443,$A$1:$A$39,0),MATCH(  C$442,$A$1:$AP$1,0  )  ),"-","")  )  ),  CONCATENATE(  $A443,"(",   SUBSTITUTE(   SUBSTITUTE(  SUBSTITUTE(  INDEX(   $A$1:$AJ$39, MATCH($A443,$A$1:$A$39,0),MATCH(  C$442,$A$442:$AP$442,0  )  ),"公",""),"x","")," ",""),"時",")"),  ""  )  )           ))</f>
        <v/>
      </c>
      <c r="D443" s="66" t="str">
        <f t="shared" ref="D443:AJ443" si="308">IF(    AND( D2="公",  LEN(D442)&gt;=2 ),        "" &amp; $A443,    IF(         AND( D2="公" ),       $A443,        IF(  OR(  LEN(D442)&gt;=2  ),  CONCATENATE(  "",  IF(  AND(  LEN(  INDEX(   $A$1:$AJ$39, MATCH($A443,$A$1:$A$39,0),MATCH(  D$442,$A$1:$AP$1,0  )  )  )&gt;LEN(  SUBSTITUTE(  INDEX(   $A$1:$AJ$39, MATCH($A443,$A$1:$A$39,0),MATCH(  D$442,$A$1:$AP$1,0  )  ),"公","")  ),  LEN(  INDEX(   $A$1:$AJ$39, MATCH($A443,$A$1:$A$39,0),MATCH(  D$442,$A$1:$AP$1,0  )  )  )&gt;LEN(  SUBSTITUTE(  INDEX(   $A$1:$AJ$39, MATCH($A443,$A$1:$A$39,0),MATCH(  D$442,$A$1:$AP$1,0  )  ),"-","")  )  ),  CONCATENATE(  $A443,"(",   SUBSTITUTE(   SUBSTITUTE(  SUBSTITUTE(  INDEX(   $A$1:$AJ$39, MATCH($A443,$A$1:$A$39,0),MATCH(  D$442,$A$442:$AP$442,0  )  ),"公",""),"x","")," ",""),"時",")"),  ""  )  ),  IF(  AND(  LEN(  INDEX(   $A$1:$AJ$39, MATCH($A443,$A$1:$A$39,0),MATCH(  D$442,$A$1:$AP$1,0  )  )  )&gt;LEN(  SUBSTITUTE(  INDEX(   $A$1:$AJ$39, MATCH($A443,$A$1:$A$39,0),MATCH(  D$442,$A$1:$AP$1,0  )  ),"公","")  ),  LEN(  INDEX(   $A$1:$AJ$39, MATCH($A443,$A$1:$A$39,0),MATCH(  D$442,$A$1:$AP$1,0  )  )  )&gt;LEN(  SUBSTITUTE(  INDEX(   $A$1:$AJ$39, MATCH($A443,$A$1:$A$39,0),MATCH(  D$442,$A$1:$AP$1,0  )  ),"-","")  )  ),  CONCATENATE(  $A443,"(",   SUBSTITUTE(   SUBSTITUTE(  SUBSTITUTE(  INDEX(   $A$1:$AJ$39, MATCH($A443,$A$1:$A$39,0),MATCH(  D$442,$A$442:$AP$442,0  )  ),"公",""),"x","")," ",""),"時",")"),  ""  )  )           ))</f>
        <v/>
      </c>
      <c r="E443" s="66" t="str">
        <f t="shared" si="308"/>
        <v/>
      </c>
      <c r="F443" s="66" t="str">
        <f t="shared" si="308"/>
        <v/>
      </c>
      <c r="G443" s="66" t="str">
        <f t="shared" si="308"/>
        <v/>
      </c>
      <c r="H443" s="66" t="str">
        <f t="shared" si="308"/>
        <v/>
      </c>
      <c r="I443" s="66" t="str">
        <f t="shared" si="308"/>
        <v/>
      </c>
      <c r="J443" s="66" t="str">
        <f t="shared" si="308"/>
        <v/>
      </c>
      <c r="K443" s="66" t="str">
        <f t="shared" si="308"/>
        <v/>
      </c>
      <c r="L443" s="66" t="str">
        <f t="shared" si="308"/>
        <v/>
      </c>
      <c r="M443" s="66" t="str">
        <f t="shared" si="308"/>
        <v/>
      </c>
      <c r="N443" s="66" t="str">
        <f t="shared" si="308"/>
        <v/>
      </c>
      <c r="O443" s="66" t="str">
        <f t="shared" si="308"/>
        <v/>
      </c>
      <c r="P443" s="66" t="str">
        <f t="shared" si="308"/>
        <v/>
      </c>
      <c r="Q443" s="66" t="str">
        <f t="shared" si="308"/>
        <v/>
      </c>
      <c r="R443" s="66" t="str">
        <f t="shared" si="308"/>
        <v/>
      </c>
      <c r="S443" s="66" t="str">
        <f t="shared" si="308"/>
        <v/>
      </c>
      <c r="T443" s="66" t="str">
        <f t="shared" si="308"/>
        <v/>
      </c>
      <c r="U443" s="66" t="str">
        <f t="shared" si="308"/>
        <v/>
      </c>
      <c r="V443" s="66" t="str">
        <f t="shared" si="308"/>
        <v/>
      </c>
      <c r="W443" s="66" t="str">
        <f t="shared" si="308"/>
        <v/>
      </c>
      <c r="X443" s="66" t="str">
        <f t="shared" si="308"/>
        <v/>
      </c>
      <c r="Y443" s="66" t="str">
        <f t="shared" si="308"/>
        <v/>
      </c>
      <c r="Z443" s="66" t="str">
        <f t="shared" si="308"/>
        <v/>
      </c>
      <c r="AA443" s="66" t="str">
        <f t="shared" si="308"/>
        <v/>
      </c>
      <c r="AB443" s="66" t="str">
        <f t="shared" si="308"/>
        <v/>
      </c>
      <c r="AC443" s="66" t="str">
        <f t="shared" si="308"/>
        <v/>
      </c>
      <c r="AD443" s="66" t="str">
        <f t="shared" si="308"/>
        <v/>
      </c>
      <c r="AE443" s="66" t="str">
        <f t="shared" si="308"/>
        <v/>
      </c>
      <c r="AF443" s="66" t="str">
        <f t="shared" si="308"/>
        <v/>
      </c>
      <c r="AG443" s="66" t="str">
        <f t="shared" si="308"/>
        <v/>
      </c>
      <c r="AH443" s="66" t="str">
        <f t="shared" si="308"/>
        <v/>
      </c>
      <c r="AI443" s="66" t="str">
        <f t="shared" si="308"/>
        <v/>
      </c>
      <c r="AJ443" s="66" t="str">
        <f t="shared" si="308"/>
        <v/>
      </c>
    </row>
    <row r="444" spans="1:55">
      <c r="A444" s="66">
        <f t="shared" si="307"/>
        <v>2</v>
      </c>
      <c r="B444" s="66" t="str">
        <f t="shared" si="307"/>
        <v>鄭智謙</v>
      </c>
      <c r="C444" s="66" t="str">
        <f t="shared" ref="C444:C477" si="309">IF(    AND( C3="公",  LEN(C443)&gt;=2 ),        "" &amp; $A444,    IF(         AND( C3="公" ),       $A444,        IF(  OR(  LEN(C443)&gt;=2  ),  CONCATENATE(  ".",  IF(  AND(  LEN(  INDEX(   $A$1:$AJ$39, MATCH($A444,$A$1:$A$39,0),MATCH(  C$442,$A$1:$AP$1,0  )  )  )&gt;LEN(  SUBSTITUTE(  INDEX(   $A$1:$AJ$39, MATCH($A444,$A$1:$A$39,0),MATCH(  C$442,$A$1:$AP$1,0  )  ),"公","")  ),  LEN(  INDEX(   $A$1:$AJ$39, MATCH($A444,$A$1:$A$39,0),MATCH(  C$442,$A$1:$AP$1,0  )  )  )&gt;LEN(  SUBSTITUTE(  INDEX(   $A$1:$AJ$39, MATCH($A444,$A$1:$A$39,0),MATCH(  C$442,$A$1:$AP$1,0  )  ),"-","")  )  ),  CONCATENATE(  $A444,"(",   SUBSTITUTE(   SUBSTITUTE(  SUBSTITUTE(  INDEX(   $A$1:$AJ$39, MATCH($A444,$A$1:$A$39,0),MATCH(  C$442,$A$442:$AP$442,0  )  ),"公",""),"x","")," ",""),"時",")"),  ""  )  ),  IF(  AND(  LEN(  INDEX(   $A$1:$AJ$39, MATCH($A444,$A$1:$A$39,0),MATCH(  C$442,$A$1:$AP$1,0  )  )  )&gt;LEN(  SUBSTITUTE(  INDEX(   $A$1:$AJ$39, MATCH($A444,$A$1:$A$39,0),MATCH(  C$442,$A$1:$AP$1,0  )  ),"公","")  ),  LEN(  INDEX(   $A$1:$AJ$39, MATCH($A444,$A$1:$A$39,0),MATCH(  C$442,$A$1:$AP$1,0  )  )  )&gt;LEN(  SUBSTITUTE(  INDEX(   $A$1:$AJ$39, MATCH($A444,$A$1:$A$39,0),MATCH(  C$442,$A$1:$AP$1,0  )  ),"-","")  )  ),  CONCATENATE(  $A444,"(",   SUBSTITUTE(   SUBSTITUTE(  SUBSTITUTE(  INDEX(   $A$1:$AJ$39, MATCH($A444,$A$1:$A$39,0),MATCH(  C$442,$A$442:$AP$442,0  )  ),"公",""),"x","")," ",""),"時",")"),  ""  )  )           ))</f>
        <v/>
      </c>
      <c r="D444" s="66" t="str">
        <f t="shared" ref="D444:AJ444" si="310">IF(    AND( D3="公",  LEN(D443)&gt;=2 ),        "" &amp; $A444,    IF(         AND( D3="公" ),       $A444,        IF(  OR(  LEN(D443)&gt;=2  ),  CONCATENATE(  ".",  IF(  AND(  LEN(  INDEX(   $A$1:$AJ$39, MATCH($A444,$A$1:$A$39,0),MATCH(  D$442,$A$1:$AP$1,0  )  )  )&gt;LEN(  SUBSTITUTE(  INDEX(   $A$1:$AJ$39, MATCH($A444,$A$1:$A$39,0),MATCH(  D$442,$A$1:$AP$1,0  )  ),"公","")  ),  LEN(  INDEX(   $A$1:$AJ$39, MATCH($A444,$A$1:$A$39,0),MATCH(  D$442,$A$1:$AP$1,0  )  )  )&gt;LEN(  SUBSTITUTE(  INDEX(   $A$1:$AJ$39, MATCH($A444,$A$1:$A$39,0),MATCH(  D$442,$A$1:$AP$1,0  )  ),"-","")  )  ),  CONCATENATE(  $A444,"(",   SUBSTITUTE(   SUBSTITUTE(  SUBSTITUTE(  INDEX(   $A$1:$AJ$39, MATCH($A444,$A$1:$A$39,0),MATCH(  D$442,$A$442:$AP$442,0  )  ),"公",""),"x","")," ",""),"時",")"),  ""  )  ),  IF(  AND(  LEN(  INDEX(   $A$1:$AJ$39, MATCH($A444,$A$1:$A$39,0),MATCH(  D$442,$A$1:$AP$1,0  )  )  )&gt;LEN(  SUBSTITUTE(  INDEX(   $A$1:$AJ$39, MATCH($A444,$A$1:$A$39,0),MATCH(  D$442,$A$1:$AP$1,0  )  ),"公","")  ),  LEN(  INDEX(   $A$1:$AJ$39, MATCH($A444,$A$1:$A$39,0),MATCH(  D$442,$A$1:$AP$1,0  )  )  )&gt;LEN(  SUBSTITUTE(  INDEX(   $A$1:$AJ$39, MATCH($A444,$A$1:$A$39,0),MATCH(  D$442,$A$1:$AP$1,0  )  ),"-","")  )  ),  CONCATENATE(  $A444,"(",   SUBSTITUTE(   SUBSTITUTE(  SUBSTITUTE(  INDEX(   $A$1:$AJ$39, MATCH($A444,$A$1:$A$39,0),MATCH(  D$442,$A$442:$AP$442,0  )  ),"公",""),"x","")," ",""),"時",")"),  ""  )  )           ))</f>
        <v/>
      </c>
      <c r="E444" s="66" t="str">
        <f t="shared" si="310"/>
        <v/>
      </c>
      <c r="F444" s="66" t="str">
        <f t="shared" si="310"/>
        <v/>
      </c>
      <c r="G444" s="66" t="str">
        <f t="shared" si="310"/>
        <v/>
      </c>
      <c r="H444" s="66" t="str">
        <f t="shared" si="310"/>
        <v/>
      </c>
      <c r="I444" s="66" t="str">
        <f t="shared" si="310"/>
        <v/>
      </c>
      <c r="J444" s="66" t="str">
        <f t="shared" si="310"/>
        <v/>
      </c>
      <c r="K444" s="66" t="str">
        <f t="shared" si="310"/>
        <v/>
      </c>
      <c r="L444" s="66" t="str">
        <f t="shared" si="310"/>
        <v/>
      </c>
      <c r="M444" s="66" t="str">
        <f t="shared" si="310"/>
        <v/>
      </c>
      <c r="N444" s="66" t="str">
        <f t="shared" si="310"/>
        <v/>
      </c>
      <c r="O444" s="66" t="str">
        <f t="shared" si="310"/>
        <v/>
      </c>
      <c r="P444" s="66" t="str">
        <f t="shared" si="310"/>
        <v/>
      </c>
      <c r="Q444" s="66" t="str">
        <f t="shared" si="310"/>
        <v/>
      </c>
      <c r="R444" s="66" t="str">
        <f t="shared" si="310"/>
        <v/>
      </c>
      <c r="S444" s="66" t="str">
        <f t="shared" si="310"/>
        <v/>
      </c>
      <c r="T444" s="66" t="str">
        <f t="shared" si="310"/>
        <v/>
      </c>
      <c r="U444" s="66" t="str">
        <f t="shared" si="310"/>
        <v/>
      </c>
      <c r="V444" s="66" t="str">
        <f t="shared" si="310"/>
        <v/>
      </c>
      <c r="W444" s="66" t="str">
        <f t="shared" si="310"/>
        <v/>
      </c>
      <c r="X444" s="66" t="str">
        <f t="shared" si="310"/>
        <v/>
      </c>
      <c r="Y444" s="66" t="str">
        <f t="shared" si="310"/>
        <v/>
      </c>
      <c r="Z444" s="66" t="str">
        <f t="shared" si="310"/>
        <v/>
      </c>
      <c r="AA444" s="66" t="str">
        <f t="shared" si="310"/>
        <v/>
      </c>
      <c r="AB444" s="66" t="str">
        <f t="shared" si="310"/>
        <v/>
      </c>
      <c r="AC444" s="66" t="str">
        <f t="shared" si="310"/>
        <v/>
      </c>
      <c r="AD444" s="66" t="str">
        <f t="shared" si="310"/>
        <v/>
      </c>
      <c r="AE444" s="66" t="str">
        <f t="shared" si="310"/>
        <v/>
      </c>
      <c r="AF444" s="66" t="str">
        <f t="shared" si="310"/>
        <v/>
      </c>
      <c r="AG444" s="66" t="str">
        <f t="shared" si="310"/>
        <v/>
      </c>
      <c r="AH444" s="66" t="str">
        <f t="shared" si="310"/>
        <v/>
      </c>
      <c r="AI444" s="66" t="str">
        <f t="shared" si="310"/>
        <v/>
      </c>
      <c r="AJ444" s="66" t="str">
        <f t="shared" si="310"/>
        <v/>
      </c>
    </row>
    <row r="445" spans="1:55">
      <c r="A445" s="66">
        <f t="shared" si="307"/>
        <v>3</v>
      </c>
      <c r="B445" s="66" t="str">
        <f t="shared" si="307"/>
        <v>王敍安</v>
      </c>
      <c r="C445" s="66" t="str">
        <f t="shared" si="309"/>
        <v/>
      </c>
      <c r="D445" s="66" t="str">
        <f t="shared" ref="D445:D477" si="311">IF(    AND( D4="公",  LEN(D444)&gt;=2 ),        "" &amp; $A445,    IF(         AND( D4="公" ),       $A445,        IF(  OR(  LEN(D444)&gt;=2  ),  CONCATENATE(  ".",  IF(  AND(  LEN(  INDEX(   $A$1:$AJ$39, MATCH($A445,$A$1:$A$39,0),MATCH(  D$442,$A$1:$AP$1,0  )  )  )&gt;LEN(  SUBSTITUTE(  INDEX(   $A$1:$AJ$39, MATCH($A445,$A$1:$A$39,0),MATCH(  D$442,$A$1:$AP$1,0  )  ),"公","")  ),  LEN(  INDEX(   $A$1:$AJ$39, MATCH($A445,$A$1:$A$39,0),MATCH(  D$442,$A$1:$AP$1,0  )  )  )&gt;LEN(  SUBSTITUTE(  INDEX(   $A$1:$AJ$39, MATCH($A445,$A$1:$A$39,0),MATCH(  D$442,$A$1:$AP$1,0  )  ),"-","")  )  ),  CONCATENATE(  $A445,"(",   SUBSTITUTE(   SUBSTITUTE(  SUBSTITUTE(  INDEX(   $A$1:$AJ$39, MATCH($A445,$A$1:$A$39,0),MATCH(  D$442,$A$442:$AP$442,0  )  ),"公",""),"x","")," ",""),"時",")"),  ""  )  ),  IF(  AND(  LEN(  INDEX(   $A$1:$AJ$39, MATCH($A445,$A$1:$A$39,0),MATCH(  D$442,$A$1:$AP$1,0  )  )  )&gt;LEN(  SUBSTITUTE(  INDEX(   $A$1:$AJ$39, MATCH($A445,$A$1:$A$39,0),MATCH(  D$442,$A$1:$AP$1,0  )  ),"公","")  ),  LEN(  INDEX(   $A$1:$AJ$39, MATCH($A445,$A$1:$A$39,0),MATCH(  D$442,$A$1:$AP$1,0  )  )  )&gt;LEN(  SUBSTITUTE(  INDEX(   $A$1:$AJ$39, MATCH($A445,$A$1:$A$39,0),MATCH(  D$442,$A$1:$AP$1,0  )  ),"-","")  )  ),  CONCATENATE(  $A445,"(",   SUBSTITUTE(   SUBSTITUTE(  SUBSTITUTE(  INDEX(   $A$1:$AJ$39, MATCH($A445,$A$1:$A$39,0),MATCH(  D$442,$A$442:$AP$442,0  )  ),"公",""),"x","")," ",""),"時",")"),  ""  )  )           ))</f>
        <v/>
      </c>
      <c r="E445" s="66" t="str">
        <f t="shared" ref="E445:E477" si="312">IF(    AND( E4="公",  LEN(E444)&gt;=2 ),        "" &amp; $A445,    IF(         AND( E4="公" ),       $A445,        IF(  OR(  LEN(E444)&gt;=2  ),  CONCATENATE(  ".",  IF(  AND(  LEN(  INDEX(   $A$1:$AJ$39, MATCH($A445,$A$1:$A$39,0),MATCH(  E$442,$A$1:$AP$1,0  )  )  )&gt;LEN(  SUBSTITUTE(  INDEX(   $A$1:$AJ$39, MATCH($A445,$A$1:$A$39,0),MATCH(  E$442,$A$1:$AP$1,0  )  ),"公","")  ),  LEN(  INDEX(   $A$1:$AJ$39, MATCH($A445,$A$1:$A$39,0),MATCH(  E$442,$A$1:$AP$1,0  )  )  )&gt;LEN(  SUBSTITUTE(  INDEX(   $A$1:$AJ$39, MATCH($A445,$A$1:$A$39,0),MATCH(  E$442,$A$1:$AP$1,0  )  ),"-","")  )  ),  CONCATENATE(  $A445,"(",   SUBSTITUTE(   SUBSTITUTE(  SUBSTITUTE(  INDEX(   $A$1:$AJ$39, MATCH($A445,$A$1:$A$39,0),MATCH(  E$442,$A$442:$AP$442,0  )  ),"公",""),"x","")," ",""),"時",")"),  ""  )  ),  IF(  AND(  LEN(  INDEX(   $A$1:$AJ$39, MATCH($A445,$A$1:$A$39,0),MATCH(  E$442,$A$1:$AP$1,0  )  )  )&gt;LEN(  SUBSTITUTE(  INDEX(   $A$1:$AJ$39, MATCH($A445,$A$1:$A$39,0),MATCH(  E$442,$A$1:$AP$1,0  )  ),"公","")  ),  LEN(  INDEX(   $A$1:$AJ$39, MATCH($A445,$A$1:$A$39,0),MATCH(  E$442,$A$1:$AP$1,0  )  )  )&gt;LEN(  SUBSTITUTE(  INDEX(   $A$1:$AJ$39, MATCH($A445,$A$1:$A$39,0),MATCH(  E$442,$A$1:$AP$1,0  )  ),"-","")  )  ),  CONCATENATE(  $A445,"(",   SUBSTITUTE(   SUBSTITUTE(  SUBSTITUTE(  INDEX(   $A$1:$AJ$39, MATCH($A445,$A$1:$A$39,0),MATCH(  E$442,$A$442:$AP$442,0  )  ),"公",""),"x","")," ",""),"時",")"),  ""  )  )           ))</f>
        <v/>
      </c>
      <c r="F445" s="66" t="str">
        <f t="shared" ref="F445:F477" si="313">IF(    AND( F4="公",  LEN(F444)&gt;=2 ),        "" &amp; $A445,    IF(         AND( F4="公" ),       $A445,        IF(  OR(  LEN(F444)&gt;=2  ),  CONCATENATE(  ".",  IF(  AND(  LEN(  INDEX(   $A$1:$AJ$39, MATCH($A445,$A$1:$A$39,0),MATCH(  F$442,$A$1:$AP$1,0  )  )  )&gt;LEN(  SUBSTITUTE(  INDEX(   $A$1:$AJ$39, MATCH($A445,$A$1:$A$39,0),MATCH(  F$442,$A$1:$AP$1,0  )  ),"公","")  ),  LEN(  INDEX(   $A$1:$AJ$39, MATCH($A445,$A$1:$A$39,0),MATCH(  F$442,$A$1:$AP$1,0  )  )  )&gt;LEN(  SUBSTITUTE(  INDEX(   $A$1:$AJ$39, MATCH($A445,$A$1:$A$39,0),MATCH(  F$442,$A$1:$AP$1,0  )  ),"-","")  )  ),  CONCATENATE(  $A445,"(",   SUBSTITUTE(   SUBSTITUTE(  SUBSTITUTE(  INDEX(   $A$1:$AJ$39, MATCH($A445,$A$1:$A$39,0),MATCH(  F$442,$A$442:$AP$442,0  )  ),"公",""),"x","")," ",""),"時",")"),  ""  )  ),  IF(  AND(  LEN(  INDEX(   $A$1:$AJ$39, MATCH($A445,$A$1:$A$39,0),MATCH(  F$442,$A$1:$AP$1,0  )  )  )&gt;LEN(  SUBSTITUTE(  INDEX(   $A$1:$AJ$39, MATCH($A445,$A$1:$A$39,0),MATCH(  F$442,$A$1:$AP$1,0  )  ),"公","")  ),  LEN(  INDEX(   $A$1:$AJ$39, MATCH($A445,$A$1:$A$39,0),MATCH(  F$442,$A$1:$AP$1,0  )  )  )&gt;LEN(  SUBSTITUTE(  INDEX(   $A$1:$AJ$39, MATCH($A445,$A$1:$A$39,0),MATCH(  F$442,$A$1:$AP$1,0  )  ),"-","")  )  ),  CONCATENATE(  $A445,"(",   SUBSTITUTE(   SUBSTITUTE(  SUBSTITUTE(  INDEX(   $A$1:$AJ$39, MATCH($A445,$A$1:$A$39,0),MATCH(  F$442,$A$442:$AP$442,0  )  ),"公",""),"x","")," ",""),"時",")"),  ""  )  )           ))</f>
        <v/>
      </c>
      <c r="G445" s="66" t="str">
        <f t="shared" ref="G445:G477" si="314">IF(    AND( G4="公",  LEN(G444)&gt;=2 ),        "" &amp; $A445,    IF(         AND( G4="公" ),       $A445,        IF(  OR(  LEN(G444)&gt;=2  ),  CONCATENATE(  ".",  IF(  AND(  LEN(  INDEX(   $A$1:$AJ$39, MATCH($A445,$A$1:$A$39,0),MATCH(  G$442,$A$1:$AP$1,0  )  )  )&gt;LEN(  SUBSTITUTE(  INDEX(   $A$1:$AJ$39, MATCH($A445,$A$1:$A$39,0),MATCH(  G$442,$A$1:$AP$1,0  )  ),"公","")  ),  LEN(  INDEX(   $A$1:$AJ$39, MATCH($A445,$A$1:$A$39,0),MATCH(  G$442,$A$1:$AP$1,0  )  )  )&gt;LEN(  SUBSTITUTE(  INDEX(   $A$1:$AJ$39, MATCH($A445,$A$1:$A$39,0),MATCH(  G$442,$A$1:$AP$1,0  )  ),"-","")  )  ),  CONCATENATE(  $A445,"(",   SUBSTITUTE(   SUBSTITUTE(  SUBSTITUTE(  INDEX(   $A$1:$AJ$39, MATCH($A445,$A$1:$A$39,0),MATCH(  G$442,$A$442:$AP$442,0  )  ),"公",""),"x","")," ",""),"時",")"),  ""  )  ),  IF(  AND(  LEN(  INDEX(   $A$1:$AJ$39, MATCH($A445,$A$1:$A$39,0),MATCH(  G$442,$A$1:$AP$1,0  )  )  )&gt;LEN(  SUBSTITUTE(  INDEX(   $A$1:$AJ$39, MATCH($A445,$A$1:$A$39,0),MATCH(  G$442,$A$1:$AP$1,0  )  ),"公","")  ),  LEN(  INDEX(   $A$1:$AJ$39, MATCH($A445,$A$1:$A$39,0),MATCH(  G$442,$A$1:$AP$1,0  )  )  )&gt;LEN(  SUBSTITUTE(  INDEX(   $A$1:$AJ$39, MATCH($A445,$A$1:$A$39,0),MATCH(  G$442,$A$1:$AP$1,0  )  ),"-","")  )  ),  CONCATENATE(  $A445,"(",   SUBSTITUTE(   SUBSTITUTE(  SUBSTITUTE(  INDEX(   $A$1:$AJ$39, MATCH($A445,$A$1:$A$39,0),MATCH(  G$442,$A$442:$AP$442,0  )  ),"公",""),"x","")," ",""),"時",")"),  ""  )  )           ))</f>
        <v/>
      </c>
      <c r="H445" s="66" t="str">
        <f t="shared" ref="H445:H477" si="315">IF(    AND( H4="公",  LEN(H444)&gt;=2 ),        "" &amp; $A445,    IF(         AND( H4="公" ),       $A445,        IF(  OR(  LEN(H444)&gt;=2  ),  CONCATENATE(  ".",  IF(  AND(  LEN(  INDEX(   $A$1:$AJ$39, MATCH($A445,$A$1:$A$39,0),MATCH(  H$442,$A$1:$AP$1,0  )  )  )&gt;LEN(  SUBSTITUTE(  INDEX(   $A$1:$AJ$39, MATCH($A445,$A$1:$A$39,0),MATCH(  H$442,$A$1:$AP$1,0  )  ),"公","")  ),  LEN(  INDEX(   $A$1:$AJ$39, MATCH($A445,$A$1:$A$39,0),MATCH(  H$442,$A$1:$AP$1,0  )  )  )&gt;LEN(  SUBSTITUTE(  INDEX(   $A$1:$AJ$39, MATCH($A445,$A$1:$A$39,0),MATCH(  H$442,$A$1:$AP$1,0  )  ),"-","")  )  ),  CONCATENATE(  $A445,"(",   SUBSTITUTE(   SUBSTITUTE(  SUBSTITUTE(  INDEX(   $A$1:$AJ$39, MATCH($A445,$A$1:$A$39,0),MATCH(  H$442,$A$442:$AP$442,0  )  ),"公",""),"x","")," ",""),"時",")"),  ""  )  ),  IF(  AND(  LEN(  INDEX(   $A$1:$AJ$39, MATCH($A445,$A$1:$A$39,0),MATCH(  H$442,$A$1:$AP$1,0  )  )  )&gt;LEN(  SUBSTITUTE(  INDEX(   $A$1:$AJ$39, MATCH($A445,$A$1:$A$39,0),MATCH(  H$442,$A$1:$AP$1,0  )  ),"公","")  ),  LEN(  INDEX(   $A$1:$AJ$39, MATCH($A445,$A$1:$A$39,0),MATCH(  H$442,$A$1:$AP$1,0  )  )  )&gt;LEN(  SUBSTITUTE(  INDEX(   $A$1:$AJ$39, MATCH($A445,$A$1:$A$39,0),MATCH(  H$442,$A$1:$AP$1,0  )  ),"-","")  )  ),  CONCATENATE(  $A445,"(",   SUBSTITUTE(   SUBSTITUTE(  SUBSTITUTE(  INDEX(   $A$1:$AJ$39, MATCH($A445,$A$1:$A$39,0),MATCH(  H$442,$A$442:$AP$442,0  )  ),"公",""),"x","")," ",""),"時",")"),  ""  )  )           ))</f>
        <v/>
      </c>
      <c r="I445" s="66" t="str">
        <f t="shared" ref="I445:I477" si="316">IF(    AND( I4="公",  LEN(I444)&gt;=2 ),        "" &amp; $A445,    IF(         AND( I4="公" ),       $A445,        IF(  OR(  LEN(I444)&gt;=2  ),  CONCATENATE(  ".",  IF(  AND(  LEN(  INDEX(   $A$1:$AJ$39, MATCH($A445,$A$1:$A$39,0),MATCH(  I$442,$A$1:$AP$1,0  )  )  )&gt;LEN(  SUBSTITUTE(  INDEX(   $A$1:$AJ$39, MATCH($A445,$A$1:$A$39,0),MATCH(  I$442,$A$1:$AP$1,0  )  ),"公","")  ),  LEN(  INDEX(   $A$1:$AJ$39, MATCH($A445,$A$1:$A$39,0),MATCH(  I$442,$A$1:$AP$1,0  )  )  )&gt;LEN(  SUBSTITUTE(  INDEX(   $A$1:$AJ$39, MATCH($A445,$A$1:$A$39,0),MATCH(  I$442,$A$1:$AP$1,0  )  ),"-","")  )  ),  CONCATENATE(  $A445,"(",   SUBSTITUTE(   SUBSTITUTE(  SUBSTITUTE(  INDEX(   $A$1:$AJ$39, MATCH($A445,$A$1:$A$39,0),MATCH(  I$442,$A$442:$AP$442,0  )  ),"公",""),"x","")," ",""),"時",")"),  ""  )  ),  IF(  AND(  LEN(  INDEX(   $A$1:$AJ$39, MATCH($A445,$A$1:$A$39,0),MATCH(  I$442,$A$1:$AP$1,0  )  )  )&gt;LEN(  SUBSTITUTE(  INDEX(   $A$1:$AJ$39, MATCH($A445,$A$1:$A$39,0),MATCH(  I$442,$A$1:$AP$1,0  )  ),"公","")  ),  LEN(  INDEX(   $A$1:$AJ$39, MATCH($A445,$A$1:$A$39,0),MATCH(  I$442,$A$1:$AP$1,0  )  )  )&gt;LEN(  SUBSTITUTE(  INDEX(   $A$1:$AJ$39, MATCH($A445,$A$1:$A$39,0),MATCH(  I$442,$A$1:$AP$1,0  )  ),"-","")  )  ),  CONCATENATE(  $A445,"(",   SUBSTITUTE(   SUBSTITUTE(  SUBSTITUTE(  INDEX(   $A$1:$AJ$39, MATCH($A445,$A$1:$A$39,0),MATCH(  I$442,$A$442:$AP$442,0  )  ),"公",""),"x","")," ",""),"時",")"),  ""  )  )           ))</f>
        <v/>
      </c>
      <c r="J445" s="66" t="str">
        <f t="shared" ref="J445:J477" si="317">IF(    AND( J4="公",  LEN(J444)&gt;=2 ),        "" &amp; $A445,    IF(         AND( J4="公" ),       $A445,        IF(  OR(  LEN(J444)&gt;=2  ),  CONCATENATE(  ".",  IF(  AND(  LEN(  INDEX(   $A$1:$AJ$39, MATCH($A445,$A$1:$A$39,0),MATCH(  J$442,$A$1:$AP$1,0  )  )  )&gt;LEN(  SUBSTITUTE(  INDEX(   $A$1:$AJ$39, MATCH($A445,$A$1:$A$39,0),MATCH(  J$442,$A$1:$AP$1,0  )  ),"公","")  ),  LEN(  INDEX(   $A$1:$AJ$39, MATCH($A445,$A$1:$A$39,0),MATCH(  J$442,$A$1:$AP$1,0  )  )  )&gt;LEN(  SUBSTITUTE(  INDEX(   $A$1:$AJ$39, MATCH($A445,$A$1:$A$39,0),MATCH(  J$442,$A$1:$AP$1,0  )  ),"-","")  )  ),  CONCATENATE(  $A445,"(",   SUBSTITUTE(   SUBSTITUTE(  SUBSTITUTE(  INDEX(   $A$1:$AJ$39, MATCH($A445,$A$1:$A$39,0),MATCH(  J$442,$A$442:$AP$442,0  )  ),"公",""),"x","")," ",""),"時",")"),  ""  )  ),  IF(  AND(  LEN(  INDEX(   $A$1:$AJ$39, MATCH($A445,$A$1:$A$39,0),MATCH(  J$442,$A$1:$AP$1,0  )  )  )&gt;LEN(  SUBSTITUTE(  INDEX(   $A$1:$AJ$39, MATCH($A445,$A$1:$A$39,0),MATCH(  J$442,$A$1:$AP$1,0  )  ),"公","")  ),  LEN(  INDEX(   $A$1:$AJ$39, MATCH($A445,$A$1:$A$39,0),MATCH(  J$442,$A$1:$AP$1,0  )  )  )&gt;LEN(  SUBSTITUTE(  INDEX(   $A$1:$AJ$39, MATCH($A445,$A$1:$A$39,0),MATCH(  J$442,$A$1:$AP$1,0  )  ),"-","")  )  ),  CONCATENATE(  $A445,"(",   SUBSTITUTE(   SUBSTITUTE(  SUBSTITUTE(  INDEX(   $A$1:$AJ$39, MATCH($A445,$A$1:$A$39,0),MATCH(  J$442,$A$442:$AP$442,0  )  ),"公",""),"x","")," ",""),"時",")"),  ""  )  )           ))</f>
        <v/>
      </c>
      <c r="K445" s="66" t="str">
        <f t="shared" ref="K445:K477" si="318">IF(    AND( K4="公",  LEN(K444)&gt;=2 ),        "" &amp; $A445,    IF(         AND( K4="公" ),       $A445,        IF(  OR(  LEN(K444)&gt;=2  ),  CONCATENATE(  ".",  IF(  AND(  LEN(  INDEX(   $A$1:$AJ$39, MATCH($A445,$A$1:$A$39,0),MATCH(  K$442,$A$1:$AP$1,0  )  )  )&gt;LEN(  SUBSTITUTE(  INDEX(   $A$1:$AJ$39, MATCH($A445,$A$1:$A$39,0),MATCH(  K$442,$A$1:$AP$1,0  )  ),"公","")  ),  LEN(  INDEX(   $A$1:$AJ$39, MATCH($A445,$A$1:$A$39,0),MATCH(  K$442,$A$1:$AP$1,0  )  )  )&gt;LEN(  SUBSTITUTE(  INDEX(   $A$1:$AJ$39, MATCH($A445,$A$1:$A$39,0),MATCH(  K$442,$A$1:$AP$1,0  )  ),"-","")  )  ),  CONCATENATE(  $A445,"(",   SUBSTITUTE(   SUBSTITUTE(  SUBSTITUTE(  INDEX(   $A$1:$AJ$39, MATCH($A445,$A$1:$A$39,0),MATCH(  K$442,$A$442:$AP$442,0  )  ),"公",""),"x","")," ",""),"時",")"),  ""  )  ),  IF(  AND(  LEN(  INDEX(   $A$1:$AJ$39, MATCH($A445,$A$1:$A$39,0),MATCH(  K$442,$A$1:$AP$1,0  )  )  )&gt;LEN(  SUBSTITUTE(  INDEX(   $A$1:$AJ$39, MATCH($A445,$A$1:$A$39,0),MATCH(  K$442,$A$1:$AP$1,0  )  ),"公","")  ),  LEN(  INDEX(   $A$1:$AJ$39, MATCH($A445,$A$1:$A$39,0),MATCH(  K$442,$A$1:$AP$1,0  )  )  )&gt;LEN(  SUBSTITUTE(  INDEX(   $A$1:$AJ$39, MATCH($A445,$A$1:$A$39,0),MATCH(  K$442,$A$1:$AP$1,0  )  ),"-","")  )  ),  CONCATENATE(  $A445,"(",   SUBSTITUTE(   SUBSTITUTE(  SUBSTITUTE(  INDEX(   $A$1:$AJ$39, MATCH($A445,$A$1:$A$39,0),MATCH(  K$442,$A$442:$AP$442,0  )  ),"公",""),"x","")," ",""),"時",")"),  ""  )  )           ))</f>
        <v/>
      </c>
      <c r="L445" s="66" t="str">
        <f t="shared" ref="L445:L477" si="319">IF(    AND( L4="公",  LEN(L444)&gt;=2 ),        "" &amp; $A445,    IF(         AND( L4="公" ),       $A445,        IF(  OR(  LEN(L444)&gt;=2  ),  CONCATENATE(  ".",  IF(  AND(  LEN(  INDEX(   $A$1:$AJ$39, MATCH($A445,$A$1:$A$39,0),MATCH(  L$442,$A$1:$AP$1,0  )  )  )&gt;LEN(  SUBSTITUTE(  INDEX(   $A$1:$AJ$39, MATCH($A445,$A$1:$A$39,0),MATCH(  L$442,$A$1:$AP$1,0  )  ),"公","")  ),  LEN(  INDEX(   $A$1:$AJ$39, MATCH($A445,$A$1:$A$39,0),MATCH(  L$442,$A$1:$AP$1,0  )  )  )&gt;LEN(  SUBSTITUTE(  INDEX(   $A$1:$AJ$39, MATCH($A445,$A$1:$A$39,0),MATCH(  L$442,$A$1:$AP$1,0  )  ),"-","")  )  ),  CONCATENATE(  $A445,"(",   SUBSTITUTE(   SUBSTITUTE(  SUBSTITUTE(  INDEX(   $A$1:$AJ$39, MATCH($A445,$A$1:$A$39,0),MATCH(  L$442,$A$442:$AP$442,0  )  ),"公",""),"x","")," ",""),"時",")"),  ""  )  ),  IF(  AND(  LEN(  INDEX(   $A$1:$AJ$39, MATCH($A445,$A$1:$A$39,0),MATCH(  L$442,$A$1:$AP$1,0  )  )  )&gt;LEN(  SUBSTITUTE(  INDEX(   $A$1:$AJ$39, MATCH($A445,$A$1:$A$39,0),MATCH(  L$442,$A$1:$AP$1,0  )  ),"公","")  ),  LEN(  INDEX(   $A$1:$AJ$39, MATCH($A445,$A$1:$A$39,0),MATCH(  L$442,$A$1:$AP$1,0  )  )  )&gt;LEN(  SUBSTITUTE(  INDEX(   $A$1:$AJ$39, MATCH($A445,$A$1:$A$39,0),MATCH(  L$442,$A$1:$AP$1,0  )  ),"-","")  )  ),  CONCATENATE(  $A445,"(",   SUBSTITUTE(   SUBSTITUTE(  SUBSTITUTE(  INDEX(   $A$1:$AJ$39, MATCH($A445,$A$1:$A$39,0),MATCH(  L$442,$A$442:$AP$442,0  )  ),"公",""),"x","")," ",""),"時",")"),  ""  )  )           ))</f>
        <v/>
      </c>
      <c r="M445" s="66" t="str">
        <f t="shared" ref="M445:M477" si="320">IF(    AND( M4="公",  LEN(M444)&gt;=2 ),        "" &amp; $A445,    IF(         AND( M4="公" ),       $A445,        IF(  OR(  LEN(M444)&gt;=2  ),  CONCATENATE(  ".",  IF(  AND(  LEN(  INDEX(   $A$1:$AJ$39, MATCH($A445,$A$1:$A$39,0),MATCH(  M$442,$A$1:$AP$1,0  )  )  )&gt;LEN(  SUBSTITUTE(  INDEX(   $A$1:$AJ$39, MATCH($A445,$A$1:$A$39,0),MATCH(  M$442,$A$1:$AP$1,0  )  ),"公","")  ),  LEN(  INDEX(   $A$1:$AJ$39, MATCH($A445,$A$1:$A$39,0),MATCH(  M$442,$A$1:$AP$1,0  )  )  )&gt;LEN(  SUBSTITUTE(  INDEX(   $A$1:$AJ$39, MATCH($A445,$A$1:$A$39,0),MATCH(  M$442,$A$1:$AP$1,0  )  ),"-","")  )  ),  CONCATENATE(  $A445,"(",   SUBSTITUTE(   SUBSTITUTE(  SUBSTITUTE(  INDEX(   $A$1:$AJ$39, MATCH($A445,$A$1:$A$39,0),MATCH(  M$442,$A$442:$AP$442,0  )  ),"公",""),"x","")," ",""),"時",")"),  ""  )  ),  IF(  AND(  LEN(  INDEX(   $A$1:$AJ$39, MATCH($A445,$A$1:$A$39,0),MATCH(  M$442,$A$1:$AP$1,0  )  )  )&gt;LEN(  SUBSTITUTE(  INDEX(   $A$1:$AJ$39, MATCH($A445,$A$1:$A$39,0),MATCH(  M$442,$A$1:$AP$1,0  )  ),"公","")  ),  LEN(  INDEX(   $A$1:$AJ$39, MATCH($A445,$A$1:$A$39,0),MATCH(  M$442,$A$1:$AP$1,0  )  )  )&gt;LEN(  SUBSTITUTE(  INDEX(   $A$1:$AJ$39, MATCH($A445,$A$1:$A$39,0),MATCH(  M$442,$A$1:$AP$1,0  )  ),"-","")  )  ),  CONCATENATE(  $A445,"(",   SUBSTITUTE(   SUBSTITUTE(  SUBSTITUTE(  INDEX(   $A$1:$AJ$39, MATCH($A445,$A$1:$A$39,0),MATCH(  M$442,$A$442:$AP$442,0  )  ),"公",""),"x","")," ",""),"時",")"),  ""  )  )           ))</f>
        <v/>
      </c>
      <c r="N445" s="66" t="str">
        <f t="shared" ref="N445:N477" si="321">IF(    AND( N4="公",  LEN(N444)&gt;=2 ),        "" &amp; $A445,    IF(         AND( N4="公" ),       $A445,        IF(  OR(  LEN(N444)&gt;=2  ),  CONCATENATE(  ".",  IF(  AND(  LEN(  INDEX(   $A$1:$AJ$39, MATCH($A445,$A$1:$A$39,0),MATCH(  N$442,$A$1:$AP$1,0  )  )  )&gt;LEN(  SUBSTITUTE(  INDEX(   $A$1:$AJ$39, MATCH($A445,$A$1:$A$39,0),MATCH(  N$442,$A$1:$AP$1,0  )  ),"公","")  ),  LEN(  INDEX(   $A$1:$AJ$39, MATCH($A445,$A$1:$A$39,0),MATCH(  N$442,$A$1:$AP$1,0  )  )  )&gt;LEN(  SUBSTITUTE(  INDEX(   $A$1:$AJ$39, MATCH($A445,$A$1:$A$39,0),MATCH(  N$442,$A$1:$AP$1,0  )  ),"-","")  )  ),  CONCATENATE(  $A445,"(",   SUBSTITUTE(   SUBSTITUTE(  SUBSTITUTE(  INDEX(   $A$1:$AJ$39, MATCH($A445,$A$1:$A$39,0),MATCH(  N$442,$A$442:$AP$442,0  )  ),"公",""),"x","")," ",""),"時",")"),  ""  )  ),  IF(  AND(  LEN(  INDEX(   $A$1:$AJ$39, MATCH($A445,$A$1:$A$39,0),MATCH(  N$442,$A$1:$AP$1,0  )  )  )&gt;LEN(  SUBSTITUTE(  INDEX(   $A$1:$AJ$39, MATCH($A445,$A$1:$A$39,0),MATCH(  N$442,$A$1:$AP$1,0  )  ),"公","")  ),  LEN(  INDEX(   $A$1:$AJ$39, MATCH($A445,$A$1:$A$39,0),MATCH(  N$442,$A$1:$AP$1,0  )  )  )&gt;LEN(  SUBSTITUTE(  INDEX(   $A$1:$AJ$39, MATCH($A445,$A$1:$A$39,0),MATCH(  N$442,$A$1:$AP$1,0  )  ),"-","")  )  ),  CONCATENATE(  $A445,"(",   SUBSTITUTE(   SUBSTITUTE(  SUBSTITUTE(  INDEX(   $A$1:$AJ$39, MATCH($A445,$A$1:$A$39,0),MATCH(  N$442,$A$442:$AP$442,0  )  ),"公",""),"x","")," ",""),"時",")"),  ""  )  )           ))</f>
        <v/>
      </c>
      <c r="O445" s="66" t="str">
        <f t="shared" ref="O445:O477" si="322">IF(    AND( O4="公",  LEN(O444)&gt;=2 ),        "" &amp; $A445,    IF(         AND( O4="公" ),       $A445,        IF(  OR(  LEN(O444)&gt;=2  ),  CONCATENATE(  ".",  IF(  AND(  LEN(  INDEX(   $A$1:$AJ$39, MATCH($A445,$A$1:$A$39,0),MATCH(  O$442,$A$1:$AP$1,0  )  )  )&gt;LEN(  SUBSTITUTE(  INDEX(   $A$1:$AJ$39, MATCH($A445,$A$1:$A$39,0),MATCH(  O$442,$A$1:$AP$1,0  )  ),"公","")  ),  LEN(  INDEX(   $A$1:$AJ$39, MATCH($A445,$A$1:$A$39,0),MATCH(  O$442,$A$1:$AP$1,0  )  )  )&gt;LEN(  SUBSTITUTE(  INDEX(   $A$1:$AJ$39, MATCH($A445,$A$1:$A$39,0),MATCH(  O$442,$A$1:$AP$1,0  )  ),"-","")  )  ),  CONCATENATE(  $A445,"(",   SUBSTITUTE(   SUBSTITUTE(  SUBSTITUTE(  INDEX(   $A$1:$AJ$39, MATCH($A445,$A$1:$A$39,0),MATCH(  O$442,$A$442:$AP$442,0  )  ),"公",""),"x","")," ",""),"時",")"),  ""  )  ),  IF(  AND(  LEN(  INDEX(   $A$1:$AJ$39, MATCH($A445,$A$1:$A$39,0),MATCH(  O$442,$A$1:$AP$1,0  )  )  )&gt;LEN(  SUBSTITUTE(  INDEX(   $A$1:$AJ$39, MATCH($A445,$A$1:$A$39,0),MATCH(  O$442,$A$1:$AP$1,0  )  ),"公","")  ),  LEN(  INDEX(   $A$1:$AJ$39, MATCH($A445,$A$1:$A$39,0),MATCH(  O$442,$A$1:$AP$1,0  )  )  )&gt;LEN(  SUBSTITUTE(  INDEX(   $A$1:$AJ$39, MATCH($A445,$A$1:$A$39,0),MATCH(  O$442,$A$1:$AP$1,0  )  ),"-","")  )  ),  CONCATENATE(  $A445,"(",   SUBSTITUTE(   SUBSTITUTE(  SUBSTITUTE(  INDEX(   $A$1:$AJ$39, MATCH($A445,$A$1:$A$39,0),MATCH(  O$442,$A$442:$AP$442,0  )  ),"公",""),"x","")," ",""),"時",")"),  ""  )  )           ))</f>
        <v/>
      </c>
      <c r="P445" s="66" t="str">
        <f t="shared" ref="P445:P477" si="323">IF(    AND( P4="公",  LEN(P444)&gt;=2 ),        "" &amp; $A445,    IF(         AND( P4="公" ),       $A445,        IF(  OR(  LEN(P444)&gt;=2  ),  CONCATENATE(  ".",  IF(  AND(  LEN(  INDEX(   $A$1:$AJ$39, MATCH($A445,$A$1:$A$39,0),MATCH(  P$442,$A$1:$AP$1,0  )  )  )&gt;LEN(  SUBSTITUTE(  INDEX(   $A$1:$AJ$39, MATCH($A445,$A$1:$A$39,0),MATCH(  P$442,$A$1:$AP$1,0  )  ),"公","")  ),  LEN(  INDEX(   $A$1:$AJ$39, MATCH($A445,$A$1:$A$39,0),MATCH(  P$442,$A$1:$AP$1,0  )  )  )&gt;LEN(  SUBSTITUTE(  INDEX(   $A$1:$AJ$39, MATCH($A445,$A$1:$A$39,0),MATCH(  P$442,$A$1:$AP$1,0  )  ),"-","")  )  ),  CONCATENATE(  $A445,"(",   SUBSTITUTE(   SUBSTITUTE(  SUBSTITUTE(  INDEX(   $A$1:$AJ$39, MATCH($A445,$A$1:$A$39,0),MATCH(  P$442,$A$442:$AP$442,0  )  ),"公",""),"x","")," ",""),"時",")"),  ""  )  ),  IF(  AND(  LEN(  INDEX(   $A$1:$AJ$39, MATCH($A445,$A$1:$A$39,0),MATCH(  P$442,$A$1:$AP$1,0  )  )  )&gt;LEN(  SUBSTITUTE(  INDEX(   $A$1:$AJ$39, MATCH($A445,$A$1:$A$39,0),MATCH(  P$442,$A$1:$AP$1,0  )  ),"公","")  ),  LEN(  INDEX(   $A$1:$AJ$39, MATCH($A445,$A$1:$A$39,0),MATCH(  P$442,$A$1:$AP$1,0  )  )  )&gt;LEN(  SUBSTITUTE(  INDEX(   $A$1:$AJ$39, MATCH($A445,$A$1:$A$39,0),MATCH(  P$442,$A$1:$AP$1,0  )  ),"-","")  )  ),  CONCATENATE(  $A445,"(",   SUBSTITUTE(   SUBSTITUTE(  SUBSTITUTE(  INDEX(   $A$1:$AJ$39, MATCH($A445,$A$1:$A$39,0),MATCH(  P$442,$A$442:$AP$442,0  )  ),"公",""),"x","")," ",""),"時",")"),  ""  )  )           ))</f>
        <v/>
      </c>
      <c r="Q445" s="66" t="str">
        <f t="shared" ref="Q445:Q477" si="324">IF(    AND( Q4="公",  LEN(Q444)&gt;=2 ),        "" &amp; $A445,    IF(         AND( Q4="公" ),       $A445,        IF(  OR(  LEN(Q444)&gt;=2  ),  CONCATENATE(  ".",  IF(  AND(  LEN(  INDEX(   $A$1:$AJ$39, MATCH($A445,$A$1:$A$39,0),MATCH(  Q$442,$A$1:$AP$1,0  )  )  )&gt;LEN(  SUBSTITUTE(  INDEX(   $A$1:$AJ$39, MATCH($A445,$A$1:$A$39,0),MATCH(  Q$442,$A$1:$AP$1,0  )  ),"公","")  ),  LEN(  INDEX(   $A$1:$AJ$39, MATCH($A445,$A$1:$A$39,0),MATCH(  Q$442,$A$1:$AP$1,0  )  )  )&gt;LEN(  SUBSTITUTE(  INDEX(   $A$1:$AJ$39, MATCH($A445,$A$1:$A$39,0),MATCH(  Q$442,$A$1:$AP$1,0  )  ),"-","")  )  ),  CONCATENATE(  $A445,"(",   SUBSTITUTE(   SUBSTITUTE(  SUBSTITUTE(  INDEX(   $A$1:$AJ$39, MATCH($A445,$A$1:$A$39,0),MATCH(  Q$442,$A$442:$AP$442,0  )  ),"公",""),"x","")," ",""),"時",")"),  ""  )  ),  IF(  AND(  LEN(  INDEX(   $A$1:$AJ$39, MATCH($A445,$A$1:$A$39,0),MATCH(  Q$442,$A$1:$AP$1,0  )  )  )&gt;LEN(  SUBSTITUTE(  INDEX(   $A$1:$AJ$39, MATCH($A445,$A$1:$A$39,0),MATCH(  Q$442,$A$1:$AP$1,0  )  ),"公","")  ),  LEN(  INDEX(   $A$1:$AJ$39, MATCH($A445,$A$1:$A$39,0),MATCH(  Q$442,$A$1:$AP$1,0  )  )  )&gt;LEN(  SUBSTITUTE(  INDEX(   $A$1:$AJ$39, MATCH($A445,$A$1:$A$39,0),MATCH(  Q$442,$A$1:$AP$1,0  )  ),"-","")  )  ),  CONCATENATE(  $A445,"(",   SUBSTITUTE(   SUBSTITUTE(  SUBSTITUTE(  INDEX(   $A$1:$AJ$39, MATCH($A445,$A$1:$A$39,0),MATCH(  Q$442,$A$442:$AP$442,0  )  ),"公",""),"x","")," ",""),"時",")"),  ""  )  )           ))</f>
        <v/>
      </c>
      <c r="R445" s="66" t="str">
        <f t="shared" ref="R445:R477" si="325">IF(    AND( R4="公",  LEN(R444)&gt;=2 ),        "" &amp; $A445,    IF(         AND( R4="公" ),       $A445,        IF(  OR(  LEN(R444)&gt;=2  ),  CONCATENATE(  ".",  IF(  AND(  LEN(  INDEX(   $A$1:$AJ$39, MATCH($A445,$A$1:$A$39,0),MATCH(  R$442,$A$1:$AP$1,0  )  )  )&gt;LEN(  SUBSTITUTE(  INDEX(   $A$1:$AJ$39, MATCH($A445,$A$1:$A$39,0),MATCH(  R$442,$A$1:$AP$1,0  )  ),"公","")  ),  LEN(  INDEX(   $A$1:$AJ$39, MATCH($A445,$A$1:$A$39,0),MATCH(  R$442,$A$1:$AP$1,0  )  )  )&gt;LEN(  SUBSTITUTE(  INDEX(   $A$1:$AJ$39, MATCH($A445,$A$1:$A$39,0),MATCH(  R$442,$A$1:$AP$1,0  )  ),"-","")  )  ),  CONCATENATE(  $A445,"(",   SUBSTITUTE(   SUBSTITUTE(  SUBSTITUTE(  INDEX(   $A$1:$AJ$39, MATCH($A445,$A$1:$A$39,0),MATCH(  R$442,$A$442:$AP$442,0  )  ),"公",""),"x","")," ",""),"時",")"),  ""  )  ),  IF(  AND(  LEN(  INDEX(   $A$1:$AJ$39, MATCH($A445,$A$1:$A$39,0),MATCH(  R$442,$A$1:$AP$1,0  )  )  )&gt;LEN(  SUBSTITUTE(  INDEX(   $A$1:$AJ$39, MATCH($A445,$A$1:$A$39,0),MATCH(  R$442,$A$1:$AP$1,0  )  ),"公","")  ),  LEN(  INDEX(   $A$1:$AJ$39, MATCH($A445,$A$1:$A$39,0),MATCH(  R$442,$A$1:$AP$1,0  )  )  )&gt;LEN(  SUBSTITUTE(  INDEX(   $A$1:$AJ$39, MATCH($A445,$A$1:$A$39,0),MATCH(  R$442,$A$1:$AP$1,0  )  ),"-","")  )  ),  CONCATENATE(  $A445,"(",   SUBSTITUTE(   SUBSTITUTE(  SUBSTITUTE(  INDEX(   $A$1:$AJ$39, MATCH($A445,$A$1:$A$39,0),MATCH(  R$442,$A$442:$AP$442,0  )  ),"公",""),"x","")," ",""),"時",")"),  ""  )  )           ))</f>
        <v/>
      </c>
      <c r="S445" s="66" t="str">
        <f t="shared" ref="S445:S477" si="326">IF(    AND( S4="公",  LEN(S444)&gt;=2 ),        "" &amp; $A445,    IF(         AND( S4="公" ),       $A445,        IF(  OR(  LEN(S444)&gt;=2  ),  CONCATENATE(  ".",  IF(  AND(  LEN(  INDEX(   $A$1:$AJ$39, MATCH($A445,$A$1:$A$39,0),MATCH(  S$442,$A$1:$AP$1,0  )  )  )&gt;LEN(  SUBSTITUTE(  INDEX(   $A$1:$AJ$39, MATCH($A445,$A$1:$A$39,0),MATCH(  S$442,$A$1:$AP$1,0  )  ),"公","")  ),  LEN(  INDEX(   $A$1:$AJ$39, MATCH($A445,$A$1:$A$39,0),MATCH(  S$442,$A$1:$AP$1,0  )  )  )&gt;LEN(  SUBSTITUTE(  INDEX(   $A$1:$AJ$39, MATCH($A445,$A$1:$A$39,0),MATCH(  S$442,$A$1:$AP$1,0  )  ),"-","")  )  ),  CONCATENATE(  $A445,"(",   SUBSTITUTE(   SUBSTITUTE(  SUBSTITUTE(  INDEX(   $A$1:$AJ$39, MATCH($A445,$A$1:$A$39,0),MATCH(  S$442,$A$442:$AP$442,0  )  ),"公",""),"x","")," ",""),"時",")"),  ""  )  ),  IF(  AND(  LEN(  INDEX(   $A$1:$AJ$39, MATCH($A445,$A$1:$A$39,0),MATCH(  S$442,$A$1:$AP$1,0  )  )  )&gt;LEN(  SUBSTITUTE(  INDEX(   $A$1:$AJ$39, MATCH($A445,$A$1:$A$39,0),MATCH(  S$442,$A$1:$AP$1,0  )  ),"公","")  ),  LEN(  INDEX(   $A$1:$AJ$39, MATCH($A445,$A$1:$A$39,0),MATCH(  S$442,$A$1:$AP$1,0  )  )  )&gt;LEN(  SUBSTITUTE(  INDEX(   $A$1:$AJ$39, MATCH($A445,$A$1:$A$39,0),MATCH(  S$442,$A$1:$AP$1,0  )  ),"-","")  )  ),  CONCATENATE(  $A445,"(",   SUBSTITUTE(   SUBSTITUTE(  SUBSTITUTE(  INDEX(   $A$1:$AJ$39, MATCH($A445,$A$1:$A$39,0),MATCH(  S$442,$A$442:$AP$442,0  )  ),"公",""),"x","")," ",""),"時",")"),  ""  )  )           ))</f>
        <v/>
      </c>
      <c r="T445" s="66" t="str">
        <f t="shared" ref="T445:T477" si="327">IF(    AND( T4="公",  LEN(T444)&gt;=2 ),        "" &amp; $A445,    IF(         AND( T4="公" ),       $A445,        IF(  OR(  LEN(T444)&gt;=2  ),  CONCATENATE(  ".",  IF(  AND(  LEN(  INDEX(   $A$1:$AJ$39, MATCH($A445,$A$1:$A$39,0),MATCH(  T$442,$A$1:$AP$1,0  )  )  )&gt;LEN(  SUBSTITUTE(  INDEX(   $A$1:$AJ$39, MATCH($A445,$A$1:$A$39,0),MATCH(  T$442,$A$1:$AP$1,0  )  ),"公","")  ),  LEN(  INDEX(   $A$1:$AJ$39, MATCH($A445,$A$1:$A$39,0),MATCH(  T$442,$A$1:$AP$1,0  )  )  )&gt;LEN(  SUBSTITUTE(  INDEX(   $A$1:$AJ$39, MATCH($A445,$A$1:$A$39,0),MATCH(  T$442,$A$1:$AP$1,0  )  ),"-","")  )  ),  CONCATENATE(  $A445,"(",   SUBSTITUTE(   SUBSTITUTE(  SUBSTITUTE(  INDEX(   $A$1:$AJ$39, MATCH($A445,$A$1:$A$39,0),MATCH(  T$442,$A$442:$AP$442,0  )  ),"公",""),"x","")," ",""),"時",")"),  ""  )  ),  IF(  AND(  LEN(  INDEX(   $A$1:$AJ$39, MATCH($A445,$A$1:$A$39,0),MATCH(  T$442,$A$1:$AP$1,0  )  )  )&gt;LEN(  SUBSTITUTE(  INDEX(   $A$1:$AJ$39, MATCH($A445,$A$1:$A$39,0),MATCH(  T$442,$A$1:$AP$1,0  )  ),"公","")  ),  LEN(  INDEX(   $A$1:$AJ$39, MATCH($A445,$A$1:$A$39,0),MATCH(  T$442,$A$1:$AP$1,0  )  )  )&gt;LEN(  SUBSTITUTE(  INDEX(   $A$1:$AJ$39, MATCH($A445,$A$1:$A$39,0),MATCH(  T$442,$A$1:$AP$1,0  )  ),"-","")  )  ),  CONCATENATE(  $A445,"(",   SUBSTITUTE(   SUBSTITUTE(  SUBSTITUTE(  INDEX(   $A$1:$AJ$39, MATCH($A445,$A$1:$A$39,0),MATCH(  T$442,$A$442:$AP$442,0  )  ),"公",""),"x","")," ",""),"時",")"),  ""  )  )           ))</f>
        <v/>
      </c>
      <c r="U445" s="66" t="str">
        <f t="shared" ref="U445:U477" si="328">IF(    AND( U4="公",  LEN(U444)&gt;=2 ),        "" &amp; $A445,    IF(         AND( U4="公" ),       $A445,        IF(  OR(  LEN(U444)&gt;=2  ),  CONCATENATE(  ".",  IF(  AND(  LEN(  INDEX(   $A$1:$AJ$39, MATCH($A445,$A$1:$A$39,0),MATCH(  U$442,$A$1:$AP$1,0  )  )  )&gt;LEN(  SUBSTITUTE(  INDEX(   $A$1:$AJ$39, MATCH($A445,$A$1:$A$39,0),MATCH(  U$442,$A$1:$AP$1,0  )  ),"公","")  ),  LEN(  INDEX(   $A$1:$AJ$39, MATCH($A445,$A$1:$A$39,0),MATCH(  U$442,$A$1:$AP$1,0  )  )  )&gt;LEN(  SUBSTITUTE(  INDEX(   $A$1:$AJ$39, MATCH($A445,$A$1:$A$39,0),MATCH(  U$442,$A$1:$AP$1,0  )  ),"-","")  )  ),  CONCATENATE(  $A445,"(",   SUBSTITUTE(   SUBSTITUTE(  SUBSTITUTE(  INDEX(   $A$1:$AJ$39, MATCH($A445,$A$1:$A$39,0),MATCH(  U$442,$A$442:$AP$442,0  )  ),"公",""),"x","")," ",""),"時",")"),  ""  )  ),  IF(  AND(  LEN(  INDEX(   $A$1:$AJ$39, MATCH($A445,$A$1:$A$39,0),MATCH(  U$442,$A$1:$AP$1,0  )  )  )&gt;LEN(  SUBSTITUTE(  INDEX(   $A$1:$AJ$39, MATCH($A445,$A$1:$A$39,0),MATCH(  U$442,$A$1:$AP$1,0  )  ),"公","")  ),  LEN(  INDEX(   $A$1:$AJ$39, MATCH($A445,$A$1:$A$39,0),MATCH(  U$442,$A$1:$AP$1,0  )  )  )&gt;LEN(  SUBSTITUTE(  INDEX(   $A$1:$AJ$39, MATCH($A445,$A$1:$A$39,0),MATCH(  U$442,$A$1:$AP$1,0  )  ),"-","")  )  ),  CONCATENATE(  $A445,"(",   SUBSTITUTE(   SUBSTITUTE(  SUBSTITUTE(  INDEX(   $A$1:$AJ$39, MATCH($A445,$A$1:$A$39,0),MATCH(  U$442,$A$442:$AP$442,0  )  ),"公",""),"x","")," ",""),"時",")"),  ""  )  )           ))</f>
        <v/>
      </c>
      <c r="V445" s="66" t="str">
        <f t="shared" ref="V445:V477" si="329">IF(    AND( V4="公",  LEN(V444)&gt;=2 ),        "" &amp; $A445,    IF(         AND( V4="公" ),       $A445,        IF(  OR(  LEN(V444)&gt;=2  ),  CONCATENATE(  ".",  IF(  AND(  LEN(  INDEX(   $A$1:$AJ$39, MATCH($A445,$A$1:$A$39,0),MATCH(  V$442,$A$1:$AP$1,0  )  )  )&gt;LEN(  SUBSTITUTE(  INDEX(   $A$1:$AJ$39, MATCH($A445,$A$1:$A$39,0),MATCH(  V$442,$A$1:$AP$1,0  )  ),"公","")  ),  LEN(  INDEX(   $A$1:$AJ$39, MATCH($A445,$A$1:$A$39,0),MATCH(  V$442,$A$1:$AP$1,0  )  )  )&gt;LEN(  SUBSTITUTE(  INDEX(   $A$1:$AJ$39, MATCH($A445,$A$1:$A$39,0),MATCH(  V$442,$A$1:$AP$1,0  )  ),"-","")  )  ),  CONCATENATE(  $A445,"(",   SUBSTITUTE(   SUBSTITUTE(  SUBSTITUTE(  INDEX(   $A$1:$AJ$39, MATCH($A445,$A$1:$A$39,0),MATCH(  V$442,$A$442:$AP$442,0  )  ),"公",""),"x","")," ",""),"時",")"),  ""  )  ),  IF(  AND(  LEN(  INDEX(   $A$1:$AJ$39, MATCH($A445,$A$1:$A$39,0),MATCH(  V$442,$A$1:$AP$1,0  )  )  )&gt;LEN(  SUBSTITUTE(  INDEX(   $A$1:$AJ$39, MATCH($A445,$A$1:$A$39,0),MATCH(  V$442,$A$1:$AP$1,0  )  ),"公","")  ),  LEN(  INDEX(   $A$1:$AJ$39, MATCH($A445,$A$1:$A$39,0),MATCH(  V$442,$A$1:$AP$1,0  )  )  )&gt;LEN(  SUBSTITUTE(  INDEX(   $A$1:$AJ$39, MATCH($A445,$A$1:$A$39,0),MATCH(  V$442,$A$1:$AP$1,0  )  ),"-","")  )  ),  CONCATENATE(  $A445,"(",   SUBSTITUTE(   SUBSTITUTE(  SUBSTITUTE(  INDEX(   $A$1:$AJ$39, MATCH($A445,$A$1:$A$39,0),MATCH(  V$442,$A$442:$AP$442,0  )  ),"公",""),"x","")," ",""),"時",")"),  ""  )  )           ))</f>
        <v/>
      </c>
      <c r="W445" s="66" t="str">
        <f t="shared" ref="W445:W477" si="330">IF(    AND( W4="公",  LEN(W444)&gt;=2 ),        "" &amp; $A445,    IF(         AND( W4="公" ),       $A445,        IF(  OR(  LEN(W444)&gt;=2  ),  CONCATENATE(  ".",  IF(  AND(  LEN(  INDEX(   $A$1:$AJ$39, MATCH($A445,$A$1:$A$39,0),MATCH(  W$442,$A$1:$AP$1,0  )  )  )&gt;LEN(  SUBSTITUTE(  INDEX(   $A$1:$AJ$39, MATCH($A445,$A$1:$A$39,0),MATCH(  W$442,$A$1:$AP$1,0  )  ),"公","")  ),  LEN(  INDEX(   $A$1:$AJ$39, MATCH($A445,$A$1:$A$39,0),MATCH(  W$442,$A$1:$AP$1,0  )  )  )&gt;LEN(  SUBSTITUTE(  INDEX(   $A$1:$AJ$39, MATCH($A445,$A$1:$A$39,0),MATCH(  W$442,$A$1:$AP$1,0  )  ),"-","")  )  ),  CONCATENATE(  $A445,"(",   SUBSTITUTE(   SUBSTITUTE(  SUBSTITUTE(  INDEX(   $A$1:$AJ$39, MATCH($A445,$A$1:$A$39,0),MATCH(  W$442,$A$442:$AP$442,0  )  ),"公",""),"x","")," ",""),"時",")"),  ""  )  ),  IF(  AND(  LEN(  INDEX(   $A$1:$AJ$39, MATCH($A445,$A$1:$A$39,0),MATCH(  W$442,$A$1:$AP$1,0  )  )  )&gt;LEN(  SUBSTITUTE(  INDEX(   $A$1:$AJ$39, MATCH($A445,$A$1:$A$39,0),MATCH(  W$442,$A$1:$AP$1,0  )  ),"公","")  ),  LEN(  INDEX(   $A$1:$AJ$39, MATCH($A445,$A$1:$A$39,0),MATCH(  W$442,$A$1:$AP$1,0  )  )  )&gt;LEN(  SUBSTITUTE(  INDEX(   $A$1:$AJ$39, MATCH($A445,$A$1:$A$39,0),MATCH(  W$442,$A$1:$AP$1,0  )  ),"-","")  )  ),  CONCATENATE(  $A445,"(",   SUBSTITUTE(   SUBSTITUTE(  SUBSTITUTE(  INDEX(   $A$1:$AJ$39, MATCH($A445,$A$1:$A$39,0),MATCH(  W$442,$A$442:$AP$442,0  )  ),"公",""),"x","")," ",""),"時",")"),  ""  )  )           ))</f>
        <v/>
      </c>
      <c r="X445" s="66" t="str">
        <f t="shared" ref="X445:X477" si="331">IF(    AND( X4="公",  LEN(X444)&gt;=2 ),        "" &amp; $A445,    IF(         AND( X4="公" ),       $A445,        IF(  OR(  LEN(X444)&gt;=2  ),  CONCATENATE(  ".",  IF(  AND(  LEN(  INDEX(   $A$1:$AJ$39, MATCH($A445,$A$1:$A$39,0),MATCH(  X$442,$A$1:$AP$1,0  )  )  )&gt;LEN(  SUBSTITUTE(  INDEX(   $A$1:$AJ$39, MATCH($A445,$A$1:$A$39,0),MATCH(  X$442,$A$1:$AP$1,0  )  ),"公","")  ),  LEN(  INDEX(   $A$1:$AJ$39, MATCH($A445,$A$1:$A$39,0),MATCH(  X$442,$A$1:$AP$1,0  )  )  )&gt;LEN(  SUBSTITUTE(  INDEX(   $A$1:$AJ$39, MATCH($A445,$A$1:$A$39,0),MATCH(  X$442,$A$1:$AP$1,0  )  ),"-","")  )  ),  CONCATENATE(  $A445,"(",   SUBSTITUTE(   SUBSTITUTE(  SUBSTITUTE(  INDEX(   $A$1:$AJ$39, MATCH($A445,$A$1:$A$39,0),MATCH(  X$442,$A$442:$AP$442,0  )  ),"公",""),"x","")," ",""),"時",")"),  ""  )  ),  IF(  AND(  LEN(  INDEX(   $A$1:$AJ$39, MATCH($A445,$A$1:$A$39,0),MATCH(  X$442,$A$1:$AP$1,0  )  )  )&gt;LEN(  SUBSTITUTE(  INDEX(   $A$1:$AJ$39, MATCH($A445,$A$1:$A$39,0),MATCH(  X$442,$A$1:$AP$1,0  )  ),"公","")  ),  LEN(  INDEX(   $A$1:$AJ$39, MATCH($A445,$A$1:$A$39,0),MATCH(  X$442,$A$1:$AP$1,0  )  )  )&gt;LEN(  SUBSTITUTE(  INDEX(   $A$1:$AJ$39, MATCH($A445,$A$1:$A$39,0),MATCH(  X$442,$A$1:$AP$1,0  )  ),"-","")  )  ),  CONCATENATE(  $A445,"(",   SUBSTITUTE(   SUBSTITUTE(  SUBSTITUTE(  INDEX(   $A$1:$AJ$39, MATCH($A445,$A$1:$A$39,0),MATCH(  X$442,$A$442:$AP$442,0  )  ),"公",""),"x","")," ",""),"時",")"),  ""  )  )           ))</f>
        <v/>
      </c>
      <c r="Y445" s="66" t="str">
        <f t="shared" ref="Y445:Y477" si="332">IF(    AND( Y4="公",  LEN(Y444)&gt;=2 ),        "" &amp; $A445,    IF(         AND( Y4="公" ),       $A445,        IF(  OR(  LEN(Y444)&gt;=2  ),  CONCATENATE(  ".",  IF(  AND(  LEN(  INDEX(   $A$1:$AJ$39, MATCH($A445,$A$1:$A$39,0),MATCH(  Y$442,$A$1:$AP$1,0  )  )  )&gt;LEN(  SUBSTITUTE(  INDEX(   $A$1:$AJ$39, MATCH($A445,$A$1:$A$39,0),MATCH(  Y$442,$A$1:$AP$1,0  )  ),"公","")  ),  LEN(  INDEX(   $A$1:$AJ$39, MATCH($A445,$A$1:$A$39,0),MATCH(  Y$442,$A$1:$AP$1,0  )  )  )&gt;LEN(  SUBSTITUTE(  INDEX(   $A$1:$AJ$39, MATCH($A445,$A$1:$A$39,0),MATCH(  Y$442,$A$1:$AP$1,0  )  ),"-","")  )  ),  CONCATENATE(  $A445,"(",   SUBSTITUTE(   SUBSTITUTE(  SUBSTITUTE(  INDEX(   $A$1:$AJ$39, MATCH($A445,$A$1:$A$39,0),MATCH(  Y$442,$A$442:$AP$442,0  )  ),"公",""),"x","")," ",""),"時",")"),  ""  )  ),  IF(  AND(  LEN(  INDEX(   $A$1:$AJ$39, MATCH($A445,$A$1:$A$39,0),MATCH(  Y$442,$A$1:$AP$1,0  )  )  )&gt;LEN(  SUBSTITUTE(  INDEX(   $A$1:$AJ$39, MATCH($A445,$A$1:$A$39,0),MATCH(  Y$442,$A$1:$AP$1,0  )  ),"公","")  ),  LEN(  INDEX(   $A$1:$AJ$39, MATCH($A445,$A$1:$A$39,0),MATCH(  Y$442,$A$1:$AP$1,0  )  )  )&gt;LEN(  SUBSTITUTE(  INDEX(   $A$1:$AJ$39, MATCH($A445,$A$1:$A$39,0),MATCH(  Y$442,$A$1:$AP$1,0  )  ),"-","")  )  ),  CONCATENATE(  $A445,"(",   SUBSTITUTE(   SUBSTITUTE(  SUBSTITUTE(  INDEX(   $A$1:$AJ$39, MATCH($A445,$A$1:$A$39,0),MATCH(  Y$442,$A$442:$AP$442,0  )  ),"公",""),"x","")," ",""),"時",")"),  ""  )  )           ))</f>
        <v/>
      </c>
      <c r="Z445" s="66" t="str">
        <f t="shared" ref="Z445:Z477" si="333">IF(    AND( Z4="公",  LEN(Z444)&gt;=2 ),        "" &amp; $A445,    IF(         AND( Z4="公" ),       $A445,        IF(  OR(  LEN(Z444)&gt;=2  ),  CONCATENATE(  ".",  IF(  AND(  LEN(  INDEX(   $A$1:$AJ$39, MATCH($A445,$A$1:$A$39,0),MATCH(  Z$442,$A$1:$AP$1,0  )  )  )&gt;LEN(  SUBSTITUTE(  INDEX(   $A$1:$AJ$39, MATCH($A445,$A$1:$A$39,0),MATCH(  Z$442,$A$1:$AP$1,0  )  ),"公","")  ),  LEN(  INDEX(   $A$1:$AJ$39, MATCH($A445,$A$1:$A$39,0),MATCH(  Z$442,$A$1:$AP$1,0  )  )  )&gt;LEN(  SUBSTITUTE(  INDEX(   $A$1:$AJ$39, MATCH($A445,$A$1:$A$39,0),MATCH(  Z$442,$A$1:$AP$1,0  )  ),"-","")  )  ),  CONCATENATE(  $A445,"(",   SUBSTITUTE(   SUBSTITUTE(  SUBSTITUTE(  INDEX(   $A$1:$AJ$39, MATCH($A445,$A$1:$A$39,0),MATCH(  Z$442,$A$442:$AP$442,0  )  ),"公",""),"x","")," ",""),"時",")"),  ""  )  ),  IF(  AND(  LEN(  INDEX(   $A$1:$AJ$39, MATCH($A445,$A$1:$A$39,0),MATCH(  Z$442,$A$1:$AP$1,0  )  )  )&gt;LEN(  SUBSTITUTE(  INDEX(   $A$1:$AJ$39, MATCH($A445,$A$1:$A$39,0),MATCH(  Z$442,$A$1:$AP$1,0  )  ),"公","")  ),  LEN(  INDEX(   $A$1:$AJ$39, MATCH($A445,$A$1:$A$39,0),MATCH(  Z$442,$A$1:$AP$1,0  )  )  )&gt;LEN(  SUBSTITUTE(  INDEX(   $A$1:$AJ$39, MATCH($A445,$A$1:$A$39,0),MATCH(  Z$442,$A$1:$AP$1,0  )  ),"-","")  )  ),  CONCATENATE(  $A445,"(",   SUBSTITUTE(   SUBSTITUTE(  SUBSTITUTE(  INDEX(   $A$1:$AJ$39, MATCH($A445,$A$1:$A$39,0),MATCH(  Z$442,$A$442:$AP$442,0  )  ),"公",""),"x","")," ",""),"時",")"),  ""  )  )           ))</f>
        <v/>
      </c>
      <c r="AA445" s="66" t="str">
        <f t="shared" ref="AA445:AA477" si="334">IF(    AND( AA4="公",  LEN(AA444)&gt;=2 ),        "" &amp; $A445,    IF(         AND( AA4="公" ),       $A445,        IF(  OR(  LEN(AA444)&gt;=2  ),  CONCATENATE(  ".",  IF(  AND(  LEN(  INDEX(   $A$1:$AJ$39, MATCH($A445,$A$1:$A$39,0),MATCH(  AA$442,$A$1:$AP$1,0  )  )  )&gt;LEN(  SUBSTITUTE(  INDEX(   $A$1:$AJ$39, MATCH($A445,$A$1:$A$39,0),MATCH(  AA$442,$A$1:$AP$1,0  )  ),"公","")  ),  LEN(  INDEX(   $A$1:$AJ$39, MATCH($A445,$A$1:$A$39,0),MATCH(  AA$442,$A$1:$AP$1,0  )  )  )&gt;LEN(  SUBSTITUTE(  INDEX(   $A$1:$AJ$39, MATCH($A445,$A$1:$A$39,0),MATCH(  AA$442,$A$1:$AP$1,0  )  ),"-","")  )  ),  CONCATENATE(  $A445,"(",   SUBSTITUTE(   SUBSTITUTE(  SUBSTITUTE(  INDEX(   $A$1:$AJ$39, MATCH($A445,$A$1:$A$39,0),MATCH(  AA$442,$A$442:$AP$442,0  )  ),"公",""),"x","")," ",""),"時",")"),  ""  )  ),  IF(  AND(  LEN(  INDEX(   $A$1:$AJ$39, MATCH($A445,$A$1:$A$39,0),MATCH(  AA$442,$A$1:$AP$1,0  )  )  )&gt;LEN(  SUBSTITUTE(  INDEX(   $A$1:$AJ$39, MATCH($A445,$A$1:$A$39,0),MATCH(  AA$442,$A$1:$AP$1,0  )  ),"公","")  ),  LEN(  INDEX(   $A$1:$AJ$39, MATCH($A445,$A$1:$A$39,0),MATCH(  AA$442,$A$1:$AP$1,0  )  )  )&gt;LEN(  SUBSTITUTE(  INDEX(   $A$1:$AJ$39, MATCH($A445,$A$1:$A$39,0),MATCH(  AA$442,$A$1:$AP$1,0  )  ),"-","")  )  ),  CONCATENATE(  $A445,"(",   SUBSTITUTE(   SUBSTITUTE(  SUBSTITUTE(  INDEX(   $A$1:$AJ$39, MATCH($A445,$A$1:$A$39,0),MATCH(  AA$442,$A$442:$AP$442,0  )  ),"公",""),"x","")," ",""),"時",")"),  ""  )  )           ))</f>
        <v/>
      </c>
      <c r="AB445" s="66" t="str">
        <f t="shared" ref="AB445:AB477" si="335">IF(    AND( AB4="公",  LEN(AB444)&gt;=2 ),        "" &amp; $A445,    IF(         AND( AB4="公" ),       $A445,        IF(  OR(  LEN(AB444)&gt;=2  ),  CONCATENATE(  ".",  IF(  AND(  LEN(  INDEX(   $A$1:$AJ$39, MATCH($A445,$A$1:$A$39,0),MATCH(  AB$442,$A$1:$AP$1,0  )  )  )&gt;LEN(  SUBSTITUTE(  INDEX(   $A$1:$AJ$39, MATCH($A445,$A$1:$A$39,0),MATCH(  AB$442,$A$1:$AP$1,0  )  ),"公","")  ),  LEN(  INDEX(   $A$1:$AJ$39, MATCH($A445,$A$1:$A$39,0),MATCH(  AB$442,$A$1:$AP$1,0  )  )  )&gt;LEN(  SUBSTITUTE(  INDEX(   $A$1:$AJ$39, MATCH($A445,$A$1:$A$39,0),MATCH(  AB$442,$A$1:$AP$1,0  )  ),"-","")  )  ),  CONCATENATE(  $A445,"(",   SUBSTITUTE(   SUBSTITUTE(  SUBSTITUTE(  INDEX(   $A$1:$AJ$39, MATCH($A445,$A$1:$A$39,0),MATCH(  AB$442,$A$442:$AP$442,0  )  ),"公",""),"x","")," ",""),"時",")"),  ""  )  ),  IF(  AND(  LEN(  INDEX(   $A$1:$AJ$39, MATCH($A445,$A$1:$A$39,0),MATCH(  AB$442,$A$1:$AP$1,0  )  )  )&gt;LEN(  SUBSTITUTE(  INDEX(   $A$1:$AJ$39, MATCH($A445,$A$1:$A$39,0),MATCH(  AB$442,$A$1:$AP$1,0  )  ),"公","")  ),  LEN(  INDEX(   $A$1:$AJ$39, MATCH($A445,$A$1:$A$39,0),MATCH(  AB$442,$A$1:$AP$1,0  )  )  )&gt;LEN(  SUBSTITUTE(  INDEX(   $A$1:$AJ$39, MATCH($A445,$A$1:$A$39,0),MATCH(  AB$442,$A$1:$AP$1,0  )  ),"-","")  )  ),  CONCATENATE(  $A445,"(",   SUBSTITUTE(   SUBSTITUTE(  SUBSTITUTE(  INDEX(   $A$1:$AJ$39, MATCH($A445,$A$1:$A$39,0),MATCH(  AB$442,$A$442:$AP$442,0  )  ),"公",""),"x","")," ",""),"時",")"),  ""  )  )           ))</f>
        <v/>
      </c>
      <c r="AC445" s="66" t="str">
        <f t="shared" ref="AC445:AC477" si="336">IF(    AND( AC4="公",  LEN(AC444)&gt;=2 ),        "" &amp; $A445,    IF(         AND( AC4="公" ),       $A445,        IF(  OR(  LEN(AC444)&gt;=2  ),  CONCATENATE(  ".",  IF(  AND(  LEN(  INDEX(   $A$1:$AJ$39, MATCH($A445,$A$1:$A$39,0),MATCH(  AC$442,$A$1:$AP$1,0  )  )  )&gt;LEN(  SUBSTITUTE(  INDEX(   $A$1:$AJ$39, MATCH($A445,$A$1:$A$39,0),MATCH(  AC$442,$A$1:$AP$1,0  )  ),"公","")  ),  LEN(  INDEX(   $A$1:$AJ$39, MATCH($A445,$A$1:$A$39,0),MATCH(  AC$442,$A$1:$AP$1,0  )  )  )&gt;LEN(  SUBSTITUTE(  INDEX(   $A$1:$AJ$39, MATCH($A445,$A$1:$A$39,0),MATCH(  AC$442,$A$1:$AP$1,0  )  ),"-","")  )  ),  CONCATENATE(  $A445,"(",   SUBSTITUTE(   SUBSTITUTE(  SUBSTITUTE(  INDEX(   $A$1:$AJ$39, MATCH($A445,$A$1:$A$39,0),MATCH(  AC$442,$A$442:$AP$442,0  )  ),"公",""),"x","")," ",""),"時",")"),  ""  )  ),  IF(  AND(  LEN(  INDEX(   $A$1:$AJ$39, MATCH($A445,$A$1:$A$39,0),MATCH(  AC$442,$A$1:$AP$1,0  )  )  )&gt;LEN(  SUBSTITUTE(  INDEX(   $A$1:$AJ$39, MATCH($A445,$A$1:$A$39,0),MATCH(  AC$442,$A$1:$AP$1,0  )  ),"公","")  ),  LEN(  INDEX(   $A$1:$AJ$39, MATCH($A445,$A$1:$A$39,0),MATCH(  AC$442,$A$1:$AP$1,0  )  )  )&gt;LEN(  SUBSTITUTE(  INDEX(   $A$1:$AJ$39, MATCH($A445,$A$1:$A$39,0),MATCH(  AC$442,$A$1:$AP$1,0  )  ),"-","")  )  ),  CONCATENATE(  $A445,"(",   SUBSTITUTE(   SUBSTITUTE(  SUBSTITUTE(  INDEX(   $A$1:$AJ$39, MATCH($A445,$A$1:$A$39,0),MATCH(  AC$442,$A$442:$AP$442,0  )  ),"公",""),"x","")," ",""),"時",")"),  ""  )  )           ))</f>
        <v/>
      </c>
      <c r="AD445" s="66" t="str">
        <f t="shared" ref="AD445:AD477" si="337">IF(    AND( AD4="公",  LEN(AD444)&gt;=2 ),        "" &amp; $A445,    IF(         AND( AD4="公" ),       $A445,        IF(  OR(  LEN(AD444)&gt;=2  ),  CONCATENATE(  ".",  IF(  AND(  LEN(  INDEX(   $A$1:$AJ$39, MATCH($A445,$A$1:$A$39,0),MATCH(  AD$442,$A$1:$AP$1,0  )  )  )&gt;LEN(  SUBSTITUTE(  INDEX(   $A$1:$AJ$39, MATCH($A445,$A$1:$A$39,0),MATCH(  AD$442,$A$1:$AP$1,0  )  ),"公","")  ),  LEN(  INDEX(   $A$1:$AJ$39, MATCH($A445,$A$1:$A$39,0),MATCH(  AD$442,$A$1:$AP$1,0  )  )  )&gt;LEN(  SUBSTITUTE(  INDEX(   $A$1:$AJ$39, MATCH($A445,$A$1:$A$39,0),MATCH(  AD$442,$A$1:$AP$1,0  )  ),"-","")  )  ),  CONCATENATE(  $A445,"(",   SUBSTITUTE(   SUBSTITUTE(  SUBSTITUTE(  INDEX(   $A$1:$AJ$39, MATCH($A445,$A$1:$A$39,0),MATCH(  AD$442,$A$442:$AP$442,0  )  ),"公",""),"x","")," ",""),"時",")"),  ""  )  ),  IF(  AND(  LEN(  INDEX(   $A$1:$AJ$39, MATCH($A445,$A$1:$A$39,0),MATCH(  AD$442,$A$1:$AP$1,0  )  )  )&gt;LEN(  SUBSTITUTE(  INDEX(   $A$1:$AJ$39, MATCH($A445,$A$1:$A$39,0),MATCH(  AD$442,$A$1:$AP$1,0  )  ),"公","")  ),  LEN(  INDEX(   $A$1:$AJ$39, MATCH($A445,$A$1:$A$39,0),MATCH(  AD$442,$A$1:$AP$1,0  )  )  )&gt;LEN(  SUBSTITUTE(  INDEX(   $A$1:$AJ$39, MATCH($A445,$A$1:$A$39,0),MATCH(  AD$442,$A$1:$AP$1,0  )  ),"-","")  )  ),  CONCATENATE(  $A445,"(",   SUBSTITUTE(   SUBSTITUTE(  SUBSTITUTE(  INDEX(   $A$1:$AJ$39, MATCH($A445,$A$1:$A$39,0),MATCH(  AD$442,$A$442:$AP$442,0  )  ),"公",""),"x","")," ",""),"時",")"),  ""  )  )           ))</f>
        <v/>
      </c>
      <c r="AE445" s="66" t="str">
        <f t="shared" ref="AE445:AE477" si="338">IF(    AND( AE4="公",  LEN(AE444)&gt;=2 ),        "" &amp; $A445,    IF(         AND( AE4="公" ),       $A445,        IF(  OR(  LEN(AE444)&gt;=2  ),  CONCATENATE(  ".",  IF(  AND(  LEN(  INDEX(   $A$1:$AJ$39, MATCH($A445,$A$1:$A$39,0),MATCH(  AE$442,$A$1:$AP$1,0  )  )  )&gt;LEN(  SUBSTITUTE(  INDEX(   $A$1:$AJ$39, MATCH($A445,$A$1:$A$39,0),MATCH(  AE$442,$A$1:$AP$1,0  )  ),"公","")  ),  LEN(  INDEX(   $A$1:$AJ$39, MATCH($A445,$A$1:$A$39,0),MATCH(  AE$442,$A$1:$AP$1,0  )  )  )&gt;LEN(  SUBSTITUTE(  INDEX(   $A$1:$AJ$39, MATCH($A445,$A$1:$A$39,0),MATCH(  AE$442,$A$1:$AP$1,0  )  ),"-","")  )  ),  CONCATENATE(  $A445,"(",   SUBSTITUTE(   SUBSTITUTE(  SUBSTITUTE(  INDEX(   $A$1:$AJ$39, MATCH($A445,$A$1:$A$39,0),MATCH(  AE$442,$A$442:$AP$442,0  )  ),"公",""),"x","")," ",""),"時",")"),  ""  )  ),  IF(  AND(  LEN(  INDEX(   $A$1:$AJ$39, MATCH($A445,$A$1:$A$39,0),MATCH(  AE$442,$A$1:$AP$1,0  )  )  )&gt;LEN(  SUBSTITUTE(  INDEX(   $A$1:$AJ$39, MATCH($A445,$A$1:$A$39,0),MATCH(  AE$442,$A$1:$AP$1,0  )  ),"公","")  ),  LEN(  INDEX(   $A$1:$AJ$39, MATCH($A445,$A$1:$A$39,0),MATCH(  AE$442,$A$1:$AP$1,0  )  )  )&gt;LEN(  SUBSTITUTE(  INDEX(   $A$1:$AJ$39, MATCH($A445,$A$1:$A$39,0),MATCH(  AE$442,$A$1:$AP$1,0  )  ),"-","")  )  ),  CONCATENATE(  $A445,"(",   SUBSTITUTE(   SUBSTITUTE(  SUBSTITUTE(  INDEX(   $A$1:$AJ$39, MATCH($A445,$A$1:$A$39,0),MATCH(  AE$442,$A$442:$AP$442,0  )  ),"公",""),"x","")," ",""),"時",")"),  ""  )  )           ))</f>
        <v/>
      </c>
      <c r="AF445" s="66" t="str">
        <f t="shared" ref="AF445:AF477" si="339">IF(    AND( AF4="公",  LEN(AF444)&gt;=2 ),        "" &amp; $A445,    IF(         AND( AF4="公" ),       $A445,        IF(  OR(  LEN(AF444)&gt;=2  ),  CONCATENATE(  ".",  IF(  AND(  LEN(  INDEX(   $A$1:$AJ$39, MATCH($A445,$A$1:$A$39,0),MATCH(  AF$442,$A$1:$AP$1,0  )  )  )&gt;LEN(  SUBSTITUTE(  INDEX(   $A$1:$AJ$39, MATCH($A445,$A$1:$A$39,0),MATCH(  AF$442,$A$1:$AP$1,0  )  ),"公","")  ),  LEN(  INDEX(   $A$1:$AJ$39, MATCH($A445,$A$1:$A$39,0),MATCH(  AF$442,$A$1:$AP$1,0  )  )  )&gt;LEN(  SUBSTITUTE(  INDEX(   $A$1:$AJ$39, MATCH($A445,$A$1:$A$39,0),MATCH(  AF$442,$A$1:$AP$1,0  )  ),"-","")  )  ),  CONCATENATE(  $A445,"(",   SUBSTITUTE(   SUBSTITUTE(  SUBSTITUTE(  INDEX(   $A$1:$AJ$39, MATCH($A445,$A$1:$A$39,0),MATCH(  AF$442,$A$442:$AP$442,0  )  ),"公",""),"x","")," ",""),"時",")"),  ""  )  ),  IF(  AND(  LEN(  INDEX(   $A$1:$AJ$39, MATCH($A445,$A$1:$A$39,0),MATCH(  AF$442,$A$1:$AP$1,0  )  )  )&gt;LEN(  SUBSTITUTE(  INDEX(   $A$1:$AJ$39, MATCH($A445,$A$1:$A$39,0),MATCH(  AF$442,$A$1:$AP$1,0  )  ),"公","")  ),  LEN(  INDEX(   $A$1:$AJ$39, MATCH($A445,$A$1:$A$39,0),MATCH(  AF$442,$A$1:$AP$1,0  )  )  )&gt;LEN(  SUBSTITUTE(  INDEX(   $A$1:$AJ$39, MATCH($A445,$A$1:$A$39,0),MATCH(  AF$442,$A$1:$AP$1,0  )  ),"-","")  )  ),  CONCATENATE(  $A445,"(",   SUBSTITUTE(   SUBSTITUTE(  SUBSTITUTE(  INDEX(   $A$1:$AJ$39, MATCH($A445,$A$1:$A$39,0),MATCH(  AF$442,$A$442:$AP$442,0  )  ),"公",""),"x","")," ",""),"時",")"),  ""  )  )           ))</f>
        <v/>
      </c>
      <c r="AG445" s="66" t="str">
        <f t="shared" ref="AG445:AG477" si="340">IF(    AND( AG4="公",  LEN(AG444)&gt;=2 ),        "" &amp; $A445,    IF(         AND( AG4="公" ),       $A445,        IF(  OR(  LEN(AG444)&gt;=2  ),  CONCATENATE(  ".",  IF(  AND(  LEN(  INDEX(   $A$1:$AJ$39, MATCH($A445,$A$1:$A$39,0),MATCH(  AG$442,$A$1:$AP$1,0  )  )  )&gt;LEN(  SUBSTITUTE(  INDEX(   $A$1:$AJ$39, MATCH($A445,$A$1:$A$39,0),MATCH(  AG$442,$A$1:$AP$1,0  )  ),"公","")  ),  LEN(  INDEX(   $A$1:$AJ$39, MATCH($A445,$A$1:$A$39,0),MATCH(  AG$442,$A$1:$AP$1,0  )  )  )&gt;LEN(  SUBSTITUTE(  INDEX(   $A$1:$AJ$39, MATCH($A445,$A$1:$A$39,0),MATCH(  AG$442,$A$1:$AP$1,0  )  ),"-","")  )  ),  CONCATENATE(  $A445,"(",   SUBSTITUTE(   SUBSTITUTE(  SUBSTITUTE(  INDEX(   $A$1:$AJ$39, MATCH($A445,$A$1:$A$39,0),MATCH(  AG$442,$A$442:$AP$442,0  )  ),"公",""),"x","")," ",""),"時",")"),  ""  )  ),  IF(  AND(  LEN(  INDEX(   $A$1:$AJ$39, MATCH($A445,$A$1:$A$39,0),MATCH(  AG$442,$A$1:$AP$1,0  )  )  )&gt;LEN(  SUBSTITUTE(  INDEX(   $A$1:$AJ$39, MATCH($A445,$A$1:$A$39,0),MATCH(  AG$442,$A$1:$AP$1,0  )  ),"公","")  ),  LEN(  INDEX(   $A$1:$AJ$39, MATCH($A445,$A$1:$A$39,0),MATCH(  AG$442,$A$1:$AP$1,0  )  )  )&gt;LEN(  SUBSTITUTE(  INDEX(   $A$1:$AJ$39, MATCH($A445,$A$1:$A$39,0),MATCH(  AG$442,$A$1:$AP$1,0  )  ),"-","")  )  ),  CONCATENATE(  $A445,"(",   SUBSTITUTE(   SUBSTITUTE(  SUBSTITUTE(  INDEX(   $A$1:$AJ$39, MATCH($A445,$A$1:$A$39,0),MATCH(  AG$442,$A$442:$AP$442,0  )  ),"公",""),"x","")," ",""),"時",")"),  ""  )  )           ))</f>
        <v/>
      </c>
      <c r="AH445" s="66" t="str">
        <f t="shared" ref="AH445:AH477" si="341">IF(    AND( AH4="公",  LEN(AH444)&gt;=2 ),        "" &amp; $A445,    IF(         AND( AH4="公" ),       $A445,        IF(  OR(  LEN(AH444)&gt;=2  ),  CONCATENATE(  ".",  IF(  AND(  LEN(  INDEX(   $A$1:$AJ$39, MATCH($A445,$A$1:$A$39,0),MATCH(  AH$442,$A$1:$AP$1,0  )  )  )&gt;LEN(  SUBSTITUTE(  INDEX(   $A$1:$AJ$39, MATCH($A445,$A$1:$A$39,0),MATCH(  AH$442,$A$1:$AP$1,0  )  ),"公","")  ),  LEN(  INDEX(   $A$1:$AJ$39, MATCH($A445,$A$1:$A$39,0),MATCH(  AH$442,$A$1:$AP$1,0  )  )  )&gt;LEN(  SUBSTITUTE(  INDEX(   $A$1:$AJ$39, MATCH($A445,$A$1:$A$39,0),MATCH(  AH$442,$A$1:$AP$1,0  )  ),"-","")  )  ),  CONCATENATE(  $A445,"(",   SUBSTITUTE(   SUBSTITUTE(  SUBSTITUTE(  INDEX(   $A$1:$AJ$39, MATCH($A445,$A$1:$A$39,0),MATCH(  AH$442,$A$442:$AP$442,0  )  ),"公",""),"x","")," ",""),"時",")"),  ""  )  ),  IF(  AND(  LEN(  INDEX(   $A$1:$AJ$39, MATCH($A445,$A$1:$A$39,0),MATCH(  AH$442,$A$1:$AP$1,0  )  )  )&gt;LEN(  SUBSTITUTE(  INDEX(   $A$1:$AJ$39, MATCH($A445,$A$1:$A$39,0),MATCH(  AH$442,$A$1:$AP$1,0  )  ),"公","")  ),  LEN(  INDEX(   $A$1:$AJ$39, MATCH($A445,$A$1:$A$39,0),MATCH(  AH$442,$A$1:$AP$1,0  )  )  )&gt;LEN(  SUBSTITUTE(  INDEX(   $A$1:$AJ$39, MATCH($A445,$A$1:$A$39,0),MATCH(  AH$442,$A$1:$AP$1,0  )  ),"-","")  )  ),  CONCATENATE(  $A445,"(",   SUBSTITUTE(   SUBSTITUTE(  SUBSTITUTE(  INDEX(   $A$1:$AJ$39, MATCH($A445,$A$1:$A$39,0),MATCH(  AH$442,$A$442:$AP$442,0  )  ),"公",""),"x","")," ",""),"時",")"),  ""  )  )           ))</f>
        <v/>
      </c>
      <c r="AI445" s="66" t="str">
        <f t="shared" ref="AI445:AI477" si="342">IF(    AND( AI4="公",  LEN(AI444)&gt;=2 ),        "" &amp; $A445,    IF(         AND( AI4="公" ),       $A445,        IF(  OR(  LEN(AI444)&gt;=2  ),  CONCATENATE(  ".",  IF(  AND(  LEN(  INDEX(   $A$1:$AJ$39, MATCH($A445,$A$1:$A$39,0),MATCH(  AI$442,$A$1:$AP$1,0  )  )  )&gt;LEN(  SUBSTITUTE(  INDEX(   $A$1:$AJ$39, MATCH($A445,$A$1:$A$39,0),MATCH(  AI$442,$A$1:$AP$1,0  )  ),"公","")  ),  LEN(  INDEX(   $A$1:$AJ$39, MATCH($A445,$A$1:$A$39,0),MATCH(  AI$442,$A$1:$AP$1,0  )  )  )&gt;LEN(  SUBSTITUTE(  INDEX(   $A$1:$AJ$39, MATCH($A445,$A$1:$A$39,0),MATCH(  AI$442,$A$1:$AP$1,0  )  ),"-","")  )  ),  CONCATENATE(  $A445,"(",   SUBSTITUTE(   SUBSTITUTE(  SUBSTITUTE(  INDEX(   $A$1:$AJ$39, MATCH($A445,$A$1:$A$39,0),MATCH(  AI$442,$A$442:$AP$442,0  )  ),"公",""),"x","")," ",""),"時",")"),  ""  )  ),  IF(  AND(  LEN(  INDEX(   $A$1:$AJ$39, MATCH($A445,$A$1:$A$39,0),MATCH(  AI$442,$A$1:$AP$1,0  )  )  )&gt;LEN(  SUBSTITUTE(  INDEX(   $A$1:$AJ$39, MATCH($A445,$A$1:$A$39,0),MATCH(  AI$442,$A$1:$AP$1,0  )  ),"公","")  ),  LEN(  INDEX(   $A$1:$AJ$39, MATCH($A445,$A$1:$A$39,0),MATCH(  AI$442,$A$1:$AP$1,0  )  )  )&gt;LEN(  SUBSTITUTE(  INDEX(   $A$1:$AJ$39, MATCH($A445,$A$1:$A$39,0),MATCH(  AI$442,$A$1:$AP$1,0  )  ),"-","")  )  ),  CONCATENATE(  $A445,"(",   SUBSTITUTE(   SUBSTITUTE(  SUBSTITUTE(  INDEX(   $A$1:$AJ$39, MATCH($A445,$A$1:$A$39,0),MATCH(  AI$442,$A$442:$AP$442,0  )  ),"公",""),"x","")," ",""),"時",")"),  ""  )  )           ))</f>
        <v/>
      </c>
      <c r="AJ445" s="66" t="str">
        <f t="shared" ref="AJ445:AJ477" si="343">IF(    AND( AJ4="公",  LEN(AJ444)&gt;=2 ),        "" &amp; $A445,    IF(         AND( AJ4="公" ),       $A445,        IF(  OR(  LEN(AJ444)&gt;=2  ),  CONCATENATE(  ".",  IF(  AND(  LEN(  INDEX(   $A$1:$AJ$39, MATCH($A445,$A$1:$A$39,0),MATCH(  AJ$442,$A$1:$AP$1,0  )  )  )&gt;LEN(  SUBSTITUTE(  INDEX(   $A$1:$AJ$39, MATCH($A445,$A$1:$A$39,0),MATCH(  AJ$442,$A$1:$AP$1,0  )  ),"公","")  ),  LEN(  INDEX(   $A$1:$AJ$39, MATCH($A445,$A$1:$A$39,0),MATCH(  AJ$442,$A$1:$AP$1,0  )  )  )&gt;LEN(  SUBSTITUTE(  INDEX(   $A$1:$AJ$39, MATCH($A445,$A$1:$A$39,0),MATCH(  AJ$442,$A$1:$AP$1,0  )  ),"-","")  )  ),  CONCATENATE(  $A445,"(",   SUBSTITUTE(   SUBSTITUTE(  SUBSTITUTE(  INDEX(   $A$1:$AJ$39, MATCH($A445,$A$1:$A$39,0),MATCH(  AJ$442,$A$442:$AP$442,0  )  ),"公",""),"x","")," ",""),"時",")"),  ""  )  ),  IF(  AND(  LEN(  INDEX(   $A$1:$AJ$39, MATCH($A445,$A$1:$A$39,0),MATCH(  AJ$442,$A$1:$AP$1,0  )  )  )&gt;LEN(  SUBSTITUTE(  INDEX(   $A$1:$AJ$39, MATCH($A445,$A$1:$A$39,0),MATCH(  AJ$442,$A$1:$AP$1,0  )  ),"公","")  ),  LEN(  INDEX(   $A$1:$AJ$39, MATCH($A445,$A$1:$A$39,0),MATCH(  AJ$442,$A$1:$AP$1,0  )  )  )&gt;LEN(  SUBSTITUTE(  INDEX(   $A$1:$AJ$39, MATCH($A445,$A$1:$A$39,0),MATCH(  AJ$442,$A$1:$AP$1,0  )  ),"-","")  )  ),  CONCATENATE(  $A445,"(",   SUBSTITUTE(   SUBSTITUTE(  SUBSTITUTE(  INDEX(   $A$1:$AJ$39, MATCH($A445,$A$1:$A$39,0),MATCH(  AJ$442,$A$442:$AP$442,0  )  ),"公",""),"x","")," ",""),"時",")"),  ""  )  )           ))</f>
        <v/>
      </c>
    </row>
    <row r="446" spans="1:55">
      <c r="A446" s="66">
        <f t="shared" si="307"/>
        <v>4</v>
      </c>
      <c r="B446" s="66" t="str">
        <f t="shared" si="307"/>
        <v>鄭凱文</v>
      </c>
      <c r="C446" s="66" t="str">
        <f t="shared" si="309"/>
        <v/>
      </c>
      <c r="D446" s="66" t="str">
        <f t="shared" si="311"/>
        <v/>
      </c>
      <c r="E446" s="66" t="str">
        <f t="shared" si="312"/>
        <v/>
      </c>
      <c r="F446" s="66" t="str">
        <f t="shared" si="313"/>
        <v/>
      </c>
      <c r="G446" s="66" t="str">
        <f t="shared" si="314"/>
        <v/>
      </c>
      <c r="H446" s="66" t="str">
        <f t="shared" si="315"/>
        <v/>
      </c>
      <c r="I446" s="66" t="str">
        <f t="shared" si="316"/>
        <v/>
      </c>
      <c r="J446" s="66" t="str">
        <f t="shared" si="317"/>
        <v/>
      </c>
      <c r="K446" s="66" t="str">
        <f t="shared" si="318"/>
        <v/>
      </c>
      <c r="L446" s="66" t="str">
        <f t="shared" si="319"/>
        <v/>
      </c>
      <c r="M446" s="66" t="str">
        <f t="shared" si="320"/>
        <v/>
      </c>
      <c r="N446" s="66" t="str">
        <f t="shared" si="321"/>
        <v/>
      </c>
      <c r="O446" s="66" t="str">
        <f t="shared" si="322"/>
        <v/>
      </c>
      <c r="P446" s="66" t="str">
        <f t="shared" si="323"/>
        <v/>
      </c>
      <c r="Q446" s="66" t="str">
        <f t="shared" si="324"/>
        <v/>
      </c>
      <c r="R446" s="66" t="str">
        <f t="shared" si="325"/>
        <v/>
      </c>
      <c r="S446" s="66" t="str">
        <f t="shared" si="326"/>
        <v/>
      </c>
      <c r="T446" s="66" t="str">
        <f t="shared" si="327"/>
        <v/>
      </c>
      <c r="U446" s="66" t="str">
        <f t="shared" si="328"/>
        <v/>
      </c>
      <c r="V446" s="66" t="str">
        <f t="shared" si="329"/>
        <v/>
      </c>
      <c r="W446" s="66" t="str">
        <f t="shared" si="330"/>
        <v/>
      </c>
      <c r="X446" s="66" t="str">
        <f t="shared" si="331"/>
        <v/>
      </c>
      <c r="Y446" s="66" t="str">
        <f t="shared" si="332"/>
        <v/>
      </c>
      <c r="Z446" s="66" t="str">
        <f t="shared" si="333"/>
        <v/>
      </c>
      <c r="AA446" s="66" t="str">
        <f t="shared" si="334"/>
        <v/>
      </c>
      <c r="AB446" s="66" t="str">
        <f t="shared" si="335"/>
        <v/>
      </c>
      <c r="AC446" s="66" t="str">
        <f t="shared" si="336"/>
        <v/>
      </c>
      <c r="AD446" s="66" t="str">
        <f t="shared" si="337"/>
        <v/>
      </c>
      <c r="AE446" s="66" t="str">
        <f t="shared" si="338"/>
        <v/>
      </c>
      <c r="AF446" s="66" t="str">
        <f t="shared" si="339"/>
        <v/>
      </c>
      <c r="AG446" s="66" t="str">
        <f t="shared" si="340"/>
        <v/>
      </c>
      <c r="AH446" s="66" t="str">
        <f t="shared" si="341"/>
        <v/>
      </c>
      <c r="AI446" s="66" t="str">
        <f t="shared" si="342"/>
        <v/>
      </c>
      <c r="AJ446" s="66" t="str">
        <f t="shared" si="343"/>
        <v/>
      </c>
    </row>
    <row r="447" spans="1:55">
      <c r="A447" s="66">
        <f t="shared" si="307"/>
        <v>5</v>
      </c>
      <c r="B447" s="66" t="str">
        <f t="shared" si="307"/>
        <v>蔡政倫</v>
      </c>
      <c r="C447" s="66" t="str">
        <f t="shared" si="309"/>
        <v/>
      </c>
      <c r="D447" s="66" t="str">
        <f t="shared" si="311"/>
        <v/>
      </c>
      <c r="E447" s="66" t="str">
        <f t="shared" si="312"/>
        <v/>
      </c>
      <c r="F447" s="66" t="str">
        <f t="shared" si="313"/>
        <v/>
      </c>
      <c r="G447" s="66" t="str">
        <f t="shared" si="314"/>
        <v/>
      </c>
      <c r="H447" s="66" t="str">
        <f t="shared" si="315"/>
        <v/>
      </c>
      <c r="I447" s="66" t="str">
        <f t="shared" si="316"/>
        <v/>
      </c>
      <c r="J447" s="66" t="str">
        <f t="shared" si="317"/>
        <v/>
      </c>
      <c r="K447" s="66" t="str">
        <f t="shared" si="318"/>
        <v/>
      </c>
      <c r="L447" s="66" t="str">
        <f t="shared" si="319"/>
        <v/>
      </c>
      <c r="M447" s="66" t="str">
        <f t="shared" si="320"/>
        <v/>
      </c>
      <c r="N447" s="66" t="str">
        <f t="shared" si="321"/>
        <v/>
      </c>
      <c r="O447" s="66" t="str">
        <f t="shared" si="322"/>
        <v/>
      </c>
      <c r="P447" s="66" t="str">
        <f t="shared" si="323"/>
        <v/>
      </c>
      <c r="Q447" s="66" t="str">
        <f t="shared" si="324"/>
        <v/>
      </c>
      <c r="R447" s="66" t="str">
        <f t="shared" si="325"/>
        <v/>
      </c>
      <c r="S447" s="66" t="str">
        <f t="shared" si="326"/>
        <v/>
      </c>
      <c r="T447" s="66" t="str">
        <f t="shared" si="327"/>
        <v/>
      </c>
      <c r="U447" s="66" t="str">
        <f t="shared" si="328"/>
        <v/>
      </c>
      <c r="V447" s="66" t="str">
        <f t="shared" si="329"/>
        <v/>
      </c>
      <c r="W447" s="66" t="str">
        <f t="shared" si="330"/>
        <v/>
      </c>
      <c r="X447" s="66" t="str">
        <f t="shared" si="331"/>
        <v/>
      </c>
      <c r="Y447" s="66" t="str">
        <f t="shared" si="332"/>
        <v/>
      </c>
      <c r="Z447" s="66" t="str">
        <f t="shared" si="333"/>
        <v/>
      </c>
      <c r="AA447" s="66" t="str">
        <f t="shared" si="334"/>
        <v/>
      </c>
      <c r="AB447" s="66" t="str">
        <f t="shared" si="335"/>
        <v/>
      </c>
      <c r="AC447" s="66" t="str">
        <f t="shared" si="336"/>
        <v/>
      </c>
      <c r="AD447" s="66" t="str">
        <f t="shared" si="337"/>
        <v/>
      </c>
      <c r="AE447" s="66" t="str">
        <f t="shared" si="338"/>
        <v/>
      </c>
      <c r="AF447" s="66" t="str">
        <f t="shared" si="339"/>
        <v/>
      </c>
      <c r="AG447" s="66" t="str">
        <f t="shared" si="340"/>
        <v/>
      </c>
      <c r="AH447" s="66" t="str">
        <f t="shared" si="341"/>
        <v/>
      </c>
      <c r="AI447" s="66" t="str">
        <f t="shared" si="342"/>
        <v/>
      </c>
      <c r="AJ447" s="66" t="str">
        <f t="shared" si="343"/>
        <v/>
      </c>
    </row>
    <row r="448" spans="1:55">
      <c r="A448" s="66">
        <f t="shared" si="307"/>
        <v>6</v>
      </c>
      <c r="B448" s="66" t="str">
        <f t="shared" si="307"/>
        <v>邱昱銘</v>
      </c>
      <c r="C448" s="66" t="str">
        <f t="shared" si="309"/>
        <v/>
      </c>
      <c r="D448" s="66" t="str">
        <f t="shared" si="311"/>
        <v/>
      </c>
      <c r="E448" s="66" t="str">
        <f t="shared" si="312"/>
        <v/>
      </c>
      <c r="F448" s="66" t="str">
        <f t="shared" si="313"/>
        <v/>
      </c>
      <c r="G448" s="66" t="str">
        <f t="shared" si="314"/>
        <v/>
      </c>
      <c r="H448" s="66" t="str">
        <f t="shared" si="315"/>
        <v/>
      </c>
      <c r="I448" s="66" t="str">
        <f t="shared" si="316"/>
        <v/>
      </c>
      <c r="J448" s="66" t="str">
        <f t="shared" si="317"/>
        <v/>
      </c>
      <c r="K448" s="66" t="str">
        <f t="shared" si="318"/>
        <v/>
      </c>
      <c r="L448" s="66" t="str">
        <f t="shared" si="319"/>
        <v/>
      </c>
      <c r="M448" s="66" t="str">
        <f t="shared" si="320"/>
        <v/>
      </c>
      <c r="N448" s="66" t="str">
        <f t="shared" si="321"/>
        <v/>
      </c>
      <c r="O448" s="66" t="str">
        <f t="shared" si="322"/>
        <v/>
      </c>
      <c r="P448" s="66" t="str">
        <f t="shared" si="323"/>
        <v/>
      </c>
      <c r="Q448" s="66" t="str">
        <f t="shared" si="324"/>
        <v/>
      </c>
      <c r="R448" s="66" t="str">
        <f t="shared" si="325"/>
        <v/>
      </c>
      <c r="S448" s="66" t="str">
        <f t="shared" si="326"/>
        <v/>
      </c>
      <c r="T448" s="66" t="str">
        <f t="shared" si="327"/>
        <v/>
      </c>
      <c r="U448" s="66" t="str">
        <f t="shared" si="328"/>
        <v/>
      </c>
      <c r="V448" s="66" t="str">
        <f t="shared" si="329"/>
        <v/>
      </c>
      <c r="W448" s="66" t="str">
        <f t="shared" si="330"/>
        <v/>
      </c>
      <c r="X448" s="66" t="str">
        <f t="shared" si="331"/>
        <v/>
      </c>
      <c r="Y448" s="66" t="str">
        <f t="shared" si="332"/>
        <v/>
      </c>
      <c r="Z448" s="66" t="str">
        <f t="shared" si="333"/>
        <v/>
      </c>
      <c r="AA448" s="66" t="str">
        <f t="shared" si="334"/>
        <v/>
      </c>
      <c r="AB448" s="66" t="str">
        <f t="shared" si="335"/>
        <v/>
      </c>
      <c r="AC448" s="66" t="str">
        <f t="shared" si="336"/>
        <v/>
      </c>
      <c r="AD448" s="66" t="str">
        <f t="shared" si="337"/>
        <v/>
      </c>
      <c r="AE448" s="66" t="str">
        <f t="shared" si="338"/>
        <v/>
      </c>
      <c r="AF448" s="66" t="str">
        <f t="shared" si="339"/>
        <v/>
      </c>
      <c r="AG448" s="66" t="str">
        <f t="shared" si="340"/>
        <v/>
      </c>
      <c r="AH448" s="66" t="str">
        <f t="shared" si="341"/>
        <v/>
      </c>
      <c r="AI448" s="66" t="str">
        <f t="shared" si="342"/>
        <v/>
      </c>
      <c r="AJ448" s="66" t="str">
        <f t="shared" si="343"/>
        <v/>
      </c>
    </row>
    <row r="449" spans="1:36">
      <c r="A449" s="66">
        <f t="shared" si="307"/>
        <v>7</v>
      </c>
      <c r="B449" s="66" t="str">
        <f t="shared" si="307"/>
        <v>洪長昇</v>
      </c>
      <c r="C449" s="66" t="str">
        <f t="shared" si="309"/>
        <v/>
      </c>
      <c r="D449" s="66" t="str">
        <f t="shared" si="311"/>
        <v/>
      </c>
      <c r="E449" s="66" t="str">
        <f t="shared" si="312"/>
        <v/>
      </c>
      <c r="F449" s="66" t="str">
        <f t="shared" si="313"/>
        <v/>
      </c>
      <c r="G449" s="66" t="str">
        <f t="shared" si="314"/>
        <v/>
      </c>
      <c r="H449" s="66" t="str">
        <f t="shared" si="315"/>
        <v/>
      </c>
      <c r="I449" s="66" t="str">
        <f t="shared" si="316"/>
        <v/>
      </c>
      <c r="J449" s="66" t="str">
        <f t="shared" si="317"/>
        <v/>
      </c>
      <c r="K449" s="66" t="str">
        <f t="shared" si="318"/>
        <v/>
      </c>
      <c r="L449" s="66" t="str">
        <f t="shared" si="319"/>
        <v/>
      </c>
      <c r="M449" s="66" t="str">
        <f t="shared" si="320"/>
        <v/>
      </c>
      <c r="N449" s="66" t="str">
        <f t="shared" si="321"/>
        <v/>
      </c>
      <c r="O449" s="66" t="str">
        <f t="shared" si="322"/>
        <v/>
      </c>
      <c r="P449" s="66" t="str">
        <f t="shared" si="323"/>
        <v/>
      </c>
      <c r="Q449" s="66" t="str">
        <f t="shared" si="324"/>
        <v/>
      </c>
      <c r="R449" s="66" t="str">
        <f t="shared" si="325"/>
        <v/>
      </c>
      <c r="S449" s="66" t="str">
        <f t="shared" si="326"/>
        <v/>
      </c>
      <c r="T449" s="66" t="str">
        <f t="shared" si="327"/>
        <v/>
      </c>
      <c r="U449" s="66" t="str">
        <f t="shared" si="328"/>
        <v/>
      </c>
      <c r="V449" s="66" t="str">
        <f t="shared" si="329"/>
        <v/>
      </c>
      <c r="W449" s="66" t="str">
        <f t="shared" si="330"/>
        <v/>
      </c>
      <c r="X449" s="66" t="str">
        <f t="shared" si="331"/>
        <v/>
      </c>
      <c r="Y449" s="66" t="str">
        <f t="shared" si="332"/>
        <v/>
      </c>
      <c r="Z449" s="66" t="str">
        <f t="shared" si="333"/>
        <v/>
      </c>
      <c r="AA449" s="66" t="str">
        <f t="shared" si="334"/>
        <v/>
      </c>
      <c r="AB449" s="66" t="str">
        <f t="shared" si="335"/>
        <v/>
      </c>
      <c r="AC449" s="66" t="str">
        <f t="shared" si="336"/>
        <v/>
      </c>
      <c r="AD449" s="66" t="str">
        <f t="shared" si="337"/>
        <v/>
      </c>
      <c r="AE449" s="66" t="str">
        <f t="shared" si="338"/>
        <v/>
      </c>
      <c r="AF449" s="66" t="str">
        <f t="shared" si="339"/>
        <v/>
      </c>
      <c r="AG449" s="66" t="str">
        <f t="shared" si="340"/>
        <v/>
      </c>
      <c r="AH449" s="66" t="str">
        <f t="shared" si="341"/>
        <v/>
      </c>
      <c r="AI449" s="66" t="str">
        <f t="shared" si="342"/>
        <v/>
      </c>
      <c r="AJ449" s="66" t="str">
        <f t="shared" si="343"/>
        <v/>
      </c>
    </row>
    <row r="450" spans="1:36">
      <c r="A450" s="66">
        <f t="shared" si="307"/>
        <v>8</v>
      </c>
      <c r="B450" s="66" t="str">
        <f t="shared" si="307"/>
        <v>許翊呈</v>
      </c>
      <c r="C450" s="66" t="str">
        <f t="shared" si="309"/>
        <v/>
      </c>
      <c r="D450" s="66" t="str">
        <f t="shared" si="311"/>
        <v/>
      </c>
      <c r="E450" s="66" t="str">
        <f t="shared" si="312"/>
        <v/>
      </c>
      <c r="F450" s="66" t="str">
        <f t="shared" si="313"/>
        <v/>
      </c>
      <c r="G450" s="66" t="str">
        <f t="shared" si="314"/>
        <v/>
      </c>
      <c r="H450" s="66" t="str">
        <f t="shared" si="315"/>
        <v/>
      </c>
      <c r="I450" s="66" t="str">
        <f t="shared" si="316"/>
        <v/>
      </c>
      <c r="J450" s="66" t="str">
        <f t="shared" si="317"/>
        <v/>
      </c>
      <c r="K450" s="66" t="str">
        <f t="shared" si="318"/>
        <v/>
      </c>
      <c r="L450" s="66" t="str">
        <f t="shared" si="319"/>
        <v/>
      </c>
      <c r="M450" s="66" t="str">
        <f t="shared" si="320"/>
        <v/>
      </c>
      <c r="N450" s="66" t="str">
        <f t="shared" si="321"/>
        <v/>
      </c>
      <c r="O450" s="66" t="str">
        <f t="shared" si="322"/>
        <v/>
      </c>
      <c r="P450" s="66" t="str">
        <f t="shared" si="323"/>
        <v/>
      </c>
      <c r="Q450" s="66" t="str">
        <f t="shared" si="324"/>
        <v/>
      </c>
      <c r="R450" s="66" t="str">
        <f t="shared" si="325"/>
        <v/>
      </c>
      <c r="S450" s="66" t="str">
        <f t="shared" si="326"/>
        <v/>
      </c>
      <c r="T450" s="66" t="str">
        <f t="shared" si="327"/>
        <v/>
      </c>
      <c r="U450" s="66" t="str">
        <f t="shared" si="328"/>
        <v/>
      </c>
      <c r="V450" s="66" t="str">
        <f t="shared" si="329"/>
        <v/>
      </c>
      <c r="W450" s="66" t="str">
        <f t="shared" si="330"/>
        <v/>
      </c>
      <c r="X450" s="66" t="str">
        <f t="shared" si="331"/>
        <v/>
      </c>
      <c r="Y450" s="66" t="str">
        <f t="shared" si="332"/>
        <v/>
      </c>
      <c r="Z450" s="66" t="str">
        <f t="shared" si="333"/>
        <v/>
      </c>
      <c r="AA450" s="66" t="str">
        <f t="shared" si="334"/>
        <v/>
      </c>
      <c r="AB450" s="66" t="str">
        <f t="shared" si="335"/>
        <v/>
      </c>
      <c r="AC450" s="66" t="str">
        <f t="shared" si="336"/>
        <v/>
      </c>
      <c r="AD450" s="66" t="str">
        <f t="shared" si="337"/>
        <v/>
      </c>
      <c r="AE450" s="66" t="str">
        <f t="shared" si="338"/>
        <v/>
      </c>
      <c r="AF450" s="66" t="str">
        <f t="shared" si="339"/>
        <v/>
      </c>
      <c r="AG450" s="66" t="str">
        <f t="shared" si="340"/>
        <v/>
      </c>
      <c r="AH450" s="66" t="str">
        <f t="shared" si="341"/>
        <v/>
      </c>
      <c r="AI450" s="66" t="str">
        <f t="shared" si="342"/>
        <v/>
      </c>
      <c r="AJ450" s="66" t="str">
        <f t="shared" si="343"/>
        <v/>
      </c>
    </row>
    <row r="451" spans="1:36">
      <c r="A451" s="66">
        <f t="shared" si="307"/>
        <v>9</v>
      </c>
      <c r="B451" s="66" t="str">
        <f t="shared" si="307"/>
        <v>李政聰</v>
      </c>
      <c r="C451" s="66" t="str">
        <f t="shared" si="309"/>
        <v/>
      </c>
      <c r="D451" s="66" t="str">
        <f t="shared" si="311"/>
        <v/>
      </c>
      <c r="E451" s="66" t="str">
        <f t="shared" si="312"/>
        <v/>
      </c>
      <c r="F451" s="66" t="str">
        <f t="shared" si="313"/>
        <v/>
      </c>
      <c r="G451" s="66" t="str">
        <f t="shared" si="314"/>
        <v/>
      </c>
      <c r="H451" s="66" t="str">
        <f t="shared" si="315"/>
        <v/>
      </c>
      <c r="I451" s="66" t="str">
        <f t="shared" si="316"/>
        <v/>
      </c>
      <c r="J451" s="66" t="str">
        <f t="shared" si="317"/>
        <v/>
      </c>
      <c r="K451" s="66" t="str">
        <f t="shared" si="318"/>
        <v/>
      </c>
      <c r="L451" s="66" t="str">
        <f t="shared" si="319"/>
        <v/>
      </c>
      <c r="M451" s="66" t="str">
        <f t="shared" si="320"/>
        <v/>
      </c>
      <c r="N451" s="66" t="str">
        <f t="shared" si="321"/>
        <v/>
      </c>
      <c r="O451" s="66" t="str">
        <f t="shared" si="322"/>
        <v/>
      </c>
      <c r="P451" s="66" t="str">
        <f t="shared" si="323"/>
        <v/>
      </c>
      <c r="Q451" s="66" t="str">
        <f t="shared" si="324"/>
        <v/>
      </c>
      <c r="R451" s="66" t="str">
        <f t="shared" si="325"/>
        <v/>
      </c>
      <c r="S451" s="66" t="str">
        <f t="shared" si="326"/>
        <v/>
      </c>
      <c r="T451" s="66" t="str">
        <f t="shared" si="327"/>
        <v/>
      </c>
      <c r="U451" s="66" t="str">
        <f t="shared" si="328"/>
        <v/>
      </c>
      <c r="V451" s="66" t="str">
        <f t="shared" si="329"/>
        <v/>
      </c>
      <c r="W451" s="66" t="str">
        <f t="shared" si="330"/>
        <v/>
      </c>
      <c r="X451" s="66" t="str">
        <f t="shared" si="331"/>
        <v/>
      </c>
      <c r="Y451" s="66" t="str">
        <f t="shared" si="332"/>
        <v/>
      </c>
      <c r="Z451" s="66" t="str">
        <f t="shared" si="333"/>
        <v/>
      </c>
      <c r="AA451" s="66" t="str">
        <f t="shared" si="334"/>
        <v/>
      </c>
      <c r="AB451" s="66" t="str">
        <f t="shared" si="335"/>
        <v/>
      </c>
      <c r="AC451" s="66" t="str">
        <f t="shared" si="336"/>
        <v/>
      </c>
      <c r="AD451" s="66" t="str">
        <f t="shared" si="337"/>
        <v/>
      </c>
      <c r="AE451" s="66" t="str">
        <f t="shared" si="338"/>
        <v/>
      </c>
      <c r="AF451" s="66" t="str">
        <f t="shared" si="339"/>
        <v/>
      </c>
      <c r="AG451" s="66" t="str">
        <f t="shared" si="340"/>
        <v/>
      </c>
      <c r="AH451" s="66" t="str">
        <f t="shared" si="341"/>
        <v/>
      </c>
      <c r="AI451" s="66" t="str">
        <f t="shared" si="342"/>
        <v/>
      </c>
      <c r="AJ451" s="66" t="str">
        <f t="shared" si="343"/>
        <v/>
      </c>
    </row>
    <row r="452" spans="1:36">
      <c r="A452" s="66">
        <f t="shared" si="307"/>
        <v>10</v>
      </c>
      <c r="B452" s="66" t="str">
        <f t="shared" si="307"/>
        <v>劉威志</v>
      </c>
      <c r="C452" s="66" t="str">
        <f t="shared" si="309"/>
        <v/>
      </c>
      <c r="D452" s="66" t="str">
        <f t="shared" si="311"/>
        <v/>
      </c>
      <c r="E452" s="66" t="str">
        <f t="shared" si="312"/>
        <v/>
      </c>
      <c r="F452" s="66" t="str">
        <f t="shared" si="313"/>
        <v/>
      </c>
      <c r="G452" s="66" t="str">
        <f t="shared" si="314"/>
        <v/>
      </c>
      <c r="H452" s="66" t="str">
        <f t="shared" si="315"/>
        <v/>
      </c>
      <c r="I452" s="66" t="str">
        <f t="shared" si="316"/>
        <v/>
      </c>
      <c r="J452" s="66" t="str">
        <f t="shared" si="317"/>
        <v/>
      </c>
      <c r="K452" s="66" t="str">
        <f t="shared" si="318"/>
        <v/>
      </c>
      <c r="L452" s="66" t="str">
        <f t="shared" si="319"/>
        <v/>
      </c>
      <c r="M452" s="66" t="str">
        <f t="shared" si="320"/>
        <v/>
      </c>
      <c r="N452" s="66" t="str">
        <f t="shared" si="321"/>
        <v/>
      </c>
      <c r="O452" s="66" t="str">
        <f t="shared" si="322"/>
        <v/>
      </c>
      <c r="P452" s="66" t="str">
        <f t="shared" si="323"/>
        <v/>
      </c>
      <c r="Q452" s="66" t="str">
        <f t="shared" si="324"/>
        <v/>
      </c>
      <c r="R452" s="66" t="str">
        <f t="shared" si="325"/>
        <v/>
      </c>
      <c r="S452" s="66" t="str">
        <f t="shared" si="326"/>
        <v/>
      </c>
      <c r="T452" s="66" t="str">
        <f t="shared" si="327"/>
        <v/>
      </c>
      <c r="U452" s="66" t="str">
        <f t="shared" si="328"/>
        <v/>
      </c>
      <c r="V452" s="66" t="str">
        <f t="shared" si="329"/>
        <v/>
      </c>
      <c r="W452" s="66" t="str">
        <f t="shared" si="330"/>
        <v/>
      </c>
      <c r="X452" s="66" t="str">
        <f t="shared" si="331"/>
        <v/>
      </c>
      <c r="Y452" s="66" t="str">
        <f t="shared" si="332"/>
        <v/>
      </c>
      <c r="Z452" s="66" t="str">
        <f t="shared" si="333"/>
        <v/>
      </c>
      <c r="AA452" s="66" t="str">
        <f t="shared" si="334"/>
        <v/>
      </c>
      <c r="AB452" s="66" t="str">
        <f t="shared" si="335"/>
        <v/>
      </c>
      <c r="AC452" s="66" t="str">
        <f t="shared" si="336"/>
        <v/>
      </c>
      <c r="AD452" s="66" t="str">
        <f t="shared" si="337"/>
        <v/>
      </c>
      <c r="AE452" s="66" t="str">
        <f t="shared" si="338"/>
        <v/>
      </c>
      <c r="AF452" s="66" t="str">
        <f t="shared" si="339"/>
        <v/>
      </c>
      <c r="AG452" s="66" t="str">
        <f t="shared" si="340"/>
        <v/>
      </c>
      <c r="AH452" s="66" t="str">
        <f t="shared" si="341"/>
        <v/>
      </c>
      <c r="AI452" s="66" t="str">
        <f t="shared" si="342"/>
        <v/>
      </c>
      <c r="AJ452" s="66" t="str">
        <f t="shared" si="343"/>
        <v/>
      </c>
    </row>
    <row r="453" spans="1:36">
      <c r="A453" s="66">
        <f t="shared" si="307"/>
        <v>11</v>
      </c>
      <c r="B453" s="66" t="str">
        <f t="shared" si="307"/>
        <v>梁展碩</v>
      </c>
      <c r="C453" s="66" t="str">
        <f t="shared" si="309"/>
        <v/>
      </c>
      <c r="D453" s="66" t="str">
        <f t="shared" si="311"/>
        <v/>
      </c>
      <c r="E453" s="66" t="str">
        <f t="shared" si="312"/>
        <v/>
      </c>
      <c r="F453" s="66" t="str">
        <f t="shared" si="313"/>
        <v/>
      </c>
      <c r="G453" s="66" t="str">
        <f t="shared" si="314"/>
        <v/>
      </c>
      <c r="H453" s="66" t="str">
        <f t="shared" si="315"/>
        <v/>
      </c>
      <c r="I453" s="66" t="str">
        <f t="shared" si="316"/>
        <v/>
      </c>
      <c r="J453" s="66" t="str">
        <f t="shared" si="317"/>
        <v/>
      </c>
      <c r="K453" s="66" t="str">
        <f t="shared" si="318"/>
        <v/>
      </c>
      <c r="L453" s="66" t="str">
        <f t="shared" si="319"/>
        <v/>
      </c>
      <c r="M453" s="66" t="str">
        <f t="shared" si="320"/>
        <v/>
      </c>
      <c r="N453" s="66" t="str">
        <f t="shared" si="321"/>
        <v/>
      </c>
      <c r="O453" s="66" t="str">
        <f t="shared" si="322"/>
        <v/>
      </c>
      <c r="P453" s="66" t="str">
        <f t="shared" si="323"/>
        <v/>
      </c>
      <c r="Q453" s="66" t="str">
        <f t="shared" si="324"/>
        <v/>
      </c>
      <c r="R453" s="66" t="str">
        <f t="shared" si="325"/>
        <v/>
      </c>
      <c r="S453" s="66" t="str">
        <f t="shared" si="326"/>
        <v/>
      </c>
      <c r="T453" s="66" t="str">
        <f t="shared" si="327"/>
        <v/>
      </c>
      <c r="U453" s="66" t="str">
        <f t="shared" si="328"/>
        <v/>
      </c>
      <c r="V453" s="66" t="str">
        <f t="shared" si="329"/>
        <v/>
      </c>
      <c r="W453" s="66" t="str">
        <f t="shared" si="330"/>
        <v/>
      </c>
      <c r="X453" s="66" t="str">
        <f t="shared" si="331"/>
        <v/>
      </c>
      <c r="Y453" s="66" t="str">
        <f t="shared" si="332"/>
        <v/>
      </c>
      <c r="Z453" s="66" t="str">
        <f t="shared" si="333"/>
        <v/>
      </c>
      <c r="AA453" s="66" t="str">
        <f t="shared" si="334"/>
        <v/>
      </c>
      <c r="AB453" s="66" t="str">
        <f t="shared" si="335"/>
        <v/>
      </c>
      <c r="AC453" s="66" t="str">
        <f t="shared" si="336"/>
        <v/>
      </c>
      <c r="AD453" s="66" t="str">
        <f t="shared" si="337"/>
        <v/>
      </c>
      <c r="AE453" s="66" t="str">
        <f t="shared" si="338"/>
        <v/>
      </c>
      <c r="AF453" s="66" t="str">
        <f t="shared" si="339"/>
        <v/>
      </c>
      <c r="AG453" s="66" t="str">
        <f t="shared" si="340"/>
        <v/>
      </c>
      <c r="AH453" s="66" t="str">
        <f t="shared" si="341"/>
        <v/>
      </c>
      <c r="AI453" s="66" t="str">
        <f t="shared" si="342"/>
        <v/>
      </c>
      <c r="AJ453" s="66" t="str">
        <f t="shared" si="343"/>
        <v/>
      </c>
    </row>
    <row r="454" spans="1:36">
      <c r="A454" s="66">
        <f t="shared" si="307"/>
        <v>12</v>
      </c>
      <c r="B454" s="66" t="str">
        <f t="shared" si="307"/>
        <v>何奕諠</v>
      </c>
      <c r="C454" s="66" t="str">
        <f t="shared" si="309"/>
        <v/>
      </c>
      <c r="D454" s="66" t="str">
        <f t="shared" si="311"/>
        <v/>
      </c>
      <c r="E454" s="66" t="str">
        <f t="shared" si="312"/>
        <v/>
      </c>
      <c r="F454" s="66" t="str">
        <f t="shared" si="313"/>
        <v/>
      </c>
      <c r="G454" s="66" t="str">
        <f t="shared" si="314"/>
        <v/>
      </c>
      <c r="H454" s="66" t="str">
        <f t="shared" si="315"/>
        <v/>
      </c>
      <c r="I454" s="66" t="str">
        <f t="shared" si="316"/>
        <v/>
      </c>
      <c r="J454" s="66" t="str">
        <f t="shared" si="317"/>
        <v/>
      </c>
      <c r="K454" s="66" t="str">
        <f t="shared" si="318"/>
        <v/>
      </c>
      <c r="L454" s="66" t="str">
        <f t="shared" si="319"/>
        <v/>
      </c>
      <c r="M454" s="66" t="str">
        <f t="shared" si="320"/>
        <v/>
      </c>
      <c r="N454" s="66" t="str">
        <f t="shared" si="321"/>
        <v/>
      </c>
      <c r="O454" s="66" t="str">
        <f t="shared" si="322"/>
        <v/>
      </c>
      <c r="P454" s="66" t="str">
        <f t="shared" si="323"/>
        <v/>
      </c>
      <c r="Q454" s="66" t="str">
        <f t="shared" si="324"/>
        <v/>
      </c>
      <c r="R454" s="66" t="str">
        <f t="shared" si="325"/>
        <v/>
      </c>
      <c r="S454" s="66" t="str">
        <f t="shared" si="326"/>
        <v/>
      </c>
      <c r="T454" s="66" t="str">
        <f t="shared" si="327"/>
        <v/>
      </c>
      <c r="U454" s="66" t="str">
        <f t="shared" si="328"/>
        <v/>
      </c>
      <c r="V454" s="66" t="str">
        <f t="shared" si="329"/>
        <v/>
      </c>
      <c r="W454" s="66" t="str">
        <f t="shared" si="330"/>
        <v/>
      </c>
      <c r="X454" s="66" t="str">
        <f t="shared" si="331"/>
        <v/>
      </c>
      <c r="Y454" s="66" t="str">
        <f t="shared" si="332"/>
        <v/>
      </c>
      <c r="Z454" s="66" t="str">
        <f t="shared" si="333"/>
        <v/>
      </c>
      <c r="AA454" s="66" t="str">
        <f t="shared" si="334"/>
        <v/>
      </c>
      <c r="AB454" s="66" t="str">
        <f t="shared" si="335"/>
        <v/>
      </c>
      <c r="AC454" s="66" t="str">
        <f t="shared" si="336"/>
        <v/>
      </c>
      <c r="AD454" s="66" t="str">
        <f t="shared" si="337"/>
        <v/>
      </c>
      <c r="AE454" s="66" t="str">
        <f t="shared" si="338"/>
        <v/>
      </c>
      <c r="AF454" s="66" t="str">
        <f t="shared" si="339"/>
        <v/>
      </c>
      <c r="AG454" s="66" t="str">
        <f t="shared" si="340"/>
        <v/>
      </c>
      <c r="AH454" s="66" t="str">
        <f t="shared" si="341"/>
        <v/>
      </c>
      <c r="AI454" s="66" t="str">
        <f t="shared" si="342"/>
        <v/>
      </c>
      <c r="AJ454" s="66" t="str">
        <f t="shared" si="343"/>
        <v/>
      </c>
    </row>
    <row r="455" spans="1:36">
      <c r="A455" s="66">
        <f t="shared" si="307"/>
        <v>13</v>
      </c>
      <c r="B455" s="66" t="str">
        <f t="shared" si="307"/>
        <v>楊瑞麟</v>
      </c>
      <c r="C455" s="66" t="str">
        <f t="shared" si="309"/>
        <v/>
      </c>
      <c r="D455" s="66" t="str">
        <f t="shared" si="311"/>
        <v/>
      </c>
      <c r="E455" s="66" t="str">
        <f t="shared" si="312"/>
        <v/>
      </c>
      <c r="F455" s="66" t="str">
        <f t="shared" si="313"/>
        <v/>
      </c>
      <c r="G455" s="66" t="str">
        <f t="shared" si="314"/>
        <v/>
      </c>
      <c r="H455" s="66" t="str">
        <f t="shared" si="315"/>
        <v/>
      </c>
      <c r="I455" s="66" t="str">
        <f t="shared" si="316"/>
        <v/>
      </c>
      <c r="J455" s="66" t="str">
        <f t="shared" si="317"/>
        <v/>
      </c>
      <c r="K455" s="66" t="str">
        <f t="shared" si="318"/>
        <v/>
      </c>
      <c r="L455" s="66" t="str">
        <f t="shared" si="319"/>
        <v/>
      </c>
      <c r="M455" s="66" t="str">
        <f t="shared" si="320"/>
        <v/>
      </c>
      <c r="N455" s="66" t="str">
        <f t="shared" si="321"/>
        <v/>
      </c>
      <c r="O455" s="66" t="str">
        <f t="shared" si="322"/>
        <v/>
      </c>
      <c r="P455" s="66" t="str">
        <f t="shared" si="323"/>
        <v/>
      </c>
      <c r="Q455" s="66" t="str">
        <f t="shared" si="324"/>
        <v/>
      </c>
      <c r="R455" s="66" t="str">
        <f t="shared" si="325"/>
        <v/>
      </c>
      <c r="S455" s="66" t="str">
        <f t="shared" si="326"/>
        <v/>
      </c>
      <c r="T455" s="66" t="str">
        <f t="shared" si="327"/>
        <v/>
      </c>
      <c r="U455" s="66" t="str">
        <f t="shared" si="328"/>
        <v/>
      </c>
      <c r="V455" s="66" t="str">
        <f t="shared" si="329"/>
        <v/>
      </c>
      <c r="W455" s="66" t="str">
        <f t="shared" si="330"/>
        <v/>
      </c>
      <c r="X455" s="66" t="str">
        <f t="shared" si="331"/>
        <v/>
      </c>
      <c r="Y455" s="66" t="str">
        <f t="shared" si="332"/>
        <v/>
      </c>
      <c r="Z455" s="66" t="str">
        <f t="shared" si="333"/>
        <v/>
      </c>
      <c r="AA455" s="66" t="str">
        <f t="shared" si="334"/>
        <v/>
      </c>
      <c r="AB455" s="66" t="str">
        <f t="shared" si="335"/>
        <v/>
      </c>
      <c r="AC455" s="66" t="str">
        <f t="shared" si="336"/>
        <v/>
      </c>
      <c r="AD455" s="66" t="str">
        <f t="shared" si="337"/>
        <v/>
      </c>
      <c r="AE455" s="66" t="str">
        <f t="shared" si="338"/>
        <v/>
      </c>
      <c r="AF455" s="66" t="str">
        <f t="shared" si="339"/>
        <v/>
      </c>
      <c r="AG455" s="66" t="str">
        <f t="shared" si="340"/>
        <v/>
      </c>
      <c r="AH455" s="66" t="str">
        <f t="shared" si="341"/>
        <v/>
      </c>
      <c r="AI455" s="66" t="str">
        <f t="shared" si="342"/>
        <v/>
      </c>
      <c r="AJ455" s="66" t="str">
        <f t="shared" si="343"/>
        <v/>
      </c>
    </row>
    <row r="456" spans="1:36">
      <c r="A456" s="66">
        <f t="shared" si="307"/>
        <v>14</v>
      </c>
      <c r="B456" s="66" t="str">
        <f t="shared" si="307"/>
        <v>鄭品豪</v>
      </c>
      <c r="C456" s="66" t="str">
        <f t="shared" si="309"/>
        <v/>
      </c>
      <c r="D456" s="66" t="str">
        <f t="shared" si="311"/>
        <v/>
      </c>
      <c r="E456" s="66" t="str">
        <f t="shared" si="312"/>
        <v/>
      </c>
      <c r="F456" s="66" t="str">
        <f t="shared" si="313"/>
        <v/>
      </c>
      <c r="G456" s="66" t="str">
        <f t="shared" si="314"/>
        <v/>
      </c>
      <c r="H456" s="66" t="str">
        <f t="shared" si="315"/>
        <v/>
      </c>
      <c r="I456" s="66" t="str">
        <f t="shared" si="316"/>
        <v/>
      </c>
      <c r="J456" s="66" t="str">
        <f t="shared" si="317"/>
        <v/>
      </c>
      <c r="K456" s="66" t="str">
        <f t="shared" si="318"/>
        <v/>
      </c>
      <c r="L456" s="66" t="str">
        <f t="shared" si="319"/>
        <v/>
      </c>
      <c r="M456" s="66" t="str">
        <f t="shared" si="320"/>
        <v/>
      </c>
      <c r="N456" s="66" t="str">
        <f t="shared" si="321"/>
        <v/>
      </c>
      <c r="O456" s="66" t="str">
        <f t="shared" si="322"/>
        <v/>
      </c>
      <c r="P456" s="66" t="str">
        <f t="shared" si="323"/>
        <v/>
      </c>
      <c r="Q456" s="66" t="str">
        <f t="shared" si="324"/>
        <v/>
      </c>
      <c r="R456" s="66" t="str">
        <f t="shared" si="325"/>
        <v/>
      </c>
      <c r="S456" s="66" t="str">
        <f t="shared" si="326"/>
        <v/>
      </c>
      <c r="T456" s="66" t="str">
        <f t="shared" si="327"/>
        <v/>
      </c>
      <c r="U456" s="66" t="str">
        <f t="shared" si="328"/>
        <v/>
      </c>
      <c r="V456" s="66" t="str">
        <f t="shared" si="329"/>
        <v/>
      </c>
      <c r="W456" s="66" t="str">
        <f t="shared" si="330"/>
        <v/>
      </c>
      <c r="X456" s="66" t="str">
        <f t="shared" si="331"/>
        <v/>
      </c>
      <c r="Y456" s="66" t="str">
        <f t="shared" si="332"/>
        <v/>
      </c>
      <c r="Z456" s="66" t="str">
        <f t="shared" si="333"/>
        <v/>
      </c>
      <c r="AA456" s="66" t="str">
        <f t="shared" si="334"/>
        <v/>
      </c>
      <c r="AB456" s="66" t="str">
        <f t="shared" si="335"/>
        <v/>
      </c>
      <c r="AC456" s="66" t="str">
        <f t="shared" si="336"/>
        <v/>
      </c>
      <c r="AD456" s="66" t="str">
        <f t="shared" si="337"/>
        <v/>
      </c>
      <c r="AE456" s="66" t="str">
        <f t="shared" si="338"/>
        <v/>
      </c>
      <c r="AF456" s="66" t="str">
        <f t="shared" si="339"/>
        <v/>
      </c>
      <c r="AG456" s="66" t="str">
        <f t="shared" si="340"/>
        <v/>
      </c>
      <c r="AH456" s="66" t="str">
        <f t="shared" si="341"/>
        <v/>
      </c>
      <c r="AI456" s="66" t="str">
        <f t="shared" si="342"/>
        <v/>
      </c>
      <c r="AJ456" s="66" t="str">
        <f t="shared" si="343"/>
        <v/>
      </c>
    </row>
    <row r="457" spans="1:36">
      <c r="A457" s="66">
        <f t="shared" si="307"/>
        <v>15</v>
      </c>
      <c r="B457" s="66" t="str">
        <f t="shared" si="307"/>
        <v>林晉弘</v>
      </c>
      <c r="C457" s="66" t="str">
        <f t="shared" si="309"/>
        <v/>
      </c>
      <c r="D457" s="66" t="str">
        <f t="shared" si="311"/>
        <v/>
      </c>
      <c r="E457" s="66" t="str">
        <f t="shared" si="312"/>
        <v/>
      </c>
      <c r="F457" s="66" t="str">
        <f t="shared" si="313"/>
        <v/>
      </c>
      <c r="G457" s="66" t="str">
        <f t="shared" si="314"/>
        <v/>
      </c>
      <c r="H457" s="66" t="str">
        <f t="shared" si="315"/>
        <v/>
      </c>
      <c r="I457" s="66" t="str">
        <f t="shared" si="316"/>
        <v/>
      </c>
      <c r="J457" s="66" t="str">
        <f t="shared" si="317"/>
        <v/>
      </c>
      <c r="K457" s="66" t="str">
        <f t="shared" si="318"/>
        <v/>
      </c>
      <c r="L457" s="66" t="str">
        <f t="shared" si="319"/>
        <v/>
      </c>
      <c r="M457" s="66" t="str">
        <f t="shared" si="320"/>
        <v/>
      </c>
      <c r="N457" s="66" t="str">
        <f t="shared" si="321"/>
        <v/>
      </c>
      <c r="O457" s="66" t="str">
        <f t="shared" si="322"/>
        <v/>
      </c>
      <c r="P457" s="66" t="str">
        <f t="shared" si="323"/>
        <v/>
      </c>
      <c r="Q457" s="66" t="str">
        <f t="shared" si="324"/>
        <v/>
      </c>
      <c r="R457" s="66" t="str">
        <f t="shared" si="325"/>
        <v/>
      </c>
      <c r="S457" s="66" t="str">
        <f t="shared" si="326"/>
        <v/>
      </c>
      <c r="T457" s="66" t="str">
        <f t="shared" si="327"/>
        <v/>
      </c>
      <c r="U457" s="66" t="str">
        <f t="shared" si="328"/>
        <v/>
      </c>
      <c r="V457" s="66" t="str">
        <f t="shared" si="329"/>
        <v/>
      </c>
      <c r="W457" s="66" t="str">
        <f t="shared" si="330"/>
        <v/>
      </c>
      <c r="X457" s="66" t="str">
        <f t="shared" si="331"/>
        <v/>
      </c>
      <c r="Y457" s="66" t="str">
        <f t="shared" si="332"/>
        <v/>
      </c>
      <c r="Z457" s="66" t="str">
        <f t="shared" si="333"/>
        <v/>
      </c>
      <c r="AA457" s="66" t="str">
        <f t="shared" si="334"/>
        <v/>
      </c>
      <c r="AB457" s="66" t="str">
        <f t="shared" si="335"/>
        <v/>
      </c>
      <c r="AC457" s="66" t="str">
        <f t="shared" si="336"/>
        <v/>
      </c>
      <c r="AD457" s="66" t="str">
        <f t="shared" si="337"/>
        <v/>
      </c>
      <c r="AE457" s="66" t="str">
        <f t="shared" si="338"/>
        <v/>
      </c>
      <c r="AF457" s="66" t="str">
        <f t="shared" si="339"/>
        <v/>
      </c>
      <c r="AG457" s="66" t="str">
        <f t="shared" si="340"/>
        <v/>
      </c>
      <c r="AH457" s="66" t="str">
        <f t="shared" si="341"/>
        <v/>
      </c>
      <c r="AI457" s="66" t="str">
        <f t="shared" si="342"/>
        <v/>
      </c>
      <c r="AJ457" s="66" t="str">
        <f t="shared" si="343"/>
        <v/>
      </c>
    </row>
    <row r="458" spans="1:36">
      <c r="A458" s="66">
        <f t="shared" si="307"/>
        <v>16</v>
      </c>
      <c r="B458" s="66" t="str">
        <f t="shared" si="307"/>
        <v>張恩齊</v>
      </c>
      <c r="C458" s="66" t="str">
        <f t="shared" si="309"/>
        <v/>
      </c>
      <c r="D458" s="66" t="str">
        <f t="shared" si="311"/>
        <v/>
      </c>
      <c r="E458" s="66" t="str">
        <f t="shared" si="312"/>
        <v/>
      </c>
      <c r="F458" s="66" t="str">
        <f t="shared" si="313"/>
        <v/>
      </c>
      <c r="G458" s="66" t="str">
        <f t="shared" si="314"/>
        <v/>
      </c>
      <c r="H458" s="66" t="str">
        <f t="shared" si="315"/>
        <v/>
      </c>
      <c r="I458" s="66" t="str">
        <f t="shared" si="316"/>
        <v/>
      </c>
      <c r="J458" s="66" t="str">
        <f t="shared" si="317"/>
        <v/>
      </c>
      <c r="K458" s="66" t="str">
        <f t="shared" si="318"/>
        <v/>
      </c>
      <c r="L458" s="66" t="str">
        <f t="shared" si="319"/>
        <v/>
      </c>
      <c r="M458" s="66" t="str">
        <f t="shared" si="320"/>
        <v/>
      </c>
      <c r="N458" s="66" t="str">
        <f t="shared" si="321"/>
        <v/>
      </c>
      <c r="O458" s="66" t="str">
        <f t="shared" si="322"/>
        <v/>
      </c>
      <c r="P458" s="66" t="str">
        <f t="shared" si="323"/>
        <v/>
      </c>
      <c r="Q458" s="66" t="str">
        <f t="shared" si="324"/>
        <v/>
      </c>
      <c r="R458" s="66" t="str">
        <f t="shared" si="325"/>
        <v/>
      </c>
      <c r="S458" s="66" t="str">
        <f t="shared" si="326"/>
        <v/>
      </c>
      <c r="T458" s="66" t="str">
        <f t="shared" si="327"/>
        <v/>
      </c>
      <c r="U458" s="66" t="str">
        <f t="shared" si="328"/>
        <v/>
      </c>
      <c r="V458" s="66" t="str">
        <f t="shared" si="329"/>
        <v/>
      </c>
      <c r="W458" s="66" t="str">
        <f t="shared" si="330"/>
        <v/>
      </c>
      <c r="X458" s="66" t="str">
        <f t="shared" si="331"/>
        <v/>
      </c>
      <c r="Y458" s="66" t="str">
        <f t="shared" si="332"/>
        <v/>
      </c>
      <c r="Z458" s="66" t="str">
        <f t="shared" si="333"/>
        <v/>
      </c>
      <c r="AA458" s="66" t="str">
        <f t="shared" si="334"/>
        <v/>
      </c>
      <c r="AB458" s="66" t="str">
        <f t="shared" si="335"/>
        <v/>
      </c>
      <c r="AC458" s="66" t="str">
        <f t="shared" si="336"/>
        <v/>
      </c>
      <c r="AD458" s="66" t="str">
        <f t="shared" si="337"/>
        <v/>
      </c>
      <c r="AE458" s="66" t="str">
        <f t="shared" si="338"/>
        <v/>
      </c>
      <c r="AF458" s="66" t="str">
        <f t="shared" si="339"/>
        <v/>
      </c>
      <c r="AG458" s="66" t="str">
        <f t="shared" si="340"/>
        <v/>
      </c>
      <c r="AH458" s="66" t="str">
        <f t="shared" si="341"/>
        <v/>
      </c>
      <c r="AI458" s="66" t="str">
        <f t="shared" si="342"/>
        <v/>
      </c>
      <c r="AJ458" s="66" t="str">
        <f t="shared" si="343"/>
        <v/>
      </c>
    </row>
    <row r="459" spans="1:36">
      <c r="A459" s="66">
        <f t="shared" ref="A459:B474" si="344">A419</f>
        <v>17</v>
      </c>
      <c r="B459" s="66" t="str">
        <f t="shared" si="344"/>
        <v>周承澔</v>
      </c>
      <c r="C459" s="66" t="str">
        <f t="shared" si="309"/>
        <v/>
      </c>
      <c r="D459" s="66" t="str">
        <f t="shared" si="311"/>
        <v/>
      </c>
      <c r="E459" s="66" t="str">
        <f t="shared" si="312"/>
        <v/>
      </c>
      <c r="F459" s="66" t="str">
        <f t="shared" si="313"/>
        <v/>
      </c>
      <c r="G459" s="66" t="str">
        <f t="shared" si="314"/>
        <v/>
      </c>
      <c r="H459" s="66" t="str">
        <f t="shared" si="315"/>
        <v/>
      </c>
      <c r="I459" s="66" t="str">
        <f t="shared" si="316"/>
        <v/>
      </c>
      <c r="J459" s="66" t="str">
        <f t="shared" si="317"/>
        <v/>
      </c>
      <c r="K459" s="66" t="str">
        <f t="shared" si="318"/>
        <v/>
      </c>
      <c r="L459" s="66" t="str">
        <f t="shared" si="319"/>
        <v/>
      </c>
      <c r="M459" s="66" t="str">
        <f t="shared" si="320"/>
        <v/>
      </c>
      <c r="N459" s="66" t="str">
        <f t="shared" si="321"/>
        <v/>
      </c>
      <c r="O459" s="66" t="str">
        <f t="shared" si="322"/>
        <v/>
      </c>
      <c r="P459" s="66" t="str">
        <f t="shared" si="323"/>
        <v/>
      </c>
      <c r="Q459" s="66" t="str">
        <f t="shared" si="324"/>
        <v/>
      </c>
      <c r="R459" s="66" t="str">
        <f t="shared" si="325"/>
        <v/>
      </c>
      <c r="S459" s="66" t="str">
        <f t="shared" si="326"/>
        <v/>
      </c>
      <c r="T459" s="66" t="str">
        <f t="shared" si="327"/>
        <v/>
      </c>
      <c r="U459" s="66" t="str">
        <f t="shared" si="328"/>
        <v/>
      </c>
      <c r="V459" s="66" t="str">
        <f t="shared" si="329"/>
        <v/>
      </c>
      <c r="W459" s="66" t="str">
        <f t="shared" si="330"/>
        <v/>
      </c>
      <c r="X459" s="66" t="str">
        <f t="shared" si="331"/>
        <v/>
      </c>
      <c r="Y459" s="66" t="str">
        <f t="shared" si="332"/>
        <v/>
      </c>
      <c r="Z459" s="66" t="str">
        <f t="shared" si="333"/>
        <v/>
      </c>
      <c r="AA459" s="66" t="str">
        <f t="shared" si="334"/>
        <v/>
      </c>
      <c r="AB459" s="66" t="str">
        <f t="shared" si="335"/>
        <v/>
      </c>
      <c r="AC459" s="66" t="str">
        <f t="shared" si="336"/>
        <v/>
      </c>
      <c r="AD459" s="66" t="str">
        <f t="shared" si="337"/>
        <v/>
      </c>
      <c r="AE459" s="66" t="str">
        <f t="shared" si="338"/>
        <v/>
      </c>
      <c r="AF459" s="66" t="str">
        <f t="shared" si="339"/>
        <v/>
      </c>
      <c r="AG459" s="66" t="str">
        <f t="shared" si="340"/>
        <v/>
      </c>
      <c r="AH459" s="66" t="str">
        <f t="shared" si="341"/>
        <v/>
      </c>
      <c r="AI459" s="66" t="str">
        <f t="shared" si="342"/>
        <v/>
      </c>
      <c r="AJ459" s="66" t="str">
        <f t="shared" si="343"/>
        <v/>
      </c>
    </row>
    <row r="460" spans="1:36">
      <c r="A460" s="66">
        <f t="shared" si="344"/>
        <v>18</v>
      </c>
      <c r="B460" s="66" t="str">
        <f t="shared" si="344"/>
        <v>蔡政倫</v>
      </c>
      <c r="C460" s="66" t="str">
        <f t="shared" si="309"/>
        <v/>
      </c>
      <c r="D460" s="66" t="str">
        <f t="shared" si="311"/>
        <v/>
      </c>
      <c r="E460" s="66" t="str">
        <f t="shared" si="312"/>
        <v/>
      </c>
      <c r="F460" s="66" t="str">
        <f t="shared" si="313"/>
        <v/>
      </c>
      <c r="G460" s="66" t="str">
        <f t="shared" si="314"/>
        <v/>
      </c>
      <c r="H460" s="66" t="str">
        <f t="shared" si="315"/>
        <v/>
      </c>
      <c r="I460" s="66" t="str">
        <f t="shared" si="316"/>
        <v/>
      </c>
      <c r="J460" s="66" t="str">
        <f t="shared" si="317"/>
        <v/>
      </c>
      <c r="K460" s="66" t="str">
        <f t="shared" si="318"/>
        <v/>
      </c>
      <c r="L460" s="66" t="str">
        <f t="shared" si="319"/>
        <v/>
      </c>
      <c r="M460" s="66" t="str">
        <f t="shared" si="320"/>
        <v/>
      </c>
      <c r="N460" s="66" t="str">
        <f t="shared" si="321"/>
        <v/>
      </c>
      <c r="O460" s="66" t="str">
        <f t="shared" si="322"/>
        <v/>
      </c>
      <c r="P460" s="66" t="str">
        <f t="shared" si="323"/>
        <v/>
      </c>
      <c r="Q460" s="66" t="str">
        <f t="shared" si="324"/>
        <v/>
      </c>
      <c r="R460" s="66" t="str">
        <f t="shared" si="325"/>
        <v/>
      </c>
      <c r="S460" s="66" t="str">
        <f t="shared" si="326"/>
        <v/>
      </c>
      <c r="T460" s="66" t="str">
        <f t="shared" si="327"/>
        <v/>
      </c>
      <c r="U460" s="66" t="str">
        <f t="shared" si="328"/>
        <v/>
      </c>
      <c r="V460" s="66" t="str">
        <f t="shared" si="329"/>
        <v/>
      </c>
      <c r="W460" s="66" t="str">
        <f t="shared" si="330"/>
        <v/>
      </c>
      <c r="X460" s="66" t="str">
        <f t="shared" si="331"/>
        <v/>
      </c>
      <c r="Y460" s="66" t="str">
        <f t="shared" si="332"/>
        <v/>
      </c>
      <c r="Z460" s="66" t="str">
        <f t="shared" si="333"/>
        <v/>
      </c>
      <c r="AA460" s="66" t="str">
        <f t="shared" si="334"/>
        <v/>
      </c>
      <c r="AB460" s="66" t="str">
        <f t="shared" si="335"/>
        <v/>
      </c>
      <c r="AC460" s="66" t="str">
        <f t="shared" si="336"/>
        <v/>
      </c>
      <c r="AD460" s="66" t="str">
        <f t="shared" si="337"/>
        <v/>
      </c>
      <c r="AE460" s="66" t="str">
        <f t="shared" si="338"/>
        <v/>
      </c>
      <c r="AF460" s="66" t="str">
        <f t="shared" si="339"/>
        <v/>
      </c>
      <c r="AG460" s="66" t="str">
        <f t="shared" si="340"/>
        <v/>
      </c>
      <c r="AH460" s="66" t="str">
        <f t="shared" si="341"/>
        <v/>
      </c>
      <c r="AI460" s="66" t="str">
        <f t="shared" si="342"/>
        <v/>
      </c>
      <c r="AJ460" s="66" t="str">
        <f t="shared" si="343"/>
        <v/>
      </c>
    </row>
    <row r="461" spans="1:36">
      <c r="A461" s="66">
        <f t="shared" si="344"/>
        <v>19</v>
      </c>
      <c r="B461" s="66" t="str">
        <f t="shared" si="344"/>
        <v>蕭敬哲</v>
      </c>
      <c r="C461" s="66" t="str">
        <f t="shared" si="309"/>
        <v/>
      </c>
      <c r="D461" s="66" t="str">
        <f t="shared" si="311"/>
        <v/>
      </c>
      <c r="E461" s="66" t="str">
        <f t="shared" si="312"/>
        <v/>
      </c>
      <c r="F461" s="66" t="str">
        <f t="shared" si="313"/>
        <v/>
      </c>
      <c r="G461" s="66" t="str">
        <f t="shared" si="314"/>
        <v/>
      </c>
      <c r="H461" s="66" t="str">
        <f t="shared" si="315"/>
        <v/>
      </c>
      <c r="I461" s="66" t="str">
        <f t="shared" si="316"/>
        <v/>
      </c>
      <c r="J461" s="66" t="str">
        <f t="shared" si="317"/>
        <v/>
      </c>
      <c r="K461" s="66" t="str">
        <f t="shared" si="318"/>
        <v/>
      </c>
      <c r="L461" s="66" t="str">
        <f t="shared" si="319"/>
        <v/>
      </c>
      <c r="M461" s="66" t="str">
        <f t="shared" si="320"/>
        <v/>
      </c>
      <c r="N461" s="66" t="str">
        <f t="shared" si="321"/>
        <v/>
      </c>
      <c r="O461" s="66" t="str">
        <f t="shared" si="322"/>
        <v/>
      </c>
      <c r="P461" s="66" t="str">
        <f t="shared" si="323"/>
        <v/>
      </c>
      <c r="Q461" s="66" t="str">
        <f t="shared" si="324"/>
        <v/>
      </c>
      <c r="R461" s="66" t="str">
        <f t="shared" si="325"/>
        <v/>
      </c>
      <c r="S461" s="66" t="str">
        <f t="shared" si="326"/>
        <v/>
      </c>
      <c r="T461" s="66" t="str">
        <f t="shared" si="327"/>
        <v/>
      </c>
      <c r="U461" s="66" t="str">
        <f t="shared" si="328"/>
        <v/>
      </c>
      <c r="V461" s="66" t="str">
        <f t="shared" si="329"/>
        <v/>
      </c>
      <c r="W461" s="66" t="str">
        <f t="shared" si="330"/>
        <v/>
      </c>
      <c r="X461" s="66" t="str">
        <f t="shared" si="331"/>
        <v/>
      </c>
      <c r="Y461" s="66" t="str">
        <f t="shared" si="332"/>
        <v/>
      </c>
      <c r="Z461" s="66" t="str">
        <f t="shared" si="333"/>
        <v/>
      </c>
      <c r="AA461" s="66" t="str">
        <f t="shared" si="334"/>
        <v/>
      </c>
      <c r="AB461" s="66" t="str">
        <f t="shared" si="335"/>
        <v/>
      </c>
      <c r="AC461" s="66" t="str">
        <f t="shared" si="336"/>
        <v/>
      </c>
      <c r="AD461" s="66" t="str">
        <f t="shared" si="337"/>
        <v/>
      </c>
      <c r="AE461" s="66" t="str">
        <f t="shared" si="338"/>
        <v/>
      </c>
      <c r="AF461" s="66" t="str">
        <f t="shared" si="339"/>
        <v/>
      </c>
      <c r="AG461" s="66" t="str">
        <f t="shared" si="340"/>
        <v/>
      </c>
      <c r="AH461" s="66" t="str">
        <f t="shared" si="341"/>
        <v/>
      </c>
      <c r="AI461" s="66" t="str">
        <f t="shared" si="342"/>
        <v/>
      </c>
      <c r="AJ461" s="66" t="str">
        <f t="shared" si="343"/>
        <v/>
      </c>
    </row>
    <row r="462" spans="1:36">
      <c r="A462" s="66">
        <f t="shared" si="344"/>
        <v>20</v>
      </c>
      <c r="B462" s="66" t="str">
        <f t="shared" si="344"/>
        <v>楊鈞翔</v>
      </c>
      <c r="C462" s="66" t="str">
        <f t="shared" si="309"/>
        <v/>
      </c>
      <c r="D462" s="66" t="str">
        <f t="shared" si="311"/>
        <v/>
      </c>
      <c r="E462" s="66" t="str">
        <f t="shared" si="312"/>
        <v/>
      </c>
      <c r="F462" s="66" t="str">
        <f t="shared" si="313"/>
        <v/>
      </c>
      <c r="G462" s="66" t="str">
        <f t="shared" si="314"/>
        <v/>
      </c>
      <c r="H462" s="66" t="str">
        <f t="shared" si="315"/>
        <v/>
      </c>
      <c r="I462" s="66" t="str">
        <f t="shared" si="316"/>
        <v/>
      </c>
      <c r="J462" s="66" t="str">
        <f t="shared" si="317"/>
        <v/>
      </c>
      <c r="K462" s="66" t="str">
        <f t="shared" si="318"/>
        <v/>
      </c>
      <c r="L462" s="66" t="str">
        <f t="shared" si="319"/>
        <v/>
      </c>
      <c r="M462" s="66" t="str">
        <f t="shared" si="320"/>
        <v/>
      </c>
      <c r="N462" s="66" t="str">
        <f t="shared" si="321"/>
        <v/>
      </c>
      <c r="O462" s="66" t="str">
        <f t="shared" si="322"/>
        <v/>
      </c>
      <c r="P462" s="66" t="str">
        <f t="shared" si="323"/>
        <v/>
      </c>
      <c r="Q462" s="66" t="str">
        <f t="shared" si="324"/>
        <v/>
      </c>
      <c r="R462" s="66" t="str">
        <f t="shared" si="325"/>
        <v/>
      </c>
      <c r="S462" s="66" t="str">
        <f t="shared" si="326"/>
        <v/>
      </c>
      <c r="T462" s="66" t="str">
        <f t="shared" si="327"/>
        <v/>
      </c>
      <c r="U462" s="66" t="str">
        <f t="shared" si="328"/>
        <v/>
      </c>
      <c r="V462" s="66" t="str">
        <f t="shared" si="329"/>
        <v/>
      </c>
      <c r="W462" s="66" t="str">
        <f t="shared" si="330"/>
        <v/>
      </c>
      <c r="X462" s="66" t="str">
        <f t="shared" si="331"/>
        <v/>
      </c>
      <c r="Y462" s="66" t="str">
        <f t="shared" si="332"/>
        <v/>
      </c>
      <c r="Z462" s="66" t="str">
        <f t="shared" si="333"/>
        <v/>
      </c>
      <c r="AA462" s="66" t="str">
        <f t="shared" si="334"/>
        <v/>
      </c>
      <c r="AB462" s="66" t="str">
        <f t="shared" si="335"/>
        <v/>
      </c>
      <c r="AC462" s="66" t="str">
        <f t="shared" si="336"/>
        <v/>
      </c>
      <c r="AD462" s="66" t="str">
        <f t="shared" si="337"/>
        <v/>
      </c>
      <c r="AE462" s="66" t="str">
        <f t="shared" si="338"/>
        <v/>
      </c>
      <c r="AF462" s="66" t="str">
        <f t="shared" si="339"/>
        <v/>
      </c>
      <c r="AG462" s="66" t="str">
        <f t="shared" si="340"/>
        <v/>
      </c>
      <c r="AH462" s="66" t="str">
        <f t="shared" si="341"/>
        <v/>
      </c>
      <c r="AI462" s="66" t="str">
        <f t="shared" si="342"/>
        <v/>
      </c>
      <c r="AJ462" s="66" t="str">
        <f t="shared" si="343"/>
        <v/>
      </c>
    </row>
    <row r="463" spans="1:36">
      <c r="A463" s="66">
        <f t="shared" si="344"/>
        <v>21</v>
      </c>
      <c r="B463" s="66" t="str">
        <f t="shared" si="344"/>
        <v>邱俊閎</v>
      </c>
      <c r="C463" s="66" t="str">
        <f t="shared" si="309"/>
        <v/>
      </c>
      <c r="D463" s="66" t="str">
        <f t="shared" si="311"/>
        <v/>
      </c>
      <c r="E463" s="66" t="str">
        <f t="shared" si="312"/>
        <v/>
      </c>
      <c r="F463" s="66" t="str">
        <f t="shared" si="313"/>
        <v/>
      </c>
      <c r="G463" s="66" t="str">
        <f t="shared" si="314"/>
        <v/>
      </c>
      <c r="H463" s="66" t="str">
        <f t="shared" si="315"/>
        <v/>
      </c>
      <c r="I463" s="66" t="str">
        <f t="shared" si="316"/>
        <v/>
      </c>
      <c r="J463" s="66" t="str">
        <f t="shared" si="317"/>
        <v/>
      </c>
      <c r="K463" s="66" t="str">
        <f t="shared" si="318"/>
        <v/>
      </c>
      <c r="L463" s="66" t="str">
        <f t="shared" si="319"/>
        <v/>
      </c>
      <c r="M463" s="66" t="str">
        <f t="shared" si="320"/>
        <v/>
      </c>
      <c r="N463" s="66" t="str">
        <f t="shared" si="321"/>
        <v/>
      </c>
      <c r="O463" s="66" t="str">
        <f t="shared" si="322"/>
        <v/>
      </c>
      <c r="P463" s="66" t="str">
        <f t="shared" si="323"/>
        <v/>
      </c>
      <c r="Q463" s="66" t="str">
        <f t="shared" si="324"/>
        <v/>
      </c>
      <c r="R463" s="66" t="str">
        <f t="shared" si="325"/>
        <v/>
      </c>
      <c r="S463" s="66" t="str">
        <f t="shared" si="326"/>
        <v/>
      </c>
      <c r="T463" s="66" t="str">
        <f t="shared" si="327"/>
        <v/>
      </c>
      <c r="U463" s="66" t="str">
        <f t="shared" si="328"/>
        <v/>
      </c>
      <c r="V463" s="66" t="str">
        <f t="shared" si="329"/>
        <v/>
      </c>
      <c r="W463" s="66" t="str">
        <f t="shared" si="330"/>
        <v/>
      </c>
      <c r="X463" s="66" t="str">
        <f t="shared" si="331"/>
        <v/>
      </c>
      <c r="Y463" s="66" t="str">
        <f t="shared" si="332"/>
        <v/>
      </c>
      <c r="Z463" s="66" t="str">
        <f t="shared" si="333"/>
        <v/>
      </c>
      <c r="AA463" s="66" t="str">
        <f t="shared" si="334"/>
        <v/>
      </c>
      <c r="AB463" s="66" t="str">
        <f t="shared" si="335"/>
        <v/>
      </c>
      <c r="AC463" s="66" t="str">
        <f t="shared" si="336"/>
        <v/>
      </c>
      <c r="AD463" s="66" t="str">
        <f t="shared" si="337"/>
        <v/>
      </c>
      <c r="AE463" s="66" t="str">
        <f t="shared" si="338"/>
        <v/>
      </c>
      <c r="AF463" s="66" t="str">
        <f t="shared" si="339"/>
        <v/>
      </c>
      <c r="AG463" s="66" t="str">
        <f t="shared" si="340"/>
        <v/>
      </c>
      <c r="AH463" s="66" t="str">
        <f t="shared" si="341"/>
        <v/>
      </c>
      <c r="AI463" s="66" t="str">
        <f t="shared" si="342"/>
        <v/>
      </c>
      <c r="AJ463" s="66" t="str">
        <f t="shared" si="343"/>
        <v/>
      </c>
    </row>
    <row r="464" spans="1:36">
      <c r="A464" s="66">
        <f t="shared" si="344"/>
        <v>22</v>
      </c>
      <c r="B464" s="66" t="str">
        <f t="shared" si="344"/>
        <v>陳奕欣</v>
      </c>
      <c r="C464" s="66" t="str">
        <f t="shared" si="309"/>
        <v/>
      </c>
      <c r="D464" s="66" t="str">
        <f t="shared" si="311"/>
        <v/>
      </c>
      <c r="E464" s="66" t="str">
        <f t="shared" si="312"/>
        <v/>
      </c>
      <c r="F464" s="66" t="str">
        <f t="shared" si="313"/>
        <v/>
      </c>
      <c r="G464" s="66" t="str">
        <f t="shared" si="314"/>
        <v/>
      </c>
      <c r="H464" s="66" t="str">
        <f t="shared" si="315"/>
        <v/>
      </c>
      <c r="I464" s="66" t="str">
        <f t="shared" si="316"/>
        <v/>
      </c>
      <c r="J464" s="66" t="str">
        <f t="shared" si="317"/>
        <v/>
      </c>
      <c r="K464" s="66" t="str">
        <f t="shared" si="318"/>
        <v/>
      </c>
      <c r="L464" s="66" t="str">
        <f t="shared" si="319"/>
        <v/>
      </c>
      <c r="M464" s="66" t="str">
        <f t="shared" si="320"/>
        <v/>
      </c>
      <c r="N464" s="66" t="str">
        <f t="shared" si="321"/>
        <v/>
      </c>
      <c r="O464" s="66" t="str">
        <f t="shared" si="322"/>
        <v/>
      </c>
      <c r="P464" s="66" t="str">
        <f t="shared" si="323"/>
        <v/>
      </c>
      <c r="Q464" s="66" t="str">
        <f t="shared" si="324"/>
        <v/>
      </c>
      <c r="R464" s="66" t="str">
        <f t="shared" si="325"/>
        <v/>
      </c>
      <c r="S464" s="66" t="str">
        <f t="shared" si="326"/>
        <v/>
      </c>
      <c r="T464" s="66" t="str">
        <f t="shared" si="327"/>
        <v/>
      </c>
      <c r="U464" s="66" t="str">
        <f t="shared" si="328"/>
        <v/>
      </c>
      <c r="V464" s="66" t="str">
        <f t="shared" si="329"/>
        <v/>
      </c>
      <c r="W464" s="66" t="str">
        <f t="shared" si="330"/>
        <v/>
      </c>
      <c r="X464" s="66" t="str">
        <f t="shared" si="331"/>
        <v/>
      </c>
      <c r="Y464" s="66" t="str">
        <f t="shared" si="332"/>
        <v/>
      </c>
      <c r="Z464" s="66" t="str">
        <f t="shared" si="333"/>
        <v/>
      </c>
      <c r="AA464" s="66" t="str">
        <f t="shared" si="334"/>
        <v/>
      </c>
      <c r="AB464" s="66" t="str">
        <f t="shared" si="335"/>
        <v/>
      </c>
      <c r="AC464" s="66" t="str">
        <f t="shared" si="336"/>
        <v/>
      </c>
      <c r="AD464" s="66" t="str">
        <f t="shared" si="337"/>
        <v/>
      </c>
      <c r="AE464" s="66" t="str">
        <f t="shared" si="338"/>
        <v/>
      </c>
      <c r="AF464" s="66" t="str">
        <f t="shared" si="339"/>
        <v/>
      </c>
      <c r="AG464" s="66" t="str">
        <f t="shared" si="340"/>
        <v/>
      </c>
      <c r="AH464" s="66" t="str">
        <f t="shared" si="341"/>
        <v/>
      </c>
      <c r="AI464" s="66" t="str">
        <f t="shared" si="342"/>
        <v/>
      </c>
      <c r="AJ464" s="66" t="str">
        <f t="shared" si="343"/>
        <v/>
      </c>
    </row>
    <row r="465" spans="1:55">
      <c r="A465" s="66">
        <f t="shared" si="344"/>
        <v>23</v>
      </c>
      <c r="B465" s="66" t="str">
        <f t="shared" si="344"/>
        <v>阮成山</v>
      </c>
      <c r="C465" s="66" t="str">
        <f t="shared" si="309"/>
        <v/>
      </c>
      <c r="D465" s="66" t="str">
        <f t="shared" si="311"/>
        <v/>
      </c>
      <c r="E465" s="66" t="str">
        <f t="shared" si="312"/>
        <v/>
      </c>
      <c r="F465" s="66" t="str">
        <f t="shared" si="313"/>
        <v/>
      </c>
      <c r="G465" s="66" t="str">
        <f t="shared" si="314"/>
        <v/>
      </c>
      <c r="H465" s="66" t="str">
        <f t="shared" si="315"/>
        <v/>
      </c>
      <c r="I465" s="66" t="str">
        <f t="shared" si="316"/>
        <v/>
      </c>
      <c r="J465" s="66" t="str">
        <f t="shared" si="317"/>
        <v/>
      </c>
      <c r="K465" s="66" t="str">
        <f t="shared" si="318"/>
        <v/>
      </c>
      <c r="L465" s="66" t="str">
        <f t="shared" si="319"/>
        <v/>
      </c>
      <c r="M465" s="66" t="str">
        <f t="shared" si="320"/>
        <v/>
      </c>
      <c r="N465" s="66" t="str">
        <f t="shared" si="321"/>
        <v/>
      </c>
      <c r="O465" s="66" t="str">
        <f t="shared" si="322"/>
        <v/>
      </c>
      <c r="P465" s="66" t="str">
        <f t="shared" si="323"/>
        <v/>
      </c>
      <c r="Q465" s="66" t="str">
        <f t="shared" si="324"/>
        <v/>
      </c>
      <c r="R465" s="66" t="str">
        <f t="shared" si="325"/>
        <v/>
      </c>
      <c r="S465" s="66" t="str">
        <f t="shared" si="326"/>
        <v/>
      </c>
      <c r="T465" s="66" t="str">
        <f t="shared" si="327"/>
        <v/>
      </c>
      <c r="U465" s="66" t="str">
        <f t="shared" si="328"/>
        <v/>
      </c>
      <c r="V465" s="66" t="str">
        <f t="shared" si="329"/>
        <v/>
      </c>
      <c r="W465" s="66" t="str">
        <f t="shared" si="330"/>
        <v/>
      </c>
      <c r="X465" s="66" t="str">
        <f t="shared" si="331"/>
        <v/>
      </c>
      <c r="Y465" s="66" t="str">
        <f t="shared" si="332"/>
        <v/>
      </c>
      <c r="Z465" s="66" t="str">
        <f t="shared" si="333"/>
        <v/>
      </c>
      <c r="AA465" s="66" t="str">
        <f t="shared" si="334"/>
        <v/>
      </c>
      <c r="AB465" s="66" t="str">
        <f t="shared" si="335"/>
        <v/>
      </c>
      <c r="AC465" s="66" t="str">
        <f t="shared" si="336"/>
        <v/>
      </c>
      <c r="AD465" s="66" t="str">
        <f t="shared" si="337"/>
        <v/>
      </c>
      <c r="AE465" s="66" t="str">
        <f t="shared" si="338"/>
        <v/>
      </c>
      <c r="AF465" s="66" t="str">
        <f t="shared" si="339"/>
        <v/>
      </c>
      <c r="AG465" s="66" t="str">
        <f t="shared" si="340"/>
        <v/>
      </c>
      <c r="AH465" s="66" t="str">
        <f t="shared" si="341"/>
        <v/>
      </c>
      <c r="AI465" s="66" t="str">
        <f t="shared" si="342"/>
        <v/>
      </c>
      <c r="AJ465" s="66" t="str">
        <f t="shared" si="343"/>
        <v/>
      </c>
    </row>
    <row r="466" spans="1:55">
      <c r="A466" s="66">
        <f t="shared" si="344"/>
        <v>24</v>
      </c>
      <c r="B466" s="66" t="str">
        <f t="shared" si="344"/>
        <v>黃品傑</v>
      </c>
      <c r="C466" s="66" t="str">
        <f t="shared" si="309"/>
        <v/>
      </c>
      <c r="D466" s="66" t="str">
        <f t="shared" si="311"/>
        <v/>
      </c>
      <c r="E466" s="66" t="str">
        <f t="shared" si="312"/>
        <v/>
      </c>
      <c r="F466" s="66" t="str">
        <f t="shared" si="313"/>
        <v/>
      </c>
      <c r="G466" s="66" t="str">
        <f t="shared" si="314"/>
        <v/>
      </c>
      <c r="H466" s="66" t="str">
        <f t="shared" si="315"/>
        <v/>
      </c>
      <c r="I466" s="66" t="str">
        <f t="shared" si="316"/>
        <v/>
      </c>
      <c r="J466" s="66" t="str">
        <f t="shared" si="317"/>
        <v/>
      </c>
      <c r="K466" s="66" t="str">
        <f t="shared" si="318"/>
        <v/>
      </c>
      <c r="L466" s="66" t="str">
        <f t="shared" si="319"/>
        <v/>
      </c>
      <c r="M466" s="66" t="str">
        <f t="shared" si="320"/>
        <v/>
      </c>
      <c r="N466" s="66" t="str">
        <f t="shared" si="321"/>
        <v/>
      </c>
      <c r="O466" s="66" t="str">
        <f t="shared" si="322"/>
        <v/>
      </c>
      <c r="P466" s="66" t="str">
        <f t="shared" si="323"/>
        <v/>
      </c>
      <c r="Q466" s="66" t="str">
        <f t="shared" si="324"/>
        <v/>
      </c>
      <c r="R466" s="66" t="str">
        <f t="shared" si="325"/>
        <v/>
      </c>
      <c r="S466" s="66" t="str">
        <f t="shared" si="326"/>
        <v/>
      </c>
      <c r="T466" s="66" t="str">
        <f t="shared" si="327"/>
        <v/>
      </c>
      <c r="U466" s="66" t="str">
        <f t="shared" si="328"/>
        <v/>
      </c>
      <c r="V466" s="66" t="str">
        <f t="shared" si="329"/>
        <v/>
      </c>
      <c r="W466" s="66" t="str">
        <f t="shared" si="330"/>
        <v/>
      </c>
      <c r="X466" s="66" t="str">
        <f t="shared" si="331"/>
        <v/>
      </c>
      <c r="Y466" s="66" t="str">
        <f t="shared" si="332"/>
        <v/>
      </c>
      <c r="Z466" s="66" t="str">
        <f t="shared" si="333"/>
        <v/>
      </c>
      <c r="AA466" s="66" t="str">
        <f t="shared" si="334"/>
        <v/>
      </c>
      <c r="AB466" s="66" t="str">
        <f t="shared" si="335"/>
        <v/>
      </c>
      <c r="AC466" s="66" t="str">
        <f t="shared" si="336"/>
        <v/>
      </c>
      <c r="AD466" s="66" t="str">
        <f t="shared" si="337"/>
        <v/>
      </c>
      <c r="AE466" s="66" t="str">
        <f t="shared" si="338"/>
        <v/>
      </c>
      <c r="AF466" s="66" t="str">
        <f t="shared" si="339"/>
        <v/>
      </c>
      <c r="AG466" s="66" t="str">
        <f t="shared" si="340"/>
        <v/>
      </c>
      <c r="AH466" s="66" t="str">
        <f t="shared" si="341"/>
        <v/>
      </c>
      <c r="AI466" s="66" t="str">
        <f t="shared" si="342"/>
        <v/>
      </c>
      <c r="AJ466" s="66" t="str">
        <f t="shared" si="343"/>
        <v/>
      </c>
    </row>
    <row r="467" spans="1:55">
      <c r="A467" s="66">
        <f t="shared" si="344"/>
        <v>25</v>
      </c>
      <c r="B467" s="66" t="str">
        <f t="shared" si="344"/>
        <v>唐正瑋</v>
      </c>
      <c r="C467" s="66" t="str">
        <f t="shared" si="309"/>
        <v/>
      </c>
      <c r="D467" s="66" t="str">
        <f t="shared" si="311"/>
        <v/>
      </c>
      <c r="E467" s="66" t="str">
        <f t="shared" si="312"/>
        <v/>
      </c>
      <c r="F467" s="66" t="str">
        <f t="shared" si="313"/>
        <v/>
      </c>
      <c r="G467" s="66" t="str">
        <f t="shared" si="314"/>
        <v/>
      </c>
      <c r="H467" s="66" t="str">
        <f t="shared" si="315"/>
        <v/>
      </c>
      <c r="I467" s="66" t="str">
        <f t="shared" si="316"/>
        <v/>
      </c>
      <c r="J467" s="66" t="str">
        <f t="shared" si="317"/>
        <v/>
      </c>
      <c r="K467" s="66" t="str">
        <f t="shared" si="318"/>
        <v/>
      </c>
      <c r="L467" s="66" t="str">
        <f t="shared" si="319"/>
        <v/>
      </c>
      <c r="M467" s="66" t="str">
        <f t="shared" si="320"/>
        <v/>
      </c>
      <c r="N467" s="66" t="str">
        <f t="shared" si="321"/>
        <v/>
      </c>
      <c r="O467" s="66" t="str">
        <f t="shared" si="322"/>
        <v/>
      </c>
      <c r="P467" s="66" t="str">
        <f t="shared" si="323"/>
        <v/>
      </c>
      <c r="Q467" s="66" t="str">
        <f t="shared" si="324"/>
        <v/>
      </c>
      <c r="R467" s="66" t="str">
        <f t="shared" si="325"/>
        <v/>
      </c>
      <c r="S467" s="66" t="str">
        <f t="shared" si="326"/>
        <v/>
      </c>
      <c r="T467" s="66" t="str">
        <f t="shared" si="327"/>
        <v/>
      </c>
      <c r="U467" s="66" t="str">
        <f t="shared" si="328"/>
        <v/>
      </c>
      <c r="V467" s="66" t="str">
        <f t="shared" si="329"/>
        <v/>
      </c>
      <c r="W467" s="66" t="str">
        <f t="shared" si="330"/>
        <v/>
      </c>
      <c r="X467" s="66" t="str">
        <f t="shared" si="331"/>
        <v/>
      </c>
      <c r="Y467" s="66" t="str">
        <f t="shared" si="332"/>
        <v/>
      </c>
      <c r="Z467" s="66" t="str">
        <f t="shared" si="333"/>
        <v/>
      </c>
      <c r="AA467" s="66" t="str">
        <f t="shared" si="334"/>
        <v/>
      </c>
      <c r="AB467" s="66" t="str">
        <f t="shared" si="335"/>
        <v/>
      </c>
      <c r="AC467" s="66" t="str">
        <f t="shared" si="336"/>
        <v/>
      </c>
      <c r="AD467" s="66" t="str">
        <f t="shared" si="337"/>
        <v/>
      </c>
      <c r="AE467" s="66" t="str">
        <f t="shared" si="338"/>
        <v/>
      </c>
      <c r="AF467" s="66" t="str">
        <f t="shared" si="339"/>
        <v/>
      </c>
      <c r="AG467" s="66" t="str">
        <f t="shared" si="340"/>
        <v/>
      </c>
      <c r="AH467" s="66" t="str">
        <f t="shared" si="341"/>
        <v/>
      </c>
      <c r="AI467" s="66" t="str">
        <f t="shared" si="342"/>
        <v/>
      </c>
      <c r="AJ467" s="66" t="str">
        <f t="shared" si="343"/>
        <v/>
      </c>
    </row>
    <row r="468" spans="1:55">
      <c r="A468" s="66">
        <f t="shared" si="344"/>
        <v>26</v>
      </c>
      <c r="B468" s="66" t="str">
        <f t="shared" si="344"/>
        <v>曾慶鈞</v>
      </c>
      <c r="C468" s="66" t="str">
        <f t="shared" si="309"/>
        <v/>
      </c>
      <c r="D468" s="66" t="str">
        <f t="shared" si="311"/>
        <v/>
      </c>
      <c r="E468" s="66" t="str">
        <f t="shared" si="312"/>
        <v/>
      </c>
      <c r="F468" s="66" t="str">
        <f t="shared" si="313"/>
        <v/>
      </c>
      <c r="G468" s="66" t="str">
        <f t="shared" si="314"/>
        <v/>
      </c>
      <c r="H468" s="66" t="str">
        <f t="shared" si="315"/>
        <v/>
      </c>
      <c r="I468" s="66" t="str">
        <f t="shared" si="316"/>
        <v/>
      </c>
      <c r="J468" s="66" t="str">
        <f t="shared" si="317"/>
        <v/>
      </c>
      <c r="K468" s="66" t="str">
        <f t="shared" si="318"/>
        <v/>
      </c>
      <c r="L468" s="66" t="str">
        <f t="shared" si="319"/>
        <v/>
      </c>
      <c r="M468" s="66" t="str">
        <f t="shared" si="320"/>
        <v/>
      </c>
      <c r="N468" s="66" t="str">
        <f t="shared" si="321"/>
        <v/>
      </c>
      <c r="O468" s="66" t="str">
        <f t="shared" si="322"/>
        <v/>
      </c>
      <c r="P468" s="66" t="str">
        <f t="shared" si="323"/>
        <v/>
      </c>
      <c r="Q468" s="66" t="str">
        <f t="shared" si="324"/>
        <v/>
      </c>
      <c r="R468" s="66" t="str">
        <f t="shared" si="325"/>
        <v/>
      </c>
      <c r="S468" s="66" t="str">
        <f t="shared" si="326"/>
        <v/>
      </c>
      <c r="T468" s="66" t="str">
        <f t="shared" si="327"/>
        <v/>
      </c>
      <c r="U468" s="66" t="str">
        <f t="shared" si="328"/>
        <v/>
      </c>
      <c r="V468" s="66" t="str">
        <f t="shared" si="329"/>
        <v/>
      </c>
      <c r="W468" s="66" t="str">
        <f t="shared" si="330"/>
        <v/>
      </c>
      <c r="X468" s="66" t="str">
        <f t="shared" si="331"/>
        <v/>
      </c>
      <c r="Y468" s="66" t="str">
        <f t="shared" si="332"/>
        <v/>
      </c>
      <c r="Z468" s="66" t="str">
        <f t="shared" si="333"/>
        <v/>
      </c>
      <c r="AA468" s="66" t="str">
        <f t="shared" si="334"/>
        <v/>
      </c>
      <c r="AB468" s="66" t="str">
        <f t="shared" si="335"/>
        <v/>
      </c>
      <c r="AC468" s="66" t="str">
        <f t="shared" si="336"/>
        <v/>
      </c>
      <c r="AD468" s="66" t="str">
        <f t="shared" si="337"/>
        <v/>
      </c>
      <c r="AE468" s="66" t="str">
        <f t="shared" si="338"/>
        <v/>
      </c>
      <c r="AF468" s="66" t="str">
        <f t="shared" si="339"/>
        <v/>
      </c>
      <c r="AG468" s="66" t="str">
        <f t="shared" si="340"/>
        <v/>
      </c>
      <c r="AH468" s="66" t="str">
        <f t="shared" si="341"/>
        <v/>
      </c>
      <c r="AI468" s="66" t="str">
        <f t="shared" si="342"/>
        <v/>
      </c>
      <c r="AJ468" s="66" t="str">
        <f t="shared" si="343"/>
        <v/>
      </c>
    </row>
    <row r="469" spans="1:55">
      <c r="A469" s="66">
        <f t="shared" si="344"/>
        <v>27</v>
      </c>
      <c r="B469" s="66" t="str">
        <f t="shared" si="344"/>
        <v>游瀚翔</v>
      </c>
      <c r="C469" s="66" t="str">
        <f t="shared" si="309"/>
        <v/>
      </c>
      <c r="D469" s="66" t="str">
        <f t="shared" si="311"/>
        <v/>
      </c>
      <c r="E469" s="66" t="str">
        <f t="shared" si="312"/>
        <v/>
      </c>
      <c r="F469" s="66" t="str">
        <f t="shared" si="313"/>
        <v/>
      </c>
      <c r="G469" s="66" t="str">
        <f t="shared" si="314"/>
        <v/>
      </c>
      <c r="H469" s="66" t="str">
        <f t="shared" si="315"/>
        <v/>
      </c>
      <c r="I469" s="66" t="str">
        <f t="shared" si="316"/>
        <v/>
      </c>
      <c r="J469" s="66" t="str">
        <f t="shared" si="317"/>
        <v/>
      </c>
      <c r="K469" s="66" t="str">
        <f t="shared" si="318"/>
        <v/>
      </c>
      <c r="L469" s="66" t="str">
        <f t="shared" si="319"/>
        <v/>
      </c>
      <c r="M469" s="66" t="str">
        <f t="shared" si="320"/>
        <v/>
      </c>
      <c r="N469" s="66" t="str">
        <f t="shared" si="321"/>
        <v/>
      </c>
      <c r="O469" s="66" t="str">
        <f t="shared" si="322"/>
        <v/>
      </c>
      <c r="P469" s="66" t="str">
        <f t="shared" si="323"/>
        <v/>
      </c>
      <c r="Q469" s="66" t="str">
        <f t="shared" si="324"/>
        <v/>
      </c>
      <c r="R469" s="66" t="str">
        <f t="shared" si="325"/>
        <v/>
      </c>
      <c r="S469" s="66" t="str">
        <f t="shared" si="326"/>
        <v/>
      </c>
      <c r="T469" s="66" t="str">
        <f t="shared" si="327"/>
        <v/>
      </c>
      <c r="U469" s="66" t="str">
        <f t="shared" si="328"/>
        <v/>
      </c>
      <c r="V469" s="66" t="str">
        <f t="shared" si="329"/>
        <v/>
      </c>
      <c r="W469" s="66" t="str">
        <f t="shared" si="330"/>
        <v/>
      </c>
      <c r="X469" s="66" t="str">
        <f t="shared" si="331"/>
        <v/>
      </c>
      <c r="Y469" s="66" t="str">
        <f t="shared" si="332"/>
        <v/>
      </c>
      <c r="Z469" s="66" t="str">
        <f t="shared" si="333"/>
        <v/>
      </c>
      <c r="AA469" s="66" t="str">
        <f t="shared" si="334"/>
        <v/>
      </c>
      <c r="AB469" s="66" t="str">
        <f t="shared" si="335"/>
        <v/>
      </c>
      <c r="AC469" s="66" t="str">
        <f t="shared" si="336"/>
        <v/>
      </c>
      <c r="AD469" s="66" t="str">
        <f t="shared" si="337"/>
        <v/>
      </c>
      <c r="AE469" s="66" t="str">
        <f t="shared" si="338"/>
        <v/>
      </c>
      <c r="AF469" s="66" t="str">
        <f t="shared" si="339"/>
        <v/>
      </c>
      <c r="AG469" s="66" t="str">
        <f t="shared" si="340"/>
        <v/>
      </c>
      <c r="AH469" s="66" t="str">
        <f t="shared" si="341"/>
        <v/>
      </c>
      <c r="AI469" s="66" t="str">
        <f t="shared" si="342"/>
        <v/>
      </c>
      <c r="AJ469" s="66" t="str">
        <f t="shared" si="343"/>
        <v/>
      </c>
    </row>
    <row r="470" spans="1:55">
      <c r="A470" s="66">
        <f t="shared" si="344"/>
        <v>28</v>
      </c>
      <c r="B470" s="66" t="str">
        <f t="shared" si="344"/>
        <v>高仲廷</v>
      </c>
      <c r="C470" s="66" t="str">
        <f t="shared" si="309"/>
        <v/>
      </c>
      <c r="D470" s="66" t="str">
        <f t="shared" si="311"/>
        <v/>
      </c>
      <c r="E470" s="66" t="str">
        <f t="shared" si="312"/>
        <v/>
      </c>
      <c r="F470" s="66" t="str">
        <f t="shared" si="313"/>
        <v/>
      </c>
      <c r="G470" s="66" t="str">
        <f t="shared" si="314"/>
        <v/>
      </c>
      <c r="H470" s="66" t="str">
        <f t="shared" si="315"/>
        <v/>
      </c>
      <c r="I470" s="66" t="str">
        <f t="shared" si="316"/>
        <v/>
      </c>
      <c r="J470" s="66" t="str">
        <f t="shared" si="317"/>
        <v/>
      </c>
      <c r="K470" s="66" t="str">
        <f t="shared" si="318"/>
        <v/>
      </c>
      <c r="L470" s="66" t="str">
        <f t="shared" si="319"/>
        <v/>
      </c>
      <c r="M470" s="66" t="str">
        <f t="shared" si="320"/>
        <v/>
      </c>
      <c r="N470" s="66" t="str">
        <f t="shared" si="321"/>
        <v/>
      </c>
      <c r="O470" s="66" t="str">
        <f t="shared" si="322"/>
        <v/>
      </c>
      <c r="P470" s="66" t="str">
        <f t="shared" si="323"/>
        <v/>
      </c>
      <c r="Q470" s="66" t="str">
        <f t="shared" si="324"/>
        <v/>
      </c>
      <c r="R470" s="66" t="str">
        <f t="shared" si="325"/>
        <v/>
      </c>
      <c r="S470" s="66" t="str">
        <f t="shared" si="326"/>
        <v/>
      </c>
      <c r="T470" s="66" t="str">
        <f t="shared" si="327"/>
        <v/>
      </c>
      <c r="U470" s="66" t="str">
        <f t="shared" si="328"/>
        <v/>
      </c>
      <c r="V470" s="66" t="str">
        <f t="shared" si="329"/>
        <v/>
      </c>
      <c r="W470" s="66" t="str">
        <f t="shared" si="330"/>
        <v/>
      </c>
      <c r="X470" s="66" t="str">
        <f t="shared" si="331"/>
        <v/>
      </c>
      <c r="Y470" s="66" t="str">
        <f t="shared" si="332"/>
        <v/>
      </c>
      <c r="Z470" s="66" t="str">
        <f t="shared" si="333"/>
        <v/>
      </c>
      <c r="AA470" s="66" t="str">
        <f t="shared" si="334"/>
        <v/>
      </c>
      <c r="AB470" s="66" t="str">
        <f t="shared" si="335"/>
        <v/>
      </c>
      <c r="AC470" s="66" t="str">
        <f t="shared" si="336"/>
        <v/>
      </c>
      <c r="AD470" s="66" t="str">
        <f t="shared" si="337"/>
        <v/>
      </c>
      <c r="AE470" s="66" t="str">
        <f t="shared" si="338"/>
        <v/>
      </c>
      <c r="AF470" s="66" t="str">
        <f t="shared" si="339"/>
        <v/>
      </c>
      <c r="AG470" s="66" t="str">
        <f t="shared" si="340"/>
        <v/>
      </c>
      <c r="AH470" s="66" t="str">
        <f t="shared" si="341"/>
        <v/>
      </c>
      <c r="AI470" s="66" t="str">
        <f t="shared" si="342"/>
        <v/>
      </c>
      <c r="AJ470" s="66" t="str">
        <f t="shared" si="343"/>
        <v/>
      </c>
    </row>
    <row r="471" spans="1:55">
      <c r="A471" s="66">
        <f t="shared" si="344"/>
        <v>29</v>
      </c>
      <c r="B471" s="66" t="str">
        <f t="shared" si="344"/>
        <v>陳羲</v>
      </c>
      <c r="C471" s="66" t="str">
        <f t="shared" si="309"/>
        <v/>
      </c>
      <c r="D471" s="66" t="str">
        <f t="shared" si="311"/>
        <v/>
      </c>
      <c r="E471" s="66" t="str">
        <f t="shared" si="312"/>
        <v/>
      </c>
      <c r="F471" s="66" t="str">
        <f t="shared" si="313"/>
        <v/>
      </c>
      <c r="G471" s="66" t="str">
        <f t="shared" si="314"/>
        <v/>
      </c>
      <c r="H471" s="66" t="str">
        <f t="shared" si="315"/>
        <v/>
      </c>
      <c r="I471" s="66" t="str">
        <f t="shared" si="316"/>
        <v/>
      </c>
      <c r="J471" s="66" t="str">
        <f t="shared" si="317"/>
        <v/>
      </c>
      <c r="K471" s="66" t="str">
        <f t="shared" si="318"/>
        <v/>
      </c>
      <c r="L471" s="66" t="str">
        <f t="shared" si="319"/>
        <v/>
      </c>
      <c r="M471" s="66" t="str">
        <f t="shared" si="320"/>
        <v/>
      </c>
      <c r="N471" s="66" t="str">
        <f t="shared" si="321"/>
        <v/>
      </c>
      <c r="O471" s="66" t="str">
        <f t="shared" si="322"/>
        <v/>
      </c>
      <c r="P471" s="66" t="str">
        <f t="shared" si="323"/>
        <v/>
      </c>
      <c r="Q471" s="66" t="str">
        <f t="shared" si="324"/>
        <v/>
      </c>
      <c r="R471" s="66" t="str">
        <f t="shared" si="325"/>
        <v/>
      </c>
      <c r="S471" s="66" t="str">
        <f t="shared" si="326"/>
        <v/>
      </c>
      <c r="T471" s="66" t="str">
        <f t="shared" si="327"/>
        <v/>
      </c>
      <c r="U471" s="66" t="str">
        <f t="shared" si="328"/>
        <v/>
      </c>
      <c r="V471" s="66" t="str">
        <f t="shared" si="329"/>
        <v/>
      </c>
      <c r="W471" s="66" t="str">
        <f t="shared" si="330"/>
        <v/>
      </c>
      <c r="X471" s="66" t="str">
        <f t="shared" si="331"/>
        <v/>
      </c>
      <c r="Y471" s="66" t="str">
        <f t="shared" si="332"/>
        <v/>
      </c>
      <c r="Z471" s="66" t="str">
        <f t="shared" si="333"/>
        <v/>
      </c>
      <c r="AA471" s="66" t="str">
        <f t="shared" si="334"/>
        <v/>
      </c>
      <c r="AB471" s="66" t="str">
        <f t="shared" si="335"/>
        <v/>
      </c>
      <c r="AC471" s="66" t="str">
        <f t="shared" si="336"/>
        <v/>
      </c>
      <c r="AD471" s="66" t="str">
        <f t="shared" si="337"/>
        <v/>
      </c>
      <c r="AE471" s="66" t="str">
        <f t="shared" si="338"/>
        <v/>
      </c>
      <c r="AF471" s="66" t="str">
        <f t="shared" si="339"/>
        <v/>
      </c>
      <c r="AG471" s="66" t="str">
        <f t="shared" si="340"/>
        <v/>
      </c>
      <c r="AH471" s="66" t="str">
        <f t="shared" si="341"/>
        <v/>
      </c>
      <c r="AI471" s="66" t="str">
        <f t="shared" si="342"/>
        <v/>
      </c>
      <c r="AJ471" s="66" t="str">
        <f t="shared" si="343"/>
        <v/>
      </c>
    </row>
    <row r="472" spans="1:55">
      <c r="A472" s="66">
        <f t="shared" si="344"/>
        <v>30</v>
      </c>
      <c r="B472" s="66" t="str">
        <f t="shared" si="344"/>
        <v>謝昕融</v>
      </c>
      <c r="C472" s="66" t="str">
        <f t="shared" si="309"/>
        <v/>
      </c>
      <c r="D472" s="66" t="str">
        <f t="shared" si="311"/>
        <v/>
      </c>
      <c r="E472" s="66" t="str">
        <f t="shared" si="312"/>
        <v/>
      </c>
      <c r="F472" s="66" t="str">
        <f t="shared" si="313"/>
        <v/>
      </c>
      <c r="G472" s="66" t="str">
        <f t="shared" si="314"/>
        <v/>
      </c>
      <c r="H472" s="66" t="str">
        <f t="shared" si="315"/>
        <v/>
      </c>
      <c r="I472" s="66" t="str">
        <f t="shared" si="316"/>
        <v/>
      </c>
      <c r="J472" s="66" t="str">
        <f t="shared" si="317"/>
        <v/>
      </c>
      <c r="K472" s="66" t="str">
        <f t="shared" si="318"/>
        <v/>
      </c>
      <c r="L472" s="66" t="str">
        <f t="shared" si="319"/>
        <v/>
      </c>
      <c r="M472" s="66" t="str">
        <f t="shared" si="320"/>
        <v/>
      </c>
      <c r="N472" s="66" t="str">
        <f t="shared" si="321"/>
        <v/>
      </c>
      <c r="O472" s="66" t="str">
        <f t="shared" si="322"/>
        <v/>
      </c>
      <c r="P472" s="66" t="str">
        <f t="shared" si="323"/>
        <v/>
      </c>
      <c r="Q472" s="66" t="str">
        <f t="shared" si="324"/>
        <v/>
      </c>
      <c r="R472" s="66" t="str">
        <f t="shared" si="325"/>
        <v/>
      </c>
      <c r="S472" s="66" t="str">
        <f t="shared" si="326"/>
        <v/>
      </c>
      <c r="T472" s="66" t="str">
        <f t="shared" si="327"/>
        <v/>
      </c>
      <c r="U472" s="66" t="str">
        <f t="shared" si="328"/>
        <v/>
      </c>
      <c r="V472" s="66" t="str">
        <f t="shared" si="329"/>
        <v/>
      </c>
      <c r="W472" s="66" t="str">
        <f t="shared" si="330"/>
        <v/>
      </c>
      <c r="X472" s="66" t="str">
        <f t="shared" si="331"/>
        <v/>
      </c>
      <c r="Y472" s="66" t="str">
        <f t="shared" si="332"/>
        <v/>
      </c>
      <c r="Z472" s="66" t="str">
        <f t="shared" si="333"/>
        <v/>
      </c>
      <c r="AA472" s="66" t="str">
        <f t="shared" si="334"/>
        <v/>
      </c>
      <c r="AB472" s="66" t="str">
        <f t="shared" si="335"/>
        <v/>
      </c>
      <c r="AC472" s="66" t="str">
        <f t="shared" si="336"/>
        <v/>
      </c>
      <c r="AD472" s="66" t="str">
        <f t="shared" si="337"/>
        <v/>
      </c>
      <c r="AE472" s="66" t="str">
        <f t="shared" si="338"/>
        <v/>
      </c>
      <c r="AF472" s="66" t="str">
        <f t="shared" si="339"/>
        <v/>
      </c>
      <c r="AG472" s="66" t="str">
        <f t="shared" si="340"/>
        <v/>
      </c>
      <c r="AH472" s="66" t="str">
        <f t="shared" si="341"/>
        <v/>
      </c>
      <c r="AI472" s="66" t="str">
        <f t="shared" si="342"/>
        <v/>
      </c>
      <c r="AJ472" s="66" t="str">
        <f t="shared" si="343"/>
        <v/>
      </c>
    </row>
    <row r="473" spans="1:55">
      <c r="A473" s="66">
        <f t="shared" si="344"/>
        <v>31</v>
      </c>
      <c r="B473" s="66" t="str">
        <f t="shared" si="344"/>
        <v>許峰銘</v>
      </c>
      <c r="C473" s="66" t="str">
        <f t="shared" si="309"/>
        <v/>
      </c>
      <c r="D473" s="66" t="str">
        <f t="shared" si="311"/>
        <v/>
      </c>
      <c r="E473" s="66" t="str">
        <f t="shared" si="312"/>
        <v/>
      </c>
      <c r="F473" s="66" t="str">
        <f t="shared" si="313"/>
        <v/>
      </c>
      <c r="G473" s="66" t="str">
        <f t="shared" si="314"/>
        <v/>
      </c>
      <c r="H473" s="66" t="str">
        <f t="shared" si="315"/>
        <v/>
      </c>
      <c r="I473" s="66" t="str">
        <f t="shared" si="316"/>
        <v/>
      </c>
      <c r="J473" s="66" t="str">
        <f t="shared" si="317"/>
        <v/>
      </c>
      <c r="K473" s="66" t="str">
        <f t="shared" si="318"/>
        <v/>
      </c>
      <c r="L473" s="66" t="str">
        <f t="shared" si="319"/>
        <v/>
      </c>
      <c r="M473" s="66" t="str">
        <f t="shared" si="320"/>
        <v/>
      </c>
      <c r="N473" s="66" t="str">
        <f t="shared" si="321"/>
        <v/>
      </c>
      <c r="O473" s="66" t="str">
        <f t="shared" si="322"/>
        <v/>
      </c>
      <c r="P473" s="66" t="str">
        <f t="shared" si="323"/>
        <v/>
      </c>
      <c r="Q473" s="66" t="str">
        <f t="shared" si="324"/>
        <v/>
      </c>
      <c r="R473" s="66" t="str">
        <f t="shared" si="325"/>
        <v/>
      </c>
      <c r="S473" s="66" t="str">
        <f t="shared" si="326"/>
        <v/>
      </c>
      <c r="T473" s="66" t="str">
        <f t="shared" si="327"/>
        <v/>
      </c>
      <c r="U473" s="66" t="str">
        <f t="shared" si="328"/>
        <v/>
      </c>
      <c r="V473" s="66" t="str">
        <f t="shared" si="329"/>
        <v/>
      </c>
      <c r="W473" s="66" t="str">
        <f t="shared" si="330"/>
        <v/>
      </c>
      <c r="X473" s="66" t="str">
        <f t="shared" si="331"/>
        <v/>
      </c>
      <c r="Y473" s="66" t="str">
        <f t="shared" si="332"/>
        <v/>
      </c>
      <c r="Z473" s="66" t="str">
        <f t="shared" si="333"/>
        <v/>
      </c>
      <c r="AA473" s="66" t="str">
        <f t="shared" si="334"/>
        <v/>
      </c>
      <c r="AB473" s="66" t="str">
        <f t="shared" si="335"/>
        <v/>
      </c>
      <c r="AC473" s="66" t="str">
        <f t="shared" si="336"/>
        <v/>
      </c>
      <c r="AD473" s="66" t="str">
        <f t="shared" si="337"/>
        <v/>
      </c>
      <c r="AE473" s="66" t="str">
        <f t="shared" si="338"/>
        <v/>
      </c>
      <c r="AF473" s="66" t="str">
        <f t="shared" si="339"/>
        <v/>
      </c>
      <c r="AG473" s="66" t="str">
        <f t="shared" si="340"/>
        <v/>
      </c>
      <c r="AH473" s="66" t="str">
        <f t="shared" si="341"/>
        <v/>
      </c>
      <c r="AI473" s="66" t="str">
        <f t="shared" si="342"/>
        <v/>
      </c>
      <c r="AJ473" s="66" t="str">
        <f t="shared" si="343"/>
        <v/>
      </c>
    </row>
    <row r="474" spans="1:55">
      <c r="A474" s="66">
        <f t="shared" si="344"/>
        <v>32</v>
      </c>
      <c r="B474" s="66" t="str">
        <f t="shared" si="344"/>
        <v>莊博竣</v>
      </c>
      <c r="C474" s="66" t="str">
        <f t="shared" si="309"/>
        <v/>
      </c>
      <c r="D474" s="66" t="str">
        <f t="shared" si="311"/>
        <v/>
      </c>
      <c r="E474" s="66" t="str">
        <f t="shared" si="312"/>
        <v/>
      </c>
      <c r="F474" s="66" t="str">
        <f t="shared" si="313"/>
        <v/>
      </c>
      <c r="G474" s="66" t="str">
        <f t="shared" si="314"/>
        <v/>
      </c>
      <c r="H474" s="66" t="str">
        <f t="shared" si="315"/>
        <v/>
      </c>
      <c r="I474" s="66" t="str">
        <f t="shared" si="316"/>
        <v/>
      </c>
      <c r="J474" s="66" t="str">
        <f t="shared" si="317"/>
        <v/>
      </c>
      <c r="K474" s="66" t="str">
        <f t="shared" si="318"/>
        <v/>
      </c>
      <c r="L474" s="66" t="str">
        <f t="shared" si="319"/>
        <v/>
      </c>
      <c r="M474" s="66" t="str">
        <f t="shared" si="320"/>
        <v/>
      </c>
      <c r="N474" s="66" t="str">
        <f t="shared" si="321"/>
        <v/>
      </c>
      <c r="O474" s="66" t="str">
        <f t="shared" si="322"/>
        <v/>
      </c>
      <c r="P474" s="66" t="str">
        <f t="shared" si="323"/>
        <v/>
      </c>
      <c r="Q474" s="66" t="str">
        <f t="shared" si="324"/>
        <v/>
      </c>
      <c r="R474" s="66" t="str">
        <f t="shared" si="325"/>
        <v/>
      </c>
      <c r="S474" s="66" t="str">
        <f t="shared" si="326"/>
        <v/>
      </c>
      <c r="T474" s="66" t="str">
        <f t="shared" si="327"/>
        <v/>
      </c>
      <c r="U474" s="66" t="str">
        <f t="shared" si="328"/>
        <v/>
      </c>
      <c r="V474" s="66" t="str">
        <f t="shared" si="329"/>
        <v/>
      </c>
      <c r="W474" s="66" t="str">
        <f t="shared" si="330"/>
        <v/>
      </c>
      <c r="X474" s="66" t="str">
        <f t="shared" si="331"/>
        <v/>
      </c>
      <c r="Y474" s="66" t="str">
        <f t="shared" si="332"/>
        <v/>
      </c>
      <c r="Z474" s="66" t="str">
        <f t="shared" si="333"/>
        <v/>
      </c>
      <c r="AA474" s="66" t="str">
        <f t="shared" si="334"/>
        <v/>
      </c>
      <c r="AB474" s="66" t="str">
        <f t="shared" si="335"/>
        <v/>
      </c>
      <c r="AC474" s="66" t="str">
        <f t="shared" si="336"/>
        <v/>
      </c>
      <c r="AD474" s="66" t="str">
        <f t="shared" si="337"/>
        <v/>
      </c>
      <c r="AE474" s="66" t="str">
        <f t="shared" si="338"/>
        <v/>
      </c>
      <c r="AF474" s="66" t="str">
        <f t="shared" si="339"/>
        <v/>
      </c>
      <c r="AG474" s="66" t="str">
        <f t="shared" si="340"/>
        <v/>
      </c>
      <c r="AH474" s="66" t="str">
        <f t="shared" si="341"/>
        <v/>
      </c>
      <c r="AI474" s="66" t="str">
        <f t="shared" si="342"/>
        <v/>
      </c>
      <c r="AJ474" s="66" t="str">
        <f t="shared" si="343"/>
        <v/>
      </c>
    </row>
    <row r="475" spans="1:55">
      <c r="A475" s="66">
        <f t="shared" ref="A475:B478" si="345">A435</f>
        <v>33</v>
      </c>
      <c r="B475" s="66" t="str">
        <f t="shared" si="345"/>
        <v/>
      </c>
      <c r="C475" s="66" t="str">
        <f t="shared" si="309"/>
        <v/>
      </c>
      <c r="D475" s="66" t="str">
        <f t="shared" si="311"/>
        <v/>
      </c>
      <c r="E475" s="66" t="str">
        <f t="shared" si="312"/>
        <v/>
      </c>
      <c r="F475" s="66" t="str">
        <f t="shared" si="313"/>
        <v/>
      </c>
      <c r="G475" s="66" t="str">
        <f t="shared" si="314"/>
        <v/>
      </c>
      <c r="H475" s="66" t="str">
        <f t="shared" si="315"/>
        <v/>
      </c>
      <c r="I475" s="66" t="str">
        <f t="shared" si="316"/>
        <v/>
      </c>
      <c r="J475" s="66" t="str">
        <f t="shared" si="317"/>
        <v/>
      </c>
      <c r="K475" s="66" t="str">
        <f t="shared" si="318"/>
        <v/>
      </c>
      <c r="L475" s="66" t="str">
        <f t="shared" si="319"/>
        <v/>
      </c>
      <c r="M475" s="66" t="str">
        <f t="shared" si="320"/>
        <v/>
      </c>
      <c r="N475" s="66" t="str">
        <f t="shared" si="321"/>
        <v/>
      </c>
      <c r="O475" s="66" t="str">
        <f t="shared" si="322"/>
        <v/>
      </c>
      <c r="P475" s="66" t="str">
        <f t="shared" si="323"/>
        <v/>
      </c>
      <c r="Q475" s="66" t="str">
        <f t="shared" si="324"/>
        <v/>
      </c>
      <c r="R475" s="66" t="str">
        <f t="shared" si="325"/>
        <v/>
      </c>
      <c r="S475" s="66" t="str">
        <f t="shared" si="326"/>
        <v/>
      </c>
      <c r="T475" s="66" t="str">
        <f t="shared" si="327"/>
        <v/>
      </c>
      <c r="U475" s="66" t="str">
        <f t="shared" si="328"/>
        <v/>
      </c>
      <c r="V475" s="66" t="str">
        <f t="shared" si="329"/>
        <v/>
      </c>
      <c r="W475" s="66" t="str">
        <f t="shared" si="330"/>
        <v/>
      </c>
      <c r="X475" s="66" t="str">
        <f t="shared" si="331"/>
        <v/>
      </c>
      <c r="Y475" s="66" t="str">
        <f t="shared" si="332"/>
        <v/>
      </c>
      <c r="Z475" s="66" t="str">
        <f t="shared" si="333"/>
        <v/>
      </c>
      <c r="AA475" s="66" t="str">
        <f t="shared" si="334"/>
        <v/>
      </c>
      <c r="AB475" s="66" t="str">
        <f t="shared" si="335"/>
        <v/>
      </c>
      <c r="AC475" s="66" t="str">
        <f t="shared" si="336"/>
        <v/>
      </c>
      <c r="AD475" s="66" t="str">
        <f t="shared" si="337"/>
        <v/>
      </c>
      <c r="AE475" s="66" t="str">
        <f t="shared" si="338"/>
        <v/>
      </c>
      <c r="AF475" s="66" t="str">
        <f t="shared" si="339"/>
        <v/>
      </c>
      <c r="AG475" s="66" t="str">
        <f t="shared" si="340"/>
        <v/>
      </c>
      <c r="AH475" s="66" t="str">
        <f t="shared" si="341"/>
        <v/>
      </c>
      <c r="AI475" s="66" t="str">
        <f t="shared" si="342"/>
        <v/>
      </c>
      <c r="AJ475" s="66" t="str">
        <f t="shared" si="343"/>
        <v/>
      </c>
    </row>
    <row r="476" spans="1:55">
      <c r="A476" s="66">
        <f t="shared" si="345"/>
        <v>34</v>
      </c>
      <c r="B476" s="66" t="str">
        <f t="shared" si="345"/>
        <v/>
      </c>
      <c r="C476" s="66" t="str">
        <f t="shared" si="309"/>
        <v/>
      </c>
      <c r="D476" s="66" t="str">
        <f t="shared" si="311"/>
        <v/>
      </c>
      <c r="E476" s="66" t="str">
        <f t="shared" si="312"/>
        <v/>
      </c>
      <c r="F476" s="66" t="str">
        <f t="shared" si="313"/>
        <v/>
      </c>
      <c r="G476" s="66" t="str">
        <f t="shared" si="314"/>
        <v/>
      </c>
      <c r="H476" s="66" t="str">
        <f t="shared" si="315"/>
        <v/>
      </c>
      <c r="I476" s="66" t="str">
        <f t="shared" si="316"/>
        <v/>
      </c>
      <c r="J476" s="66" t="str">
        <f t="shared" si="317"/>
        <v/>
      </c>
      <c r="K476" s="66" t="str">
        <f t="shared" si="318"/>
        <v/>
      </c>
      <c r="L476" s="66" t="str">
        <f t="shared" si="319"/>
        <v/>
      </c>
      <c r="M476" s="66" t="str">
        <f t="shared" si="320"/>
        <v/>
      </c>
      <c r="N476" s="66" t="str">
        <f t="shared" si="321"/>
        <v/>
      </c>
      <c r="O476" s="66" t="str">
        <f t="shared" si="322"/>
        <v/>
      </c>
      <c r="P476" s="66" t="str">
        <f t="shared" si="323"/>
        <v/>
      </c>
      <c r="Q476" s="66" t="str">
        <f t="shared" si="324"/>
        <v/>
      </c>
      <c r="R476" s="66" t="str">
        <f t="shared" si="325"/>
        <v/>
      </c>
      <c r="S476" s="66" t="str">
        <f t="shared" si="326"/>
        <v/>
      </c>
      <c r="T476" s="66" t="str">
        <f t="shared" si="327"/>
        <v/>
      </c>
      <c r="U476" s="66" t="str">
        <f t="shared" si="328"/>
        <v/>
      </c>
      <c r="V476" s="66" t="str">
        <f t="shared" si="329"/>
        <v/>
      </c>
      <c r="W476" s="66" t="str">
        <f t="shared" si="330"/>
        <v/>
      </c>
      <c r="X476" s="66" t="str">
        <f t="shared" si="331"/>
        <v/>
      </c>
      <c r="Y476" s="66" t="str">
        <f t="shared" si="332"/>
        <v/>
      </c>
      <c r="Z476" s="66" t="str">
        <f t="shared" si="333"/>
        <v/>
      </c>
      <c r="AA476" s="66" t="str">
        <f t="shared" si="334"/>
        <v/>
      </c>
      <c r="AB476" s="66" t="str">
        <f t="shared" si="335"/>
        <v/>
      </c>
      <c r="AC476" s="66" t="str">
        <f t="shared" si="336"/>
        <v/>
      </c>
      <c r="AD476" s="66" t="str">
        <f t="shared" si="337"/>
        <v/>
      </c>
      <c r="AE476" s="66" t="str">
        <f t="shared" si="338"/>
        <v/>
      </c>
      <c r="AF476" s="66" t="str">
        <f t="shared" si="339"/>
        <v/>
      </c>
      <c r="AG476" s="66" t="str">
        <f t="shared" si="340"/>
        <v/>
      </c>
      <c r="AH476" s="66" t="str">
        <f t="shared" si="341"/>
        <v/>
      </c>
      <c r="AI476" s="66" t="str">
        <f t="shared" si="342"/>
        <v/>
      </c>
      <c r="AJ476" s="66" t="str">
        <f t="shared" si="343"/>
        <v/>
      </c>
    </row>
    <row r="477" spans="1:55">
      <c r="A477" s="66">
        <f t="shared" si="345"/>
        <v>35</v>
      </c>
      <c r="B477" s="66" t="str">
        <f t="shared" si="345"/>
        <v/>
      </c>
      <c r="C477" s="66" t="str">
        <f t="shared" si="309"/>
        <v/>
      </c>
      <c r="D477" s="66" t="str">
        <f t="shared" si="311"/>
        <v/>
      </c>
      <c r="E477" s="66" t="str">
        <f t="shared" si="312"/>
        <v/>
      </c>
      <c r="F477" s="66" t="str">
        <f t="shared" si="313"/>
        <v/>
      </c>
      <c r="G477" s="66" t="str">
        <f t="shared" si="314"/>
        <v/>
      </c>
      <c r="H477" s="66" t="str">
        <f t="shared" si="315"/>
        <v/>
      </c>
      <c r="I477" s="66" t="str">
        <f t="shared" si="316"/>
        <v/>
      </c>
      <c r="J477" s="66" t="str">
        <f t="shared" si="317"/>
        <v/>
      </c>
      <c r="K477" s="66" t="str">
        <f t="shared" si="318"/>
        <v/>
      </c>
      <c r="L477" s="66" t="str">
        <f t="shared" si="319"/>
        <v/>
      </c>
      <c r="M477" s="66" t="str">
        <f t="shared" si="320"/>
        <v/>
      </c>
      <c r="N477" s="66" t="str">
        <f t="shared" si="321"/>
        <v/>
      </c>
      <c r="O477" s="66" t="str">
        <f t="shared" si="322"/>
        <v/>
      </c>
      <c r="P477" s="66" t="str">
        <f t="shared" si="323"/>
        <v/>
      </c>
      <c r="Q477" s="66" t="str">
        <f t="shared" si="324"/>
        <v/>
      </c>
      <c r="R477" s="66" t="str">
        <f t="shared" si="325"/>
        <v/>
      </c>
      <c r="S477" s="66" t="str">
        <f t="shared" si="326"/>
        <v/>
      </c>
      <c r="T477" s="66" t="str">
        <f t="shared" si="327"/>
        <v/>
      </c>
      <c r="U477" s="66" t="str">
        <f t="shared" si="328"/>
        <v/>
      </c>
      <c r="V477" s="66" t="str">
        <f t="shared" si="329"/>
        <v/>
      </c>
      <c r="W477" s="66" t="str">
        <f t="shared" si="330"/>
        <v/>
      </c>
      <c r="X477" s="66" t="str">
        <f t="shared" si="331"/>
        <v/>
      </c>
      <c r="Y477" s="66" t="str">
        <f t="shared" si="332"/>
        <v/>
      </c>
      <c r="Z477" s="66" t="str">
        <f t="shared" si="333"/>
        <v/>
      </c>
      <c r="AA477" s="66" t="str">
        <f t="shared" si="334"/>
        <v/>
      </c>
      <c r="AB477" s="66" t="str">
        <f t="shared" si="335"/>
        <v/>
      </c>
      <c r="AC477" s="66" t="str">
        <f t="shared" si="336"/>
        <v/>
      </c>
      <c r="AD477" s="66" t="str">
        <f t="shared" si="337"/>
        <v/>
      </c>
      <c r="AE477" s="66" t="str">
        <f t="shared" si="338"/>
        <v/>
      </c>
      <c r="AF477" s="66" t="str">
        <f t="shared" si="339"/>
        <v/>
      </c>
      <c r="AG477" s="66" t="str">
        <f t="shared" si="340"/>
        <v/>
      </c>
      <c r="AH477" s="66" t="str">
        <f t="shared" si="341"/>
        <v/>
      </c>
      <c r="AI477" s="66" t="str">
        <f t="shared" si="342"/>
        <v/>
      </c>
      <c r="AJ477" s="66" t="str">
        <f t="shared" si="343"/>
        <v/>
      </c>
    </row>
    <row r="478" spans="1:55">
      <c r="A478" s="66">
        <f t="shared" si="345"/>
        <v>37</v>
      </c>
      <c r="B478" s="66" t="str">
        <f t="shared" si="345"/>
        <v/>
      </c>
      <c r="C478" s="66" t="str">
        <f t="shared" ref="C478:AJ478" si="346">IF(    AND( C38="公",  LEN(C477)&gt;=2 ),        "" &amp; $A478,    IF(         AND( C38="公" ),       $A478,        IF(  OR(  LEN(C477)&gt;=2  ),  CONCATENATE(  ".",  IF(  AND(  LEN(  INDEX(   $A$1:$AJ$39, MATCH($A478,$A$1:$A$39,0),MATCH(  C$442,$A$1:$AP$1,0  )  )  )&gt;LEN(  SUBSTITUTE(  INDEX(   $A$1:$AJ$39, MATCH($A478,$A$1:$A$39,0),MATCH(  C$442,$A$1:$AP$1,0  )  ),"公","")  ),  LEN(  INDEX(   $A$1:$AJ$39, MATCH($A478,$A$1:$A$39,0),MATCH(  C$442,$A$1:$AP$1,0  )  )  )&gt;LEN(  SUBSTITUTE(  INDEX(   $A$1:$AJ$39, MATCH($A478,$A$1:$A$39,0),MATCH(  C$442,$A$1:$AP$1,0  )  ),"-","")  )  ),  CONCATENATE(  $A478,"(",   SUBSTITUTE(   SUBSTITUTE(  SUBSTITUTE(  INDEX(   $A$1:$AJ$39, MATCH($A478,$A$1:$A$39,0),MATCH(  C$442,$A$442:$AP$442,0  )  ),"公",""),"x","")," ",""),"時",")"),  ""  )  ),  IF(  AND(  LEN(  INDEX(   $A$1:$AJ$39, MATCH($A478,$A$1:$A$39,0),MATCH(  C$442,$A$1:$AP$1,0  )  )  )&gt;LEN(  SUBSTITUTE(  INDEX(   $A$1:$AJ$39, MATCH($A478,$A$1:$A$39,0),MATCH(  C$442,$A$1:$AP$1,0  )  ),"公","")  ),  LEN(  INDEX(   $A$1:$AJ$39, MATCH($A478,$A$1:$A$39,0),MATCH(  C$442,$A$1:$AP$1,0  )  )  )&gt;LEN(  SUBSTITUTE(  INDEX(   $A$1:$AJ$39, MATCH($A478,$A$1:$A$39,0),MATCH(  C$442,$A$1:$AP$1,0  )  ),"-","")  )  ),  CONCATENATE(  $A478,"(",   SUBSTITUTE(   SUBSTITUTE(  SUBSTITUTE(  INDEX(   $A$1:$AJ$39, MATCH($A478,$A$1:$A$39,0),MATCH(  C$442,$A$442:$AP$442,0  )  ),"公",""),"x","")," ",""),"時",")"),  ""  )  )           ))</f>
        <v/>
      </c>
      <c r="D478" s="66" t="str">
        <f t="shared" si="346"/>
        <v/>
      </c>
      <c r="E478" s="66" t="str">
        <f t="shared" si="346"/>
        <v/>
      </c>
      <c r="F478" s="66" t="str">
        <f t="shared" si="346"/>
        <v/>
      </c>
      <c r="G478" s="66" t="str">
        <f t="shared" si="346"/>
        <v/>
      </c>
      <c r="H478" s="66" t="str">
        <f t="shared" si="346"/>
        <v/>
      </c>
      <c r="I478" s="66" t="str">
        <f t="shared" si="346"/>
        <v/>
      </c>
      <c r="J478" s="66" t="str">
        <f t="shared" si="346"/>
        <v/>
      </c>
      <c r="K478" s="66" t="str">
        <f t="shared" si="346"/>
        <v/>
      </c>
      <c r="L478" s="66" t="str">
        <f t="shared" si="346"/>
        <v/>
      </c>
      <c r="M478" s="66" t="str">
        <f t="shared" si="346"/>
        <v/>
      </c>
      <c r="N478" s="66" t="str">
        <f t="shared" si="346"/>
        <v/>
      </c>
      <c r="O478" s="66" t="str">
        <f t="shared" si="346"/>
        <v/>
      </c>
      <c r="P478" s="66" t="str">
        <f t="shared" si="346"/>
        <v/>
      </c>
      <c r="Q478" s="66" t="str">
        <f t="shared" si="346"/>
        <v/>
      </c>
      <c r="R478" s="66" t="str">
        <f t="shared" si="346"/>
        <v/>
      </c>
      <c r="S478" s="66" t="str">
        <f t="shared" si="346"/>
        <v/>
      </c>
      <c r="T478" s="66" t="str">
        <f t="shared" si="346"/>
        <v/>
      </c>
      <c r="U478" s="66" t="str">
        <f t="shared" si="346"/>
        <v/>
      </c>
      <c r="V478" s="66" t="str">
        <f t="shared" si="346"/>
        <v/>
      </c>
      <c r="W478" s="66" t="str">
        <f t="shared" si="346"/>
        <v/>
      </c>
      <c r="X478" s="66" t="str">
        <f t="shared" si="346"/>
        <v/>
      </c>
      <c r="Y478" s="66" t="str">
        <f t="shared" si="346"/>
        <v/>
      </c>
      <c r="Z478" s="66" t="str">
        <f t="shared" si="346"/>
        <v/>
      </c>
      <c r="AA478" s="66" t="str">
        <f t="shared" si="346"/>
        <v/>
      </c>
      <c r="AB478" s="66" t="str">
        <f t="shared" si="346"/>
        <v/>
      </c>
      <c r="AC478" s="66" t="str">
        <f t="shared" si="346"/>
        <v/>
      </c>
      <c r="AD478" s="66" t="str">
        <f t="shared" si="346"/>
        <v/>
      </c>
      <c r="AE478" s="66" t="str">
        <f t="shared" si="346"/>
        <v/>
      </c>
      <c r="AF478" s="66" t="str">
        <f t="shared" si="346"/>
        <v/>
      </c>
      <c r="AG478" s="66" t="str">
        <f t="shared" si="346"/>
        <v/>
      </c>
      <c r="AH478" s="66" t="str">
        <f t="shared" si="346"/>
        <v/>
      </c>
      <c r="AI478" s="66" t="str">
        <f t="shared" si="346"/>
        <v/>
      </c>
      <c r="AJ478" s="66" t="str">
        <f t="shared" si="346"/>
        <v/>
      </c>
    </row>
    <row r="479" spans="1:55">
      <c r="A479" s="66"/>
      <c r="B479" s="66"/>
      <c r="C479" s="66" t="str">
        <f xml:space="preserve">    IF(  AND(  COUNTIF(勤務分配!$E$3:$E$44,"公假")&gt;=1,  IFERROR(  LEFT(  CONCATENATE(C443,C444,C445,C446,C447,C448,C449,C450,C451,C452,C453,C454,C455,C456,C457,C458,C459,C460,C461,C462,C463,C464,C465,C466,C467,C468,C469,C470,C471,C472,C473,C474,C475,C476,C477,C478),LEN(  CONCATENATE(C443,C444,C445,C446,C447,C448,C449,C450,C451,C452,C453,C454,C455,C456,C457,C458,C459,C460,C461,C462,C463,C464,C465,C466,C467,C468,C469,C470,C471,C472,C473,C474,C475,C476,C477,C478)  )-1),"")&lt;&gt;""   ),"." &amp; IFERROR(  LEFT(  CONCATENATE(C443,C444,C445,C446,C447,C448,C449,C450,C451,C452,C453,C454,C455,C456,C457,C458,C459,C460,C461,C462,C463,C464,C465,C466,C467,C468,C469,C470,C471,C472,C473,C474,C475,C476,C477,C478),LEN(  CONCATENATE(C443,C444,C445,C446,C447,C448,C449,C450,C451,C452,C453,C454,C455,C456,C457,C458,C459,C460,C461,C462,C463,C464,C465,C466,C467,C468,C469,C470,C471,C472,C473,C474,C475,C476,C477,C478)  )-1),""),                             IFERROR(  LEFT(  CONCATENATE(C443,C444,C445,C446,C447,C448,C449,C450,C451,C452,C453,C454,C455,C456,C457,C458,C459,C460,C461,C462,C463,C464,C465,C466,C467,C468,C469,C470,C471,C472,C473,C474,C475,C476,C477,C478),LEN(  CONCATENATE(C443,C444,C445,C446,C447,C448,C449,C450,C451,C452,C453,C454,C455,C456,C457,C458,C459,C460,C461,C462,C463,C464,C465,C466,C467,C468,C469,C470,C471,C472,C473,C474,C475,C476,C477,C478)  )-1),"")        )</f>
        <v/>
      </c>
      <c r="D479" s="66" t="str">
        <f xml:space="preserve">    IF(  AND(  COUNTIF(勤務分配!$E$3:$E$44,"公假")&gt;=1,  IFERROR(  LEFT(  CONCATENATE(D443,D444,D445,D446,D447,D448,D449,D450,D451,D452,D453,D454,D455,D456,D457,D458,D459,D460,D461,D462,D463,D464,D465,D466,D467,D468,D469,D470,D471,D472,D473,D474,D475,D476,D477,D478),LEN(  CONCATENATE(D443,D444,D445,D446,D447,D448,D449,D450,D451,D452,D453,D454,D455,D456,D457,D458,D459,D460,D461,D462,D463,D464,D465,D466,D467,D468,D469,D470,D471,D472,D473,D474,D475,D476,D477,D478)  )-1),"")&lt;&gt;""   ),"." &amp; IFERROR(  LEFT(  CONCATENATE(D443,D444,D445,D446,D447,D448,D449,D450,D451,D452,D453,D454,D455,D456,D457,D458,D459,D460,D461,D462,D463,D464,D465,D466,D467,D468,D469,D470,D471,D472,D473,D474,D475,D476,D477,D478),LEN(  CONCATENATE(D443,D444,D445,D446,D447,D448,D449,D450,D451,D452,D453,D454,D455,D456,D457,D458,D459,D460,D461,D462,D463,D464,D465,D466,D467,D468,D469,D470,D471,D472,D473,D474,D475,D476,D477,D478)  )-1),""),                             IFERROR(  LEFT(  CONCATENATE(D443,D444,D445,D446,D447,D448,D449,D450,D451,D452,D453,D454,D455,D456,D457,D458,D459,D460,D461,D462,D463,D464,D465,D466,D467,D468,D469,D470,D471,D472,D473,D474,D475,D476,D477,D478),LEN(  CONCATENATE(D443,D444,D445,D446,D447,D448,D449,D450,D451,D452,D453,D454,D455,D456,D457,D458,D459,D460,D461,D462,D463,D464,D465,D466,D467,D468,D469,D470,D471,D472,D473,D474,D475,D476,D477,D478)  )-1),"")        )</f>
        <v/>
      </c>
      <c r="E479" s="66" t="str">
        <f xml:space="preserve">    IF(  AND(  COUNTIF(勤務分配!$E$3:$E$44,"公假")&gt;=1,  IFERROR(  LEFT(  CONCATENATE(E443,E444,E445,E446,E447,E448,E449,E450,E451,E452,E453,E454,E455,E456,E457,E458,E459,E460,E461,E462,E463,E464,E465,E466,E467,E468,E469,E470,E471,E472,E473,E474,E475,E476,E477,E478),LEN(  CONCATENATE(E443,E444,E445,E446,E447,E448,E449,E450,E451,E452,E453,E454,E455,E456,E457,E458,E459,E460,E461,E462,E463,E464,E465,E466,E467,E468,E469,E470,E471,E472,E473,E474,E475,E476,E477,E478)  )-1),"")&lt;&gt;""   ),"." &amp; IFERROR(  LEFT(  CONCATENATE(E443,E444,E445,E446,E447,E448,E449,E450,E451,E452,E453,E454,E455,E456,E457,E458,E459,E460,E461,E462,E463,E464,E465,E466,E467,E468,E469,E470,E471,E472,E473,E474,E475,E476,E477,E478),LEN(  CONCATENATE(E443,E444,E445,E446,E447,E448,E449,E450,E451,E452,E453,E454,E455,E456,E457,E458,E459,E460,E461,E462,E463,E464,E465,E466,E467,E468,E469,E470,E471,E472,E473,E474,E475,E476,E477,E478)  )-1),""),                             IFERROR(  LEFT(  CONCATENATE(E443,E444,E445,E446,E447,E448,E449,E450,E451,E452,E453,E454,E455,E456,E457,E458,E459,E460,E461,E462,E463,E464,E465,E466,E467,E468,E469,E470,E471,E472,E473,E474,E475,E476,E477,E478),LEN(  CONCATENATE(E443,E444,E445,E446,E447,E448,E449,E450,E451,E452,E453,E454,E455,E456,E457,E458,E459,E460,E461,E462,E463,E464,E465,E466,E467,E468,E469,E470,E471,E472,E473,E474,E475,E476,E477,E478)  )-1),"")        )</f>
        <v/>
      </c>
      <c r="F479" s="66" t="str">
        <f xml:space="preserve">    IF(  AND(  COUNTIF(勤務分配!$E$3:$E$44,"公假")&gt;=1,  IFERROR(  LEFT(  CONCATENATE(F443,F444,F445,F446,F447,F448,F449,F450,F451,F452,F453,F454,F455,F456,F457,F458,F459,F460,F461,F462,F463,F464,F465,F466,F467,F468,F469,F470,F471,F472,F473,F474,F475,F476,F477,F478),LEN(  CONCATENATE(F443,F444,F445,F446,F447,F448,F449,F450,F451,F452,F453,F454,F455,F456,F457,F458,F459,F460,F461,F462,F463,F464,F465,F466,F467,F468,F469,F470,F471,F472,F473,F474,F475,F476,F477,F478)  )-1),"")&lt;&gt;""   ),"." &amp; IFERROR(  LEFT(  CONCATENATE(F443,F444,F445,F446,F447,F448,F449,F450,F451,F452,F453,F454,F455,F456,F457,F458,F459,F460,F461,F462,F463,F464,F465,F466,F467,F468,F469,F470,F471,F472,F473,F474,F475,F476,F477,F478),LEN(  CONCATENATE(F443,F444,F445,F446,F447,F448,F449,F450,F451,F452,F453,F454,F455,F456,F457,F458,F459,F460,F461,F462,F463,F464,F465,F466,F467,F468,F469,F470,F471,F472,F473,F474,F475,F476,F477,F478)  )-1),""),                             IFERROR(  LEFT(  CONCATENATE(F443,F444,F445,F446,F447,F448,F449,F450,F451,F452,F453,F454,F455,F456,F457,F458,F459,F460,F461,F462,F463,F464,F465,F466,F467,F468,F469,F470,F471,F472,F473,F474,F475,F476,F477,F478),LEN(  CONCATENATE(F443,F444,F445,F446,F447,F448,F449,F450,F451,F452,F453,F454,F455,F456,F457,F458,F459,F460,F461,F462,F463,F464,F465,F466,F467,F468,F469,F470,F471,F472,F473,F474,F475,F476,F477,F478)  )-1),"")        )</f>
        <v/>
      </c>
      <c r="G479" s="66" t="str">
        <f xml:space="preserve">    IF(  AND(  COUNTIF(勤務分配!$E$3:$E$44,"公假")&gt;=1,  IFERROR(  LEFT(  CONCATENATE(G443,G444,G445,G446,G447,G448,G449,G450,G451,G452,G453,G454,G455,G456,G457,G458,G459,G460,G461,G462,G463,G464,G465,G466,G467,G468,G469,G470,G471,G472,G473,G474,G475,G476,G477,G478),LEN(  CONCATENATE(G443,G444,G445,G446,G447,G448,G449,G450,G451,G452,G453,G454,G455,G456,G457,G458,G459,G460,G461,G462,G463,G464,G465,G466,G467,G468,G469,G470,G471,G472,G473,G474,G475,G476,G477,G478)  )-1),"")&lt;&gt;""   ),"." &amp; IFERROR(  LEFT(  CONCATENATE(G443,G444,G445,G446,G447,G448,G449,G450,G451,G452,G453,G454,G455,G456,G457,G458,G459,G460,G461,G462,G463,G464,G465,G466,G467,G468,G469,G470,G471,G472,G473,G474,G475,G476,G477,G478),LEN(  CONCATENATE(G443,G444,G445,G446,G447,G448,G449,G450,G451,G452,G453,G454,G455,G456,G457,G458,G459,G460,G461,G462,G463,G464,G465,G466,G467,G468,G469,G470,G471,G472,G473,G474,G475,G476,G477,G478)  )-1),""),                             IFERROR(  LEFT(  CONCATENATE(G443,G444,G445,G446,G447,G448,G449,G450,G451,G452,G453,G454,G455,G456,G457,G458,G459,G460,G461,G462,G463,G464,G465,G466,G467,G468,G469,G470,G471,G472,G473,G474,G475,G476,G477,G478),LEN(  CONCATENATE(G443,G444,G445,G446,G447,G448,G449,G450,G451,G452,G453,G454,G455,G456,G457,G458,G459,G460,G461,G462,G463,G464,G465,G466,G467,G468,G469,G470,G471,G472,G473,G474,G475,G476,G477,G478)  )-1),"")        )</f>
        <v/>
      </c>
      <c r="H479" s="66" t="str">
        <f xml:space="preserve">    IF(  AND(  COUNTIF(勤務分配!$E$3:$E$44,"公假")&gt;=1,  IFERROR(  LEFT(  CONCATENATE(H443,H444,H445,H446,H447,H448,H449,H450,H451,H452,H453,H454,H455,H456,H457,H458,H459,H460,H461,H462,H463,H464,H465,H466,H467,H468,H469,H470,H471,H472,H473,H474,H475,H476,H477,H478),LEN(  CONCATENATE(H443,H444,H445,H446,H447,H448,H449,H450,H451,H452,H453,H454,H455,H456,H457,H458,H459,H460,H461,H462,H463,H464,H465,H466,H467,H468,H469,H470,H471,H472,H473,H474,H475,H476,H477,H478)  )-1),"")&lt;&gt;""   ),"." &amp; IFERROR(  LEFT(  CONCATENATE(H443,H444,H445,H446,H447,H448,H449,H450,H451,H452,H453,H454,H455,H456,H457,H458,H459,H460,H461,H462,H463,H464,H465,H466,H467,H468,H469,H470,H471,H472,H473,H474,H475,H476,H477,H478),LEN(  CONCATENATE(H443,H444,H445,H446,H447,H448,H449,H450,H451,H452,H453,H454,H455,H456,H457,H458,H459,H460,H461,H462,H463,H464,H465,H466,H467,H468,H469,H470,H471,H472,H473,H474,H475,H476,H477,H478)  )-1),""),                             IFERROR(  LEFT(  CONCATENATE(H443,H444,H445,H446,H447,H448,H449,H450,H451,H452,H453,H454,H455,H456,H457,H458,H459,H460,H461,H462,H463,H464,H465,H466,H467,H468,H469,H470,H471,H472,H473,H474,H475,H476,H477,H478),LEN(  CONCATENATE(H443,H444,H445,H446,H447,H448,H449,H450,H451,H452,H453,H454,H455,H456,H457,H458,H459,H460,H461,H462,H463,H464,H465,H466,H467,H468,H469,H470,H471,H472,H473,H474,H475,H476,H477,H478)  )-1),"")        )</f>
        <v/>
      </c>
      <c r="I479" s="66" t="str">
        <f xml:space="preserve">    IF(  AND(  COUNTIF(勤務分配!$E$3:$E$44,"公假")&gt;=1,  IFERROR(  LEFT(  CONCATENATE(I443,I444,I445,I446,I447,I448,I449,I450,I451,I452,I453,I454,I455,I456,I457,I458,I459,I460,I461,I462,I463,I464,I465,I466,I467,I468,I469,I470,I471,I472,I473,I474,I475,I476,I477,I478),LEN(  CONCATENATE(I443,I444,I445,I446,I447,I448,I449,I450,I451,I452,I453,I454,I455,I456,I457,I458,I459,I460,I461,I462,I463,I464,I465,I466,I467,I468,I469,I470,I471,I472,I473,I474,I475,I476,I477,I478)  )-1),"")&lt;&gt;""   ),"." &amp; IFERROR(  LEFT(  CONCATENATE(I443,I444,I445,I446,I447,I448,I449,I450,I451,I452,I453,I454,I455,I456,I457,I458,I459,I460,I461,I462,I463,I464,I465,I466,I467,I468,I469,I470,I471,I472,I473,I474,I475,I476,I477,I478),LEN(  CONCATENATE(I443,I444,I445,I446,I447,I448,I449,I450,I451,I452,I453,I454,I455,I456,I457,I458,I459,I460,I461,I462,I463,I464,I465,I466,I467,I468,I469,I470,I471,I472,I473,I474,I475,I476,I477,I478)  )-1),""),                             IFERROR(  LEFT(  CONCATENATE(I443,I444,I445,I446,I447,I448,I449,I450,I451,I452,I453,I454,I455,I456,I457,I458,I459,I460,I461,I462,I463,I464,I465,I466,I467,I468,I469,I470,I471,I472,I473,I474,I475,I476,I477,I478),LEN(  CONCATENATE(I443,I444,I445,I446,I447,I448,I449,I450,I451,I452,I453,I454,I455,I456,I457,I458,I459,I460,I461,I462,I463,I464,I465,I466,I467,I468,I469,I470,I471,I472,I473,I474,I475,I476,I477,I478)  )-1),"")        )</f>
        <v/>
      </c>
      <c r="J479" s="66" t="str">
        <f xml:space="preserve">    IF(  AND(  COUNTIF(勤務分配!$E$3:$E$44,"公假")&gt;=1,  IFERROR(  LEFT(  CONCATENATE(J443,J444,J445,J446,J447,J448,J449,J450,J451,J452,J453,J454,J455,J456,J457,J458,J459,J460,J461,J462,J463,J464,J465,J466,J467,J468,J469,J470,J471,J472,J473,J474,J475,J476,J477,J478),LEN(  CONCATENATE(J443,J444,J445,J446,J447,J448,J449,J450,J451,J452,J453,J454,J455,J456,J457,J458,J459,J460,J461,J462,J463,J464,J465,J466,J467,J468,J469,J470,J471,J472,J473,J474,J475,J476,J477,J478)  )-1),"")&lt;&gt;""   ),"." &amp; IFERROR(  LEFT(  CONCATENATE(J443,J444,J445,J446,J447,J448,J449,J450,J451,J452,J453,J454,J455,J456,J457,J458,J459,J460,J461,J462,J463,J464,J465,J466,J467,J468,J469,J470,J471,J472,J473,J474,J475,J476,J477,J478),LEN(  CONCATENATE(J443,J444,J445,J446,J447,J448,J449,J450,J451,J452,J453,J454,J455,J456,J457,J458,J459,J460,J461,J462,J463,J464,J465,J466,J467,J468,J469,J470,J471,J472,J473,J474,J475,J476,J477,J478)  )-1),""),                             IFERROR(  LEFT(  CONCATENATE(J443,J444,J445,J446,J447,J448,J449,J450,J451,J452,J453,J454,J455,J456,J457,J458,J459,J460,J461,J462,J463,J464,J465,J466,J467,J468,J469,J470,J471,J472,J473,J474,J475,J476,J477,J478),LEN(  CONCATENATE(J443,J444,J445,J446,J447,J448,J449,J450,J451,J452,J453,J454,J455,J456,J457,J458,J459,J460,J461,J462,J463,J464,J465,J466,J467,J468,J469,J470,J471,J472,J473,J474,J475,J476,J477,J478)  )-1),"")        )</f>
        <v/>
      </c>
      <c r="K479" s="66" t="str">
        <f xml:space="preserve">    IF(  AND(  COUNTIF(勤務分配!$E$3:$E$44,"公假")&gt;=1,  IFERROR(  LEFT(  CONCATENATE(K443,K444,K445,K446,K447,K448,K449,K450,K451,K452,K453,K454,K455,K456,K457,K458,K459,K460,K461,K462,K463,K464,K465,K466,K467,K468,K469,K470,K471,K472,K473,K474,K475,K476,K477,K478),LEN(  CONCATENATE(K443,K444,K445,K446,K447,K448,K449,K450,K451,K452,K453,K454,K455,K456,K457,K458,K459,K460,K461,K462,K463,K464,K465,K466,K467,K468,K469,K470,K471,K472,K473,K474,K475,K476,K477,K478)  )-1),"")&lt;&gt;""   ),"." &amp; IFERROR(  LEFT(  CONCATENATE(K443,K444,K445,K446,K447,K448,K449,K450,K451,K452,K453,K454,K455,K456,K457,K458,K459,K460,K461,K462,K463,K464,K465,K466,K467,K468,K469,K470,K471,K472,K473,K474,K475,K476,K477,K478),LEN(  CONCATENATE(K443,K444,K445,K446,K447,K448,K449,K450,K451,K452,K453,K454,K455,K456,K457,K458,K459,K460,K461,K462,K463,K464,K465,K466,K467,K468,K469,K470,K471,K472,K473,K474,K475,K476,K477,K478)  )-1),""),                             IFERROR(  LEFT(  CONCATENATE(K443,K444,K445,K446,K447,K448,K449,K450,K451,K452,K453,K454,K455,K456,K457,K458,K459,K460,K461,K462,K463,K464,K465,K466,K467,K468,K469,K470,K471,K472,K473,K474,K475,K476,K477,K478),LEN(  CONCATENATE(K443,K444,K445,K446,K447,K448,K449,K450,K451,K452,K453,K454,K455,K456,K457,K458,K459,K460,K461,K462,K463,K464,K465,K466,K467,K468,K469,K470,K471,K472,K473,K474,K475,K476,K477,K478)  )-1),"")        )</f>
        <v/>
      </c>
      <c r="L479" s="66" t="str">
        <f xml:space="preserve">    IF(  AND(  COUNTIF(勤務分配!$E$3:$E$44,"公假")&gt;=1,  IFERROR(  LEFT(  CONCATENATE(L443,L444,L445,L446,L447,L448,L449,L450,L451,L452,L453,L454,L455,L456,L457,L458,L459,L460,L461,L462,L463,L464,L465,L466,L467,L468,L469,L470,L471,L472,L473,L474,L475,L476,L477,L478),LEN(  CONCATENATE(L443,L444,L445,L446,L447,L448,L449,L450,L451,L452,L453,L454,L455,L456,L457,L458,L459,L460,L461,L462,L463,L464,L465,L466,L467,L468,L469,L470,L471,L472,L473,L474,L475,L476,L477,L478)  )-1),"")&lt;&gt;""   ),"." &amp; IFERROR(  LEFT(  CONCATENATE(L443,L444,L445,L446,L447,L448,L449,L450,L451,L452,L453,L454,L455,L456,L457,L458,L459,L460,L461,L462,L463,L464,L465,L466,L467,L468,L469,L470,L471,L472,L473,L474,L475,L476,L477,L478),LEN(  CONCATENATE(L443,L444,L445,L446,L447,L448,L449,L450,L451,L452,L453,L454,L455,L456,L457,L458,L459,L460,L461,L462,L463,L464,L465,L466,L467,L468,L469,L470,L471,L472,L473,L474,L475,L476,L477,L478)  )-1),""),                             IFERROR(  LEFT(  CONCATENATE(L443,L444,L445,L446,L447,L448,L449,L450,L451,L452,L453,L454,L455,L456,L457,L458,L459,L460,L461,L462,L463,L464,L465,L466,L467,L468,L469,L470,L471,L472,L473,L474,L475,L476,L477,L478),LEN(  CONCATENATE(L443,L444,L445,L446,L447,L448,L449,L450,L451,L452,L453,L454,L455,L456,L457,L458,L459,L460,L461,L462,L463,L464,L465,L466,L467,L468,L469,L470,L471,L472,L473,L474,L475,L476,L477,L478)  )-1),"")        )</f>
        <v/>
      </c>
      <c r="M479" s="66" t="str">
        <f xml:space="preserve">    IF(  AND(  COUNTIF(勤務分配!$E$3:$E$44,"公假")&gt;=1,  IFERROR(  LEFT(  CONCATENATE(M443,M444,M445,M446,M447,M448,M449,M450,M451,M452,M453,M454,M455,M456,M457,M458,M459,M460,M461,M462,M463,M464,M465,M466,M467,M468,M469,M470,M471,M472,M473,M474,M475,M476,M477,M478),LEN(  CONCATENATE(M443,M444,M445,M446,M447,M448,M449,M450,M451,M452,M453,M454,M455,M456,M457,M458,M459,M460,M461,M462,M463,M464,M465,M466,M467,M468,M469,M470,M471,M472,M473,M474,M475,M476,M477,M478)  )-1),"")&lt;&gt;""   ),"." &amp; IFERROR(  LEFT(  CONCATENATE(M443,M444,M445,M446,M447,M448,M449,M450,M451,M452,M453,M454,M455,M456,M457,M458,M459,M460,M461,M462,M463,M464,M465,M466,M467,M468,M469,M470,M471,M472,M473,M474,M475,M476,M477,M478),LEN(  CONCATENATE(M443,M444,M445,M446,M447,M448,M449,M450,M451,M452,M453,M454,M455,M456,M457,M458,M459,M460,M461,M462,M463,M464,M465,M466,M467,M468,M469,M470,M471,M472,M473,M474,M475,M476,M477,M478)  )-1),""),                             IFERROR(  LEFT(  CONCATENATE(M443,M444,M445,M446,M447,M448,M449,M450,M451,M452,M453,M454,M455,M456,M457,M458,M459,M460,M461,M462,M463,M464,M465,M466,M467,M468,M469,M470,M471,M472,M473,M474,M475,M476,M477,M478),LEN(  CONCATENATE(M443,M444,M445,M446,M447,M448,M449,M450,M451,M452,M453,M454,M455,M456,M457,M458,M459,M460,M461,M462,M463,M464,M465,M466,M467,M468,M469,M470,M471,M472,M473,M474,M475,M476,M477,M478)  )-1),"")        )</f>
        <v/>
      </c>
      <c r="N479" s="66" t="str">
        <f xml:space="preserve">    IF(  AND(  COUNTIF(勤務分配!$E$3:$E$44,"公假")&gt;=1,  IFERROR(  LEFT(  CONCATENATE(N443,N444,N445,N446,N447,N448,N449,N450,N451,N452,N453,N454,N455,N456,N457,N458,N459,N460,N461,N462,N463,N464,N465,N466,N467,N468,N469,N470,N471,N472,N473,N474,N475,N476,N477,N478),LEN(  CONCATENATE(N443,N444,N445,N446,N447,N448,N449,N450,N451,N452,N453,N454,N455,N456,N457,N458,N459,N460,N461,N462,N463,N464,N465,N466,N467,N468,N469,N470,N471,N472,N473,N474,N475,N476,N477,N478)  )-1),"")&lt;&gt;""   ),"." &amp; IFERROR(  LEFT(  CONCATENATE(N443,N444,N445,N446,N447,N448,N449,N450,N451,N452,N453,N454,N455,N456,N457,N458,N459,N460,N461,N462,N463,N464,N465,N466,N467,N468,N469,N470,N471,N472,N473,N474,N475,N476,N477,N478),LEN(  CONCATENATE(N443,N444,N445,N446,N447,N448,N449,N450,N451,N452,N453,N454,N455,N456,N457,N458,N459,N460,N461,N462,N463,N464,N465,N466,N467,N468,N469,N470,N471,N472,N473,N474,N475,N476,N477,N478)  )-1),""),                             IFERROR(  LEFT(  CONCATENATE(N443,N444,N445,N446,N447,N448,N449,N450,N451,N452,N453,N454,N455,N456,N457,N458,N459,N460,N461,N462,N463,N464,N465,N466,N467,N468,N469,N470,N471,N472,N473,N474,N475,N476,N477,N478),LEN(  CONCATENATE(N443,N444,N445,N446,N447,N448,N449,N450,N451,N452,N453,N454,N455,N456,N457,N458,N459,N460,N461,N462,N463,N464,N465,N466,N467,N468,N469,N470,N471,N472,N473,N474,N475,N476,N477,N478)  )-1),"")        )</f>
        <v/>
      </c>
      <c r="O479" s="66" t="str">
        <f xml:space="preserve">    IF(  AND(  COUNTIF(勤務分配!$E$3:$E$44,"公假")&gt;=1,  IFERROR(  LEFT(  CONCATENATE(O443,O444,O445,O446,O447,O448,O449,O450,O451,O452,O453,O454,O455,O456,O457,O458,O459,O460,O461,O462,O463,O464,O465,O466,O467,O468,O469,O470,O471,O472,O473,O474,O475,O476,O477,O478),LEN(  CONCATENATE(O443,O444,O445,O446,O447,O448,O449,O450,O451,O452,O453,O454,O455,O456,O457,O458,O459,O460,O461,O462,O463,O464,O465,O466,O467,O468,O469,O470,O471,O472,O473,O474,O475,O476,O477,O478)  )-1),"")&lt;&gt;""   ),"." &amp; IFERROR(  LEFT(  CONCATENATE(O443,O444,O445,O446,O447,O448,O449,O450,O451,O452,O453,O454,O455,O456,O457,O458,O459,O460,O461,O462,O463,O464,O465,O466,O467,O468,O469,O470,O471,O472,O473,O474,O475,O476,O477,O478),LEN(  CONCATENATE(O443,O444,O445,O446,O447,O448,O449,O450,O451,O452,O453,O454,O455,O456,O457,O458,O459,O460,O461,O462,O463,O464,O465,O466,O467,O468,O469,O470,O471,O472,O473,O474,O475,O476,O477,O478)  )-1),""),                             IFERROR(  LEFT(  CONCATENATE(O443,O444,O445,O446,O447,O448,O449,O450,O451,O452,O453,O454,O455,O456,O457,O458,O459,O460,O461,O462,O463,O464,O465,O466,O467,O468,O469,O470,O471,O472,O473,O474,O475,O476,O477,O478),LEN(  CONCATENATE(O443,O444,O445,O446,O447,O448,O449,O450,O451,O452,O453,O454,O455,O456,O457,O458,O459,O460,O461,O462,O463,O464,O465,O466,O467,O468,O469,O470,O471,O472,O473,O474,O475,O476,O477,O478)  )-1),"")        )</f>
        <v/>
      </c>
      <c r="P479" s="66" t="str">
        <f xml:space="preserve">    IF(  AND(  COUNTIF(勤務分配!$E$3:$E$44,"公假")&gt;=1,  IFERROR(  LEFT(  CONCATENATE(P443,P444,P445,P446,P447,P448,P449,P450,P451,P452,P453,P454,P455,P456,P457,P458,P459,P460,P461,P462,P463,P464,P465,P466,P467,P468,P469,P470,P471,P472,P473,P474,P475,P476,P477,P478),LEN(  CONCATENATE(P443,P444,P445,P446,P447,P448,P449,P450,P451,P452,P453,P454,P455,P456,P457,P458,P459,P460,P461,P462,P463,P464,P465,P466,P467,P468,P469,P470,P471,P472,P473,P474,P475,P476,P477,P478)  )-1),"")&lt;&gt;""   ),"." &amp; IFERROR(  LEFT(  CONCATENATE(P443,P444,P445,P446,P447,P448,P449,P450,P451,P452,P453,P454,P455,P456,P457,P458,P459,P460,P461,P462,P463,P464,P465,P466,P467,P468,P469,P470,P471,P472,P473,P474,P475,P476,P477,P478),LEN(  CONCATENATE(P443,P444,P445,P446,P447,P448,P449,P450,P451,P452,P453,P454,P455,P456,P457,P458,P459,P460,P461,P462,P463,P464,P465,P466,P467,P468,P469,P470,P471,P472,P473,P474,P475,P476,P477,P478)  )-1),""),                             IFERROR(  LEFT(  CONCATENATE(P443,P444,P445,P446,P447,P448,P449,P450,P451,P452,P453,P454,P455,P456,P457,P458,P459,P460,P461,P462,P463,P464,P465,P466,P467,P468,P469,P470,P471,P472,P473,P474,P475,P476,P477,P478),LEN(  CONCATENATE(P443,P444,P445,P446,P447,P448,P449,P450,P451,P452,P453,P454,P455,P456,P457,P458,P459,P460,P461,P462,P463,P464,P465,P466,P467,P468,P469,P470,P471,P472,P473,P474,P475,P476,P477,P478)  )-1),"")        )</f>
        <v/>
      </c>
      <c r="Q479" s="66" t="str">
        <f xml:space="preserve">    IF(  AND(  COUNTIF(勤務分配!$E$3:$E$44,"公假")&gt;=1,  IFERROR(  LEFT(  CONCATENATE(Q443,Q444,Q445,Q446,Q447,Q448,Q449,Q450,Q451,Q452,Q453,Q454,Q455,Q456,Q457,Q458,Q459,Q460,Q461,Q462,Q463,Q464,Q465,Q466,Q467,Q468,Q469,Q470,Q471,Q472,Q473,Q474,Q475,Q476,Q477,Q478),LEN(  CONCATENATE(Q443,Q444,Q445,Q446,Q447,Q448,Q449,Q450,Q451,Q452,Q453,Q454,Q455,Q456,Q457,Q458,Q459,Q460,Q461,Q462,Q463,Q464,Q465,Q466,Q467,Q468,Q469,Q470,Q471,Q472,Q473,Q474,Q475,Q476,Q477,Q478)  )-1),"")&lt;&gt;""   ),"." &amp; IFERROR(  LEFT(  CONCATENATE(Q443,Q444,Q445,Q446,Q447,Q448,Q449,Q450,Q451,Q452,Q453,Q454,Q455,Q456,Q457,Q458,Q459,Q460,Q461,Q462,Q463,Q464,Q465,Q466,Q467,Q468,Q469,Q470,Q471,Q472,Q473,Q474,Q475,Q476,Q477,Q478),LEN(  CONCATENATE(Q443,Q444,Q445,Q446,Q447,Q448,Q449,Q450,Q451,Q452,Q453,Q454,Q455,Q456,Q457,Q458,Q459,Q460,Q461,Q462,Q463,Q464,Q465,Q466,Q467,Q468,Q469,Q470,Q471,Q472,Q473,Q474,Q475,Q476,Q477,Q478)  )-1),""),                             IFERROR(  LEFT(  CONCATENATE(Q443,Q444,Q445,Q446,Q447,Q448,Q449,Q450,Q451,Q452,Q453,Q454,Q455,Q456,Q457,Q458,Q459,Q460,Q461,Q462,Q463,Q464,Q465,Q466,Q467,Q468,Q469,Q470,Q471,Q472,Q473,Q474,Q475,Q476,Q477,Q478),LEN(  CONCATENATE(Q443,Q444,Q445,Q446,Q447,Q448,Q449,Q450,Q451,Q452,Q453,Q454,Q455,Q456,Q457,Q458,Q459,Q460,Q461,Q462,Q463,Q464,Q465,Q466,Q467,Q468,Q469,Q470,Q471,Q472,Q473,Q474,Q475,Q476,Q477,Q478)  )-1),"")        )</f>
        <v/>
      </c>
      <c r="R479" s="66" t="str">
        <f xml:space="preserve">    IF(  AND(  COUNTIF(勤務分配!$E$3:$E$44,"公假")&gt;=1,  IFERROR(  LEFT(  CONCATENATE(R443,R444,R445,R446,R447,R448,R449,R450,R451,R452,R453,R454,R455,R456,R457,R458,R459,R460,R461,R462,R463,R464,R465,R466,R467,R468,R469,R470,R471,R472,R473,R474,R475,R476,R477,R478),LEN(  CONCATENATE(R443,R444,R445,R446,R447,R448,R449,R450,R451,R452,R453,R454,R455,R456,R457,R458,R459,R460,R461,R462,R463,R464,R465,R466,R467,R468,R469,R470,R471,R472,R473,R474,R475,R476,R477,R478)  )-1),"")&lt;&gt;""   ),"." &amp; IFERROR(  LEFT(  CONCATENATE(R443,R444,R445,R446,R447,R448,R449,R450,R451,R452,R453,R454,R455,R456,R457,R458,R459,R460,R461,R462,R463,R464,R465,R466,R467,R468,R469,R470,R471,R472,R473,R474,R475,R476,R477,R478),LEN(  CONCATENATE(R443,R444,R445,R446,R447,R448,R449,R450,R451,R452,R453,R454,R455,R456,R457,R458,R459,R460,R461,R462,R463,R464,R465,R466,R467,R468,R469,R470,R471,R472,R473,R474,R475,R476,R477,R478)  )-1),""),                             IFERROR(  LEFT(  CONCATENATE(R443,R444,R445,R446,R447,R448,R449,R450,R451,R452,R453,R454,R455,R456,R457,R458,R459,R460,R461,R462,R463,R464,R465,R466,R467,R468,R469,R470,R471,R472,R473,R474,R475,R476,R477,R478),LEN(  CONCATENATE(R443,R444,R445,R446,R447,R448,R449,R450,R451,R452,R453,R454,R455,R456,R457,R458,R459,R460,R461,R462,R463,R464,R465,R466,R467,R468,R469,R470,R471,R472,R473,R474,R475,R476,R477,R478)  )-1),"")        )</f>
        <v/>
      </c>
      <c r="S479" s="66" t="str">
        <f xml:space="preserve">    IF(  AND(  COUNTIF(勤務分配!$E$3:$E$44,"公假")&gt;=1,  IFERROR(  LEFT(  CONCATENATE(S443,S444,S445,S446,S447,S448,S449,S450,S451,S452,S453,S454,S455,S456,S457,S458,S459,S460,S461,S462,S463,S464,S465,S466,S467,S468,S469,S470,S471,S472,S473,S474,S475,S476,S477,S478),LEN(  CONCATENATE(S443,S444,S445,S446,S447,S448,S449,S450,S451,S452,S453,S454,S455,S456,S457,S458,S459,S460,S461,S462,S463,S464,S465,S466,S467,S468,S469,S470,S471,S472,S473,S474,S475,S476,S477,S478)  )-1),"")&lt;&gt;""   ),"." &amp; IFERROR(  LEFT(  CONCATENATE(S443,S444,S445,S446,S447,S448,S449,S450,S451,S452,S453,S454,S455,S456,S457,S458,S459,S460,S461,S462,S463,S464,S465,S466,S467,S468,S469,S470,S471,S472,S473,S474,S475,S476,S477,S478),LEN(  CONCATENATE(S443,S444,S445,S446,S447,S448,S449,S450,S451,S452,S453,S454,S455,S456,S457,S458,S459,S460,S461,S462,S463,S464,S465,S466,S467,S468,S469,S470,S471,S472,S473,S474,S475,S476,S477,S478)  )-1),""),                             IFERROR(  LEFT(  CONCATENATE(S443,S444,S445,S446,S447,S448,S449,S450,S451,S452,S453,S454,S455,S456,S457,S458,S459,S460,S461,S462,S463,S464,S465,S466,S467,S468,S469,S470,S471,S472,S473,S474,S475,S476,S477,S478),LEN(  CONCATENATE(S443,S444,S445,S446,S447,S448,S449,S450,S451,S452,S453,S454,S455,S456,S457,S458,S459,S460,S461,S462,S463,S464,S465,S466,S467,S468,S469,S470,S471,S472,S473,S474,S475,S476,S477,S478)  )-1),"")        )</f>
        <v/>
      </c>
      <c r="T479" s="66" t="str">
        <f xml:space="preserve">    IF(  AND(  COUNTIF(勤務分配!$E$3:$E$44,"公假")&gt;=1,  IFERROR(  LEFT(  CONCATENATE(T443,T444,T445,T446,T447,T448,T449,T450,T451,T452,T453,T454,T455,T456,T457,T458,T459,T460,T461,T462,T463,T464,T465,T466,T467,T468,T469,T470,T471,T472,T473,T474,T475,T476,T477,T478),LEN(  CONCATENATE(T443,T444,T445,T446,T447,T448,T449,T450,T451,T452,T453,T454,T455,T456,T457,T458,T459,T460,T461,T462,T463,T464,T465,T466,T467,T468,T469,T470,T471,T472,T473,T474,T475,T476,T477,T478)  )-1),"")&lt;&gt;""   ),"." &amp; IFERROR(  LEFT(  CONCATENATE(T443,T444,T445,T446,T447,T448,T449,T450,T451,T452,T453,T454,T455,T456,T457,T458,T459,T460,T461,T462,T463,T464,T465,T466,T467,T468,T469,T470,T471,T472,T473,T474,T475,T476,T477,T478),LEN(  CONCATENATE(T443,T444,T445,T446,T447,T448,T449,T450,T451,T452,T453,T454,T455,T456,T457,T458,T459,T460,T461,T462,T463,T464,T465,T466,T467,T468,T469,T470,T471,T472,T473,T474,T475,T476,T477,T478)  )-1),""),                             IFERROR(  LEFT(  CONCATENATE(T443,T444,T445,T446,T447,T448,T449,T450,T451,T452,T453,T454,T455,T456,T457,T458,T459,T460,T461,T462,T463,T464,T465,T466,T467,T468,T469,T470,T471,T472,T473,T474,T475,T476,T477,T478),LEN(  CONCATENATE(T443,T444,T445,T446,T447,T448,T449,T450,T451,T452,T453,T454,T455,T456,T457,T458,T459,T460,T461,T462,T463,T464,T465,T466,T467,T468,T469,T470,T471,T472,T473,T474,T475,T476,T477,T478)  )-1),"")        )</f>
        <v/>
      </c>
      <c r="U479" s="66" t="str">
        <f xml:space="preserve">    IF(  AND(  COUNTIF(勤務分配!$E$3:$E$44,"公假")&gt;=1,  IFERROR(  LEFT(  CONCATENATE(U443,U444,U445,U446,U447,U448,U449,U450,U451,U452,U453,U454,U455,U456,U457,U458,U459,U460,U461,U462,U463,U464,U465,U466,U467,U468,U469,U470,U471,U472,U473,U474,U475,U476,U477,U478),LEN(  CONCATENATE(U443,U444,U445,U446,U447,U448,U449,U450,U451,U452,U453,U454,U455,U456,U457,U458,U459,U460,U461,U462,U463,U464,U465,U466,U467,U468,U469,U470,U471,U472,U473,U474,U475,U476,U477,U478)  )-1),"")&lt;&gt;""   ),"." &amp; IFERROR(  LEFT(  CONCATENATE(U443,U444,U445,U446,U447,U448,U449,U450,U451,U452,U453,U454,U455,U456,U457,U458,U459,U460,U461,U462,U463,U464,U465,U466,U467,U468,U469,U470,U471,U472,U473,U474,U475,U476,U477,U478),LEN(  CONCATENATE(U443,U444,U445,U446,U447,U448,U449,U450,U451,U452,U453,U454,U455,U456,U457,U458,U459,U460,U461,U462,U463,U464,U465,U466,U467,U468,U469,U470,U471,U472,U473,U474,U475,U476,U477,U478)  )-1),""),                             IFERROR(  LEFT(  CONCATENATE(U443,U444,U445,U446,U447,U448,U449,U450,U451,U452,U453,U454,U455,U456,U457,U458,U459,U460,U461,U462,U463,U464,U465,U466,U467,U468,U469,U470,U471,U472,U473,U474,U475,U476,U477,U478),LEN(  CONCATENATE(U443,U444,U445,U446,U447,U448,U449,U450,U451,U452,U453,U454,U455,U456,U457,U458,U459,U460,U461,U462,U463,U464,U465,U466,U467,U468,U469,U470,U471,U472,U473,U474,U475,U476,U477,U478)  )-1),"")        )</f>
        <v/>
      </c>
      <c r="V479" s="66" t="str">
        <f xml:space="preserve">    IF(  AND(  COUNTIF(勤務分配!$E$3:$E$44,"公假")&gt;=1,  IFERROR(  LEFT(  CONCATENATE(V443,V444,V445,V446,V447,V448,V449,V450,V451,V452,V453,V454,V455,V456,V457,V458,V459,V460,V461,V462,V463,V464,V465,V466,V467,V468,V469,V470,V471,V472,V473,V474,V475,V476,V477,V478),LEN(  CONCATENATE(V443,V444,V445,V446,V447,V448,V449,V450,V451,V452,V453,V454,V455,V456,V457,V458,V459,V460,V461,V462,V463,V464,V465,V466,V467,V468,V469,V470,V471,V472,V473,V474,V475,V476,V477,V478)  )-1),"")&lt;&gt;""   ),"." &amp; IFERROR(  LEFT(  CONCATENATE(V443,V444,V445,V446,V447,V448,V449,V450,V451,V452,V453,V454,V455,V456,V457,V458,V459,V460,V461,V462,V463,V464,V465,V466,V467,V468,V469,V470,V471,V472,V473,V474,V475,V476,V477,V478),LEN(  CONCATENATE(V443,V444,V445,V446,V447,V448,V449,V450,V451,V452,V453,V454,V455,V456,V457,V458,V459,V460,V461,V462,V463,V464,V465,V466,V467,V468,V469,V470,V471,V472,V473,V474,V475,V476,V477,V478)  )-1),""),                             IFERROR(  LEFT(  CONCATENATE(V443,V444,V445,V446,V447,V448,V449,V450,V451,V452,V453,V454,V455,V456,V457,V458,V459,V460,V461,V462,V463,V464,V465,V466,V467,V468,V469,V470,V471,V472,V473,V474,V475,V476,V477,V478),LEN(  CONCATENATE(V443,V444,V445,V446,V447,V448,V449,V450,V451,V452,V453,V454,V455,V456,V457,V458,V459,V460,V461,V462,V463,V464,V465,V466,V467,V468,V469,V470,V471,V472,V473,V474,V475,V476,V477,V478)  )-1),"")        )</f>
        <v/>
      </c>
      <c r="W479" s="66" t="str">
        <f xml:space="preserve">    IF(  AND(  COUNTIF(勤務分配!$E$3:$E$44,"公假")&gt;=1,  IFERROR(  LEFT(  CONCATENATE(W443,W444,W445,W446,W447,W448,W449,W450,W451,W452,W453,W454,W455,W456,W457,W458,W459,W460,W461,W462,W463,W464,W465,W466,W467,W468,W469,W470,W471,W472,W473,W474,W475,W476,W477,W478),LEN(  CONCATENATE(W443,W444,W445,W446,W447,W448,W449,W450,W451,W452,W453,W454,W455,W456,W457,W458,W459,W460,W461,W462,W463,W464,W465,W466,W467,W468,W469,W470,W471,W472,W473,W474,W475,W476,W477,W478)  )-1),"")&lt;&gt;""   ),"." &amp; IFERROR(  LEFT(  CONCATENATE(W443,W444,W445,W446,W447,W448,W449,W450,W451,W452,W453,W454,W455,W456,W457,W458,W459,W460,W461,W462,W463,W464,W465,W466,W467,W468,W469,W470,W471,W472,W473,W474,W475,W476,W477,W478),LEN(  CONCATENATE(W443,W444,W445,W446,W447,W448,W449,W450,W451,W452,W453,W454,W455,W456,W457,W458,W459,W460,W461,W462,W463,W464,W465,W466,W467,W468,W469,W470,W471,W472,W473,W474,W475,W476,W477,W478)  )-1),""),                             IFERROR(  LEFT(  CONCATENATE(W443,W444,W445,W446,W447,W448,W449,W450,W451,W452,W453,W454,W455,W456,W457,W458,W459,W460,W461,W462,W463,W464,W465,W466,W467,W468,W469,W470,W471,W472,W473,W474,W475,W476,W477,W478),LEN(  CONCATENATE(W443,W444,W445,W446,W447,W448,W449,W450,W451,W452,W453,W454,W455,W456,W457,W458,W459,W460,W461,W462,W463,W464,W465,W466,W467,W468,W469,W470,W471,W472,W473,W474,W475,W476,W477,W478)  )-1),"")        )</f>
        <v/>
      </c>
      <c r="X479" s="66" t="str">
        <f xml:space="preserve">    IF(  AND(  COUNTIF(勤務分配!$E$3:$E$44,"公假")&gt;=1,  IFERROR(  LEFT(  CONCATENATE(X443,X444,X445,X446,X447,X448,X449,X450,X451,X452,X453,X454,X455,X456,X457,X458,X459,X460,X461,X462,X463,X464,X465,X466,X467,X468,X469,X470,X471,X472,X473,X474,X475,X476,X477,X478),LEN(  CONCATENATE(X443,X444,X445,X446,X447,X448,X449,X450,X451,X452,X453,X454,X455,X456,X457,X458,X459,X460,X461,X462,X463,X464,X465,X466,X467,X468,X469,X470,X471,X472,X473,X474,X475,X476,X477,X478)  )-1),"")&lt;&gt;""   ),"." &amp; IFERROR(  LEFT(  CONCATENATE(X443,X444,X445,X446,X447,X448,X449,X450,X451,X452,X453,X454,X455,X456,X457,X458,X459,X460,X461,X462,X463,X464,X465,X466,X467,X468,X469,X470,X471,X472,X473,X474,X475,X476,X477,X478),LEN(  CONCATENATE(X443,X444,X445,X446,X447,X448,X449,X450,X451,X452,X453,X454,X455,X456,X457,X458,X459,X460,X461,X462,X463,X464,X465,X466,X467,X468,X469,X470,X471,X472,X473,X474,X475,X476,X477,X478)  )-1),""),                             IFERROR(  LEFT(  CONCATENATE(X443,X444,X445,X446,X447,X448,X449,X450,X451,X452,X453,X454,X455,X456,X457,X458,X459,X460,X461,X462,X463,X464,X465,X466,X467,X468,X469,X470,X471,X472,X473,X474,X475,X476,X477,X478),LEN(  CONCATENATE(X443,X444,X445,X446,X447,X448,X449,X450,X451,X452,X453,X454,X455,X456,X457,X458,X459,X460,X461,X462,X463,X464,X465,X466,X467,X468,X469,X470,X471,X472,X473,X474,X475,X476,X477,X478)  )-1),"")        )</f>
        <v/>
      </c>
      <c r="Y479" s="66" t="str">
        <f xml:space="preserve">    IF(  AND(  COUNTIF(勤務分配!$E$3:$E$44,"公假")&gt;=1,  IFERROR(  LEFT(  CONCATENATE(Y443,Y444,Y445,Y446,Y447,Y448,Y449,Y450,Y451,Y452,Y453,Y454,Y455,Y456,Y457,Y458,Y459,Y460,Y461,Y462,Y463,Y464,Y465,Y466,Y467,Y468,Y469,Y470,Y471,Y472,Y473,Y474,Y475,Y476,Y477,Y478),LEN(  CONCATENATE(Y443,Y444,Y445,Y446,Y447,Y448,Y449,Y450,Y451,Y452,Y453,Y454,Y455,Y456,Y457,Y458,Y459,Y460,Y461,Y462,Y463,Y464,Y465,Y466,Y467,Y468,Y469,Y470,Y471,Y472,Y473,Y474,Y475,Y476,Y477,Y478)  )-1),"")&lt;&gt;""   ),"." &amp; IFERROR(  LEFT(  CONCATENATE(Y443,Y444,Y445,Y446,Y447,Y448,Y449,Y450,Y451,Y452,Y453,Y454,Y455,Y456,Y457,Y458,Y459,Y460,Y461,Y462,Y463,Y464,Y465,Y466,Y467,Y468,Y469,Y470,Y471,Y472,Y473,Y474,Y475,Y476,Y477,Y478),LEN(  CONCATENATE(Y443,Y444,Y445,Y446,Y447,Y448,Y449,Y450,Y451,Y452,Y453,Y454,Y455,Y456,Y457,Y458,Y459,Y460,Y461,Y462,Y463,Y464,Y465,Y466,Y467,Y468,Y469,Y470,Y471,Y472,Y473,Y474,Y475,Y476,Y477,Y478)  )-1),""),                             IFERROR(  LEFT(  CONCATENATE(Y443,Y444,Y445,Y446,Y447,Y448,Y449,Y450,Y451,Y452,Y453,Y454,Y455,Y456,Y457,Y458,Y459,Y460,Y461,Y462,Y463,Y464,Y465,Y466,Y467,Y468,Y469,Y470,Y471,Y472,Y473,Y474,Y475,Y476,Y477,Y478),LEN(  CONCATENATE(Y443,Y444,Y445,Y446,Y447,Y448,Y449,Y450,Y451,Y452,Y453,Y454,Y455,Y456,Y457,Y458,Y459,Y460,Y461,Y462,Y463,Y464,Y465,Y466,Y467,Y468,Y469,Y470,Y471,Y472,Y473,Y474,Y475,Y476,Y477,Y478)  )-1),"")        )</f>
        <v/>
      </c>
      <c r="Z479" s="66" t="str">
        <f xml:space="preserve">    IF(  AND(  COUNTIF(勤務分配!$E$3:$E$44,"公假")&gt;=1,  IFERROR(  LEFT(  CONCATENATE(Z443,Z444,Z445,Z446,Z447,Z448,Z449,Z450,Z451,Z452,Z453,Z454,Z455,Z456,Z457,Z458,Z459,Z460,Z461,Z462,Z463,Z464,Z465,Z466,Z467,Z468,Z469,Z470,Z471,Z472,Z473,Z474,Z475,Z476,Z477,Z478),LEN(  CONCATENATE(Z443,Z444,Z445,Z446,Z447,Z448,Z449,Z450,Z451,Z452,Z453,Z454,Z455,Z456,Z457,Z458,Z459,Z460,Z461,Z462,Z463,Z464,Z465,Z466,Z467,Z468,Z469,Z470,Z471,Z472,Z473,Z474,Z475,Z476,Z477,Z478)  )-1),"")&lt;&gt;""   ),"." &amp; IFERROR(  LEFT(  CONCATENATE(Z443,Z444,Z445,Z446,Z447,Z448,Z449,Z450,Z451,Z452,Z453,Z454,Z455,Z456,Z457,Z458,Z459,Z460,Z461,Z462,Z463,Z464,Z465,Z466,Z467,Z468,Z469,Z470,Z471,Z472,Z473,Z474,Z475,Z476,Z477,Z478),LEN(  CONCATENATE(Z443,Z444,Z445,Z446,Z447,Z448,Z449,Z450,Z451,Z452,Z453,Z454,Z455,Z456,Z457,Z458,Z459,Z460,Z461,Z462,Z463,Z464,Z465,Z466,Z467,Z468,Z469,Z470,Z471,Z472,Z473,Z474,Z475,Z476,Z477,Z478)  )-1),""),                             IFERROR(  LEFT(  CONCATENATE(Z443,Z444,Z445,Z446,Z447,Z448,Z449,Z450,Z451,Z452,Z453,Z454,Z455,Z456,Z457,Z458,Z459,Z460,Z461,Z462,Z463,Z464,Z465,Z466,Z467,Z468,Z469,Z470,Z471,Z472,Z473,Z474,Z475,Z476,Z477,Z478),LEN(  CONCATENATE(Z443,Z444,Z445,Z446,Z447,Z448,Z449,Z450,Z451,Z452,Z453,Z454,Z455,Z456,Z457,Z458,Z459,Z460,Z461,Z462,Z463,Z464,Z465,Z466,Z467,Z468,Z469,Z470,Z471,Z472,Z473,Z474,Z475,Z476,Z477,Z478)  )-1),"")        )</f>
        <v/>
      </c>
      <c r="AA479" s="66" t="str">
        <f xml:space="preserve">    IF(  AND(  COUNTIF(勤務分配!$E$3:$E$44,"公假")&gt;=1,  IFERROR(  LEFT(  CONCATENATE(AA443,AA444,AA445,AA446,AA447,AA448,AA449,AA450,AA451,AA452,AA453,AA454,AA455,AA456,AA457,AA458,AA459,AA460,AA461,AA462,AA463,AA464,AA465,AA466,AA467,AA468,AA469,AA470,AA471,AA472,AA473,AA474,AA475,AA476,AA477,AA478),LEN(  CONCATENATE(AA443,AA444,AA445,AA446,AA447,AA448,AA449,AA450,AA451,AA452,AA453,AA454,AA455,AA456,AA457,AA458,AA459,AA460,AA461,AA462,AA463,AA464,AA465,AA466,AA467,AA468,AA469,AA470,AA471,AA472,AA473,AA474,AA475,AA476,AA477,AA478)  )-1),"")&lt;&gt;""   ),"." &amp; IFERROR(  LEFT(  CONCATENATE(AA443,AA444,AA445,AA446,AA447,AA448,AA449,AA450,AA451,AA452,AA453,AA454,AA455,AA456,AA457,AA458,AA459,AA460,AA461,AA462,AA463,AA464,AA465,AA466,AA467,AA468,AA469,AA470,AA471,AA472,AA473,AA474,AA475,AA476,AA477,AA478),LEN(  CONCATENATE(AA443,AA444,AA445,AA446,AA447,AA448,AA449,AA450,AA451,AA452,AA453,AA454,AA455,AA456,AA457,AA458,AA459,AA460,AA461,AA462,AA463,AA464,AA465,AA466,AA467,AA468,AA469,AA470,AA471,AA472,AA473,AA474,AA475,AA476,AA477,AA478)  )-1),""),                             IFERROR(  LEFT(  CONCATENATE(AA443,AA444,AA445,AA446,AA447,AA448,AA449,AA450,AA451,AA452,AA453,AA454,AA455,AA456,AA457,AA458,AA459,AA460,AA461,AA462,AA463,AA464,AA465,AA466,AA467,AA468,AA469,AA470,AA471,AA472,AA473,AA474,AA475,AA476,AA477,AA478),LEN(  CONCATENATE(AA443,AA444,AA445,AA446,AA447,AA448,AA449,AA450,AA451,AA452,AA453,AA454,AA455,AA456,AA457,AA458,AA459,AA460,AA461,AA462,AA463,AA464,AA465,AA466,AA467,AA468,AA469,AA470,AA471,AA472,AA473,AA474,AA475,AA476,AA477,AA478)  )-1),"")        )</f>
        <v/>
      </c>
      <c r="AB479" s="66" t="str">
        <f xml:space="preserve">    IF(  AND(  COUNTIF(勤務分配!$E$3:$E$44,"公假")&gt;=1,  IFERROR(  LEFT(  CONCATENATE(AB443,AB444,AB445,AB446,AB447,AB448,AB449,AB450,AB451,AB452,AB453,AB454,AB455,AB456,AB457,AB458,AB459,AB460,AB461,AB462,AB463,AB464,AB465,AB466,AB467,AB468,AB469,AB470,AB471,AB472,AB473,AB474,AB475,AB476,AB477,AB478),LEN(  CONCATENATE(AB443,AB444,AB445,AB446,AB447,AB448,AB449,AB450,AB451,AB452,AB453,AB454,AB455,AB456,AB457,AB458,AB459,AB460,AB461,AB462,AB463,AB464,AB465,AB466,AB467,AB468,AB469,AB470,AB471,AB472,AB473,AB474,AB475,AB476,AB477,AB478)  )-1),"")&lt;&gt;""   ),"." &amp; IFERROR(  LEFT(  CONCATENATE(AB443,AB444,AB445,AB446,AB447,AB448,AB449,AB450,AB451,AB452,AB453,AB454,AB455,AB456,AB457,AB458,AB459,AB460,AB461,AB462,AB463,AB464,AB465,AB466,AB467,AB468,AB469,AB470,AB471,AB472,AB473,AB474,AB475,AB476,AB477,AB478),LEN(  CONCATENATE(AB443,AB444,AB445,AB446,AB447,AB448,AB449,AB450,AB451,AB452,AB453,AB454,AB455,AB456,AB457,AB458,AB459,AB460,AB461,AB462,AB463,AB464,AB465,AB466,AB467,AB468,AB469,AB470,AB471,AB472,AB473,AB474,AB475,AB476,AB477,AB478)  )-1),""),                             IFERROR(  LEFT(  CONCATENATE(AB443,AB444,AB445,AB446,AB447,AB448,AB449,AB450,AB451,AB452,AB453,AB454,AB455,AB456,AB457,AB458,AB459,AB460,AB461,AB462,AB463,AB464,AB465,AB466,AB467,AB468,AB469,AB470,AB471,AB472,AB473,AB474,AB475,AB476,AB477,AB478),LEN(  CONCATENATE(AB443,AB444,AB445,AB446,AB447,AB448,AB449,AB450,AB451,AB452,AB453,AB454,AB455,AB456,AB457,AB458,AB459,AB460,AB461,AB462,AB463,AB464,AB465,AB466,AB467,AB468,AB469,AB470,AB471,AB472,AB473,AB474,AB475,AB476,AB477,AB478)  )-1),"")        )</f>
        <v/>
      </c>
      <c r="AC479" s="66" t="str">
        <f xml:space="preserve">    IF(  AND(  COUNTIF(勤務分配!$E$3:$E$44,"公假")&gt;=1,  IFERROR(  LEFT(  CONCATENATE(AC443,AC444,AC445,AC446,AC447,AC448,AC449,AC450,AC451,AC452,AC453,AC454,AC455,AC456,AC457,AC458,AC459,AC460,AC461,AC462,AC463,AC464,AC465,AC466,AC467,AC468,AC469,AC470,AC471,AC472,AC473,AC474,AC475,AC476,AC477,AC478),LEN(  CONCATENATE(AC443,AC444,AC445,AC446,AC447,AC448,AC449,AC450,AC451,AC452,AC453,AC454,AC455,AC456,AC457,AC458,AC459,AC460,AC461,AC462,AC463,AC464,AC465,AC466,AC467,AC468,AC469,AC470,AC471,AC472,AC473,AC474,AC475,AC476,AC477,AC478)  )-1),"")&lt;&gt;""   ),"." &amp; IFERROR(  LEFT(  CONCATENATE(AC443,AC444,AC445,AC446,AC447,AC448,AC449,AC450,AC451,AC452,AC453,AC454,AC455,AC456,AC457,AC458,AC459,AC460,AC461,AC462,AC463,AC464,AC465,AC466,AC467,AC468,AC469,AC470,AC471,AC472,AC473,AC474,AC475,AC476,AC477,AC478),LEN(  CONCATENATE(AC443,AC444,AC445,AC446,AC447,AC448,AC449,AC450,AC451,AC452,AC453,AC454,AC455,AC456,AC457,AC458,AC459,AC460,AC461,AC462,AC463,AC464,AC465,AC466,AC467,AC468,AC469,AC470,AC471,AC472,AC473,AC474,AC475,AC476,AC477,AC478)  )-1),""),                             IFERROR(  LEFT(  CONCATENATE(AC443,AC444,AC445,AC446,AC447,AC448,AC449,AC450,AC451,AC452,AC453,AC454,AC455,AC456,AC457,AC458,AC459,AC460,AC461,AC462,AC463,AC464,AC465,AC466,AC467,AC468,AC469,AC470,AC471,AC472,AC473,AC474,AC475,AC476,AC477,AC478),LEN(  CONCATENATE(AC443,AC444,AC445,AC446,AC447,AC448,AC449,AC450,AC451,AC452,AC453,AC454,AC455,AC456,AC457,AC458,AC459,AC460,AC461,AC462,AC463,AC464,AC465,AC466,AC467,AC468,AC469,AC470,AC471,AC472,AC473,AC474,AC475,AC476,AC477,AC478)  )-1),"")        )</f>
        <v/>
      </c>
      <c r="AD479" s="66" t="str">
        <f xml:space="preserve">    IF(  AND(  COUNTIF(勤務分配!$E$3:$E$44,"公假")&gt;=1,  IFERROR(  LEFT(  CONCATENATE(AD443,AD444,AD445,AD446,AD447,AD448,AD449,AD450,AD451,AD452,AD453,AD454,AD455,AD456,AD457,AD458,AD459,AD460,AD461,AD462,AD463,AD464,AD465,AD466,AD467,AD468,AD469,AD470,AD471,AD472,AD473,AD474,AD475,AD476,AD477,AD478),LEN(  CONCATENATE(AD443,AD444,AD445,AD446,AD447,AD448,AD449,AD450,AD451,AD452,AD453,AD454,AD455,AD456,AD457,AD458,AD459,AD460,AD461,AD462,AD463,AD464,AD465,AD466,AD467,AD468,AD469,AD470,AD471,AD472,AD473,AD474,AD475,AD476,AD477,AD478)  )-1),"")&lt;&gt;""   ),"." &amp; IFERROR(  LEFT(  CONCATENATE(AD443,AD444,AD445,AD446,AD447,AD448,AD449,AD450,AD451,AD452,AD453,AD454,AD455,AD456,AD457,AD458,AD459,AD460,AD461,AD462,AD463,AD464,AD465,AD466,AD467,AD468,AD469,AD470,AD471,AD472,AD473,AD474,AD475,AD476,AD477,AD478),LEN(  CONCATENATE(AD443,AD444,AD445,AD446,AD447,AD448,AD449,AD450,AD451,AD452,AD453,AD454,AD455,AD456,AD457,AD458,AD459,AD460,AD461,AD462,AD463,AD464,AD465,AD466,AD467,AD468,AD469,AD470,AD471,AD472,AD473,AD474,AD475,AD476,AD477,AD478)  )-1),""),                             IFERROR(  LEFT(  CONCATENATE(AD443,AD444,AD445,AD446,AD447,AD448,AD449,AD450,AD451,AD452,AD453,AD454,AD455,AD456,AD457,AD458,AD459,AD460,AD461,AD462,AD463,AD464,AD465,AD466,AD467,AD468,AD469,AD470,AD471,AD472,AD473,AD474,AD475,AD476,AD477,AD478),LEN(  CONCATENATE(AD443,AD444,AD445,AD446,AD447,AD448,AD449,AD450,AD451,AD452,AD453,AD454,AD455,AD456,AD457,AD458,AD459,AD460,AD461,AD462,AD463,AD464,AD465,AD466,AD467,AD468,AD469,AD470,AD471,AD472,AD473,AD474,AD475,AD476,AD477,AD478)  )-1),"")        )</f>
        <v/>
      </c>
      <c r="AE479" s="66" t="str">
        <f xml:space="preserve">    IF(  AND(  COUNTIF(勤務分配!$E$3:$E$44,"公假")&gt;=1,  IFERROR(  LEFT(  CONCATENATE(AE443,AE444,AE445,AE446,AE447,AE448,AE449,AE450,AE451,AE452,AE453,AE454,AE455,AE456,AE457,AE458,AE459,AE460,AE461,AE462,AE463,AE464,AE465,AE466,AE467,AE468,AE469,AE470,AE471,AE472,AE473,AE474,AE475,AE476,AE477,AE478),LEN(  CONCATENATE(AE443,AE444,AE445,AE446,AE447,AE448,AE449,AE450,AE451,AE452,AE453,AE454,AE455,AE456,AE457,AE458,AE459,AE460,AE461,AE462,AE463,AE464,AE465,AE466,AE467,AE468,AE469,AE470,AE471,AE472,AE473,AE474,AE475,AE476,AE477,AE478)  )-1),"")&lt;&gt;""   ),"." &amp; IFERROR(  LEFT(  CONCATENATE(AE443,AE444,AE445,AE446,AE447,AE448,AE449,AE450,AE451,AE452,AE453,AE454,AE455,AE456,AE457,AE458,AE459,AE460,AE461,AE462,AE463,AE464,AE465,AE466,AE467,AE468,AE469,AE470,AE471,AE472,AE473,AE474,AE475,AE476,AE477,AE478),LEN(  CONCATENATE(AE443,AE444,AE445,AE446,AE447,AE448,AE449,AE450,AE451,AE452,AE453,AE454,AE455,AE456,AE457,AE458,AE459,AE460,AE461,AE462,AE463,AE464,AE465,AE466,AE467,AE468,AE469,AE470,AE471,AE472,AE473,AE474,AE475,AE476,AE477,AE478)  )-1),""),                             IFERROR(  LEFT(  CONCATENATE(AE443,AE444,AE445,AE446,AE447,AE448,AE449,AE450,AE451,AE452,AE453,AE454,AE455,AE456,AE457,AE458,AE459,AE460,AE461,AE462,AE463,AE464,AE465,AE466,AE467,AE468,AE469,AE470,AE471,AE472,AE473,AE474,AE475,AE476,AE477,AE478),LEN(  CONCATENATE(AE443,AE444,AE445,AE446,AE447,AE448,AE449,AE450,AE451,AE452,AE453,AE454,AE455,AE456,AE457,AE458,AE459,AE460,AE461,AE462,AE463,AE464,AE465,AE466,AE467,AE468,AE469,AE470,AE471,AE472,AE473,AE474,AE475,AE476,AE477,AE478)  )-1),"")        )</f>
        <v/>
      </c>
      <c r="AF479" s="66" t="str">
        <f xml:space="preserve">    IF(  AND(  COUNTIF(勤務分配!$E$3:$E$44,"公假")&gt;=1,  IFERROR(  LEFT(  CONCATENATE(AF443,AF444,AF445,AF446,AF447,AF448,AF449,AF450,AF451,AF452,AF453,AF454,AF455,AF456,AF457,AF458,AF459,AF460,AF461,AF462,AF463,AF464,AF465,AF466,AF467,AF468,AF469,AF470,AF471,AF472,AF473,AF474,AF475,AF476,AF477,AF478),LEN(  CONCATENATE(AF443,AF444,AF445,AF446,AF447,AF448,AF449,AF450,AF451,AF452,AF453,AF454,AF455,AF456,AF457,AF458,AF459,AF460,AF461,AF462,AF463,AF464,AF465,AF466,AF467,AF468,AF469,AF470,AF471,AF472,AF473,AF474,AF475,AF476,AF477,AF478)  )-1),"")&lt;&gt;""   ),"." &amp; IFERROR(  LEFT(  CONCATENATE(AF443,AF444,AF445,AF446,AF447,AF448,AF449,AF450,AF451,AF452,AF453,AF454,AF455,AF456,AF457,AF458,AF459,AF460,AF461,AF462,AF463,AF464,AF465,AF466,AF467,AF468,AF469,AF470,AF471,AF472,AF473,AF474,AF475,AF476,AF477,AF478),LEN(  CONCATENATE(AF443,AF444,AF445,AF446,AF447,AF448,AF449,AF450,AF451,AF452,AF453,AF454,AF455,AF456,AF457,AF458,AF459,AF460,AF461,AF462,AF463,AF464,AF465,AF466,AF467,AF468,AF469,AF470,AF471,AF472,AF473,AF474,AF475,AF476,AF477,AF478)  )-1),""),                             IFERROR(  LEFT(  CONCATENATE(AF443,AF444,AF445,AF446,AF447,AF448,AF449,AF450,AF451,AF452,AF453,AF454,AF455,AF456,AF457,AF458,AF459,AF460,AF461,AF462,AF463,AF464,AF465,AF466,AF467,AF468,AF469,AF470,AF471,AF472,AF473,AF474,AF475,AF476,AF477,AF478),LEN(  CONCATENATE(AF443,AF444,AF445,AF446,AF447,AF448,AF449,AF450,AF451,AF452,AF453,AF454,AF455,AF456,AF457,AF458,AF459,AF460,AF461,AF462,AF463,AF464,AF465,AF466,AF467,AF468,AF469,AF470,AF471,AF472,AF473,AF474,AF475,AF476,AF477,AF478)  )-1),"")        )</f>
        <v/>
      </c>
      <c r="AG479" s="66" t="str">
        <f xml:space="preserve">    IF(  AND(  COUNTIF(勤務分配!$E$3:$E$44,"公假")&gt;=1,  IFERROR(  LEFT(  CONCATENATE(AG443,AG444,AG445,AG446,AG447,AG448,AG449,AG450,AG451,AG452,AG453,AG454,AG455,AG456,AG457,AG458,AG459,AG460,AG461,AG462,AG463,AG464,AG465,AG466,AG467,AG468,AG469,AG470,AG471,AG472,AG473,AG474,AG475,AG476,AG477,AG478),LEN(  CONCATENATE(AG443,AG444,AG445,AG446,AG447,AG448,AG449,AG450,AG451,AG452,AG453,AG454,AG455,AG456,AG457,AG458,AG459,AG460,AG461,AG462,AG463,AG464,AG465,AG466,AG467,AG468,AG469,AG470,AG471,AG472,AG473,AG474,AG475,AG476,AG477,AG478)  )-1),"")&lt;&gt;""   ),"." &amp; IFERROR(  LEFT(  CONCATENATE(AG443,AG444,AG445,AG446,AG447,AG448,AG449,AG450,AG451,AG452,AG453,AG454,AG455,AG456,AG457,AG458,AG459,AG460,AG461,AG462,AG463,AG464,AG465,AG466,AG467,AG468,AG469,AG470,AG471,AG472,AG473,AG474,AG475,AG476,AG477,AG478),LEN(  CONCATENATE(AG443,AG444,AG445,AG446,AG447,AG448,AG449,AG450,AG451,AG452,AG453,AG454,AG455,AG456,AG457,AG458,AG459,AG460,AG461,AG462,AG463,AG464,AG465,AG466,AG467,AG468,AG469,AG470,AG471,AG472,AG473,AG474,AG475,AG476,AG477,AG478)  )-1),""),                             IFERROR(  LEFT(  CONCATENATE(AG443,AG444,AG445,AG446,AG447,AG448,AG449,AG450,AG451,AG452,AG453,AG454,AG455,AG456,AG457,AG458,AG459,AG460,AG461,AG462,AG463,AG464,AG465,AG466,AG467,AG468,AG469,AG470,AG471,AG472,AG473,AG474,AG475,AG476,AG477,AG478),LEN(  CONCATENATE(AG443,AG444,AG445,AG446,AG447,AG448,AG449,AG450,AG451,AG452,AG453,AG454,AG455,AG456,AG457,AG458,AG459,AG460,AG461,AG462,AG463,AG464,AG465,AG466,AG467,AG468,AG469,AG470,AG471,AG472,AG473,AG474,AG475,AG476,AG477,AG478)  )-1),"")        )</f>
        <v/>
      </c>
      <c r="AH479" s="66" t="str">
        <f xml:space="preserve">    IF(  AND(  COUNTIF(勤務分配!$E$3:$E$44,"公假")&gt;=1,  IFERROR(  LEFT(  CONCATENATE(AH443,AH444,AH445,AH446,AH447,AH448,AH449,AH450,AH451,AH452,AH453,AH454,AH455,AH456,AH457,AH458,AH459,AH460,AH461,AH462,AH463,AH464,AH465,AH466,AH467,AH468,AH469,AH470,AH471,AH472,AH473,AH474,AH475,AH476,AH477,AH478),LEN(  CONCATENATE(AH443,AH444,AH445,AH446,AH447,AH448,AH449,AH450,AH451,AH452,AH453,AH454,AH455,AH456,AH457,AH458,AH459,AH460,AH461,AH462,AH463,AH464,AH465,AH466,AH467,AH468,AH469,AH470,AH471,AH472,AH473,AH474,AH475,AH476,AH477,AH478)  )-1),"")&lt;&gt;""   ),"." &amp; IFERROR(  LEFT(  CONCATENATE(AH443,AH444,AH445,AH446,AH447,AH448,AH449,AH450,AH451,AH452,AH453,AH454,AH455,AH456,AH457,AH458,AH459,AH460,AH461,AH462,AH463,AH464,AH465,AH466,AH467,AH468,AH469,AH470,AH471,AH472,AH473,AH474,AH475,AH476,AH477,AH478),LEN(  CONCATENATE(AH443,AH444,AH445,AH446,AH447,AH448,AH449,AH450,AH451,AH452,AH453,AH454,AH455,AH456,AH457,AH458,AH459,AH460,AH461,AH462,AH463,AH464,AH465,AH466,AH467,AH468,AH469,AH470,AH471,AH472,AH473,AH474,AH475,AH476,AH477,AH478)  )-1),""),                             IFERROR(  LEFT(  CONCATENATE(AH443,AH444,AH445,AH446,AH447,AH448,AH449,AH450,AH451,AH452,AH453,AH454,AH455,AH456,AH457,AH458,AH459,AH460,AH461,AH462,AH463,AH464,AH465,AH466,AH467,AH468,AH469,AH470,AH471,AH472,AH473,AH474,AH475,AH476,AH477,AH478),LEN(  CONCATENATE(AH443,AH444,AH445,AH446,AH447,AH448,AH449,AH450,AH451,AH452,AH453,AH454,AH455,AH456,AH457,AH458,AH459,AH460,AH461,AH462,AH463,AH464,AH465,AH466,AH467,AH468,AH469,AH470,AH471,AH472,AH473,AH474,AH475,AH476,AH477,AH478)  )-1),"")        )</f>
        <v/>
      </c>
      <c r="AI479" s="66" t="str">
        <f xml:space="preserve">    IF(  AND(  COUNTIF(勤務分配!$E$3:$E$44,"公假")&gt;=1,  IFERROR(  LEFT(  CONCATENATE(AI443,AI444,AI445,AI446,AI447,AI448,AI449,AI450,AI451,AI452,AI453,AI454,AI455,AI456,AI457,AI458,AI459,AI460,AI461,AI462,AI463,AI464,AI465,AI466,AI467,AI468,AI469,AI470,AI471,AI472,AI473,AI474,AI475,AI476,AI477,AI478),LEN(  CONCATENATE(AI443,AI444,AI445,AI446,AI447,AI448,AI449,AI450,AI451,AI452,AI453,AI454,AI455,AI456,AI457,AI458,AI459,AI460,AI461,AI462,AI463,AI464,AI465,AI466,AI467,AI468,AI469,AI470,AI471,AI472,AI473,AI474,AI475,AI476,AI477,AI478)  )-1),"")&lt;&gt;""   ),"." &amp; IFERROR(  LEFT(  CONCATENATE(AI443,AI444,AI445,AI446,AI447,AI448,AI449,AI450,AI451,AI452,AI453,AI454,AI455,AI456,AI457,AI458,AI459,AI460,AI461,AI462,AI463,AI464,AI465,AI466,AI467,AI468,AI469,AI470,AI471,AI472,AI473,AI474,AI475,AI476,AI477,AI478),LEN(  CONCATENATE(AI443,AI444,AI445,AI446,AI447,AI448,AI449,AI450,AI451,AI452,AI453,AI454,AI455,AI456,AI457,AI458,AI459,AI460,AI461,AI462,AI463,AI464,AI465,AI466,AI467,AI468,AI469,AI470,AI471,AI472,AI473,AI474,AI475,AI476,AI477,AI478)  )-1),""),                             IFERROR(  LEFT(  CONCATENATE(AI443,AI444,AI445,AI446,AI447,AI448,AI449,AI450,AI451,AI452,AI453,AI454,AI455,AI456,AI457,AI458,AI459,AI460,AI461,AI462,AI463,AI464,AI465,AI466,AI467,AI468,AI469,AI470,AI471,AI472,AI473,AI474,AI475,AI476,AI477,AI478),LEN(  CONCATENATE(AI443,AI444,AI445,AI446,AI447,AI448,AI449,AI450,AI451,AI452,AI453,AI454,AI455,AI456,AI457,AI458,AI459,AI460,AI461,AI462,AI463,AI464,AI465,AI466,AI467,AI468,AI469,AI470,AI471,AI472,AI473,AI474,AI475,AI476,AI477,AI478)  )-1),"")        )</f>
        <v/>
      </c>
      <c r="AJ479" s="66" t="str">
        <f xml:space="preserve">    IF(  AND(  COUNTIF(勤務分配!$E$3:$E$44,"公假")&gt;=1,  IFERROR(  LEFT(  CONCATENATE(AJ443,AJ444,AJ445,AJ446,AJ447,AJ448,AJ449,AJ450,AJ451,AJ452,AJ453,AJ454,AJ455,AJ456,AJ457,AJ458,AJ459,AJ460,AJ461,AJ462,AJ463,AJ464,AJ465,AJ466,AJ467,AJ468,AJ469,AJ470,AJ471,AJ472,AJ473,AJ474,AJ475,AJ476,AJ477,AJ478),LEN(  CONCATENATE(AJ443,AJ444,AJ445,AJ446,AJ447,AJ448,AJ449,AJ450,AJ451,AJ452,AJ453,AJ454,AJ455,AJ456,AJ457,AJ458,AJ459,AJ460,AJ461,AJ462,AJ463,AJ464,AJ465,AJ466,AJ467,AJ468,AJ469,AJ470,AJ471,AJ472,AJ473,AJ474,AJ475,AJ476,AJ477,AJ478)  )-1),"")&lt;&gt;""   ),"." &amp; IFERROR(  LEFT(  CONCATENATE(AJ443,AJ444,AJ445,AJ446,AJ447,AJ448,AJ449,AJ450,AJ451,AJ452,AJ453,AJ454,AJ455,AJ456,AJ457,AJ458,AJ459,AJ460,AJ461,AJ462,AJ463,AJ464,AJ465,AJ466,AJ467,AJ468,AJ469,AJ470,AJ471,AJ472,AJ473,AJ474,AJ475,AJ476,AJ477,AJ478),LEN(  CONCATENATE(AJ443,AJ444,AJ445,AJ446,AJ447,AJ448,AJ449,AJ450,AJ451,AJ452,AJ453,AJ454,AJ455,AJ456,AJ457,AJ458,AJ459,AJ460,AJ461,AJ462,AJ463,AJ464,AJ465,AJ466,AJ467,AJ468,AJ469,AJ470,AJ471,AJ472,AJ473,AJ474,AJ475,AJ476,AJ477,AJ478)  )-1),""),                             IFERROR(  LEFT(  CONCATENATE(AJ443,AJ444,AJ445,AJ446,AJ447,AJ448,AJ449,AJ450,AJ451,AJ452,AJ453,AJ454,AJ455,AJ456,AJ457,AJ458,AJ459,AJ460,AJ461,AJ462,AJ463,AJ464,AJ465,AJ466,AJ467,AJ468,AJ469,AJ470,AJ471,AJ472,AJ473,AJ474,AJ475,AJ476,AJ477,AJ478),LEN(  CONCATENATE(AJ443,AJ444,AJ445,AJ446,AJ447,AJ448,AJ449,AJ450,AJ451,AJ452,AJ453,AJ454,AJ455,AJ456,AJ457,AJ458,AJ459,AJ460,AJ461,AJ462,AJ463,AJ464,AJ465,AJ466,AJ467,AJ468,AJ469,AJ470,AJ471,AJ472,AJ473,AJ474,AJ475,AJ476,AJ477,AJ478)  )-1),"")        )</f>
        <v/>
      </c>
    </row>
    <row r="480" spans="1:55" s="289" customFormat="1">
      <c r="AP480" s="303"/>
      <c r="AU480" s="303"/>
      <c r="AV480" s="303"/>
      <c r="AY480" s="303"/>
      <c r="AZ480" s="303"/>
      <c r="BA480" s="303"/>
      <c r="BB480" s="303"/>
      <c r="BC480" s="303"/>
    </row>
    <row r="481" spans="1:36">
      <c r="A481" s="289" t="s">
        <v>446</v>
      </c>
    </row>
    <row r="482" spans="1:36">
      <c r="A482" s="66" t="str">
        <f>A442</f>
        <v>番號</v>
      </c>
      <c r="B482" s="66" t="str">
        <f t="shared" ref="B482:AJ482" si="347">B442</f>
        <v xml:space="preserve"> 姓名</v>
      </c>
      <c r="C482" s="66">
        <f t="shared" si="347"/>
        <v>1</v>
      </c>
      <c r="D482" s="66">
        <f t="shared" si="347"/>
        <v>2</v>
      </c>
      <c r="E482" s="66">
        <f t="shared" si="347"/>
        <v>3</v>
      </c>
      <c r="F482" s="66">
        <f t="shared" si="347"/>
        <v>4</v>
      </c>
      <c r="G482" s="66">
        <f t="shared" si="347"/>
        <v>5</v>
      </c>
      <c r="H482" s="66">
        <f t="shared" si="347"/>
        <v>6</v>
      </c>
      <c r="I482" s="66">
        <f t="shared" si="347"/>
        <v>7</v>
      </c>
      <c r="J482" s="66">
        <f t="shared" si="347"/>
        <v>8</v>
      </c>
      <c r="K482" s="66">
        <f t="shared" si="347"/>
        <v>9</v>
      </c>
      <c r="L482" s="66">
        <f t="shared" si="347"/>
        <v>10</v>
      </c>
      <c r="M482" s="66">
        <f t="shared" si="347"/>
        <v>11</v>
      </c>
      <c r="N482" s="66">
        <f t="shared" si="347"/>
        <v>12</v>
      </c>
      <c r="O482" s="66">
        <f t="shared" si="347"/>
        <v>13</v>
      </c>
      <c r="P482" s="66">
        <f t="shared" si="347"/>
        <v>14</v>
      </c>
      <c r="Q482" s="66">
        <f t="shared" si="347"/>
        <v>15</v>
      </c>
      <c r="R482" s="66">
        <f t="shared" si="347"/>
        <v>16</v>
      </c>
      <c r="S482" s="66">
        <f t="shared" si="347"/>
        <v>17</v>
      </c>
      <c r="T482" s="66">
        <f t="shared" si="347"/>
        <v>18</v>
      </c>
      <c r="U482" s="66">
        <f t="shared" si="347"/>
        <v>19</v>
      </c>
      <c r="V482" s="66">
        <f t="shared" si="347"/>
        <v>20</v>
      </c>
      <c r="W482" s="66">
        <f t="shared" si="347"/>
        <v>21</v>
      </c>
      <c r="X482" s="66">
        <f t="shared" si="347"/>
        <v>22</v>
      </c>
      <c r="Y482" s="66">
        <f t="shared" si="347"/>
        <v>23</v>
      </c>
      <c r="Z482" s="66">
        <f t="shared" si="347"/>
        <v>24</v>
      </c>
      <c r="AA482" s="66">
        <f t="shared" si="347"/>
        <v>25</v>
      </c>
      <c r="AB482" s="66">
        <f t="shared" si="347"/>
        <v>26</v>
      </c>
      <c r="AC482" s="66">
        <f t="shared" si="347"/>
        <v>27</v>
      </c>
      <c r="AD482" s="66">
        <f t="shared" si="347"/>
        <v>28</v>
      </c>
      <c r="AE482" s="66">
        <f t="shared" si="347"/>
        <v>29</v>
      </c>
      <c r="AF482" s="66">
        <f t="shared" si="347"/>
        <v>30</v>
      </c>
      <c r="AG482" s="66">
        <f t="shared" si="347"/>
        <v>31</v>
      </c>
      <c r="AH482" s="66">
        <f t="shared" si="347"/>
        <v>32</v>
      </c>
      <c r="AI482" s="66">
        <f t="shared" si="347"/>
        <v>33</v>
      </c>
      <c r="AJ482" s="66">
        <f t="shared" si="347"/>
        <v>34</v>
      </c>
    </row>
    <row r="483" spans="1:36">
      <c r="A483" s="66">
        <f t="shared" ref="A483:B483" si="348">A443</f>
        <v>1</v>
      </c>
      <c r="B483" s="66" t="str">
        <f t="shared" si="348"/>
        <v>葉家豪</v>
      </c>
      <c r="C483" s="66" t="str">
        <f>IF(  OR(  LEN(  C2  )&gt;LEN(  SUBSTITUTE(  C2,"06-22",""  )  ),LEN(  C2  )&gt;LEN(  SUBSTITUTE(  C2,"10-22",""  )  ),LEN(  C2  )&gt;LEN(  SUBSTITUTE(  C2,"14-22",""  )  ),LEN(  C2  )&gt;LEN(  SUBSTITUTE(  C2,"06-18",""  )  ),LEN(  C2  )&gt;LEN(  SUBSTITUTE(  C2,"10-18",""  )  ),LEN(  C2  )&gt;LEN(  SUBSTITUTE(  C2,"14-18",""  )  )  ),"免",""  )</f>
        <v/>
      </c>
      <c r="D483" s="66" t="str">
        <f t="shared" ref="D483:AJ483" si="349">IF(  OR(  LEN(  D2  )&gt;LEN(  SUBSTITUTE(  D2,"06-22",""  )  ),LEN(  D2  )&gt;LEN(  SUBSTITUTE(  D2,"10-22",""  )  ),LEN(  D2  )&gt;LEN(  SUBSTITUTE(  D2,"14-22",""  )  ),LEN(  D2  )&gt;LEN(  SUBSTITUTE(  D2,"06-18",""  )  ),LEN(  D2  )&gt;LEN(  SUBSTITUTE(  D2,"10-18",""  )  ),LEN(  D2  )&gt;LEN(  SUBSTITUTE(  D2,"14-18",""  )  )  ),"免",""  )</f>
        <v/>
      </c>
      <c r="E483" s="66" t="str">
        <f t="shared" si="349"/>
        <v/>
      </c>
      <c r="F483" s="66" t="str">
        <f t="shared" si="349"/>
        <v/>
      </c>
      <c r="G483" s="66" t="str">
        <f t="shared" si="349"/>
        <v/>
      </c>
      <c r="H483" s="66" t="str">
        <f t="shared" si="349"/>
        <v/>
      </c>
      <c r="I483" s="66" t="str">
        <f t="shared" si="349"/>
        <v/>
      </c>
      <c r="J483" s="66" t="str">
        <f t="shared" si="349"/>
        <v/>
      </c>
      <c r="K483" s="66" t="str">
        <f t="shared" si="349"/>
        <v/>
      </c>
      <c r="L483" s="66" t="str">
        <f t="shared" si="349"/>
        <v/>
      </c>
      <c r="M483" s="66" t="str">
        <f t="shared" si="349"/>
        <v/>
      </c>
      <c r="N483" s="66" t="str">
        <f t="shared" si="349"/>
        <v/>
      </c>
      <c r="O483" s="66" t="str">
        <f t="shared" si="349"/>
        <v/>
      </c>
      <c r="P483" s="66" t="str">
        <f t="shared" si="349"/>
        <v/>
      </c>
      <c r="Q483" s="66" t="str">
        <f t="shared" si="349"/>
        <v/>
      </c>
      <c r="R483" s="66" t="str">
        <f t="shared" si="349"/>
        <v/>
      </c>
      <c r="S483" s="66" t="str">
        <f t="shared" si="349"/>
        <v/>
      </c>
      <c r="T483" s="66" t="str">
        <f t="shared" si="349"/>
        <v/>
      </c>
      <c r="U483" s="66" t="str">
        <f t="shared" si="349"/>
        <v/>
      </c>
      <c r="V483" s="66" t="str">
        <f t="shared" si="349"/>
        <v/>
      </c>
      <c r="W483" s="66" t="str">
        <f t="shared" si="349"/>
        <v/>
      </c>
      <c r="X483" s="66" t="str">
        <f t="shared" si="349"/>
        <v/>
      </c>
      <c r="Y483" s="66" t="str">
        <f t="shared" si="349"/>
        <v/>
      </c>
      <c r="Z483" s="66" t="str">
        <f t="shared" si="349"/>
        <v/>
      </c>
      <c r="AA483" s="66" t="str">
        <f t="shared" si="349"/>
        <v/>
      </c>
      <c r="AB483" s="66" t="str">
        <f t="shared" si="349"/>
        <v/>
      </c>
      <c r="AC483" s="66" t="str">
        <f t="shared" si="349"/>
        <v/>
      </c>
      <c r="AD483" s="66" t="str">
        <f t="shared" si="349"/>
        <v/>
      </c>
      <c r="AE483" s="66" t="str">
        <f t="shared" si="349"/>
        <v/>
      </c>
      <c r="AF483" s="66" t="str">
        <f t="shared" si="349"/>
        <v/>
      </c>
      <c r="AG483" s="66" t="str">
        <f t="shared" si="349"/>
        <v/>
      </c>
      <c r="AH483" s="66" t="str">
        <f t="shared" si="349"/>
        <v/>
      </c>
      <c r="AI483" s="66" t="str">
        <f t="shared" si="349"/>
        <v/>
      </c>
      <c r="AJ483" s="66" t="str">
        <f t="shared" si="349"/>
        <v/>
      </c>
    </row>
    <row r="484" spans="1:36">
      <c r="A484" s="66">
        <f t="shared" ref="A484:B484" si="350">A444</f>
        <v>2</v>
      </c>
      <c r="B484" s="66" t="str">
        <f t="shared" si="350"/>
        <v>鄭智謙</v>
      </c>
      <c r="C484" s="66" t="str">
        <f t="shared" ref="C484:AJ484" si="351">IF(  OR(  LEN(  C3  )&gt;LEN(  SUBSTITUTE(  C3,"06-22",""  )  ),LEN(  C3  )&gt;LEN(  SUBSTITUTE(  C3,"10-22",""  )  ),LEN(  C3  )&gt;LEN(  SUBSTITUTE(  C3,"14-22",""  )  ),LEN(  C3  )&gt;LEN(  SUBSTITUTE(  C3,"06-18",""  )  ),LEN(  C3  )&gt;LEN(  SUBSTITUTE(  C3,"10-18",""  )  ),LEN(  C3  )&gt;LEN(  SUBSTITUTE(  C3,"14-18",""  )  )  ),"免",""  )</f>
        <v/>
      </c>
      <c r="D484" s="66" t="str">
        <f t="shared" si="351"/>
        <v/>
      </c>
      <c r="E484" s="66" t="str">
        <f t="shared" si="351"/>
        <v/>
      </c>
      <c r="F484" s="66" t="str">
        <f t="shared" si="351"/>
        <v/>
      </c>
      <c r="G484" s="66" t="str">
        <f t="shared" si="351"/>
        <v/>
      </c>
      <c r="H484" s="66" t="str">
        <f t="shared" si="351"/>
        <v/>
      </c>
      <c r="I484" s="66" t="str">
        <f t="shared" si="351"/>
        <v/>
      </c>
      <c r="J484" s="66" t="str">
        <f t="shared" si="351"/>
        <v/>
      </c>
      <c r="K484" s="66" t="str">
        <f t="shared" si="351"/>
        <v/>
      </c>
      <c r="L484" s="66" t="str">
        <f t="shared" si="351"/>
        <v/>
      </c>
      <c r="M484" s="66" t="str">
        <f t="shared" si="351"/>
        <v/>
      </c>
      <c r="N484" s="66" t="str">
        <f t="shared" si="351"/>
        <v/>
      </c>
      <c r="O484" s="66" t="str">
        <f t="shared" si="351"/>
        <v/>
      </c>
      <c r="P484" s="66" t="str">
        <f t="shared" si="351"/>
        <v/>
      </c>
      <c r="Q484" s="66" t="str">
        <f t="shared" si="351"/>
        <v/>
      </c>
      <c r="R484" s="66" t="str">
        <f t="shared" si="351"/>
        <v/>
      </c>
      <c r="S484" s="66" t="str">
        <f t="shared" si="351"/>
        <v/>
      </c>
      <c r="T484" s="66" t="str">
        <f t="shared" si="351"/>
        <v/>
      </c>
      <c r="U484" s="66" t="str">
        <f t="shared" si="351"/>
        <v/>
      </c>
      <c r="V484" s="66" t="str">
        <f t="shared" si="351"/>
        <v/>
      </c>
      <c r="W484" s="66" t="str">
        <f t="shared" si="351"/>
        <v/>
      </c>
      <c r="X484" s="66" t="str">
        <f t="shared" si="351"/>
        <v/>
      </c>
      <c r="Y484" s="66" t="str">
        <f t="shared" si="351"/>
        <v/>
      </c>
      <c r="Z484" s="66" t="str">
        <f t="shared" si="351"/>
        <v/>
      </c>
      <c r="AA484" s="66" t="str">
        <f t="shared" si="351"/>
        <v/>
      </c>
      <c r="AB484" s="66" t="str">
        <f t="shared" si="351"/>
        <v/>
      </c>
      <c r="AC484" s="66" t="str">
        <f t="shared" si="351"/>
        <v/>
      </c>
      <c r="AD484" s="66" t="str">
        <f t="shared" si="351"/>
        <v/>
      </c>
      <c r="AE484" s="66" t="str">
        <f t="shared" si="351"/>
        <v/>
      </c>
      <c r="AF484" s="66" t="str">
        <f t="shared" si="351"/>
        <v/>
      </c>
      <c r="AG484" s="66" t="str">
        <f t="shared" si="351"/>
        <v/>
      </c>
      <c r="AH484" s="66" t="str">
        <f t="shared" si="351"/>
        <v/>
      </c>
      <c r="AI484" s="66" t="str">
        <f t="shared" si="351"/>
        <v/>
      </c>
      <c r="AJ484" s="66" t="str">
        <f t="shared" si="351"/>
        <v/>
      </c>
    </row>
    <row r="485" spans="1:36">
      <c r="A485" s="66">
        <f t="shared" ref="A485:B485" si="352">A445</f>
        <v>3</v>
      </c>
      <c r="B485" s="66" t="str">
        <f t="shared" si="352"/>
        <v>王敍安</v>
      </c>
      <c r="C485" s="66" t="str">
        <f t="shared" ref="C485:AJ485" si="353">IF(  OR(  LEN(  C4  )&gt;LEN(  SUBSTITUTE(  C4,"06-22",""  )  ),LEN(  C4  )&gt;LEN(  SUBSTITUTE(  C4,"10-22",""  )  ),LEN(  C4  )&gt;LEN(  SUBSTITUTE(  C4,"14-22",""  )  ),LEN(  C4  )&gt;LEN(  SUBSTITUTE(  C4,"06-18",""  )  ),LEN(  C4  )&gt;LEN(  SUBSTITUTE(  C4,"10-18",""  )  ),LEN(  C4  )&gt;LEN(  SUBSTITUTE(  C4,"14-18",""  )  )  ),"免",""  )</f>
        <v/>
      </c>
      <c r="D485" s="66" t="str">
        <f t="shared" si="353"/>
        <v/>
      </c>
      <c r="E485" s="66" t="str">
        <f t="shared" si="353"/>
        <v/>
      </c>
      <c r="F485" s="66" t="str">
        <f t="shared" si="353"/>
        <v/>
      </c>
      <c r="G485" s="66" t="str">
        <f t="shared" si="353"/>
        <v/>
      </c>
      <c r="H485" s="66" t="str">
        <f t="shared" si="353"/>
        <v/>
      </c>
      <c r="I485" s="66" t="str">
        <f t="shared" si="353"/>
        <v/>
      </c>
      <c r="J485" s="66" t="str">
        <f t="shared" si="353"/>
        <v/>
      </c>
      <c r="K485" s="66" t="str">
        <f t="shared" si="353"/>
        <v/>
      </c>
      <c r="L485" s="66" t="str">
        <f t="shared" si="353"/>
        <v/>
      </c>
      <c r="M485" s="66" t="str">
        <f t="shared" si="353"/>
        <v/>
      </c>
      <c r="N485" s="66" t="str">
        <f t="shared" si="353"/>
        <v/>
      </c>
      <c r="O485" s="66" t="str">
        <f t="shared" si="353"/>
        <v/>
      </c>
      <c r="P485" s="66" t="str">
        <f t="shared" si="353"/>
        <v/>
      </c>
      <c r="Q485" s="66" t="str">
        <f t="shared" si="353"/>
        <v/>
      </c>
      <c r="R485" s="66" t="str">
        <f t="shared" si="353"/>
        <v/>
      </c>
      <c r="S485" s="66" t="str">
        <f t="shared" si="353"/>
        <v/>
      </c>
      <c r="T485" s="66" t="str">
        <f t="shared" si="353"/>
        <v/>
      </c>
      <c r="U485" s="66" t="str">
        <f t="shared" si="353"/>
        <v/>
      </c>
      <c r="V485" s="66" t="str">
        <f t="shared" si="353"/>
        <v/>
      </c>
      <c r="W485" s="66" t="str">
        <f t="shared" si="353"/>
        <v/>
      </c>
      <c r="X485" s="66" t="str">
        <f t="shared" si="353"/>
        <v/>
      </c>
      <c r="Y485" s="66" t="str">
        <f t="shared" si="353"/>
        <v/>
      </c>
      <c r="Z485" s="66" t="str">
        <f t="shared" si="353"/>
        <v/>
      </c>
      <c r="AA485" s="66" t="str">
        <f t="shared" si="353"/>
        <v/>
      </c>
      <c r="AB485" s="66" t="str">
        <f t="shared" si="353"/>
        <v/>
      </c>
      <c r="AC485" s="66" t="str">
        <f t="shared" si="353"/>
        <v/>
      </c>
      <c r="AD485" s="66" t="str">
        <f t="shared" si="353"/>
        <v/>
      </c>
      <c r="AE485" s="66" t="str">
        <f t="shared" si="353"/>
        <v/>
      </c>
      <c r="AF485" s="66" t="str">
        <f t="shared" si="353"/>
        <v/>
      </c>
      <c r="AG485" s="66" t="str">
        <f t="shared" si="353"/>
        <v/>
      </c>
      <c r="AH485" s="66" t="str">
        <f t="shared" si="353"/>
        <v/>
      </c>
      <c r="AI485" s="66" t="str">
        <f t="shared" si="353"/>
        <v/>
      </c>
      <c r="AJ485" s="66" t="str">
        <f t="shared" si="353"/>
        <v/>
      </c>
    </row>
    <row r="486" spans="1:36">
      <c r="A486" s="66">
        <f t="shared" ref="A486:B486" si="354">A446</f>
        <v>4</v>
      </c>
      <c r="B486" s="66" t="str">
        <f t="shared" si="354"/>
        <v>鄭凱文</v>
      </c>
      <c r="C486" s="66" t="str">
        <f t="shared" ref="C486:AJ486" si="355">IF(  OR(  LEN(  C5  )&gt;LEN(  SUBSTITUTE(  C5,"06-22",""  )  ),LEN(  C5  )&gt;LEN(  SUBSTITUTE(  C5,"10-22",""  )  ),LEN(  C5  )&gt;LEN(  SUBSTITUTE(  C5,"14-22",""  )  ),LEN(  C5  )&gt;LEN(  SUBSTITUTE(  C5,"06-18",""  )  ),LEN(  C5  )&gt;LEN(  SUBSTITUTE(  C5,"10-18",""  )  ),LEN(  C5  )&gt;LEN(  SUBSTITUTE(  C5,"14-18",""  )  )  ),"免",""  )</f>
        <v/>
      </c>
      <c r="D486" s="66" t="str">
        <f t="shared" si="355"/>
        <v/>
      </c>
      <c r="E486" s="66" t="str">
        <f t="shared" si="355"/>
        <v/>
      </c>
      <c r="F486" s="66" t="str">
        <f t="shared" si="355"/>
        <v/>
      </c>
      <c r="G486" s="66" t="str">
        <f t="shared" si="355"/>
        <v/>
      </c>
      <c r="H486" s="66" t="str">
        <f t="shared" si="355"/>
        <v/>
      </c>
      <c r="I486" s="66" t="str">
        <f t="shared" si="355"/>
        <v/>
      </c>
      <c r="J486" s="66" t="str">
        <f t="shared" si="355"/>
        <v/>
      </c>
      <c r="K486" s="66" t="str">
        <f t="shared" si="355"/>
        <v/>
      </c>
      <c r="L486" s="66" t="str">
        <f t="shared" si="355"/>
        <v/>
      </c>
      <c r="M486" s="66" t="str">
        <f t="shared" si="355"/>
        <v/>
      </c>
      <c r="N486" s="66" t="str">
        <f t="shared" si="355"/>
        <v/>
      </c>
      <c r="O486" s="66" t="str">
        <f t="shared" si="355"/>
        <v/>
      </c>
      <c r="P486" s="66" t="str">
        <f t="shared" si="355"/>
        <v/>
      </c>
      <c r="Q486" s="66" t="str">
        <f t="shared" si="355"/>
        <v/>
      </c>
      <c r="R486" s="66" t="str">
        <f t="shared" si="355"/>
        <v/>
      </c>
      <c r="S486" s="66" t="str">
        <f t="shared" si="355"/>
        <v/>
      </c>
      <c r="T486" s="66" t="str">
        <f t="shared" si="355"/>
        <v/>
      </c>
      <c r="U486" s="66" t="str">
        <f t="shared" si="355"/>
        <v/>
      </c>
      <c r="V486" s="66" t="str">
        <f t="shared" si="355"/>
        <v/>
      </c>
      <c r="W486" s="66" t="str">
        <f t="shared" si="355"/>
        <v/>
      </c>
      <c r="X486" s="66" t="str">
        <f t="shared" si="355"/>
        <v/>
      </c>
      <c r="Y486" s="66" t="str">
        <f t="shared" si="355"/>
        <v/>
      </c>
      <c r="Z486" s="66" t="str">
        <f t="shared" si="355"/>
        <v/>
      </c>
      <c r="AA486" s="66" t="str">
        <f t="shared" si="355"/>
        <v/>
      </c>
      <c r="AB486" s="66" t="str">
        <f t="shared" si="355"/>
        <v/>
      </c>
      <c r="AC486" s="66" t="str">
        <f t="shared" si="355"/>
        <v/>
      </c>
      <c r="AD486" s="66" t="str">
        <f t="shared" si="355"/>
        <v/>
      </c>
      <c r="AE486" s="66" t="str">
        <f t="shared" si="355"/>
        <v/>
      </c>
      <c r="AF486" s="66" t="str">
        <f t="shared" si="355"/>
        <v/>
      </c>
      <c r="AG486" s="66" t="str">
        <f t="shared" si="355"/>
        <v/>
      </c>
      <c r="AH486" s="66" t="str">
        <f t="shared" si="355"/>
        <v/>
      </c>
      <c r="AI486" s="66" t="str">
        <f t="shared" si="355"/>
        <v/>
      </c>
      <c r="AJ486" s="66" t="str">
        <f t="shared" si="355"/>
        <v/>
      </c>
    </row>
    <row r="487" spans="1:36">
      <c r="A487" s="66">
        <f t="shared" ref="A487:B487" si="356">A447</f>
        <v>5</v>
      </c>
      <c r="B487" s="66" t="str">
        <f t="shared" si="356"/>
        <v>蔡政倫</v>
      </c>
      <c r="C487" s="66" t="str">
        <f t="shared" ref="C487:AJ487" si="357">IF(  OR(  LEN(  C6  )&gt;LEN(  SUBSTITUTE(  C6,"06-22",""  )  ),LEN(  C6  )&gt;LEN(  SUBSTITUTE(  C6,"10-22",""  )  ),LEN(  C6  )&gt;LEN(  SUBSTITUTE(  C6,"14-22",""  )  ),LEN(  C6  )&gt;LEN(  SUBSTITUTE(  C6,"06-18",""  )  ),LEN(  C6  )&gt;LEN(  SUBSTITUTE(  C6,"10-18",""  )  ),LEN(  C6  )&gt;LEN(  SUBSTITUTE(  C6,"14-18",""  )  )  ),"免",""  )</f>
        <v/>
      </c>
      <c r="D487" s="66" t="str">
        <f t="shared" si="357"/>
        <v/>
      </c>
      <c r="E487" s="66" t="str">
        <f t="shared" si="357"/>
        <v/>
      </c>
      <c r="F487" s="66" t="str">
        <f t="shared" si="357"/>
        <v/>
      </c>
      <c r="G487" s="66" t="str">
        <f t="shared" si="357"/>
        <v/>
      </c>
      <c r="H487" s="66" t="str">
        <f t="shared" si="357"/>
        <v/>
      </c>
      <c r="I487" s="66" t="str">
        <f t="shared" si="357"/>
        <v/>
      </c>
      <c r="J487" s="66" t="str">
        <f t="shared" si="357"/>
        <v/>
      </c>
      <c r="K487" s="66" t="str">
        <f t="shared" si="357"/>
        <v/>
      </c>
      <c r="L487" s="66" t="str">
        <f t="shared" si="357"/>
        <v/>
      </c>
      <c r="M487" s="66" t="str">
        <f t="shared" si="357"/>
        <v/>
      </c>
      <c r="N487" s="66" t="str">
        <f t="shared" si="357"/>
        <v/>
      </c>
      <c r="O487" s="66" t="str">
        <f t="shared" si="357"/>
        <v/>
      </c>
      <c r="P487" s="66" t="str">
        <f t="shared" si="357"/>
        <v/>
      </c>
      <c r="Q487" s="66" t="str">
        <f t="shared" si="357"/>
        <v/>
      </c>
      <c r="R487" s="66" t="str">
        <f t="shared" si="357"/>
        <v/>
      </c>
      <c r="S487" s="66" t="str">
        <f t="shared" si="357"/>
        <v/>
      </c>
      <c r="T487" s="66" t="str">
        <f t="shared" si="357"/>
        <v/>
      </c>
      <c r="U487" s="66" t="str">
        <f t="shared" si="357"/>
        <v/>
      </c>
      <c r="V487" s="66" t="str">
        <f t="shared" si="357"/>
        <v/>
      </c>
      <c r="W487" s="66" t="str">
        <f t="shared" si="357"/>
        <v/>
      </c>
      <c r="X487" s="66" t="str">
        <f t="shared" si="357"/>
        <v/>
      </c>
      <c r="Y487" s="66" t="str">
        <f t="shared" si="357"/>
        <v/>
      </c>
      <c r="Z487" s="66" t="str">
        <f t="shared" si="357"/>
        <v/>
      </c>
      <c r="AA487" s="66" t="str">
        <f t="shared" si="357"/>
        <v/>
      </c>
      <c r="AB487" s="66" t="str">
        <f t="shared" si="357"/>
        <v/>
      </c>
      <c r="AC487" s="66" t="str">
        <f t="shared" si="357"/>
        <v/>
      </c>
      <c r="AD487" s="66" t="str">
        <f t="shared" si="357"/>
        <v/>
      </c>
      <c r="AE487" s="66" t="str">
        <f t="shared" si="357"/>
        <v/>
      </c>
      <c r="AF487" s="66" t="str">
        <f t="shared" si="357"/>
        <v>免</v>
      </c>
      <c r="AG487" s="66" t="str">
        <f t="shared" si="357"/>
        <v>免</v>
      </c>
      <c r="AH487" s="66" t="str">
        <f t="shared" si="357"/>
        <v/>
      </c>
      <c r="AI487" s="66" t="str">
        <f t="shared" si="357"/>
        <v/>
      </c>
      <c r="AJ487" s="66" t="str">
        <f t="shared" si="357"/>
        <v/>
      </c>
    </row>
    <row r="488" spans="1:36">
      <c r="A488" s="66">
        <f t="shared" ref="A488:B488" si="358">A448</f>
        <v>6</v>
      </c>
      <c r="B488" s="66" t="str">
        <f t="shared" si="358"/>
        <v>邱昱銘</v>
      </c>
      <c r="C488" s="66" t="str">
        <f t="shared" ref="C488:AJ488" si="359">IF(  OR(  LEN(  C7  )&gt;LEN(  SUBSTITUTE(  C7,"06-22",""  )  ),LEN(  C7  )&gt;LEN(  SUBSTITUTE(  C7,"10-22",""  )  ),LEN(  C7  )&gt;LEN(  SUBSTITUTE(  C7,"14-22",""  )  ),LEN(  C7  )&gt;LEN(  SUBSTITUTE(  C7,"06-18",""  )  ),LEN(  C7  )&gt;LEN(  SUBSTITUTE(  C7,"10-18",""  )  ),LEN(  C7  )&gt;LEN(  SUBSTITUTE(  C7,"14-18",""  )  )  ),"免",""  )</f>
        <v/>
      </c>
      <c r="D488" s="66" t="str">
        <f t="shared" si="359"/>
        <v/>
      </c>
      <c r="E488" s="66" t="str">
        <f t="shared" si="359"/>
        <v/>
      </c>
      <c r="F488" s="66" t="str">
        <f t="shared" si="359"/>
        <v/>
      </c>
      <c r="G488" s="66" t="str">
        <f t="shared" si="359"/>
        <v/>
      </c>
      <c r="H488" s="66" t="str">
        <f t="shared" si="359"/>
        <v/>
      </c>
      <c r="I488" s="66" t="str">
        <f t="shared" si="359"/>
        <v/>
      </c>
      <c r="J488" s="66" t="str">
        <f t="shared" si="359"/>
        <v/>
      </c>
      <c r="K488" s="66" t="str">
        <f t="shared" si="359"/>
        <v/>
      </c>
      <c r="L488" s="66" t="str">
        <f t="shared" si="359"/>
        <v/>
      </c>
      <c r="M488" s="66" t="str">
        <f t="shared" si="359"/>
        <v/>
      </c>
      <c r="N488" s="66" t="str">
        <f t="shared" si="359"/>
        <v/>
      </c>
      <c r="O488" s="66" t="str">
        <f t="shared" si="359"/>
        <v/>
      </c>
      <c r="P488" s="66" t="str">
        <f t="shared" si="359"/>
        <v/>
      </c>
      <c r="Q488" s="66" t="str">
        <f t="shared" si="359"/>
        <v/>
      </c>
      <c r="R488" s="66" t="str">
        <f t="shared" si="359"/>
        <v/>
      </c>
      <c r="S488" s="66" t="str">
        <f t="shared" si="359"/>
        <v/>
      </c>
      <c r="T488" s="66" t="str">
        <f t="shared" si="359"/>
        <v/>
      </c>
      <c r="U488" s="66" t="str">
        <f t="shared" si="359"/>
        <v/>
      </c>
      <c r="V488" s="66" t="str">
        <f t="shared" si="359"/>
        <v/>
      </c>
      <c r="W488" s="66" t="str">
        <f t="shared" si="359"/>
        <v/>
      </c>
      <c r="X488" s="66" t="str">
        <f t="shared" si="359"/>
        <v/>
      </c>
      <c r="Y488" s="66" t="str">
        <f t="shared" si="359"/>
        <v/>
      </c>
      <c r="Z488" s="66" t="str">
        <f t="shared" si="359"/>
        <v/>
      </c>
      <c r="AA488" s="66" t="str">
        <f t="shared" si="359"/>
        <v/>
      </c>
      <c r="AB488" s="66" t="str">
        <f t="shared" si="359"/>
        <v/>
      </c>
      <c r="AC488" s="66" t="str">
        <f t="shared" si="359"/>
        <v/>
      </c>
      <c r="AD488" s="66" t="str">
        <f t="shared" si="359"/>
        <v/>
      </c>
      <c r="AE488" s="66" t="str">
        <f t="shared" si="359"/>
        <v/>
      </c>
      <c r="AF488" s="66" t="str">
        <f t="shared" si="359"/>
        <v/>
      </c>
      <c r="AG488" s="66" t="str">
        <f t="shared" si="359"/>
        <v/>
      </c>
      <c r="AH488" s="66" t="str">
        <f t="shared" si="359"/>
        <v/>
      </c>
      <c r="AI488" s="66" t="str">
        <f t="shared" si="359"/>
        <v/>
      </c>
      <c r="AJ488" s="66" t="str">
        <f t="shared" si="359"/>
        <v/>
      </c>
    </row>
    <row r="489" spans="1:36">
      <c r="A489" s="66">
        <f t="shared" ref="A489:B489" si="360">A449</f>
        <v>7</v>
      </c>
      <c r="B489" s="66" t="str">
        <f t="shared" si="360"/>
        <v>洪長昇</v>
      </c>
      <c r="C489" s="66" t="str">
        <f t="shared" ref="C489:AJ489" si="361">IF(  OR(  LEN(  C8  )&gt;LEN(  SUBSTITUTE(  C8,"06-22",""  )  ),LEN(  C8  )&gt;LEN(  SUBSTITUTE(  C8,"10-22",""  )  ),LEN(  C8  )&gt;LEN(  SUBSTITUTE(  C8,"14-22",""  )  ),LEN(  C8  )&gt;LEN(  SUBSTITUTE(  C8,"06-18",""  )  ),LEN(  C8  )&gt;LEN(  SUBSTITUTE(  C8,"10-18",""  )  ),LEN(  C8  )&gt;LEN(  SUBSTITUTE(  C8,"14-18",""  )  )  ),"免",""  )</f>
        <v/>
      </c>
      <c r="D489" s="66" t="str">
        <f t="shared" si="361"/>
        <v/>
      </c>
      <c r="E489" s="66" t="str">
        <f t="shared" si="361"/>
        <v/>
      </c>
      <c r="F489" s="66" t="str">
        <f t="shared" si="361"/>
        <v/>
      </c>
      <c r="G489" s="66" t="str">
        <f t="shared" si="361"/>
        <v/>
      </c>
      <c r="H489" s="66" t="str">
        <f t="shared" si="361"/>
        <v/>
      </c>
      <c r="I489" s="66" t="str">
        <f t="shared" si="361"/>
        <v/>
      </c>
      <c r="J489" s="66" t="str">
        <f t="shared" si="361"/>
        <v/>
      </c>
      <c r="K489" s="66" t="str">
        <f t="shared" si="361"/>
        <v/>
      </c>
      <c r="L489" s="66" t="str">
        <f t="shared" si="361"/>
        <v/>
      </c>
      <c r="M489" s="66" t="str">
        <f t="shared" si="361"/>
        <v/>
      </c>
      <c r="N489" s="66" t="str">
        <f t="shared" si="361"/>
        <v/>
      </c>
      <c r="O489" s="66" t="str">
        <f t="shared" si="361"/>
        <v/>
      </c>
      <c r="P489" s="66" t="str">
        <f t="shared" si="361"/>
        <v/>
      </c>
      <c r="Q489" s="66" t="str">
        <f t="shared" si="361"/>
        <v/>
      </c>
      <c r="R489" s="66" t="str">
        <f t="shared" si="361"/>
        <v/>
      </c>
      <c r="S489" s="66" t="str">
        <f t="shared" si="361"/>
        <v/>
      </c>
      <c r="T489" s="66" t="str">
        <f t="shared" si="361"/>
        <v/>
      </c>
      <c r="U489" s="66" t="str">
        <f t="shared" si="361"/>
        <v/>
      </c>
      <c r="V489" s="66" t="str">
        <f t="shared" si="361"/>
        <v/>
      </c>
      <c r="W489" s="66" t="str">
        <f t="shared" si="361"/>
        <v/>
      </c>
      <c r="X489" s="66" t="str">
        <f t="shared" si="361"/>
        <v/>
      </c>
      <c r="Y489" s="66" t="str">
        <f t="shared" si="361"/>
        <v/>
      </c>
      <c r="Z489" s="66" t="str">
        <f t="shared" si="361"/>
        <v/>
      </c>
      <c r="AA489" s="66" t="str">
        <f t="shared" si="361"/>
        <v/>
      </c>
      <c r="AB489" s="66" t="str">
        <f t="shared" si="361"/>
        <v/>
      </c>
      <c r="AC489" s="66" t="str">
        <f t="shared" si="361"/>
        <v/>
      </c>
      <c r="AD489" s="66" t="str">
        <f t="shared" si="361"/>
        <v/>
      </c>
      <c r="AE489" s="66" t="str">
        <f t="shared" si="361"/>
        <v/>
      </c>
      <c r="AF489" s="66" t="str">
        <f t="shared" si="361"/>
        <v/>
      </c>
      <c r="AG489" s="66" t="str">
        <f t="shared" si="361"/>
        <v/>
      </c>
      <c r="AH489" s="66" t="str">
        <f t="shared" si="361"/>
        <v/>
      </c>
      <c r="AI489" s="66" t="str">
        <f t="shared" si="361"/>
        <v/>
      </c>
      <c r="AJ489" s="66" t="str">
        <f t="shared" si="361"/>
        <v/>
      </c>
    </row>
    <row r="490" spans="1:36">
      <c r="A490" s="66">
        <f t="shared" ref="A490:B490" si="362">A450</f>
        <v>8</v>
      </c>
      <c r="B490" s="66" t="str">
        <f t="shared" si="362"/>
        <v>許翊呈</v>
      </c>
      <c r="C490" s="66" t="str">
        <f t="shared" ref="C490:AJ490" si="363">IF(  OR(  LEN(  C9  )&gt;LEN(  SUBSTITUTE(  C9,"06-22",""  )  ),LEN(  C9  )&gt;LEN(  SUBSTITUTE(  C9,"10-22",""  )  ),LEN(  C9  )&gt;LEN(  SUBSTITUTE(  C9,"14-22",""  )  ),LEN(  C9  )&gt;LEN(  SUBSTITUTE(  C9,"06-18",""  )  ),LEN(  C9  )&gt;LEN(  SUBSTITUTE(  C9,"10-18",""  )  ),LEN(  C9  )&gt;LEN(  SUBSTITUTE(  C9,"14-18",""  )  )  ),"免",""  )</f>
        <v/>
      </c>
      <c r="D490" s="66" t="str">
        <f t="shared" si="363"/>
        <v/>
      </c>
      <c r="E490" s="66" t="str">
        <f t="shared" si="363"/>
        <v/>
      </c>
      <c r="F490" s="66" t="str">
        <f t="shared" si="363"/>
        <v/>
      </c>
      <c r="G490" s="66" t="str">
        <f t="shared" si="363"/>
        <v/>
      </c>
      <c r="H490" s="66" t="str">
        <f t="shared" si="363"/>
        <v/>
      </c>
      <c r="I490" s="66" t="str">
        <f t="shared" si="363"/>
        <v/>
      </c>
      <c r="J490" s="66" t="str">
        <f t="shared" si="363"/>
        <v/>
      </c>
      <c r="K490" s="66" t="str">
        <f t="shared" si="363"/>
        <v/>
      </c>
      <c r="L490" s="66" t="str">
        <f t="shared" si="363"/>
        <v/>
      </c>
      <c r="M490" s="66" t="str">
        <f t="shared" si="363"/>
        <v/>
      </c>
      <c r="N490" s="66" t="str">
        <f t="shared" si="363"/>
        <v/>
      </c>
      <c r="O490" s="66" t="str">
        <f t="shared" si="363"/>
        <v/>
      </c>
      <c r="P490" s="66" t="str">
        <f t="shared" si="363"/>
        <v/>
      </c>
      <c r="Q490" s="66" t="str">
        <f t="shared" si="363"/>
        <v/>
      </c>
      <c r="R490" s="66" t="str">
        <f t="shared" si="363"/>
        <v/>
      </c>
      <c r="S490" s="66" t="str">
        <f t="shared" si="363"/>
        <v/>
      </c>
      <c r="T490" s="66" t="str">
        <f t="shared" si="363"/>
        <v/>
      </c>
      <c r="U490" s="66" t="str">
        <f t="shared" si="363"/>
        <v/>
      </c>
      <c r="V490" s="66" t="str">
        <f t="shared" si="363"/>
        <v/>
      </c>
      <c r="W490" s="66" t="str">
        <f t="shared" si="363"/>
        <v/>
      </c>
      <c r="X490" s="66" t="str">
        <f t="shared" si="363"/>
        <v/>
      </c>
      <c r="Y490" s="66" t="str">
        <f t="shared" si="363"/>
        <v/>
      </c>
      <c r="Z490" s="66" t="str">
        <f t="shared" si="363"/>
        <v/>
      </c>
      <c r="AA490" s="66" t="str">
        <f t="shared" si="363"/>
        <v/>
      </c>
      <c r="AB490" s="66" t="str">
        <f t="shared" si="363"/>
        <v/>
      </c>
      <c r="AC490" s="66" t="str">
        <f t="shared" si="363"/>
        <v/>
      </c>
      <c r="AD490" s="66" t="str">
        <f t="shared" si="363"/>
        <v/>
      </c>
      <c r="AE490" s="66" t="str">
        <f t="shared" si="363"/>
        <v/>
      </c>
      <c r="AF490" s="66" t="str">
        <f t="shared" si="363"/>
        <v/>
      </c>
      <c r="AG490" s="66" t="str">
        <f t="shared" si="363"/>
        <v/>
      </c>
      <c r="AH490" s="66" t="str">
        <f t="shared" si="363"/>
        <v/>
      </c>
      <c r="AI490" s="66" t="str">
        <f t="shared" si="363"/>
        <v/>
      </c>
      <c r="AJ490" s="66" t="str">
        <f t="shared" si="363"/>
        <v/>
      </c>
    </row>
    <row r="491" spans="1:36">
      <c r="A491" s="66">
        <f t="shared" ref="A491:B491" si="364">A451</f>
        <v>9</v>
      </c>
      <c r="B491" s="66" t="str">
        <f t="shared" si="364"/>
        <v>李政聰</v>
      </c>
      <c r="C491" s="66" t="str">
        <f t="shared" ref="C491:AJ491" si="365">IF(  OR(  LEN(  C10  )&gt;LEN(  SUBSTITUTE(  C10,"06-22",""  )  ),LEN(  C10  )&gt;LEN(  SUBSTITUTE(  C10,"10-22",""  )  ),LEN(  C10  )&gt;LEN(  SUBSTITUTE(  C10,"14-22",""  )  ),LEN(  C10  )&gt;LEN(  SUBSTITUTE(  C10,"06-18",""  )  ),LEN(  C10  )&gt;LEN(  SUBSTITUTE(  C10,"10-18",""  )  ),LEN(  C10  )&gt;LEN(  SUBSTITUTE(  C10,"14-18",""  )  )  ),"免",""  )</f>
        <v/>
      </c>
      <c r="D491" s="66" t="str">
        <f t="shared" si="365"/>
        <v/>
      </c>
      <c r="E491" s="66" t="str">
        <f t="shared" si="365"/>
        <v/>
      </c>
      <c r="F491" s="66" t="str">
        <f t="shared" si="365"/>
        <v/>
      </c>
      <c r="G491" s="66" t="str">
        <f t="shared" si="365"/>
        <v/>
      </c>
      <c r="H491" s="66" t="str">
        <f t="shared" si="365"/>
        <v/>
      </c>
      <c r="I491" s="66" t="str">
        <f t="shared" si="365"/>
        <v/>
      </c>
      <c r="J491" s="66" t="str">
        <f t="shared" si="365"/>
        <v/>
      </c>
      <c r="K491" s="66" t="str">
        <f t="shared" si="365"/>
        <v/>
      </c>
      <c r="L491" s="66" t="str">
        <f t="shared" si="365"/>
        <v/>
      </c>
      <c r="M491" s="66" t="str">
        <f t="shared" si="365"/>
        <v/>
      </c>
      <c r="N491" s="66" t="str">
        <f t="shared" si="365"/>
        <v/>
      </c>
      <c r="O491" s="66" t="str">
        <f t="shared" si="365"/>
        <v/>
      </c>
      <c r="P491" s="66" t="str">
        <f t="shared" si="365"/>
        <v/>
      </c>
      <c r="Q491" s="66" t="str">
        <f t="shared" si="365"/>
        <v/>
      </c>
      <c r="R491" s="66" t="str">
        <f t="shared" si="365"/>
        <v/>
      </c>
      <c r="S491" s="66" t="str">
        <f t="shared" si="365"/>
        <v/>
      </c>
      <c r="T491" s="66" t="str">
        <f t="shared" si="365"/>
        <v/>
      </c>
      <c r="U491" s="66" t="str">
        <f t="shared" si="365"/>
        <v/>
      </c>
      <c r="V491" s="66" t="str">
        <f t="shared" si="365"/>
        <v/>
      </c>
      <c r="W491" s="66" t="str">
        <f t="shared" si="365"/>
        <v/>
      </c>
      <c r="X491" s="66" t="str">
        <f t="shared" si="365"/>
        <v/>
      </c>
      <c r="Y491" s="66" t="str">
        <f t="shared" si="365"/>
        <v/>
      </c>
      <c r="Z491" s="66" t="str">
        <f t="shared" si="365"/>
        <v/>
      </c>
      <c r="AA491" s="66" t="str">
        <f t="shared" si="365"/>
        <v/>
      </c>
      <c r="AB491" s="66" t="str">
        <f t="shared" si="365"/>
        <v/>
      </c>
      <c r="AC491" s="66" t="str">
        <f t="shared" si="365"/>
        <v/>
      </c>
      <c r="AD491" s="66" t="str">
        <f t="shared" si="365"/>
        <v/>
      </c>
      <c r="AE491" s="66" t="str">
        <f t="shared" si="365"/>
        <v/>
      </c>
      <c r="AF491" s="66" t="str">
        <f t="shared" si="365"/>
        <v/>
      </c>
      <c r="AG491" s="66" t="str">
        <f t="shared" si="365"/>
        <v/>
      </c>
      <c r="AH491" s="66" t="str">
        <f t="shared" si="365"/>
        <v/>
      </c>
      <c r="AI491" s="66" t="str">
        <f t="shared" si="365"/>
        <v/>
      </c>
      <c r="AJ491" s="66" t="str">
        <f t="shared" si="365"/>
        <v/>
      </c>
    </row>
    <row r="492" spans="1:36">
      <c r="A492" s="66">
        <f t="shared" ref="A492:B492" si="366">A452</f>
        <v>10</v>
      </c>
      <c r="B492" s="66" t="str">
        <f t="shared" si="366"/>
        <v>劉威志</v>
      </c>
      <c r="C492" s="66" t="str">
        <f t="shared" ref="C492:AJ492" si="367">IF(  OR(  LEN(  C11  )&gt;LEN(  SUBSTITUTE(  C11,"06-22",""  )  ),LEN(  C11  )&gt;LEN(  SUBSTITUTE(  C11,"10-22",""  )  ),LEN(  C11  )&gt;LEN(  SUBSTITUTE(  C11,"14-22",""  )  ),LEN(  C11  )&gt;LEN(  SUBSTITUTE(  C11,"06-18",""  )  ),LEN(  C11  )&gt;LEN(  SUBSTITUTE(  C11,"10-18",""  )  ),LEN(  C11  )&gt;LEN(  SUBSTITUTE(  C11,"14-18",""  )  )  ),"免",""  )</f>
        <v/>
      </c>
      <c r="D492" s="66" t="str">
        <f t="shared" si="367"/>
        <v/>
      </c>
      <c r="E492" s="66" t="str">
        <f t="shared" si="367"/>
        <v/>
      </c>
      <c r="F492" s="66" t="str">
        <f t="shared" si="367"/>
        <v/>
      </c>
      <c r="G492" s="66" t="str">
        <f t="shared" si="367"/>
        <v/>
      </c>
      <c r="H492" s="66" t="str">
        <f t="shared" si="367"/>
        <v/>
      </c>
      <c r="I492" s="66" t="str">
        <f t="shared" si="367"/>
        <v/>
      </c>
      <c r="J492" s="66" t="str">
        <f t="shared" si="367"/>
        <v/>
      </c>
      <c r="K492" s="66" t="str">
        <f t="shared" si="367"/>
        <v/>
      </c>
      <c r="L492" s="66" t="str">
        <f t="shared" si="367"/>
        <v/>
      </c>
      <c r="M492" s="66" t="str">
        <f t="shared" si="367"/>
        <v/>
      </c>
      <c r="N492" s="66" t="str">
        <f t="shared" si="367"/>
        <v/>
      </c>
      <c r="O492" s="66" t="str">
        <f t="shared" si="367"/>
        <v/>
      </c>
      <c r="P492" s="66" t="str">
        <f t="shared" si="367"/>
        <v/>
      </c>
      <c r="Q492" s="66" t="str">
        <f t="shared" si="367"/>
        <v/>
      </c>
      <c r="R492" s="66" t="str">
        <f t="shared" si="367"/>
        <v/>
      </c>
      <c r="S492" s="66" t="str">
        <f t="shared" si="367"/>
        <v/>
      </c>
      <c r="T492" s="66" t="str">
        <f t="shared" si="367"/>
        <v/>
      </c>
      <c r="U492" s="66" t="str">
        <f t="shared" si="367"/>
        <v/>
      </c>
      <c r="V492" s="66" t="str">
        <f t="shared" si="367"/>
        <v/>
      </c>
      <c r="W492" s="66" t="str">
        <f t="shared" si="367"/>
        <v/>
      </c>
      <c r="X492" s="66" t="str">
        <f t="shared" si="367"/>
        <v/>
      </c>
      <c r="Y492" s="66" t="str">
        <f t="shared" si="367"/>
        <v/>
      </c>
      <c r="Z492" s="66" t="str">
        <f t="shared" si="367"/>
        <v/>
      </c>
      <c r="AA492" s="66" t="str">
        <f t="shared" si="367"/>
        <v/>
      </c>
      <c r="AB492" s="66" t="str">
        <f t="shared" si="367"/>
        <v/>
      </c>
      <c r="AC492" s="66" t="str">
        <f t="shared" si="367"/>
        <v/>
      </c>
      <c r="AD492" s="66" t="str">
        <f t="shared" si="367"/>
        <v/>
      </c>
      <c r="AE492" s="66" t="str">
        <f t="shared" si="367"/>
        <v/>
      </c>
      <c r="AF492" s="66" t="str">
        <f t="shared" si="367"/>
        <v/>
      </c>
      <c r="AG492" s="66" t="str">
        <f t="shared" si="367"/>
        <v/>
      </c>
      <c r="AH492" s="66" t="str">
        <f t="shared" si="367"/>
        <v/>
      </c>
      <c r="AI492" s="66" t="str">
        <f t="shared" si="367"/>
        <v/>
      </c>
      <c r="AJ492" s="66" t="str">
        <f t="shared" si="367"/>
        <v/>
      </c>
    </row>
    <row r="493" spans="1:36">
      <c r="A493" s="66">
        <f t="shared" ref="A493:B493" si="368">A453</f>
        <v>11</v>
      </c>
      <c r="B493" s="66" t="str">
        <f t="shared" si="368"/>
        <v>梁展碩</v>
      </c>
      <c r="C493" s="66" t="str">
        <f t="shared" ref="C493:AJ493" si="369">IF(  OR(  LEN(  C12  )&gt;LEN(  SUBSTITUTE(  C12,"06-22",""  )  ),LEN(  C12  )&gt;LEN(  SUBSTITUTE(  C12,"10-22",""  )  ),LEN(  C12  )&gt;LEN(  SUBSTITUTE(  C12,"14-22",""  )  ),LEN(  C12  )&gt;LEN(  SUBSTITUTE(  C12,"06-18",""  )  ),LEN(  C12  )&gt;LEN(  SUBSTITUTE(  C12,"10-18",""  )  ),LEN(  C12  )&gt;LEN(  SUBSTITUTE(  C12,"14-18",""  )  )  ),"免",""  )</f>
        <v/>
      </c>
      <c r="D493" s="66" t="str">
        <f t="shared" si="369"/>
        <v/>
      </c>
      <c r="E493" s="66" t="str">
        <f t="shared" si="369"/>
        <v/>
      </c>
      <c r="F493" s="66" t="str">
        <f t="shared" si="369"/>
        <v/>
      </c>
      <c r="G493" s="66" t="str">
        <f t="shared" si="369"/>
        <v/>
      </c>
      <c r="H493" s="66" t="str">
        <f t="shared" si="369"/>
        <v/>
      </c>
      <c r="I493" s="66" t="str">
        <f t="shared" si="369"/>
        <v/>
      </c>
      <c r="J493" s="66" t="str">
        <f t="shared" si="369"/>
        <v/>
      </c>
      <c r="K493" s="66" t="str">
        <f t="shared" si="369"/>
        <v/>
      </c>
      <c r="L493" s="66" t="str">
        <f t="shared" si="369"/>
        <v/>
      </c>
      <c r="M493" s="66" t="str">
        <f t="shared" si="369"/>
        <v/>
      </c>
      <c r="N493" s="66" t="str">
        <f t="shared" si="369"/>
        <v/>
      </c>
      <c r="O493" s="66" t="str">
        <f t="shared" si="369"/>
        <v/>
      </c>
      <c r="P493" s="66" t="str">
        <f t="shared" si="369"/>
        <v/>
      </c>
      <c r="Q493" s="66" t="str">
        <f t="shared" si="369"/>
        <v/>
      </c>
      <c r="R493" s="66" t="str">
        <f t="shared" si="369"/>
        <v/>
      </c>
      <c r="S493" s="66" t="str">
        <f t="shared" si="369"/>
        <v/>
      </c>
      <c r="T493" s="66" t="str">
        <f t="shared" si="369"/>
        <v/>
      </c>
      <c r="U493" s="66" t="str">
        <f t="shared" si="369"/>
        <v/>
      </c>
      <c r="V493" s="66" t="str">
        <f t="shared" si="369"/>
        <v/>
      </c>
      <c r="W493" s="66" t="str">
        <f t="shared" si="369"/>
        <v/>
      </c>
      <c r="X493" s="66" t="str">
        <f t="shared" si="369"/>
        <v/>
      </c>
      <c r="Y493" s="66" t="str">
        <f t="shared" si="369"/>
        <v/>
      </c>
      <c r="Z493" s="66" t="str">
        <f t="shared" si="369"/>
        <v/>
      </c>
      <c r="AA493" s="66" t="str">
        <f t="shared" si="369"/>
        <v/>
      </c>
      <c r="AB493" s="66" t="str">
        <f t="shared" si="369"/>
        <v/>
      </c>
      <c r="AC493" s="66" t="str">
        <f t="shared" si="369"/>
        <v/>
      </c>
      <c r="AD493" s="66" t="str">
        <f t="shared" si="369"/>
        <v/>
      </c>
      <c r="AE493" s="66" t="str">
        <f t="shared" si="369"/>
        <v/>
      </c>
      <c r="AF493" s="66" t="str">
        <f t="shared" si="369"/>
        <v/>
      </c>
      <c r="AG493" s="66" t="str">
        <f t="shared" si="369"/>
        <v/>
      </c>
      <c r="AH493" s="66" t="str">
        <f t="shared" si="369"/>
        <v/>
      </c>
      <c r="AI493" s="66" t="str">
        <f t="shared" si="369"/>
        <v/>
      </c>
      <c r="AJ493" s="66" t="str">
        <f t="shared" si="369"/>
        <v/>
      </c>
    </row>
    <row r="494" spans="1:36">
      <c r="A494" s="66">
        <f t="shared" ref="A494:B494" si="370">A454</f>
        <v>12</v>
      </c>
      <c r="B494" s="66" t="str">
        <f t="shared" si="370"/>
        <v>何奕諠</v>
      </c>
      <c r="C494" s="66" t="str">
        <f t="shared" ref="C494:AJ494" si="371">IF(  OR(  LEN(  C13  )&gt;LEN(  SUBSTITUTE(  C13,"06-22",""  )  ),LEN(  C13  )&gt;LEN(  SUBSTITUTE(  C13,"10-22",""  )  ),LEN(  C13  )&gt;LEN(  SUBSTITUTE(  C13,"14-22",""  )  ),LEN(  C13  )&gt;LEN(  SUBSTITUTE(  C13,"06-18",""  )  ),LEN(  C13  )&gt;LEN(  SUBSTITUTE(  C13,"10-18",""  )  ),LEN(  C13  )&gt;LEN(  SUBSTITUTE(  C13,"14-18",""  )  )  ),"免",""  )</f>
        <v/>
      </c>
      <c r="D494" s="66" t="str">
        <f t="shared" si="371"/>
        <v/>
      </c>
      <c r="E494" s="66" t="str">
        <f t="shared" si="371"/>
        <v/>
      </c>
      <c r="F494" s="66" t="str">
        <f t="shared" si="371"/>
        <v/>
      </c>
      <c r="G494" s="66" t="str">
        <f t="shared" si="371"/>
        <v/>
      </c>
      <c r="H494" s="66" t="str">
        <f t="shared" si="371"/>
        <v/>
      </c>
      <c r="I494" s="66" t="str">
        <f t="shared" si="371"/>
        <v/>
      </c>
      <c r="J494" s="66" t="str">
        <f t="shared" si="371"/>
        <v/>
      </c>
      <c r="K494" s="66" t="str">
        <f t="shared" si="371"/>
        <v/>
      </c>
      <c r="L494" s="66" t="str">
        <f t="shared" si="371"/>
        <v/>
      </c>
      <c r="M494" s="66" t="str">
        <f t="shared" si="371"/>
        <v/>
      </c>
      <c r="N494" s="66" t="str">
        <f t="shared" si="371"/>
        <v/>
      </c>
      <c r="O494" s="66" t="str">
        <f t="shared" si="371"/>
        <v/>
      </c>
      <c r="P494" s="66" t="str">
        <f t="shared" si="371"/>
        <v/>
      </c>
      <c r="Q494" s="66" t="str">
        <f t="shared" si="371"/>
        <v/>
      </c>
      <c r="R494" s="66" t="str">
        <f t="shared" si="371"/>
        <v/>
      </c>
      <c r="S494" s="66" t="str">
        <f t="shared" si="371"/>
        <v/>
      </c>
      <c r="T494" s="66" t="str">
        <f t="shared" si="371"/>
        <v/>
      </c>
      <c r="U494" s="66" t="str">
        <f t="shared" si="371"/>
        <v/>
      </c>
      <c r="V494" s="66" t="str">
        <f t="shared" si="371"/>
        <v/>
      </c>
      <c r="W494" s="66" t="str">
        <f t="shared" si="371"/>
        <v/>
      </c>
      <c r="X494" s="66" t="str">
        <f t="shared" si="371"/>
        <v/>
      </c>
      <c r="Y494" s="66" t="str">
        <f t="shared" si="371"/>
        <v/>
      </c>
      <c r="Z494" s="66" t="str">
        <f t="shared" si="371"/>
        <v/>
      </c>
      <c r="AA494" s="66" t="str">
        <f t="shared" si="371"/>
        <v/>
      </c>
      <c r="AB494" s="66" t="str">
        <f t="shared" si="371"/>
        <v/>
      </c>
      <c r="AC494" s="66" t="str">
        <f t="shared" si="371"/>
        <v/>
      </c>
      <c r="AD494" s="66" t="str">
        <f t="shared" si="371"/>
        <v/>
      </c>
      <c r="AE494" s="66" t="str">
        <f t="shared" si="371"/>
        <v/>
      </c>
      <c r="AF494" s="66" t="str">
        <f t="shared" si="371"/>
        <v/>
      </c>
      <c r="AG494" s="66" t="str">
        <f t="shared" si="371"/>
        <v/>
      </c>
      <c r="AH494" s="66" t="str">
        <f t="shared" si="371"/>
        <v/>
      </c>
      <c r="AI494" s="66" t="str">
        <f t="shared" si="371"/>
        <v/>
      </c>
      <c r="AJ494" s="66" t="str">
        <f t="shared" si="371"/>
        <v/>
      </c>
    </row>
    <row r="495" spans="1:36">
      <c r="A495" s="66">
        <f t="shared" ref="A495:B495" si="372">A455</f>
        <v>13</v>
      </c>
      <c r="B495" s="66" t="str">
        <f t="shared" si="372"/>
        <v>楊瑞麟</v>
      </c>
      <c r="C495" s="66" t="str">
        <f t="shared" ref="C495:AJ495" si="373">IF(  OR(  LEN(  C14  )&gt;LEN(  SUBSTITUTE(  C14,"06-22",""  )  ),LEN(  C14  )&gt;LEN(  SUBSTITUTE(  C14,"10-22",""  )  ),LEN(  C14  )&gt;LEN(  SUBSTITUTE(  C14,"14-22",""  )  ),LEN(  C14  )&gt;LEN(  SUBSTITUTE(  C14,"06-18",""  )  ),LEN(  C14  )&gt;LEN(  SUBSTITUTE(  C14,"10-18",""  )  ),LEN(  C14  )&gt;LEN(  SUBSTITUTE(  C14,"14-18",""  )  )  ),"免",""  )</f>
        <v/>
      </c>
      <c r="D495" s="66" t="str">
        <f t="shared" si="373"/>
        <v/>
      </c>
      <c r="E495" s="66" t="str">
        <f t="shared" si="373"/>
        <v/>
      </c>
      <c r="F495" s="66" t="str">
        <f t="shared" si="373"/>
        <v/>
      </c>
      <c r="G495" s="66" t="str">
        <f t="shared" si="373"/>
        <v/>
      </c>
      <c r="H495" s="66" t="str">
        <f t="shared" si="373"/>
        <v/>
      </c>
      <c r="I495" s="66" t="str">
        <f t="shared" si="373"/>
        <v/>
      </c>
      <c r="J495" s="66" t="str">
        <f t="shared" si="373"/>
        <v/>
      </c>
      <c r="K495" s="66" t="str">
        <f t="shared" si="373"/>
        <v/>
      </c>
      <c r="L495" s="66" t="str">
        <f t="shared" si="373"/>
        <v/>
      </c>
      <c r="M495" s="66" t="str">
        <f t="shared" si="373"/>
        <v/>
      </c>
      <c r="N495" s="66" t="str">
        <f t="shared" si="373"/>
        <v/>
      </c>
      <c r="O495" s="66" t="str">
        <f t="shared" si="373"/>
        <v/>
      </c>
      <c r="P495" s="66" t="str">
        <f t="shared" si="373"/>
        <v/>
      </c>
      <c r="Q495" s="66" t="str">
        <f t="shared" si="373"/>
        <v/>
      </c>
      <c r="R495" s="66" t="str">
        <f t="shared" si="373"/>
        <v/>
      </c>
      <c r="S495" s="66" t="str">
        <f t="shared" si="373"/>
        <v/>
      </c>
      <c r="T495" s="66" t="str">
        <f t="shared" si="373"/>
        <v/>
      </c>
      <c r="U495" s="66" t="str">
        <f t="shared" si="373"/>
        <v/>
      </c>
      <c r="V495" s="66" t="str">
        <f t="shared" si="373"/>
        <v/>
      </c>
      <c r="W495" s="66" t="str">
        <f t="shared" si="373"/>
        <v/>
      </c>
      <c r="X495" s="66" t="str">
        <f t="shared" si="373"/>
        <v/>
      </c>
      <c r="Y495" s="66" t="str">
        <f t="shared" si="373"/>
        <v/>
      </c>
      <c r="Z495" s="66" t="str">
        <f t="shared" si="373"/>
        <v/>
      </c>
      <c r="AA495" s="66" t="str">
        <f t="shared" si="373"/>
        <v/>
      </c>
      <c r="AB495" s="66" t="str">
        <f t="shared" si="373"/>
        <v/>
      </c>
      <c r="AC495" s="66" t="str">
        <f t="shared" si="373"/>
        <v/>
      </c>
      <c r="AD495" s="66" t="str">
        <f t="shared" si="373"/>
        <v/>
      </c>
      <c r="AE495" s="66" t="str">
        <f t="shared" si="373"/>
        <v/>
      </c>
      <c r="AF495" s="66" t="str">
        <f t="shared" si="373"/>
        <v/>
      </c>
      <c r="AG495" s="66" t="str">
        <f t="shared" si="373"/>
        <v/>
      </c>
      <c r="AH495" s="66" t="str">
        <f t="shared" si="373"/>
        <v/>
      </c>
      <c r="AI495" s="66" t="str">
        <f t="shared" si="373"/>
        <v/>
      </c>
      <c r="AJ495" s="66" t="str">
        <f t="shared" si="373"/>
        <v/>
      </c>
    </row>
    <row r="496" spans="1:36">
      <c r="A496" s="66">
        <f t="shared" ref="A496:B496" si="374">A456</f>
        <v>14</v>
      </c>
      <c r="B496" s="66" t="str">
        <f t="shared" si="374"/>
        <v>鄭品豪</v>
      </c>
      <c r="C496" s="66" t="str">
        <f t="shared" ref="C496:AJ496" si="375">IF(  OR(  LEN(  C15  )&gt;LEN(  SUBSTITUTE(  C15,"06-22",""  )  ),LEN(  C15  )&gt;LEN(  SUBSTITUTE(  C15,"10-22",""  )  ),LEN(  C15  )&gt;LEN(  SUBSTITUTE(  C15,"14-22",""  )  ),LEN(  C15  )&gt;LEN(  SUBSTITUTE(  C15,"06-18",""  )  ),LEN(  C15  )&gt;LEN(  SUBSTITUTE(  C15,"10-18",""  )  ),LEN(  C15  )&gt;LEN(  SUBSTITUTE(  C15,"14-18",""  )  )  ),"免",""  )</f>
        <v/>
      </c>
      <c r="D496" s="66" t="str">
        <f t="shared" si="375"/>
        <v/>
      </c>
      <c r="E496" s="66" t="str">
        <f t="shared" si="375"/>
        <v/>
      </c>
      <c r="F496" s="66" t="str">
        <f t="shared" si="375"/>
        <v/>
      </c>
      <c r="G496" s="66" t="str">
        <f t="shared" si="375"/>
        <v/>
      </c>
      <c r="H496" s="66" t="str">
        <f t="shared" si="375"/>
        <v/>
      </c>
      <c r="I496" s="66" t="str">
        <f t="shared" si="375"/>
        <v/>
      </c>
      <c r="J496" s="66" t="str">
        <f t="shared" si="375"/>
        <v/>
      </c>
      <c r="K496" s="66" t="str">
        <f t="shared" si="375"/>
        <v/>
      </c>
      <c r="L496" s="66" t="str">
        <f t="shared" si="375"/>
        <v/>
      </c>
      <c r="M496" s="66" t="str">
        <f t="shared" si="375"/>
        <v/>
      </c>
      <c r="N496" s="66" t="str">
        <f t="shared" si="375"/>
        <v/>
      </c>
      <c r="O496" s="66" t="str">
        <f t="shared" si="375"/>
        <v/>
      </c>
      <c r="P496" s="66" t="str">
        <f t="shared" si="375"/>
        <v/>
      </c>
      <c r="Q496" s="66" t="str">
        <f t="shared" si="375"/>
        <v/>
      </c>
      <c r="R496" s="66" t="str">
        <f t="shared" si="375"/>
        <v/>
      </c>
      <c r="S496" s="66" t="str">
        <f t="shared" si="375"/>
        <v/>
      </c>
      <c r="T496" s="66" t="str">
        <f t="shared" si="375"/>
        <v/>
      </c>
      <c r="U496" s="66" t="str">
        <f t="shared" si="375"/>
        <v/>
      </c>
      <c r="V496" s="66" t="str">
        <f t="shared" si="375"/>
        <v/>
      </c>
      <c r="W496" s="66" t="str">
        <f t="shared" si="375"/>
        <v/>
      </c>
      <c r="X496" s="66" t="str">
        <f t="shared" si="375"/>
        <v/>
      </c>
      <c r="Y496" s="66" t="str">
        <f t="shared" si="375"/>
        <v/>
      </c>
      <c r="Z496" s="66" t="str">
        <f t="shared" si="375"/>
        <v/>
      </c>
      <c r="AA496" s="66" t="str">
        <f t="shared" si="375"/>
        <v/>
      </c>
      <c r="AB496" s="66" t="str">
        <f t="shared" si="375"/>
        <v/>
      </c>
      <c r="AC496" s="66" t="str">
        <f t="shared" si="375"/>
        <v/>
      </c>
      <c r="AD496" s="66" t="str">
        <f t="shared" si="375"/>
        <v/>
      </c>
      <c r="AE496" s="66" t="str">
        <f t="shared" si="375"/>
        <v/>
      </c>
      <c r="AF496" s="66" t="str">
        <f t="shared" si="375"/>
        <v/>
      </c>
      <c r="AG496" s="66" t="str">
        <f t="shared" si="375"/>
        <v/>
      </c>
      <c r="AH496" s="66" t="str">
        <f t="shared" si="375"/>
        <v/>
      </c>
      <c r="AI496" s="66" t="str">
        <f t="shared" si="375"/>
        <v/>
      </c>
      <c r="AJ496" s="66" t="str">
        <f t="shared" si="375"/>
        <v/>
      </c>
    </row>
    <row r="497" spans="1:36">
      <c r="A497" s="66">
        <f t="shared" ref="A497:B497" si="376">A457</f>
        <v>15</v>
      </c>
      <c r="B497" s="66" t="str">
        <f t="shared" si="376"/>
        <v>林晉弘</v>
      </c>
      <c r="C497" s="66" t="str">
        <f t="shared" ref="C497:AJ497" si="377">IF(  OR(  LEN(  C16  )&gt;LEN(  SUBSTITUTE(  C16,"06-22",""  )  ),LEN(  C16  )&gt;LEN(  SUBSTITUTE(  C16,"10-22",""  )  ),LEN(  C16  )&gt;LEN(  SUBSTITUTE(  C16,"14-22",""  )  ),LEN(  C16  )&gt;LEN(  SUBSTITUTE(  C16,"06-18",""  )  ),LEN(  C16  )&gt;LEN(  SUBSTITUTE(  C16,"10-18",""  )  ),LEN(  C16  )&gt;LEN(  SUBSTITUTE(  C16,"14-18",""  )  )  ),"免",""  )</f>
        <v/>
      </c>
      <c r="D497" s="66" t="str">
        <f t="shared" si="377"/>
        <v/>
      </c>
      <c r="E497" s="66" t="str">
        <f t="shared" si="377"/>
        <v/>
      </c>
      <c r="F497" s="66" t="str">
        <f t="shared" si="377"/>
        <v/>
      </c>
      <c r="G497" s="66" t="str">
        <f t="shared" si="377"/>
        <v/>
      </c>
      <c r="H497" s="66" t="str">
        <f t="shared" si="377"/>
        <v/>
      </c>
      <c r="I497" s="66" t="str">
        <f t="shared" si="377"/>
        <v/>
      </c>
      <c r="J497" s="66" t="str">
        <f t="shared" si="377"/>
        <v/>
      </c>
      <c r="K497" s="66" t="str">
        <f t="shared" si="377"/>
        <v/>
      </c>
      <c r="L497" s="66" t="str">
        <f t="shared" si="377"/>
        <v/>
      </c>
      <c r="M497" s="66" t="str">
        <f t="shared" si="377"/>
        <v/>
      </c>
      <c r="N497" s="66" t="str">
        <f t="shared" si="377"/>
        <v/>
      </c>
      <c r="O497" s="66" t="str">
        <f t="shared" si="377"/>
        <v/>
      </c>
      <c r="P497" s="66" t="str">
        <f t="shared" si="377"/>
        <v/>
      </c>
      <c r="Q497" s="66" t="str">
        <f t="shared" si="377"/>
        <v/>
      </c>
      <c r="R497" s="66" t="str">
        <f t="shared" si="377"/>
        <v/>
      </c>
      <c r="S497" s="66" t="str">
        <f t="shared" si="377"/>
        <v/>
      </c>
      <c r="T497" s="66" t="str">
        <f t="shared" si="377"/>
        <v/>
      </c>
      <c r="U497" s="66" t="str">
        <f t="shared" si="377"/>
        <v/>
      </c>
      <c r="V497" s="66" t="str">
        <f t="shared" si="377"/>
        <v/>
      </c>
      <c r="W497" s="66" t="str">
        <f t="shared" si="377"/>
        <v/>
      </c>
      <c r="X497" s="66" t="str">
        <f t="shared" si="377"/>
        <v/>
      </c>
      <c r="Y497" s="66" t="str">
        <f t="shared" si="377"/>
        <v/>
      </c>
      <c r="Z497" s="66" t="str">
        <f t="shared" si="377"/>
        <v/>
      </c>
      <c r="AA497" s="66" t="str">
        <f t="shared" si="377"/>
        <v/>
      </c>
      <c r="AB497" s="66" t="str">
        <f t="shared" si="377"/>
        <v/>
      </c>
      <c r="AC497" s="66" t="str">
        <f t="shared" si="377"/>
        <v/>
      </c>
      <c r="AD497" s="66" t="str">
        <f t="shared" si="377"/>
        <v/>
      </c>
      <c r="AE497" s="66" t="str">
        <f t="shared" si="377"/>
        <v/>
      </c>
      <c r="AF497" s="66" t="str">
        <f t="shared" si="377"/>
        <v/>
      </c>
      <c r="AG497" s="66" t="str">
        <f t="shared" si="377"/>
        <v/>
      </c>
      <c r="AH497" s="66" t="str">
        <f t="shared" si="377"/>
        <v/>
      </c>
      <c r="AI497" s="66" t="str">
        <f t="shared" si="377"/>
        <v/>
      </c>
      <c r="AJ497" s="66" t="str">
        <f t="shared" si="377"/>
        <v/>
      </c>
    </row>
    <row r="498" spans="1:36">
      <c r="A498" s="66">
        <f t="shared" ref="A498:B498" si="378">A458</f>
        <v>16</v>
      </c>
      <c r="B498" s="66" t="str">
        <f t="shared" si="378"/>
        <v>張恩齊</v>
      </c>
      <c r="C498" s="66" t="str">
        <f t="shared" ref="C498:AJ498" si="379">IF(  OR(  LEN(  C17  )&gt;LEN(  SUBSTITUTE(  C17,"06-22",""  )  ),LEN(  C17  )&gt;LEN(  SUBSTITUTE(  C17,"10-22",""  )  ),LEN(  C17  )&gt;LEN(  SUBSTITUTE(  C17,"14-22",""  )  ),LEN(  C17  )&gt;LEN(  SUBSTITUTE(  C17,"06-18",""  )  ),LEN(  C17  )&gt;LEN(  SUBSTITUTE(  C17,"10-18",""  )  ),LEN(  C17  )&gt;LEN(  SUBSTITUTE(  C17,"14-18",""  )  )  ),"免",""  )</f>
        <v/>
      </c>
      <c r="D498" s="66" t="str">
        <f t="shared" si="379"/>
        <v/>
      </c>
      <c r="E498" s="66" t="str">
        <f t="shared" si="379"/>
        <v/>
      </c>
      <c r="F498" s="66" t="str">
        <f t="shared" si="379"/>
        <v/>
      </c>
      <c r="G498" s="66" t="str">
        <f t="shared" si="379"/>
        <v/>
      </c>
      <c r="H498" s="66" t="str">
        <f t="shared" si="379"/>
        <v/>
      </c>
      <c r="I498" s="66" t="str">
        <f t="shared" si="379"/>
        <v/>
      </c>
      <c r="J498" s="66" t="str">
        <f t="shared" si="379"/>
        <v/>
      </c>
      <c r="K498" s="66" t="str">
        <f t="shared" si="379"/>
        <v/>
      </c>
      <c r="L498" s="66" t="str">
        <f t="shared" si="379"/>
        <v/>
      </c>
      <c r="M498" s="66" t="str">
        <f t="shared" si="379"/>
        <v/>
      </c>
      <c r="N498" s="66" t="str">
        <f t="shared" si="379"/>
        <v/>
      </c>
      <c r="O498" s="66" t="str">
        <f t="shared" si="379"/>
        <v/>
      </c>
      <c r="P498" s="66" t="str">
        <f t="shared" si="379"/>
        <v/>
      </c>
      <c r="Q498" s="66" t="str">
        <f t="shared" si="379"/>
        <v/>
      </c>
      <c r="R498" s="66" t="str">
        <f t="shared" si="379"/>
        <v/>
      </c>
      <c r="S498" s="66" t="str">
        <f t="shared" si="379"/>
        <v/>
      </c>
      <c r="T498" s="66" t="str">
        <f t="shared" si="379"/>
        <v/>
      </c>
      <c r="U498" s="66" t="str">
        <f t="shared" si="379"/>
        <v/>
      </c>
      <c r="V498" s="66" t="str">
        <f t="shared" si="379"/>
        <v/>
      </c>
      <c r="W498" s="66" t="str">
        <f t="shared" si="379"/>
        <v/>
      </c>
      <c r="X498" s="66" t="str">
        <f t="shared" si="379"/>
        <v/>
      </c>
      <c r="Y498" s="66" t="str">
        <f t="shared" si="379"/>
        <v/>
      </c>
      <c r="Z498" s="66" t="str">
        <f t="shared" si="379"/>
        <v/>
      </c>
      <c r="AA498" s="66" t="str">
        <f t="shared" si="379"/>
        <v/>
      </c>
      <c r="AB498" s="66" t="str">
        <f t="shared" si="379"/>
        <v/>
      </c>
      <c r="AC498" s="66" t="str">
        <f t="shared" si="379"/>
        <v/>
      </c>
      <c r="AD498" s="66" t="str">
        <f t="shared" si="379"/>
        <v/>
      </c>
      <c r="AE498" s="66" t="str">
        <f t="shared" si="379"/>
        <v/>
      </c>
      <c r="AF498" s="66" t="str">
        <f t="shared" si="379"/>
        <v/>
      </c>
      <c r="AG498" s="66" t="str">
        <f t="shared" si="379"/>
        <v/>
      </c>
      <c r="AH498" s="66" t="str">
        <f t="shared" si="379"/>
        <v/>
      </c>
      <c r="AI498" s="66" t="str">
        <f t="shared" si="379"/>
        <v/>
      </c>
      <c r="AJ498" s="66" t="str">
        <f t="shared" si="379"/>
        <v/>
      </c>
    </row>
    <row r="499" spans="1:36">
      <c r="A499" s="66">
        <f t="shared" ref="A499:B499" si="380">A459</f>
        <v>17</v>
      </c>
      <c r="B499" s="66" t="str">
        <f t="shared" si="380"/>
        <v>周承澔</v>
      </c>
      <c r="C499" s="66" t="str">
        <f t="shared" ref="C499:AJ499" si="381">IF(  OR(  LEN(  C18  )&gt;LEN(  SUBSTITUTE(  C18,"06-22",""  )  ),LEN(  C18  )&gt;LEN(  SUBSTITUTE(  C18,"10-22",""  )  ),LEN(  C18  )&gt;LEN(  SUBSTITUTE(  C18,"14-22",""  )  ),LEN(  C18  )&gt;LEN(  SUBSTITUTE(  C18,"06-18",""  )  ),LEN(  C18  )&gt;LEN(  SUBSTITUTE(  C18,"10-18",""  )  ),LEN(  C18  )&gt;LEN(  SUBSTITUTE(  C18,"14-18",""  )  )  ),"免",""  )</f>
        <v/>
      </c>
      <c r="D499" s="66" t="str">
        <f t="shared" si="381"/>
        <v/>
      </c>
      <c r="E499" s="66" t="str">
        <f t="shared" si="381"/>
        <v/>
      </c>
      <c r="F499" s="66" t="str">
        <f t="shared" si="381"/>
        <v/>
      </c>
      <c r="G499" s="66" t="str">
        <f t="shared" si="381"/>
        <v/>
      </c>
      <c r="H499" s="66" t="str">
        <f t="shared" si="381"/>
        <v/>
      </c>
      <c r="I499" s="66" t="str">
        <f t="shared" si="381"/>
        <v/>
      </c>
      <c r="J499" s="66" t="str">
        <f t="shared" si="381"/>
        <v/>
      </c>
      <c r="K499" s="66" t="str">
        <f t="shared" si="381"/>
        <v/>
      </c>
      <c r="L499" s="66" t="str">
        <f t="shared" si="381"/>
        <v/>
      </c>
      <c r="M499" s="66" t="str">
        <f t="shared" si="381"/>
        <v/>
      </c>
      <c r="N499" s="66" t="str">
        <f t="shared" si="381"/>
        <v/>
      </c>
      <c r="O499" s="66" t="str">
        <f t="shared" si="381"/>
        <v/>
      </c>
      <c r="P499" s="66" t="str">
        <f t="shared" si="381"/>
        <v/>
      </c>
      <c r="Q499" s="66" t="str">
        <f t="shared" si="381"/>
        <v/>
      </c>
      <c r="R499" s="66" t="str">
        <f t="shared" si="381"/>
        <v/>
      </c>
      <c r="S499" s="66" t="str">
        <f t="shared" si="381"/>
        <v/>
      </c>
      <c r="T499" s="66" t="str">
        <f t="shared" si="381"/>
        <v/>
      </c>
      <c r="U499" s="66" t="str">
        <f t="shared" si="381"/>
        <v/>
      </c>
      <c r="V499" s="66" t="str">
        <f t="shared" si="381"/>
        <v/>
      </c>
      <c r="W499" s="66" t="str">
        <f t="shared" si="381"/>
        <v/>
      </c>
      <c r="X499" s="66" t="str">
        <f t="shared" si="381"/>
        <v/>
      </c>
      <c r="Y499" s="66" t="str">
        <f t="shared" si="381"/>
        <v/>
      </c>
      <c r="Z499" s="66" t="str">
        <f t="shared" si="381"/>
        <v/>
      </c>
      <c r="AA499" s="66" t="str">
        <f t="shared" si="381"/>
        <v/>
      </c>
      <c r="AB499" s="66" t="str">
        <f t="shared" si="381"/>
        <v/>
      </c>
      <c r="AC499" s="66" t="str">
        <f t="shared" si="381"/>
        <v/>
      </c>
      <c r="AD499" s="66" t="str">
        <f t="shared" si="381"/>
        <v/>
      </c>
      <c r="AE499" s="66" t="str">
        <f t="shared" si="381"/>
        <v/>
      </c>
      <c r="AF499" s="66" t="str">
        <f t="shared" si="381"/>
        <v/>
      </c>
      <c r="AG499" s="66" t="str">
        <f t="shared" si="381"/>
        <v/>
      </c>
      <c r="AH499" s="66" t="str">
        <f t="shared" si="381"/>
        <v/>
      </c>
      <c r="AI499" s="66" t="str">
        <f t="shared" si="381"/>
        <v/>
      </c>
      <c r="AJ499" s="66" t="str">
        <f t="shared" si="381"/>
        <v/>
      </c>
    </row>
    <row r="500" spans="1:36">
      <c r="A500" s="66">
        <f t="shared" ref="A500:B500" si="382">A460</f>
        <v>18</v>
      </c>
      <c r="B500" s="66" t="str">
        <f t="shared" si="382"/>
        <v>蔡政倫</v>
      </c>
      <c r="C500" s="66" t="str">
        <f t="shared" ref="C500:AJ500" si="383">IF(  OR(  LEN(  C19  )&gt;LEN(  SUBSTITUTE(  C19,"06-22",""  )  ),LEN(  C19  )&gt;LEN(  SUBSTITUTE(  C19,"10-22",""  )  ),LEN(  C19  )&gt;LEN(  SUBSTITUTE(  C19,"14-22",""  )  ),LEN(  C19  )&gt;LEN(  SUBSTITUTE(  C19,"06-18",""  )  ),LEN(  C19  )&gt;LEN(  SUBSTITUTE(  C19,"10-18",""  )  ),LEN(  C19  )&gt;LEN(  SUBSTITUTE(  C19,"14-18",""  )  )  ),"免",""  )</f>
        <v/>
      </c>
      <c r="D500" s="66" t="str">
        <f t="shared" si="383"/>
        <v/>
      </c>
      <c r="E500" s="66" t="str">
        <f t="shared" si="383"/>
        <v/>
      </c>
      <c r="F500" s="66" t="str">
        <f t="shared" si="383"/>
        <v/>
      </c>
      <c r="G500" s="66" t="str">
        <f t="shared" si="383"/>
        <v/>
      </c>
      <c r="H500" s="66" t="str">
        <f t="shared" si="383"/>
        <v/>
      </c>
      <c r="I500" s="66" t="str">
        <f t="shared" si="383"/>
        <v/>
      </c>
      <c r="J500" s="66" t="str">
        <f t="shared" si="383"/>
        <v/>
      </c>
      <c r="K500" s="66" t="str">
        <f t="shared" si="383"/>
        <v/>
      </c>
      <c r="L500" s="66" t="str">
        <f t="shared" si="383"/>
        <v/>
      </c>
      <c r="M500" s="66" t="str">
        <f t="shared" si="383"/>
        <v/>
      </c>
      <c r="N500" s="66" t="str">
        <f t="shared" si="383"/>
        <v/>
      </c>
      <c r="O500" s="66" t="str">
        <f t="shared" si="383"/>
        <v/>
      </c>
      <c r="P500" s="66" t="str">
        <f t="shared" si="383"/>
        <v/>
      </c>
      <c r="Q500" s="66" t="str">
        <f t="shared" si="383"/>
        <v/>
      </c>
      <c r="R500" s="66" t="str">
        <f t="shared" si="383"/>
        <v/>
      </c>
      <c r="S500" s="66" t="str">
        <f t="shared" si="383"/>
        <v/>
      </c>
      <c r="T500" s="66" t="str">
        <f t="shared" si="383"/>
        <v/>
      </c>
      <c r="U500" s="66" t="str">
        <f t="shared" si="383"/>
        <v/>
      </c>
      <c r="V500" s="66" t="str">
        <f t="shared" si="383"/>
        <v/>
      </c>
      <c r="W500" s="66" t="str">
        <f t="shared" si="383"/>
        <v/>
      </c>
      <c r="X500" s="66" t="str">
        <f t="shared" si="383"/>
        <v/>
      </c>
      <c r="Y500" s="66" t="str">
        <f t="shared" si="383"/>
        <v/>
      </c>
      <c r="Z500" s="66" t="str">
        <f t="shared" si="383"/>
        <v/>
      </c>
      <c r="AA500" s="66" t="str">
        <f t="shared" si="383"/>
        <v/>
      </c>
      <c r="AB500" s="66" t="str">
        <f t="shared" si="383"/>
        <v/>
      </c>
      <c r="AC500" s="66" t="str">
        <f t="shared" si="383"/>
        <v/>
      </c>
      <c r="AD500" s="66" t="str">
        <f t="shared" si="383"/>
        <v/>
      </c>
      <c r="AE500" s="66" t="str">
        <f t="shared" si="383"/>
        <v/>
      </c>
      <c r="AF500" s="66" t="str">
        <f t="shared" si="383"/>
        <v/>
      </c>
      <c r="AG500" s="66" t="str">
        <f t="shared" si="383"/>
        <v/>
      </c>
      <c r="AH500" s="66" t="str">
        <f t="shared" si="383"/>
        <v/>
      </c>
      <c r="AI500" s="66" t="str">
        <f t="shared" si="383"/>
        <v/>
      </c>
      <c r="AJ500" s="66" t="str">
        <f t="shared" si="383"/>
        <v/>
      </c>
    </row>
    <row r="501" spans="1:36">
      <c r="A501" s="66">
        <f t="shared" ref="A501:B501" si="384">A461</f>
        <v>19</v>
      </c>
      <c r="B501" s="66" t="str">
        <f t="shared" si="384"/>
        <v>蕭敬哲</v>
      </c>
      <c r="C501" s="66" t="str">
        <f t="shared" ref="C501:AJ501" si="385">IF(  OR(  LEN(  C20  )&gt;LEN(  SUBSTITUTE(  C20,"06-22",""  )  ),LEN(  C20  )&gt;LEN(  SUBSTITUTE(  C20,"10-22",""  )  ),LEN(  C20  )&gt;LEN(  SUBSTITUTE(  C20,"14-22",""  )  ),LEN(  C20  )&gt;LEN(  SUBSTITUTE(  C20,"06-18",""  )  ),LEN(  C20  )&gt;LEN(  SUBSTITUTE(  C20,"10-18",""  )  ),LEN(  C20  )&gt;LEN(  SUBSTITUTE(  C20,"14-18",""  )  )  ),"免",""  )</f>
        <v/>
      </c>
      <c r="D501" s="66" t="str">
        <f t="shared" si="385"/>
        <v/>
      </c>
      <c r="E501" s="66" t="str">
        <f t="shared" si="385"/>
        <v/>
      </c>
      <c r="F501" s="66" t="str">
        <f t="shared" si="385"/>
        <v/>
      </c>
      <c r="G501" s="66" t="str">
        <f t="shared" si="385"/>
        <v/>
      </c>
      <c r="H501" s="66" t="str">
        <f t="shared" si="385"/>
        <v/>
      </c>
      <c r="I501" s="66" t="str">
        <f t="shared" si="385"/>
        <v/>
      </c>
      <c r="J501" s="66" t="str">
        <f t="shared" si="385"/>
        <v/>
      </c>
      <c r="K501" s="66" t="str">
        <f t="shared" si="385"/>
        <v/>
      </c>
      <c r="L501" s="66" t="str">
        <f t="shared" si="385"/>
        <v/>
      </c>
      <c r="M501" s="66" t="str">
        <f t="shared" si="385"/>
        <v/>
      </c>
      <c r="N501" s="66" t="str">
        <f t="shared" si="385"/>
        <v/>
      </c>
      <c r="O501" s="66" t="str">
        <f t="shared" si="385"/>
        <v/>
      </c>
      <c r="P501" s="66" t="str">
        <f t="shared" si="385"/>
        <v/>
      </c>
      <c r="Q501" s="66" t="str">
        <f t="shared" si="385"/>
        <v/>
      </c>
      <c r="R501" s="66" t="str">
        <f t="shared" si="385"/>
        <v/>
      </c>
      <c r="S501" s="66" t="str">
        <f t="shared" si="385"/>
        <v/>
      </c>
      <c r="T501" s="66" t="str">
        <f t="shared" si="385"/>
        <v/>
      </c>
      <c r="U501" s="66" t="str">
        <f t="shared" si="385"/>
        <v/>
      </c>
      <c r="V501" s="66" t="str">
        <f t="shared" si="385"/>
        <v/>
      </c>
      <c r="W501" s="66" t="str">
        <f t="shared" si="385"/>
        <v/>
      </c>
      <c r="X501" s="66" t="str">
        <f t="shared" si="385"/>
        <v/>
      </c>
      <c r="Y501" s="66" t="str">
        <f t="shared" si="385"/>
        <v/>
      </c>
      <c r="Z501" s="66" t="str">
        <f t="shared" si="385"/>
        <v/>
      </c>
      <c r="AA501" s="66" t="str">
        <f t="shared" si="385"/>
        <v/>
      </c>
      <c r="AB501" s="66" t="str">
        <f t="shared" si="385"/>
        <v/>
      </c>
      <c r="AC501" s="66" t="str">
        <f t="shared" si="385"/>
        <v/>
      </c>
      <c r="AD501" s="66" t="str">
        <f t="shared" si="385"/>
        <v/>
      </c>
      <c r="AE501" s="66" t="str">
        <f t="shared" si="385"/>
        <v/>
      </c>
      <c r="AF501" s="66" t="str">
        <f t="shared" si="385"/>
        <v/>
      </c>
      <c r="AG501" s="66" t="str">
        <f t="shared" si="385"/>
        <v/>
      </c>
      <c r="AH501" s="66" t="str">
        <f t="shared" si="385"/>
        <v/>
      </c>
      <c r="AI501" s="66" t="str">
        <f t="shared" si="385"/>
        <v/>
      </c>
      <c r="AJ501" s="66" t="str">
        <f t="shared" si="385"/>
        <v/>
      </c>
    </row>
    <row r="502" spans="1:36">
      <c r="A502" s="66">
        <f t="shared" ref="A502:B502" si="386">A462</f>
        <v>20</v>
      </c>
      <c r="B502" s="66" t="str">
        <f t="shared" si="386"/>
        <v>楊鈞翔</v>
      </c>
      <c r="C502" s="66" t="str">
        <f t="shared" ref="C502:AJ502" si="387">IF(  OR(  LEN(  C21  )&gt;LEN(  SUBSTITUTE(  C21,"06-22",""  )  ),LEN(  C21  )&gt;LEN(  SUBSTITUTE(  C21,"10-22",""  )  ),LEN(  C21  )&gt;LEN(  SUBSTITUTE(  C21,"14-22",""  )  ),LEN(  C21  )&gt;LEN(  SUBSTITUTE(  C21,"06-18",""  )  ),LEN(  C21  )&gt;LEN(  SUBSTITUTE(  C21,"10-18",""  )  ),LEN(  C21  )&gt;LEN(  SUBSTITUTE(  C21,"14-18",""  )  )  ),"免",""  )</f>
        <v/>
      </c>
      <c r="D502" s="66" t="str">
        <f t="shared" si="387"/>
        <v/>
      </c>
      <c r="E502" s="66" t="str">
        <f t="shared" si="387"/>
        <v/>
      </c>
      <c r="F502" s="66" t="str">
        <f t="shared" si="387"/>
        <v/>
      </c>
      <c r="G502" s="66" t="str">
        <f t="shared" si="387"/>
        <v/>
      </c>
      <c r="H502" s="66" t="str">
        <f t="shared" si="387"/>
        <v/>
      </c>
      <c r="I502" s="66" t="str">
        <f t="shared" si="387"/>
        <v/>
      </c>
      <c r="J502" s="66" t="str">
        <f t="shared" si="387"/>
        <v/>
      </c>
      <c r="K502" s="66" t="str">
        <f t="shared" si="387"/>
        <v/>
      </c>
      <c r="L502" s="66" t="str">
        <f t="shared" si="387"/>
        <v/>
      </c>
      <c r="M502" s="66" t="str">
        <f t="shared" si="387"/>
        <v/>
      </c>
      <c r="N502" s="66" t="str">
        <f t="shared" si="387"/>
        <v/>
      </c>
      <c r="O502" s="66" t="str">
        <f t="shared" si="387"/>
        <v/>
      </c>
      <c r="P502" s="66" t="str">
        <f t="shared" si="387"/>
        <v/>
      </c>
      <c r="Q502" s="66" t="str">
        <f t="shared" si="387"/>
        <v/>
      </c>
      <c r="R502" s="66" t="str">
        <f t="shared" si="387"/>
        <v/>
      </c>
      <c r="S502" s="66" t="str">
        <f t="shared" si="387"/>
        <v/>
      </c>
      <c r="T502" s="66" t="str">
        <f t="shared" si="387"/>
        <v/>
      </c>
      <c r="U502" s="66" t="str">
        <f t="shared" si="387"/>
        <v/>
      </c>
      <c r="V502" s="66" t="str">
        <f t="shared" si="387"/>
        <v/>
      </c>
      <c r="W502" s="66" t="str">
        <f t="shared" si="387"/>
        <v>免</v>
      </c>
      <c r="X502" s="66" t="str">
        <f t="shared" si="387"/>
        <v/>
      </c>
      <c r="Y502" s="66" t="str">
        <f t="shared" si="387"/>
        <v/>
      </c>
      <c r="Z502" s="66" t="str">
        <f t="shared" si="387"/>
        <v/>
      </c>
      <c r="AA502" s="66" t="str">
        <f t="shared" si="387"/>
        <v/>
      </c>
      <c r="AB502" s="66" t="str">
        <f t="shared" si="387"/>
        <v/>
      </c>
      <c r="AC502" s="66" t="str">
        <f t="shared" si="387"/>
        <v/>
      </c>
      <c r="AD502" s="66" t="str">
        <f t="shared" si="387"/>
        <v/>
      </c>
      <c r="AE502" s="66" t="str">
        <f t="shared" si="387"/>
        <v/>
      </c>
      <c r="AF502" s="66" t="str">
        <f t="shared" si="387"/>
        <v/>
      </c>
      <c r="AG502" s="66" t="str">
        <f t="shared" si="387"/>
        <v/>
      </c>
      <c r="AH502" s="66" t="str">
        <f t="shared" si="387"/>
        <v/>
      </c>
      <c r="AI502" s="66" t="str">
        <f t="shared" si="387"/>
        <v/>
      </c>
      <c r="AJ502" s="66" t="str">
        <f t="shared" si="387"/>
        <v/>
      </c>
    </row>
    <row r="503" spans="1:36">
      <c r="A503" s="66">
        <f t="shared" ref="A503:B503" si="388">A463</f>
        <v>21</v>
      </c>
      <c r="B503" s="66" t="str">
        <f t="shared" si="388"/>
        <v>邱俊閎</v>
      </c>
      <c r="C503" s="66" t="str">
        <f t="shared" ref="C503:AJ503" si="389">IF(  OR(  LEN(  C22  )&gt;LEN(  SUBSTITUTE(  C22,"06-22",""  )  ),LEN(  C22  )&gt;LEN(  SUBSTITUTE(  C22,"10-22",""  )  ),LEN(  C22  )&gt;LEN(  SUBSTITUTE(  C22,"14-22",""  )  ),LEN(  C22  )&gt;LEN(  SUBSTITUTE(  C22,"06-18",""  )  ),LEN(  C22  )&gt;LEN(  SUBSTITUTE(  C22,"10-18",""  )  ),LEN(  C22  )&gt;LEN(  SUBSTITUTE(  C22,"14-18",""  )  )  ),"免",""  )</f>
        <v/>
      </c>
      <c r="D503" s="66" t="str">
        <f t="shared" si="389"/>
        <v/>
      </c>
      <c r="E503" s="66" t="str">
        <f t="shared" si="389"/>
        <v/>
      </c>
      <c r="F503" s="66" t="str">
        <f t="shared" si="389"/>
        <v/>
      </c>
      <c r="G503" s="66" t="str">
        <f t="shared" si="389"/>
        <v/>
      </c>
      <c r="H503" s="66" t="str">
        <f t="shared" si="389"/>
        <v/>
      </c>
      <c r="I503" s="66" t="str">
        <f t="shared" si="389"/>
        <v/>
      </c>
      <c r="J503" s="66" t="str">
        <f t="shared" si="389"/>
        <v/>
      </c>
      <c r="K503" s="66" t="str">
        <f t="shared" si="389"/>
        <v/>
      </c>
      <c r="L503" s="66" t="str">
        <f t="shared" si="389"/>
        <v/>
      </c>
      <c r="M503" s="66" t="str">
        <f t="shared" si="389"/>
        <v/>
      </c>
      <c r="N503" s="66" t="str">
        <f t="shared" si="389"/>
        <v/>
      </c>
      <c r="O503" s="66" t="str">
        <f t="shared" si="389"/>
        <v/>
      </c>
      <c r="P503" s="66" t="str">
        <f t="shared" si="389"/>
        <v/>
      </c>
      <c r="Q503" s="66" t="str">
        <f t="shared" si="389"/>
        <v/>
      </c>
      <c r="R503" s="66" t="str">
        <f t="shared" si="389"/>
        <v/>
      </c>
      <c r="S503" s="66" t="str">
        <f t="shared" si="389"/>
        <v/>
      </c>
      <c r="T503" s="66" t="str">
        <f t="shared" si="389"/>
        <v/>
      </c>
      <c r="U503" s="66" t="str">
        <f t="shared" si="389"/>
        <v/>
      </c>
      <c r="V503" s="66" t="str">
        <f t="shared" si="389"/>
        <v/>
      </c>
      <c r="W503" s="66" t="str">
        <f t="shared" si="389"/>
        <v/>
      </c>
      <c r="X503" s="66" t="str">
        <f t="shared" si="389"/>
        <v/>
      </c>
      <c r="Y503" s="66" t="str">
        <f t="shared" si="389"/>
        <v/>
      </c>
      <c r="Z503" s="66" t="str">
        <f t="shared" si="389"/>
        <v/>
      </c>
      <c r="AA503" s="66" t="str">
        <f t="shared" si="389"/>
        <v/>
      </c>
      <c r="AB503" s="66" t="str">
        <f t="shared" si="389"/>
        <v/>
      </c>
      <c r="AC503" s="66" t="str">
        <f t="shared" si="389"/>
        <v/>
      </c>
      <c r="AD503" s="66" t="str">
        <f t="shared" si="389"/>
        <v/>
      </c>
      <c r="AE503" s="66" t="str">
        <f t="shared" si="389"/>
        <v/>
      </c>
      <c r="AF503" s="66" t="str">
        <f t="shared" si="389"/>
        <v/>
      </c>
      <c r="AG503" s="66" t="str">
        <f t="shared" si="389"/>
        <v/>
      </c>
      <c r="AH503" s="66" t="str">
        <f t="shared" si="389"/>
        <v/>
      </c>
      <c r="AI503" s="66" t="str">
        <f t="shared" si="389"/>
        <v/>
      </c>
      <c r="AJ503" s="66" t="str">
        <f t="shared" si="389"/>
        <v/>
      </c>
    </row>
    <row r="504" spans="1:36">
      <c r="A504" s="66">
        <f t="shared" ref="A504:B504" si="390">A464</f>
        <v>22</v>
      </c>
      <c r="B504" s="66" t="str">
        <f t="shared" si="390"/>
        <v>陳奕欣</v>
      </c>
      <c r="C504" s="66" t="str">
        <f t="shared" ref="C504:AJ504" si="391">IF(  OR(  LEN(  C23  )&gt;LEN(  SUBSTITUTE(  C23,"06-22",""  )  ),LEN(  C23  )&gt;LEN(  SUBSTITUTE(  C23,"10-22",""  )  ),LEN(  C23  )&gt;LEN(  SUBSTITUTE(  C23,"14-22",""  )  ),LEN(  C23  )&gt;LEN(  SUBSTITUTE(  C23,"06-18",""  )  ),LEN(  C23  )&gt;LEN(  SUBSTITUTE(  C23,"10-18",""  )  ),LEN(  C23  )&gt;LEN(  SUBSTITUTE(  C23,"14-18",""  )  )  ),"免",""  )</f>
        <v/>
      </c>
      <c r="D504" s="66" t="str">
        <f t="shared" si="391"/>
        <v/>
      </c>
      <c r="E504" s="66" t="str">
        <f t="shared" si="391"/>
        <v/>
      </c>
      <c r="F504" s="66" t="str">
        <f t="shared" si="391"/>
        <v/>
      </c>
      <c r="G504" s="66" t="str">
        <f t="shared" si="391"/>
        <v/>
      </c>
      <c r="H504" s="66" t="str">
        <f t="shared" si="391"/>
        <v/>
      </c>
      <c r="I504" s="66" t="str">
        <f t="shared" si="391"/>
        <v/>
      </c>
      <c r="J504" s="66" t="str">
        <f t="shared" si="391"/>
        <v/>
      </c>
      <c r="K504" s="66" t="str">
        <f t="shared" si="391"/>
        <v/>
      </c>
      <c r="L504" s="66" t="str">
        <f t="shared" si="391"/>
        <v/>
      </c>
      <c r="M504" s="66" t="str">
        <f t="shared" si="391"/>
        <v/>
      </c>
      <c r="N504" s="66" t="str">
        <f t="shared" si="391"/>
        <v/>
      </c>
      <c r="O504" s="66" t="str">
        <f t="shared" si="391"/>
        <v/>
      </c>
      <c r="P504" s="66" t="str">
        <f t="shared" si="391"/>
        <v/>
      </c>
      <c r="Q504" s="66" t="str">
        <f t="shared" si="391"/>
        <v/>
      </c>
      <c r="R504" s="66" t="str">
        <f t="shared" si="391"/>
        <v>免</v>
      </c>
      <c r="S504" s="66" t="str">
        <f t="shared" si="391"/>
        <v/>
      </c>
      <c r="T504" s="66" t="str">
        <f t="shared" si="391"/>
        <v/>
      </c>
      <c r="U504" s="66" t="str">
        <f t="shared" si="391"/>
        <v/>
      </c>
      <c r="V504" s="66" t="str">
        <f t="shared" si="391"/>
        <v/>
      </c>
      <c r="W504" s="66" t="str">
        <f t="shared" si="391"/>
        <v>免</v>
      </c>
      <c r="X504" s="66" t="str">
        <f t="shared" si="391"/>
        <v/>
      </c>
      <c r="Y504" s="66" t="str">
        <f t="shared" si="391"/>
        <v/>
      </c>
      <c r="Z504" s="66" t="str">
        <f t="shared" si="391"/>
        <v/>
      </c>
      <c r="AA504" s="66" t="str">
        <f t="shared" si="391"/>
        <v/>
      </c>
      <c r="AB504" s="66" t="str">
        <f t="shared" si="391"/>
        <v/>
      </c>
      <c r="AC504" s="66" t="str">
        <f t="shared" si="391"/>
        <v/>
      </c>
      <c r="AD504" s="66" t="str">
        <f t="shared" si="391"/>
        <v/>
      </c>
      <c r="AE504" s="66" t="str">
        <f t="shared" si="391"/>
        <v/>
      </c>
      <c r="AF504" s="66" t="str">
        <f t="shared" si="391"/>
        <v/>
      </c>
      <c r="AG504" s="66" t="str">
        <f t="shared" si="391"/>
        <v/>
      </c>
      <c r="AH504" s="66" t="str">
        <f t="shared" si="391"/>
        <v/>
      </c>
      <c r="AI504" s="66" t="str">
        <f t="shared" si="391"/>
        <v/>
      </c>
      <c r="AJ504" s="66" t="str">
        <f t="shared" si="391"/>
        <v/>
      </c>
    </row>
    <row r="505" spans="1:36">
      <c r="A505" s="66">
        <f t="shared" ref="A505:B505" si="392">A465</f>
        <v>23</v>
      </c>
      <c r="B505" s="66" t="str">
        <f t="shared" si="392"/>
        <v>阮成山</v>
      </c>
      <c r="C505" s="66" t="str">
        <f t="shared" ref="C505:AJ505" si="393">IF(  OR(  LEN(  C24  )&gt;LEN(  SUBSTITUTE(  C24,"06-22",""  )  ),LEN(  C24  )&gt;LEN(  SUBSTITUTE(  C24,"10-22",""  )  ),LEN(  C24  )&gt;LEN(  SUBSTITUTE(  C24,"14-22",""  )  ),LEN(  C24  )&gt;LEN(  SUBSTITUTE(  C24,"06-18",""  )  ),LEN(  C24  )&gt;LEN(  SUBSTITUTE(  C24,"10-18",""  )  ),LEN(  C24  )&gt;LEN(  SUBSTITUTE(  C24,"14-18",""  )  )  ),"免",""  )</f>
        <v/>
      </c>
      <c r="D505" s="66" t="str">
        <f t="shared" si="393"/>
        <v/>
      </c>
      <c r="E505" s="66" t="str">
        <f t="shared" si="393"/>
        <v/>
      </c>
      <c r="F505" s="66" t="str">
        <f t="shared" si="393"/>
        <v/>
      </c>
      <c r="G505" s="66" t="str">
        <f t="shared" si="393"/>
        <v/>
      </c>
      <c r="H505" s="66" t="str">
        <f t="shared" si="393"/>
        <v/>
      </c>
      <c r="I505" s="66" t="str">
        <f t="shared" si="393"/>
        <v/>
      </c>
      <c r="J505" s="66" t="str">
        <f t="shared" si="393"/>
        <v/>
      </c>
      <c r="K505" s="66" t="str">
        <f t="shared" si="393"/>
        <v/>
      </c>
      <c r="L505" s="66" t="str">
        <f t="shared" si="393"/>
        <v/>
      </c>
      <c r="M505" s="66" t="str">
        <f t="shared" si="393"/>
        <v/>
      </c>
      <c r="N505" s="66" t="str">
        <f t="shared" si="393"/>
        <v/>
      </c>
      <c r="O505" s="66" t="str">
        <f t="shared" si="393"/>
        <v/>
      </c>
      <c r="P505" s="66" t="str">
        <f t="shared" si="393"/>
        <v/>
      </c>
      <c r="Q505" s="66" t="str">
        <f t="shared" si="393"/>
        <v/>
      </c>
      <c r="R505" s="66" t="str">
        <f t="shared" si="393"/>
        <v/>
      </c>
      <c r="S505" s="66" t="str">
        <f t="shared" si="393"/>
        <v/>
      </c>
      <c r="T505" s="66" t="str">
        <f t="shared" si="393"/>
        <v/>
      </c>
      <c r="U505" s="66" t="str">
        <f t="shared" si="393"/>
        <v/>
      </c>
      <c r="V505" s="66" t="str">
        <f t="shared" si="393"/>
        <v/>
      </c>
      <c r="W505" s="66" t="str">
        <f t="shared" si="393"/>
        <v/>
      </c>
      <c r="X505" s="66" t="str">
        <f t="shared" si="393"/>
        <v/>
      </c>
      <c r="Y505" s="66" t="str">
        <f t="shared" si="393"/>
        <v/>
      </c>
      <c r="Z505" s="66" t="str">
        <f t="shared" si="393"/>
        <v/>
      </c>
      <c r="AA505" s="66" t="str">
        <f t="shared" si="393"/>
        <v/>
      </c>
      <c r="AB505" s="66" t="str">
        <f t="shared" si="393"/>
        <v/>
      </c>
      <c r="AC505" s="66" t="str">
        <f t="shared" si="393"/>
        <v/>
      </c>
      <c r="AD505" s="66" t="str">
        <f t="shared" si="393"/>
        <v/>
      </c>
      <c r="AE505" s="66" t="str">
        <f t="shared" si="393"/>
        <v/>
      </c>
      <c r="AF505" s="66" t="str">
        <f t="shared" si="393"/>
        <v/>
      </c>
      <c r="AG505" s="66" t="str">
        <f t="shared" si="393"/>
        <v/>
      </c>
      <c r="AH505" s="66" t="str">
        <f t="shared" si="393"/>
        <v/>
      </c>
      <c r="AI505" s="66" t="str">
        <f t="shared" si="393"/>
        <v/>
      </c>
      <c r="AJ505" s="66" t="str">
        <f t="shared" si="393"/>
        <v/>
      </c>
    </row>
    <row r="506" spans="1:36">
      <c r="A506" s="66">
        <f t="shared" ref="A506:B506" si="394">A466</f>
        <v>24</v>
      </c>
      <c r="B506" s="66" t="str">
        <f t="shared" si="394"/>
        <v>黃品傑</v>
      </c>
      <c r="C506" s="66" t="str">
        <f t="shared" ref="C506:AJ506" si="395">IF(  OR(  LEN(  C25  )&gt;LEN(  SUBSTITUTE(  C25,"06-22",""  )  ),LEN(  C25  )&gt;LEN(  SUBSTITUTE(  C25,"10-22",""  )  ),LEN(  C25  )&gt;LEN(  SUBSTITUTE(  C25,"14-22",""  )  ),LEN(  C25  )&gt;LEN(  SUBSTITUTE(  C25,"06-18",""  )  ),LEN(  C25  )&gt;LEN(  SUBSTITUTE(  C25,"10-18",""  )  ),LEN(  C25  )&gt;LEN(  SUBSTITUTE(  C25,"14-18",""  )  )  ),"免",""  )</f>
        <v/>
      </c>
      <c r="D506" s="66" t="str">
        <f t="shared" si="395"/>
        <v/>
      </c>
      <c r="E506" s="66" t="str">
        <f t="shared" si="395"/>
        <v/>
      </c>
      <c r="F506" s="66" t="str">
        <f t="shared" si="395"/>
        <v/>
      </c>
      <c r="G506" s="66" t="str">
        <f t="shared" si="395"/>
        <v/>
      </c>
      <c r="H506" s="66" t="str">
        <f t="shared" si="395"/>
        <v/>
      </c>
      <c r="I506" s="66" t="str">
        <f t="shared" si="395"/>
        <v/>
      </c>
      <c r="J506" s="66" t="str">
        <f t="shared" si="395"/>
        <v/>
      </c>
      <c r="K506" s="66" t="str">
        <f t="shared" si="395"/>
        <v/>
      </c>
      <c r="L506" s="66" t="str">
        <f t="shared" si="395"/>
        <v/>
      </c>
      <c r="M506" s="66" t="str">
        <f t="shared" si="395"/>
        <v/>
      </c>
      <c r="N506" s="66" t="str">
        <f t="shared" si="395"/>
        <v/>
      </c>
      <c r="O506" s="66" t="str">
        <f t="shared" si="395"/>
        <v/>
      </c>
      <c r="P506" s="66" t="str">
        <f t="shared" si="395"/>
        <v/>
      </c>
      <c r="Q506" s="66" t="str">
        <f t="shared" si="395"/>
        <v/>
      </c>
      <c r="R506" s="66" t="str">
        <f t="shared" si="395"/>
        <v/>
      </c>
      <c r="S506" s="66" t="str">
        <f t="shared" si="395"/>
        <v/>
      </c>
      <c r="T506" s="66" t="str">
        <f t="shared" si="395"/>
        <v/>
      </c>
      <c r="U506" s="66" t="str">
        <f t="shared" si="395"/>
        <v/>
      </c>
      <c r="V506" s="66" t="str">
        <f t="shared" si="395"/>
        <v/>
      </c>
      <c r="W506" s="66" t="str">
        <f t="shared" si="395"/>
        <v/>
      </c>
      <c r="X506" s="66" t="str">
        <f t="shared" si="395"/>
        <v/>
      </c>
      <c r="Y506" s="66" t="str">
        <f t="shared" si="395"/>
        <v/>
      </c>
      <c r="Z506" s="66" t="str">
        <f t="shared" si="395"/>
        <v/>
      </c>
      <c r="AA506" s="66" t="str">
        <f t="shared" si="395"/>
        <v/>
      </c>
      <c r="AB506" s="66" t="str">
        <f t="shared" si="395"/>
        <v/>
      </c>
      <c r="AC506" s="66" t="str">
        <f t="shared" si="395"/>
        <v/>
      </c>
      <c r="AD506" s="66" t="str">
        <f t="shared" si="395"/>
        <v/>
      </c>
      <c r="AE506" s="66" t="str">
        <f t="shared" si="395"/>
        <v/>
      </c>
      <c r="AF506" s="66" t="str">
        <f t="shared" si="395"/>
        <v/>
      </c>
      <c r="AG506" s="66" t="str">
        <f t="shared" si="395"/>
        <v/>
      </c>
      <c r="AH506" s="66" t="str">
        <f t="shared" si="395"/>
        <v/>
      </c>
      <c r="AI506" s="66" t="str">
        <f t="shared" si="395"/>
        <v/>
      </c>
      <c r="AJ506" s="66" t="str">
        <f t="shared" si="395"/>
        <v/>
      </c>
    </row>
    <row r="507" spans="1:36">
      <c r="A507" s="66">
        <f t="shared" ref="A507:B507" si="396">A467</f>
        <v>25</v>
      </c>
      <c r="B507" s="66" t="str">
        <f t="shared" si="396"/>
        <v>唐正瑋</v>
      </c>
      <c r="C507" s="66" t="str">
        <f t="shared" ref="C507:AJ507" si="397">IF(  OR(  LEN(  C26  )&gt;LEN(  SUBSTITUTE(  C26,"06-22",""  )  ),LEN(  C26  )&gt;LEN(  SUBSTITUTE(  C26,"10-22",""  )  ),LEN(  C26  )&gt;LEN(  SUBSTITUTE(  C26,"14-22",""  )  ),LEN(  C26  )&gt;LEN(  SUBSTITUTE(  C26,"06-18",""  )  ),LEN(  C26  )&gt;LEN(  SUBSTITUTE(  C26,"10-18",""  )  ),LEN(  C26  )&gt;LEN(  SUBSTITUTE(  C26,"14-18",""  )  )  ),"免",""  )</f>
        <v/>
      </c>
      <c r="D507" s="66" t="str">
        <f t="shared" si="397"/>
        <v/>
      </c>
      <c r="E507" s="66" t="str">
        <f t="shared" si="397"/>
        <v/>
      </c>
      <c r="F507" s="66" t="str">
        <f t="shared" si="397"/>
        <v/>
      </c>
      <c r="G507" s="66" t="str">
        <f t="shared" si="397"/>
        <v/>
      </c>
      <c r="H507" s="66" t="str">
        <f t="shared" si="397"/>
        <v/>
      </c>
      <c r="I507" s="66" t="str">
        <f t="shared" si="397"/>
        <v/>
      </c>
      <c r="J507" s="66" t="str">
        <f t="shared" si="397"/>
        <v/>
      </c>
      <c r="K507" s="66" t="str">
        <f t="shared" si="397"/>
        <v/>
      </c>
      <c r="L507" s="66" t="str">
        <f t="shared" si="397"/>
        <v/>
      </c>
      <c r="M507" s="66" t="str">
        <f t="shared" si="397"/>
        <v/>
      </c>
      <c r="N507" s="66" t="str">
        <f t="shared" si="397"/>
        <v/>
      </c>
      <c r="O507" s="66" t="str">
        <f t="shared" si="397"/>
        <v/>
      </c>
      <c r="P507" s="66" t="str">
        <f t="shared" si="397"/>
        <v/>
      </c>
      <c r="Q507" s="66" t="str">
        <f t="shared" si="397"/>
        <v/>
      </c>
      <c r="R507" s="66" t="str">
        <f t="shared" si="397"/>
        <v/>
      </c>
      <c r="S507" s="66" t="str">
        <f t="shared" si="397"/>
        <v/>
      </c>
      <c r="T507" s="66" t="str">
        <f t="shared" si="397"/>
        <v/>
      </c>
      <c r="U507" s="66" t="str">
        <f t="shared" si="397"/>
        <v/>
      </c>
      <c r="V507" s="66" t="str">
        <f t="shared" si="397"/>
        <v/>
      </c>
      <c r="W507" s="66" t="str">
        <f t="shared" si="397"/>
        <v/>
      </c>
      <c r="X507" s="66" t="str">
        <f t="shared" si="397"/>
        <v/>
      </c>
      <c r="Y507" s="66" t="str">
        <f t="shared" si="397"/>
        <v/>
      </c>
      <c r="Z507" s="66" t="str">
        <f t="shared" si="397"/>
        <v/>
      </c>
      <c r="AA507" s="66" t="str">
        <f t="shared" si="397"/>
        <v/>
      </c>
      <c r="AB507" s="66" t="str">
        <f t="shared" si="397"/>
        <v/>
      </c>
      <c r="AC507" s="66" t="str">
        <f t="shared" si="397"/>
        <v/>
      </c>
      <c r="AD507" s="66" t="str">
        <f t="shared" si="397"/>
        <v/>
      </c>
      <c r="AE507" s="66" t="str">
        <f t="shared" si="397"/>
        <v/>
      </c>
      <c r="AF507" s="66" t="str">
        <f t="shared" si="397"/>
        <v/>
      </c>
      <c r="AG507" s="66" t="str">
        <f t="shared" si="397"/>
        <v/>
      </c>
      <c r="AH507" s="66" t="str">
        <f t="shared" si="397"/>
        <v/>
      </c>
      <c r="AI507" s="66" t="str">
        <f t="shared" si="397"/>
        <v/>
      </c>
      <c r="AJ507" s="66" t="str">
        <f t="shared" si="397"/>
        <v/>
      </c>
    </row>
    <row r="508" spans="1:36">
      <c r="A508" s="66">
        <f t="shared" ref="A508:B508" si="398">A468</f>
        <v>26</v>
      </c>
      <c r="B508" s="66" t="str">
        <f t="shared" si="398"/>
        <v>曾慶鈞</v>
      </c>
      <c r="C508" s="66" t="str">
        <f t="shared" ref="C508:AJ508" si="399">IF(  OR(  LEN(  C27  )&gt;LEN(  SUBSTITUTE(  C27,"06-22",""  )  ),LEN(  C27  )&gt;LEN(  SUBSTITUTE(  C27,"10-22",""  )  ),LEN(  C27  )&gt;LEN(  SUBSTITUTE(  C27,"14-22",""  )  ),LEN(  C27  )&gt;LEN(  SUBSTITUTE(  C27,"06-18",""  )  ),LEN(  C27  )&gt;LEN(  SUBSTITUTE(  C27,"10-18",""  )  ),LEN(  C27  )&gt;LEN(  SUBSTITUTE(  C27,"14-18",""  )  )  ),"免",""  )</f>
        <v/>
      </c>
      <c r="D508" s="66" t="str">
        <f t="shared" si="399"/>
        <v/>
      </c>
      <c r="E508" s="66" t="str">
        <f t="shared" si="399"/>
        <v/>
      </c>
      <c r="F508" s="66" t="str">
        <f t="shared" si="399"/>
        <v/>
      </c>
      <c r="G508" s="66" t="str">
        <f t="shared" si="399"/>
        <v/>
      </c>
      <c r="H508" s="66" t="str">
        <f t="shared" si="399"/>
        <v/>
      </c>
      <c r="I508" s="66" t="str">
        <f t="shared" si="399"/>
        <v/>
      </c>
      <c r="J508" s="66" t="str">
        <f t="shared" si="399"/>
        <v/>
      </c>
      <c r="K508" s="66" t="str">
        <f t="shared" si="399"/>
        <v/>
      </c>
      <c r="L508" s="66" t="str">
        <f t="shared" si="399"/>
        <v/>
      </c>
      <c r="M508" s="66" t="str">
        <f t="shared" si="399"/>
        <v/>
      </c>
      <c r="N508" s="66" t="str">
        <f t="shared" si="399"/>
        <v/>
      </c>
      <c r="O508" s="66" t="str">
        <f t="shared" si="399"/>
        <v/>
      </c>
      <c r="P508" s="66" t="str">
        <f t="shared" si="399"/>
        <v/>
      </c>
      <c r="Q508" s="66" t="str">
        <f t="shared" si="399"/>
        <v/>
      </c>
      <c r="R508" s="66" t="str">
        <f t="shared" si="399"/>
        <v/>
      </c>
      <c r="S508" s="66" t="str">
        <f t="shared" si="399"/>
        <v/>
      </c>
      <c r="T508" s="66" t="str">
        <f t="shared" si="399"/>
        <v/>
      </c>
      <c r="U508" s="66" t="str">
        <f t="shared" si="399"/>
        <v/>
      </c>
      <c r="V508" s="66" t="str">
        <f t="shared" si="399"/>
        <v/>
      </c>
      <c r="W508" s="66" t="str">
        <f t="shared" si="399"/>
        <v/>
      </c>
      <c r="X508" s="66" t="str">
        <f t="shared" si="399"/>
        <v/>
      </c>
      <c r="Y508" s="66" t="str">
        <f t="shared" si="399"/>
        <v/>
      </c>
      <c r="Z508" s="66" t="str">
        <f t="shared" si="399"/>
        <v/>
      </c>
      <c r="AA508" s="66" t="str">
        <f t="shared" si="399"/>
        <v/>
      </c>
      <c r="AB508" s="66" t="str">
        <f t="shared" si="399"/>
        <v/>
      </c>
      <c r="AC508" s="66" t="str">
        <f t="shared" si="399"/>
        <v/>
      </c>
      <c r="AD508" s="66" t="str">
        <f t="shared" si="399"/>
        <v/>
      </c>
      <c r="AE508" s="66" t="str">
        <f t="shared" si="399"/>
        <v/>
      </c>
      <c r="AF508" s="66" t="str">
        <f t="shared" si="399"/>
        <v/>
      </c>
      <c r="AG508" s="66" t="str">
        <f t="shared" si="399"/>
        <v/>
      </c>
      <c r="AH508" s="66" t="str">
        <f t="shared" si="399"/>
        <v/>
      </c>
      <c r="AI508" s="66" t="str">
        <f t="shared" si="399"/>
        <v/>
      </c>
      <c r="AJ508" s="66" t="str">
        <f t="shared" si="399"/>
        <v/>
      </c>
    </row>
    <row r="509" spans="1:36">
      <c r="A509" s="66">
        <f t="shared" ref="A509:B509" si="400">A469</f>
        <v>27</v>
      </c>
      <c r="B509" s="66" t="str">
        <f t="shared" si="400"/>
        <v>游瀚翔</v>
      </c>
      <c r="C509" s="66" t="str">
        <f t="shared" ref="C509:AJ509" si="401">IF(  OR(  LEN(  C28  )&gt;LEN(  SUBSTITUTE(  C28,"06-22",""  )  ),LEN(  C28  )&gt;LEN(  SUBSTITUTE(  C28,"10-22",""  )  ),LEN(  C28  )&gt;LEN(  SUBSTITUTE(  C28,"14-22",""  )  ),LEN(  C28  )&gt;LEN(  SUBSTITUTE(  C28,"06-18",""  )  ),LEN(  C28  )&gt;LEN(  SUBSTITUTE(  C28,"10-18",""  )  ),LEN(  C28  )&gt;LEN(  SUBSTITUTE(  C28,"14-18",""  )  )  ),"免",""  )</f>
        <v/>
      </c>
      <c r="D509" s="66" t="str">
        <f t="shared" si="401"/>
        <v/>
      </c>
      <c r="E509" s="66" t="str">
        <f t="shared" si="401"/>
        <v/>
      </c>
      <c r="F509" s="66" t="str">
        <f t="shared" si="401"/>
        <v/>
      </c>
      <c r="G509" s="66" t="str">
        <f t="shared" si="401"/>
        <v/>
      </c>
      <c r="H509" s="66" t="str">
        <f t="shared" si="401"/>
        <v/>
      </c>
      <c r="I509" s="66" t="str">
        <f t="shared" si="401"/>
        <v/>
      </c>
      <c r="J509" s="66" t="str">
        <f t="shared" si="401"/>
        <v/>
      </c>
      <c r="K509" s="66" t="str">
        <f t="shared" si="401"/>
        <v/>
      </c>
      <c r="L509" s="66" t="str">
        <f t="shared" si="401"/>
        <v/>
      </c>
      <c r="M509" s="66" t="str">
        <f t="shared" si="401"/>
        <v/>
      </c>
      <c r="N509" s="66" t="str">
        <f t="shared" si="401"/>
        <v/>
      </c>
      <c r="O509" s="66" t="str">
        <f t="shared" si="401"/>
        <v/>
      </c>
      <c r="P509" s="66" t="str">
        <f t="shared" si="401"/>
        <v/>
      </c>
      <c r="Q509" s="66" t="str">
        <f t="shared" si="401"/>
        <v/>
      </c>
      <c r="R509" s="66" t="str">
        <f t="shared" si="401"/>
        <v/>
      </c>
      <c r="S509" s="66" t="str">
        <f t="shared" si="401"/>
        <v/>
      </c>
      <c r="T509" s="66" t="str">
        <f t="shared" si="401"/>
        <v/>
      </c>
      <c r="U509" s="66" t="str">
        <f t="shared" si="401"/>
        <v/>
      </c>
      <c r="V509" s="66" t="str">
        <f t="shared" si="401"/>
        <v/>
      </c>
      <c r="W509" s="66" t="str">
        <f t="shared" si="401"/>
        <v/>
      </c>
      <c r="X509" s="66" t="str">
        <f t="shared" si="401"/>
        <v/>
      </c>
      <c r="Y509" s="66" t="str">
        <f t="shared" si="401"/>
        <v/>
      </c>
      <c r="Z509" s="66" t="str">
        <f t="shared" si="401"/>
        <v/>
      </c>
      <c r="AA509" s="66" t="str">
        <f t="shared" si="401"/>
        <v/>
      </c>
      <c r="AB509" s="66" t="str">
        <f t="shared" si="401"/>
        <v/>
      </c>
      <c r="AC509" s="66" t="str">
        <f t="shared" si="401"/>
        <v/>
      </c>
      <c r="AD509" s="66" t="str">
        <f t="shared" si="401"/>
        <v/>
      </c>
      <c r="AE509" s="66" t="str">
        <f t="shared" si="401"/>
        <v/>
      </c>
      <c r="AF509" s="66" t="str">
        <f t="shared" si="401"/>
        <v/>
      </c>
      <c r="AG509" s="66" t="str">
        <f t="shared" si="401"/>
        <v/>
      </c>
      <c r="AH509" s="66" t="str">
        <f t="shared" si="401"/>
        <v/>
      </c>
      <c r="AI509" s="66" t="str">
        <f t="shared" si="401"/>
        <v/>
      </c>
      <c r="AJ509" s="66" t="str">
        <f t="shared" si="401"/>
        <v/>
      </c>
    </row>
    <row r="510" spans="1:36">
      <c r="A510" s="66">
        <f t="shared" ref="A510:B510" si="402">A470</f>
        <v>28</v>
      </c>
      <c r="B510" s="66" t="str">
        <f t="shared" si="402"/>
        <v>高仲廷</v>
      </c>
      <c r="C510" s="66" t="str">
        <f t="shared" ref="C510:AJ510" si="403">IF(  OR(  LEN(  C29  )&gt;LEN(  SUBSTITUTE(  C29,"06-22",""  )  ),LEN(  C29  )&gt;LEN(  SUBSTITUTE(  C29,"10-22",""  )  ),LEN(  C29  )&gt;LEN(  SUBSTITUTE(  C29,"14-22",""  )  ),LEN(  C29  )&gt;LEN(  SUBSTITUTE(  C29,"06-18",""  )  ),LEN(  C29  )&gt;LEN(  SUBSTITUTE(  C29,"10-18",""  )  ),LEN(  C29  )&gt;LEN(  SUBSTITUTE(  C29,"14-18",""  )  )  ),"免",""  )</f>
        <v/>
      </c>
      <c r="D510" s="66" t="str">
        <f t="shared" si="403"/>
        <v/>
      </c>
      <c r="E510" s="66" t="str">
        <f t="shared" si="403"/>
        <v/>
      </c>
      <c r="F510" s="66" t="str">
        <f t="shared" si="403"/>
        <v/>
      </c>
      <c r="G510" s="66" t="str">
        <f t="shared" si="403"/>
        <v/>
      </c>
      <c r="H510" s="66" t="str">
        <f t="shared" si="403"/>
        <v/>
      </c>
      <c r="I510" s="66" t="str">
        <f t="shared" si="403"/>
        <v/>
      </c>
      <c r="J510" s="66" t="str">
        <f t="shared" si="403"/>
        <v/>
      </c>
      <c r="K510" s="66" t="str">
        <f t="shared" si="403"/>
        <v/>
      </c>
      <c r="L510" s="66" t="str">
        <f t="shared" si="403"/>
        <v/>
      </c>
      <c r="M510" s="66" t="str">
        <f t="shared" si="403"/>
        <v/>
      </c>
      <c r="N510" s="66" t="str">
        <f t="shared" si="403"/>
        <v/>
      </c>
      <c r="O510" s="66" t="str">
        <f t="shared" si="403"/>
        <v/>
      </c>
      <c r="P510" s="66" t="str">
        <f t="shared" si="403"/>
        <v/>
      </c>
      <c r="Q510" s="66" t="str">
        <f t="shared" si="403"/>
        <v/>
      </c>
      <c r="R510" s="66" t="str">
        <f t="shared" si="403"/>
        <v/>
      </c>
      <c r="S510" s="66" t="str">
        <f t="shared" si="403"/>
        <v/>
      </c>
      <c r="T510" s="66" t="str">
        <f t="shared" si="403"/>
        <v/>
      </c>
      <c r="U510" s="66" t="str">
        <f t="shared" si="403"/>
        <v/>
      </c>
      <c r="V510" s="66" t="str">
        <f t="shared" si="403"/>
        <v/>
      </c>
      <c r="W510" s="66" t="str">
        <f t="shared" si="403"/>
        <v>免</v>
      </c>
      <c r="X510" s="66" t="str">
        <f t="shared" si="403"/>
        <v>免</v>
      </c>
      <c r="Y510" s="66" t="str">
        <f t="shared" si="403"/>
        <v/>
      </c>
      <c r="Z510" s="66" t="str">
        <f t="shared" si="403"/>
        <v/>
      </c>
      <c r="AA510" s="66" t="str">
        <f t="shared" si="403"/>
        <v/>
      </c>
      <c r="AB510" s="66" t="str">
        <f t="shared" si="403"/>
        <v/>
      </c>
      <c r="AC510" s="66" t="str">
        <f t="shared" si="403"/>
        <v/>
      </c>
      <c r="AD510" s="66" t="str">
        <f t="shared" si="403"/>
        <v/>
      </c>
      <c r="AE510" s="66" t="str">
        <f t="shared" si="403"/>
        <v/>
      </c>
      <c r="AF510" s="66" t="str">
        <f t="shared" si="403"/>
        <v/>
      </c>
      <c r="AG510" s="66" t="str">
        <f t="shared" si="403"/>
        <v/>
      </c>
      <c r="AH510" s="66" t="str">
        <f t="shared" si="403"/>
        <v/>
      </c>
      <c r="AI510" s="66" t="str">
        <f t="shared" si="403"/>
        <v/>
      </c>
      <c r="AJ510" s="66" t="str">
        <f t="shared" si="403"/>
        <v/>
      </c>
    </row>
    <row r="511" spans="1:36">
      <c r="A511" s="66">
        <f t="shared" ref="A511:B511" si="404">A471</f>
        <v>29</v>
      </c>
      <c r="B511" s="66" t="str">
        <f t="shared" si="404"/>
        <v>陳羲</v>
      </c>
      <c r="C511" s="66" t="str">
        <f t="shared" ref="C511:AJ511" si="405">IF(  OR(  LEN(  C30  )&gt;LEN(  SUBSTITUTE(  C30,"06-22",""  )  ),LEN(  C30  )&gt;LEN(  SUBSTITUTE(  C30,"10-22",""  )  ),LEN(  C30  )&gt;LEN(  SUBSTITUTE(  C30,"14-22",""  )  ),LEN(  C30  )&gt;LEN(  SUBSTITUTE(  C30,"06-18",""  )  ),LEN(  C30  )&gt;LEN(  SUBSTITUTE(  C30,"10-18",""  )  ),LEN(  C30  )&gt;LEN(  SUBSTITUTE(  C30,"14-18",""  )  )  ),"免",""  )</f>
        <v/>
      </c>
      <c r="D511" s="66" t="str">
        <f t="shared" si="405"/>
        <v/>
      </c>
      <c r="E511" s="66" t="str">
        <f t="shared" si="405"/>
        <v/>
      </c>
      <c r="F511" s="66" t="str">
        <f t="shared" si="405"/>
        <v/>
      </c>
      <c r="G511" s="66" t="str">
        <f t="shared" si="405"/>
        <v/>
      </c>
      <c r="H511" s="66" t="str">
        <f t="shared" si="405"/>
        <v/>
      </c>
      <c r="I511" s="66" t="str">
        <f t="shared" si="405"/>
        <v/>
      </c>
      <c r="J511" s="66" t="str">
        <f t="shared" si="405"/>
        <v/>
      </c>
      <c r="K511" s="66" t="str">
        <f t="shared" si="405"/>
        <v/>
      </c>
      <c r="L511" s="66" t="str">
        <f t="shared" si="405"/>
        <v/>
      </c>
      <c r="M511" s="66" t="str">
        <f t="shared" si="405"/>
        <v/>
      </c>
      <c r="N511" s="66" t="str">
        <f t="shared" si="405"/>
        <v/>
      </c>
      <c r="O511" s="66" t="str">
        <f t="shared" si="405"/>
        <v/>
      </c>
      <c r="P511" s="66" t="str">
        <f t="shared" si="405"/>
        <v/>
      </c>
      <c r="Q511" s="66" t="str">
        <f t="shared" si="405"/>
        <v/>
      </c>
      <c r="R511" s="66" t="str">
        <f t="shared" si="405"/>
        <v/>
      </c>
      <c r="S511" s="66" t="str">
        <f t="shared" si="405"/>
        <v/>
      </c>
      <c r="T511" s="66" t="str">
        <f t="shared" si="405"/>
        <v/>
      </c>
      <c r="U511" s="66" t="str">
        <f t="shared" si="405"/>
        <v/>
      </c>
      <c r="V511" s="66" t="str">
        <f t="shared" si="405"/>
        <v/>
      </c>
      <c r="W511" s="66" t="str">
        <f t="shared" si="405"/>
        <v/>
      </c>
      <c r="X511" s="66" t="str">
        <f t="shared" si="405"/>
        <v/>
      </c>
      <c r="Y511" s="66" t="str">
        <f t="shared" si="405"/>
        <v/>
      </c>
      <c r="Z511" s="66" t="str">
        <f t="shared" si="405"/>
        <v/>
      </c>
      <c r="AA511" s="66" t="str">
        <f t="shared" si="405"/>
        <v/>
      </c>
      <c r="AB511" s="66" t="str">
        <f t="shared" si="405"/>
        <v/>
      </c>
      <c r="AC511" s="66" t="str">
        <f t="shared" si="405"/>
        <v/>
      </c>
      <c r="AD511" s="66" t="str">
        <f t="shared" si="405"/>
        <v/>
      </c>
      <c r="AE511" s="66" t="str">
        <f t="shared" si="405"/>
        <v/>
      </c>
      <c r="AF511" s="66" t="str">
        <f t="shared" si="405"/>
        <v/>
      </c>
      <c r="AG511" s="66" t="str">
        <f t="shared" si="405"/>
        <v/>
      </c>
      <c r="AH511" s="66" t="str">
        <f t="shared" si="405"/>
        <v/>
      </c>
      <c r="AI511" s="66" t="str">
        <f t="shared" si="405"/>
        <v/>
      </c>
      <c r="AJ511" s="66" t="str">
        <f t="shared" si="405"/>
        <v/>
      </c>
    </row>
    <row r="512" spans="1:36">
      <c r="A512" s="66">
        <f t="shared" ref="A512:B512" si="406">A472</f>
        <v>30</v>
      </c>
      <c r="B512" s="66" t="str">
        <f t="shared" si="406"/>
        <v>謝昕融</v>
      </c>
      <c r="C512" s="66" t="str">
        <f t="shared" ref="C512:AJ512" si="407">IF(  OR(  LEN(  C31  )&gt;LEN(  SUBSTITUTE(  C31,"06-22",""  )  ),LEN(  C31  )&gt;LEN(  SUBSTITUTE(  C31,"10-22",""  )  ),LEN(  C31  )&gt;LEN(  SUBSTITUTE(  C31,"14-22",""  )  ),LEN(  C31  )&gt;LEN(  SUBSTITUTE(  C31,"06-18",""  )  ),LEN(  C31  )&gt;LEN(  SUBSTITUTE(  C31,"10-18",""  )  ),LEN(  C31  )&gt;LEN(  SUBSTITUTE(  C31,"14-18",""  )  )  ),"免",""  )</f>
        <v/>
      </c>
      <c r="D512" s="66" t="str">
        <f t="shared" si="407"/>
        <v/>
      </c>
      <c r="E512" s="66" t="str">
        <f t="shared" si="407"/>
        <v/>
      </c>
      <c r="F512" s="66" t="str">
        <f t="shared" si="407"/>
        <v/>
      </c>
      <c r="G512" s="66" t="str">
        <f t="shared" si="407"/>
        <v/>
      </c>
      <c r="H512" s="66" t="str">
        <f t="shared" si="407"/>
        <v/>
      </c>
      <c r="I512" s="66" t="str">
        <f t="shared" si="407"/>
        <v/>
      </c>
      <c r="J512" s="66" t="str">
        <f t="shared" si="407"/>
        <v/>
      </c>
      <c r="K512" s="66" t="str">
        <f t="shared" si="407"/>
        <v/>
      </c>
      <c r="L512" s="66" t="str">
        <f t="shared" si="407"/>
        <v/>
      </c>
      <c r="M512" s="66" t="str">
        <f t="shared" si="407"/>
        <v/>
      </c>
      <c r="N512" s="66" t="str">
        <f t="shared" si="407"/>
        <v/>
      </c>
      <c r="O512" s="66" t="str">
        <f t="shared" si="407"/>
        <v/>
      </c>
      <c r="P512" s="66" t="str">
        <f t="shared" si="407"/>
        <v/>
      </c>
      <c r="Q512" s="66" t="str">
        <f t="shared" si="407"/>
        <v/>
      </c>
      <c r="R512" s="66" t="str">
        <f t="shared" si="407"/>
        <v/>
      </c>
      <c r="S512" s="66" t="str">
        <f t="shared" si="407"/>
        <v/>
      </c>
      <c r="T512" s="66" t="str">
        <f t="shared" si="407"/>
        <v/>
      </c>
      <c r="U512" s="66" t="str">
        <f t="shared" si="407"/>
        <v/>
      </c>
      <c r="V512" s="66" t="str">
        <f t="shared" si="407"/>
        <v/>
      </c>
      <c r="W512" s="66" t="str">
        <f t="shared" si="407"/>
        <v/>
      </c>
      <c r="X512" s="66" t="str">
        <f t="shared" si="407"/>
        <v/>
      </c>
      <c r="Y512" s="66" t="str">
        <f t="shared" si="407"/>
        <v/>
      </c>
      <c r="Z512" s="66" t="str">
        <f t="shared" si="407"/>
        <v/>
      </c>
      <c r="AA512" s="66" t="str">
        <f t="shared" si="407"/>
        <v/>
      </c>
      <c r="AB512" s="66" t="str">
        <f t="shared" si="407"/>
        <v/>
      </c>
      <c r="AC512" s="66" t="str">
        <f t="shared" si="407"/>
        <v/>
      </c>
      <c r="AD512" s="66" t="str">
        <f t="shared" si="407"/>
        <v/>
      </c>
      <c r="AE512" s="66" t="str">
        <f t="shared" si="407"/>
        <v/>
      </c>
      <c r="AF512" s="66" t="str">
        <f t="shared" si="407"/>
        <v/>
      </c>
      <c r="AG512" s="66" t="str">
        <f t="shared" si="407"/>
        <v/>
      </c>
      <c r="AH512" s="66" t="str">
        <f t="shared" si="407"/>
        <v/>
      </c>
      <c r="AI512" s="66" t="str">
        <f t="shared" si="407"/>
        <v/>
      </c>
      <c r="AJ512" s="66" t="str">
        <f t="shared" si="407"/>
        <v/>
      </c>
    </row>
    <row r="513" spans="1:55">
      <c r="A513" s="66">
        <f t="shared" ref="A513:B513" si="408">A473</f>
        <v>31</v>
      </c>
      <c r="B513" s="66" t="str">
        <f t="shared" si="408"/>
        <v>許峰銘</v>
      </c>
      <c r="C513" s="66" t="str">
        <f t="shared" ref="C513:AJ513" si="409">IF(  OR(  LEN(  C32  )&gt;LEN(  SUBSTITUTE(  C32,"06-22",""  )  ),LEN(  C32  )&gt;LEN(  SUBSTITUTE(  C32,"10-22",""  )  ),LEN(  C32  )&gt;LEN(  SUBSTITUTE(  C32,"14-22",""  )  ),LEN(  C32  )&gt;LEN(  SUBSTITUTE(  C32,"06-18",""  )  ),LEN(  C32  )&gt;LEN(  SUBSTITUTE(  C32,"10-18",""  )  ),LEN(  C32  )&gt;LEN(  SUBSTITUTE(  C32,"14-18",""  )  )  ),"免",""  )</f>
        <v/>
      </c>
      <c r="D513" s="66" t="str">
        <f t="shared" si="409"/>
        <v/>
      </c>
      <c r="E513" s="66" t="str">
        <f t="shared" si="409"/>
        <v>免</v>
      </c>
      <c r="F513" s="66" t="str">
        <f t="shared" si="409"/>
        <v/>
      </c>
      <c r="G513" s="66" t="str">
        <f t="shared" si="409"/>
        <v/>
      </c>
      <c r="H513" s="66" t="str">
        <f t="shared" si="409"/>
        <v/>
      </c>
      <c r="I513" s="66" t="str">
        <f t="shared" si="409"/>
        <v/>
      </c>
      <c r="J513" s="66" t="str">
        <f t="shared" si="409"/>
        <v/>
      </c>
      <c r="K513" s="66" t="str">
        <f t="shared" si="409"/>
        <v/>
      </c>
      <c r="L513" s="66" t="str">
        <f t="shared" si="409"/>
        <v/>
      </c>
      <c r="M513" s="66" t="str">
        <f t="shared" si="409"/>
        <v/>
      </c>
      <c r="N513" s="66" t="str">
        <f t="shared" si="409"/>
        <v/>
      </c>
      <c r="O513" s="66" t="str">
        <f t="shared" si="409"/>
        <v/>
      </c>
      <c r="P513" s="66" t="str">
        <f t="shared" si="409"/>
        <v/>
      </c>
      <c r="Q513" s="66" t="str">
        <f t="shared" si="409"/>
        <v/>
      </c>
      <c r="R513" s="66" t="str">
        <f t="shared" si="409"/>
        <v/>
      </c>
      <c r="S513" s="66" t="str">
        <f t="shared" si="409"/>
        <v/>
      </c>
      <c r="T513" s="66" t="str">
        <f t="shared" si="409"/>
        <v/>
      </c>
      <c r="U513" s="66" t="str">
        <f t="shared" si="409"/>
        <v/>
      </c>
      <c r="V513" s="66" t="str">
        <f t="shared" si="409"/>
        <v/>
      </c>
      <c r="W513" s="66" t="str">
        <f t="shared" si="409"/>
        <v/>
      </c>
      <c r="X513" s="66" t="str">
        <f t="shared" si="409"/>
        <v/>
      </c>
      <c r="Y513" s="66" t="str">
        <f t="shared" si="409"/>
        <v/>
      </c>
      <c r="Z513" s="66" t="str">
        <f t="shared" si="409"/>
        <v/>
      </c>
      <c r="AA513" s="66" t="str">
        <f t="shared" si="409"/>
        <v/>
      </c>
      <c r="AB513" s="66" t="str">
        <f t="shared" si="409"/>
        <v/>
      </c>
      <c r="AC513" s="66" t="str">
        <f t="shared" si="409"/>
        <v/>
      </c>
      <c r="AD513" s="66" t="str">
        <f t="shared" si="409"/>
        <v/>
      </c>
      <c r="AE513" s="66" t="str">
        <f t="shared" si="409"/>
        <v/>
      </c>
      <c r="AF513" s="66" t="str">
        <f t="shared" si="409"/>
        <v/>
      </c>
      <c r="AG513" s="66" t="str">
        <f t="shared" si="409"/>
        <v/>
      </c>
      <c r="AH513" s="66" t="str">
        <f t="shared" si="409"/>
        <v/>
      </c>
      <c r="AI513" s="66" t="str">
        <f t="shared" si="409"/>
        <v/>
      </c>
      <c r="AJ513" s="66" t="str">
        <f t="shared" si="409"/>
        <v/>
      </c>
    </row>
    <row r="514" spans="1:55">
      <c r="A514" s="66">
        <f t="shared" ref="A514:B514" si="410">A474</f>
        <v>32</v>
      </c>
      <c r="B514" s="66" t="str">
        <f t="shared" si="410"/>
        <v>莊博竣</v>
      </c>
      <c r="C514" s="66" t="str">
        <f t="shared" ref="C514:AJ514" si="411">IF(  OR(  LEN(  C33  )&gt;LEN(  SUBSTITUTE(  C33,"06-22",""  )  ),LEN(  C33  )&gt;LEN(  SUBSTITUTE(  C33,"10-22",""  )  ),LEN(  C33  )&gt;LEN(  SUBSTITUTE(  C33,"14-22",""  )  ),LEN(  C33  )&gt;LEN(  SUBSTITUTE(  C33,"06-18",""  )  ),LEN(  C33  )&gt;LEN(  SUBSTITUTE(  C33,"10-18",""  )  ),LEN(  C33  )&gt;LEN(  SUBSTITUTE(  C33,"14-18",""  )  )  ),"免",""  )</f>
        <v/>
      </c>
      <c r="D514" s="66" t="str">
        <f t="shared" si="411"/>
        <v/>
      </c>
      <c r="E514" s="66" t="str">
        <f t="shared" si="411"/>
        <v/>
      </c>
      <c r="F514" s="66" t="str">
        <f t="shared" si="411"/>
        <v/>
      </c>
      <c r="G514" s="66" t="str">
        <f t="shared" si="411"/>
        <v/>
      </c>
      <c r="H514" s="66" t="str">
        <f t="shared" si="411"/>
        <v/>
      </c>
      <c r="I514" s="66" t="str">
        <f t="shared" si="411"/>
        <v/>
      </c>
      <c r="J514" s="66" t="str">
        <f t="shared" si="411"/>
        <v/>
      </c>
      <c r="K514" s="66" t="str">
        <f t="shared" si="411"/>
        <v/>
      </c>
      <c r="L514" s="66" t="str">
        <f t="shared" si="411"/>
        <v/>
      </c>
      <c r="M514" s="66" t="str">
        <f t="shared" si="411"/>
        <v/>
      </c>
      <c r="N514" s="66" t="str">
        <f t="shared" si="411"/>
        <v/>
      </c>
      <c r="O514" s="66" t="str">
        <f t="shared" si="411"/>
        <v/>
      </c>
      <c r="P514" s="66" t="str">
        <f t="shared" si="411"/>
        <v/>
      </c>
      <c r="Q514" s="66" t="str">
        <f t="shared" si="411"/>
        <v/>
      </c>
      <c r="R514" s="66" t="str">
        <f t="shared" si="411"/>
        <v/>
      </c>
      <c r="S514" s="66" t="str">
        <f t="shared" si="411"/>
        <v/>
      </c>
      <c r="T514" s="66" t="str">
        <f t="shared" si="411"/>
        <v/>
      </c>
      <c r="U514" s="66" t="str">
        <f t="shared" si="411"/>
        <v/>
      </c>
      <c r="V514" s="66" t="str">
        <f t="shared" si="411"/>
        <v/>
      </c>
      <c r="W514" s="66" t="str">
        <f t="shared" si="411"/>
        <v/>
      </c>
      <c r="X514" s="66" t="str">
        <f t="shared" si="411"/>
        <v/>
      </c>
      <c r="Y514" s="66" t="str">
        <f t="shared" si="411"/>
        <v/>
      </c>
      <c r="Z514" s="66" t="str">
        <f t="shared" si="411"/>
        <v/>
      </c>
      <c r="AA514" s="66" t="str">
        <f t="shared" si="411"/>
        <v/>
      </c>
      <c r="AB514" s="66" t="str">
        <f t="shared" si="411"/>
        <v/>
      </c>
      <c r="AC514" s="66" t="str">
        <f t="shared" si="411"/>
        <v/>
      </c>
      <c r="AD514" s="66" t="str">
        <f t="shared" si="411"/>
        <v/>
      </c>
      <c r="AE514" s="66" t="str">
        <f t="shared" si="411"/>
        <v/>
      </c>
      <c r="AF514" s="66" t="str">
        <f t="shared" si="411"/>
        <v/>
      </c>
      <c r="AG514" s="66" t="str">
        <f t="shared" si="411"/>
        <v/>
      </c>
      <c r="AH514" s="66" t="str">
        <f t="shared" si="411"/>
        <v/>
      </c>
      <c r="AI514" s="66" t="str">
        <f t="shared" si="411"/>
        <v/>
      </c>
      <c r="AJ514" s="66" t="str">
        <f t="shared" si="411"/>
        <v/>
      </c>
    </row>
    <row r="515" spans="1:55">
      <c r="A515" s="66">
        <f t="shared" ref="A515:B515" si="412">A475</f>
        <v>33</v>
      </c>
      <c r="B515" s="66" t="str">
        <f t="shared" si="412"/>
        <v/>
      </c>
      <c r="C515" s="66" t="str">
        <f t="shared" ref="C515:AJ515" si="413">IF(  OR(  LEN(  C34  )&gt;LEN(  SUBSTITUTE(  C34,"06-22",""  )  ),LEN(  C34  )&gt;LEN(  SUBSTITUTE(  C34,"10-22",""  )  ),LEN(  C34  )&gt;LEN(  SUBSTITUTE(  C34,"14-22",""  )  ),LEN(  C34  )&gt;LEN(  SUBSTITUTE(  C34,"06-18",""  )  ),LEN(  C34  )&gt;LEN(  SUBSTITUTE(  C34,"10-18",""  )  ),LEN(  C34  )&gt;LEN(  SUBSTITUTE(  C34,"14-18",""  )  )  ),"免",""  )</f>
        <v/>
      </c>
      <c r="D515" s="66" t="str">
        <f t="shared" si="413"/>
        <v/>
      </c>
      <c r="E515" s="66" t="str">
        <f t="shared" si="413"/>
        <v/>
      </c>
      <c r="F515" s="66" t="str">
        <f t="shared" si="413"/>
        <v/>
      </c>
      <c r="G515" s="66" t="str">
        <f t="shared" si="413"/>
        <v/>
      </c>
      <c r="H515" s="66" t="str">
        <f t="shared" si="413"/>
        <v/>
      </c>
      <c r="I515" s="66" t="str">
        <f t="shared" si="413"/>
        <v/>
      </c>
      <c r="J515" s="66" t="str">
        <f t="shared" si="413"/>
        <v/>
      </c>
      <c r="K515" s="66" t="str">
        <f t="shared" si="413"/>
        <v/>
      </c>
      <c r="L515" s="66" t="str">
        <f t="shared" si="413"/>
        <v/>
      </c>
      <c r="M515" s="66" t="str">
        <f t="shared" si="413"/>
        <v/>
      </c>
      <c r="N515" s="66" t="str">
        <f t="shared" si="413"/>
        <v/>
      </c>
      <c r="O515" s="66" t="str">
        <f t="shared" si="413"/>
        <v/>
      </c>
      <c r="P515" s="66" t="str">
        <f t="shared" si="413"/>
        <v/>
      </c>
      <c r="Q515" s="66" t="str">
        <f t="shared" si="413"/>
        <v/>
      </c>
      <c r="R515" s="66" t="str">
        <f t="shared" si="413"/>
        <v/>
      </c>
      <c r="S515" s="66" t="str">
        <f t="shared" si="413"/>
        <v/>
      </c>
      <c r="T515" s="66" t="str">
        <f t="shared" si="413"/>
        <v/>
      </c>
      <c r="U515" s="66" t="str">
        <f t="shared" si="413"/>
        <v/>
      </c>
      <c r="V515" s="66" t="str">
        <f t="shared" si="413"/>
        <v/>
      </c>
      <c r="W515" s="66" t="str">
        <f t="shared" si="413"/>
        <v/>
      </c>
      <c r="X515" s="66" t="str">
        <f t="shared" si="413"/>
        <v/>
      </c>
      <c r="Y515" s="66" t="str">
        <f t="shared" si="413"/>
        <v/>
      </c>
      <c r="Z515" s="66" t="str">
        <f t="shared" si="413"/>
        <v/>
      </c>
      <c r="AA515" s="66" t="str">
        <f t="shared" si="413"/>
        <v/>
      </c>
      <c r="AB515" s="66" t="str">
        <f t="shared" si="413"/>
        <v/>
      </c>
      <c r="AC515" s="66" t="str">
        <f t="shared" si="413"/>
        <v/>
      </c>
      <c r="AD515" s="66" t="str">
        <f t="shared" si="413"/>
        <v/>
      </c>
      <c r="AE515" s="66" t="str">
        <f t="shared" si="413"/>
        <v/>
      </c>
      <c r="AF515" s="66" t="str">
        <f t="shared" si="413"/>
        <v/>
      </c>
      <c r="AG515" s="66" t="str">
        <f t="shared" si="413"/>
        <v/>
      </c>
      <c r="AH515" s="66" t="str">
        <f t="shared" si="413"/>
        <v/>
      </c>
      <c r="AI515" s="66" t="str">
        <f t="shared" si="413"/>
        <v/>
      </c>
      <c r="AJ515" s="66" t="str">
        <f t="shared" si="413"/>
        <v/>
      </c>
    </row>
    <row r="516" spans="1:55">
      <c r="A516" s="66">
        <f t="shared" ref="A516:B516" si="414">A476</f>
        <v>34</v>
      </c>
      <c r="B516" s="66" t="str">
        <f t="shared" si="414"/>
        <v/>
      </c>
      <c r="C516" s="66" t="str">
        <f t="shared" ref="C516:AJ516" si="415">IF(  OR(  LEN(  C35  )&gt;LEN(  SUBSTITUTE(  C35,"06-22",""  )  ),LEN(  C35  )&gt;LEN(  SUBSTITUTE(  C35,"10-22",""  )  ),LEN(  C35  )&gt;LEN(  SUBSTITUTE(  C35,"14-22",""  )  ),LEN(  C35  )&gt;LEN(  SUBSTITUTE(  C35,"06-18",""  )  ),LEN(  C35  )&gt;LEN(  SUBSTITUTE(  C35,"10-18",""  )  ),LEN(  C35  )&gt;LEN(  SUBSTITUTE(  C35,"14-18",""  )  )  ),"免",""  )</f>
        <v/>
      </c>
      <c r="D516" s="66" t="str">
        <f t="shared" si="415"/>
        <v/>
      </c>
      <c r="E516" s="66" t="str">
        <f t="shared" si="415"/>
        <v/>
      </c>
      <c r="F516" s="66" t="str">
        <f t="shared" si="415"/>
        <v/>
      </c>
      <c r="G516" s="66" t="str">
        <f t="shared" si="415"/>
        <v/>
      </c>
      <c r="H516" s="66" t="str">
        <f t="shared" si="415"/>
        <v/>
      </c>
      <c r="I516" s="66" t="str">
        <f t="shared" si="415"/>
        <v/>
      </c>
      <c r="J516" s="66" t="str">
        <f t="shared" si="415"/>
        <v/>
      </c>
      <c r="K516" s="66" t="str">
        <f t="shared" si="415"/>
        <v/>
      </c>
      <c r="L516" s="66" t="str">
        <f t="shared" si="415"/>
        <v/>
      </c>
      <c r="M516" s="66" t="str">
        <f t="shared" si="415"/>
        <v/>
      </c>
      <c r="N516" s="66" t="str">
        <f t="shared" si="415"/>
        <v/>
      </c>
      <c r="O516" s="66" t="str">
        <f t="shared" si="415"/>
        <v/>
      </c>
      <c r="P516" s="66" t="str">
        <f t="shared" si="415"/>
        <v/>
      </c>
      <c r="Q516" s="66" t="str">
        <f t="shared" si="415"/>
        <v/>
      </c>
      <c r="R516" s="66" t="str">
        <f t="shared" si="415"/>
        <v/>
      </c>
      <c r="S516" s="66" t="str">
        <f t="shared" si="415"/>
        <v/>
      </c>
      <c r="T516" s="66" t="str">
        <f t="shared" si="415"/>
        <v/>
      </c>
      <c r="U516" s="66" t="str">
        <f t="shared" si="415"/>
        <v/>
      </c>
      <c r="V516" s="66" t="str">
        <f t="shared" si="415"/>
        <v/>
      </c>
      <c r="W516" s="66" t="str">
        <f t="shared" si="415"/>
        <v/>
      </c>
      <c r="X516" s="66" t="str">
        <f t="shared" si="415"/>
        <v/>
      </c>
      <c r="Y516" s="66" t="str">
        <f t="shared" si="415"/>
        <v/>
      </c>
      <c r="Z516" s="66" t="str">
        <f t="shared" si="415"/>
        <v/>
      </c>
      <c r="AA516" s="66" t="str">
        <f t="shared" si="415"/>
        <v/>
      </c>
      <c r="AB516" s="66" t="str">
        <f t="shared" si="415"/>
        <v/>
      </c>
      <c r="AC516" s="66" t="str">
        <f t="shared" si="415"/>
        <v/>
      </c>
      <c r="AD516" s="66" t="str">
        <f t="shared" si="415"/>
        <v/>
      </c>
      <c r="AE516" s="66" t="str">
        <f t="shared" si="415"/>
        <v/>
      </c>
      <c r="AF516" s="66" t="str">
        <f t="shared" si="415"/>
        <v/>
      </c>
      <c r="AG516" s="66" t="str">
        <f t="shared" si="415"/>
        <v/>
      </c>
      <c r="AH516" s="66" t="str">
        <f t="shared" si="415"/>
        <v/>
      </c>
      <c r="AI516" s="66" t="str">
        <f t="shared" si="415"/>
        <v/>
      </c>
      <c r="AJ516" s="66" t="str">
        <f t="shared" si="415"/>
        <v/>
      </c>
    </row>
    <row r="517" spans="1:55">
      <c r="A517" s="66">
        <f t="shared" ref="A517:B517" si="416">A477</f>
        <v>35</v>
      </c>
      <c r="B517" s="66" t="str">
        <f t="shared" si="416"/>
        <v/>
      </c>
      <c r="C517" s="66" t="str">
        <f t="shared" ref="C517:AJ517" si="417">IF(  OR(  LEN(  C36  )&gt;LEN(  SUBSTITUTE(  C36,"06-22",""  )  ),LEN(  C36  )&gt;LEN(  SUBSTITUTE(  C36,"10-22",""  )  ),LEN(  C36  )&gt;LEN(  SUBSTITUTE(  C36,"14-22",""  )  ),LEN(  C36  )&gt;LEN(  SUBSTITUTE(  C36,"06-18",""  )  ),LEN(  C36  )&gt;LEN(  SUBSTITUTE(  C36,"10-18",""  )  ),LEN(  C36  )&gt;LEN(  SUBSTITUTE(  C36,"14-18",""  )  )  ),"免",""  )</f>
        <v/>
      </c>
      <c r="D517" s="66" t="str">
        <f t="shared" si="417"/>
        <v/>
      </c>
      <c r="E517" s="66" t="str">
        <f t="shared" si="417"/>
        <v/>
      </c>
      <c r="F517" s="66" t="str">
        <f t="shared" si="417"/>
        <v/>
      </c>
      <c r="G517" s="66" t="str">
        <f t="shared" si="417"/>
        <v/>
      </c>
      <c r="H517" s="66" t="str">
        <f t="shared" si="417"/>
        <v/>
      </c>
      <c r="I517" s="66" t="str">
        <f t="shared" si="417"/>
        <v/>
      </c>
      <c r="J517" s="66" t="str">
        <f t="shared" si="417"/>
        <v/>
      </c>
      <c r="K517" s="66" t="str">
        <f t="shared" si="417"/>
        <v/>
      </c>
      <c r="L517" s="66" t="str">
        <f t="shared" si="417"/>
        <v/>
      </c>
      <c r="M517" s="66" t="str">
        <f t="shared" si="417"/>
        <v/>
      </c>
      <c r="N517" s="66" t="str">
        <f t="shared" si="417"/>
        <v/>
      </c>
      <c r="O517" s="66" t="str">
        <f t="shared" si="417"/>
        <v/>
      </c>
      <c r="P517" s="66" t="str">
        <f t="shared" si="417"/>
        <v/>
      </c>
      <c r="Q517" s="66" t="str">
        <f t="shared" si="417"/>
        <v/>
      </c>
      <c r="R517" s="66" t="str">
        <f t="shared" si="417"/>
        <v/>
      </c>
      <c r="S517" s="66" t="str">
        <f t="shared" si="417"/>
        <v/>
      </c>
      <c r="T517" s="66" t="str">
        <f t="shared" si="417"/>
        <v/>
      </c>
      <c r="U517" s="66" t="str">
        <f t="shared" si="417"/>
        <v/>
      </c>
      <c r="V517" s="66" t="str">
        <f t="shared" si="417"/>
        <v/>
      </c>
      <c r="W517" s="66" t="str">
        <f t="shared" si="417"/>
        <v/>
      </c>
      <c r="X517" s="66" t="str">
        <f t="shared" si="417"/>
        <v/>
      </c>
      <c r="Y517" s="66" t="str">
        <f t="shared" si="417"/>
        <v/>
      </c>
      <c r="Z517" s="66" t="str">
        <f t="shared" si="417"/>
        <v/>
      </c>
      <c r="AA517" s="66" t="str">
        <f t="shared" si="417"/>
        <v/>
      </c>
      <c r="AB517" s="66" t="str">
        <f t="shared" si="417"/>
        <v/>
      </c>
      <c r="AC517" s="66" t="str">
        <f t="shared" si="417"/>
        <v/>
      </c>
      <c r="AD517" s="66" t="str">
        <f t="shared" si="417"/>
        <v/>
      </c>
      <c r="AE517" s="66" t="str">
        <f t="shared" si="417"/>
        <v/>
      </c>
      <c r="AF517" s="66" t="str">
        <f t="shared" si="417"/>
        <v/>
      </c>
      <c r="AG517" s="66" t="str">
        <f t="shared" si="417"/>
        <v/>
      </c>
      <c r="AH517" s="66" t="str">
        <f t="shared" si="417"/>
        <v/>
      </c>
      <c r="AI517" s="66" t="str">
        <f t="shared" si="417"/>
        <v/>
      </c>
      <c r="AJ517" s="66" t="str">
        <f t="shared" si="417"/>
        <v/>
      </c>
    </row>
    <row r="518" spans="1:55">
      <c r="A518" s="66">
        <f t="shared" ref="A518:B518" si="418">A478</f>
        <v>37</v>
      </c>
      <c r="B518" s="66" t="str">
        <f t="shared" si="418"/>
        <v/>
      </c>
      <c r="C518" s="66" t="str">
        <f t="shared" ref="C518:AJ518" si="419">IF(  OR(  LEN(  C38  )&gt;LEN(  SUBSTITUTE(  C38,"06-22",""  )  ),LEN(  C38  )&gt;LEN(  SUBSTITUTE(  C38,"10-22",""  )  ),LEN(  C38  )&gt;LEN(  SUBSTITUTE(  C38,"14-22",""  )  ),LEN(  C38  )&gt;LEN(  SUBSTITUTE(  C38,"06-18",""  )  ),LEN(  C38  )&gt;LEN(  SUBSTITUTE(  C38,"10-18",""  )  ),LEN(  C38  )&gt;LEN(  SUBSTITUTE(  C38,"14-18",""  )  )  ),"免",""  )</f>
        <v/>
      </c>
      <c r="D518" s="66" t="str">
        <f t="shared" si="419"/>
        <v/>
      </c>
      <c r="E518" s="66" t="str">
        <f t="shared" si="419"/>
        <v/>
      </c>
      <c r="F518" s="66" t="str">
        <f t="shared" si="419"/>
        <v/>
      </c>
      <c r="G518" s="66" t="str">
        <f t="shared" si="419"/>
        <v/>
      </c>
      <c r="H518" s="66" t="str">
        <f t="shared" si="419"/>
        <v/>
      </c>
      <c r="I518" s="66" t="str">
        <f t="shared" si="419"/>
        <v/>
      </c>
      <c r="J518" s="66" t="str">
        <f t="shared" si="419"/>
        <v/>
      </c>
      <c r="K518" s="66" t="str">
        <f t="shared" si="419"/>
        <v/>
      </c>
      <c r="L518" s="66" t="str">
        <f t="shared" si="419"/>
        <v/>
      </c>
      <c r="M518" s="66" t="str">
        <f t="shared" si="419"/>
        <v/>
      </c>
      <c r="N518" s="66" t="str">
        <f t="shared" si="419"/>
        <v/>
      </c>
      <c r="O518" s="66" t="str">
        <f t="shared" si="419"/>
        <v/>
      </c>
      <c r="P518" s="66" t="str">
        <f t="shared" si="419"/>
        <v/>
      </c>
      <c r="Q518" s="66" t="str">
        <f t="shared" si="419"/>
        <v/>
      </c>
      <c r="R518" s="66" t="str">
        <f t="shared" si="419"/>
        <v/>
      </c>
      <c r="S518" s="66" t="str">
        <f t="shared" si="419"/>
        <v/>
      </c>
      <c r="T518" s="66" t="str">
        <f t="shared" si="419"/>
        <v/>
      </c>
      <c r="U518" s="66" t="str">
        <f t="shared" si="419"/>
        <v/>
      </c>
      <c r="V518" s="66" t="str">
        <f t="shared" si="419"/>
        <v/>
      </c>
      <c r="W518" s="66" t="str">
        <f t="shared" si="419"/>
        <v/>
      </c>
      <c r="X518" s="66" t="str">
        <f t="shared" si="419"/>
        <v/>
      </c>
      <c r="Y518" s="66" t="str">
        <f t="shared" si="419"/>
        <v/>
      </c>
      <c r="Z518" s="66" t="str">
        <f t="shared" si="419"/>
        <v/>
      </c>
      <c r="AA518" s="66" t="str">
        <f t="shared" si="419"/>
        <v/>
      </c>
      <c r="AB518" s="66" t="str">
        <f t="shared" si="419"/>
        <v/>
      </c>
      <c r="AC518" s="66" t="str">
        <f t="shared" si="419"/>
        <v/>
      </c>
      <c r="AD518" s="66" t="str">
        <f t="shared" si="419"/>
        <v/>
      </c>
      <c r="AE518" s="66" t="str">
        <f t="shared" si="419"/>
        <v/>
      </c>
      <c r="AF518" s="66" t="str">
        <f t="shared" si="419"/>
        <v/>
      </c>
      <c r="AG518" s="66" t="str">
        <f t="shared" si="419"/>
        <v/>
      </c>
      <c r="AH518" s="66" t="str">
        <f t="shared" si="419"/>
        <v/>
      </c>
      <c r="AI518" s="66" t="str">
        <f t="shared" si="419"/>
        <v/>
      </c>
      <c r="AJ518" s="66" t="str">
        <f t="shared" si="419"/>
        <v/>
      </c>
    </row>
    <row r="519" spans="1:5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</row>
    <row r="520" spans="1:55" s="289" customFormat="1">
      <c r="AP520" s="303"/>
      <c r="AU520" s="303"/>
      <c r="AV520" s="303"/>
      <c r="AY520" s="303"/>
      <c r="AZ520" s="303"/>
      <c r="BA520" s="303"/>
      <c r="BB520" s="303"/>
      <c r="BC520" s="303"/>
    </row>
    <row r="522" spans="1:55">
      <c r="A522" s="66" t="str">
        <f>A482</f>
        <v>番號</v>
      </c>
      <c r="B522" s="66" t="str">
        <f t="shared" ref="B522:AJ522" si="420">B482</f>
        <v xml:space="preserve"> 姓名</v>
      </c>
      <c r="C522" s="66">
        <f t="shared" si="420"/>
        <v>1</v>
      </c>
      <c r="D522" s="66">
        <f t="shared" si="420"/>
        <v>2</v>
      </c>
      <c r="E522" s="66">
        <f t="shared" si="420"/>
        <v>3</v>
      </c>
      <c r="F522" s="66">
        <f t="shared" si="420"/>
        <v>4</v>
      </c>
      <c r="G522" s="66">
        <f t="shared" si="420"/>
        <v>5</v>
      </c>
      <c r="H522" s="66">
        <f t="shared" si="420"/>
        <v>6</v>
      </c>
      <c r="I522" s="66">
        <f t="shared" si="420"/>
        <v>7</v>
      </c>
      <c r="J522" s="66">
        <f t="shared" si="420"/>
        <v>8</v>
      </c>
      <c r="K522" s="66">
        <f t="shared" si="420"/>
        <v>9</v>
      </c>
      <c r="L522" s="66">
        <f t="shared" si="420"/>
        <v>10</v>
      </c>
      <c r="M522" s="66">
        <f t="shared" si="420"/>
        <v>11</v>
      </c>
      <c r="N522" s="66">
        <f t="shared" si="420"/>
        <v>12</v>
      </c>
      <c r="O522" s="66">
        <f t="shared" si="420"/>
        <v>13</v>
      </c>
      <c r="P522" s="66">
        <f t="shared" si="420"/>
        <v>14</v>
      </c>
      <c r="Q522" s="66">
        <f t="shared" si="420"/>
        <v>15</v>
      </c>
      <c r="R522" s="66">
        <f t="shared" si="420"/>
        <v>16</v>
      </c>
      <c r="S522" s="66">
        <f t="shared" si="420"/>
        <v>17</v>
      </c>
      <c r="T522" s="66">
        <f t="shared" si="420"/>
        <v>18</v>
      </c>
      <c r="U522" s="66">
        <f t="shared" si="420"/>
        <v>19</v>
      </c>
      <c r="V522" s="66">
        <f t="shared" si="420"/>
        <v>20</v>
      </c>
      <c r="W522" s="66">
        <f t="shared" si="420"/>
        <v>21</v>
      </c>
      <c r="X522" s="66">
        <f t="shared" si="420"/>
        <v>22</v>
      </c>
      <c r="Y522" s="66">
        <f t="shared" si="420"/>
        <v>23</v>
      </c>
      <c r="Z522" s="66">
        <f t="shared" si="420"/>
        <v>24</v>
      </c>
      <c r="AA522" s="66">
        <f t="shared" si="420"/>
        <v>25</v>
      </c>
      <c r="AB522" s="66">
        <f t="shared" si="420"/>
        <v>26</v>
      </c>
      <c r="AC522" s="66">
        <f t="shared" si="420"/>
        <v>27</v>
      </c>
      <c r="AD522" s="66">
        <f t="shared" si="420"/>
        <v>28</v>
      </c>
      <c r="AE522" s="66">
        <f t="shared" si="420"/>
        <v>29</v>
      </c>
      <c r="AF522" s="66">
        <f t="shared" si="420"/>
        <v>30</v>
      </c>
      <c r="AG522" s="66">
        <f t="shared" si="420"/>
        <v>31</v>
      </c>
      <c r="AH522" s="66">
        <f t="shared" si="420"/>
        <v>32</v>
      </c>
      <c r="AI522" s="66">
        <f t="shared" si="420"/>
        <v>33</v>
      </c>
      <c r="AJ522" s="66">
        <f t="shared" si="420"/>
        <v>34</v>
      </c>
    </row>
    <row r="523" spans="1:55">
      <c r="A523" s="66">
        <f t="shared" ref="A523:B523" si="421">A483</f>
        <v>1</v>
      </c>
      <c r="B523" s="66" t="str">
        <f t="shared" si="421"/>
        <v>葉家豪</v>
      </c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</row>
    <row r="524" spans="1:55">
      <c r="A524" s="66">
        <f t="shared" ref="A524:B524" si="422">A484</f>
        <v>2</v>
      </c>
      <c r="B524" s="66" t="str">
        <f t="shared" si="422"/>
        <v>鄭智謙</v>
      </c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</row>
    <row r="525" spans="1:55">
      <c r="A525" s="66">
        <f t="shared" ref="A525:B525" si="423">A485</f>
        <v>3</v>
      </c>
      <c r="B525" s="66" t="str">
        <f t="shared" si="423"/>
        <v>王敍安</v>
      </c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</row>
    <row r="526" spans="1:55">
      <c r="A526" s="66">
        <f t="shared" ref="A526:B526" si="424">A486</f>
        <v>4</v>
      </c>
      <c r="B526" s="66" t="str">
        <f t="shared" si="424"/>
        <v>鄭凱文</v>
      </c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</row>
    <row r="527" spans="1:55">
      <c r="A527" s="66">
        <f t="shared" ref="A527:B527" si="425">A487</f>
        <v>5</v>
      </c>
      <c r="B527" s="66" t="str">
        <f t="shared" si="425"/>
        <v>蔡政倫</v>
      </c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</row>
    <row r="528" spans="1:55">
      <c r="A528" s="66">
        <f t="shared" ref="A528:B528" si="426">A488</f>
        <v>6</v>
      </c>
      <c r="B528" s="66" t="str">
        <f t="shared" si="426"/>
        <v>邱昱銘</v>
      </c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</row>
    <row r="529" spans="1:36">
      <c r="A529" s="66">
        <f t="shared" ref="A529:B529" si="427">A489</f>
        <v>7</v>
      </c>
      <c r="B529" s="66" t="str">
        <f t="shared" si="427"/>
        <v>洪長昇</v>
      </c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</row>
    <row r="530" spans="1:36">
      <c r="A530" s="66">
        <f t="shared" ref="A530:B530" si="428">A490</f>
        <v>8</v>
      </c>
      <c r="B530" s="66" t="str">
        <f t="shared" si="428"/>
        <v>許翊呈</v>
      </c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</row>
    <row r="531" spans="1:36">
      <c r="A531" s="66">
        <f t="shared" ref="A531:B531" si="429">A491</f>
        <v>9</v>
      </c>
      <c r="B531" s="66" t="str">
        <f t="shared" si="429"/>
        <v>李政聰</v>
      </c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</row>
    <row r="532" spans="1:36">
      <c r="A532" s="66">
        <f t="shared" ref="A532:B532" si="430">A492</f>
        <v>10</v>
      </c>
      <c r="B532" s="66" t="str">
        <f t="shared" si="430"/>
        <v>劉威志</v>
      </c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</row>
    <row r="533" spans="1:36">
      <c r="A533" s="66">
        <f t="shared" ref="A533:B533" si="431">A493</f>
        <v>11</v>
      </c>
      <c r="B533" s="66" t="str">
        <f t="shared" si="431"/>
        <v>梁展碩</v>
      </c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</row>
    <row r="534" spans="1:36">
      <c r="A534" s="66">
        <f t="shared" ref="A534:B534" si="432">A494</f>
        <v>12</v>
      </c>
      <c r="B534" s="66" t="str">
        <f t="shared" si="432"/>
        <v>何奕諠</v>
      </c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</row>
    <row r="535" spans="1:36">
      <c r="A535" s="66">
        <f t="shared" ref="A535:B535" si="433">A495</f>
        <v>13</v>
      </c>
      <c r="B535" s="66" t="str">
        <f t="shared" si="433"/>
        <v>楊瑞麟</v>
      </c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</row>
    <row r="536" spans="1:36">
      <c r="A536" s="66">
        <f t="shared" ref="A536:B536" si="434">A496</f>
        <v>14</v>
      </c>
      <c r="B536" s="66" t="str">
        <f t="shared" si="434"/>
        <v>鄭品豪</v>
      </c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</row>
    <row r="537" spans="1:36">
      <c r="A537" s="66">
        <f t="shared" ref="A537:B537" si="435">A497</f>
        <v>15</v>
      </c>
      <c r="B537" s="66" t="str">
        <f t="shared" si="435"/>
        <v>林晉弘</v>
      </c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</row>
    <row r="538" spans="1:36">
      <c r="A538" s="66">
        <f t="shared" ref="A538:B538" si="436">A498</f>
        <v>16</v>
      </c>
      <c r="B538" s="66" t="str">
        <f t="shared" si="436"/>
        <v>張恩齊</v>
      </c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</row>
    <row r="539" spans="1:36">
      <c r="A539" s="66">
        <f t="shared" ref="A539:B539" si="437">A499</f>
        <v>17</v>
      </c>
      <c r="B539" s="66" t="str">
        <f t="shared" si="437"/>
        <v>周承澔</v>
      </c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</row>
    <row r="540" spans="1:36">
      <c r="A540" s="66">
        <f t="shared" ref="A540:B540" si="438">A500</f>
        <v>18</v>
      </c>
      <c r="B540" s="66" t="str">
        <f t="shared" si="438"/>
        <v>蔡政倫</v>
      </c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</row>
    <row r="541" spans="1:36">
      <c r="A541" s="66">
        <f t="shared" ref="A541:B541" si="439">A501</f>
        <v>19</v>
      </c>
      <c r="B541" s="66" t="str">
        <f t="shared" si="439"/>
        <v>蕭敬哲</v>
      </c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</row>
    <row r="542" spans="1:36">
      <c r="A542" s="66">
        <f t="shared" ref="A542:B542" si="440">A502</f>
        <v>20</v>
      </c>
      <c r="B542" s="66" t="str">
        <f t="shared" si="440"/>
        <v>楊鈞翔</v>
      </c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</row>
    <row r="543" spans="1:36">
      <c r="A543" s="66">
        <f t="shared" ref="A543:B543" si="441">A503</f>
        <v>21</v>
      </c>
      <c r="B543" s="66" t="str">
        <f t="shared" si="441"/>
        <v>邱俊閎</v>
      </c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</row>
    <row r="544" spans="1:36">
      <c r="A544" s="66">
        <f t="shared" ref="A544:B544" si="442">A504</f>
        <v>22</v>
      </c>
      <c r="B544" s="66" t="str">
        <f t="shared" si="442"/>
        <v>陳奕欣</v>
      </c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</row>
    <row r="545" spans="1:36">
      <c r="A545" s="66">
        <f t="shared" ref="A545:B545" si="443">A505</f>
        <v>23</v>
      </c>
      <c r="B545" s="66" t="str">
        <f t="shared" si="443"/>
        <v>阮成山</v>
      </c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</row>
    <row r="546" spans="1:36">
      <c r="A546" s="66">
        <f t="shared" ref="A546:B546" si="444">A506</f>
        <v>24</v>
      </c>
      <c r="B546" s="66" t="str">
        <f t="shared" si="444"/>
        <v>黃品傑</v>
      </c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</row>
    <row r="547" spans="1:36">
      <c r="A547" s="66">
        <f t="shared" ref="A547:B547" si="445">A507</f>
        <v>25</v>
      </c>
      <c r="B547" s="66" t="str">
        <f t="shared" si="445"/>
        <v>唐正瑋</v>
      </c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</row>
    <row r="548" spans="1:36">
      <c r="A548" s="66">
        <f t="shared" ref="A548:B548" si="446">A508</f>
        <v>26</v>
      </c>
      <c r="B548" s="66" t="str">
        <f t="shared" si="446"/>
        <v>曾慶鈞</v>
      </c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</row>
    <row r="549" spans="1:36">
      <c r="A549" s="66">
        <f t="shared" ref="A549:B549" si="447">A509</f>
        <v>27</v>
      </c>
      <c r="B549" s="66" t="str">
        <f t="shared" si="447"/>
        <v>游瀚翔</v>
      </c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</row>
    <row r="550" spans="1:36">
      <c r="A550" s="289">
        <f t="shared" ref="A550:B550" si="448">A510</f>
        <v>28</v>
      </c>
      <c r="B550" s="289" t="str">
        <f t="shared" si="448"/>
        <v>高仲廷</v>
      </c>
    </row>
    <row r="551" spans="1:36">
      <c r="A551" s="289">
        <f t="shared" ref="A551:B551" si="449">A511</f>
        <v>29</v>
      </c>
      <c r="B551" s="289" t="str">
        <f t="shared" si="449"/>
        <v>陳羲</v>
      </c>
    </row>
    <row r="552" spans="1:36">
      <c r="A552" s="289">
        <f t="shared" ref="A552:B552" si="450">A512</f>
        <v>30</v>
      </c>
      <c r="B552" s="289" t="str">
        <f t="shared" si="450"/>
        <v>謝昕融</v>
      </c>
    </row>
    <row r="553" spans="1:36">
      <c r="A553" s="289">
        <f t="shared" ref="A553:B553" si="451">A513</f>
        <v>31</v>
      </c>
      <c r="B553" s="289" t="str">
        <f t="shared" si="451"/>
        <v>許峰銘</v>
      </c>
    </row>
    <row r="554" spans="1:36">
      <c r="A554" s="289">
        <f t="shared" ref="A554:B554" si="452">A514</f>
        <v>32</v>
      </c>
      <c r="B554" s="289" t="str">
        <f t="shared" si="452"/>
        <v>莊博竣</v>
      </c>
    </row>
    <row r="555" spans="1:36">
      <c r="A555" s="289">
        <f t="shared" ref="A555:B555" si="453">A515</f>
        <v>33</v>
      </c>
      <c r="B555" s="289" t="str">
        <f t="shared" si="453"/>
        <v/>
      </c>
    </row>
    <row r="556" spans="1:36">
      <c r="A556" s="289">
        <f t="shared" ref="A556:B556" si="454">A516</f>
        <v>34</v>
      </c>
      <c r="B556" s="289" t="str">
        <f t="shared" si="454"/>
        <v/>
      </c>
    </row>
    <row r="557" spans="1:36">
      <c r="A557" s="289">
        <f t="shared" ref="A557:B557" si="455">A517</f>
        <v>35</v>
      </c>
      <c r="B557" s="289" t="str">
        <f t="shared" si="455"/>
        <v/>
      </c>
    </row>
    <row r="558" spans="1:36">
      <c r="A558" s="289">
        <f t="shared" ref="A558:B558" si="456">A518</f>
        <v>37</v>
      </c>
      <c r="B558" s="289" t="str">
        <f t="shared" si="456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P30"/>
  <sheetViews>
    <sheetView zoomScale="70" zoomScaleNormal="70" workbookViewId="0">
      <selection activeCell="G4" sqref="G4"/>
    </sheetView>
  </sheetViews>
  <sheetFormatPr defaultRowHeight="16.5"/>
  <cols>
    <col min="1" max="1" width="43.5" customWidth="1"/>
    <col min="2" max="6" width="15.625" customWidth="1"/>
    <col min="7" max="7" width="93.75" bestFit="1" customWidth="1"/>
    <col min="8" max="21" width="15.625" customWidth="1"/>
  </cols>
  <sheetData>
    <row r="1" spans="1:16" ht="25.5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</row>
    <row r="2" spans="1:16" ht="25.5">
      <c r="A2" s="63" t="s">
        <v>255</v>
      </c>
      <c r="B2" s="63">
        <f>日期輸入!B6</f>
        <v>32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</row>
    <row r="3" spans="1:16" ht="25.5">
      <c r="A3" s="63" t="s">
        <v>256</v>
      </c>
      <c r="B3" s="63">
        <f>日期輸入!B7</f>
        <v>111</v>
      </c>
      <c r="C3" s="63">
        <f>日期輸入!C7</f>
        <v>112</v>
      </c>
      <c r="D3" s="63">
        <f>日期輸入!D7</f>
        <v>113</v>
      </c>
      <c r="E3" s="63">
        <f>日期輸入!E7</f>
        <v>114</v>
      </c>
      <c r="F3" s="63">
        <f>日期輸入!F7</f>
        <v>0</v>
      </c>
      <c r="G3" s="63" t="str">
        <f>日期輸入!M3</f>
        <v>※備註欄的內容是否正確 (可以和前一天的勤務表比較)</v>
      </c>
      <c r="H3" s="63">
        <f>日期輸入!N3</f>
        <v>0</v>
      </c>
      <c r="I3" s="63">
        <f>日期輸入!O3</f>
        <v>0</v>
      </c>
      <c r="J3" s="63">
        <f>日期輸入!P3</f>
        <v>0</v>
      </c>
      <c r="K3" s="63">
        <f>日期輸入!Q3</f>
        <v>0</v>
      </c>
      <c r="L3" s="63">
        <f>日期輸入!R3</f>
        <v>0</v>
      </c>
      <c r="M3" s="63">
        <f>日期輸入!M7</f>
        <v>0</v>
      </c>
      <c r="N3" s="63">
        <f>日期輸入!N7</f>
        <v>0</v>
      </c>
      <c r="O3" s="63">
        <f>日期輸入!O7</f>
        <v>0</v>
      </c>
      <c r="P3" s="63">
        <f>日期輸入!P7</f>
        <v>0</v>
      </c>
    </row>
    <row r="4" spans="1:16" ht="25.5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</row>
    <row r="5" spans="1:16" ht="25.5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</row>
    <row r="6" spans="1:16" ht="25.5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</row>
    <row r="7" spans="1:16" ht="25.5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</row>
    <row r="8" spans="1:16" ht="25.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</row>
    <row r="9" spans="1:16" ht="25.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</row>
    <row r="10" spans="1:16" ht="25.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</row>
    <row r="11" spans="1:16" ht="25.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</row>
    <row r="12" spans="1:16" ht="25.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</row>
    <row r="13" spans="1:16" ht="25.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</row>
    <row r="14" spans="1:16" ht="25.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</row>
    <row r="15" spans="1:16" ht="25.5"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</row>
    <row r="16" spans="1:16" ht="25.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</row>
    <row r="17" spans="1:16" ht="26.25" thickBo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</row>
    <row r="18" spans="1:16">
      <c r="A18" s="96" t="str">
        <f xml:space="preserve"> _xlfn.IFNA( CONCATENATE(  "、",  INDEX(勤務分配!$A$1:$X$44,  MATCH(日期輸入!B22,勤務分配!$A$1:$A$44,0),2)  ),  ""  )</f>
        <v/>
      </c>
      <c r="B18" s="112" t="str">
        <f xml:space="preserve"> _xlfn.IFNA( CONCATENATE(  "、",  INDEX(勤務分配!$A$1:$X$44,  MATCH(日期輸入!C22,勤務分配!$A$1:$A$44,0),2)  ),  ""  )</f>
        <v>、陳佑任</v>
      </c>
      <c r="C18" s="112" t="str">
        <f xml:space="preserve"> _xlfn.IFNA( CONCATENATE(  "、",  INDEX(勤務分配!$A$1:$X$44,  MATCH(日期輸入!D22,勤務分配!$A$1:$A$44,0),2)  ),  ""  )</f>
        <v>、林明道</v>
      </c>
      <c r="D18" s="112" t="str">
        <f xml:space="preserve"> _xlfn.IFNA( CONCATENATE(  "、",  INDEX(勤務分配!$A$1:$X$44,  MATCH(日期輸入!E22,勤務分配!$A$1:$A$44,0),2)  ),  ""  )</f>
        <v>、謝福生</v>
      </c>
      <c r="E18" s="112" t="str">
        <f xml:space="preserve"> _xlfn.IFNA( CONCATENATE(  "、",  INDEX(勤務分配!$A$1:$X$44,  MATCH(日期輸入!F22,勤務分配!$A$1:$A$44,0),2)  ),  ""  )</f>
        <v>、陳正輝</v>
      </c>
      <c r="F18" s="112" t="str">
        <f xml:space="preserve"> _xlfn.IFNA( CONCATENATE(  "、",  INDEX(勤務分配!$A$1:$X$44,  MATCH(日期輸入!G22,勤務分配!$A$1:$A$44,0),2)  ),  ""  )</f>
        <v/>
      </c>
      <c r="G18" s="112" t="str">
        <f xml:space="preserve"> _xlfn.IFNA( CONCATENATE(  "、",  INDEX(勤務分配!$A$1:$X$44,  MATCH(日期輸入!H22,勤務分配!$A$1:$A$44,0),2)  ),  ""  )</f>
        <v/>
      </c>
      <c r="H18" s="112" t="str">
        <f xml:space="preserve"> _xlfn.IFNA( CONCATENATE(  "、",  INDEX(勤務分配!$A$1:$X$44,  MATCH(日期輸入!I22,勤務分配!$A$1:$A$44,0),2)  ),  ""  )</f>
        <v/>
      </c>
      <c r="I18" s="112" t="str">
        <f xml:space="preserve"> _xlfn.IFNA( CONCATENATE(  "、",  INDEX(勤務分配!$A$1:$X$44,  MATCH(日期輸入!J22,勤務分配!$A$1:$A$44,0),2)  ),  ""  )</f>
        <v/>
      </c>
      <c r="J18" s="112" t="str">
        <f xml:space="preserve"> _xlfn.IFNA( CONCATENATE(  "、",  INDEX(勤務分配!$A$1:$X$44,  MATCH(日期輸入!K22,勤務分配!$A$1:$A$44,0),2)  ),  ""  )</f>
        <v/>
      </c>
      <c r="K18" s="460" t="str">
        <f xml:space="preserve"> _xlfn.IFNA( CONCATENATE(  "、",  INDEX(勤務分配!$A$1:$X$44,  MATCH(日期輸入!L22,勤務分配!$A$1:$A$44,0),2)  ),  ""  )</f>
        <v/>
      </c>
      <c r="L18" s="112" t="str">
        <f xml:space="preserve"> _xlfn.IFNA( CONCATENATE(  "、",  INDEX(勤務分配!$A$1:$X$44,  MATCH(' 役男公式'!AX$20,勤務分配!$A$1:$A$44,0),2)  ),  ""  )</f>
        <v/>
      </c>
      <c r="M18" s="112" t="str">
        <f xml:space="preserve"> _xlfn.IFNA( CONCATENATE(  "、",  INDEX(勤務分配!$A$1:$X$44,  MATCH(' 役男公式'!AY$20,勤務分配!$A$1:$A$44,0),2)  ),  ""  )</f>
        <v/>
      </c>
      <c r="N18" s="112" t="str">
        <f xml:space="preserve"> _xlfn.IFNA( CONCATENATE(  "、",  INDEX(勤務分配!$A$1:$X$44,  MATCH(' 役男公式'!AZ$20,勤務分配!$A$1:$A$44,0),2)  ),  ""  )</f>
        <v/>
      </c>
      <c r="O18" s="112" t="str">
        <f xml:space="preserve"> _xlfn.IFNA( CONCATENATE(  "、",  INDEX(勤務分配!$A$1:$X$44,  MATCH(' 役男公式'!BA$20,勤務分配!$A$1:$A$44,0),2)  ),  ""  )</f>
        <v/>
      </c>
      <c r="P18" s="113" t="str">
        <f xml:space="preserve"> _xlfn.IFNA( CONCATENATE(  "、",  INDEX(勤務分配!$A$1:$X$44,  MATCH(' 役男公式'!BB$20,勤務分配!$A$1:$A$44,0),2)  ),  ""  )</f>
        <v/>
      </c>
    </row>
    <row r="19" spans="1:16" ht="17.25" thickBot="1">
      <c r="A19" s="114" t="str">
        <f>IF(日期輸入!B22&lt;&gt;"",CONCATENATE(".",日期輸入!B22),"")</f>
        <v/>
      </c>
      <c r="B19" s="115" t="str">
        <f>IF(日期輸入!C22&lt;&gt;"",CONCATENATE(".",日期輸入!C22),"")</f>
        <v>.O</v>
      </c>
      <c r="C19" s="115" t="str">
        <f>IF(日期輸入!D22&lt;&gt;"",CONCATENATE(".",日期輸入!D22),"")</f>
        <v>.P</v>
      </c>
      <c r="D19" s="115" t="str">
        <f>IF(日期輸入!E22&lt;&gt;"",CONCATENATE(".",日期輸入!E22),"")</f>
        <v>.Q</v>
      </c>
      <c r="E19" s="115" t="str">
        <f>IF(日期輸入!F22&lt;&gt;"",CONCATENATE(".",日期輸入!F22),"")</f>
        <v>.N</v>
      </c>
      <c r="F19" s="115" t="str">
        <f>IF(日期輸入!G22&lt;&gt;"",CONCATENATE(".",日期輸入!G22),"")</f>
        <v>.1</v>
      </c>
      <c r="G19" s="115" t="str">
        <f>IF(日期輸入!H22&lt;&gt;"",CONCATENATE(".",日期輸入!H22),"")</f>
        <v>.2</v>
      </c>
      <c r="H19" s="115" t="str">
        <f>IF(日期輸入!I22&lt;&gt;"",CONCATENATE(".",日期輸入!I22),"")</f>
        <v>.3</v>
      </c>
      <c r="I19" s="115" t="str">
        <f>IF(日期輸入!J22&lt;&gt;"",CONCATENATE(".",日期輸入!J22),"")</f>
        <v>.4</v>
      </c>
      <c r="J19" s="115" t="str">
        <f>IF(日期輸入!K22&lt;&gt;"",CONCATENATE(".",日期輸入!K22),"")</f>
        <v>.5</v>
      </c>
      <c r="K19" s="115" t="str">
        <f>IF(日期輸入!L22&lt;&gt;"",CONCATENATE(".",日期輸入!L22),"")</f>
        <v>.6</v>
      </c>
      <c r="L19" s="115" t="str">
        <f>IF(日期輸入!M22&lt;&gt;"",CONCATENATE(".",日期輸入!M22),"")</f>
        <v/>
      </c>
      <c r="M19" s="115" t="str">
        <f>IF(日期輸入!N22&lt;&gt;"",CONCATENATE(".",日期輸入!N22),"")</f>
        <v/>
      </c>
      <c r="N19" s="115" t="str">
        <f>IF(日期輸入!O22&lt;&gt;"",CONCATENATE(".",日期輸入!O22),"")</f>
        <v/>
      </c>
      <c r="O19" s="115" t="str">
        <f>IF(日期輸入!P22&lt;&gt;"",CONCATENATE(".",日期輸入!P22),"")</f>
        <v/>
      </c>
      <c r="P19" s="116" t="str">
        <f>IF(日期輸入!Q22&lt;&gt;"",CONCATENATE(".",日期輸入!Q22),"")</f>
        <v/>
      </c>
    </row>
    <row r="20" spans="1:16" ht="25.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</row>
    <row r="21" spans="1:16" ht="25.5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</row>
    <row r="22" spans="1:16" ht="25.5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</row>
    <row r="23" spans="1:16" ht="25.5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</row>
    <row r="24" spans="1:16" ht="30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</row>
    <row r="25" spans="1:16" ht="30" customHeight="1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</row>
    <row r="26" spans="1:16" ht="30" customHeight="1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</row>
    <row r="27" spans="1:16" ht="30" customHeight="1">
      <c r="A27" s="64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</row>
    <row r="28" spans="1:16" ht="30" customHeight="1"/>
    <row r="29" spans="1:16" ht="30" customHeight="1"/>
    <row r="30" spans="1:16" ht="30" customHeight="1"/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6</vt:i4>
      </vt:variant>
    </vt:vector>
  </HeadingPairs>
  <TitlesOfParts>
    <vt:vector size="21" baseType="lpstr">
      <vt:lpstr>日期輸入</vt:lpstr>
      <vt:lpstr>役男大表</vt:lpstr>
      <vt:lpstr>警職大表</vt:lpstr>
      <vt:lpstr>役男值班</vt:lpstr>
      <vt:lpstr>勤務分配表</vt:lpstr>
      <vt:lpstr>警力狀況表</vt:lpstr>
      <vt:lpstr>使用說明</vt:lpstr>
      <vt:lpstr>勤務定義</vt:lpstr>
      <vt:lpstr>勤務分配</vt:lpstr>
      <vt:lpstr>役男人力</vt:lpstr>
      <vt:lpstr>靶場 </vt:lpstr>
      <vt:lpstr>每日在營警力</vt:lpstr>
      <vt:lpstr>警職公式</vt:lpstr>
      <vt:lpstr> 役男公式</vt:lpstr>
      <vt:lpstr>暫1</vt:lpstr>
      <vt:lpstr>役男大表!Print_Area</vt:lpstr>
      <vt:lpstr>役男值班!Print_Area</vt:lpstr>
      <vt:lpstr>每日在營警力!Print_Area</vt:lpstr>
      <vt:lpstr>勤務分配表!Print_Area</vt:lpstr>
      <vt:lpstr>警力狀況表!Print_Area</vt:lpstr>
      <vt:lpstr>rank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X06</dc:creator>
  <cp:lastModifiedBy>user</cp:lastModifiedBy>
  <cp:lastPrinted>2021-10-29T05:48:19Z</cp:lastPrinted>
  <dcterms:created xsi:type="dcterms:W3CDTF">2005-01-06T07:21:34Z</dcterms:created>
  <dcterms:modified xsi:type="dcterms:W3CDTF">2021-10-30T13:00:34Z</dcterms:modified>
  <cp:contentStatus/>
</cp:coreProperties>
</file>